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defaultThemeVersion="202300"/>
  <mc:AlternateContent xmlns:mc="http://schemas.openxmlformats.org/markup-compatibility/2006">
    <mc:Choice Requires="x15">
      <x15ac:absPath xmlns:x15ac="http://schemas.microsoft.com/office/spreadsheetml/2010/11/ac" url="/Users/pawan/Documents/GitHub/qti/public/Resources/"/>
    </mc:Choice>
  </mc:AlternateContent>
  <xr:revisionPtr revIDLastSave="0" documentId="13_ncr:1_{78C88554-EA49-F543-A984-2A469969B3A4}" xr6:coauthVersionLast="47" xr6:coauthVersionMax="47" xr10:uidLastSave="{00000000-0000-0000-0000-000000000000}"/>
  <bookViews>
    <workbookView xWindow="14460" yWindow="660" windowWidth="14180" windowHeight="16280" activeTab="2" xr2:uid="{063D4EF7-341C-E54C-A634-559694D7D04D}"/>
  </bookViews>
  <sheets>
    <sheet name="HEC.xlsx" sheetId="2" r:id="rId1"/>
    <sheet name="HEC" sheetId="1" r:id="rId2"/>
    <sheet name="HEC-U" sheetId="5" r:id="rId3"/>
    <sheet name="Sheet1" sheetId="6" state="hidden" r:id="rId4"/>
    <sheet name="EC-Commands" sheetId="3" state="hidden" r:id="rId5"/>
    <sheet name="Sheet2" sheetId="4" state="hidden" r:id="rId6"/>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35" i="2" l="1"/>
  <c r="B636" i="2" s="1"/>
  <c r="B637" i="2" s="1"/>
  <c r="B638" i="2" s="1"/>
  <c r="B639" i="2" s="1"/>
  <c r="B640" i="2" s="1"/>
  <c r="B641" i="2" s="1"/>
  <c r="B642" i="2" s="1"/>
  <c r="B643" i="2" s="1"/>
  <c r="B644" i="2" s="1"/>
  <c r="B645" i="2" s="1"/>
  <c r="B646" i="2" s="1"/>
  <c r="J585" i="2"/>
  <c r="B575" i="2"/>
  <c r="B576" i="2" s="1"/>
  <c r="B577" i="2" s="1"/>
  <c r="B521" i="2"/>
  <c r="B522" i="2" s="1"/>
  <c r="B506" i="2"/>
  <c r="B507" i="2" s="1"/>
  <c r="B508" i="2" s="1"/>
  <c r="B509" i="2" s="1"/>
  <c r="B510" i="2" s="1"/>
  <c r="B511" i="2" s="1"/>
  <c r="B502" i="2"/>
  <c r="B503" i="2" s="1"/>
  <c r="B430" i="2"/>
  <c r="B431" i="2" s="1"/>
  <c r="B427" i="2"/>
  <c r="B428" i="2" s="1"/>
  <c r="J379" i="2"/>
  <c r="B377" i="2"/>
  <c r="B374" i="2"/>
  <c r="J367" i="2"/>
  <c r="J361" i="2"/>
  <c r="B355" i="2"/>
  <c r="B356" i="2" s="1"/>
  <c r="B357" i="2" s="1"/>
  <c r="B354" i="2"/>
  <c r="J348" i="2"/>
  <c r="B336" i="2"/>
  <c r="B337" i="2" s="1"/>
  <c r="B338" i="2" s="1"/>
  <c r="B339" i="2" s="1"/>
  <c r="B340" i="2" s="1"/>
  <c r="B341" i="2" s="1"/>
  <c r="B342" i="2" s="1"/>
  <c r="B343" i="2" s="1"/>
  <c r="B344" i="2" s="1"/>
  <c r="B345" i="2" s="1"/>
  <c r="B346" i="2" s="1"/>
  <c r="B347" i="2" s="1"/>
  <c r="J333" i="2"/>
  <c r="B326" i="2"/>
  <c r="B327" i="2" s="1"/>
  <c r="B328" i="2" s="1"/>
  <c r="B329" i="2" s="1"/>
  <c r="B330" i="2" s="1"/>
  <c r="B331" i="2" s="1"/>
  <c r="B332" i="2" s="1"/>
  <c r="D316" i="2"/>
  <c r="F314" i="2"/>
  <c r="F315" i="2" s="1"/>
  <c r="F316" i="2" s="1"/>
  <c r="F317" i="2" s="1"/>
  <c r="C313" i="2"/>
  <c r="C314" i="2" s="1"/>
  <c r="C315" i="2" s="1"/>
  <c r="C316" i="2" s="1"/>
  <c r="C317" i="2" s="1"/>
  <c r="D311" i="2"/>
  <c r="E307" i="2"/>
  <c r="E308" i="2" s="1"/>
  <c r="D307" i="2"/>
  <c r="D308" i="2" s="1"/>
  <c r="C304" i="2"/>
  <c r="C305" i="2" s="1"/>
  <c r="C306" i="2" s="1"/>
  <c r="C307" i="2" s="1"/>
  <c r="C308" i="2" s="1"/>
  <c r="C309" i="2" s="1"/>
  <c r="C296" i="2"/>
  <c r="C297" i="2" s="1"/>
  <c r="C298" i="2" s="1"/>
  <c r="C299" i="2" s="1"/>
  <c r="C300" i="2" s="1"/>
  <c r="C295" i="2"/>
  <c r="B291" i="2"/>
  <c r="D290" i="2"/>
  <c r="B290" i="2"/>
  <c r="B294" i="2" s="1"/>
  <c r="B296" i="2" s="1"/>
  <c r="B297" i="2" s="1"/>
  <c r="B298" i="2" s="1"/>
  <c r="B299" i="2" s="1"/>
  <c r="C283" i="2"/>
  <c r="C284" i="2" s="1"/>
  <c r="C285" i="2" s="1"/>
  <c r="C280" i="2"/>
  <c r="B281" i="2"/>
  <c r="B280" i="2" s="1"/>
  <c r="D280" i="2"/>
  <c r="B279" i="2"/>
  <c r="B282" i="2" s="1"/>
  <c r="B283" i="2" s="1"/>
  <c r="B284" i="2" s="1"/>
  <c r="B285" i="2" s="1"/>
  <c r="B286" i="2" s="1"/>
  <c r="D267" i="2"/>
  <c r="B265" i="2"/>
  <c r="B266" i="2" s="1"/>
  <c r="B267" i="2" s="1"/>
  <c r="B268" i="2" s="1"/>
  <c r="B269" i="2" s="1"/>
  <c r="B270" i="2" s="1"/>
  <c r="B271" i="2" s="1"/>
  <c r="B272" i="2" s="1"/>
  <c r="B273" i="2" s="1"/>
  <c r="B274" i="2" s="1"/>
  <c r="B263" i="2"/>
  <c r="B262" i="2"/>
  <c r="E257" i="2"/>
  <c r="E258" i="2" s="1"/>
  <c r="E259" i="2" s="1"/>
  <c r="D257" i="2"/>
  <c r="D258" i="2" s="1"/>
  <c r="D259" i="2" s="1"/>
  <c r="B245" i="2"/>
  <c r="B246" i="2" s="1"/>
  <c r="L233" i="1"/>
  <c r="M233" i="1" s="1"/>
  <c r="L221" i="1"/>
  <c r="M221" i="1" s="1"/>
  <c r="L209" i="1"/>
  <c r="M209" i="1" s="1"/>
  <c r="L197" i="1"/>
  <c r="M197" i="1" s="1"/>
  <c r="L173" i="1"/>
  <c r="L185" i="1" s="1"/>
  <c r="M185" i="1" s="1"/>
  <c r="L161" i="1"/>
  <c r="M161" i="1" s="1"/>
  <c r="L149" i="1"/>
  <c r="M149" i="1" s="1"/>
  <c r="L137" i="1"/>
  <c r="M137" i="1" s="1"/>
  <c r="L125" i="1"/>
  <c r="M125" i="1" s="1"/>
  <c r="L113" i="1"/>
  <c r="M113" i="1" s="1"/>
  <c r="L101" i="1"/>
  <c r="M101" i="1" s="1"/>
  <c r="L89" i="1"/>
  <c r="M89" i="1" s="1"/>
  <c r="L77" i="1"/>
  <c r="M77" i="1" s="1"/>
  <c r="L65" i="1"/>
  <c r="M65" i="1" s="1"/>
  <c r="L53" i="1"/>
  <c r="M53" i="1" s="1"/>
  <c r="L41" i="1"/>
  <c r="M41" i="1" s="1"/>
  <c r="L29" i="1"/>
  <c r="M29" i="1" s="1"/>
  <c r="L17" i="1"/>
  <c r="M17" i="1" s="1"/>
  <c r="L5" i="1"/>
  <c r="M5" i="1" s="1"/>
  <c r="B222" i="2"/>
  <c r="B223" i="2" s="1"/>
  <c r="D219" i="2"/>
  <c r="B208" i="2"/>
  <c r="C208" i="2" s="1"/>
  <c r="C207" i="2"/>
  <c r="C206" i="2"/>
  <c r="C188" i="2"/>
  <c r="B171" i="2"/>
  <c r="C171" i="2" s="1"/>
  <c r="C169" i="2"/>
  <c r="I168" i="2"/>
  <c r="H168" i="2"/>
  <c r="C168" i="2"/>
  <c r="C166" i="2"/>
  <c r="B164" i="2"/>
  <c r="B165" i="2" s="1"/>
  <c r="C165" i="2" s="1"/>
  <c r="C163" i="2"/>
  <c r="B154" i="2"/>
  <c r="C154" i="2" s="1"/>
  <c r="D153" i="2"/>
  <c r="C153" i="2"/>
  <c r="C152" i="2"/>
  <c r="C151" i="2"/>
  <c r="J150" i="2"/>
  <c r="C150" i="2"/>
  <c r="H137" i="2"/>
  <c r="J137" i="2"/>
  <c r="I137" i="2"/>
  <c r="B137" i="2"/>
  <c r="C137" i="2" s="1"/>
  <c r="C136" i="2"/>
  <c r="B580" i="2" l="1"/>
  <c r="B578" i="2"/>
  <c r="B581" i="2" s="1"/>
  <c r="B579" i="2"/>
  <c r="B582" i="2" s="1"/>
  <c r="B583" i="2" s="1"/>
  <c r="B584" i="2" s="1"/>
  <c r="B585" i="2" s="1"/>
  <c r="B586" i="2" s="1"/>
  <c r="B587" i="2" s="1"/>
  <c r="B588" i="2" s="1"/>
  <c r="B589" i="2" s="1"/>
  <c r="B590" i="2" s="1"/>
  <c r="B525" i="2"/>
  <c r="B523" i="2"/>
  <c r="B504" i="2"/>
  <c r="B505" i="2"/>
  <c r="B292" i="2"/>
  <c r="B376" i="2"/>
  <c r="B378" i="2" s="1"/>
  <c r="B293" i="2"/>
  <c r="B295" i="2" s="1"/>
  <c r="B301" i="2"/>
  <c r="B300" i="2"/>
  <c r="B247" i="2"/>
  <c r="M173" i="1"/>
  <c r="B209" i="2"/>
  <c r="C209" i="2" s="1"/>
  <c r="B224" i="2"/>
  <c r="B210" i="2"/>
  <c r="B170" i="2"/>
  <c r="C170" i="2" s="1"/>
  <c r="B172" i="2"/>
  <c r="B173" i="2" s="1"/>
  <c r="B174" i="2" s="1"/>
  <c r="B177" i="2"/>
  <c r="B155" i="2"/>
  <c r="C155" i="2" s="1"/>
  <c r="C164" i="2"/>
  <c r="B138" i="2"/>
  <c r="B524" i="2" l="1"/>
  <c r="B527" i="2" s="1"/>
  <c r="B528" i="2" s="1"/>
  <c r="B529" i="2" s="1"/>
  <c r="B530" i="2" s="1"/>
  <c r="B526" i="2"/>
  <c r="B302" i="2"/>
  <c r="B303" i="2"/>
  <c r="B304" i="2" s="1"/>
  <c r="B305" i="2" s="1"/>
  <c r="B306" i="2" s="1"/>
  <c r="B307" i="2" s="1"/>
  <c r="B308" i="2" s="1"/>
  <c r="B309" i="2" s="1"/>
  <c r="B312" i="2" s="1"/>
  <c r="B248" i="2"/>
  <c r="C172" i="2"/>
  <c r="C173" i="2"/>
  <c r="B225" i="2"/>
  <c r="C210" i="2"/>
  <c r="B211" i="2"/>
  <c r="C177" i="2"/>
  <c r="B178" i="2"/>
  <c r="C178" i="2" s="1"/>
  <c r="B175" i="2"/>
  <c r="C174" i="2"/>
  <c r="B156" i="2"/>
  <c r="B157" i="2" s="1"/>
  <c r="B139" i="2"/>
  <c r="C138" i="2"/>
  <c r="B536" i="2" l="1"/>
  <c r="B531" i="2"/>
  <c r="B532" i="2" s="1"/>
  <c r="B533" i="2" s="1"/>
  <c r="B534" i="2" s="1"/>
  <c r="B535" i="2" s="1"/>
  <c r="B537" i="2" s="1"/>
  <c r="B538" i="2" s="1"/>
  <c r="B539" i="2" s="1"/>
  <c r="B540" i="2" s="1"/>
  <c r="B541" i="2" s="1"/>
  <c r="B542" i="2" s="1"/>
  <c r="B543" i="2" s="1"/>
  <c r="B544" i="2" s="1"/>
  <c r="B313" i="2"/>
  <c r="B314" i="2" s="1"/>
  <c r="B315" i="2" s="1"/>
  <c r="B316" i="2" s="1"/>
  <c r="B317" i="2" s="1"/>
  <c r="B311" i="2"/>
  <c r="B310" i="2" s="1"/>
  <c r="C156" i="2"/>
  <c r="B249" i="2"/>
  <c r="B226" i="2"/>
  <c r="C211" i="2"/>
  <c r="B212" i="2"/>
  <c r="C175" i="2"/>
  <c r="B176" i="2"/>
  <c r="B158" i="2"/>
  <c r="C157" i="2"/>
  <c r="C139" i="2"/>
  <c r="B140" i="2"/>
  <c r="B545" i="2" l="1"/>
  <c r="B546" i="2"/>
  <c r="B547" i="2" s="1"/>
  <c r="B548" i="2" s="1"/>
  <c r="B549" i="2" s="1"/>
  <c r="B250" i="2"/>
  <c r="B227" i="2"/>
  <c r="B213" i="2"/>
  <c r="C212" i="2"/>
  <c r="B179" i="2"/>
  <c r="C176" i="2"/>
  <c r="C158" i="2"/>
  <c r="B159" i="2"/>
  <c r="B141" i="2"/>
  <c r="C140" i="2"/>
  <c r="B251" i="2" l="1"/>
  <c r="B228" i="2"/>
  <c r="C213" i="2"/>
  <c r="B215" i="2"/>
  <c r="B214" i="2"/>
  <c r="C214" i="2" s="1"/>
  <c r="C179" i="2"/>
  <c r="B184" i="2"/>
  <c r="B180" i="2"/>
  <c r="B160" i="2"/>
  <c r="C159" i="2"/>
  <c r="B142" i="2"/>
  <c r="C141" i="2"/>
  <c r="B252" i="2" l="1"/>
  <c r="B229" i="2"/>
  <c r="C215" i="2"/>
  <c r="B216" i="2"/>
  <c r="B181" i="2"/>
  <c r="C180" i="2"/>
  <c r="B185" i="2"/>
  <c r="C184" i="2"/>
  <c r="B161" i="2"/>
  <c r="C160" i="2"/>
  <c r="B143" i="2"/>
  <c r="C142" i="2"/>
  <c r="B253" i="2" l="1"/>
  <c r="B230" i="2"/>
  <c r="C216" i="2"/>
  <c r="B217" i="2"/>
  <c r="B186" i="2"/>
  <c r="C185" i="2"/>
  <c r="B182" i="2"/>
  <c r="C181" i="2"/>
  <c r="B162" i="2"/>
  <c r="C162" i="2" s="1"/>
  <c r="C161" i="2"/>
  <c r="C143" i="2"/>
  <c r="B144" i="2"/>
  <c r="B254" i="2" l="1"/>
  <c r="B231" i="2"/>
  <c r="B218" i="2"/>
  <c r="C217" i="2"/>
  <c r="B183" i="2"/>
  <c r="C183" i="2" s="1"/>
  <c r="C182" i="2"/>
  <c r="B187" i="2"/>
  <c r="C187" i="2" s="1"/>
  <c r="C186" i="2"/>
  <c r="B145" i="2"/>
  <c r="C144" i="2"/>
  <c r="B255" i="2" l="1"/>
  <c r="B232" i="2"/>
  <c r="C218" i="2"/>
  <c r="B219" i="2"/>
  <c r="C219" i="2" s="1"/>
  <c r="B146" i="2"/>
  <c r="C145" i="2"/>
  <c r="J122" i="2"/>
  <c r="D101" i="2"/>
  <c r="D104" i="2" s="1"/>
  <c r="B93" i="2"/>
  <c r="B94" i="2" s="1"/>
  <c r="C92" i="2"/>
  <c r="B68" i="2"/>
  <c r="B66" i="2"/>
  <c r="C66" i="2" s="1"/>
  <c r="C65" i="2"/>
  <c r="C64" i="2"/>
  <c r="D58" i="2"/>
  <c r="D59" i="2" s="1"/>
  <c r="D60" i="2" s="1"/>
  <c r="D61" i="2" s="1"/>
  <c r="D62" i="2" s="1"/>
  <c r="D63" i="2" s="1"/>
  <c r="D53" i="2"/>
  <c r="D54" i="2" s="1"/>
  <c r="B50" i="2"/>
  <c r="C50" i="2" s="1"/>
  <c r="C47" i="2"/>
  <c r="F45" i="2"/>
  <c r="E45" i="2"/>
  <c r="D45" i="2"/>
  <c r="D43" i="2"/>
  <c r="B37" i="2"/>
  <c r="C37" i="2" s="1"/>
  <c r="C36" i="2"/>
  <c r="C35" i="2"/>
  <c r="B22" i="2"/>
  <c r="C21" i="2"/>
  <c r="D15" i="3"/>
  <c r="D16" i="3" s="1"/>
  <c r="D17" i="3" s="1"/>
  <c r="D18" i="3" s="1"/>
  <c r="D19" i="3" s="1"/>
  <c r="C3" i="2"/>
  <c r="C4" i="2"/>
  <c r="C5" i="2"/>
  <c r="C6" i="2"/>
  <c r="B7" i="2"/>
  <c r="C7" i="2" s="1"/>
  <c r="B256" i="2" l="1"/>
  <c r="B234" i="2"/>
  <c r="B233" i="2"/>
  <c r="B69" i="2"/>
  <c r="C69" i="2" s="1"/>
  <c r="C93" i="2"/>
  <c r="B147" i="2"/>
  <c r="C146" i="2"/>
  <c r="B8" i="2"/>
  <c r="C8" i="2" s="1"/>
  <c r="C106" i="2"/>
  <c r="C68" i="2"/>
  <c r="C94" i="2"/>
  <c r="B98" i="2"/>
  <c r="B67" i="2"/>
  <c r="B52" i="2"/>
  <c r="C52" i="2" s="1"/>
  <c r="B51" i="2"/>
  <c r="C51" i="2" s="1"/>
  <c r="B53" i="2"/>
  <c r="B54" i="2" s="1"/>
  <c r="C54" i="2" s="1"/>
  <c r="B38" i="2"/>
  <c r="B39" i="2" s="1"/>
  <c r="C39" i="2" s="1"/>
  <c r="B48" i="2"/>
  <c r="C22" i="2"/>
  <c r="B23" i="2"/>
  <c r="C257" i="2" l="1"/>
  <c r="C258" i="2" s="1"/>
  <c r="C259" i="2" s="1"/>
  <c r="B257" i="2"/>
  <c r="B258" i="2" s="1"/>
  <c r="B259" i="2" s="1"/>
  <c r="B235" i="2"/>
  <c r="B9" i="2"/>
  <c r="C9" i="2" s="1"/>
  <c r="C147" i="2"/>
  <c r="B148" i="2"/>
  <c r="C53" i="2"/>
  <c r="B40" i="2"/>
  <c r="C40" i="2" s="1"/>
  <c r="B55" i="2"/>
  <c r="B56" i="2" s="1"/>
  <c r="C98" i="2"/>
  <c r="B99" i="2"/>
  <c r="B95" i="2"/>
  <c r="C67" i="2"/>
  <c r="B70" i="2"/>
  <c r="C48" i="2"/>
  <c r="B49" i="2"/>
  <c r="C49" i="2" s="1"/>
  <c r="C38" i="2"/>
  <c r="B24" i="2"/>
  <c r="C23" i="2"/>
  <c r="C55" i="2" l="1"/>
  <c r="B236" i="2"/>
  <c r="B10" i="2"/>
  <c r="C10" i="2" s="1"/>
  <c r="B41" i="2"/>
  <c r="B42" i="2" s="1"/>
  <c r="C148" i="2"/>
  <c r="B96" i="2"/>
  <c r="C95" i="2"/>
  <c r="B100" i="2"/>
  <c r="C99" i="2"/>
  <c r="B101" i="2"/>
  <c r="C101" i="2" s="1"/>
  <c r="B71" i="2"/>
  <c r="C70" i="2"/>
  <c r="B57" i="2"/>
  <c r="C56" i="2"/>
  <c r="C41" i="2"/>
  <c r="B25" i="2"/>
  <c r="C24" i="2"/>
  <c r="B11" i="2" l="1"/>
  <c r="B12" i="2" s="1"/>
  <c r="B237" i="2"/>
  <c r="B102" i="2"/>
  <c r="C100" i="2"/>
  <c r="B97" i="2"/>
  <c r="C97" i="2" s="1"/>
  <c r="C96" i="2"/>
  <c r="C71" i="2"/>
  <c r="B72" i="2"/>
  <c r="B58" i="2"/>
  <c r="C57" i="2"/>
  <c r="B43" i="2"/>
  <c r="C42" i="2"/>
  <c r="B26" i="2"/>
  <c r="C25" i="2"/>
  <c r="C11" i="2" l="1"/>
  <c r="B238" i="2"/>
  <c r="B103" i="2"/>
  <c r="C102" i="2"/>
  <c r="B73" i="2"/>
  <c r="C72" i="2"/>
  <c r="C58" i="2"/>
  <c r="B59" i="2"/>
  <c r="B44" i="2"/>
  <c r="B45" i="2" s="1"/>
  <c r="B46" i="2" s="1"/>
  <c r="C43" i="2"/>
  <c r="C44" i="2" s="1"/>
  <c r="C45" i="2" s="1"/>
  <c r="C46" i="2" s="1"/>
  <c r="C26" i="2"/>
  <c r="B27" i="2"/>
  <c r="C12" i="2"/>
  <c r="B13" i="2"/>
  <c r="B239" i="2" l="1"/>
  <c r="C103" i="2"/>
  <c r="B104" i="2"/>
  <c r="B74" i="2"/>
  <c r="C73" i="2"/>
  <c r="B60" i="2"/>
  <c r="C59" i="2"/>
  <c r="B28" i="2"/>
  <c r="C27" i="2"/>
  <c r="C13" i="2"/>
  <c r="B14" i="2"/>
  <c r="B240" i="2" l="1"/>
  <c r="B105" i="2"/>
  <c r="C105" i="2" s="1"/>
  <c r="C104" i="2"/>
  <c r="C74" i="2"/>
  <c r="B75" i="2"/>
  <c r="B61" i="2"/>
  <c r="C60" i="2"/>
  <c r="B29" i="2"/>
  <c r="C28" i="2"/>
  <c r="C14" i="2"/>
  <c r="B15" i="2"/>
  <c r="B241" i="2" l="1"/>
  <c r="C75" i="2"/>
  <c r="B76" i="2"/>
  <c r="B62" i="2"/>
  <c r="C61" i="2"/>
  <c r="B30" i="2"/>
  <c r="C29" i="2"/>
  <c r="C15" i="2"/>
  <c r="B16" i="2"/>
  <c r="B79" i="2" l="1"/>
  <c r="C79" i="2" s="1"/>
  <c r="B77" i="2"/>
  <c r="C76" i="2"/>
  <c r="B63" i="2"/>
  <c r="C63" i="2" s="1"/>
  <c r="C62" i="2"/>
  <c r="C30" i="2"/>
  <c r="B31" i="2"/>
  <c r="C16" i="2"/>
  <c r="B17" i="2"/>
  <c r="C77" i="2" l="1"/>
  <c r="B78" i="2"/>
  <c r="B80" i="2"/>
  <c r="C80" i="2" s="1"/>
  <c r="B32" i="2"/>
  <c r="C31" i="2"/>
  <c r="C17" i="2"/>
  <c r="B18" i="2"/>
  <c r="C78" i="2" l="1"/>
  <c r="B81" i="2"/>
  <c r="B33" i="2"/>
  <c r="C32" i="2"/>
  <c r="C18" i="2"/>
  <c r="B19" i="2"/>
  <c r="B82" i="2" l="1"/>
  <c r="C81" i="2"/>
  <c r="B34" i="2"/>
  <c r="C34" i="2" s="1"/>
  <c r="C33" i="2"/>
  <c r="C19" i="2"/>
  <c r="B20" i="2"/>
  <c r="C20" i="2" s="1"/>
  <c r="C82" i="2" l="1"/>
  <c r="B83" i="2"/>
  <c r="C83" i="2" l="1"/>
  <c r="B86" i="2"/>
  <c r="C86" i="2" s="1"/>
  <c r="B84" i="2"/>
  <c r="B87" i="2" l="1"/>
  <c r="C87" i="2" s="1"/>
  <c r="B85" i="2"/>
  <c r="C84" i="2"/>
  <c r="C85" i="2" l="1"/>
  <c r="B89" i="2"/>
  <c r="B88" i="2"/>
  <c r="C88" i="2" s="1"/>
  <c r="B90" i="2" l="1"/>
  <c r="C89" i="2"/>
  <c r="C90" i="2" l="1"/>
  <c r="B91" i="2"/>
  <c r="C91" i="2" s="1"/>
</calcChain>
</file>

<file path=xl/sharedStrings.xml><?xml version="1.0" encoding="utf-8"?>
<sst xmlns="http://schemas.openxmlformats.org/spreadsheetml/2006/main" count="30537" uniqueCount="2335">
  <si>
    <t>Fed Monetary Policy Report</t>
  </si>
  <si>
    <t>USD</t>
  </si>
  <si>
    <t>Unemployment Rate</t>
  </si>
  <si>
    <t>272K</t>
  </si>
  <si>
    <t>180K</t>
  </si>
  <si>
    <t>Nonfarm Payrolls (Jun)</t>
  </si>
  <si>
    <t>Average Hourly Earnings (MoM) (Jun)</t>
  </si>
  <si>
    <t>FOMC Meeting Minutes</t>
  </si>
  <si>
    <t>3.591M</t>
  </si>
  <si>
    <t>Crude Oil Inventories</t>
  </si>
  <si>
    <t>ISM Non-Manufacturing Prices (Jun)</t>
  </si>
  <si>
    <t>ISM Non-Manufacturing PMI (Jun)</t>
  </si>
  <si>
    <t>S&amp;P Global Services PMI (Jun)</t>
  </si>
  <si>
    <t>233K</t>
  </si>
  <si>
    <t>Initial Jobless Claims</t>
  </si>
  <si>
    <t>152K</t>
  </si>
  <si>
    <t>170K</t>
  </si>
  <si>
    <t>ADP Nonfarm Employment Change (Jun)</t>
  </si>
  <si>
    <t>8.059M</t>
  </si>
  <si>
    <t>JOLTs Job Openings (May)</t>
  </si>
  <si>
    <t>Fed Chair Powell Speaks</t>
  </si>
  <si>
    <t>CPI (YoY) (Jun) P</t>
  </si>
  <si>
    <t>EUR</t>
  </si>
  <si>
    <t>ISM Manufacturing Prices (Jun)</t>
  </si>
  <si>
    <t>ISM Manufacturing PMI (Jun)</t>
  </si>
  <si>
    <t>S&amp;P Global US Manufacturing PMI (Jun)</t>
  </si>
  <si>
    <t>German CPI (MoM) (Jun) P</t>
  </si>
  <si>
    <t>Previous</t>
  </si>
  <si>
    <t>Forecast</t>
  </si>
  <si>
    <t>Actual</t>
  </si>
  <si>
    <t>Event</t>
  </si>
  <si>
    <t>Imp.</t>
  </si>
  <si>
    <t>Cur.</t>
  </si>
  <si>
    <t>Time (IST)</t>
  </si>
  <si>
    <t>Day</t>
  </si>
  <si>
    <t>Date</t>
  </si>
  <si>
    <t>Economic Calendar</t>
  </si>
  <si>
    <t>Sun</t>
  </si>
  <si>
    <t>Sat</t>
  </si>
  <si>
    <t>Fri</t>
  </si>
  <si>
    <t>Thu</t>
  </si>
  <si>
    <t>Wed</t>
  </si>
  <si>
    <t>Tue</t>
  </si>
  <si>
    <t>Mon</t>
  </si>
  <si>
    <t>http://35.246.171.209/ec.csv</t>
  </si>
  <si>
    <t>sudo systemctl restart apache2</t>
  </si>
  <si>
    <t>sudo chmod 644 /var/www/html/ec.csv</t>
  </si>
  <si>
    <t>Commands</t>
  </si>
  <si>
    <t>Fed Chair Powell Testifies</t>
  </si>
  <si>
    <t>NZD</t>
  </si>
  <si>
    <t>RBNZ Interest Rate Decision</t>
  </si>
  <si>
    <t>-12.157M</t>
  </si>
  <si>
    <t>10-Year Note Auction</t>
  </si>
  <si>
    <t>GBP</t>
  </si>
  <si>
    <t>GDP (MoM) (May)</t>
  </si>
  <si>
    <t>German CPI (MoM) (Jun)</t>
  </si>
  <si>
    <t>Core CPI (MoM) (Jun)</t>
  </si>
  <si>
    <t>CPI (YoY) (Jun)</t>
  </si>
  <si>
    <t>CPI (MoM) (Jun)</t>
  </si>
  <si>
    <t>238K</t>
  </si>
  <si>
    <t>30-YearBond Auction</t>
  </si>
  <si>
    <t>PPI (MoM) (Jun)</t>
  </si>
  <si>
    <t>sudo mv ~/ec.csv /var/www/html/</t>
  </si>
  <si>
    <t>sudo python3 generate_html3.py</t>
  </si>
  <si>
    <t>http://35.246.171.209/economic_calendar.html</t>
  </si>
  <si>
    <t>CNY</t>
  </si>
  <si>
    <t>GDP (YoY) (Q2)</t>
  </si>
  <si>
    <t>Core Retail Sales (MoM) (Jun)</t>
  </si>
  <si>
    <t>Retail Sales (MoM) (Jun)</t>
  </si>
  <si>
    <t>-3.443M</t>
  </si>
  <si>
    <t>Deposit Facility Rate (Jul)</t>
  </si>
  <si>
    <t>ECB Interest Rate Decision (Jul)</t>
  </si>
  <si>
    <t>222K</t>
  </si>
  <si>
    <t>Philadelphia Fed Manufacturing Index (Jul)</t>
  </si>
  <si>
    <t>ECB Press Conference</t>
  </si>
  <si>
    <t>Notes</t>
  </si>
  <si>
    <t>Existing Home Sales (Jun)</t>
  </si>
  <si>
    <t>4.00M</t>
  </si>
  <si>
    <t>4.11M</t>
  </si>
  <si>
    <t>Alphabet Q2 Earnings Report</t>
  </si>
  <si>
    <t>R: $84.14B | EPS 1.84 | P $23B</t>
  </si>
  <si>
    <t>After hours</t>
  </si>
  <si>
    <t>Tesla Q2 Earnings Report</t>
  </si>
  <si>
    <t>R: $24.6B | EPS $0.46 | P $1.7B</t>
  </si>
  <si>
    <t>HCOB Germany Services PMI (Jul) P</t>
  </si>
  <si>
    <t>Imp. 2 | EURCAD</t>
  </si>
  <si>
    <t xml:space="preserve">HCOB Eurozone Services PMI (Jul) P </t>
  </si>
  <si>
    <t>S&amp;P Global US Manufacturing PMI (Jul) P</t>
  </si>
  <si>
    <t>S&amp;P Global Services PMI (Jul) P</t>
  </si>
  <si>
    <t>CAD</t>
  </si>
  <si>
    <t>BoC Interest Rate Decision</t>
  </si>
  <si>
    <t>EURCAD</t>
  </si>
  <si>
    <t>New Home Sales (Jun)</t>
  </si>
  <si>
    <t>640K</t>
  </si>
  <si>
    <t>619K</t>
  </si>
  <si>
    <t>0.700M</t>
  </si>
  <si>
    <t>-4.870M</t>
  </si>
  <si>
    <t>Durable Goods Orders (MoM) (Jun)</t>
  </si>
  <si>
    <t>GDP (QoQ) (Q2) P</t>
  </si>
  <si>
    <t>243K</t>
  </si>
  <si>
    <t>Core PCE Price Index (MoM) (Jun)</t>
  </si>
  <si>
    <t>if lower-than-expected, B USD | I Copper</t>
  </si>
  <si>
    <t>Core PCE Price Index (YoY) (Jun)</t>
  </si>
  <si>
    <t>PCE Price Index (MoM) (Jun)</t>
  </si>
  <si>
    <t>PCE Price Index (YoY) (Jun)</t>
  </si>
  <si>
    <t>x</t>
  </si>
  <si>
    <t>German GDP (QoQ) (Q2) P</t>
  </si>
  <si>
    <t>-Slowdown in growth for Germany, Italy, Spain</t>
  </si>
  <si>
    <t>German CPI (MoM) (Jul) P</t>
  </si>
  <si>
    <t>CB Consumer Confidence (Jul)</t>
  </si>
  <si>
    <t>JOLTs Job Openings (Jun)</t>
  </si>
  <si>
    <t>8.140M</t>
  </si>
  <si>
    <t>AMD Earnings Report</t>
  </si>
  <si>
    <t>-Support zone***: 136/134
-Resistance Zone***: 145/148.5</t>
  </si>
  <si>
    <t>Microsoft Earnings Report</t>
  </si>
  <si>
    <t>-Support zone***: 409/406
-Resistance Zone***: 430/432</t>
  </si>
  <si>
    <t>Manufacturing PMI (Jul)</t>
  </si>
  <si>
    <t>JPY</t>
  </si>
  <si>
    <t>BoJ Interest Rate Decision</t>
  </si>
  <si>
    <t>-Forecast: Possible rate hike (30% chance)
-Reducing monthly bond purchases</t>
  </si>
  <si>
    <t>CPI (YoY) (Jul) P</t>
  </si>
  <si>
    <t>ADP Nonfarm Employment Change (Jul)</t>
  </si>
  <si>
    <t>150K</t>
  </si>
  <si>
    <t>Chicago PMI (Jul)</t>
  </si>
  <si>
    <t>-3.741M</t>
  </si>
  <si>
    <t>FOMC Statement</t>
  </si>
  <si>
    <t>-Forecast: Rate cut in Sept
-Fed Chair J. Powell may signal rate cut</t>
  </si>
  <si>
    <t>Fed Interest Rate Decision</t>
  </si>
  <si>
    <t>-Forecast: Rate cut in Sept</t>
  </si>
  <si>
    <t>FOMC Press Conference</t>
  </si>
  <si>
    <t>Meta</t>
  </si>
  <si>
    <t>-Support zone***: 459/454
-Resistance Zone***: 478/487</t>
  </si>
  <si>
    <t>ARM</t>
  </si>
  <si>
    <t>-Support zone***: 140/137
-Resistance Zone***: 164/170</t>
  </si>
  <si>
    <t>BoE Interest Rate Decision (Aug)</t>
  </si>
  <si>
    <t>-Forecast: Possible rate cut (50% chance)
-New inflation &amp; growth forecasts</t>
  </si>
  <si>
    <t>235K</t>
  </si>
  <si>
    <t>S&amp;P Global US Manufacturing PMI (Jul)</t>
  </si>
  <si>
    <t>ISM Manufacturing PMI (Jul)</t>
  </si>
  <si>
    <t>ISM Manufacturing Prices (Jul)</t>
  </si>
  <si>
    <t>Amazon</t>
  </si>
  <si>
    <t>-Support zone***: 178/174
-Resistance Zone***: 186/89</t>
  </si>
  <si>
    <t>Apple</t>
  </si>
  <si>
    <t>-Support zone***: 214/209
-Resistance Zone***: 222/226</t>
  </si>
  <si>
    <t>Intel</t>
  </si>
  <si>
    <t>-Support zone***: 30.25/29.7
-Resistance Zone***: 32.55/33.75</t>
  </si>
  <si>
    <t>Average Hourly Earnings (MoM) (Jul)</t>
  </si>
  <si>
    <t>Nonfarm Payrolls (Jul)</t>
  </si>
  <si>
    <t>185K</t>
  </si>
  <si>
    <t>206K</t>
  </si>
  <si>
    <t>Unemployment Rate (Jul)</t>
  </si>
  <si>
    <t>- Lower-than-expected PMI could indicate a weakening services sector, potentially leading to increased recession fears and rate cuts, impacting US500.</t>
  </si>
  <si>
    <t>ISM Non-Manufacturing PMI (Jul)</t>
  </si>
  <si>
    <t>- A lower PMI may lead to heightened concerns over economic slowdown, further supporting Fed rate cut expectations, impacting US500.</t>
  </si>
  <si>
    <t>ISM Non-Manufacturing Prices (Jul)</t>
  </si>
  <si>
    <t>-Changes in pricing pressure could influence inflation outlook, with higher values leading to inflation concerns, influencing Fed policy and US500.</t>
  </si>
  <si>
    <t>Lucid</t>
  </si>
  <si>
    <t>-Support Zone***: 2.92/2.75
-Reistance Zone***: 3.70/3.88</t>
  </si>
  <si>
    <t>Palantir</t>
  </si>
  <si>
    <t>-Support Zone***: 22.81/222.07
-Reistance Zone***: 26.18/26.33</t>
  </si>
  <si>
    <t>Berkshire H</t>
  </si>
  <si>
    <t>-Support Zone***: 422/416
-Reistance Zone***: 439/444
-Berkshire Hathaway’s reduced equity holdings and increased cash position may signal a bearish outlook on the economy, impacting US500.</t>
  </si>
  <si>
    <t>RBA Interest Rate Decision (Aug)</t>
  </si>
  <si>
    <t>-Holding rates steady may support AUD against USD; however, concerns over global economic slowdown may affect AUD/USD.</t>
  </si>
  <si>
    <t>-3.728M</t>
  </si>
  <si>
    <t>-1.600M</t>
  </si>
  <si>
    <t>-3.436M</t>
  </si>
  <si>
    <t>-Lower inventories could indicate supply constraints, potentially impacting oil prices and market sentiment</t>
  </si>
  <si>
    <t>- Bond yields may be influenced by increased demand for safe assets amid economic uncertainty, impacting USD and equities.</t>
  </si>
  <si>
    <t>Supermicro</t>
  </si>
  <si>
    <t>-Support Zone***: 582/569
-Reistance Zone***: 655/663</t>
  </si>
  <si>
    <t>241K</t>
  </si>
  <si>
    <t>249K</t>
  </si>
  <si>
    <t>- Higher-than-expected claims could signal labor market weakness, increasing recession fears and supporting rate cut expectations, affecting USD and AUD/USD.</t>
  </si>
  <si>
    <t>30-Year Bond Auction</t>
  </si>
  <si>
    <t>- Rising bond yields may reflect increased risk aversion and demand for safe assets amid economic concerns.</t>
  </si>
  <si>
    <t>LILY</t>
  </si>
  <si>
    <t>-Support Zone***: 789/776
-Reistance Zone***: 921/929</t>
  </si>
  <si>
    <t>German CPI (MoM) (Jul)</t>
  </si>
  <si>
    <t>- Higher inflation may lead to reduced ECB rate cuts, supporting EUR against CAD, especially if Canadian data shows economic weakness.</t>
  </si>
  <si>
    <t>Next Scheduled FOMC Meet</t>
  </si>
  <si>
    <t>Source: Bloomberg, ADSS, News Articles, Company Research. Notes as of 5PM, 5th Aug'24</t>
  </si>
  <si>
    <t xml:space="preserve"> Tue </t>
  </si>
  <si>
    <t>PPI (MoM) (Jul)</t>
  </si>
  <si>
    <t>Lower-than-expected PPI coild ease inflation concerns, supporting the case for Fed rate cuts and impacting USD negatively</t>
  </si>
  <si>
    <t xml:space="preserve"> Wed </t>
  </si>
  <si>
    <t>According to Bloomberg, there is 77% probability of a 25-basis point rate cut. Expected rate cut could lead to NZD depreciation; however a strong commitment to lowering inflation may limit losses against USD. RBNZ press conference at 8:30 am.</t>
  </si>
  <si>
    <t>CPI (YoY) (Jul)</t>
  </si>
  <si>
    <t>Lower-than-expected inflation could pressure the BoE to consider rate cuts, impacting GBP negatively and potentially boosting UK100.</t>
  </si>
  <si>
    <t>Core CPI (MoM) (Jul)</t>
  </si>
  <si>
    <t>Lower core CPI could strengthen the case for aggressive Fed rate cuts, weakening USD and impacting commodities like oil.</t>
  </si>
  <si>
    <t>Slight decrease expected; weaker inflation figures could lead to increased expectations for rate cuts, affecting USD.</t>
  </si>
  <si>
    <t>CPI (MoM) (Jul)</t>
  </si>
  <si>
    <t>Continued inventory drawdown may provide temporary support to oil prices, but broader demand concerns, especially from China, could pressure Brent.</t>
  </si>
  <si>
    <t xml:space="preserve"> Thu </t>
  </si>
  <si>
    <t>GDP (YoY) (Q2) P</t>
  </si>
  <si>
    <t>Positive GDP growth could bolster UK100, but any downside surprise may raise concerns over economic stability, impacting GBP negatively.</t>
  </si>
  <si>
    <t>GDP (MoM) (Jun) P</t>
  </si>
  <si>
    <t>Steady growth supports UK100, but volatility may arise if figures deviate significantly.</t>
  </si>
  <si>
    <t>Continued GDP growth could postively impact the UK100 index, boosting investor confidence in the British economy.</t>
  </si>
  <si>
    <t>Core Retail Sales (MoM) (Jul)</t>
  </si>
  <si>
    <t>Weaker retail could signal slowing consumer demand, increasing recession fears and supporting rate cut expectations, affecting USD.</t>
  </si>
  <si>
    <t>Stable jobless claims could maitain current economic outlook, but any significant deviation could impact Fed decisions and USD.</t>
  </si>
  <si>
    <t>Philadelphia Fed Manufacturing Index (Aug)</t>
  </si>
  <si>
    <t>Lower-than-expected manufacturing index may indicate economic slowdown, influencing Fed policy and potentially weakening USD.</t>
  </si>
  <si>
    <t>Retail Sales (MoM) (Jul)</t>
  </si>
  <si>
    <t>Retail sales growth, though modest, could support the case for maintaining current rates;  weak sales may increase rate cut expectations, affecting USD.</t>
  </si>
  <si>
    <t>-1.900M</t>
  </si>
  <si>
    <t>1.3570M</t>
  </si>
  <si>
    <t>227K</t>
  </si>
  <si>
    <t>236K</t>
  </si>
  <si>
    <t>234K</t>
  </si>
  <si>
    <t>Source: Bloomberg, ADSS, News Articles, Company Research. Notes as of 5PM, 18th Aug'24</t>
  </si>
  <si>
    <t>cd /var/www/html/</t>
  </si>
  <si>
    <t>SEK</t>
  </si>
  <si>
    <t>Riksbank Interest Rate Decision</t>
  </si>
  <si>
    <t>Markets are fully pricing in a rate cut by the Riksbank, with the primary debate centered around whether the cut will be 25 or 50 basis points.</t>
  </si>
  <si>
    <t>A lower-than-expected figure could pressure the European Central Bank (ECB) to adopt a more dovish stance, potentially weakening the Euro</t>
  </si>
  <si>
    <t>-4.649M</t>
  </si>
  <si>
    <t>-2.000M</t>
  </si>
  <si>
    <t>1.357M</t>
  </si>
  <si>
    <t>The weekly oil inventory data could influence global oil prices, especially in the context of economic growth concerns. Continued drawdowns may temporarily support prices, but broader economic trends, particularly in China, could limit gains. Investors are watching closely as energy costs remain a significant factor in the inflation outlook.</t>
  </si>
  <si>
    <t>These minutes will provide insight into the Fed’s internal discussions regarding rate cuts. Markets will be looking for signs of how aggressive the Fed might be in reducing rates, especially given the recent data on retail sales and jobless claims suggesting economic resilience. The minutes are likely to play a crucial role in setting market expectations for a potential soft landing.</t>
  </si>
  <si>
    <t>232K</t>
  </si>
  <si>
    <t>Stable jobless claims are essential for maintaining the current economic outlook. Any significant deviation could impact the Fed’s decisions and the USD. Given recent strong labor market data, markets will be sensitive to any signs of weakening, which could support the case for rate cuts and influence USDXXX pairs.</t>
  </si>
  <si>
    <t>S&amp;P Global US Manufacturing PMI (Aug) P</t>
  </si>
  <si>
    <t>The PMI figures are a key indicator of the health of the manufacturing sector. Weak numbers could suggest economic slowing, raising concerns over a potential recession. However, this could also strengthen the case for a Fed rate cut, which is generally supportive of equities, including the Nasdaq.</t>
  </si>
  <si>
    <t>S&amp;P Global Services PMI (Aug) P</t>
  </si>
  <si>
    <t>Existing Home Sales (Jul)</t>
  </si>
  <si>
    <t xml:space="preserve"> 3.95M </t>
  </si>
  <si>
    <t xml:space="preserve"> 3.92M </t>
  </si>
  <si>
    <t xml:space="preserve"> 3.89M </t>
  </si>
  <si>
    <t>The housing market data will be closely watched as an indicator of consumer confidence and economic stability. A strong report could ease concerns about a slowing economy, while weaker-than-expected numbers could add to recession fears and support the case for rate cuts.</t>
  </si>
  <si>
    <t xml:space="preserve"> Fri </t>
  </si>
  <si>
    <t xml:space="preserve">BOJ Gov. Ueda speaks </t>
  </si>
  <si>
    <t xml:space="preserve">BoJ Governor Kazuo Ueda will speak at a lower parliamentary committee from 9:30 a.m. to noon wrt July Hike. BoJ Governor Kazuo Ueda will provide insights into Japan’s economic outlook following the July rate hike. His comments could influence global markets, particularly the JPY and USDXXX pairs. </t>
  </si>
  <si>
    <t>Fed Chair Powell Speaks | Jackson Hole</t>
  </si>
  <si>
    <t>This is one of the most anticipated events of the week. Powell’s remarks will likely shape expectations for future Fed rate cuts. His comments will be crucial for understanding the Fed’s outlook on inflation, employment, and the broader economy, with significant implications for both FX and equity markets, including the Nasdaq. The focus will be on whether Powell signals a potential soft landing for the US economy.</t>
  </si>
  <si>
    <t>New Home Sales (Jul)</t>
  </si>
  <si>
    <t>739K</t>
  </si>
  <si>
    <t>628K</t>
  </si>
  <si>
    <t>617K</t>
  </si>
  <si>
    <t>Durable Goods Orders (MoM) (Jul)</t>
  </si>
  <si>
    <r>
      <t xml:space="preserve">The significant rebound in durable goos orders suggeets stabilization in business investments, which could be a positive signal for the US economy. This data reinforces expectations for a soft landing.
</t>
    </r>
    <r>
      <rPr>
        <i/>
        <sz val="9"/>
        <color theme="1"/>
        <rFont val="Verdana"/>
        <family val="2"/>
      </rPr>
      <t xml:space="preserve">If actual data is better than forecasted, it could strenghthen the USD and positively imapct NASDAQ, as it signals economic resilience. If data is worse than expected, it may weaken the USD and pressure NASDAQ, raising concerns about economic slowdown. </t>
    </r>
  </si>
  <si>
    <t>German GDP (QoQ) (Q2)</t>
  </si>
  <si>
    <r>
      <t xml:space="preserve">The slight contraction in Germany's GDP raises concerns about the broader Eurozone economy. Investors will be watching closely for signals from the ECB regarding potential rate cuts. 
</t>
    </r>
    <r>
      <rPr>
        <i/>
        <sz val="9"/>
        <color theme="1"/>
        <rFont val="Verdana"/>
        <family val="2"/>
      </rPr>
      <t xml:space="preserve">Better-than-expected GDP could support the Euro and ease concerns about a Eurozone recession, while worse-than-expected data could weaken the Euro and increase the likelihood of a soft landing through potential ECB rate cuts. </t>
    </r>
  </si>
  <si>
    <t>CB Consumer Confidence (Aug)</t>
  </si>
  <si>
    <r>
      <t xml:space="preserve">Further declines could prompt the Fed to consider more aggressive rate cuts. 
</t>
    </r>
    <r>
      <rPr>
        <i/>
        <sz val="9"/>
        <color theme="1"/>
        <rFont val="Verdana"/>
        <family val="2"/>
      </rPr>
      <t>Stronger-than-expected consumer confidence could bolster the USD and NASDAQ, supporting the soft landing narrative. If confidence falls short, it may increase expectations for larger rate cuts, potentially weakening the USD.</t>
    </r>
  </si>
  <si>
    <r>
      <t xml:space="preserve">Continued drawdowns in oil inventories could temporarily support oil prices, but broader economic trends, particularly in China, might limit gains.
</t>
    </r>
    <r>
      <rPr>
        <i/>
        <sz val="9"/>
        <color theme="1"/>
        <rFont val="Verdana"/>
        <family val="2"/>
      </rPr>
      <t xml:space="preserve">If inventories drop more than expected, oil prices might rise. Converserly, with smaller-than-expected drawdowns, oil prices might decline.   </t>
    </r>
  </si>
  <si>
    <t>NVIDIA Earnings Report (Q2)</t>
  </si>
  <si>
    <r>
      <t xml:space="preserve">NVIDIA's earnings report is critical for NASDAQ, given its influence on the tech sector. Investors are watching if NVIDIA meets or exceeds projections of $0.64 EPS &amp; $28.65 billion in revenue.
</t>
    </r>
    <r>
      <rPr>
        <i/>
        <sz val="9"/>
        <color theme="1"/>
        <rFont val="Verdana"/>
        <family val="2"/>
      </rPr>
      <t xml:space="preserve">If NVIDIA outperforms expectations, it could drive NASDAQ higer, reinforcing confidence in a soft landing. A miss could trigger a sell-off in tech stocks, potentially impacting broader market sentiment. </t>
    </r>
  </si>
  <si>
    <t>German CPI (MoM) (Aug) P</t>
  </si>
  <si>
    <r>
      <t xml:space="preserve">German CPI will influence ECB's upcoming decisions. A lower-than-expected CPI could increase the likelihood of rate cuts, impacting the Euro. </t>
    </r>
    <r>
      <rPr>
        <i/>
        <sz val="9"/>
        <color theme="1"/>
        <rFont val="Verdana"/>
        <family val="2"/>
      </rPr>
      <t xml:space="preserve">
Higher-than-expected CPI could reduce chances of ECB rate cuts, strengthening the Euro, while lower CPI would likely weaken the Euro, supporting the softlanding narrative by justfying further easing. </t>
    </r>
  </si>
  <si>
    <t>US GDP (QoQ) (Q2) P</t>
  </si>
  <si>
    <r>
      <t xml:space="preserve">The stronger-than-expected GDP growth suggests US economic resilience, reducing the urgency for aggressive rate cuts. 
</t>
    </r>
    <r>
      <rPr>
        <i/>
        <sz val="9"/>
        <color theme="1"/>
        <rFont val="Verdana"/>
        <family val="2"/>
      </rPr>
      <t>Better-than-expected GDP would likely boost the USD and NASDAQ, reinforcing the soft landing scenario. Lower-than-expected GDP might raise concerns about economic slowing, weakening the USD &amp; NASDAQ.</t>
    </r>
  </si>
  <si>
    <t xml:space="preserve">Lower-than-expected claims could strengthen the USD and NASDAQ, signaling a robust labor market supportive of a soft landing. Higher claims could weaken the USD and raise concerns about economic resilience. </t>
  </si>
  <si>
    <t>Europe CPI (YoY) (Aug) P</t>
  </si>
  <si>
    <r>
      <t xml:space="preserve">The European CPI will be a key data point for the ECB's policy decisions. </t>
    </r>
    <r>
      <rPr>
        <i/>
        <sz val="9"/>
        <color theme="1"/>
        <rFont val="Verdana"/>
        <family val="2"/>
      </rPr>
      <t xml:space="preserve">
If CPI is lower than expected, it could pressure the Euro and boost equities like ESTOX, aligning with expectations for ECB rate cuts. Higher CPI might strengthen the Euro but dampen equity markets, impacting the softlanding narrative. </t>
    </r>
  </si>
  <si>
    <t>Core PCE Price Index (YoY) (Jul)</t>
  </si>
  <si>
    <t>Core PCE Price Index (MoM) (Jul)</t>
  </si>
  <si>
    <r>
      <t xml:space="preserve">The Core PCE index is the Fed's preferred inflation measure. </t>
    </r>
    <r>
      <rPr>
        <i/>
        <sz val="9"/>
        <color theme="1"/>
        <rFont val="Verdana"/>
        <family val="2"/>
      </rPr>
      <t xml:space="preserve">
Better-than-expected PCE could reduce expectations for aggressive rate cuts, supporting the USD, potentially impacting the softlanding narrative. </t>
    </r>
  </si>
  <si>
    <t>Chicago PMI (Aug)</t>
  </si>
  <si>
    <t xml:space="preserve">The Chicago PMI will provide insights into the health of the manufacturing sector. A reading below expectations could reinforce concerns about a potential economic slowdown.
Higher-than-expected PMI could boost the USD, signalling economic resilience and supporting the softlanding narrative. Lowe PMI might weaken USD and raise recession fears. </t>
  </si>
  <si>
    <t>Manufacturing PMI (Aug)</t>
  </si>
  <si>
    <r>
      <t>China's PMI data will have global implications, particularly for commodity markets and global growth outlooks.</t>
    </r>
    <r>
      <rPr>
        <i/>
        <sz val="9"/>
        <color theme="1"/>
        <rFont val="Verdana"/>
        <family val="2"/>
      </rPr>
      <t xml:space="preserve">
Better-than-expected PMI could ease global growth concerns, positively impacting commodity prices and global equities. Lower PMI might trigger risk-off sentiment, weakening commodities and equities globally.</t>
    </r>
  </si>
  <si>
    <t>Source: Bloomberg, ADSS, News Articles, Company Research. Notes as of 25th Aug 2024</t>
  </si>
  <si>
    <t>-2.700M</t>
  </si>
  <si>
    <t>-0.846M</t>
  </si>
  <si>
    <t>231K</t>
  </si>
  <si>
    <t>http://35.222.178.176/ec20240901.csv</t>
  </si>
  <si>
    <t>CHF</t>
  </si>
  <si>
    <t>CPI (MoM) (Aug)</t>
  </si>
  <si>
    <t>Swiss inflation data plays a crucial roles in shaping the Swiss National Bank's monetary policy. Notably, the SNB was the first major central bank to initiate interest rate cuts, followed by the Canadian, European, and British central banks. This shift was driven by a decline in Swiss inflation, allowing for a more accomodative monetary stance. The previous Swiss inflaiton reading was -0.2%, so a further decline could prompt the SNB to consider current the interest rate of 1.25%, potentially boosting the performance of the Swiss stock index and strengthening of XXXCHF pairs. 
Probable impact on Assets: EURCHF | USDCHF | AUDCHF</t>
  </si>
  <si>
    <t>Stronger than expected reading supports softlanding narrative. 
A reading that is stronger than forecast is generally suppportive (bullish) for the USD while a weaker than forecast reading is generally negative (bearish) for the USD.
Probable impact on Assets: USDJPY | EURUSD</t>
  </si>
  <si>
    <t>ISM Manufacturing PMI (Aug)</t>
  </si>
  <si>
    <t>ISM Manufacturing Prices (Aug)</t>
  </si>
  <si>
    <t>Markets will monitor the BoC's interest rate decision this week. According to Bloomberg, this is expected to result in a 25-basis point cut from 4.5% to 4.25%.
The decline in Canadian inflation levels, nearing the 2% target, has led markets to anticipate a 25-basis point cut for the BoC's remaining meetings this year. 
Investors will pay close attention to the BoC press conference for further insights into Canadian Monteray Policy. Any hints from the BoC's president about the possibility of halting rate cuts before the year-end could support the Canadian dollar against other major currencies like the euro. 
Probable impact on Asset: EURCAD</t>
  </si>
  <si>
    <t>JOLTs Job Openings (Jul)</t>
  </si>
  <si>
    <t>8.000M</t>
  </si>
  <si>
    <t>8.184M</t>
  </si>
  <si>
    <t>ADP Nonfarm Employment Change (Aug)</t>
  </si>
  <si>
    <t>136K</t>
  </si>
  <si>
    <t>122K</t>
  </si>
  <si>
    <t>Weaker than expected reading supports softlanding narrative. 
A reading that is stronger than forecast is generally negative (bearish) for the USD while a weaker than forecast reading is generally supportive (bullish) for the USD.
Probable impact on Assets: USDJPY | EURUSD</t>
  </si>
  <si>
    <t>Services PMI (Aug)</t>
  </si>
  <si>
    <t>ISM Non-Manufacturing PMI (Aug)</t>
  </si>
  <si>
    <t>ISM Non-Manufacturing Prices (Aug)</t>
  </si>
  <si>
    <t>Crudel Oil Inventories</t>
  </si>
  <si>
    <t>If the increase in crude inventories is more than expected, it implies weaker demand and is bearish for crude prices. The same can be said if a decline in inventories is less than expected.
If the increase in crude is less than expectedm it implies greater demand and is bullish for crude prices. The same can be said if a decline in inventories is more than expected. 
Probable impact on Assets: USOILRoll</t>
  </si>
  <si>
    <t>Average Hourly Earnings (MoM) (Aug)</t>
  </si>
  <si>
    <t>Stronger than expected reading supports softlanding narrative. 
A reading that is stronger than forecast is generally suppportive (bullish) for the USD while a weaker than forecast reading is generally negative (bearish) for the USD.
Probable impact on Asset: US2000 | USDJPY | EURUSD</t>
  </si>
  <si>
    <t>Non Farm Payrolls (Aug)</t>
  </si>
  <si>
    <t>155K</t>
  </si>
  <si>
    <t>114K</t>
  </si>
  <si>
    <t>All eyes will be on the US jobs report for August, which will provide a snapshot of the US labour market. This comes after the July report highlighted a significant weakening in labour market strenght and a rise in unemployment, increasing concerns of a potential recession in the US and trigerring a major sell-off in the stock market.
Bloomberg forecasts that the US economy may add 155,000 jobs in the August, with unemployment levels expected to drop from 4.3% to 4.2%. Any data falling short of expectations could underscore the fragility of the US labour market, increasing the likelihood of a 50-basis point interest rate cut by the Federal Reserve, instead of the 25-basis points currently priced by markets. This could have a positive impact on US stock indices, such as the US2000.
Probable impact on Asset: US2000</t>
  </si>
  <si>
    <t>A strong report, indicating falling unemployment rate, could ease concerns about an economic slowdown and support the narrative of a soft landing.</t>
  </si>
  <si>
    <t>CPI Report</t>
  </si>
  <si>
    <t>A continued easing of inflation could give the Fed more room to implement rate cuts without stoking inflation fears, supporting the case for a soft landing.</t>
  </si>
  <si>
    <t xml:space="preserve">USD </t>
  </si>
  <si>
    <t xml:space="preserve">A continued easing of inflation could give the Fed more room to implement rate cuts without stoking inflation fears, supporting the case for a soft landing. </t>
  </si>
  <si>
    <t>Source: Bloomberg, ADSS, News Articles, Company Research. Notes as of 2nd September 2024, 8PM.</t>
  </si>
  <si>
    <t>German CPI (MoM) (Aug)</t>
  </si>
  <si>
    <t>A higher than expected reading should be taken as positive/bullish for the EUR, while a lower than expected reading should be taken as negative/bearish for the EUR. 
Historical impact on Assets: EURUSD | EURAUD</t>
  </si>
  <si>
    <t>OPEC Monthly Report</t>
  </si>
  <si>
    <t>This report delves into the prominent issues impacting the global oil market, offering an in-depth analysis of pivotal developments influencing the trajectory of global oil demand. It also showcases the trends in supply levels and the balance between them for the current and upcoming years. 
Last week, oil prices tested their lowest levels of the year. This was down to several key factors, inlcuding concerns over declining Chinese demand, an expceted increase in supply following the end of voluntary cuts by OPEC+, and easing geopolitical tensiosn with relative calm in the Middle East. As a result, it fell below the $75 per barrel mark. Any further reduction in the expected demand levels in OPEC's upcoming monthly report could negatively impact Brent cryde prices. 
Historical Impact on Assets: EURUSD | UK Oil (Brent)</t>
  </si>
  <si>
    <t>U.S presidential debate between Donald Trump and Kamala Harris</t>
  </si>
  <si>
    <t>Currency movements are influenced by the candidates’ policy positions.
Historical impact on Assets: EURUSD | USDJPY | AUDUSD</t>
  </si>
  <si>
    <t>GDP (MoM) (Jul)</t>
  </si>
  <si>
    <t>A higher than expected reading should be taken as positive/bullish for the GBP, while a lower reading should be taken as negative/bearish for the GBP
Historical impact on Assets: GBPUSD | EURGBP</t>
  </si>
  <si>
    <t>Core CPI (MoM) (Aug)</t>
  </si>
  <si>
    <t>In July, YoY inflation stabilised at 2.9% and Bloomberg expects it to decline to 2.6% in August because of falling global energy prices. Meanwhile, the MoM core inflation is expected to hold steady at 0.2%
Any higher-than-expected inflation data suggests the Federal Reserve could cut interest rates by just 25 basis points in its upcoming September meeting, providing slight support to the US dollar. On the other hand, lower-than-expected data would increase the likelihood of 50-basis point cut, potentially boosting US stock indices such as the US2000.
Historical impact on Assets: EURUSD | RUSS2000 | AUDUSD</t>
  </si>
  <si>
    <t>CPI (YoY) (Aug)</t>
  </si>
  <si>
    <t>-6.873M</t>
  </si>
  <si>
    <t>If the increase in crude inventories is more than expected, it implies weaker demand and is bearish fo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</si>
  <si>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U.S. Treasury Notes have maturities of two to ten years. Governments issue treasuries to borrow money to cover the gap between the amount they receive in taxes and the amunt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NAS100</t>
  </si>
  <si>
    <t>PPI (MoM) (Aug)</t>
  </si>
  <si>
    <t>A higher than expected reading should be taken as positive/bullish for the JPY, while a lower than expected reading should be taken as negative/bearish for the JPY. 
Historical impact on Assets: USDJPY | AUDJPY</t>
  </si>
  <si>
    <t>PPI (YoY) (Aug)</t>
  </si>
  <si>
    <t>Deposit Facility Rate (Sep)</t>
  </si>
  <si>
    <t>According to Bloomberg, the ECB is expected to cut interest rates by 25 basis points in the September Session.
Investors will also closely follow ECB President Christine Lagarde's press conference for insights into the central bank's future monetary policy direction. Any indication of expected rate cuts this year may postively impact European stock indices such as the French CAC. Conversely, any hint of a potential slowdown in the pace of rate cuts could provide support to the euro.
Historical impact on Assets: FRA40Roll, EURUSD</t>
  </si>
  <si>
    <t>ECB Interest Rate Decision (Sep)</t>
  </si>
  <si>
    <t>229K</t>
  </si>
  <si>
    <t>A higher than expected reading should be taken as negative/bearish for the USD, while a lower than expected reading should be taken as positive/bullish for the USD.
Historical impact on Assets: EURUSD | USDJPY | AUDUSD</t>
  </si>
  <si>
    <t>A higher than expected reading should be taken as positive/bullish for the USD, while a lower than expected reading should be taken as negative/bearish for the USD.
Historical impact on Assets: EURUSD | USDJPY | AUDUSD</t>
  </si>
  <si>
    <t>U.S Treasury Bonds have maturities from ten up to 30 years. Governments issue treasuries to borrow money to cover the gap between the amount they receive in taxes and the amount they spend to refinance exisiting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US30Roll</t>
  </si>
  <si>
    <t>Industrial Production (MoM) (Jul)</t>
  </si>
  <si>
    <t>U. Michigan Consumer Sentiment (Sep) P</t>
  </si>
  <si>
    <t>A higher than expected reading should be taken as positive/bullish for the USD, while a lower than expected reading should be taken as negative/bearish for the USD. 
Historical impact on Assets: EURUSD | AUDUSD | USDJPY</t>
  </si>
  <si>
    <t>-0.833M</t>
  </si>
  <si>
    <t>-0.900M</t>
  </si>
  <si>
    <t>230K</t>
  </si>
  <si>
    <t>Core Retail Sales (MoM) (Aug)</t>
  </si>
  <si>
    <t>US retail sales data for August is set for release this week, and Bloomberg expects the number to decline from July's figure of 1.0% to 0.2%. If it comes in above expectations, it could elevate inflation levels, strengthening the US dollar against other major currencies, and vice versa. At the same time, markets will also look forward to Canadian inflation data for August. Bloomberg forecasts suggest that YoY CPI will decrease from 2.5% in July to 2.1% in August, largely due to falling energy prices. The YoY Core CPI is also expected to drop slightly from 2.7% in July to 2.6% in August. Higher-than-expected readings could prompt the Bank of Canada to consider slowing its rate cuts pace, providing support for the Canadian dollar against major currencies like the US dollar.</t>
  </si>
  <si>
    <t>Retail Sales (MoM) (Aug)</t>
  </si>
  <si>
    <t>Core CPI (YoY) (Aug)</t>
  </si>
  <si>
    <t>A reading that is stronger than forecast is generally supportive (bullish) for the GBP, while a weaker than forecast reading is generally negative (bearish) for the GBP</t>
  </si>
  <si>
    <t>A reading that is stronger than forecast is generally supportive (bullish) for the EUR, while a weaker than forecast reading is generally negative (bearish) for the EUR</t>
  </si>
  <si>
    <t>-1.630M</t>
  </si>
  <si>
    <t>-0.200M</t>
  </si>
  <si>
    <t>0.833M</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</si>
  <si>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t>
  </si>
  <si>
    <t>FOMC Economic Projections</t>
  </si>
  <si>
    <t>Markets will closely watch the Federal Reserve's interest rate decision, the central bank's projections for growth, inflation, and unemployment levels for the upcoming year, as well as the Fed dot plot and the subsequent press conference by Federal Reserve Chairman Jerome Powell. The US Consumer Price Index data for August met expectations, with the headline at 2.5% and the core 3.2%. According to Bloomberg, markets anticipate the Federal Reserve will reduce interest rates by 25 basis points at its September meeting. Investors will play close attention to Chairman Powell's press conference in particular, following the rate decision to gauge the Federal Reserve's assessment of the US economy's performance and whether it is on path towards recession. The conference will also provide insights into the pace of interest rate cuts, as reflected in the Fed dot plot, and whether there may be an increase in rate cuts before the year's end. Any indication of a faster pace could negatively impact the US dollar and positively influence precious metals prices, such as silver.</t>
  </si>
  <si>
    <t>BoE Interest Rate Decision (Sep)</t>
  </si>
  <si>
    <t>Before the end of the week, traders will also focus on the Bank of England's interest rate decision. According to Bloomberg, the central bank is expected to maintain the current rate at 5.00%. Investors will pay close attention to the MPC voting split between those favouring unchanged rates and those advocating for cuts to predict the BoE's next step. Interest rates in the last meeting were notably reduced by 25 basis points with a narrow majority of five votes to four. Markets will also examine the minutes from the Bank of England's Monetary Policy Committee meeting for insights into the committee's views on the British economy and future monetary policy direction.</t>
  </si>
  <si>
    <t>219K</t>
  </si>
  <si>
    <t>A higher than expected reading should be taken as negative/bearish for the USD, while a lower than expected reading should be taken as positive/bullish for the USD.</t>
  </si>
  <si>
    <t>Philadelphia Fed Manufacturing Index (Sep)</t>
  </si>
  <si>
    <t>Existing Home Sales (Aug)</t>
  </si>
  <si>
    <t>3.86M</t>
  </si>
  <si>
    <t>3.92M</t>
  </si>
  <si>
    <t>3.96M</t>
  </si>
  <si>
    <t>As per Bloomberg, BoJ chief Kazuo Ueda is bound to get a lot of attention after the board sets policy on Friday. While economists are unanimous in predicting no change to borrowing costs, how the governor characterizes the trajectory could jolt Japan's currency, which has already spooked yen-carry traders by outperforming its peers so far this month. </t>
  </si>
  <si>
    <t>Manufacturing PMI (Sep) P</t>
  </si>
  <si>
    <t>A reading that is stronger than forecast is generally supportive (bullish) for the USD while a weaker than forecast reading is generally negative (bearish) for the USD.
Historical impact on Assets: EURUSD | USDJPY</t>
  </si>
  <si>
    <t>Services PMI (Sep) P</t>
  </si>
  <si>
    <t>A reading that is stronger than forecast is generally supportive (bullish) for the USD, while a weaker than forecast reading is generally negative (bearish) for the USD.
Historical impact on Assets: EURUSD | USDJPY</t>
  </si>
  <si>
    <t>AUD</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</si>
  <si>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The interest rate decision is followed by the press conference. 
A reading that is stronger than forecast is generally supportive (bullish) for the AUD, while a weaker than forecast reading is generally negative (bearish) for the AUD.
Historical impact on Assets: AUDUSD | AUDJPY</t>
  </si>
  <si>
    <t>RBA Rate Statement</t>
  </si>
  <si>
    <t>Investors will closely monitor the Reserve Bank of Australia's decision on interest rates, along with the monetary policy statement and press conference.
Bloomberg anticipates the RBA will maintain interest rates at 4.35%, as inflation trends in Australia are not aligning with the central bank's targets. The country's consumer price index has risen from 3.6% in Q1 to 3.8% in Q2 of this year.
Markets expect the RBA to start reducing interest rates by its December meeting, with a 55% likelihood, according to Bloomber. Investors are looking to the upcoming press conference for more insight into the future direction of monetary policy. Any indication that the central bank might join other major banks in cutting rates before the end of the year could negatively impact the Australian dollar's value against currencies like the US dollar. 
A more dovish than expected statement could be taken as negative/bearish for the AUD, while a more hawkish than expected statement could be taken as positive/bullish for the AUD.
Historical impact on Assets: AUDUSD | AUDJPY</t>
  </si>
  <si>
    <t xml:space="preserve">
A reading that is stronger than forecast is generally supportive (bullish) for the USD, while a weaker than forecast reading is generally negative (bearish) for the USD.
Historical impact on Assets: EURUSD | USDJPY</t>
  </si>
  <si>
    <t>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</si>
  <si>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A reading that is stronger than forecast is generally supportive (bullish) for the CHF, while a weaker than forecast reading is generally negative (bearish) for the CHF.
Historical impact on assets: USDCHF | SMI</t>
  </si>
  <si>
    <t>SNB Press Conference</t>
  </si>
  <si>
    <t>According to Bloomberg, the Swiss Central Bank is expected to lower interest rates by 25 basis points, from 1.25% to 1.00%, due to a decline in inflation, which remains below the 2% target. Swiss inflation dropped from 1.3% in July to 1.1% in August.
Notably, the Swiss Central Bank was among the first to initiate rate cuts this year, followed by central banks in Canada, Europe, and the UK.
Investor will pay close attention to the Swiss National Bank's press conference for further insight into the future of Swiss monetary policy. Any signals about the continuation of the current rate-cutting strategy could have a positive impact on Swiss indices, such as the SWISS (SMI) index. 
Historical impact on assets: USDCHF | SMI</t>
  </si>
  <si>
    <t>A reading that is higher than forecast is generally negative (bearish) for the USD, while a lower than forecast reading is generally supportive (bullish) for the USD.
Historical impact on Assets: EURUSD | USDJPY</t>
  </si>
  <si>
    <t xml:space="preserve">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		</t>
  </si>
  <si>
    <t>Traders will eagerly await the release of the US Personal Consumption Expenditures Index data for August, which is the Federal Reserve's preferred gauge of inflation in the US.
Bloomberg forecasts suggest the main index wull decrease annually from 2.5% in July to 2.3% in August, while the core index data on an annual basis could increase from 2.6% to 2.7%.
The Federal Reserve defied market expectations in its meeting last week by cutting US interest rates by 50 basis points instead of the anticipated 25. The Fed dot plot suggests the possibility of an additional 50 basis point cut by the end of the year. As a result, any weaker-than-expected data, particularly in core personal spending, could lead the US central bank to proceed with these cuts, potentialy boosting US stock indices, especially US500 &amp; US2000 index.
A reading that is stronger than forecast is generally supportive (bullish) for the USD, while a weaker than forecast reading is generally negative (bearish) for the USD.
Historical impact on assets: EURUSD | USDJPY | US500 | US2000</t>
  </si>
  <si>
    <t>A continued easing of inflation and robust labour market could give the Fed more room to implement rate cuts without stoking inflation fears, supporting the case for a soft landing.</t>
  </si>
  <si>
    <t>RBA Interest Rate Decision (Sep)</t>
  </si>
  <si>
    <t>CB Consumer Confidence (Sep)</t>
  </si>
  <si>
    <t>New Home Sales (Aug)</t>
  </si>
  <si>
    <t>SNB Interest Rate Decision (Q3)</t>
  </si>
  <si>
    <t>Durable Goods Orders (MoM) (Aug)</t>
  </si>
  <si>
    <t>Core PCE Price Index (MoM) (Aug)</t>
  </si>
  <si>
    <t>Core PCE Price Index (YoY) (Aug)</t>
  </si>
  <si>
    <t>700K</t>
  </si>
  <si>
    <t>716K</t>
  </si>
  <si>
    <t>-1.300M</t>
  </si>
  <si>
    <t>-4.471M</t>
  </si>
  <si>
    <t>224K</t>
  </si>
  <si>
    <t>218K</t>
  </si>
  <si>
    <t>Manufacturing PMI (Sep) (CNY)</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</si>
  <si>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 </t>
  </si>
  <si>
    <t>GDP (QoQ) (Q2) (GBP)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</si>
  <si>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GBPUSD</t>
  </si>
  <si>
    <t>GDP (YoY) (Q2) (GBP)</t>
  </si>
  <si>
    <t>German CPI (MoM) (Sep)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</si>
  <si>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</si>
  <si>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Chicago PMI (Sep)</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</si>
  <si>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</si>
  <si>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Historical impact on Assets: EURUSD | USDJPY</t>
  </si>
  <si>
    <t>CPI (YoY) (Sep)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</si>
  <si>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In August, the YoY consumer price index held steady at 2.2%, thanks to a notable drop in energy prices, while the YoY core consumer price index remained significantly above its target, at 2.8%.
It's important to highlight that markets have already priced in more than 60% chance of the ECB cutting interest rates by 25 basis points in its October meeting (according to Bloomberg). A further decline in September inflation, particularly in core CPI, could increase the likelihood of rate cuts even more, which may positively impact the European stock index, ESTOX. 
Historical impact on Assets: EURUSD | USDJPY | ESTOX</t>
  </si>
  <si>
    <t>Manufacturing PMI (Sep)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</si>
  <si>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</si>
  <si>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ISM Manufacturing PMI (Sep)</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</si>
  <si>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</si>
  <si>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ISM Manufacturing Prices (Sep)</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</si>
  <si>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</si>
  <si>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JOLTs Job Openings (Aug)</t>
  </si>
  <si>
    <t>7.640M</t>
  </si>
  <si>
    <t>7.673M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</si>
  <si>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</si>
  <si>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ADP Nonfarm Employment Change</t>
  </si>
  <si>
    <t>124K</t>
  </si>
  <si>
    <t>99K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</si>
  <si>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</si>
  <si>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4.471M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</si>
  <si>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EURUSD | USDJPY</t>
  </si>
  <si>
    <t>CPI (MoM) (Sep)</t>
  </si>
  <si>
    <t>The Swiss CPI hit its lowest level in several months, dropping from 1.3% in July to 1.1% in August (YoY). This decline led the SNB to lower interest rates at its recent meeting, reducing them from 1.25% to 1%.
A continued drop in inflation could lead markets to expect further rate cuts in upcoming SCB sessions. Notably, markets have already priced in a 95% chance of a rate cut at December meeting and over 50% for January 2025. A reduction in interest rates could negatively impact the Swiss franc against major currencies.
Historical impact on Assets: USDCHF | CHFJPY</t>
  </si>
  <si>
    <t>221K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</si>
  <si>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</si>
  <si>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Services PMI (Sep)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</si>
  <si>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</si>
  <si>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ISM Non-Manufacturing PMI (Sep)</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</si>
  <si>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According to Bloomberg, expectations suggest the index may hold steady at 51.5. Any reading below expectations could signal a weakening services sector, potentially reducing inflation, especially core inflation, in the US. This may open the door for further US rate cuts, which could negatively impact the US dollar against major currencies.
Historical impact on Assets: EURUSD | USDJPY | USDCHF</t>
  </si>
  <si>
    <t>ISM Non-Manufacturing Prices (Sep)</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</si>
  <si>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</si>
  <si>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Average Hourly Earnings (MoM) (Sep)</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</si>
  <si>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Historical impact on Assets: EURUSD | USDJPY</t>
  </si>
  <si>
    <t>Nonfarm Payroll</t>
  </si>
  <si>
    <t>144K</t>
  </si>
  <si>
    <t>142K</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</si>
  <si>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Bloomberg projects the US economy will have added 120,000 jobs in September, slighlty above the 118,000 added in August, while unemployment rate is expected to remain steady at 4.2%.
The US jobs report has attracted increased investor attention, especially after July's report revealed notable weakness in the labour market, sparking recession concerns and triggering a sharp stock market sell-off. However, markets soon recovered as the immediate risk of recession was reassessed.
As such, labour market data will be closely watched, and any underperformance could reignite fears of recession, potentially pushing the Federal Reserve to accelerate its rate cuts. This could weaken the US dollar and boost appeal of precious metals like silver.
It's also noting that markets have priced in a total rate cut of around 75 basis points by the end of the year, which according to Bloomberg, leaves room for a 50 basis point cut at one of the remaining meetings this year. 
Historical impact on Assets: EURUSD | USDJPY | XAGUSD</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</si>
  <si>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Historical impact on Assets: EURUSD | USDJPY</t>
  </si>
  <si>
    <t>Source: Bloomberg, ADSS, News Articles, Company Research. Notes as of 29th September 2024, 6PM.</t>
  </si>
  <si>
    <t>X</t>
  </si>
  <si>
    <t>IST Time</t>
  </si>
  <si>
    <t>MT5 server time</t>
  </si>
  <si>
    <t>Actual:</t>
  </si>
  <si>
    <t>Forecast:</t>
  </si>
  <si>
    <t>Previous:</t>
  </si>
  <si>
    <t>Time (GMT):</t>
  </si>
  <si>
    <t>Release Date</t>
  </si>
  <si>
    <t>Aug. 31, 2024</t>
  </si>
  <si>
    <t>49.5 </t>
  </si>
  <si>
    <t>Jul. 31, 2024</t>
  </si>
  <si>
    <t>49.4 </t>
  </si>
  <si>
    <t>Jun. 30, 2024</t>
  </si>
  <si>
    <t>May 31, 2024</t>
  </si>
  <si>
    <t>50.5 </t>
  </si>
  <si>
    <t>Apr. 30, 2024</t>
  </si>
  <si>
    <t>50.3 </t>
  </si>
  <si>
    <t>Mar. 31, 2024</t>
  </si>
  <si>
    <t>50.1 </t>
  </si>
  <si>
    <t>Aug. 15, 2024  </t>
  </si>
  <si>
    <t>0.6% </t>
  </si>
  <si>
    <t>Jun. 28, 2024</t>
  </si>
  <si>
    <t>May 10, 2024  </t>
  </si>
  <si>
    <t>0.4% </t>
  </si>
  <si>
    <t>Mar. 28, 2024</t>
  </si>
  <si>
    <t>-0.3% </t>
  </si>
  <si>
    <t>Feb. 15, 2024  </t>
  </si>
  <si>
    <t>-0.1% </t>
  </si>
  <si>
    <t>Dec. 22, 2023</t>
  </si>
  <si>
    <t>0.0% </t>
  </si>
  <si>
    <t>0.9% </t>
  </si>
  <si>
    <t>0.2% </t>
  </si>
  <si>
    <t>-0.2% </t>
  </si>
  <si>
    <t>0.1% </t>
  </si>
  <si>
    <t>German CPI (MoM) (Sep) P</t>
  </si>
  <si>
    <t>Sep. 10, 2024</t>
  </si>
  <si>
    <t>Aug. 29, 2024  </t>
  </si>
  <si>
    <t>Aug. 09, 2024</t>
  </si>
  <si>
    <t>0.3% </t>
  </si>
  <si>
    <t>Jul. 30, 2024  </t>
  </si>
  <si>
    <t>Jul. 11, 2024</t>
  </si>
  <si>
    <t>Jul. 01, 2024  </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</si>
  <si>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</si>
  <si>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Aug. 30, 2024</t>
  </si>
  <si>
    <t>45.0 </t>
  </si>
  <si>
    <t>44.8 </t>
  </si>
  <si>
    <t>39.7 </t>
  </si>
  <si>
    <t>41.1 </t>
  </si>
  <si>
    <t>44.9 </t>
  </si>
  <si>
    <t>45.9 </t>
  </si>
  <si>
    <t>Sep. 26, 2024</t>
  </si>
  <si>
    <t>Aug. 23, 2024</t>
  </si>
  <si>
    <t>Jul. 15, 2024</t>
  </si>
  <si>
    <t>Jul. 02, 2024</t>
  </si>
  <si>
    <t>May 19, 2024</t>
  </si>
  <si>
    <t>May 14, 2024</t>
  </si>
  <si>
    <t>CPI (YoY) (Sep)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</si>
  <si>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USDJPY</t>
  </si>
  <si>
    <t>Time (GMT):real</t>
  </si>
  <si>
    <t>Release Datetain</t>
  </si>
  <si>
    <t>Sep. 18, 2024</t>
  </si>
  <si>
    <t>2.2% </t>
  </si>
  <si>
    <t>Aug. 30, 2024  </t>
  </si>
  <si>
    <t>Aug. 20, 2024</t>
  </si>
  <si>
    <t>2.6% </t>
  </si>
  <si>
    <t>Jul. 31, 2024  </t>
  </si>
  <si>
    <t>2.5% </t>
  </si>
  <si>
    <t>Jul. 17, 2024</t>
  </si>
  <si>
    <t>Jul. 02, 2024  </t>
  </si>
  <si>
    <t>Manufacturing PMI (Sep) (USD)</t>
  </si>
  <si>
    <t>Sep. 23, 2024  </t>
  </si>
  <si>
    <t>48.6 </t>
  </si>
  <si>
    <t>Sep. 03, 2024</t>
  </si>
  <si>
    <t>48.0 </t>
  </si>
  <si>
    <t>Aug. 22, 2024  </t>
  </si>
  <si>
    <t>Aug. 01, 2024</t>
  </si>
  <si>
    <t>Jul. 24, 2024  </t>
  </si>
  <si>
    <t>51.7 </t>
  </si>
  <si>
    <t>Jul. 01, 2024</t>
  </si>
  <si>
    <t>ISM Manufacturing PMI (Sep) (USD)</t>
  </si>
  <si>
    <t>47.5 </t>
  </si>
  <si>
    <t>48.8 </t>
  </si>
  <si>
    <t>49.2 </t>
  </si>
  <si>
    <t>Jun. 03, 2024</t>
  </si>
  <si>
    <t>49.8 </t>
  </si>
  <si>
    <t>May 01, 2024</t>
  </si>
  <si>
    <t>50.0 </t>
  </si>
  <si>
    <t>Apr. 01, 2024</t>
  </si>
  <si>
    <t>48.5 </t>
  </si>
  <si>
    <t>ISM Manufacturing Prices (Sep) (USD)</t>
  </si>
  <si>
    <t>52.1 </t>
  </si>
  <si>
    <t>51.9 </t>
  </si>
  <si>
    <t>55.8 </t>
  </si>
  <si>
    <t>60.0 </t>
  </si>
  <si>
    <t>55.5 </t>
  </si>
  <si>
    <t>53.3 </t>
  </si>
  <si>
    <t>JOLTS Job Openings (Aug) (USD)</t>
  </si>
  <si>
    <t>Sep. 04, 2024</t>
  </si>
  <si>
    <t>8.090M </t>
  </si>
  <si>
    <t>7.910M</t>
  </si>
  <si>
    <t>Jul. 30, 2024</t>
  </si>
  <si>
    <t>8.020M </t>
  </si>
  <si>
    <t>8.230M</t>
  </si>
  <si>
    <t>7.960M </t>
  </si>
  <si>
    <t>7.919M</t>
  </si>
  <si>
    <t>Jun. 04, 2024</t>
  </si>
  <si>
    <t>8.370M </t>
  </si>
  <si>
    <t>8.355M</t>
  </si>
  <si>
    <t>8.488M</t>
  </si>
  <si>
    <t>8.680M </t>
  </si>
  <si>
    <t>8.813M</t>
  </si>
  <si>
    <t>Apr. 02, 2024</t>
  </si>
  <si>
    <t>8.756M</t>
  </si>
  <si>
    <t>8.760M </t>
  </si>
  <si>
    <t>8.748M</t>
  </si>
  <si>
    <t>ADP Nonfarm Employment Change (Sep) (USD)</t>
  </si>
  <si>
    <t>Sep. 05, 2024</t>
  </si>
  <si>
    <t>144K </t>
  </si>
  <si>
    <t>111K</t>
  </si>
  <si>
    <t>147K </t>
  </si>
  <si>
    <t>Jul. 03, 2024</t>
  </si>
  <si>
    <t>163K </t>
  </si>
  <si>
    <t>157K</t>
  </si>
  <si>
    <t>Jun. 05, 2024</t>
  </si>
  <si>
    <t>173K </t>
  </si>
  <si>
    <t>188K</t>
  </si>
  <si>
    <t>192K</t>
  </si>
  <si>
    <t>179K </t>
  </si>
  <si>
    <t>208K</t>
  </si>
  <si>
    <t>Apr. 03, 2024</t>
  </si>
  <si>
    <t>184K</t>
  </si>
  <si>
    <t>148K </t>
  </si>
  <si>
    <t>Crude Oil Inventories (USD)</t>
  </si>
  <si>
    <t>[]</t>
  </si>
  <si>
    <t>Sep. 25, 2024</t>
  </si>
  <si>
    <t>-1.300M </t>
  </si>
  <si>
    <t>-0.200M </t>
  </si>
  <si>
    <t>Sep. 11, 2024</t>
  </si>
  <si>
    <t>0.900M </t>
  </si>
  <si>
    <t>-0.600M </t>
  </si>
  <si>
    <t>Aug. 28, 2024</t>
  </si>
  <si>
    <t>-2.700M </t>
  </si>
  <si>
    <t>Aug. 21, 2024</t>
  </si>
  <si>
    <t>-2.000M </t>
  </si>
  <si>
    <t>Initial Jobless Claims (USD)</t>
  </si>
  <si>
    <t>224K </t>
  </si>
  <si>
    <t>Sep. 19, 2024</t>
  </si>
  <si>
    <t>230K </t>
  </si>
  <si>
    <t>Sep. 12, 2024</t>
  </si>
  <si>
    <t>227K </t>
  </si>
  <si>
    <t>228K</t>
  </si>
  <si>
    <t>231K </t>
  </si>
  <si>
    <t>Aug. 29, 2024</t>
  </si>
  <si>
    <t>232K </t>
  </si>
  <si>
    <t>Aug. 22, 2024</t>
  </si>
  <si>
    <t>Services PMI (Sep) (USD)</t>
  </si>
  <si>
    <t>55.3 </t>
  </si>
  <si>
    <t>55.2 </t>
  </si>
  <si>
    <t>54.0 </t>
  </si>
  <si>
    <t>Aug. 05, 2024</t>
  </si>
  <si>
    <t>56.0 </t>
  </si>
  <si>
    <t>54.7 </t>
  </si>
  <si>
    <t>55.1 </t>
  </si>
  <si>
    <t>ISM Non-Manfucturing PMI (Sep) (USD)</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</si>
  <si>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</si>
  <si>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51.3 </t>
  </si>
  <si>
    <t>51.4 </t>
  </si>
  <si>
    <t>52.6 </t>
  </si>
  <si>
    <t>51.0 </t>
  </si>
  <si>
    <t>May 03, 2024</t>
  </si>
  <si>
    <t>52.0 </t>
  </si>
  <si>
    <t>52.8 </t>
  </si>
  <si>
    <t>ISM Non-Manfucturing Prices (Sep) (USD)</t>
  </si>
  <si>
    <t>56.7 </t>
  </si>
  <si>
    <t>59.0 </t>
  </si>
  <si>
    <t>55.0 </t>
  </si>
  <si>
    <t>58.4 </t>
  </si>
  <si>
    <t>Average Hourly Earnings (MoM) (Sep) (USD)</t>
  </si>
  <si>
    <t>Sep. 06, 2024</t>
  </si>
  <si>
    <t>Aug. 02, 2024</t>
  </si>
  <si>
    <t>Jul. 05, 2024</t>
  </si>
  <si>
    <t>Jun. 07, 2024</t>
  </si>
  <si>
    <t>Apr. 05, 2024</t>
  </si>
  <si>
    <t>Nonfarm Payrolls (Sep) (USD)</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</si>
  <si>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Historical impact on Assets: EURUSD | USDJPY</t>
  </si>
  <si>
    <t>164K </t>
  </si>
  <si>
    <t>89K</t>
  </si>
  <si>
    <t>176K </t>
  </si>
  <si>
    <t>179K</t>
  </si>
  <si>
    <t>191K </t>
  </si>
  <si>
    <t>182K </t>
  </si>
  <si>
    <t>165K</t>
  </si>
  <si>
    <t>175K</t>
  </si>
  <si>
    <t>238K </t>
  </si>
  <si>
    <t>315K</t>
  </si>
  <si>
    <t>303K</t>
  </si>
  <si>
    <t>212K </t>
  </si>
  <si>
    <t>270K</t>
  </si>
  <si>
    <t>Unemployment Rate (Sep)</t>
  </si>
  <si>
    <t>4.2% </t>
  </si>
  <si>
    <t>4.1% </t>
  </si>
  <si>
    <t>4.0% </t>
  </si>
  <si>
    <t>3.9% </t>
  </si>
  <si>
    <t>3.8% </t>
  </si>
  <si>
    <t>Description</t>
  </si>
  <si>
    <t>8.040M</t>
  </si>
  <si>
    <t>143K</t>
  </si>
  <si>
    <t>-1.500M</t>
  </si>
  <si>
    <t>3.889M</t>
  </si>
  <si>
    <t>225K</t>
  </si>
  <si>
    <t>159k</t>
  </si>
  <si>
    <t>147K</t>
  </si>
  <si>
    <t>254K</t>
  </si>
  <si>
    <t xml:space="preserve">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Historical impact on Assets: AUDNZD | USDNZD </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</si>
  <si>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</si>
  <si>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10-Year Auction Note</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</si>
  <si>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</si>
  <si>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t>
  </si>
  <si>
    <t>Core CPI (MoM) (Sep)</t>
  </si>
  <si>
    <t xml:space="preserve">
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t>
  </si>
  <si>
    <t>CPI (YoY) (Sep)</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</si>
  <si>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t>
  </si>
  <si>
    <t>B</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</si>
  <si>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t>
  </si>
  <si>
    <t>GDP (MoM) (Aug)</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</si>
  <si>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GBPUSD</t>
  </si>
  <si>
    <t>PPI (MoM) (Sep)</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</si>
  <si>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t>
  </si>
  <si>
    <t>  Michigan 1-Year Inflation Expectations</t>
  </si>
  <si>
    <t>University of Michigan (UoM) Inflation Expectations measures the percentage that consumers expect the price of goods and services to change during the next 12 months. There are two versions of this data released two weeks apart,Preliminary and Revised. The preliminary release is the earliest so tends to have more impact.
A higher than expected reading should be taken as positive/bullish for the USD, while a lower than expected reading should be taken as negative/bearish for the USD.</t>
  </si>
  <si>
    <t>  Michigan 5-Year Inflation Expectations</t>
  </si>
  <si>
    <t xml:space="preserve">
The University of Michigan Inflation Expectations survey of consumers presents the median expected price changes for the next 5 years.
A reading that is stronger than forecast is generally supportive (bullish) for the USD, while a weaker than forecast reading is generally negative (bearish) for the USD.</t>
  </si>
  <si>
    <t xml:space="preserve">  Michigan Consumer Expectations</t>
  </si>
  <si>
    <t>The Michigan sentiment index includes two major components, a "current conditions" component and an "expectations" component. The current conditions component index is based on the answers to two standard questions and the expectations component index is based on three standard questions. This number is the expectations part of the overall index. A higher than expected number should be taken as positive to the USD, while a lower than expected number as negative. This is the final number.</t>
  </si>
  <si>
    <t xml:space="preserve">  Michigan Consumer Sentiment</t>
  </si>
  <si>
    <t>The University of Michigan Consumer Sentiment Index is composed of survey results comparing the relative level of both current and future economic conditions. There are two versions of this data released two weeks apart, preliminary and revised. The preliminary data tends to have a greater impact as it is more timely. The reading is compiled from a survey of around 500 consumers.
A reading that is stronger than forecast is generally supportive (bullish) for the USD, while a weaker than forecast reading is generally negative (bearish) for the USD.</t>
  </si>
  <si>
    <t>2.7% </t>
  </si>
  <si>
    <t>2.8% </t>
  </si>
  <si>
    <t>2.9% </t>
  </si>
  <si>
    <t>3.1% </t>
  </si>
  <si>
    <t>3.0% </t>
  </si>
  <si>
    <t>73.0 </t>
  </si>
  <si>
    <t>71.0 </t>
  </si>
  <si>
    <t>72.1 </t>
  </si>
  <si>
    <t>68.5 </t>
  </si>
  <si>
    <t>67.2 </t>
  </si>
  <si>
    <t>69.8 </t>
  </si>
  <si>
    <t>2.000M</t>
  </si>
  <si>
    <t>5.810M</t>
  </si>
  <si>
    <t>258K</t>
  </si>
  <si>
    <t>Source: Bloomberg, ADSS, News Articles, Company Research. Notes as of 5th October 2024, 8 PM.</t>
  </si>
  <si>
    <t>Investors will follow the release of OPEC's monthly report this week.
This essential report explores the major factors affecting the global oil market, providing an in-depth analysis of key developments influencing global oil demand supply, and price stability for the current and upcoming year.
It's worth noting that oil prices corrected higher by the end of September and then rallied since the beginning of October - recouping some of its previous losses due to renewed geopolitical tensions in the Middle East. However, in the absence of further escalations, prices may fall once more with the return of Libyan oil to the market and the lack of signs of increased Chinese oil demand.
If the OPEC report suggests a potential rise in demand, it could lend support to oil prices, which struggle to remain above the $80 per barrel threshold.
Historical impact on Assets: USOILX4</t>
  </si>
  <si>
    <t>CPI (YoY) (Q3) (NZD)</t>
  </si>
  <si>
    <t>The New Zealand Consumer Price Index dropped from 4% in Q1 of 2024 to 3.3% in Q2 of the same year, prompting the Reserve Bank of New Zealand to lower interest rates by 50 basis points at its last meeting (bringing rates down from 5.25% to 4.75%)
With inflation likely to continue falling, Bloomberg reports that markets have already priced in a 50 basis point rate cut by the New Zealand Central Bank at its November meeting, with an additional 50 basis point cut expected in February next year, with a probability of up to 90%.
If inflation rises or remains stable around 3%, the Reserve Bank of New Zealand may slow the pace of rate cuts, which could strengthen the New Zealand dollar against other major currencies.
Historical impact on Assets: NZDJPY | GBPZND</t>
  </si>
  <si>
    <t>CPI (YoY) (Sep) (GBP)</t>
  </si>
  <si>
    <t>In the UK, YoY CPI held steady in August at 2.2%, while core CPI (excluding food and energy) increased from 3.3% in July to 3.6% in August. As a result, markets expect the Bank of England to cut rates, but more cautiously than its counterparts. Bloomberg suggests that a 25-basis point cut is priced in with over 90% certainity for the November meeting, but only 50% certainity for December. If core inflation remains stable or proves difficult to lower in the September report, investors may delay pricing in a full December rate cut until further data is available, which could strengthen the pound against currencies like the New Zealand dollar. 
Historical impact on Assets: GBPJPY | GBPNZD</t>
  </si>
  <si>
    <t>CPI (YoY) (Sep)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</si>
  <si>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</si>
  <si>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Deposit Facility Rate (Oct)</t>
  </si>
  <si>
    <t>ECB Interest Rate Decision (Oct)</t>
  </si>
  <si>
    <t>Bloomberg anticipates the ECB will lower interest rates by 25 basis points at its upcoming meeting, driven by a significant drop in overall inflation, which has reached its lowest level since April 2021. The consumer price index fell from 2.2% in August to 1.8% in September. 
Bloomberg also reports that markets have priced in a 25-basis point rate cut at the November meeting with about 95% certainity and similar cut in December with over 100% certainty. Any signal from the ECM president suggesting the continuation of this pace into next year could lead investors to expect further cuts, potentially weakening the euro while boosting European stocks like ESTOX
Historical impact on Assets: EURJPY | ESTOX</t>
  </si>
  <si>
    <t>Core Retail Sales (MoM) (Sep)</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</si>
  <si>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t>
  </si>
  <si>
    <t>260K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</si>
  <si>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</si>
  <si>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Philadelphia Fed Manufacturing Index (Oct)</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</si>
  <si>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t>
  </si>
  <si>
    <t>Retail Sales (MoM) (Sep)</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</si>
  <si>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</si>
  <si>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Historical impact on Assets: EURJPY</t>
  </si>
  <si>
    <t>-2.191M</t>
  </si>
  <si>
    <t>1.800M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</si>
  <si>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USOILX4</t>
  </si>
  <si>
    <t>GDP (YoY) (Q3)</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</si>
  <si>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USDCNY</t>
  </si>
  <si>
    <t>Source: Bloomberg, ADSS, News Articles, Company Research. Notes as of 13th October 2024, 8 PM.</t>
  </si>
  <si>
    <t>The Bank of Canada (BOC) is expected to cut rates by 50bps as price pressures ease.
Headline inflation declined more than expected to 1.6% last month. This combined with signs of a slowing economy, has convinced market participants that the BoC will go for a bigger 50bps cut next week. A reminder that the BoC has already cut rates by a cumulative 75bps since early June.
USDCAD has risen given this relative widening in rate cut expectations, with the pair trading up to 1.3800 from 1.3415 in early October.
Traders can expect significant volatility around and post the BoC release next Wednesday. 
Historical impact on Assets: USDCAD | CADJPY</t>
  </si>
  <si>
    <t>Existing Home Sales (Sep)</t>
  </si>
  <si>
    <t>3.88M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</si>
  <si>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t>
  </si>
  <si>
    <t>Tesla Earnings</t>
  </si>
  <si>
    <t>Earnings result declaration after market close</t>
  </si>
  <si>
    <t>Composite PMI (Oct) P</t>
  </si>
  <si>
    <t>Sterling pairs have seen several weeks of weakness following Fed's 50bps cut in September where GBPUSD traded a high of 1.3433_x000B__x000B_We have seen a slew of robust US data releases including strong payrolls and higher-than-expected CPI casting doubts on the aggressive price cuts priced in for the next 12 months._x000B_In addition to stronger US data, UK rate cut expectations have ramped up with interest rate futures showing a 90% chance of two BOE 25bps cuts by year-end._x000B__x000B_This week has seen GBPUSD test key support around 1.2990, which has been held for now. On Friday we again dropped below 1.30 before stronger-than-expected retail sales which gave GBPUSD a boost and traded up to a high of 1.3070</t>
  </si>
  <si>
    <t>Manufacturing PMI (Oct)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</si>
  <si>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</si>
  <si>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Services PMI (Oct)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</si>
  <si>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t>
  </si>
  <si>
    <t>New Home Sales (Sep)</t>
  </si>
  <si>
    <t>717K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</si>
  <si>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t>
  </si>
  <si>
    <t>Durable Goods Orders (MoM) (Sep)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</si>
  <si>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t>
  </si>
  <si>
    <t>Source: Bloomberg, ADSS, News Articles, Company Research. Notes as of 20th October 2024, 8 PM.</t>
  </si>
  <si>
    <t>4.25% </t>
  </si>
  <si>
    <t>Jul. 24, 2024</t>
  </si>
  <si>
    <t>4.50% </t>
  </si>
  <si>
    <t>4.75% </t>
  </si>
  <si>
    <t>Apr. 10, 2024</t>
  </si>
  <si>
    <t>5.00% </t>
  </si>
  <si>
    <t>Mar. 06, 2024</t>
  </si>
  <si>
    <t>Jan. 24, 2024</t>
  </si>
  <si>
    <t>1.800M </t>
  </si>
  <si>
    <t>2.000M </t>
  </si>
  <si>
    <t>-1.500M </t>
  </si>
  <si>
    <t>222K </t>
  </si>
  <si>
    <t>3.92M </t>
  </si>
  <si>
    <t>3.95M</t>
  </si>
  <si>
    <t>3.94M </t>
  </si>
  <si>
    <t>3.90M</t>
  </si>
  <si>
    <t>Jul. 23, 2024</t>
  </si>
  <si>
    <t>3.89M</t>
  </si>
  <si>
    <t>3.99M </t>
  </si>
  <si>
    <t>Jun. 21, 2024</t>
  </si>
  <si>
    <t>4.08M </t>
  </si>
  <si>
    <t>4.14M</t>
  </si>
  <si>
    <t>May 22, 2024</t>
  </si>
  <si>
    <t>4.21M </t>
  </si>
  <si>
    <t>4.22M</t>
  </si>
  <si>
    <t>Apr. 18, 2024</t>
  </si>
  <si>
    <t>4.19M</t>
  </si>
  <si>
    <t>4.20M </t>
  </si>
  <si>
    <t>4.38M</t>
  </si>
  <si>
    <t>Oct. 03, 2024</t>
  </si>
  <si>
    <t>52.9 </t>
  </si>
  <si>
    <t>  </t>
  </si>
  <si>
    <t>53.4 </t>
  </si>
  <si>
    <t>52.7 </t>
  </si>
  <si>
    <t>Oct. 01, 2024</t>
  </si>
  <si>
    <t>47.0 </t>
  </si>
  <si>
    <t>55.4 </t>
  </si>
  <si>
    <t>699K </t>
  </si>
  <si>
    <t>751K</t>
  </si>
  <si>
    <t>624K </t>
  </si>
  <si>
    <t>668K</t>
  </si>
  <si>
    <t>639K </t>
  </si>
  <si>
    <t>621K</t>
  </si>
  <si>
    <t>Jun. 26, 2024</t>
  </si>
  <si>
    <t>636K </t>
  </si>
  <si>
    <t>698K</t>
  </si>
  <si>
    <t>May 23, 2024</t>
  </si>
  <si>
    <t>634K</t>
  </si>
  <si>
    <t>677K </t>
  </si>
  <si>
    <t>665K</t>
  </si>
  <si>
    <t>Apr. 23, 2024</t>
  </si>
  <si>
    <t>693K</t>
  </si>
  <si>
    <t>668K </t>
  </si>
  <si>
    <t>637K</t>
  </si>
  <si>
    <t>Sep. 26, 2024  </t>
  </si>
  <si>
    <t>-2.8% </t>
  </si>
  <si>
    <t>Aug. 26, 2024</t>
  </si>
  <si>
    <t>Jul. 25, 2024</t>
  </si>
  <si>
    <t>Jun. 27, 2024</t>
  </si>
  <si>
    <t>-0.5% </t>
  </si>
  <si>
    <t>May 24, 2024</t>
  </si>
  <si>
    <t>-0.9% </t>
  </si>
  <si>
    <t>Apr. 24, 2024</t>
  </si>
  <si>
    <t>Tokyo Core CPI (YoY)</t>
  </si>
  <si>
    <t>1.7% </t>
  </si>
  <si>
    <t>2.0% </t>
  </si>
  <si>
    <t>1.9% </t>
  </si>
  <si>
    <t>Asset</t>
  </si>
  <si>
    <t>C:USDCAD</t>
  </si>
  <si>
    <t>USDCAD.sd</t>
  </si>
  <si>
    <t>Time</t>
  </si>
  <si>
    <t>C:USDJPY</t>
  </si>
  <si>
    <t>USDJPY.sd</t>
  </si>
  <si>
    <t>USOILRoll</t>
  </si>
  <si>
    <t>TESLA</t>
  </si>
  <si>
    <t>C:GBPUSD</t>
  </si>
  <si>
    <t>GBPUSD.sd</t>
  </si>
  <si>
    <t>Investment</t>
  </si>
  <si>
    <t>Size</t>
  </si>
  <si>
    <t>atr</t>
  </si>
  <si>
    <t>spread</t>
  </si>
  <si>
    <t>factor</t>
  </si>
  <si>
    <t>VU</t>
  </si>
  <si>
    <t>sl</t>
  </si>
  <si>
    <t>margin</t>
  </si>
  <si>
    <t>RRR</t>
  </si>
  <si>
    <t>R</t>
  </si>
  <si>
    <t>on chart</t>
  </si>
  <si>
    <t>Hist 1</t>
  </si>
  <si>
    <t>Hist 2</t>
  </si>
  <si>
    <t>Placement</t>
  </si>
  <si>
    <t>P</t>
  </si>
  <si>
    <t>$ Strengthens due to differentials</t>
  </si>
  <si>
    <t>Final</t>
  </si>
  <si>
    <t>CB Consumer Confidence (Oct)</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</si>
  <si>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t>
  </si>
  <si>
    <t>JOLTs Job Openings (Sep)</t>
  </si>
  <si>
    <t>7.920M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</si>
  <si>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USDJPY</t>
  </si>
  <si>
    <t>Alphabet Earnings Report</t>
  </si>
  <si>
    <t>Earning report scheduled to be released post market close.</t>
  </si>
  <si>
    <t>CPI (YoY) (Q3) (AUD)</t>
  </si>
  <si>
    <t>Investors are closely monitoring the release of Australia's CPI data for Q3.
During the 2nd quarter, Australian inflation rose to 3.8%, leading markets to dismiss the likelihood the Reserve Bank of Australia would cut interest rates in Q3. As a result, the Australian dollar strengthened, gaining around 2.6% against the euro and 3.6% against the US dollar.
Bloomberg reports that inflation is projected to drop to 3.5% in Q3, which remains above the 2% target. A larger-than-expected decline could prompt Australian policymakers to consider interest rate cuts, potentially weakening the Australian dollar against other major currencies.
Historical impact on Assets: EURAUD | AUDUSD | AUDJPY</t>
  </si>
  <si>
    <t>German GDP (QoQ) (Q3)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</si>
  <si>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t>
  </si>
  <si>
    <t>GDP (YoY) (EUR)</t>
  </si>
  <si>
    <t>Traders await the preliminary Q3 European GDP data on the same day. The European economy grew by 0.6% in Q2. If growth falls short of this figure, it could reinforce market expectations that the European Central Bank may need to stimulate the economy further through rate cuts, potentially weighing on the euro's value against currencues like the Australian dollar.
Historical impact on Assets: EURJPY | EURAUD | EURUSD</t>
  </si>
  <si>
    <t>Autumn Forecast Statement</t>
  </si>
  <si>
    <t>The Autumn Statement of the British Government, also known as the "mini-budget", is one of the two statements HM Treasury makes each year to Parliament upon publication of economic forecasts. It usually involves speeches in the House of Commons by the Chancellor of the Exchequer.
Historical impact on Assets: GBPJPY</t>
  </si>
  <si>
    <t>ADP Nonfarm Employment Change (Oct)</t>
  </si>
  <si>
    <t>101K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</si>
  <si>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USDJPY</t>
  </si>
  <si>
    <t>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</si>
  <si>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t>
  </si>
  <si>
    <t>German CPI (MoM) (Oct)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</si>
  <si>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</si>
  <si>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5.474M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</si>
  <si>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</si>
  <si>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Meta Earnings Report</t>
  </si>
  <si>
    <t>Manufacturing PMI (Oct) (CNY)</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</si>
  <si>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USDCNY</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</si>
  <si>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t>
  </si>
  <si>
    <t>CPI (YoY) (Oct) P (EUR)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</si>
  <si>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t>
  </si>
  <si>
    <t>Core PCE Price Index (YoY) (Sep)</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</si>
  <si>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t>
  </si>
  <si>
    <t>Core PCE Price Index (MoM) (Sep)</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</si>
  <si>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</si>
  <si>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</si>
  <si>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Chicago PMI (Oct)</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</si>
  <si>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t>
  </si>
  <si>
    <t>Amazon earnings report</t>
  </si>
  <si>
    <t>Earnings report scheduled to be released post market close.</t>
  </si>
  <si>
    <t>Apple earnings report</t>
  </si>
  <si>
    <t>The markets will closely watch the release of Apple's Q4 earnings report.
The report may highlight Apple's initiative to incorporate artificial intelligence into its devices, particularly the iPhones launched last September, as well as developers' feedback and the potential of this initiative.
Apple's previous quarter earnings per share surpassed expectations of 1.34, reaching 1.40 with a positive growth of 0.14%. For the current quarter, Bloomberg forecasts EPS of 1.59 and quarterly revenues of $94.33 billion.
Any figures below expectations could negatively impact Apple's stock, which may affect the US500 index, where Apple is a key component, and vice verse.
Historical impact on Assets: UTI100Roll | AAPL | US500</t>
  </si>
  <si>
    <t>Average Hourly Earnings (MoM) (Oct)</t>
  </si>
  <si>
    <t>Before the week concludes, traders will wait for the release oftthe US jobs report for October.
Bloomberg forecasts the US economy may add 135,000 jobs in October, a decrease from September's unexpectedly strong report, which showed the addition of 254,000 jobs and a drop in the unemployment rate to 4.1%
Stronger-than-expected figures could bolster the Federal Reserve's confidence in the resilience of the US economy, potentially slowing the pace of interest rate cuts. This would likely support the US dollar while negatively impacting dollar-related commodities like gold, which recently reached record highs, surpassing $2,700 per ounce.
Historical impact on Assets: USDJPY | XAUUSD</t>
  </si>
  <si>
    <t>Nonfarm Payrolls (Oct)</t>
  </si>
  <si>
    <t>Unemployment Rate (Oct)</t>
  </si>
  <si>
    <t>ISM Manufacturing PMI (Oct)</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</si>
  <si>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USDJPY</t>
  </si>
  <si>
    <t>ISM Manufacturing Prices (Oct)</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</si>
  <si>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USDJPY</t>
  </si>
  <si>
    <t>Manufacturing PMI (Oct)</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</si>
  <si>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t>
  </si>
  <si>
    <t>Apple's earnings report</t>
  </si>
  <si>
    <t>AMD earnings report</t>
  </si>
  <si>
    <t>Alphabet earnings report</t>
  </si>
  <si>
    <t>Microsoft earnings report</t>
  </si>
  <si>
    <t>Meta earnings report</t>
  </si>
  <si>
    <t>House Price Index</t>
  </si>
  <si>
    <t>103.9 </t>
  </si>
  <si>
    <t>100.9 </t>
  </si>
  <si>
    <t>99.7 </t>
  </si>
  <si>
    <t>100.0 </t>
  </si>
  <si>
    <t>96.0 </t>
  </si>
  <si>
    <t>104.0 </t>
  </si>
  <si>
    <t>7.640M </t>
  </si>
  <si>
    <t>7.711M</t>
  </si>
  <si>
    <t>3.4% </t>
  </si>
  <si>
    <t>4.3% </t>
  </si>
  <si>
    <t>5.3% </t>
  </si>
  <si>
    <t>6.2% </t>
  </si>
  <si>
    <t>6.9% </t>
  </si>
  <si>
    <t>124K </t>
  </si>
  <si>
    <t>103K</t>
  </si>
  <si>
    <t>1.3% </t>
  </si>
  <si>
    <t>1.6% </t>
  </si>
  <si>
    <t>0.800M </t>
  </si>
  <si>
    <t>0.25% </t>
  </si>
  <si>
    <t>0.10% </t>
  </si>
  <si>
    <t>-0.10% </t>
  </si>
  <si>
    <t>1.8% </t>
  </si>
  <si>
    <t>243K </t>
  </si>
  <si>
    <t>242K</t>
  </si>
  <si>
    <t>241K </t>
  </si>
  <si>
    <t>46.1 </t>
  </si>
  <si>
    <t>159K</t>
  </si>
  <si>
    <t>47.6 </t>
  </si>
  <si>
    <t>53.5 </t>
  </si>
  <si>
    <t>0.5% </t>
  </si>
  <si>
    <t>C:AUDJPY</t>
  </si>
  <si>
    <t>AUDJPY.sd</t>
  </si>
  <si>
    <t>C:EURUSD</t>
  </si>
  <si>
    <t>EURUSD.sd</t>
  </si>
  <si>
    <t>GBPJPY.sd</t>
  </si>
  <si>
    <t>C:EURJPY</t>
  </si>
  <si>
    <t>EURJPY.sd</t>
  </si>
  <si>
    <t>C:USDCNH</t>
  </si>
  <si>
    <t>USDCNH.sd</t>
  </si>
  <si>
    <t>UT100Roll</t>
  </si>
  <si>
    <t>multipe of 0.1 | 0.15 not tradable</t>
  </si>
  <si>
    <t>RBA Interest Rate Decision (Nov)</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</si>
  <si>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Historical impact on Assets: AUDPY</t>
  </si>
  <si>
    <t>US Presidential Election</t>
  </si>
  <si>
    <t xml:space="preserve">
Once every four years, U.S. voters cast ballots for a slate of electors of the U.S. Electoral College, who in turn directly elect the President and Vice President. The most recent presidential election occurred on November 3, 2020, with the next one scheduled for November 5, 2024.
Historical impact on Assets: UTI100Roll</t>
  </si>
  <si>
    <t>Services PMI (Oct)</t>
  </si>
  <si>
    <t>ISM Non-Manufacturing PMI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</si>
  <si>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USDJPY</t>
  </si>
  <si>
    <t>ISM Non-Manufacturing Prices (Oct)</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</si>
  <si>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USDJPY</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</si>
  <si>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</si>
  <si>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-0.515M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</si>
  <si>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</si>
  <si>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30-Year Note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</si>
  <si>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t>
  </si>
  <si>
    <t>BoE Interest Rate Decision (Nov)</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</si>
  <si>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Historical impact on Assets: GBPJPY</t>
  </si>
  <si>
    <t>220K</t>
  </si>
  <si>
    <t>216K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</si>
  <si>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</si>
  <si>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A continued easing of inflation and robust labour market could give the Fed more room to implement rate cuts without stoking inflation fears, supporting the case for a soft landing.
Historical impact on Assets: USDJPY | XAGUSD</t>
  </si>
  <si>
    <t xml:space="preserve">
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Historical impact on Assets: USDJPY | XAGUSD</t>
  </si>
  <si>
    <t>Historical impact on Assets: USDJPY | XAGUSD</t>
  </si>
  <si>
    <t>Source: Bloomberg, ADSS, News Articles, Company Research. Notes as of 4th November 2024, 9 AM.</t>
  </si>
  <si>
    <t>4.35% </t>
  </si>
  <si>
    <t>1.500M </t>
  </si>
  <si>
    <t>5.25% </t>
  </si>
  <si>
    <t>229K </t>
  </si>
  <si>
    <t>5.50% </t>
  </si>
  <si>
    <t>56.3 </t>
  </si>
  <si>
    <t>6th Nov</t>
  </si>
  <si>
    <t>next day</t>
  </si>
  <si>
    <t>same day</t>
  </si>
  <si>
    <t>C:GBPJPY</t>
  </si>
  <si>
    <t>German CPI (MoM) (Oct)</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</si>
  <si>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</si>
  <si>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Core CPI (MoM) (Oct)</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</si>
  <si>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Historical impact on Assets: USDJPY | EURUSD</t>
  </si>
  <si>
    <t>CPI (YoY) (Oct)</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</si>
  <si>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Historical impact on Assets: USDJPY | EURUSD</t>
  </si>
  <si>
    <t>CPI (MoM) (Oct)</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</si>
  <si>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</si>
  <si>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PPI (MoM) (Oct)</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</si>
  <si>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</si>
  <si>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2.149M</t>
  </si>
  <si>
    <t>GDP (QoQ) (Q3) P (Japan)</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</si>
  <si>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Historical impact on Assets: USDJPY</t>
  </si>
  <si>
    <t>GDP (YoY) (Q3) P (UK)</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</si>
  <si>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</si>
  <si>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GDP (MoM) (Sep) (UK)</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</si>
  <si>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t>
  </si>
  <si>
    <t>GDP (QoQ) (Q3) P (UK)</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</si>
  <si>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t>
  </si>
  <si>
    <t>Core Retail Sales (MoM) (Oct)</t>
  </si>
  <si>
    <t>Retail Sales (MoM) (Oct)</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</si>
  <si>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t>
  </si>
  <si>
    <t>Source: Bloomberg, ADSS, News Articles, Company Research. Notes as of 11th November 2024, 8 AM.</t>
  </si>
  <si>
    <t>2.3% </t>
  </si>
  <si>
    <t>221</t>
  </si>
  <si>
    <t>223</t>
  </si>
  <si>
    <t>218</t>
  </si>
  <si>
    <t>216</t>
  </si>
  <si>
    <t>229</t>
  </si>
  <si>
    <t>228</t>
  </si>
  <si>
    <t>227</t>
  </si>
  <si>
    <t>243</t>
  </si>
  <si>
    <t>242</t>
  </si>
  <si>
    <t>241</t>
  </si>
  <si>
    <t>260</t>
  </si>
  <si>
    <t>258</t>
  </si>
  <si>
    <t>231</t>
  </si>
  <si>
    <t>225</t>
  </si>
  <si>
    <t>222</t>
  </si>
  <si>
    <t>219</t>
  </si>
  <si>
    <t>2.149</t>
  </si>
  <si>
    <t>0.300</t>
  </si>
  <si>
    <t>-0.51</t>
  </si>
  <si>
    <t>1.500</t>
  </si>
  <si>
    <t>5.474</t>
  </si>
  <si>
    <t>0.800</t>
  </si>
  <si>
    <t>-2.19</t>
  </si>
  <si>
    <t>1.800</t>
  </si>
  <si>
    <t>5.810</t>
  </si>
  <si>
    <t>2.000</t>
  </si>
  <si>
    <t>3.889</t>
  </si>
  <si>
    <t>-1.50</t>
  </si>
  <si>
    <t>-4.47</t>
  </si>
  <si>
    <t>0.8% </t>
  </si>
  <si>
    <t>Time ET</t>
  </si>
  <si>
    <t>GMT</t>
  </si>
  <si>
    <t>% of 10K (OL of 100K)</t>
  </si>
  <si>
    <t>EUR CPI (YoY) (Oct)</t>
  </si>
  <si>
    <t>The YoY inflation headline fell to 1.7% in September primarily due to lower energy prices. Markets now anticipate the European Central Bank (ECB) may continue its rate-cutting trajectory through this year, potentially extending into Q1 of next year. 
Bloomberg forecasts suggest that the YoY CPI of October may stabilize at 2.0%, keeping current market expectations intact. A further drop in inflation could prompt markets to factor in additional rate cuts in Q2 2025, which may exert downward presurre on the euro against major currencies. 
It should be noted that over the past two weeks, the euro has lost approximately 2.5% of its value against the US dollar, largely driven by the dollar's stregth following Trump's returm to power, which raises concerns about overshooting inflation rates under his proposed policies. 
Historical impact on Assets: EURJPY | EURUSD | EURCAD</t>
  </si>
  <si>
    <t>CAD CPI (YoY)</t>
  </si>
  <si>
    <t>In September, the YoY inflation headline reached a three-and-a-half-year low of 1.6% prompting the Bank of Canada to cut rates by 50 basis points at its last meeting. Markets expect a further 25 basis-point cut by December, followed by an addiitonal 25 basis points early next year. 
According to Bloomberg, Canadian CPI may increase from 1.6% in September to 1.9% in October. Any data below expectations could reinforce market predictions for further rate cuts next year, potentially weakening the Canadian dollar against major currencies like the euro. 
Historical impact on Assets: EURCAD</t>
  </si>
  <si>
    <t>GBP CPI (YoY) (Oct)</t>
  </si>
  <si>
    <t>The YoY inflation rate dropeed to a three-year low of 1.7% in September, which encouraged the Bank of England's Monetary Policy Committee to lower rates by 25 basis points in its last meeting.
Bloomberg predicts the YoY inlfation rate could rise to 2.1% in October. However, if the data falls below expectations, it could motivate furhter rate cuts by the Bank of England in the coming year, likely boosting stock pices and the UK100 index.
Historical impact on Assets: GBPJPY | GBPUSD | UK100Roll</t>
  </si>
  <si>
    <t>2.089M</t>
  </si>
  <si>
    <t>NVIDIA's Q4 Earnings Report</t>
  </si>
  <si>
    <t>According to Bloomberg, investors expect NVIDIA to report $32.97 billion of revenue with earnings per share of approximately 0.75.
If results fall below these expectations, it may impact Nvidia’s stock performance and, consequently, the US500 index, as NVIDIA is a key component.
Notably, NVIDIA overtook Apple in market capitalization this month, reaching $3.44 trillion compared to Apple’s $3.37 trillion – although Apple’s share price remains higher.
Historical impact on Assets: US500 | UT100</t>
  </si>
  <si>
    <t>215K</t>
  </si>
  <si>
    <t>217K</t>
  </si>
  <si>
    <t>Philadelphia Fed Manufacturing Index (Nov)</t>
  </si>
  <si>
    <t>_x000B_The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district._x000B__x000B_A reading that is stronger than forecast is generally supportive (bullish) for the USD, while a weaker than forecast reading is generally negative (bearish) for the USD._x000B__x000B_Historical impact on Assets: USDJPY | EURUSD 
Historical impact on Assets: USDJPY | EURUSD</t>
  </si>
  <si>
    <t>Existing Home Sales (Oct)</t>
  </si>
  <si>
    <t>3.84M</t>
  </si>
  <si>
    <t>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 EURUSD</t>
  </si>
  <si>
    <t>German GDP (QoQ) (Q3)</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</si>
  <si>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Historical impact on Assets: EURJPY | EURUSD</t>
  </si>
  <si>
    <t>Manufacturing PMI (Nov)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</si>
  <si>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 EURUSD</t>
  </si>
  <si>
    <t>Services PMI (Nov)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</si>
  <si>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 EURUSD</t>
  </si>
  <si>
    <t>Source: Bloomberg, ADSS, News Articles, Company Research. Notes as of 17th November 2024, 9 PM.</t>
  </si>
  <si>
    <t>2.1% </t>
  </si>
  <si>
    <t>2.089</t>
  </si>
  <si>
    <t>0.400</t>
  </si>
  <si>
    <t>217</t>
  </si>
  <si>
    <t>224</t>
  </si>
  <si>
    <t>4.2 </t>
  </si>
  <si>
    <t>-0.8 </t>
  </si>
  <si>
    <t>5.4 </t>
  </si>
  <si>
    <t>2.7 </t>
  </si>
  <si>
    <t>4.8 </t>
  </si>
  <si>
    <t>7.7 </t>
  </si>
  <si>
    <t>3.84</t>
  </si>
  <si>
    <t>3.88</t>
  </si>
  <si>
    <t>3.86</t>
  </si>
  <si>
    <t>3.92</t>
  </si>
  <si>
    <t>3.96</t>
  </si>
  <si>
    <t>3.95</t>
  </si>
  <si>
    <t>3.94</t>
  </si>
  <si>
    <t>3.90</t>
  </si>
  <si>
    <t>3.89</t>
  </si>
  <si>
    <t>3.99</t>
  </si>
  <si>
    <t>4.11</t>
  </si>
  <si>
    <t>4.08</t>
  </si>
  <si>
    <t>4.14</t>
  </si>
  <si>
    <t>4.21</t>
  </si>
  <si>
    <t>4.22</t>
  </si>
  <si>
    <t>47.8 </t>
  </si>
  <si>
    <t>ECB might continue cutting while Fed pauses</t>
  </si>
  <si>
    <t>C:CADJPY</t>
  </si>
  <si>
    <t>CADJPY.sd</t>
  </si>
  <si>
    <t>UK100Roll</t>
  </si>
  <si>
    <t>NVIDIA</t>
  </si>
  <si>
    <t>CB Consumer Confidence (Nov)</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</si>
  <si>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 EURUSD</t>
  </si>
  <si>
    <t>New Home Sales (Oct)</t>
  </si>
  <si>
    <t>738K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</si>
  <si>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 EURUSD</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</si>
  <si>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Historical impact on Assets: USDJPY | EURUSD</t>
  </si>
  <si>
    <t>New Zealand's inflation rate has significantly declined, dropping from 3.3% in Q2 to 2.2% in Q3. This sharp reduction has paved the way for the RBNZ to ease monetary policy, potentially lowering rates from restrictive levels to a neutral stance that neither stimulates nor constrains economic growth.
Bloomberg predicts a 50-basis-point rate cut at the upcoming RBNZ meeting. A larger reduction of upto 75 basis points remains possible in response to weaker economic performance. If the RBNZ opts for the larger cut, from 4.75% to 4.00%, it could lead to the depreciation of the New Zealand dollar against major currencies like the US dollar, as markets have already priced in a 50-basis-point cut. 
Historical impact on Assets: AUDNZD | NZDJPY | NZDUSD</t>
  </si>
  <si>
    <t>Durable Goods Orders (MoM) (Oct)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</si>
  <si>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 EURUSD</t>
  </si>
  <si>
    <t>US GDP (QoQ) (Q3)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</si>
  <si>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 EURUSD</t>
  </si>
  <si>
    <t>213K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</si>
  <si>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</si>
  <si>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Chicago PMI</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</si>
  <si>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USDJPY | EURUSD</t>
  </si>
  <si>
    <t>Core PCE Price Index (YoY) (Oct)</t>
  </si>
  <si>
    <t>The Personal Consumption Expenditure, alongside the US jobs report for November (set to be released for December 6), will be pivotal in determining whether the Federal Reserve opts for a 25-basis-points rate hike at its final meeting of the year.
The upcoming jobs report will shed light on whether the labour market's softening in November, a temporary effect of strikes and adverse weather conditions or a sign of a broader economic slowdown could warrant additional stimulus through rate cuts. 
According to Bloomberg, the YoY PCE is projected to increase from 2.1% in September to 2.3% in October, while the Core Index is expected to edge up from 2.7% to 2.8% during the same period. Any data falling short of these expectations could strengthen the case for rate cuts at the December meeting, potentially weakening the dollar while boosting precious metal prices such as silver. 
Historical impact on Assets: USDJPY | EURUSD | XAGUSD</t>
  </si>
  <si>
    <t>Core PCE Price Index (MoM) (Oct)</t>
  </si>
  <si>
    <t>0.545M</t>
  </si>
  <si>
    <t xml:space="preserve">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 </t>
  </si>
  <si>
    <t>German CPI (MoM) (Nov) P</t>
  </si>
  <si>
    <t xml:space="preserve">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</si>
  <si>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CHF GDP (QoQ) (Q3)</t>
  </si>
  <si>
    <t>Switzerland's economy expanded by 1.8% in the second quarter, but a slowdown in growth could further suppress inflation, which dropped from 0.8% in September to 0.6% in October. This trend could prompt the Swiss National Bank to consider additional interest rate cuts. 
Markets have already priced in a 25-basis-point cut by the Swiss National Bank. However, weak growth may lead to expectations of a more aggresive 50-basis-point reduction, potentially boosting Swiss index prices. 
Historical impact on Assets: Swiss Market Index | CHFJPY</t>
  </si>
  <si>
    <t>EUR CPI (YoY) (Nov) P</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</si>
  <si>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 </t>
  </si>
  <si>
    <t>Chicago PMI (Nov)</t>
  </si>
  <si>
    <t>Manufacturing PMI (Nov)</t>
  </si>
  <si>
    <t xml:space="preserve">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t>
  </si>
  <si>
    <t>Source: Bloomberg, ADSS, News Articles, Company Research. Notes as of 25th November 2024, 9 AM.</t>
  </si>
  <si>
    <t/>
  </si>
  <si>
    <t>99.5 </t>
  </si>
  <si>
    <t>738</t>
  </si>
  <si>
    <t>719</t>
  </si>
  <si>
    <t>709</t>
  </si>
  <si>
    <t>716</t>
  </si>
  <si>
    <t>699</t>
  </si>
  <si>
    <t>751</t>
  </si>
  <si>
    <t>739</t>
  </si>
  <si>
    <t>624</t>
  </si>
  <si>
    <t>668</t>
  </si>
  <si>
    <t>617</t>
  </si>
  <si>
    <t>639</t>
  </si>
  <si>
    <t>621</t>
  </si>
  <si>
    <t>619</t>
  </si>
  <si>
    <t>636</t>
  </si>
  <si>
    <t>698</t>
  </si>
  <si>
    <t>634</t>
  </si>
  <si>
    <t>677</t>
  </si>
  <si>
    <t>665</t>
  </si>
  <si>
    <t>-1.1% </t>
  </si>
  <si>
    <t>213</t>
  </si>
  <si>
    <t>220</t>
  </si>
  <si>
    <t>41.6</t>
  </si>
  <si>
    <t>46.9</t>
  </si>
  <si>
    <t>46.6</t>
  </si>
  <si>
    <t>46.1</t>
  </si>
  <si>
    <t>45.0</t>
  </si>
  <si>
    <t>45.3</t>
  </si>
  <si>
    <t>44.8</t>
  </si>
  <si>
    <t>47.4</t>
  </si>
  <si>
    <t>39.7</t>
  </si>
  <si>
    <t>35.4</t>
  </si>
  <si>
    <t>41.1</t>
  </si>
  <si>
    <t>37.9</t>
  </si>
  <si>
    <t>0.545</t>
  </si>
  <si>
    <t>46.9 </t>
  </si>
  <si>
    <t>C:NZDUSD</t>
  </si>
  <si>
    <t>NZDUSD.sd</t>
  </si>
  <si>
    <t>XAGUSD.sd</t>
  </si>
  <si>
    <t>C:CHFUSD</t>
  </si>
  <si>
    <t>CHFUSD.sd</t>
  </si>
  <si>
    <t>C:USDCNY</t>
  </si>
  <si>
    <t>USDCNY.sd</t>
  </si>
  <si>
    <t xml:space="preserve"> Mon </t>
  </si>
  <si>
    <t>JPY GDP (QoQ) (Q3)</t>
  </si>
  <si>
    <t xml:space="preserve">Gross Domestic Product (GDP) measures the change in the inflation-adjusted value of all goods and services produced by the economy. It is the broadest measure of economic activity and the primary indicator of the economy's health._x000B_
_x000B_A reading that is stronger than forecast is generally supportive (bullish) for the JPY, while a weaker than forecast reading is generally negative (bearish) for the JPY._x000B_
_x000B_Historical impact on Assets: USDJPY </t>
  </si>
  <si>
    <t>RBA Interest Rate Decision (Dec)</t>
  </si>
  <si>
    <t>Australian inflation rates dropped significantly from 3.8% in Q2 to 2.8% in Q3, increasing the likelihood that the RBA may consider reducing rates to levels that neither hinder nor overly stimulate economic growth. 
Bloomberg forecasts suggest that the RBA could hold interest rates steady at this meeting. Attention will then shift to the central bank governor’s press conference, where hints about future monetary policy could emerge. Any indication that rate cuts are approaching, could weigh on the Australian dollar against major currencies, including the Japanese yen, which is currently buoyed by expectations of a potential rate hike by the Bank of Japan._x000B_
_x000B_Historical impact on Assets: AUDUSD | AUDJPY</t>
  </si>
  <si>
    <t>German CPI (MoM) (Nov)</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</si>
  <si>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stability._x000B__x000B_A reading that is stronger than forecast is generally supportive (bullish) for the EUR, while a weaker than forecast reading is generally negative (bearish) for the EUR._x000B_
_x000B_Historical impact on Assets: EURUSD | EURJPY</t>
  </si>
  <si>
    <t>USD Core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</si>
  <si>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</si>
  <si>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(MoM) (Nov)</t>
  </si>
  <si>
    <t>Bloomberg expects US inflation levels to rise slightly, from 2.6% in October to 2.7% in November, while core inflation is projected to remain stable at 3.3%.
Despite inflation moving contrary to the Federal Reserve’s targets, markets are pricing in a 75% probability of a 25-basis point rate cut at the next meeting. A lower-than-expected inflation rate, particularly in the core index, could reinforce this expectation and increase the likelihood of further rate cut in March. In this scenario, US stock indices, including the S&amp;P500 – which recently surpassed the 6,000 threshold – could benefit. _x000B_
_x000B_Historical impact on Assets: USDJPY | EURUSD | US500</t>
  </si>
  <si>
    <t>USD CPI (YoY) (Nov)</t>
  </si>
  <si>
    <t>The Bank of Canada (BOC) publishes its decision on where to set the benchmark interest rate. As short term interest rates are an important determinant of currency valuation, traders watch interest rate changes closely._x000B__x000B_A reading that is stronger than forecast is generally supportive (bullish) for the CAD, while a weaker than forecast reading is generally negative (bearish) for the CAD._x000B_
_x000B_Historical impact on Assets: CADJPY | USDCAD</t>
  </si>
  <si>
    <t>-5.073M</t>
  </si>
  <si>
    <t>The Energy Information Administration's (EIA) Crude Oil Inventories measures the weekly change in the number of barrels of commercial crude oil held by US firms. The level of inventories influences the price of petroleum products, which can have an impact on inflation._x000B__x000B_If the increase in crude inventories is more than expected, it implies weaker demand and is bearish for crude prices. The same can be said if a decline in inventories is less than expected._x000B_If the increase in crude is less than expected, it implies greater demand and is bullish for crude prices. The same can be said if a decline in inventories is more than expected._x000B_
_x000B_Historical impact on Assets: GBPJPY | GBPUSD</t>
  </si>
  <si>
    <t>The figures displayed in the calendar represent the yield on the Treasury Note auctioned._x000B__x000B_U.S.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bid._x000B__x000B_Yield fluctuations should be monitored closely as an indicator of the government debt situation. Investors compare the average rate at auction to the rate at previous auctions of the same security._x000B_
_x000B_Historical impact on Assets: CHFJPY | USDCHF</t>
  </si>
  <si>
    <t>SNB Interest Rate Decision (Q4)</t>
  </si>
  <si>
    <t>Swiss National Bank (SNB) governing board members come to a consensus on where to set the target range for the rate. Traders watch interest rate changes closely as short term interest rates are the primary factor in currency valuation._x000B__x000B_A reading that is stronger than forecast is generally supportive (bullish) for the CHF, while a weaker than forecast reading is generally negative (bearish) for the CHF._x000B_
_x000B_Historical impact on Assets: CHFJPY | USDCHF</t>
  </si>
  <si>
    <t>EUR Deposit Facility Rate (Dec)</t>
  </si>
  <si>
    <t>Bloomberg anticipates a 25-basis point rate cut, from 3.40% to 3.15%, to align with neutral levels suggested by some ECB board members as being between 2% and 3%. 
While overall European inflation has risen from 1.7% in September to 2.3% in November, core inflation has remained steady at 2.7% since September. Markets expect the ECB to continue its rate cuts, pricing in three reductions over the next three meetings. 
Investors will also closely watch the ECB President, Christine Lagarde’s press conference for hints about the potential end of the rate-cutting cycle. Such signals could boost the euro while negatively impacting European stock indices like ESTOX, DAX _x000B_
_x000B_Historical impact on Assets: EURJPY | EURUSD | ESTOX | DE40Roll</t>
  </si>
  <si>
    <t>ECB Interest Rate Decision (Dec)</t>
  </si>
  <si>
    <t>Initial Jobless Claims measures the number of people who filed for unemployment insurance for the first time during the past week. This is the most timely U.S. economic data, but the market impact varies from week to week._x000B_A reading that is higher than forecast is generally negative (bearish) for the USD, while a lower than forecast reading is generally supportive (bullish) for the USD._x000B_
_x000B_Historical impact on Assets: USDJPY | EURUSD</t>
  </si>
  <si>
    <t>USD PPI (MoM) (Nov)</t>
  </si>
  <si>
    <t>_x000B_The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stability._x000B__x000B_A reading that is stronger than forecast is generally supportive (bullish) for the USD, while a weaker than forecast reading is generally negative (bearish) for the USD._x000B_
_x000B_Historical impact on Assets: USDJPY | EURUSD</t>
  </si>
  <si>
    <t>USD 30-Year Bond Auction</t>
  </si>
  <si>
    <t>_x000B_The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_x000B_Historical impact on Assets: USDJPY | EURUSD</t>
  </si>
  <si>
    <t>GBP GDP (MoM) (Oct)</t>
  </si>
  <si>
    <t xml:space="preserve">_x000B_Gross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GBP._x000B_
_x000B_Historical impact on Assets: GBPJPY | GBPUSD
</t>
  </si>
  <si>
    <t>Source: Bloomberg, ADSS, News Articles, Company Research. Notes as of 8th December 2024, 6 PM.</t>
  </si>
  <si>
    <t>46.5</t>
  </si>
  <si>
    <t>47.6</t>
  </si>
  <si>
    <t>47.2</t>
  </si>
  <si>
    <t>47.5</t>
  </si>
  <si>
    <t>46.8</t>
  </si>
  <si>
    <t>48.8</t>
  </si>
  <si>
    <t>48.5</t>
  </si>
  <si>
    <t>49.2</t>
  </si>
  <si>
    <t>48.7</t>
  </si>
  <si>
    <t>49.8</t>
  </si>
  <si>
    <t>49.9 </t>
  </si>
  <si>
    <t>7.443</t>
  </si>
  <si>
    <t>7.980</t>
  </si>
  <si>
    <t>7.861</t>
  </si>
  <si>
    <t>8.040</t>
  </si>
  <si>
    <t>7.640</t>
  </si>
  <si>
    <t>7.711</t>
  </si>
  <si>
    <t>7.673</t>
  </si>
  <si>
    <t>8.090</t>
  </si>
  <si>
    <t>7.910</t>
  </si>
  <si>
    <t>8.184</t>
  </si>
  <si>
    <t>8.020</t>
  </si>
  <si>
    <t>8.230</t>
  </si>
  <si>
    <t>8.140</t>
  </si>
  <si>
    <t>7.960</t>
  </si>
  <si>
    <t>7.919</t>
  </si>
  <si>
    <t>8.059</t>
  </si>
  <si>
    <t>8.370</t>
  </si>
  <si>
    <t>8.355</t>
  </si>
  <si>
    <t>233</t>
  </si>
  <si>
    <t>110</t>
  </si>
  <si>
    <t>159</t>
  </si>
  <si>
    <t>143</t>
  </si>
  <si>
    <t>124</t>
  </si>
  <si>
    <t>103</t>
  </si>
  <si>
    <t>99</t>
  </si>
  <si>
    <t>144</t>
  </si>
  <si>
    <t>111</t>
  </si>
  <si>
    <t>122</t>
  </si>
  <si>
    <t>147</t>
  </si>
  <si>
    <t>155</t>
  </si>
  <si>
    <t>150</t>
  </si>
  <si>
    <t>163</t>
  </si>
  <si>
    <t>157</t>
  </si>
  <si>
    <t>152</t>
  </si>
  <si>
    <t>173</t>
  </si>
  <si>
    <t>188</t>
  </si>
  <si>
    <t>56</t>
  </si>
  <si>
    <t>53.8</t>
  </si>
  <si>
    <t>54.9</t>
  </si>
  <si>
    <t>51.7</t>
  </si>
  <si>
    <t>51.5</t>
  </si>
  <si>
    <t>51.3</t>
  </si>
  <si>
    <t>51.4</t>
  </si>
  <si>
    <t>52.6</t>
  </si>
  <si>
    <t>51.0</t>
  </si>
  <si>
    <t>49.4</t>
  </si>
  <si>
    <t>58.1</t>
  </si>
  <si>
    <t>58.0</t>
  </si>
  <si>
    <t>59.4</t>
  </si>
  <si>
    <t>56.3</t>
  </si>
  <si>
    <t>57.3</t>
  </si>
  <si>
    <t>56.0</t>
  </si>
  <si>
    <t>57</t>
  </si>
  <si>
    <t>56.7</t>
  </si>
  <si>
    <t>59.0</t>
  </si>
  <si>
    <t>59.2</t>
  </si>
  <si>
    <t>-1.84</t>
  </si>
  <si>
    <t>-1.30</t>
  </si>
  <si>
    <t>215</t>
  </si>
  <si>
    <t>12</t>
  </si>
  <si>
    <t>106</t>
  </si>
  <si>
    <t>254</t>
  </si>
  <si>
    <t>142</t>
  </si>
  <si>
    <t>164</t>
  </si>
  <si>
    <t>114</t>
  </si>
  <si>
    <t>176</t>
  </si>
  <si>
    <t>179</t>
  </si>
  <si>
    <t>206</t>
  </si>
  <si>
    <t>191</t>
  </si>
  <si>
    <t>272</t>
  </si>
  <si>
    <t>182</t>
  </si>
  <si>
    <t>165</t>
  </si>
  <si>
    <t>Time IST</t>
  </si>
  <si>
    <t>US500Roll</t>
  </si>
  <si>
    <t>C:CHFJPY</t>
  </si>
  <si>
    <t>CHFJPY.sd</t>
  </si>
  <si>
    <t>US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</si>
  <si>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USDJPY </t>
  </si>
  <si>
    <t>US Services PMI (Dec)</t>
  </si>
  <si>
    <t xml:space="preserve">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USDJPY </t>
  </si>
  <si>
    <t>CAD Core CPI (YoY) (Nov)</t>
  </si>
  <si>
    <t xml:space="preserve">According to Bloomberg, Canadian inflation is projected to decline from 2.0% in October to 1.9% in November, while core inflation (exclusind energy and food) expected to ease from 2.6% to 2.5%.
The Bank of Canada reduced interest rates by 50 basis points in its most recent meeting, lowering the rate from 3.75% to 3.25%. With inflation continuing to decline, there remains potential for further rate cuts in upcoming meetings. Markets currently estimate a 65% likelihood of a 25-basis-point reduction at the Januray meeting. However, lower-than-expected inflation data could increase expectations for this rate cuts, potentially weaking the Canadian dollar against major currencies like the US dollar. 
Historical impact on Assets: USDCAD </t>
  </si>
  <si>
    <t>CAD CPI (MoM) (Nov)</t>
  </si>
  <si>
    <t>US Core Retail Sales (MoM) (Nov)</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</si>
  <si>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t>
  </si>
  <si>
    <t>US Retail Sales (MoM) (Nov)</t>
  </si>
  <si>
    <t xml:space="preserve">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t>
  </si>
  <si>
    <t>GBP CPI (YoY) (Nov)</t>
  </si>
  <si>
    <t xml:space="preserve">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Historical impact on Assets: GBPJPY </t>
  </si>
  <si>
    <t>EUR CPI (YoY) (Nov)</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</si>
  <si>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t>
  </si>
  <si>
    <t>-1.425M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</si>
  <si>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</si>
  <si>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 xml:space="preserve">
Bloomberg anticipates that the Fed will lower interest rates by 25 basis points, bringing them down from 4.75% to 4.50%. Investors will pay close attention to the "dot plot", which reflects Federal Reserve members' projections for future rate changes. If the dot plot signals more aggresive rate cuts in 2025, it could impact major US stock idices, inlcuding US2000. 
Additionally, traders will tune in the Federal Reserve Chairman Jerome Powell's press conference for insights into the Fed's monetary policy outlook for the coming year. 
Historical impact on Assets: USDJPY | US2000</t>
  </si>
  <si>
    <t xml:space="preserve">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Historical impact on Assets: USDJPY </t>
  </si>
  <si>
    <t>BoE Interest Rate Decision (Dec)</t>
  </si>
  <si>
    <t>Bloomberg expects the Bank of England to maintain interest rate at 4.75%. However, traders will closely monitor the vote distirbution among committee members. A higher number of votes favouring rate cuts could increase expectations for reductions in future meetings, potentially supporting the UK100 stock index. 
Historical impact on Assets: GBPJPY | UK100</t>
  </si>
  <si>
    <t>US GDP (QoQ) (Q3)</t>
  </si>
  <si>
    <t xml:space="preserve">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Historical impact on Assets: USDJPY </t>
  </si>
  <si>
    <t>US Initial Jobless Claims</t>
  </si>
  <si>
    <t>245K</t>
  </si>
  <si>
    <t xml:space="preserve">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</si>
  <si>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US Philadelphia Fed Manufacturing Index (Dec)</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</si>
  <si>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t>
  </si>
  <si>
    <t>US Existing Home Sales (Nov)</t>
  </si>
  <si>
    <t xml:space="preserve">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Historical impact on Assets: USDJPY </t>
  </si>
  <si>
    <t>US Core PCE Price Index (MoM) (Nov)</t>
  </si>
  <si>
    <t xml:space="preserve">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Historical impact on Assets: USDJPY </t>
  </si>
  <si>
    <t>US Core PCE Price Index (YoY) (Nov)</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</si>
  <si>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Historical impact on Assets: USDJPY </t>
  </si>
  <si>
    <t xml:space="preserve">A continued easing of inflation and robust labour market could give the Fed more room to implement rate cuts without stoking inflation fears, supporting the case for a soft landing.
Historical impact on Assets: USDJPY </t>
  </si>
  <si>
    <t>57.0 </t>
  </si>
  <si>
    <t>-1.425</t>
  </si>
  <si>
    <t>-1.000</t>
  </si>
  <si>
    <t>-5.073</t>
  </si>
  <si>
    <t>-1.600</t>
  </si>
  <si>
    <t>-1.844</t>
  </si>
  <si>
    <t>-1.300</t>
  </si>
  <si>
    <t>7.4 </t>
  </si>
  <si>
    <t>3.83</t>
  </si>
  <si>
    <t>US2000</t>
  </si>
  <si>
    <t>GBP GDP (QoQ) (Q3)</t>
  </si>
  <si>
    <t xml:space="preserve">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Historical impact on Assets: GBPJPY </t>
  </si>
  <si>
    <t>GBP GDP (YoY) (Q3)</t>
  </si>
  <si>
    <t>USD CB Consumer Confidence (Dec)</t>
  </si>
  <si>
    <t xml:space="preserve">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Historical impact on Assets: USDJPY </t>
  </si>
  <si>
    <t>Global</t>
  </si>
  <si>
    <t xml:space="preserve">Major markets closing early or closed. </t>
  </si>
  <si>
    <t>USD Durable Goods Orders (MoM) (Nov) P</t>
  </si>
  <si>
    <t xml:space="preserve">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Historical impact on Assets: USDJPY </t>
  </si>
  <si>
    <t>USD New Homes Sales (Nov)</t>
  </si>
  <si>
    <t>650K</t>
  </si>
  <si>
    <t>610K</t>
  </si>
  <si>
    <t xml:space="preserve">
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Historical impact on Assets: USDJPY </t>
  </si>
  <si>
    <t xml:space="preserve">Major markets closed. </t>
  </si>
  <si>
    <t>USD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</si>
  <si>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t>
  </si>
  <si>
    <t>-0.934M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</si>
  <si>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</si>
  <si>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Source: Bloomberg, ADSS, News Articles, Company Research. Notes as of 22nd December 2024, 6 PM.</t>
  </si>
  <si>
    <t>111.8 </t>
  </si>
  <si>
    <t>-0.8% </t>
  </si>
  <si>
    <t>610</t>
  </si>
  <si>
    <t>725</t>
  </si>
  <si>
    <t>-0.934</t>
  </si>
  <si>
    <t>USD Chicago PMI (Dec)</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</si>
  <si>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-Historical Impact on Assets: EURUSD | USDJPY</t>
  </si>
  <si>
    <t>Major Markets closed or closing early</t>
  </si>
  <si>
    <t>CNY Manufacturing PMI (Dec)</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</si>
  <si>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-Historical Impact on Assets: USDCNH | USDCNY</t>
  </si>
  <si>
    <t>Major Markets closed</t>
  </si>
  <si>
    <t>Thur</t>
  </si>
  <si>
    <t>Markets closed: Swiss, Russia, NZ, Japan</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</si>
  <si>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EURUSD | USDJPY</t>
  </si>
  <si>
    <t>USD Manufacturing PMI (Dec)</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</si>
  <si>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-Historical Impact on Assets: EURUSD | USDJPY</t>
  </si>
  <si>
    <t>USD ISM Manufacturing PMI</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</si>
  <si>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-Historical Impact on Assets: EURUSD | USDJPY</t>
  </si>
  <si>
    <t>USD ISM Manufacturing Prices (Dec)</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</si>
  <si>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-Historical Impact on Assets: EURUSD | USDJPY</t>
  </si>
  <si>
    <t>Crude Oil Invetories</t>
  </si>
  <si>
    <t>-4.237M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</si>
  <si>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</si>
  <si>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Markets closed: Japan, Russia</t>
  </si>
  <si>
    <t>Source: Bloomberg, ADSS, News Articles, Company Research. Notes as of 29th December 2024, 8 PM.</t>
  </si>
  <si>
    <t>55.7 </t>
  </si>
  <si>
    <t>50.2 </t>
  </si>
  <si>
    <t>47.7 </t>
  </si>
  <si>
    <t>-4.237</t>
  </si>
  <si>
    <t>-0.700</t>
  </si>
  <si>
    <t>53.8 </t>
  </si>
  <si>
    <t>56.4 </t>
  </si>
  <si>
    <t>58.0 </t>
  </si>
  <si>
    <t>223K</t>
  </si>
  <si>
    <t>EUR German CPI (MoM) (Dec)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</si>
  <si>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EURUSD | EURJPY</t>
  </si>
  <si>
    <t>USD Services PMI (Dec)</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</si>
  <si>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-Historical Impact on Assets: EURUSD | USDJPY</t>
  </si>
  <si>
    <t>CHF CPI (YoY) (Dec)</t>
  </si>
  <si>
    <t>According to Bloomberg, Swiss inflation is expected to ease from 0.7% in November to 0.6% in December. Markets have already priced in a 25-basis-point rate cut by the Swiss National Bank at its March meeting. Lower-than-expected inflation could prompt expectations of further rate cuts this year, potentially weakening the Swiss franc against major currencies. 
Investors will also watch the release of European CPI data for December, scheduled on the same day. Bloomberg forecasts that core inflation (excluding food and energy) will remain steady at 2.7% in December. 
In its December meeting, the European Central Bank reduced interest rates by 25 basis points. Markets have priced in three additional 25-basis-point cuts this year. However, higher-than-expected inflation could reduce the likelihood of these cuts, potentially strengthening the euro against major currencies like the Swiss franc. 
-Historical Impact on Assets: EURUSD | EURJPY | EURCHF</t>
  </si>
  <si>
    <t>EUR CPI (YoY) (Dec) P</t>
  </si>
  <si>
    <t>USD ISM Non-Manufacturing PMI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</si>
  <si>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-Historical Impact on Assets: EURUSD | USDJPY</t>
  </si>
  <si>
    <t>USD ISM Non-Manufacturing Prices (Dec)</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</si>
  <si>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-Historical Impact on Assets: EURUSD | USDJPY</t>
  </si>
  <si>
    <t>USD JOLTs Job Openings (Nov)</t>
  </si>
  <si>
    <t>7.650M</t>
  </si>
  <si>
    <t>7.744M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</si>
  <si>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-Historical Impact on Assets: EURUSD | USDJPY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</si>
  <si>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</si>
  <si>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USD ADP Nonfarm Employment Change (Dec)</t>
  </si>
  <si>
    <t>146K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</si>
  <si>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-Historical Impact on Assets: EURUSD | USDJPY</t>
  </si>
  <si>
    <t>211K</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</si>
  <si>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EURJPY</t>
  </si>
  <si>
    <t>-1.178M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</si>
  <si>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USDOilRoll</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</si>
  <si>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-Historical Impact on Assets: USDJPY | EURUSD</t>
  </si>
  <si>
    <t>U.S. stock markets (NYSE and Nasdaq) closed; CME Group US Equities close early at 8:30 AM CT; Interest Rate, Real Estate, and Weather products close early at 12:15 PM CT; BrokerTec US Treasuries close early at 2:30 PM ET; Repo closes at 3:30 PM ET; CME Group FX, Crypto, Energy, and Metals operate normal hours.</t>
  </si>
  <si>
    <t>US stock markets closed in honor of former President Jimmy Carter (National Day of Mourning)</t>
  </si>
  <si>
    <t>Markets will analyse the release of the minutes from the Federal Reserve's last meeting, providing insight into members' discussions and opinions. These minutes help traders assess the Fed's future monetary policy direction. 
Notably, the Federal Reserve reduced US interest rates by 25 basis points in its last session and hinted at a more cautious approach to future rate cuts. This stance supported the US dollar, with the US Dollar Index rising by 2.5% in December. 
If the minutes indicate that most FOMC members are open to multiple interest rate cuts this year, it could bolster the prices of major U.S. stock indices, including the S&amp;P 500 &amp; Nasdaq 100. 
-Historical Impact on Assets: USDJPY | EURJPY | US500 | UT100</t>
  </si>
  <si>
    <t>According to Bloomberg, the U.S. economy is projected to have added 153,000 jobs in December, down from 227,000 in November. Meanwhile, the unemployment rate is expected to remain stable at 4.2%.
Labour market data, along with inflation trends, play a critical role in shaping Federal Reserve interest rate decisions. With inflation (measured by the U.S. Consumer Spending Index) remaining below 2.5%, the Federal Open Market Committee is likely to focus on labour market performance. 
A weaker-than-expected jobs report may indicate a softening labour market, potentially leading markets to anticipate additional US interest rate cuts this year. This could weigh on the U.S. dollar while providing support for precious metals like silver. 
-Historical Impact on Assets: EURUSD | USDJPY | XAGUSD</t>
  </si>
  <si>
    <t>USD Average Hourly Earnings (MoM) (Dec)</t>
  </si>
  <si>
    <t>154K</t>
  </si>
  <si>
    <t>USD Nonfarm Payrolls (Dec)</t>
  </si>
  <si>
    <t>USD Unemployment Rate (Dec)</t>
  </si>
  <si>
    <t>Recent data indicates that while inflation has moderated to 2.4% as of November 2024, it remains above the Federal Reserve’s 2% target. Simultaneously, the labor market continues to exhibit resilience, with jobless claims reaching an eight-month low. This combination of easing inflation and a strong labor market may provide the Federal Reserve with increased flexibility to adjust interest rates without reigniting inflation concerns, thereby supporting the possibility of a soft landing for the economy.</t>
  </si>
  <si>
    <t>Source: Bloomberg, ADSS, News Articles, Company Research. Notes as of 8th January 2025, 8 PM.</t>
  </si>
  <si>
    <t>1.1% </t>
  </si>
  <si>
    <t>1.2% </t>
  </si>
  <si>
    <t>1.4% </t>
  </si>
  <si>
    <t>7.744</t>
  </si>
  <si>
    <t>7.510</t>
  </si>
  <si>
    <t>7.372</t>
  </si>
  <si>
    <t>146</t>
  </si>
  <si>
    <t>166</t>
  </si>
  <si>
    <t>184</t>
  </si>
  <si>
    <t>-1.178</t>
  </si>
  <si>
    <t>-2.400</t>
  </si>
  <si>
    <t>-1.42</t>
  </si>
  <si>
    <t>-1.00</t>
  </si>
  <si>
    <t>-5.07</t>
  </si>
  <si>
    <t>-1.60</t>
  </si>
  <si>
    <t>202</t>
  </si>
  <si>
    <t>36</t>
  </si>
  <si>
    <t>89</t>
  </si>
  <si>
    <t>C:EURCHF</t>
  </si>
  <si>
    <t>EURCHF.sd</t>
  </si>
  <si>
    <t>Holiday - Japan - Respect for the Aged Day</t>
  </si>
  <si>
    <t>A day to honor elderly citizens, to express appreciation and gratitude for their contribution to society, and to celebrate their longevity and vitality</t>
  </si>
  <si>
    <t>USD - PPI (MoM) (Dec)</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</si>
  <si>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-Historical Impact on Assets: USDJPY | EURUSD</t>
  </si>
  <si>
    <t>GBP - CPI (YoY) (Dec)</t>
  </si>
  <si>
    <t>At its last Monetary Policy Committee meeting in December 2024, the Bank of England decided to maintain interest rates at 4.75%. The decision was made with a majority of 6 to 3, with the minority favouring a 25-basis-point rate cut. 
Bloomberg expects the MPC to cut interest rates by 25 basis points during its February meeting. Inflation data released in December, as well as in the coming months, will significantly influence the committee's interest rate decisions throughout the year. A sharp decline in inflation levels m bringing them closer to the 2% target, could accelerate the pace of rate cuts in 2025, potentially benefitting British stock indices like the UK100. However, if inflation remains slow to approach the target, the pace of rate reductions may decelerate.
Notably, the YoY inflation in November increased from 2.3% to 2.6%, while the YoY core inflation rose from 3.3% to 3.5%.
-Historical Impact on Assets: GBPJPY | GBPUSD | UK100</t>
  </si>
  <si>
    <t>USD - Core CPI (MoM) (Dec)</t>
  </si>
  <si>
    <t>Bloomberg forecasts suggest YoY inflation will rise from 2.7% in November to 2.9% in December, while the YoY core inflation is expected to remain steady at 3.3%
In his December press conference, the Federal Reserve Chairman indicated that the pace of interest rate cuts might slow this year due to the "remarkable" performance of the US economy. Additionally, the Federal Open Market Committee's dot plot suggests the likelihood of only two rate cuts in 2025.
The persistent rise in inflation could hinder US interest rate cuts, supporting the US dollar and negatively impacting precious metal prices like silver, which have an inverse relationship with the dollar. 
-Historical Impact on Assets: USDJPY | EURUSD | XAGUSD</t>
  </si>
  <si>
    <t>USD - CPI (YoY) (Dec)</t>
  </si>
  <si>
    <t>USD - CPI (MoM) (Dec)</t>
  </si>
  <si>
    <t>Global - Crude Oil Inventories</t>
  </si>
  <si>
    <t>-0.959M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</si>
  <si>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-Historical Impact on Assets: USOILRoll</t>
  </si>
  <si>
    <t>GBP - GDP (MoM) (Nov)</t>
  </si>
  <si>
    <t xml:space="preserve">
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-Historical Impact on Assets: GBPJPY | GBPUSD</t>
  </si>
  <si>
    <t>EUR - German CPI (MoM) (Dec)</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</si>
  <si>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-Historical Impact on Assets: EURJPY | EURUSD</t>
  </si>
  <si>
    <t>USD - Core Retail Sales (MoM)</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</si>
  <si>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-Historical Impact on Assets: USDJPY | EURUSD</t>
  </si>
  <si>
    <t>USD - Initial Jobless Claims</t>
  </si>
  <si>
    <t>210K</t>
  </si>
  <si>
    <t>201K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</si>
  <si>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-Historical Impact on Assets: USDJPY | EURUSD</t>
  </si>
  <si>
    <t>USD - Philadelphia Fed Manufacturing Index (Jan)</t>
  </si>
  <si>
    <t>-7</t>
  </si>
  <si>
    <t>-10.9</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</si>
  <si>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-Historical Impact on Assets: USDJPY | EURUSD</t>
  </si>
  <si>
    <t>USD - Retail Sales (MoM) (Dec)</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</si>
  <si>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-Historical Impact on Assets: USDJPY | EURUSD</t>
  </si>
  <si>
    <t>CNY - GDP (YoY)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</si>
  <si>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-Historical Impact on Assets: USDCNH | USDCNY</t>
  </si>
  <si>
    <t>EUR - CPI (YoY) (Dec)</t>
  </si>
  <si>
    <t xml:space="preserve">
Bloomberg forecasts indicate the YoY core inflation in Europe will remain stable at 2.7%, while the YoY inflation in expected to stay at 2.4%.
At its December meeting, the European Central Bank reduced interest rates by 25 basis points and suggested further cuts early next year to reach neutral levels that neither hinder nor stimulate economic growth. 
A decline in inflation closer to the ECB's 2% target would support the current rate reduction pace, potentially benefitting European stock indices like the EURO STOXX 50, DAX, FRA40 indexes. Coversely, rising inflation could obstruct planned rate cuts, negatively impacting these indices.
-Historical Impact on Assets: EURJPY | EURUSD | DE40Roll | ESTOX</t>
  </si>
  <si>
    <t>Source: Bloomberg, ADSS, News Articles, Company Research. Notes as of 12th January 2025, 6 PM.</t>
  </si>
  <si>
    <t>-0.959</t>
  </si>
  <si>
    <t>-1.800</t>
  </si>
  <si>
    <t>201</t>
  </si>
  <si>
    <t>214</t>
  </si>
  <si>
    <t>211</t>
  </si>
  <si>
    <t>2.9 </t>
  </si>
  <si>
    <t>4.6% </t>
  </si>
  <si>
    <t>5.1% </t>
  </si>
  <si>
    <t>4.8% </t>
  </si>
  <si>
    <t>4.4% </t>
  </si>
  <si>
    <t>7.3% </t>
  </si>
  <si>
    <t>2.4% </t>
  </si>
  <si>
    <t>Time MT5</t>
  </si>
  <si>
    <t>All Day</t>
  </si>
  <si>
    <t>United States - Martin Luther King, Jr. Day</t>
  </si>
  <si>
    <t>Martin Luther King Jr. Day is a federal holiday in the United States, observed annually on the third Monday of January to honor the civil rights leader Dr. Martin Luther King Jr. In 2025, it falls on January 20th, coinciding with the presidential inauguration. 
Market Impact: U.S. financial markets are closed. Trading volumes in global markets may be lower due to reduced U.S. participation.
Learn More: Minimal direct impact, but lower market liquidity may increase volatility.
Legacy Reference: https://www.nobelprize.org/prizes/peace/1964/king/biographical/</t>
  </si>
  <si>
    <t>GBP - Unemployment Rate</t>
  </si>
  <si>
    <t>Bloomberg estimates that unemployment could remain staedy at 4.3%, while wages excluding bonuses may decline from 5.2% in October to 5.0% in November. It should be noted that the decrease in wages is a key factor easing inflation, potentially paving the way for the Bank of England's Monetary Policy Committee to cut interest rates further this year. Such a move could weaken the pound against other major currencies. Conversely, stronger-than-expected wage growth could signal persistent inflation, limiting rate cuts and boosting the pound's performance against other currencies. 
Learn More: GBPJPY | GBPCAD</t>
  </si>
  <si>
    <t>GBP - Average Earnings Index + Bonus (Nov)</t>
  </si>
  <si>
    <t>CAD - Common CPI (YoY)</t>
  </si>
  <si>
    <t>December's Conusmer Price Index will also be released, with Bloomberg predicting the YoY inflation headline to edge lower from 1.9% in November to 1.8% in December. 
Last year, the Bank of Canada reduced interest rates from 5% to 3.25%. Continued declines in inflation could set the stage for additional cuts this year. Notably, Canadian officials have hinted at further rate reductions in response to US tariffs proposed by incoming President Trump, aimed at pressuring Canada politically. 
Learn More: CADJPY | GBPCAD</t>
  </si>
  <si>
    <t>NZD - CPI (QoQ) (Q4)</t>
  </si>
  <si>
    <t>According to Bloomberg, New Zealand's YoY inflation headline is expected to decrease slightly, from 2.2% in the third quarter to 2.1% in the fourth quarter. This decline could enable the Reserve Bank of New Zealand to continue its monetary easing, following last year's interest rate cuts from 5.5% to 4.25%.
However, a higher-than-expected rise in inflation could slow the Reserve Bank's rate-cutting trajectory, potentially boosting the value of the New Zealand dollar against major currencies like the US dollar. 
Learn More: NZDUSD</t>
  </si>
  <si>
    <t>US - Initial Jobless Claims</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</si>
  <si>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</si>
  <si>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US - Crude Oil Inventories</t>
  </si>
  <si>
    <t>-1.962M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</si>
  <si>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More:USDOILRoll</t>
  </si>
  <si>
    <t>JPY - BoJ Interest Rate Decision</t>
  </si>
  <si>
    <t xml:space="preserve">
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More:USDJPY | EURJPY</t>
  </si>
  <si>
    <t>US - Manufacturing PMI P</t>
  </si>
  <si>
    <t xml:space="preserve">
Since the beginning of Q3 last year, the PMI has been in contraction territory (below 50).
Bloomberg forecasts the index to slightly improve from 49.4 to 49.6. Any reading above expectations would signal progress toward exiting the contraction zone, positively impacting the US GDP for Q4 and bolstering stock indices like the Dow Jones Industrial Average (US30).
Learn More:USDJPY | EURJUSD | US30</t>
  </si>
  <si>
    <t>US - Services PMI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</si>
  <si>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More:USDJPY | EURUSD</t>
  </si>
  <si>
    <t>US - Existing Home Sales Dec</t>
  </si>
  <si>
    <t>4.16M</t>
  </si>
  <si>
    <t>4.15M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</si>
  <si>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More:USDJPY | EURJUSD</t>
  </si>
  <si>
    <t>Source: Bloomberg, ADSS, News Articles, Company Research. Notes as of 20th January 2025, 10 AM.</t>
  </si>
  <si>
    <t>Australia - Australia Day</t>
  </si>
  <si>
    <t>Australia Day is a national holiday in Australia, celebrating the country's history and culture. Markets and businesses are typically closed, leading to reduced trading activity.
Learn More: []</t>
  </si>
  <si>
    <t>CNY - Manufacturing PMI (Jan)</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</si>
  <si>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</si>
  <si>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USD - New Home Sales (Dec)</t>
  </si>
  <si>
    <t>670K</t>
  </si>
  <si>
    <t>664K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</si>
  <si>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
Learn More: USDJPY | EURUSD</t>
  </si>
  <si>
    <t>CNY - Chinese New Year</t>
  </si>
  <si>
    <t>Chinese New Year is a major holiday in China, marking the beginning of the lunar new year. Financial markets and businesses are closed, resulting in lower trading volumes across Asia.
Learn More: []</t>
  </si>
  <si>
    <t>KRW</t>
  </si>
  <si>
    <t>KRW - Korean New Year</t>
  </si>
  <si>
    <t>Korean New Year, or Seollal, is a significant holiday in South Korea, celebrated with family gatherings and traditional rituals. Markets are closed, leading to reduced trading activity.
Learn More: []</t>
  </si>
  <si>
    <t>USD - Durable Goods Orders (MoM) (Dec)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</si>
  <si>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t>
  </si>
  <si>
    <t>USD - CB Consumer Confidence (Jan)</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</si>
  <si>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t>
  </si>
  <si>
    <t>SGD</t>
  </si>
  <si>
    <t>SGD - Singapore - Chinese New Year</t>
  </si>
  <si>
    <t>Singapore observes Chinese New Year as a public holiday, with businesses and financial markets closed. Trading activity is typically subdued during this period.
Learn More: []</t>
  </si>
  <si>
    <t>HKD</t>
  </si>
  <si>
    <t>HKD - Hong Kong - Chinese New Year</t>
  </si>
  <si>
    <t>Hong Kong celebrates Chinese New Year with public holidays, resulting in closures of financial markets and businesses. Trading volumes are generally lower during this time.
Learn More: []</t>
  </si>
  <si>
    <t>USD - Microsoft earnings report</t>
  </si>
  <si>
    <t>Typically reports after U.S. markets close
Learn More: UT100</t>
  </si>
  <si>
    <t>USD - Tesla earnings report</t>
  </si>
  <si>
    <t>CAD - BoC Interest Rate Decision</t>
  </si>
  <si>
    <t>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USDCAD | CADJPY</t>
  </si>
  <si>
    <t>USD - Crude Oil Inventories</t>
  </si>
  <si>
    <t>-1.017M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</si>
  <si>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</si>
  <si>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FOMC Statement</t>
  </si>
  <si>
    <t>The Federal Reserve Open Market Committee is convening to vote on US interest rates. According to Bloomberg, members are expected to maintain the current rate, supported by last month's economic data. The US jobs report for December revealed a rise in employment, with jobs added to the economy increasing from 212,000 in November to 256,000 in December, while unemployment dropped from 4.2% to 4.1%. Meanwhile, the US Consumer Price Index for December indicated a slight decline in the year-over-year (YoY) core inflation, from 3.2% to 3.1%
Investors are also anticipating Powell's press conference for insights into US monetary policy, particularly the potential impact of President Trump's policies, the Federal Reserve's tolerance for rising inflation, and the likelihood of interest rate hikes rather than cuts in 2025.
Learn More: USDJPY | EURUSD | XAGUSD</t>
  </si>
  <si>
    <t>USD - Fed Interest Rate Decision</t>
  </si>
  <si>
    <t>USD - FOMC Press Conference</t>
  </si>
  <si>
    <t>USD - Meta earnings report</t>
  </si>
  <si>
    <t>EUR - German GDP (QoQ) (Q4) P</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</si>
  <si>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EURUSD | EURJPY</t>
  </si>
  <si>
    <t>EUR - Deposit Facility Rate (Jan)</t>
  </si>
  <si>
    <t>Bloomberg Suggests the ECB may reduce interest rates by 25 basis points at this meeting. Markets have already priced in a potential reduction of up to 100 basis points this year, in light of some ECB Board members' hints about the possibility of reaching neutral rates as long as inflation levels stabilize close to the ECB's 2% target._x000B__x000B_Traders will pay close attention to ECB President Christine Lagarde's press conference for clues on how European monetary policy might be impacted by the looming threat of a trade war between the European Union and the United States. Proposed tariffs on European goods by President Trump - and potentially retaliatory measures on American products - could drive European inflation levels higher. _x000B_
_x000B_
Learn More: EURUSD | EURJPY | CAC40</t>
  </si>
  <si>
    <t>EUR - ECB Interest Rate Decision (Jan)</t>
  </si>
  <si>
    <t>USD - GDP (QoQ) (Q4) P</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</si>
  <si>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EURUSD | USDJPY</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</si>
  <si>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EURUSD | USDJPY</t>
  </si>
  <si>
    <t>EUR - ECB Press Conference</t>
  </si>
  <si>
    <t>[]
Learn More: []</t>
  </si>
  <si>
    <t>USD - Apple  earnings report</t>
  </si>
  <si>
    <t>Bloombeg forecasts suggest Apple may post YoY growth of 3.9%, with earnings per share (EPS) expected to rise from 2.18 in Q1 of last year to 2.35 in the same period this year. 
However, Apple faces challenges, particularly a decline in sales growth for products like the iPhone, especially in China, where sales are estimated to have dropped by 18% in Q4 of last year. This decline is partially offset by growth in the European and Asian markets.
A key focus for investors is Apple's initiative to integrate artificial intelligence into its devices, enhancing user experience. This strategy could drive increased demand for Apple's products. 
Any unexpected positive news, such as stronger-than-anticipated economic outlook, could boost Apple's stock and have a positive impact on the US500 index, where Apple's stock is a major component.
Learn More: US500 | UT100</t>
  </si>
  <si>
    <t>EUR - German CPI (MoM) (Jan)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</si>
  <si>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EURUSD |  EURJPY</t>
  </si>
  <si>
    <t>USD - Core PCE Price Index (MoM) (Dec)</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</si>
  <si>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EURUSD |  USDJPY</t>
  </si>
  <si>
    <t>USD - Core PCE Price Index (YoY) (Dec)</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</si>
  <si>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EURUSD |  USDJPY</t>
  </si>
  <si>
    <t>USD - Chicago PMI (Jan)</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</si>
  <si>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EURUSD |  USDJPY</t>
  </si>
  <si>
    <t>Source: Bloomberg, ADSS, News Articles, Company Research. Notes as of 27th January 2025, 7 AM.</t>
  </si>
  <si>
    <t>664</t>
  </si>
  <si>
    <t>666</t>
  </si>
  <si>
    <t>627</t>
  </si>
  <si>
    <t>0.7% </t>
  </si>
  <si>
    <t>1.0% </t>
  </si>
  <si>
    <t>112.9 </t>
  </si>
  <si>
    <t>48.3 </t>
  </si>
  <si>
    <t>58.5 </t>
  </si>
  <si>
    <t>4.15</t>
  </si>
  <si>
    <t>4.09</t>
  </si>
  <si>
    <t>3.25% </t>
  </si>
  <si>
    <t>3.75% </t>
  </si>
  <si>
    <t>-1.017</t>
  </si>
  <si>
    <t>-2.100</t>
  </si>
  <si>
    <t>-1.962</t>
  </si>
  <si>
    <t>-3.500</t>
  </si>
  <si>
    <t>3.00% </t>
  </si>
  <si>
    <t>3.50% </t>
  </si>
  <si>
    <t>4.00% </t>
  </si>
  <si>
    <t>3.15% </t>
  </si>
  <si>
    <t>3.40% </t>
  </si>
  <si>
    <t>3.65% </t>
  </si>
  <si>
    <t>210</t>
  </si>
  <si>
    <t>203</t>
  </si>
  <si>
    <t>42.7 </t>
  </si>
  <si>
    <t>C:GBPCAD</t>
  </si>
  <si>
    <t>GBPCAD.sd</t>
  </si>
  <si>
    <t>xx</t>
  </si>
  <si>
    <t>Holiday</t>
  </si>
  <si>
    <t>National Day</t>
  </si>
  <si>
    <t>Japan's National Day is a public holiday, and financial markets are closed.
Learn More: Legacy Reference</t>
  </si>
  <si>
    <t>NFIB Small Business Optimism</t>
  </si>
  <si>
    <t>The National Federation of Independent Business (NFIB) Small Business Optimism Index is a composite of ten seasonally adjusted components. It comprises survey results from amongst the organisation's members. In providing an indication of the health of small businesses in the U.S., it is important to watch as roughly 50% of the nation's private workforce work for small businesses. A reading that is stronger than forecast is generally supportive (bullish) for the USD, while a weaker than forecast reading is generally negative (bearish) for the USD.
Learn More: USDJPY | EURUSD</t>
  </si>
  <si>
    <t>Fed Chair Jerome Powell Testifies</t>
  </si>
  <si>
    <t>Federal Reserve Chair Jerome Powell (Feb. 2018 – Feb. 2022) is to testify on the economic outlook and recent monetary policy actions before the Joint Economic Committee, in Washington DC. The testimony is in two parts; the first is a prepared statement, then the committee conducts a question and answer session. The Q&amp;A portion of the testimony can see heavy market volatility for the duration.
Learn More: USDJPY | EURUSD</t>
  </si>
  <si>
    <t>Core CPI (MoM) (Jan)</t>
  </si>
  <si>
    <t>This week, the preliminary U.S. Consumer Price Index data for January will be released, with Bloomberg foreacsting the YoY inlfation to remiain stable at 2.9%, unchanged from December.
Meanwhile, the YoY core inflation (excluding nergy and food) is expected to decline slightly from 3.2% to 3.1%, marking its lowest level in over three and a half years.
The Federal Reserve paused rate cuts in its last meeting after reducing interest rates by 100 basis points in 2024. Fed policymakres closely monitor inflation and labour market data when making decisions. A continued decline in core inflation could pave the way for future rate cuts, which would likely weaken the U.S. dollar and boost precious metal prices, including silver. 
Learn More: USDJPY, EURUSD, XAGUSD</t>
  </si>
  <si>
    <t>CPI (MoM) (Jan)</t>
  </si>
  <si>
    <t>CPI (YoY) (Jan)</t>
  </si>
  <si>
    <t>Global- Crude Oil Inventories</t>
  </si>
  <si>
    <t>8.664M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</si>
  <si>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</si>
  <si>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GDP (YoY) (Q4) P</t>
  </si>
  <si>
    <t>The UK GDP recorded its strongest growth in over a year-and-a-half, rising from 0.7% in Q2 to 0.9% in Q3. The upcoming report will provide insights into consumer and business spending, as well as government expenditures, helping assess the health of the British economy. Sustained economic growth could lead to higher corporate profits and support a rally in UK stock indices such as the UK100.
Learn More: GBPJPY, GBPUSD, UK100</t>
  </si>
  <si>
    <t>GDP (QoQ) (Q4) P</t>
  </si>
  <si>
    <t>GDP (MoM) (Dec)</t>
  </si>
  <si>
    <t>German CPI (MoM) (Jan)</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</si>
  <si>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</si>
  <si>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</si>
  <si>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PPI (MoM) (Jan)</t>
  </si>
  <si>
    <t>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EURUSD</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</si>
  <si>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EURUSD</t>
  </si>
  <si>
    <t>Eurozone GDP (QoQ) (Q4) P</t>
  </si>
  <si>
    <t>Eurozone GDP growth remained steady at 0.9%in Q3, unchanged from Q2.
The European Central Bank has cut interest rates by 100 basis points since last year, with an additional 25-basis-point cut this year. Another 25-basis-point cut is expected in the next meeting to support slowing economic growth, despite inflation rising slightly from 2.4% in December to 2.5% in January.
Learn More: ESTOX, DE40Roll</t>
  </si>
  <si>
    <t>Core Retail Sales (MoM) (Jan)</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</si>
  <si>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EURUSD</t>
  </si>
  <si>
    <t>Retail Sales (MoM) (Jan)</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</si>
  <si>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EURUSD</t>
  </si>
  <si>
    <t>Source: Bloomberg, ADSS, News Articles, Company Research. Notes as of 10th February 2025, 10 AM.</t>
  </si>
  <si>
    <t>As per CME FedWatch, the FFR is expected to be 4.37%</t>
  </si>
  <si>
    <t>101.3 </t>
  </si>
  <si>
    <t>94.6 </t>
  </si>
  <si>
    <t>91.9 </t>
  </si>
  <si>
    <t>92.0 </t>
  </si>
  <si>
    <t>93.6 </t>
  </si>
  <si>
    <t>91.5 </t>
  </si>
  <si>
    <t xml:space="preserve"> </t>
  </si>
  <si>
    <t>8.664</t>
  </si>
  <si>
    <t>2.400</t>
  </si>
  <si>
    <t>3.463</t>
  </si>
  <si>
    <t>2.200</t>
  </si>
  <si>
    <t>-1.01</t>
  </si>
  <si>
    <t>-2.10</t>
  </si>
  <si>
    <t>-1.96</t>
  </si>
  <si>
    <t>-3.50</t>
  </si>
  <si>
    <t>-0.95</t>
  </si>
  <si>
    <t>-1.80</t>
  </si>
  <si>
    <t>-1.17</t>
  </si>
  <si>
    <t>-2.40</t>
  </si>
  <si>
    <t>-4.23</t>
  </si>
  <si>
    <t>207</t>
  </si>
  <si>
    <t>JPY - Japan - Emperor's Birthday</t>
  </si>
  <si>
    <t>Japan observes Emperor’s Birthday, a national holiday. Markets remain closed, leading to lower liquidity in JPY pairs.
Learn More: Legacy Reference (hyperling: https://www.google.com/url?sa=t&amp;source=web&amp;rct=j&amp;opi=89978449&amp;url=https://en.wikipedia.org/wiki/The_Emperor%2527s_Birthday&amp;ved=2ahUKEwi36Za-n9qLAxVZsFYBHRiGH3oQFnoECFgQAQ&amp;usg=AOvVaw0B421pm151g656U7ABFws)</t>
  </si>
  <si>
    <t>EUR - CPI (YoY) (Jan)</t>
  </si>
  <si>
    <t xml:space="preserve">
Bloomberg's expectations suggest YoY inflation will increase from 2.4% in December to 2.5% in January, while the YoY core inflation to remain steady at 2.7%. Notably, sources from the European Central Bank have hinted at lowering the neutral interest rate ceiling - from 2.5% to a range of 1.75% - 2.25%. This highlights uncertainty over its precise level. A lower-than-expected inflation reading could support further ECB rate cuts, aimed at boosting European GDP growth. This could benefit stock indices such ESTOX. DE40.
Learn More: EURJPY | EURUSD | ESTOX | DE40Roll</t>
  </si>
  <si>
    <t>EUR - German GDP (QoQ) (Q4)</t>
  </si>
  <si>
    <t>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</si>
  <si>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USD - CB Consumer Confidence (Feb)</t>
  </si>
  <si>
    <t>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</si>
  <si>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INR</t>
  </si>
  <si>
    <t>INR - India - Mahashivratri</t>
  </si>
  <si>
    <t>A major Hindu festival dedicated to Lord Shiva, Mahashivratri is observed across India. Financial markets remain closed, leading to reduced liquidity in INR trading.
Learn More: Legacy Reference (Hyperlink: https://www.google.com/url?sa=t&amp;source=web&amp;rct=j&amp;opi=89978449&amp;url=https://en.wikipedia.org/wiki/Maha_Shivaratri&amp;ved=2ahUKEwjfof7xn9qLAxUDrlYBHbv9EtAQFnoECBsQAQ&amp;usg=AOvVaw0jLuuurYN4ucTmvXDzPPSQ)</t>
  </si>
  <si>
    <t>4.633M</t>
  </si>
  <si>
    <t>USD - New Home Sales (Jan)</t>
  </si>
  <si>
    <t>USD - NVIDIA earnings release</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</si>
  <si>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US100Roll | NVIDIA</t>
  </si>
  <si>
    <t>CHF - GDP (QoQ) (Q4)</t>
  </si>
  <si>
    <t>Swiss GDP saw its strongest growth in over two years, rising from 1.5% in Q2 2024 to 2%, in Q3.
The upcoming report will assess the contributions of consumer spending, business investments, and government expenditures to economic growth. 
Bloomberg forecasts a 1.1% decline in Q4 GDP nonetheless, any upside surprise could boost investor sentiment and risk appetite, and have a positive impact on Swiss stock indices, including the Swiss Markets Index.
It's worth highlighting that the Swiss index is approaching its December 2021 peak. A successful breakout could mark a new record high. 
Learn More: CHFJPY | Swiss20Roll</t>
  </si>
  <si>
    <t>USD - Durable Goods Orders (MoM) (Jan) P</t>
  </si>
  <si>
    <t>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EURUSD</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</si>
  <si>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</si>
  <si>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 EURUSD</t>
  </si>
  <si>
    <t>EUR - German CPI (MoM) (Feb)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</si>
  <si>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</si>
  <si>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PCE Price Index (MoM) (Jan)</t>
  </si>
  <si>
    <t>Bloomberg forecasts the YoY headline to ease from 2.6% in December to 2.5% in January, while the YoY core PCE is expected to decline from 2.8% to 2.7%. A hotter-than-expected reading would suggest persistent inflation, delaying potential Fed rate cuts and strenghtening the US dollar - potentially pressuring silver prices. Conversely, a softer print could support precious metals. 
Learn More: USDJPY | EURUSD | XAGUSD</t>
  </si>
  <si>
    <t>USD - Core PCE Price Index (YoY) (Jan)</t>
  </si>
  <si>
    <t>USD - Chicago PMI (Feb)</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</si>
  <si>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USDJPY | EURUSD</t>
  </si>
  <si>
    <t>KRW - South Korea - Independence Movement Day</t>
  </si>
  <si>
    <t>South Korea observes the Independence Movement Day, commemorating the 1919 protest against Japanese rule. Markets remain closed, impacting KRW liquidity.
Learn More: Legacy Reference (hyperling: https://www.google.com/url?sa=t&amp;source=web&amp;rct=j&amp;opi=89978449&amp;url=https://en.wikipedia.org/wiki/March_First_Movement&amp;ved=2ahUKEwjX8LOJoNqLAxVZ5DQHHcbJCZQQFnoECA8QAQ&amp;usg=AOvVaw0mADMg4uDFjm5RbF2oa6Ve</t>
  </si>
  <si>
    <t>CNY - Manufacturing PMI (Feb)</t>
  </si>
  <si>
    <t>As per CME FedWatch tool, the FFR is expected to be 4.37%
Learn More: CME FedWatch</t>
  </si>
  <si>
    <t>Source: Bloomberg, ADSS, News Articles, Company Research. Notes as of 24th February 2025, 10 AM.</t>
  </si>
  <si>
    <t>105.7 </t>
  </si>
  <si>
    <t>4.633</t>
  </si>
  <si>
    <t>3.200</t>
  </si>
  <si>
    <t>4.070</t>
  </si>
  <si>
    <t>669</t>
  </si>
  <si>
    <t>674</t>
  </si>
  <si>
    <t>m</t>
  </si>
  <si>
    <t>b</t>
  </si>
  <si>
    <t>208</t>
  </si>
  <si>
    <t>40.3 </t>
  </si>
  <si>
    <t>49.1</t>
  </si>
  <si>
    <t>50.1</t>
  </si>
  <si>
    <t>50.3</t>
  </si>
  <si>
    <t>50.2</t>
  </si>
  <si>
    <t>49.5</t>
  </si>
  <si>
    <t>C:USDKRW</t>
  </si>
  <si>
    <t>USDKRW</t>
  </si>
  <si>
    <t>USD - Manufacturing PMI (Mar)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</si>
  <si>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</si>
  <si>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(Mar) P</t>
  </si>
  <si>
    <t>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</si>
  <si>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CB Consumer Confidence (Mar)</t>
  </si>
  <si>
    <t>USD - New Home Sales (Feb)</t>
  </si>
  <si>
    <t>657K</t>
  </si>
  <si>
    <t>New Home Sales measures the annualised number of new single-family homes that were sold during the prior month. When it's released ahead of Existing Home Sales, this report tends to have more impact because the two reports are highly correlated.
A reading that is stronger than forecast is generally supportive (bullish) for the USD, while a weaker than forecast reading is generally negative (bearish) for the USD.</t>
  </si>
  <si>
    <t>GBP - CPI (YoY) (Feb)</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</si>
  <si>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</si>
  <si>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 xml:space="preserve">GBP - Spring Forecast Statement </t>
  </si>
  <si>
    <t xml:space="preserve">
The Spring Statement of the British Government, also known as the 'mini-budget', is one of the two statements HM Treasury makes each year to Parliament upon publication of economic forecasts. It usually involves speeches in the House of Commons by the Chancellor of the Exchequer.
Learn More: GBPJPY | GBPUSD</t>
  </si>
  <si>
    <t>USD - Durable Goods orders (MoM) (Feb) P</t>
  </si>
  <si>
    <t xml:space="preserve">
Durable Goods Orders reports the change in the total value of new orders for long lasting manufactured goods, including transportation items.
A reading that is stronger than forecast is generally supportive (bullish) for the USD, while a weaker than forecast reading is generally negative (bearish) for the USD.
Learn More: USDJPY | EURJPY</t>
  </si>
  <si>
    <t>1.745M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</si>
  <si>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</si>
  <si>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USD - GDP (QoQ) (Q4)</t>
  </si>
  <si>
    <t xml:space="preserve">
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 EURJPY</t>
  </si>
  <si>
    <t>GBP - GDP (QoQ) (Q4)</t>
  </si>
  <si>
    <t xml:space="preserve">
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</si>
  <si>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(YoY) (Q4)</t>
  </si>
  <si>
    <t>USD - Core PCE Price Index (MoM) (Feb)</t>
  </si>
  <si>
    <t>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</si>
  <si>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(Feb)</t>
  </si>
  <si>
    <t>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</si>
  <si>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Source: Bloomberg, News Articles, Company Research. Notes as of 21st March 2025, 10 AM.</t>
  </si>
  <si>
    <t>51.6 </t>
  </si>
  <si>
    <t>49.7 </t>
  </si>
  <si>
    <t>53.0 </t>
  </si>
  <si>
    <t>102.7 </t>
  </si>
  <si>
    <t>657</t>
  </si>
  <si>
    <t>679</t>
  </si>
  <si>
    <t>734</t>
  </si>
  <si>
    <t>1.745</t>
  </si>
  <si>
    <t>1.448</t>
  </si>
  <si>
    <t>2.100</t>
  </si>
  <si>
    <t>3.614</t>
  </si>
  <si>
    <t>0.600</t>
  </si>
  <si>
    <t>-2.33</t>
  </si>
  <si>
    <t>2.500</t>
  </si>
  <si>
    <t>226</t>
  </si>
  <si>
    <t>234</t>
  </si>
  <si>
    <t>SGD - Singapore Eid al-Fitr</t>
  </si>
  <si>
    <t>INR - India - Ramzan (Id-Ul-Fitr)</t>
  </si>
  <si>
    <t>CNY - Manufacturing PMI (Mar)</t>
  </si>
  <si>
    <t>EUR - German CPI (MoM) (Mar) P</t>
  </si>
  <si>
    <t>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</si>
  <si>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Chicago PMI (Mar)</t>
  </si>
  <si>
    <t>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More:USDJPY | EURUSD</t>
  </si>
  <si>
    <t>AUD - RBA Interest Rate Decision (Apr)</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</si>
  <si>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More:AUDJPY | AUDUSD</t>
  </si>
  <si>
    <t>EUR - CPI (YoY) (Mar)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</si>
  <si>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More:EURJPY | EURUSD</t>
  </si>
  <si>
    <t>USD - Manufacturing PMI (Mar)</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</si>
  <si>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More:USDJPY | EURUSD</t>
  </si>
  <si>
    <t>USD - ISM Manufacturing PMI (Mar)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</si>
  <si>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More:USDJPY | EURUSD</t>
  </si>
  <si>
    <t>USD - ISM Manufacturing Prices (Mar)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</si>
  <si>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More:USDJPY | EURUSD</t>
  </si>
  <si>
    <t>USD - JOLTS Job Openings (Feb)</t>
  </si>
  <si>
    <t>7.740M</t>
  </si>
  <si>
    <t xml:space="preserve">
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More:USDJPY | EURUSD</t>
  </si>
  <si>
    <t>USD - ADP Nonfarm Employment Change (Mar)</t>
  </si>
  <si>
    <t>77K</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</si>
  <si>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More:USDJPY | EURUSD</t>
  </si>
  <si>
    <t>-3.341M</t>
  </si>
  <si>
    <t xml:space="preserve">
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</si>
  <si>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USD - Services PMI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</si>
  <si>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More:USDJPY | EURUSD</t>
  </si>
  <si>
    <t>USD - ISM Non-Manufacturing PMI (Mar)</t>
  </si>
  <si>
    <t>USD - ISM Non-Manufacturing Prices (Mar)</t>
  </si>
  <si>
    <t>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More:USDJPY | EURUSD</t>
  </si>
  <si>
    <t>HKD - Hong Kong - Ching Ming Festival</t>
  </si>
  <si>
    <t>CNY - China - Ching Ming Festival</t>
  </si>
  <si>
    <t>USD - Average Hourly Earnings (MoM) (Mar)</t>
  </si>
  <si>
    <t>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More:USDJPY | EURUSD</t>
  </si>
  <si>
    <t>USD - Nonfarm Payrolls (Mar)</t>
  </si>
  <si>
    <t>128K</t>
  </si>
  <si>
    <t>151K</t>
  </si>
  <si>
    <t>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More:USDJPY | EURUSD</t>
  </si>
  <si>
    <t>USD - Unemployment Rate (Mar)</t>
  </si>
  <si>
    <t>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More:USDJPY | EURUSD</t>
  </si>
  <si>
    <t>USD - Fed Chair Powell Speaks</t>
  </si>
  <si>
    <t>Federal Reserve Chair Jerome Powell is to speak. As head of the Fed, which controls short term interest rates, he has more influence over the U.S. dollar's value than any other person. Traders closely watch his speeches as they are often used to drop hints regarding future monetary policy.
Learn More:USDJPY | EURUSD</t>
  </si>
  <si>
    <t>Source: Bloomberg, News Articles, Company Research. Notes as of 30st March 2025, 6 PM.</t>
  </si>
  <si>
    <t>Year</t>
  </si>
  <si>
    <t>Month</t>
  </si>
  <si>
    <t>ct 31, 2024 (Sep)</t>
  </si>
  <si>
    <t>2025</t>
  </si>
  <si>
    <t>01</t>
  </si>
  <si>
    <t>Oct 01, 2024 (Aug)</t>
  </si>
  <si>
    <t>27</t>
  </si>
  <si>
    <t>Aug 30, 2024 (Jul)</t>
  </si>
  <si>
    <t>2024</t>
  </si>
  <si>
    <t>31</t>
  </si>
  <si>
    <t>Jul 31, 2024 (Jun)</t>
  </si>
  <si>
    <t>30</t>
  </si>
  <si>
    <t>Jul 03, 2024 (May)</t>
  </si>
  <si>
    <t>Jun 04, 2024 </t>
  </si>
  <si>
    <t>14</t>
  </si>
  <si>
    <t>0.0</t>
  </si>
  <si>
    <t>0.4</t>
  </si>
  <si>
    <t>-0.</t>
  </si>
  <si>
    <t>Dec 16, 2024 (Dec)</t>
  </si>
  <si>
    <t>28</t>
  </si>
  <si>
    <t>Dec 02, 2024 (Nov)</t>
  </si>
  <si>
    <t>13</t>
  </si>
  <si>
    <t>Nov 22, 2024 (Nov)</t>
  </si>
  <si>
    <t>0.1</t>
  </si>
  <si>
    <t>Nov 01, 2024 (Oct)</t>
  </si>
  <si>
    <t>16</t>
  </si>
  <si>
    <t>Oct 24, 2024 (Oct)</t>
  </si>
  <si>
    <t>06</t>
  </si>
  <si>
    <t>0.3</t>
  </si>
  <si>
    <t>Oct 01, 2024 (Sep)</t>
  </si>
  <si>
    <t>40.5 </t>
  </si>
  <si>
    <t>29</t>
  </si>
  <si>
    <t>4.10% </t>
  </si>
  <si>
    <t>18</t>
  </si>
  <si>
    <t>10</t>
  </si>
  <si>
    <t>05</t>
  </si>
  <si>
    <t>24</t>
  </si>
  <si>
    <t>19</t>
  </si>
  <si>
    <t>03</t>
  </si>
  <si>
    <t>17</t>
  </si>
  <si>
    <t>07</t>
  </si>
  <si>
    <t>50.6 </t>
  </si>
  <si>
    <t>50.9</t>
  </si>
  <si>
    <t>49.3 </t>
  </si>
  <si>
    <t>49.3</t>
  </si>
  <si>
    <t>48.2 </t>
  </si>
  <si>
    <t>48.4</t>
  </si>
  <si>
    <t>02</t>
  </si>
  <si>
    <t>56.2 </t>
  </si>
  <si>
    <t>51.5 </t>
  </si>
  <si>
    <t>7.740</t>
  </si>
  <si>
    <t>7.650</t>
  </si>
  <si>
    <t>7.508</t>
  </si>
  <si>
    <t>7.650M </t>
  </si>
  <si>
    <t>7.508M</t>
  </si>
  <si>
    <t>11</t>
  </si>
  <si>
    <t>7.600</t>
  </si>
  <si>
    <t>8.010</t>
  </si>
  <si>
    <t>8.156</t>
  </si>
  <si>
    <t>7.600M</t>
  </si>
  <si>
    <t>8.010M </t>
  </si>
  <si>
    <t>8.156M</t>
  </si>
  <si>
    <t>04</t>
  </si>
  <si>
    <t>8.098</t>
  </si>
  <si>
    <t>7.730</t>
  </si>
  <si>
    <t>7.839</t>
  </si>
  <si>
    <t>8.098M</t>
  </si>
  <si>
    <t>7.730M </t>
  </si>
  <si>
    <t>7.839M</t>
  </si>
  <si>
    <t>7.510M </t>
  </si>
  <si>
    <t>7.372M</t>
  </si>
  <si>
    <t>7.443M</t>
  </si>
  <si>
    <t>7.980M </t>
  </si>
  <si>
    <t>7.861M</t>
  </si>
  <si>
    <t>Actua</t>
  </si>
  <si>
    <t>Forec</t>
  </si>
  <si>
    <t>Previ</t>
  </si>
  <si>
    <t>77</t>
  </si>
  <si>
    <t>141</t>
  </si>
  <si>
    <t>186</t>
  </si>
  <si>
    <t>141K </t>
  </si>
  <si>
    <t>186K</t>
  </si>
  <si>
    <t>183</t>
  </si>
  <si>
    <t>148</t>
  </si>
  <si>
    <t>183K</t>
  </si>
  <si>
    <t>176K</t>
  </si>
  <si>
    <t>139</t>
  </si>
  <si>
    <t>139K </t>
  </si>
  <si>
    <t>08</t>
  </si>
  <si>
    <t>Dec. 04, 2024</t>
  </si>
  <si>
    <t>166K </t>
  </si>
  <si>
    <t>110K </t>
  </si>
  <si>
    <t>-3.34</t>
  </si>
  <si>
    <t>26</t>
  </si>
  <si>
    <t>1.448M</t>
  </si>
  <si>
    <t>2.100M </t>
  </si>
  <si>
    <t>3.614M</t>
  </si>
  <si>
    <t>0.600M </t>
  </si>
  <si>
    <t>-2.332M</t>
  </si>
  <si>
    <t>2.500M </t>
  </si>
  <si>
    <t>3.200M </t>
  </si>
  <si>
    <t>4.070M</t>
  </si>
  <si>
    <t>20</t>
  </si>
  <si>
    <t>225K </t>
  </si>
  <si>
    <t>226K </t>
  </si>
  <si>
    <t>234K </t>
  </si>
  <si>
    <t>215K </t>
  </si>
  <si>
    <t>214K</t>
  </si>
  <si>
    <t>51.2 </t>
  </si>
  <si>
    <t>54</t>
  </si>
  <si>
    <t>51.</t>
  </si>
  <si>
    <t>51</t>
  </si>
  <si>
    <t>49.</t>
  </si>
  <si>
    <t>52.</t>
  </si>
  <si>
    <t>54.</t>
  </si>
  <si>
    <t>52.5 </t>
  </si>
  <si>
    <t>/</t>
  </si>
  <si>
    <t>54.2 </t>
  </si>
  <si>
    <t>57.5 </t>
  </si>
  <si>
    <t>23</t>
  </si>
  <si>
    <t>Mar. 07, 2025</t>
  </si>
  <si>
    <t>elease Date</t>
  </si>
  <si>
    <t>151</t>
  </si>
  <si>
    <t>125</t>
  </si>
  <si>
    <t>159K </t>
  </si>
  <si>
    <t>125K</t>
  </si>
  <si>
    <t>Nov 15, 2024 (Oct)</t>
  </si>
  <si>
    <t>169</t>
  </si>
  <si>
    <t>307</t>
  </si>
  <si>
    <t>169K </t>
  </si>
  <si>
    <t>307K</t>
  </si>
  <si>
    <t>Oct 17, 2024 (Sep)</t>
  </si>
  <si>
    <t>256</t>
  </si>
  <si>
    <t>212</t>
  </si>
  <si>
    <t>256K</t>
  </si>
  <si>
    <t>212K</t>
  </si>
  <si>
    <t>Sep 17, 2024 (Aug)</t>
  </si>
  <si>
    <t>202K </t>
  </si>
  <si>
    <t>36K</t>
  </si>
  <si>
    <t>Aug 15, 2024 (Jul)</t>
  </si>
  <si>
    <t>12K</t>
  </si>
  <si>
    <t>106K </t>
  </si>
  <si>
    <t>Jul 16, 2024 (Jun)</t>
  </si>
  <si>
    <t>Jun 18, 2024 (May)</t>
  </si>
  <si>
    <t>4.0</t>
  </si>
  <si>
    <t>4.1</t>
  </si>
  <si>
    <t>4.2</t>
  </si>
  <si>
    <t>Nov. 14, 2024</t>
  </si>
  <si>
    <t>t</t>
  </si>
  <si>
    <t>NZD - RBNZ Interest Rate Decision</t>
  </si>
  <si>
    <t>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 NZDUSD</t>
  </si>
  <si>
    <t>6.165</t>
  </si>
  <si>
    <t>USD - 10-Year Note Auction</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</si>
  <si>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USDJPY | EURUSD</t>
  </si>
  <si>
    <t>USD - FOMC Meeting Minutes</t>
  </si>
  <si>
    <t>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 EURUSD</t>
  </si>
  <si>
    <t>INR - India - Mahavir Jayanti</t>
  </si>
  <si>
    <t>[]
Learn More: NZDJPY | NZDUSD</t>
  </si>
  <si>
    <t>USD - Core CPI (MoM) (Mar)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</si>
  <si>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</si>
  <si>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(YoY) (Mar)</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</si>
  <si>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</si>
  <si>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USD - CPI (MoM)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</si>
  <si>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USD, while a weaker than forecast reading is generally negative (bearish) for the USD.
Learn More: USDJPY |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</si>
  <si>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Learni More: USDJPY | EURUSD</t>
  </si>
  <si>
    <t>USD- 30-Year Bond Auction</t>
  </si>
  <si>
    <t>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Learni More: USDJPY | EURUSD</t>
  </si>
  <si>
    <t>GBP - GDP (MoM) (Feb)</t>
  </si>
  <si>
    <t>Gross Domestic Product (GDP) measures the annualized change in the inflation-adjusted value of all goods and services produced by the economy. It is the broadest measure of economic activity and the primary indicator of the economy's health. A higher than expected reading should be taken as positive/bullish for the GBP, while a lower than expected reading should be taken as negative/bearish for the GBP.
Learn More: GBPJPY | GBPUSD</t>
  </si>
  <si>
    <t>EUR - German CPI (MoM) (Mar)</t>
  </si>
  <si>
    <t>USD - PPI (MoM) (Mar)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</si>
  <si>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USDJPY | EURUSD</t>
  </si>
  <si>
    <t>Source: Bloomberg, News Articles, Company Research. Notes as of 6th April 2025, 6 PM.</t>
  </si>
  <si>
    <t xml:space="preserve"> 49.7  </t>
  </si>
  <si>
    <t xml:space="preserve"> 53.0  </t>
  </si>
  <si>
    <t xml:space="preserve"> -   </t>
  </si>
  <si>
    <t>C:NZDJPY</t>
  </si>
  <si>
    <t>NZDJPY.sd</t>
  </si>
  <si>
    <t>-0.20</t>
  </si>
  <si>
    <t>INR - India -Ambedkar Jayanti</t>
  </si>
  <si>
    <t>NOK</t>
  </si>
  <si>
    <t>NOK - Norway - Holy Wednesday - Early close at 13:00</t>
  </si>
  <si>
    <t>CNY - GDP (YoY) (Q1)</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</si>
  <si>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CNY, while a weaker than forecast reading is generally negative (bearish) for the CNY.
Learn More: USDCNY | USDCNH</t>
  </si>
  <si>
    <t>GBP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</si>
  <si>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GBPJPY | GBPUSD</t>
  </si>
  <si>
    <t>EUR - CPI (YoY) (Mar)</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</si>
  <si>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</si>
  <si>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Core Retail Sales (MoM) (Mar)</t>
  </si>
  <si>
    <t xml:space="preserve">
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</si>
  <si>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(Mar)</t>
  </si>
  <si>
    <t xml:space="preserve">
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</si>
  <si>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 USDCAD</t>
  </si>
  <si>
    <t>2.553M</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</si>
  <si>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</si>
  <si>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MXN</t>
  </si>
  <si>
    <t>MXN - Mexico - Easter</t>
  </si>
  <si>
    <t>NOK - Norway - Maundy Thursday</t>
  </si>
  <si>
    <t>EUR -  Deposit Facility Rate (Apr)</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</si>
  <si>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EURJPY | EURUSD</t>
  </si>
  <si>
    <t>EUR - ECB Interest Rate Decision (Apr)</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</si>
  <si>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 EURUSD</t>
  </si>
  <si>
    <t>USD - Philadelphia Fed Manufacturing Index (Apr)</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</si>
  <si>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Learni More: USDJPY | EURUSD</t>
  </si>
  <si>
    <t>EUR -  ECB Press Conference</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</si>
  <si>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 EURUSD</t>
  </si>
  <si>
    <t>Global - Good Friday &amp; Easter</t>
  </si>
  <si>
    <t xml:space="preserve">
[]
Learn More: Legacy Reference</t>
  </si>
  <si>
    <t>Source: Bloomberg, News Articles, Company Research. Notes as of 13th April 2025, 3 PM.</t>
  </si>
  <si>
    <t>2.553</t>
  </si>
  <si>
    <t>This is a public holiday in India commemorating the birth anniversary of Dr. B.R. Ambedkar. Financial markets, including the National Stock Exchange (NSE) and Bombay Stock Exchange (BSE), and banks will be closed. Expect no local data releases and potentially reduced liquidity in INR currency pairs.
Learn More: Legacy Reference</t>
  </si>
  <si>
    <t>Norwegian financial markets will close early at 13:00 local time in observance of Holy Wednesday. Expect reduced liquidity in NOK currency pairs during the afternoon session.
Learn More: Legacy Reference</t>
  </si>
  <si>
    <t>Mexican financial markets will be closed in observance of Easter (likely Maundy Thursday and/or Good Friday). Expect no local data releases and potentially reduced liquidity in MXN currency pairs.
Learni More: Legacy Reference</t>
  </si>
  <si>
    <t>Norwegian financial markets will be closed in observance of Maundy Thursday. Expect no local data releases and potentially reduced liquidity in NOK currency pairs.
Learni More: Legacy Reference</t>
  </si>
  <si>
    <t>Global - Easter, Family Day, Tiradentes Day</t>
  </si>
  <si>
    <t>[]
Learn More: Legacy Reference</t>
  </si>
  <si>
    <t>USD - Tesla Earnings Report</t>
  </si>
  <si>
    <t>[]
Learn More: UT100Roll</t>
  </si>
  <si>
    <t>USD - Manufacturing PMI (Apr) P</t>
  </si>
  <si>
    <t>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</si>
  <si>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(Apr) P</t>
  </si>
  <si>
    <t xml:space="preserve">
The Service PMI release is published monthly by Markit Economics. The data are based on surveys of over 400 executives in private sector service companies. The surveys cover transport and communication, financial intermediaries, business and personal services, computing &amp; IT, hotels and restaurants. 
An index level of 50 denotes no change since the previous month, while a level above 50 signals an improvement, and below 50 indicates a deterioration. A reading that is stronger than forecast is generally supportive (bullish) for the USD, while a weaker than forecast reading is generally negative (bearish) for the USD.
Learn More: USDJPY | EURUSD</t>
  </si>
  <si>
    <t>USD - New Home Sales (Mar)</t>
  </si>
  <si>
    <t>676K</t>
  </si>
  <si>
    <t>0.515M</t>
  </si>
  <si>
    <t>USD - Durable Goods Orders (MoM) (Mar) P</t>
  </si>
  <si>
    <t>USD - Existing Homes Sales (Mar)</t>
  </si>
  <si>
    <t>4.26M</t>
  </si>
  <si>
    <t xml:space="preserve">
Existing Home Sales measures the change in the annualised number of existing residential buildings that were sold during the prior month. This report helps to gauge the strength of the U.S. housing market and is an important indicator of overall economic strength.
A reading that is stronger than forecast is generally supportive (bullish) for the USD, while a weaker than forecast reading is generally negative (bearish) for the USD.
Learn More: USDJPY | EURUSD</t>
  </si>
  <si>
    <t>USD - Alphabet Earnings Report</t>
  </si>
  <si>
    <t>AUS</t>
  </si>
  <si>
    <t>Australia - ANZAC Day</t>
  </si>
  <si>
    <t>New Zealand - ANZAC Day</t>
  </si>
  <si>
    <t>[]
Learni More: Legacy Reference</t>
  </si>
  <si>
    <t>$0.62</t>
  </si>
  <si>
    <t>$0.66</t>
  </si>
  <si>
    <t>$0.46</t>
  </si>
  <si>
    <t>$0.42</t>
  </si>
  <si>
    <t>$0.35</t>
  </si>
  <si>
    <t>$0.60</t>
  </si>
  <si>
    <t>$0.57</t>
  </si>
  <si>
    <t>$0.64</t>
  </si>
  <si>
    <t>$0.53</t>
  </si>
  <si>
    <t>$2.12</t>
  </si>
  <si>
    <t>$2.15</t>
  </si>
  <si>
    <t>$1.83</t>
  </si>
  <si>
    <t>$1.85</t>
  </si>
  <si>
    <t>$1.89</t>
  </si>
  <si>
    <t>$1.49</t>
  </si>
  <si>
    <t>$1.60</t>
  </si>
  <si>
    <t>$1.64</t>
  </si>
  <si>
    <t>$1.45</t>
  </si>
  <si>
    <t>$1.55</t>
  </si>
  <si>
    <t>676</t>
  </si>
  <si>
    <t>682</t>
  </si>
  <si>
    <t>0.515</t>
  </si>
  <si>
    <t>4.26</t>
  </si>
  <si>
    <t>4.13</t>
  </si>
  <si>
    <t>4.29</t>
  </si>
  <si>
    <t>4.24</t>
  </si>
  <si>
    <t>4.19</t>
  </si>
  <si>
    <t>ZAR</t>
  </si>
  <si>
    <t>South Africa - Freedom Day</t>
  </si>
  <si>
    <t>Japan - Showa Day</t>
  </si>
  <si>
    <t>USD - CB Consumer Confidence (Apr)</t>
  </si>
  <si>
    <t>USD - JOLTS Job Openings (Mar)</t>
  </si>
  <si>
    <t>7.568M</t>
  </si>
  <si>
    <t>A survey done by the US Bureau of Labor Statistics to help measure job vacancies. It collects data from employers about their businesses' employment, job openings, recruitment, hires and separations.
JOLTS defines Job Openings as all positions that are open (not filled) on the last business day of the month. A job is "open" only if it meets all three of the following conditions:
1. A specific position exists and there is work available for that position.
2. The job could start within 30 days, whether or not the establishment finds a suitable candidate during that time.
3. There is active recruiting for workers from outside the establishment location that has the opening.
A reading that is stronger than forecast is generally supportive (bullish) for the USD, while a weaker than forecast reading is generally negative (bearish) for the USD.
Learn More: USDJPY | EURUSD</t>
  </si>
  <si>
    <t>CNY - Manufacturing PMI (Apr)</t>
  </si>
  <si>
    <t>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USDJPY | EURUSD</t>
  </si>
  <si>
    <t>EUR - German GDP (QoQ) (Q1) P</t>
  </si>
  <si>
    <t xml:space="preserve">
Gross Domestic Product (GDP) is the broadest measure of economic activity and is a key indicator of economic health. The quarterly percent changes in GDP show the growth rate of the economy as a whole.
A reading that is stronger than forecast is generally supportive (bullish) for the EUR, while a weaker than forecast reading is generally negative (bearish) for the EUR.
Learn More: EURJPY | EURUSD</t>
  </si>
  <si>
    <t>EUR - German CPI (MoM) (Apr)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</si>
  <si>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 EURUSD</t>
  </si>
  <si>
    <t>USD - ADP Nonfarm Employment Change (Apr)</t>
  </si>
  <si>
    <t xml:space="preserve">
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</si>
  <si>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GDP (QoQ) (Q1) P</t>
  </si>
  <si>
    <t>USD - Chicago PMI (Apr)</t>
  </si>
  <si>
    <t>USD - Core PCE Price Index (MoM) (Mar)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</si>
  <si>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USDJPY | EURUSD</t>
  </si>
  <si>
    <t>USD - Core PCE Price Index (YoY) (Mar)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</si>
  <si>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USDJPY | EURUSD</t>
  </si>
  <si>
    <t>0.244M</t>
  </si>
  <si>
    <t>USD - Microsoft Earnings Report</t>
  </si>
  <si>
    <t>Microsoft’s earnings are critical for insights into cloud computing (Azure), software subscriptions, and AI initiatives.
Learn More: UT100Roll</t>
  </si>
  <si>
    <t>USD - Meta Earnings Report</t>
  </si>
  <si>
    <t>Meta’s earnings will focus on advertising revenue, AI investments, and metaverse progress. Analysts expect strong ad performance.
Learn More: UT100Roll</t>
  </si>
  <si>
    <t>Global - Labor Day | Workers Day | Maharashtra Day</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</si>
  <si>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Legacy Reference</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</si>
  <si>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Legacy Reference</t>
  </si>
  <si>
    <t>USD - ISM Manufacturing PMI (Apr)</t>
  </si>
  <si>
    <t>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</si>
  <si>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(Apr)</t>
  </si>
  <si>
    <t>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</si>
  <si>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China - Labor Day</t>
  </si>
  <si>
    <t>[]
Learn More: Legacy Refernce</t>
  </si>
  <si>
    <t>USD - Amazon.com Earnings Report</t>
  </si>
  <si>
    <t>Analysts expect earnings of $1.36 per share (+38.8% YoY) on revenue of $155.1 billion (+8.2% YoY). Focus will be on AWS growth, e-commerce margins, and tariff impacts.
Learn More: UT100Roll</t>
  </si>
  <si>
    <t>USD - Apple Earnings Report</t>
  </si>
  <si>
    <t>Apple’s fiscal Q2 results will highlight iPhone sales, services growth, and tariff-related supply chain updates. Analysts anticipate modest YoY growth.
Learn More: Legacy Refernce</t>
  </si>
  <si>
    <t>EUR - CPI (YoY) (Apr) P</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</si>
  <si>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Legacy Refernce</t>
  </si>
  <si>
    <t>USD - Average Hourly Earnings (MoM) (Apr)</t>
  </si>
  <si>
    <t xml:space="preserve">
Average Hourly Earnings measures the change in the amount of money businesses pay for labour, excluding the agricultural sector.
A reading that is stronger than forecast is generally supportive (bullish) for the USD, while a weaker than forecast reading is generally negative (bearish) for the USD.
Learn More: USDJPY | EURUSD</t>
  </si>
  <si>
    <t>USD - Nonfarm Payrolls (Apr)</t>
  </si>
  <si>
    <t xml:space="preserve">
Nonfarm Payrolls measures the change in the number of people employed during the prior month, excluding workers in the farming industry. Given that full employment is one of the Federal Reserves mandates, it is very closely watched.
A reading that is stronger than forecast is generally supportive (bullish) for the USD, while a weaker than forecast reading is generally negative (bearish) for the USD.
Learn More: USDJPY | EURUSD</t>
  </si>
  <si>
    <t>USD - Unemployment Rate (Apr)</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</si>
  <si>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</si>
  <si>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7.568</t>
  </si>
  <si>
    <t>7.690</t>
  </si>
  <si>
    <t>7.762</t>
  </si>
  <si>
    <t>50.5</t>
  </si>
  <si>
    <t>50.4</t>
  </si>
  <si>
    <t>50</t>
  </si>
  <si>
    <t>118</t>
  </si>
  <si>
    <t>84</t>
  </si>
  <si>
    <t>0.244</t>
  </si>
  <si>
    <t>-0.70</t>
  </si>
  <si>
    <t>137</t>
  </si>
  <si>
    <t>117</t>
  </si>
  <si>
    <t>Japan - Children's Day</t>
  </si>
  <si>
    <t>South Korea - Children's Day</t>
  </si>
  <si>
    <t>United Kingdom - Bank Holiday</t>
  </si>
  <si>
    <t>Hong Kong - The Birthday of the Buddha</t>
  </si>
  <si>
    <t>USD - Services PMI (Apr)</t>
  </si>
  <si>
    <t>USD - ISM Non-Manufacturing PMI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</si>
  <si>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 EURUSD</t>
  </si>
  <si>
    <t>USD - ISM Non-Manufacturing Prices (Apr)</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</si>
  <si>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 EURUSD</t>
  </si>
  <si>
    <t>Japan - Greenery Day</t>
  </si>
  <si>
    <t>South Korea - Vesak Day</t>
  </si>
  <si>
    <t xml:space="preserve">
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</si>
  <si>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-2.696M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</si>
  <si>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More:USOILRoll</t>
  </si>
  <si>
    <t>The U.S. Federal Reserve's Federal Open Market Committee (FOMC) statement is the primary tool the panel uses to communicate with investors about monetary policy. It contains the outcome of the vote on interest rates, discusses the economic outlook and offers clues on the outcome of future votes.
A more dovish than expected statement could be taken as negative/bearish for the USD, while a more hawkish than expected statement could be taken as positive/bullish for the USD.
Learn More:USDJPY | EURUSD</t>
  </si>
  <si>
    <t>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More:USDJPY | EURUSD</t>
  </si>
  <si>
    <t>[]
Learn More:USDJPY | EURUSD</t>
  </si>
  <si>
    <t>GBP - BoE Interest Rate Decision</t>
  </si>
  <si>
    <t>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More:GBPJPY | GBPUSD</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</si>
  <si>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More:USDJPY | EURUSD</t>
  </si>
  <si>
    <t>USD - 30-Year Bond Auction</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</si>
  <si>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More:USDJPY | EURUSD</t>
  </si>
  <si>
    <t>Source: Bloomberg, News Articles, Company Research. Notes as of 28th April 2025, 3 PM.</t>
  </si>
  <si>
    <t>USD - 10-Year Note Auction 2</t>
  </si>
  <si>
    <t>USD - FOMC Statement 2</t>
  </si>
  <si>
    <t>USD - FOMC Press Conference 2</t>
  </si>
  <si>
    <t>USD - 30-Year Bond Auction 2</t>
  </si>
  <si>
    <t>52.8</t>
  </si>
  <si>
    <t>54.4</t>
  </si>
  <si>
    <t>54.3</t>
  </si>
  <si>
    <t>-2.696</t>
  </si>
  <si>
    <t>0.390</t>
  </si>
  <si>
    <t>-3.341</t>
  </si>
  <si>
    <t>Singapore - Vesak Day</t>
  </si>
  <si>
    <t>USD - Core CPI (MoM) (Apr)</t>
  </si>
  <si>
    <t>The Core Consumer Price Index (CPI) measures the changes in the price of goods and services, excluding food and energy. The Central bank pays very close attention to this figure in its role of maintaining price stability. Because the Fed believes that core inflation is a better gauge of underlying price pressures, it is more closely watched than overall inflation which tends to be more volatile.
A reading that is stronger than forecast is generally supportive (bullish) for the USD, while a weaker than forecast reading is generally negative (bearish) for the USD.]
Learn More: USDJPY | EURUSD</t>
  </si>
  <si>
    <t>USD - CPI (MoM) (Apr)</t>
  </si>
  <si>
    <t>USD - CPI (YoY) (Apr)</t>
  </si>
  <si>
    <t>EUR - German CPI (MoM) (Apr)</t>
  </si>
  <si>
    <t>-2032M</t>
  </si>
  <si>
    <t>The Energy Information Administration's (EIA) Crude Oil Inventories measures the weekly change in the number of barrels of commercial crude oil held by US firms. The level of inventories influences the price of petroleum products, which can have an impact on inflation.
If the increase in crude inventories is more than expected, it implies weaker demand and is bearish for crude prices. The same can be said if a decline in inventories is less than expected.
If the increase in crude is less than expected, it implies greater demand and is bullish for crude prices. The same can be said if a decline in inventories is more than expected.
Learn More: USOILROLL</t>
  </si>
  <si>
    <t>GBP - GDP (YoY) (Q1) P</t>
  </si>
  <si>
    <t>Gross Domestic Product (GDP) gauges the inflation-adjusted value of all goods and services produced within the economy. It is the most comprehensive measure of economic activity and an important indicator of economic health.
A reading that is stronger than forecast is generally supportive (bullish) for the GBP, while a weaker than forecast reading is generally negative (bearish) for the GBP.
Learn More: GBPJPY | GBPUSD</t>
  </si>
  <si>
    <t>GBP - GDP (MoM) (Mar)</t>
  </si>
  <si>
    <t>GBP - GDP (QoQ) (Q1) P</t>
  </si>
  <si>
    <t>USD - Core Retail Sales (MoM) (Apr)</t>
  </si>
  <si>
    <t>USD - Philadelphia Fed Manufacturing Index (May)</t>
  </si>
  <si>
    <t xml:space="preserve">
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</si>
  <si>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USD - PPI (MoM) (Apr)</t>
  </si>
  <si>
    <t>USD - Retail Sales (MoM) (Apr)</t>
  </si>
  <si>
    <t xml:space="preserve">
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</si>
  <si>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JPY - GDP (QoQ) (Q1) P</t>
  </si>
  <si>
    <t xml:space="preserve">
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EURJPY</t>
  </si>
  <si>
    <t>Source: Bloomberg, News Articles, Company Research. Notes as of 10th May 2025, 4 PM.</t>
  </si>
  <si>
    <t>EUR - CPI (YoY) (Apr)</t>
  </si>
  <si>
    <t>AUD - RBA Interest Decision (May)</t>
  </si>
  <si>
    <t>The Reserve Bank of Australia (RBA) reports its decision on where to set the benchmark interest rate. As short term interest rates are an important determinant of currency valuation, traders watch interest rate changes closely.
A reading that is stronger than forecast is generally supportive (bullish) for the AUD, while a weaker than forecast reading is generally negative (bearish) for the AUD.
Learn More: AUDJPY | AUDUSD</t>
  </si>
  <si>
    <t>GBP - CPI (YoY) (Apr)</t>
  </si>
  <si>
    <t>3.454M</t>
  </si>
  <si>
    <t>3.454</t>
  </si>
  <si>
    <t>-2.00</t>
  </si>
  <si>
    <t>-2.03</t>
  </si>
  <si>
    <t>-1.70</t>
  </si>
  <si>
    <t>-2.69</t>
  </si>
  <si>
    <t>USD - Manufacturing PMI (May) P</t>
  </si>
  <si>
    <t xml:space="preserve">
The Manufacturing Purchasing Managers' Index (PMI) is a diffusion index incorporating survey results provided by manufacturing firms throughout the country. A reading above fifty suggests the manufacturing sector is expanding, while a reading below fifty suggests the manufacturing sector is in contraction. Policymakers and traders watch these surveys closely as purchasing managers usually have early access to data about their company’s performance, rather than waiting for the hard data to emerge. While manufacturing accounts for a far smaller percentage of economic output than services, it is far more cyclical and is therefore a useful indicator of where in the economic cycle the economy is currently situated. A reading that is stronger than forecast is generally supportive (bullish) for the USD while a weaker than forecast reading is generally negative (bearish) for the USD.
Learn More: USDJPY | EURUSD</t>
  </si>
  <si>
    <t>USD - Services PMI (May) P</t>
  </si>
  <si>
    <t>USD - Existing Home Sales (Apr)</t>
  </si>
  <si>
    <t>4.02M</t>
  </si>
  <si>
    <t>4.02</t>
  </si>
  <si>
    <t>4.27</t>
  </si>
  <si>
    <t>EUR - German GDP (QoQ) (Q1)</t>
  </si>
  <si>
    <t>USD - New Home Sales (Apr)</t>
  </si>
  <si>
    <t>724K</t>
  </si>
  <si>
    <t>724</t>
  </si>
  <si>
    <t>684</t>
  </si>
  <si>
    <t>Canada - Victoria Day</t>
  </si>
  <si>
    <t>Source: Bloomberg, News Articles, Company Research. Notes as of 18th May 2025, 4 PM.</t>
  </si>
  <si>
    <t>UK</t>
  </si>
  <si>
    <t>United States - Memorial Day</t>
  </si>
  <si>
    <t>US - Fed Chair Powell Speaks</t>
  </si>
  <si>
    <t>Federal Reserve Chair Jerome Powell (Feb. 2018 – Feb. 2026) is to speak. As head of the Fed, which controls short term interest rates, he has more influence over the U.S. dollar's value than any other person. Traders closely watch his speeches as they are often used to drop hints regarding future monetary policy.
Learn More: USDJPY | EURUSD</t>
  </si>
  <si>
    <t>US - Durable Good Orders (MoM) (Apr) P</t>
  </si>
  <si>
    <t>US - CB Consumer Confidence (May)</t>
  </si>
  <si>
    <t xml:space="preserve">
Conference Board (CB) Consumer Confidence measures the level of confidence consumers have in the economy. When consumers are optimistic, they tend to spend more which increases consumption and overall economic growth.
A reading that is stronger than forecast is generally supportive (bullish) for the USD, while a weaker than forecast reading is generally negative (bearish) for the USD.
Learn More: USDJPY | EURUSD</t>
  </si>
  <si>
    <t xml:space="preserve">
The Reserve Bank of New Zealand (RBNZ) governor decides where to set the rate after consulting senior bank staff and external advisers. As short term interest rates are an important determinant of currency valuation, traders watch interest rate changes closely.
A reading that is stronger than forecast is generally supportive (bullish) for the NZD, while a weaker than forecast reading is generally negative (bearish) for the NZD.
Learn More: NZDJPY |NZDUSD</t>
  </si>
  <si>
    <t xml:space="preserve">
The Federal Open Market Committee (FOMC) Meeting Minutes are a detailed record of the committee's policy-setting meeting held about three weeks earlier. The minutes offer detailed insights regarding the FOMC's stance on monetary policy, so currency traders carefully examine them for clues regarding the outcome of future interest rate decisions.
Learn More: USDJPY |EURUSD</t>
  </si>
  <si>
    <t>Switzerland - Ascension Day</t>
  </si>
  <si>
    <t>Noway - Ascension Day</t>
  </si>
  <si>
    <t>USD - NVIDIA Earnings Release</t>
  </si>
  <si>
    <t>Expected EPS $0.89, revenue $43.12B. High AI-driven expectations mean a miss could spark a sharp drop. Key support at $125.62 (200-day MA); break below risks fall to $115, while beating forecasts may retest $153. Watch for tariff impacts and guidance on AI demand.
Learn More: UT100</t>
  </si>
  <si>
    <t>US - GDP (QoQ) (Q1) P</t>
  </si>
  <si>
    <t>Gross Domestic Product (GDP) measures the annualised change in the inflation-adjusted value of all goods and services produced by the economy. It is the broadest measure of economic activity and the primary indicator of the economy's health.
A reading that is stronger than forecast is generally supportive (bullish) for the USD, while a weaker than forecast reading is generally negative (bearish) for the USD.
Learn More: USDJPY |EURUSD</t>
  </si>
  <si>
    <t>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</si>
  <si>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1.328M</t>
  </si>
  <si>
    <t>EUR - German CPI (MoM) (May) P</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</si>
  <si>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EURJPY |EURUSD</t>
  </si>
  <si>
    <t>USD - Core PCE Price Index (MoM) (Apr)</t>
  </si>
  <si>
    <t xml:space="preserve">
The Core Personal Consumption Expenditure (PCE) Price Index measures the changes in the price of goods and services purchased by consumers for the purpose of consumption, excluding food and energy. Unlike the fixed-weight CPI, PCE is chain-weighted and thus adjusts to changing consumer behaviour. Core PCE is the Fed's preferred inflation measure and thus receives greater attention.
A reading that is stronger than forecast is generally supportive (bullish) for the USD, while a weaker than forecast reading is generally negative (bearish) for the USD.
Learn More: EURJPY |EURUSD</t>
  </si>
  <si>
    <t>USD - Core PCE Price Index (YoY) (Apr)</t>
  </si>
  <si>
    <t xml:space="preserve">
The Core PCE price Index is the less volatile measure of the PCE price index which excludes the more volatile and seasonal food and energy prices. The impact on the currency may go both ways, a rise in inflation may lead to a rise in interest rates and a rise in local currency, on the other hand, during recession, a rise in inflation may lead to a deepened recession and therefore a fall in local currency.
Learn More: EURJPY |EURUSD</t>
  </si>
  <si>
    <t>USD - Chicago PMI (May)</t>
  </si>
  <si>
    <t xml:space="preserve">
The Chicago Purchasing Managers' Index (PMI) is a diffusion index incorporating survey results provided by manufacturing firms around the Chicago area. A reading above fifty suggests the manufacturing sector is expanding, while a reading below fifty suggests the manufacturing sector is in contraction. The Chicago PMI can be of some assistance in forecasting the ISM manufacturing PMI.
A reading that is stronger than forecast is generally supportive (bullish) for the USD, while a weaker than forecast reading is generally negative (bearish) for the USD.
Learn More: EURJPY |EURUSD</t>
  </si>
  <si>
    <t>Hong Kong - Tuen Ng Day</t>
  </si>
  <si>
    <t>CNY - Manufacturing PMI (May)</t>
  </si>
  <si>
    <t xml:space="preserve">
China Manufacturing Purchasing Managers Index (PMI) provides an early indication each month of economic activities in the Chinese manufacturing sector. It is compiled by China Federation of Logistics &amp; Purchasing (CFLP) and China Logistics Information Centre (CLIC), based on data collected by the National Bureau of Statistics (NBS).Li &amp; Fung Research Centre is responsible for drafting and disseminating the English PMI report. Every month questionnaires are sent to over 700 manufacturing enterprises all over China. The data presented here is compiled from the enterprises responses about their purchasing activities and supply situations. The PMI should be compared to other economic data sources when used in decision-making.
A reading that is stronger than forecast is generally supportive (bullish) for the CNY , while a weaker than forecast reading is generally negative (bearish) for the CNY.
Learn More: USDCNY | USDCNH</t>
  </si>
  <si>
    <t>0.85</t>
  </si>
  <si>
    <t>0.7</t>
  </si>
  <si>
    <t>0.6</t>
  </si>
  <si>
    <t>0.2</t>
  </si>
  <si>
    <t>0.5</t>
  </si>
  <si>
    <t>0.09</t>
  </si>
  <si>
    <t>0.06</t>
  </si>
  <si>
    <t>0.03</t>
  </si>
  <si>
    <t>1.328</t>
  </si>
  <si>
    <t>-0.90</t>
  </si>
  <si>
    <t>C: EURJPY</t>
  </si>
  <si>
    <t>New Zealand - Queen's Birthday</t>
  </si>
  <si>
    <t>China - Dragon Boat Festival</t>
  </si>
  <si>
    <t>USD - Manufacturing PMI (May)</t>
  </si>
  <si>
    <t>USD - ISM Manufacturing PMI (May)</t>
  </si>
  <si>
    <t xml:space="preserve">
The Institute of Supply Management (ISM) Manufacturing Purchasing Managers Index (PMI) Report on Business is based on data compiled from monthly replies to questions asked of purchasing and supply executives in over 400 industrial companies across the United States. For each of the indicators measured (New Orders, Backlog of Orders, New Export Orders, Imports, Production, Supplier Deliveries, Inventories, Customers Inventories, Employment, and Prices), a diffusion index is calculated by adding the percent of positive responses plus one-half of those responding the same (considered positive). The resulting single index number is then seasonally adjusted.
The PMI is a composite index based on the seasonally adjusted diffusion indices for five of the indicators with differing weights: New Orders --30% Production --25% Employment --20% Supplier Deliveries --15% and Inventories -- 10%.
A reading that is stronger than forecast is generally supportive (bullish) for the USD, while a weaker than forecast reading is generally negative (bearish) for the USD..
Learn More: USDJPY | EURUSD</t>
  </si>
  <si>
    <t>USD - ISM Manufacturing Prices (May)</t>
  </si>
  <si>
    <t xml:space="preserve">
The Institute of Supply Management (ISM) Manufacturing Purchasing Managers Index (PMI) Report on Business is based on data compiled from monthly replies to questions asked of purchasing and supply executives in over 400 industrial companies. For each of the indicators measured (New Orders, Backlog of Orders, New Export Orders, Imports, Production, Supplier Deliveries, Inventories, Customers Inventories, Employment, and Prices), this report shows the percentage reporting each response, the net difference between the number of responses in the positive economic direction and the negative economic direction and the diffusion index. Responses are raw data and are never changed.
The diffusion index includes the percent of positive responses plus one-half of those responding the same (considered positive). The resulting single index number is then seasonally adjusted to allow for the effects of repetitive intra-year variations resulting primarily from normal differences in weather conditions, various institutional arrangements, and differences attributable to non-moveable holidays. All seasonal adjustment factors are supplied by the U.S. Department of Commerce and are subject annually to relatively minor changes when conditions warrant them.
The PMI is a composite index based on the seasonally adjusted diffusion indices for five of the indicators with varying weights: New Orders --30% Production --25% Employment --20% Supplier Deliveries --15% and Inventories -- 10%.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higher than expected reading should be taken as positive/bullish for the USD, while a lower than expected reading should be taken as negative/bearish for the USD.
Learn More: USDJPY | EURUSD</t>
  </si>
  <si>
    <t>South Korea - Presidential election day</t>
  </si>
  <si>
    <t>EUR - CPI (YoY) (May) P</t>
  </si>
  <si>
    <t>USD - JOLTS Job Openings (Apr)</t>
  </si>
  <si>
    <t>7.192M</t>
  </si>
  <si>
    <t>USD - ADP Nonfarm Employment Change (May)</t>
  </si>
  <si>
    <t>110K</t>
  </si>
  <si>
    <t>62K</t>
  </si>
  <si>
    <t>ADP is performs payroll services for its clients. The ADP National Employment Report is a measure of the monthly change in non-farm, private employment, based on the payroll data of approximately 400,000 U.S. business clients. The release, two days ahead of government data, is used as a predictor of the government's Labour Market Report.
A reading that is stronger than forecast is generally supportive (bullish) for the USD, while a weaker than forecast reading is generally negative (bearish) for the USD.
Learn More: USDJPY | EURUSD</t>
  </si>
  <si>
    <t>USD - Services PMI (May)</t>
  </si>
  <si>
    <t xml:space="preserve">
The Bank of Canada (BOC) publishes its decision on where to set the benchmark interest rate. As short term interest rates are an important determinant of currency valuation, traders watch interest rate changes closely.
A reading that is stronger than forecast is generally supportive (bullish) for the CAD, while a weaker than forecast reading is generally negative (bearish) for the CAD.
Learn More: CADJPY |USDCAD</t>
  </si>
  <si>
    <t>USD - ISM Non-Manufacturing PMI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</si>
  <si>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NMI is a composite index based on the diffusion indexes for four of the indicators with equal weights: Business Activity (seasonally adjusted), New Orders (seasonally adjusted), Employment (seasonally adjusted) and Supplier Deliveries.
A reading above 50 percent indicates the non-manufacturing sector economy is generally expanding; below 50 percent indicates the non-manufacturing sector is generally contracting. Given the large proportion of the US economy engaged in the services sector, this report offers insights into the health of the overall US economy.
A reading that is stronger than forecast is generally supportive (bullish) for the USD, while a weaker than forecast reading is generally negative (bearish) for the USD.
Learn More: USDJPY |EURUSD</t>
  </si>
  <si>
    <t>USD - ISM Non-Manufacturing Prices (May)</t>
  </si>
  <si>
    <t xml:space="preserve">
The Institute of Supply Management (ISM) Non-Manufacturing Purchasing Managers' Index (PMI) (also known as the ISM Services PMI) report on Business, is based on data compiled from monthly replies to questions asked of more than 370 purchasing and supply executives in over 62 different industries.
The Prices Paid subcategory is a diffusion index calculated by adding the percent of responses indicating they paid more for inputs plus one-half of those responding that they paid the same for inputs. The resulting single index number is then seasonally adjusted.
The Prices Paid diffusion index is one of a number of indicators pointing to the degree of inflationary pressures in the economy.
A reading that is stronger than forecast is generally supportive (bullish) for the USD, while a weaker than forecast reading is generally negative (bearish) for the USD.
Learn More: USDJPY |EURUSD</t>
  </si>
  <si>
    <t>-2.795M</t>
  </si>
  <si>
    <t>EUR - Deposit Facility Rate (Jun)</t>
  </si>
  <si>
    <t xml:space="preserve">
[]
Learn More: EURJPY |EURUSD</t>
  </si>
  <si>
    <t>EUR - ECB Interest Rate Decision (Jun)</t>
  </si>
  <si>
    <t xml:space="preserve">
The European Central Bank publishes its decision on where to set the benchmark interest rate. As short term interest rates are an important determinant of currency valuation, traders watch interest rate changes closely.
A reading that is stronger than forecast is generally supportive (bullish) for the EUR, while a weaker than forecast reading is generally negative (bearish) for the EUR.
Learn More: EURJPY |EURUSD</t>
  </si>
  <si>
    <t>240K</t>
  </si>
  <si>
    <t xml:space="preserve">
Initial Jobless Claims measures the number of people who filed for unemployment insurance for the first time during the past week. This is the most timely U.S. economic data, but the market impact varies from week to week.
A reading that is higher than forecast is generally negative (bearish) for the USD, while a lower than forecast reading is generally supportive (bullish) for the USD.
Learn More: USDJPY |EURUSD</t>
  </si>
  <si>
    <t xml:space="preserve">
The European Central Bank (ECB) press conference is held monthly, about 45 minutes after the Minimum Bid Rate is announced. The conference is approximately an hour long and has two parts. Firstly, a prepared statement is read, then the conference is open to press questions. The press conference examines the factors which affected the ECB's interest rate decision and deals with the overall economic outlook and inflation. Most importantly, it provides clues regarding future monetary policy. High levels of volatility can frequently be observed during the press conference as press questions lead to unscripted answers.
Learn More: EURJPY |EURUSD</t>
  </si>
  <si>
    <t>South Korea - Memorial Day</t>
  </si>
  <si>
    <t>Singapore - Eid al-Adha</t>
  </si>
  <si>
    <t>USD - Average Hourly Earnings (MoM) (May)</t>
  </si>
  <si>
    <t>USD - Nonfarm Payrolls (May)</t>
  </si>
  <si>
    <t>130K</t>
  </si>
  <si>
    <t>177K</t>
  </si>
  <si>
    <t>USD - Unemployment Rate (May)</t>
  </si>
  <si>
    <t xml:space="preserve">
The Unemployment Rate measures the percentage of the total work force that is not working, yet actively seeking employment.
A reading that is higher than forecast is generally negative (bearish) for the USD, while a lower than forecast reading is generally supportive (bullish) for the USD.
Learn More: USDJPY | EURUSD</t>
  </si>
  <si>
    <t>Source: Bloomberg, News Articles, Company Research. Notes as of 1st June 2025, 11 AM.</t>
  </si>
  <si>
    <t>52.3</t>
  </si>
  <si>
    <t>49.9</t>
  </si>
  <si>
    <t>50.7</t>
  </si>
  <si>
    <t>7.192</t>
  </si>
  <si>
    <t>7.490</t>
  </si>
  <si>
    <t>7.480</t>
  </si>
  <si>
    <t>51.6</t>
  </si>
  <si>
    <t>50.8</t>
  </si>
  <si>
    <t>53</t>
  </si>
  <si>
    <t>53.5</t>
  </si>
  <si>
    <t>52.5</t>
  </si>
  <si>
    <t>54.2</t>
  </si>
  <si>
    <t>54.1</t>
  </si>
  <si>
    <t>52.1</t>
  </si>
  <si>
    <t>55.5</t>
  </si>
  <si>
    <t>-2.795</t>
  </si>
  <si>
    <t>1.000</t>
  </si>
  <si>
    <t>240</t>
  </si>
  <si>
    <t>230</t>
  </si>
  <si>
    <t>177</t>
  </si>
  <si>
    <t>138</t>
  </si>
  <si>
    <t>22</t>
  </si>
  <si>
    <t>C: USDJPY</t>
  </si>
  <si>
    <t>Australia-King's Birthday</t>
  </si>
  <si>
    <t>Switzerland - Pentecost</t>
  </si>
  <si>
    <t>Norway - Pentecost</t>
  </si>
  <si>
    <t>Gross Domestic Product (GDP) measures the change in the inflation-adjusted value of all goods and services produced by the economy. It is the broadest measure of economic activity and the primary indicator of the economy's health.
A reading that is stronger than forecast is generally supportive (bullish) for the JPY, while a weaker than forecast reading is generally negative (bearish) for the JPY.
Learn More: USDJPY | EURUSD</t>
  </si>
  <si>
    <t>USD - Core CPI (MoM) (May)</t>
  </si>
  <si>
    <t>USD - CPI (MoM) (May)</t>
  </si>
  <si>
    <t>USD - CPI (YoY) (May)</t>
  </si>
  <si>
    <t>-4.034M</t>
  </si>
  <si>
    <t>The figures displayed in the calendar represent the yield on the Treasury Note auctioned.
U.S. Treasury Notes have maturities of two to ten years. Governments issue treasuries to borrow money to cover the gap between the amount they receive in taxes and the amount they spend to refinance existing debt and/or to raise capital. The rate on a Treasury Note represents the return an investor will receive by holding the note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USDJPY | EURUSD</t>
  </si>
  <si>
    <t>GBP - GDP (MoM) (Apr)</t>
  </si>
  <si>
    <t>USD - PPI (MoM) (May)</t>
  </si>
  <si>
    <t xml:space="preserve">
The Producer Price Index (PPI) measures a change in input prices of raw, semi-finished or finished goods and services. If input costs rise, some will be absorbed by the producer and some passed on to the consumer. Conversely, if input costs fall, some of the decline will be enjoyed as wider profit margins by the producer and some will be passed on to the consumer in the form of lower prices. Because PPI impacts consumer prices, it is watched by central bankers as part of fulfilling their mandate of price stability.
A reading that is stronger than forecast is generally supportive (bullish) for the USD, while a weaker than forecast reading is generally negative (bearish) for the USD.
Learn More: GBPJPY | GBPUSD</t>
  </si>
  <si>
    <t xml:space="preserve">
The figures displayed in the calendar represent the yield on the Treasury Bond auctioned.
U.S. Treasury Bonds have maturities from ten up to 30 years. Governments issue treasuries to borrow money to cover the gap between the amount they receive in taxes and the amount they spend to refinance existing debt and/or to raise capital. The rate on a Treasury Bond represents the return an investor will receive by holding the bond for its entire duration. All bidders receive the same rate at the highest accepted bid.
Yield fluctuations should be monitored closely as an indicator of the government debt situation. Investors compare the average rate at auction to the rate at previous auctions of the same security.
Learn More: GBPJPY | GBPUSD</t>
  </si>
  <si>
    <t>EUR - German CPI (MoM) (May)</t>
  </si>
  <si>
    <t xml:space="preserve">
The Consumer Price Index (CPI) measures the change in the prices of goods and services from the perspective of the consumer. As Germany has the largest output of any country in the euro-zone, the European Central bank pays very close attention to this figure in its role of maintaining price stability.
A reading that is stronger than forecast is generally supportive (bullish) for the EUR, while a weaker than forecast reading is generally negative (bearish) for the EUR.
Learn More: GBPJPY | GBPUSD</t>
  </si>
  <si>
    <t>Source: Bloomberg, News Articles, Company Research. Notes as of 8th June 2025, 8 PM.</t>
  </si>
  <si>
    <t>South Africa - Youth Day</t>
  </si>
  <si>
    <t>JPY - BoJ interest Rate Decision</t>
  </si>
  <si>
    <t>Bank of Japan (BOJ) policy board publishes its decision about where to set the target overnight rate. As short term interest rates are an important determinant of currency valuation, traders watch interest rate changes closely. A reading that is stronger than forecast is generally supportive (bullish) for the JPY, while a weaker than forecast reading is generally negative (bearish) for the JPY.
Learn More: EURJPY | USDJPY</t>
  </si>
  <si>
    <t>USD - Core Retail Sales (MoM) (May)</t>
  </si>
  <si>
    <t>Core Retail Sales measures the change in the total value of sales at the retail level in the U.S., excluding automobiles. It is an important indicator of consumer spending which accounts for a large percentage of US GDP.
A reading that is stronger than forecast is generally supportive (bullish) for the USD, while a weaker than forecast reading is generally negative (bearish) for the USD.
Learn More: USDJPY | EURUSD</t>
  </si>
  <si>
    <t>USD - Retail Sales (MoM) (May)</t>
  </si>
  <si>
    <t>Retail Sales gauges the change in the aggregate value of sales at the retail level across the country. It is an important indicator of consumer spending accounting for the majority of overall economic activity.
A reading that is stronger than forecast is generally supportive (bullish) for the USD, while a weaker than forecast reading is generally negative (bearish) for the USD.
Learn More: USDJPY | EURUSD</t>
  </si>
  <si>
    <t>GBP - CPI (YoY) (May)</t>
  </si>
  <si>
    <t>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GBP, while a weaker than forecast reading is generally negative (bearish) for the GBP.
Learn More: USDJPY | EURUSD</t>
  </si>
  <si>
    <t>EUR - CPI (YoY) (May)</t>
  </si>
  <si>
    <t xml:space="preserve">
The Consumer Price Index (CPI) measures the change in the prices of goods and services contained in a basket of consumer items. The Central bank pays very close attention to this figure in its role of maintaining price stability.
A reading that is stronger than forecast is generally supportive (bullish) for the EUR, while a weaker than forecast reading is generally negative (bearish) for the EUR.
Learn More: USDJPY | EURUSD</t>
  </si>
  <si>
    <t>248K</t>
  </si>
  <si>
    <t>-3.644M</t>
  </si>
  <si>
    <t>USD - FOMC Economic Projections</t>
  </si>
  <si>
    <t xml:space="preserve">
This report includes the Federal Open Market Committee's (FOMC) projection for inflation and economic growth over the next 2 years. An important part of the report is the breakdown of individual FOMC members' interest rate forecasts.
Learn More: USOILRoll</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</si>
  <si>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USOILRoll</t>
  </si>
  <si>
    <t>±</t>
  </si>
  <si>
    <t xml:space="preserve">
Federal Open Market Committee (FOMC) members vote on where to set the target interest rate. Traders watch interest rate changes closely as relative short term interest rates are a primary factor in currency valuation.
A reading that is stronger than forecast is generally supportive (bullish) for the USD, while a weaker than forecast reading is generally negative (bearish) for the USD.
Learn More: USDJPY | EURUSD</t>
  </si>
  <si>
    <t>BRL</t>
  </si>
  <si>
    <t>Brazil - Corpus Christi Day</t>
  </si>
  <si>
    <t>USD - Juneteenth</t>
  </si>
  <si>
    <t>Swiss National Bank (SNB) governing board members come to a consensus on where to set the target range for the rate. Traders watch interest rate changes closely as short term interest rates are the primary factor in currency valuation.
A reading that is stronger than forecast is generally supportive (bullish) for the CHF, while a weaker than forecast reading is generally negative (bearish) for the CHF.
Learn More: CHFJPY | USDCHF</t>
  </si>
  <si>
    <t>CHF - SNB Interest Rate Decision (Q2)</t>
  </si>
  <si>
    <t>GBP - BoE Interest Rate Decision (Jun)</t>
  </si>
  <si>
    <t xml:space="preserve">
Bank of England (BOE) monetary policy committee members vote on where to set the Bank Rate. Traders watch interest rate changes closely because short term interest rates are the primary factor in currency valuation.
A reading that is stronger than forecast is generally supportive (bullish) for the GBP, while a weaker than forecast reading is generally negative (bearish) for the GBP.
Learn More: GBPJPY | GBPUSD</t>
  </si>
  <si>
    <t>NZD - New Year's Day</t>
  </si>
  <si>
    <t>USD - Philadelphia Fed Manufacturing Index (Jun)</t>
  </si>
  <si>
    <t>The Philadelphia Federal Reserve Manufacturing Index measures the relative level of business conditions amongst manufacturers in the Federal reserve district. A level above zero on the index indicates improving conditions; below indicates worsening conditions. The data is compiled from a survey of about 250 manufacturers in the Philadelphia Federal Reserve district.
A reading that is stronger than forecast is generally supportive (bullish) for the USD, while a weaker than forecast reading is generally negative (bearish) for the USD.
Learn More: USDJPY | EURUSD</t>
  </si>
  <si>
    <t>Source: Bloomberg, News Articles, Company Research. Notes as of 15th June 2025, 4 PM.</t>
  </si>
  <si>
    <t>-4.304</t>
  </si>
  <si>
    <t>-2.900</t>
  </si>
  <si>
    <t>247</t>
  </si>
  <si>
    <t>236</t>
  </si>
  <si>
    <t>248</t>
  </si>
  <si>
    <t>239</t>
  </si>
  <si>
    <t>-3.644</t>
  </si>
  <si>
    <t>-0.900</t>
  </si>
  <si>
    <t>-2.000</t>
  </si>
  <si>
    <t>-2.032</t>
  </si>
  <si>
    <t>-1.700</t>
  </si>
  <si>
    <t>C: CHFJPY</t>
  </si>
  <si>
    <t>C: GBPJPY</t>
  </si>
  <si>
    <t>24-Jun-25</t>
  </si>
  <si>
    <t>Tues</t>
  </si>
  <si>
    <t>19:15</t>
  </si>
  <si>
    <t>USD - Manufacturing PMI (Jun)</t>
  </si>
  <si>
    <t>19:30</t>
  </si>
  <si>
    <t>USD - Services PMI (Jun)</t>
  </si>
  <si>
    <t>USD - Existing Home Sales (May)</t>
  </si>
  <si>
    <t>25-Jun-25</t>
  </si>
  <si>
    <t>19:00</t>
  </si>
  <si>
    <t>USD CB Consumer Confidence (Jun)</t>
  </si>
  <si>
    <t>USD Fed Chair Powell Speaks</t>
  </si>
  <si>
    <t>USD New Home Sales (May)</t>
  </si>
  <si>
    <t>20:00</t>
  </si>
  <si>
    <t>USD Crude Oil Inventories</t>
  </si>
  <si>
    <t>26-Jun-25</t>
  </si>
  <si>
    <t>18:00</t>
  </si>
  <si>
    <t>USD Durable Goods Orders (May)</t>
  </si>
  <si>
    <t>USD GDP (QoQ) (Q1)</t>
  </si>
  <si>
    <t>USD Core PCE Price Index (MoM)</t>
  </si>
  <si>
    <t>27-Jun-25</t>
  </si>
  <si>
    <t>11:30</t>
  </si>
  <si>
    <t>USD Core PCE Price Index (YoY)</t>
  </si>
  <si>
    <t>Source: Bloomberg, News Articles, Company Research. Notes as of 23th June 2025, 4 PM.</t>
  </si>
  <si>
    <t>4.03M</t>
  </si>
  <si>
    <t>623K</t>
  </si>
  <si>
    <t>694K</t>
  </si>
  <si>
    <t>722K</t>
  </si>
  <si>
    <t>-5.836M</t>
  </si>
  <si>
    <t>-1.200M</t>
  </si>
  <si>
    <t>244K</t>
  </si>
  <si>
    <t>246K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</si>
</sst>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_(* \(#,##0.00\);_(* &quot;-&quot;??_);_(@_)"/>
    <numFmt numFmtId="164" formatCode="_(* #,##0_);_(* \(#,##0\);_(* &quot;-&quot;??_);_(@_)"/>
    <numFmt numFmtId="165" formatCode="0.000%"/>
    <numFmt numFmtId="166" formatCode="hh:mm\ AM/PM"/>
    <numFmt numFmtId="167" formatCode="_(* #,##0.0_);_(* \(#,##0.0\);_(* &quot;-&quot;??_);_(@_)"/>
    <numFmt numFmtId="168" formatCode="0.0%"/>
    <numFmt numFmtId="169" formatCode="0.0000%"/>
    <numFmt numFmtId="170" formatCode="0.00000000"/>
    <numFmt numFmtId="171" formatCode="0.00000"/>
    <numFmt numFmtId="172" formatCode="0.0000"/>
    <numFmt numFmtId="173" formatCode="0.0"/>
    <numFmt numFmtId="174" formatCode="0.000"/>
    <numFmt numFmtId="175" formatCode="_(* #,##0.000_);_(* \(#,##0.000\);_(* &quot;-&quot;??_);_(@_)"/>
  </numFmts>
  <fonts count="80">
    <font>
      <sz val="12"/>
      <color theme="1"/>
      <name val="Aptos Narrow"/>
      <family val="2"/>
      <scheme val="minor"/>
    </font>
    <font>
      <sz val="12"/>
      <color theme="1"/>
      <name val="Aptos Narrow"/>
      <family val="2"/>
      <scheme val="minor"/>
    </font>
    <font>
      <b/>
      <sz val="12"/>
      <color theme="0"/>
      <name val="Aptos Narrow"/>
      <family val="2"/>
      <scheme val="minor"/>
    </font>
    <font>
      <b/>
      <sz val="12"/>
      <color theme="1"/>
      <name val="Aptos Narrow"/>
      <family val="2"/>
      <scheme val="minor"/>
    </font>
    <font>
      <sz val="10"/>
      <color theme="1"/>
      <name val="Verdana"/>
      <family val="2"/>
    </font>
    <font>
      <sz val="9"/>
      <color theme="1"/>
      <name val="Verdana"/>
      <family val="2"/>
    </font>
    <font>
      <sz val="9"/>
      <color rgb="FF333333"/>
      <name val="Verdana"/>
      <family val="2"/>
    </font>
    <font>
      <sz val="8"/>
      <color theme="1"/>
      <name val="Verdana"/>
      <family val="2"/>
    </font>
    <font>
      <sz val="8"/>
      <color theme="1"/>
      <name val="Aptos Narrow"/>
      <family val="2"/>
      <scheme val="minor"/>
    </font>
    <font>
      <sz val="10"/>
      <color rgb="FF000000"/>
      <name val="Verdana"/>
      <family val="2"/>
    </font>
    <font>
      <sz val="9"/>
      <color rgb="FF000000"/>
      <name val="Verdana"/>
      <family val="2"/>
    </font>
    <font>
      <b/>
      <sz val="12"/>
      <color theme="0"/>
      <name val="Verdana"/>
      <family val="2"/>
    </font>
    <font>
      <i/>
      <sz val="9"/>
      <color theme="1"/>
      <name val="Verdana"/>
      <family val="2"/>
    </font>
    <font>
      <b/>
      <sz val="12"/>
      <color theme="1"/>
      <name val="Century Gothic"/>
      <family val="1"/>
    </font>
    <font>
      <b/>
      <sz val="18"/>
      <color rgb="FF000000"/>
      <name val="Century Gothic"/>
      <family val="1"/>
    </font>
    <font>
      <sz val="9"/>
      <color rgb="FF000000"/>
      <name val="Century Gothic"/>
      <family val="1"/>
    </font>
    <font>
      <sz val="12"/>
      <color theme="1"/>
      <name val="Century Gothic"/>
      <family val="1"/>
    </font>
    <font>
      <sz val="18"/>
      <color rgb="FF000000"/>
      <name val="Century Gothic"/>
      <family val="1"/>
    </font>
    <font>
      <b/>
      <sz val="12"/>
      <color theme="1"/>
      <name val="Aptos Narrow"/>
      <family val="2"/>
      <scheme val="minor"/>
    </font>
    <font>
      <b/>
      <sz val="10"/>
      <color rgb="FF000000"/>
      <name val="Century Gothic"/>
      <family val="1"/>
    </font>
    <font>
      <b/>
      <sz val="12"/>
      <color theme="0"/>
      <name val="Century Gothic"/>
      <family val="1"/>
    </font>
    <font>
      <sz val="10"/>
      <color theme="1"/>
      <name val="Century Gothic"/>
      <family val="1"/>
    </font>
    <font>
      <sz val="10"/>
      <color rgb="FF00B0F0"/>
      <name val="Century Gothic"/>
      <family val="1"/>
    </font>
    <font>
      <sz val="12"/>
      <color rgb="FF00B0F0"/>
      <name val="Century Gothic"/>
      <family val="1"/>
    </font>
    <font>
      <sz val="10"/>
      <color rgb="FF000000"/>
      <name val="Century Gothic"/>
      <family val="1"/>
    </font>
    <font>
      <sz val="18"/>
      <color theme="1"/>
      <name val="Century Gothic"/>
      <family val="1"/>
    </font>
    <font>
      <sz val="10"/>
      <color rgb="FF0070C0"/>
      <name val="Century Gothic"/>
      <family val="1"/>
    </font>
    <font>
      <b/>
      <sz val="18"/>
      <color theme="1"/>
      <name val="Century Gothic"/>
      <family val="1"/>
    </font>
    <font>
      <sz val="18"/>
      <color rgb="FF00B0F0"/>
      <name val="Century Gothic"/>
      <family val="1"/>
    </font>
    <font>
      <sz val="14"/>
      <color theme="1"/>
      <name val="Aptos Narrow"/>
      <family val="2"/>
      <scheme val="minor"/>
    </font>
    <font>
      <b/>
      <sz val="14"/>
      <color rgb="FF000000"/>
      <name val="Century Gothic"/>
      <family val="1"/>
    </font>
    <font>
      <sz val="14"/>
      <color theme="1"/>
      <name val="Century Gothic"/>
      <family val="1"/>
    </font>
    <font>
      <b/>
      <sz val="14"/>
      <color theme="0"/>
      <name val="Century Gothic"/>
      <family val="1"/>
    </font>
    <font>
      <sz val="14"/>
      <color rgb="FF000000"/>
      <name val="Century Gothic"/>
      <family val="1"/>
    </font>
    <font>
      <b/>
      <sz val="14"/>
      <color theme="1"/>
      <name val="Century Gothic"/>
      <family val="1"/>
    </font>
    <font>
      <sz val="14"/>
      <color rgb="FF0070C0"/>
      <name val="Century Gothic"/>
      <family val="1"/>
    </font>
    <font>
      <sz val="14"/>
      <color rgb="FF00B0F0"/>
      <name val="Century Gothic"/>
      <family val="1"/>
    </font>
    <font>
      <b/>
      <sz val="14"/>
      <color rgb="FF00B0F0"/>
      <name val="Century Gothic"/>
      <family val="1"/>
    </font>
    <font>
      <sz val="14"/>
      <color rgb="FF00B0F0"/>
      <name val="Aptos Narrow"/>
      <family val="2"/>
      <scheme val="minor"/>
    </font>
    <font>
      <b/>
      <sz val="14"/>
      <color rgb="FF0070C0"/>
      <name val="Century Gothic"/>
      <family val="1"/>
    </font>
    <font>
      <sz val="16"/>
      <color theme="1"/>
      <name val="Century Gothic"/>
      <family val="1"/>
    </font>
    <font>
      <b/>
      <sz val="16"/>
      <color rgb="FF000000"/>
      <name val="Century Gothic"/>
      <family val="1"/>
    </font>
    <font>
      <sz val="16"/>
      <color rgb="FF000000"/>
      <name val="Century Gothic"/>
      <family val="1"/>
    </font>
    <font>
      <b/>
      <sz val="16"/>
      <color theme="1"/>
      <name val="Century Gothic"/>
      <family val="1"/>
    </font>
    <font>
      <sz val="16"/>
      <color rgb="FF00B0F0"/>
      <name val="Century Gothic"/>
      <family val="1"/>
    </font>
    <font>
      <b/>
      <sz val="9"/>
      <color rgb="FF000000"/>
      <name val="Century Gothic"/>
      <family val="1"/>
    </font>
    <font>
      <sz val="9"/>
      <color theme="1"/>
      <name val="Aptos Narrow"/>
      <family val="2"/>
      <scheme val="minor"/>
    </font>
    <font>
      <sz val="8"/>
      <color rgb="FF000000"/>
      <name val="Century Gothic"/>
      <family val="1"/>
    </font>
    <font>
      <b/>
      <sz val="12"/>
      <color rgb="FF000000"/>
      <name val="Century Gothic"/>
      <family val="1"/>
    </font>
    <font>
      <sz val="12"/>
      <color rgb="FF000000"/>
      <name val="Century Gothic"/>
      <family val="1"/>
    </font>
    <font>
      <sz val="12"/>
      <color rgb="FF0070C0"/>
      <name val="Century Gothic"/>
      <family val="1"/>
    </font>
    <font>
      <b/>
      <sz val="12"/>
      <color rgb="FF00B0F0"/>
      <name val="Aptos Narrow"/>
      <family val="2"/>
      <scheme val="minor"/>
    </font>
    <font>
      <b/>
      <sz val="12"/>
      <color rgb="FF00B0F0"/>
      <name val="Century Gothic"/>
      <family val="1"/>
    </font>
    <font>
      <b/>
      <sz val="12"/>
      <color rgb="FF0070C0"/>
      <name val="Century Gothic"/>
      <family val="1"/>
    </font>
    <font>
      <b/>
      <sz val="12"/>
      <color rgb="FF0070C0"/>
      <name val="Aptos Narrow"/>
      <family val="2"/>
      <scheme val="minor"/>
    </font>
    <font>
      <b/>
      <sz val="18"/>
      <color theme="0" tint="-0.499984740745262"/>
      <name val="Century Gothic"/>
      <family val="1"/>
    </font>
    <font>
      <b/>
      <sz val="18"/>
      <color rgb="FF00B0F0"/>
      <name val="Century Gothic"/>
      <family val="1"/>
    </font>
    <font>
      <b/>
      <sz val="18"/>
      <color rgb="FF0070C0"/>
      <name val="Century Gothic"/>
      <family val="1"/>
    </font>
    <font>
      <sz val="12"/>
      <color theme="0" tint="-0.499984740745262"/>
      <name val="Century Gothic"/>
      <family val="1"/>
    </font>
    <font>
      <b/>
      <sz val="12"/>
      <color theme="0" tint="-0.499984740745262"/>
      <name val="Century Gothic"/>
      <family val="1"/>
    </font>
    <font>
      <b/>
      <sz val="12"/>
      <color theme="1"/>
      <name val="Aptos Narrow"/>
      <scheme val="minor"/>
    </font>
    <font>
      <sz val="10"/>
      <color theme="1"/>
      <name val="Aptos Narrow"/>
      <family val="2"/>
      <scheme val="minor"/>
    </font>
    <font>
      <b/>
      <sz val="10"/>
      <color theme="1"/>
      <name val="Century Gothic"/>
      <family val="1"/>
    </font>
    <font>
      <b/>
      <sz val="10"/>
      <color rgb="FF00B0F0"/>
      <name val="Century Gothic"/>
      <family val="1"/>
    </font>
    <font>
      <sz val="12"/>
      <color rgb="FF333333"/>
      <name val="Inherit"/>
    </font>
    <font>
      <b/>
      <sz val="12"/>
      <color rgb="FF333333"/>
      <name val="Inherit"/>
    </font>
    <font>
      <sz val="12"/>
      <color rgb="FFFF0000"/>
      <name val="Inherit"/>
    </font>
    <font>
      <sz val="12"/>
      <color rgb="FF000000"/>
      <name val="Inherit"/>
    </font>
    <font>
      <i/>
      <sz val="12"/>
      <color rgb="FF333333"/>
      <name val="Inherit"/>
    </font>
    <font>
      <sz val="12"/>
      <color rgb="FF008000"/>
      <name val="Inherit"/>
    </font>
    <font>
      <sz val="12"/>
      <color rgb="FF0EA600"/>
      <name val="Inherit"/>
    </font>
    <font>
      <sz val="12"/>
      <color rgb="FFB40000"/>
      <name val="Inherit"/>
    </font>
    <font>
      <sz val="9"/>
      <color theme="1"/>
      <name val="Century Gothic"/>
      <family val="1"/>
    </font>
    <font>
      <sz val="8"/>
      <color theme="1"/>
      <name val="Century Gothic"/>
      <family val="1"/>
    </font>
    <font>
      <b/>
      <sz val="10"/>
      <color rgb="FF0070C0"/>
      <name val="Century Gothic"/>
      <family val="1"/>
    </font>
    <font>
      <sz val="10"/>
      <color rgb="FF000000"/>
      <name val="Aptos Narrow"/>
      <family val="2"/>
      <scheme val="minor"/>
    </font>
    <font>
      <b/>
      <sz val="18"/>
      <color theme="3" tint="0.499984740745262"/>
      <name val="Century Gothic"/>
      <family val="1"/>
    </font>
    <font>
      <b/>
      <sz val="12"/>
      <color theme="3" tint="0.499984740745262"/>
      <name val="Century Gothic"/>
      <family val="1"/>
    </font>
    <font>
      <b/>
      <sz val="10"/>
      <color theme="1"/>
      <name val="Aptos Narrow"/>
      <family val="2"/>
      <scheme val="minor"/>
    </font>
    <font>
      <sz val="10"/>
      <color theme="3" tint="0.749992370372631"/>
      <name val="Century Gothic"/>
      <family val="1"/>
    </font>
  </fonts>
  <fills count="10">
    <fill>
      <patternFill patternType="none"/>
    </fill>
    <fill>
      <patternFill patternType="gray125"/>
    </fill>
    <fill>
      <patternFill patternType="solid">
        <fgColor rgb="FF002060"/>
        <bgColor indexed="64"/>
      </patternFill>
    </fill>
    <fill>
      <patternFill patternType="solid">
        <fgColor rgb="FFFFFF0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9F9F9"/>
        <bgColor indexed="64"/>
      </patternFill>
    </fill>
    <fill>
      <patternFill patternType="solid">
        <fgColor theme="1" tint="0.499984740745262"/>
        <bgColor indexed="64"/>
      </patternFill>
    </fill>
    <fill>
      <patternFill patternType="solid">
        <fgColor theme="3" tint="0.89999084444715716"/>
        <bgColor indexed="64"/>
      </patternFill>
    </fill>
    <fill>
      <patternFill patternType="solid">
        <fgColor rgb="FF00B0F0"/>
        <bgColor indexed="64"/>
      </patternFill>
    </fill>
  </fills>
  <borders count="100">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style="thin">
        <color indexed="64"/>
      </right>
      <top/>
      <bottom style="medium">
        <color indexed="64"/>
      </bottom>
      <diagonal/>
    </border>
    <border>
      <left/>
      <right style="thin">
        <color indexed="64"/>
      </right>
      <top style="medium">
        <color indexed="64"/>
      </top>
      <bottom style="thin">
        <color indexed="64"/>
      </bottom>
      <diagonal/>
    </border>
    <border>
      <left style="thin">
        <color indexed="64"/>
      </left>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style="medium">
        <color theme="1"/>
      </left>
      <right style="thin">
        <color indexed="64"/>
      </right>
      <top style="medium">
        <color theme="1"/>
      </top>
      <bottom style="medium">
        <color indexed="64"/>
      </bottom>
      <diagonal/>
    </border>
    <border>
      <left style="thin">
        <color indexed="64"/>
      </left>
      <right/>
      <top style="medium">
        <color theme="1"/>
      </top>
      <bottom style="medium">
        <color indexed="64"/>
      </bottom>
      <diagonal/>
    </border>
    <border>
      <left/>
      <right/>
      <top style="medium">
        <color theme="1"/>
      </top>
      <bottom style="medium">
        <color indexed="64"/>
      </bottom>
      <diagonal/>
    </border>
    <border>
      <left/>
      <right style="medium">
        <color indexed="64"/>
      </right>
      <top style="medium">
        <color theme="1"/>
      </top>
      <bottom style="medium">
        <color indexed="64"/>
      </bottom>
      <diagonal/>
    </border>
    <border>
      <left style="thin">
        <color indexed="64"/>
      </left>
      <right style="medium">
        <color theme="1"/>
      </right>
      <top style="medium">
        <color theme="1"/>
      </top>
      <bottom style="medium">
        <color indexed="64"/>
      </bottom>
      <diagonal/>
    </border>
    <border>
      <left style="medium">
        <color theme="1"/>
      </left>
      <right style="thin">
        <color indexed="64"/>
      </right>
      <top/>
      <bottom style="thin">
        <color indexed="64"/>
      </bottom>
      <diagonal/>
    </border>
    <border>
      <left style="medium">
        <color indexed="64"/>
      </left>
      <right style="medium">
        <color theme="1"/>
      </right>
      <top/>
      <bottom/>
      <diagonal/>
    </border>
    <border>
      <left style="medium">
        <color theme="1"/>
      </left>
      <right style="thin">
        <color indexed="64"/>
      </right>
      <top style="thin">
        <color indexed="64"/>
      </top>
      <bottom style="thin">
        <color indexed="64"/>
      </bottom>
      <diagonal/>
    </border>
    <border>
      <left style="medium">
        <color theme="1"/>
      </left>
      <right style="thin">
        <color indexed="64"/>
      </right>
      <top style="thin">
        <color indexed="64"/>
      </top>
      <bottom/>
      <diagonal/>
    </border>
    <border>
      <left style="medium">
        <color indexed="64"/>
      </left>
      <right style="medium">
        <color theme="1"/>
      </right>
      <top style="medium">
        <color indexed="64"/>
      </top>
      <bottom style="medium">
        <color indexed="64"/>
      </bottom>
      <diagonal/>
    </border>
    <border>
      <left style="medium">
        <color theme="1"/>
      </left>
      <right style="thin">
        <color indexed="64"/>
      </right>
      <top style="medium">
        <color indexed="64"/>
      </top>
      <bottom style="medium">
        <color indexed="64"/>
      </bottom>
      <diagonal/>
    </border>
    <border>
      <left style="thin">
        <color indexed="64"/>
      </left>
      <right style="medium">
        <color theme="1"/>
      </right>
      <top style="medium">
        <color indexed="64"/>
      </top>
      <bottom style="medium">
        <color indexed="64"/>
      </bottom>
      <diagonal/>
    </border>
    <border>
      <left style="medium">
        <color indexed="64"/>
      </left>
      <right style="medium">
        <color theme="1"/>
      </right>
      <top/>
      <bottom style="medium">
        <color indexed="64"/>
      </bottom>
      <diagonal/>
    </border>
    <border>
      <left style="medium">
        <color theme="1"/>
      </left>
      <right style="thin">
        <color indexed="64"/>
      </right>
      <top/>
      <bottom style="medium">
        <color indexed="64"/>
      </bottom>
      <diagonal/>
    </border>
    <border>
      <left style="thin">
        <color indexed="64"/>
      </left>
      <right style="medium">
        <color theme="1"/>
      </right>
      <top style="thin">
        <color indexed="64"/>
      </top>
      <bottom style="thin">
        <color indexed="64"/>
      </bottom>
      <diagonal/>
    </border>
    <border>
      <left/>
      <right style="medium">
        <color theme="1"/>
      </right>
      <top/>
      <bottom/>
      <diagonal/>
    </border>
    <border>
      <left/>
      <right style="medium">
        <color theme="1"/>
      </right>
      <top style="thin">
        <color indexed="64"/>
      </top>
      <bottom style="thin">
        <color indexed="64"/>
      </bottom>
      <diagonal/>
    </border>
    <border>
      <left style="thin">
        <color indexed="64"/>
      </left>
      <right style="medium">
        <color theme="1"/>
      </right>
      <top style="medium">
        <color indexed="64"/>
      </top>
      <bottom style="thin">
        <color indexed="64"/>
      </bottom>
      <diagonal/>
    </border>
    <border>
      <left style="thin">
        <color indexed="64"/>
      </left>
      <right style="medium">
        <color theme="1"/>
      </right>
      <top style="thin">
        <color indexed="64"/>
      </top>
      <bottom style="medium">
        <color indexed="64"/>
      </bottom>
      <diagonal/>
    </border>
    <border>
      <left style="thin">
        <color indexed="64"/>
      </left>
      <right style="medium">
        <color theme="1"/>
      </right>
      <top/>
      <bottom style="thin">
        <color indexed="64"/>
      </bottom>
      <diagonal/>
    </border>
    <border>
      <left style="medium">
        <color indexed="64"/>
      </left>
      <right style="medium">
        <color theme="1"/>
      </right>
      <top style="thin">
        <color indexed="64"/>
      </top>
      <bottom style="thin">
        <color indexed="64"/>
      </bottom>
      <diagonal/>
    </border>
    <border>
      <left style="medium">
        <color indexed="64"/>
      </left>
      <right style="medium">
        <color theme="1"/>
      </right>
      <top style="thin">
        <color indexed="64"/>
      </top>
      <bottom style="medium">
        <color indexed="64"/>
      </bottom>
      <diagonal/>
    </border>
    <border>
      <left/>
      <right style="medium">
        <color theme="1"/>
      </right>
      <top style="medium">
        <color indexed="64"/>
      </top>
      <bottom style="thin">
        <color indexed="64"/>
      </bottom>
      <diagonal/>
    </border>
    <border>
      <left/>
      <right style="medium">
        <color theme="1"/>
      </right>
      <top style="medium">
        <color indexed="64"/>
      </top>
      <bottom style="medium">
        <color indexed="64"/>
      </bottom>
      <diagonal/>
    </border>
    <border>
      <left/>
      <right style="medium">
        <color theme="1"/>
      </right>
      <top style="thin">
        <color indexed="64"/>
      </top>
      <bottom style="medium">
        <color indexed="64"/>
      </bottom>
      <diagonal/>
    </border>
    <border>
      <left style="medium">
        <color theme="1"/>
      </left>
      <right style="thin">
        <color indexed="64"/>
      </right>
      <top/>
      <bottom style="medium">
        <color theme="1"/>
      </bottom>
      <diagonal/>
    </border>
    <border>
      <left style="thin">
        <color indexed="64"/>
      </left>
      <right style="thin">
        <color indexed="64"/>
      </right>
      <top/>
      <bottom style="medium">
        <color theme="1"/>
      </bottom>
      <diagonal/>
    </border>
    <border>
      <left style="medium">
        <color indexed="64"/>
      </left>
      <right style="medium">
        <color indexed="64"/>
      </right>
      <top style="thin">
        <color indexed="64"/>
      </top>
      <bottom style="medium">
        <color theme="1"/>
      </bottom>
      <diagonal/>
    </border>
    <border>
      <left/>
      <right/>
      <top/>
      <bottom style="medium">
        <color theme="1"/>
      </bottom>
      <diagonal/>
    </border>
    <border>
      <left/>
      <right style="medium">
        <color indexed="64"/>
      </right>
      <top/>
      <bottom style="medium">
        <color theme="1"/>
      </bottom>
      <diagonal/>
    </border>
    <border>
      <left/>
      <right style="medium">
        <color theme="1"/>
      </right>
      <top style="thin">
        <color indexed="64"/>
      </top>
      <bottom style="medium">
        <color theme="1"/>
      </bottom>
      <diagonal/>
    </border>
    <border>
      <left style="medium">
        <color indexed="64"/>
      </left>
      <right style="thin">
        <color indexed="64"/>
      </right>
      <top/>
      <bottom/>
      <diagonal/>
    </border>
    <border>
      <left style="thin">
        <color indexed="64"/>
      </left>
      <right style="thin">
        <color indexed="64"/>
      </right>
      <top/>
      <bottom/>
      <diagonal/>
    </border>
    <border>
      <left style="medium">
        <color indexed="64"/>
      </left>
      <right/>
      <top style="medium">
        <color theme="1"/>
      </top>
      <bottom style="medium">
        <color indexed="64"/>
      </bottom>
      <diagonal/>
    </border>
    <border>
      <left/>
      <right style="medium">
        <color theme="1"/>
      </right>
      <top style="medium">
        <color theme="1"/>
      </top>
      <bottom style="medium">
        <color indexed="64"/>
      </bottom>
      <diagonal/>
    </border>
    <border>
      <left style="medium">
        <color indexed="64"/>
      </left>
      <right/>
      <top/>
      <bottom style="medium">
        <color theme="1"/>
      </bottom>
      <diagonal/>
    </border>
    <border>
      <left/>
      <right style="medium">
        <color theme="1"/>
      </right>
      <top/>
      <bottom style="medium">
        <color theme="1"/>
      </bottom>
      <diagonal/>
    </border>
    <border>
      <left style="medium">
        <color indexed="64"/>
      </left>
      <right/>
      <top style="medium">
        <color indexed="64"/>
      </top>
      <bottom style="thin">
        <color indexed="64"/>
      </bottom>
      <diagonal/>
    </border>
    <border>
      <left style="medium">
        <color indexed="64"/>
      </left>
      <right/>
      <top style="thin">
        <color indexed="64"/>
      </top>
      <bottom/>
      <diagonal/>
    </border>
    <border>
      <left/>
      <right style="medium">
        <color rgb="FF000000"/>
      </right>
      <top style="medium">
        <color indexed="64"/>
      </top>
      <bottom style="medium">
        <color indexed="64"/>
      </bottom>
      <diagonal/>
    </border>
    <border>
      <left/>
      <right style="medium">
        <color rgb="FF000000"/>
      </right>
      <top style="medium">
        <color indexed="64"/>
      </top>
      <bottom style="thin">
        <color indexed="64"/>
      </bottom>
      <diagonal/>
    </border>
    <border>
      <left/>
      <right style="medium">
        <color rgb="FF000000"/>
      </right>
      <top style="thin">
        <color indexed="64"/>
      </top>
      <bottom style="thin">
        <color indexed="64"/>
      </bottom>
      <diagonal/>
    </border>
    <border>
      <left/>
      <right style="medium">
        <color rgb="FF000000"/>
      </right>
      <top style="thin">
        <color indexed="64"/>
      </top>
      <bottom style="medium">
        <color indexed="64"/>
      </bottom>
      <diagonal/>
    </border>
  </borders>
  <cellStyleXfs count="3">
    <xf numFmtId="0" fontId="0" fillId="0" borderId="0"/>
    <xf numFmtId="43" fontId="1" fillId="0" borderId="0" applyFont="0" applyFill="0" applyBorder="0" applyAlignment="0" applyProtection="0"/>
    <xf numFmtId="9" fontId="1" fillId="0" borderId="0" applyFont="0" applyFill="0" applyBorder="0" applyAlignment="0" applyProtection="0"/>
  </cellStyleXfs>
  <cellXfs count="1600">
    <xf numFmtId="0" fontId="0" fillId="0" borderId="0" xfId="0"/>
    <xf numFmtId="0" fontId="0" fillId="0" borderId="0" xfId="0" applyAlignment="1">
      <alignment horizontal="right"/>
    </xf>
    <xf numFmtId="0" fontId="3" fillId="0" borderId="0" xfId="0" applyFont="1"/>
    <xf numFmtId="0" fontId="0" fillId="0" borderId="0" xfId="0" applyAlignment="1">
      <alignment horizontal="center"/>
    </xf>
    <xf numFmtId="0" fontId="2" fillId="2" borderId="0" xfId="0" applyFont="1" applyFill="1" applyAlignment="1">
      <alignment horizontal="right"/>
    </xf>
    <xf numFmtId="15" fontId="4" fillId="0" borderId="2" xfId="0" applyNumberFormat="1" applyFont="1" applyBorder="1" applyAlignment="1">
      <alignment horizontal="center" vertical="center"/>
    </xf>
    <xf numFmtId="164" fontId="4" fillId="0" borderId="2" xfId="1" applyNumberFormat="1" applyFont="1" applyBorder="1" applyAlignment="1">
      <alignment horizontal="center" vertical="center"/>
    </xf>
    <xf numFmtId="20" fontId="4" fillId="0" borderId="2" xfId="0" applyNumberFormat="1" applyFont="1" applyBorder="1" applyAlignment="1">
      <alignment horizontal="center" vertical="center"/>
    </xf>
    <xf numFmtId="0" fontId="4" fillId="0" borderId="2" xfId="0" applyFont="1" applyBorder="1" applyAlignment="1">
      <alignment horizontal="center" vertical="center"/>
    </xf>
    <xf numFmtId="10" fontId="4" fillId="0" borderId="2" xfId="0" applyNumberFormat="1" applyFont="1" applyBorder="1" applyAlignment="1">
      <alignment horizontal="center" vertical="center"/>
    </xf>
    <xf numFmtId="0" fontId="5" fillId="0" borderId="2" xfId="0" quotePrefix="1" applyFont="1" applyBorder="1" applyAlignment="1">
      <alignment horizontal="left" vertical="center" wrapText="1"/>
    </xf>
    <xf numFmtId="0" fontId="6" fillId="0" borderId="2" xfId="0" quotePrefix="1" applyFont="1" applyBorder="1" applyAlignment="1">
      <alignment wrapText="1"/>
    </xf>
    <xf numFmtId="0" fontId="4" fillId="0" borderId="2" xfId="1" applyNumberFormat="1" applyFont="1" applyBorder="1" applyAlignment="1">
      <alignment horizontal="center" vertical="center"/>
    </xf>
    <xf numFmtId="0" fontId="4" fillId="0" borderId="2" xfId="2" applyNumberFormat="1" applyFont="1" applyBorder="1" applyAlignment="1">
      <alignment horizontal="center" vertical="center"/>
    </xf>
    <xf numFmtId="0" fontId="5" fillId="0" borderId="2" xfId="0" quotePrefix="1" applyFont="1" applyBorder="1" applyAlignment="1">
      <alignment wrapText="1"/>
    </xf>
    <xf numFmtId="0" fontId="4" fillId="0" borderId="2" xfId="2" quotePrefix="1" applyNumberFormat="1" applyFont="1" applyBorder="1" applyAlignment="1">
      <alignment horizontal="center" vertical="center"/>
    </xf>
    <xf numFmtId="10" fontId="4" fillId="0" borderId="2" xfId="2" applyNumberFormat="1" applyFont="1" applyBorder="1" applyAlignment="1">
      <alignment horizontal="center" vertical="center"/>
    </xf>
    <xf numFmtId="0" fontId="7" fillId="0" borderId="2" xfId="0" quotePrefix="1" applyFont="1" applyBorder="1" applyAlignment="1">
      <alignment wrapText="1"/>
    </xf>
    <xf numFmtId="0" fontId="4" fillId="0" borderId="2" xfId="1" applyNumberFormat="1" applyFont="1" applyFill="1" applyBorder="1" applyAlignment="1">
      <alignment horizontal="center" vertical="center"/>
    </xf>
    <xf numFmtId="43" fontId="4" fillId="0" borderId="2" xfId="1" applyFont="1" applyBorder="1" applyAlignment="1">
      <alignment horizontal="right" vertical="center"/>
    </xf>
    <xf numFmtId="10" fontId="4" fillId="0" borderId="2" xfId="0" applyNumberFormat="1" applyFont="1" applyBorder="1" applyAlignment="1">
      <alignment horizontal="right" vertical="center"/>
    </xf>
    <xf numFmtId="10" fontId="4" fillId="0" borderId="2" xfId="2" quotePrefix="1" applyNumberFormat="1" applyFont="1" applyBorder="1" applyAlignment="1">
      <alignment horizontal="right" vertical="center"/>
    </xf>
    <xf numFmtId="10" fontId="4" fillId="0" borderId="2" xfId="2" applyNumberFormat="1" applyFont="1" applyBorder="1" applyAlignment="1">
      <alignment horizontal="right" vertical="center"/>
    </xf>
    <xf numFmtId="165" fontId="4" fillId="0" borderId="2" xfId="2" applyNumberFormat="1" applyFont="1" applyBorder="1" applyAlignment="1">
      <alignment horizontal="right" vertical="center"/>
    </xf>
    <xf numFmtId="0" fontId="4" fillId="0" borderId="2" xfId="0" applyFont="1" applyBorder="1" applyAlignment="1">
      <alignment horizontal="right" vertical="center"/>
    </xf>
    <xf numFmtId="0" fontId="8" fillId="0" borderId="0" xfId="0" applyFont="1"/>
    <xf numFmtId="0" fontId="2" fillId="2" borderId="1" xfId="0" applyFont="1" applyFill="1" applyBorder="1" applyAlignment="1">
      <alignment horizontal="center"/>
    </xf>
    <xf numFmtId="0" fontId="2" fillId="2" borderId="1" xfId="0" applyFont="1" applyFill="1" applyBorder="1"/>
    <xf numFmtId="0" fontId="2" fillId="2" borderId="1" xfId="0" applyFont="1" applyFill="1" applyBorder="1" applyAlignment="1">
      <alignment horizontal="right"/>
    </xf>
    <xf numFmtId="15" fontId="0" fillId="0" borderId="2" xfId="0" applyNumberFormat="1" applyBorder="1" applyAlignment="1">
      <alignment horizontal="center" vertical="center"/>
    </xf>
    <xf numFmtId="164" fontId="1" fillId="0" borderId="2" xfId="1" applyNumberFormat="1" applyFont="1" applyBorder="1" applyAlignment="1">
      <alignment horizontal="center" vertical="center"/>
    </xf>
    <xf numFmtId="20" fontId="0" fillId="0" borderId="2" xfId="0" applyNumberFormat="1" applyBorder="1" applyAlignment="1">
      <alignment horizontal="center" vertical="center"/>
    </xf>
    <xf numFmtId="0" fontId="0" fillId="0" borderId="2" xfId="0" applyBorder="1" applyAlignment="1">
      <alignment horizontal="center" vertical="center"/>
    </xf>
    <xf numFmtId="0" fontId="0" fillId="0" borderId="2" xfId="0" applyBorder="1"/>
    <xf numFmtId="0" fontId="0" fillId="0" borderId="2" xfId="0" applyBorder="1" applyAlignment="1">
      <alignment horizontal="right"/>
    </xf>
    <xf numFmtId="10" fontId="0" fillId="0" borderId="2" xfId="0" applyNumberFormat="1" applyBorder="1" applyAlignment="1">
      <alignment horizontal="right"/>
    </xf>
    <xf numFmtId="15" fontId="0" fillId="0" borderId="2" xfId="0" applyNumberFormat="1" applyBorder="1" applyAlignment="1">
      <alignment horizontal="center"/>
    </xf>
    <xf numFmtId="0" fontId="0" fillId="0" borderId="2" xfId="0" quotePrefix="1" applyBorder="1" applyAlignment="1">
      <alignment horizontal="right"/>
    </xf>
    <xf numFmtId="165" fontId="0" fillId="0" borderId="2" xfId="0" applyNumberFormat="1" applyBorder="1" applyAlignment="1">
      <alignment horizontal="right"/>
    </xf>
    <xf numFmtId="166" fontId="0" fillId="0" borderId="2" xfId="0" applyNumberFormat="1" applyBorder="1" applyAlignment="1">
      <alignment horizontal="center" vertical="center"/>
    </xf>
    <xf numFmtId="43" fontId="1" fillId="0" borderId="2" xfId="1" quotePrefix="1" applyFont="1" applyBorder="1" applyAlignment="1">
      <alignment horizontal="right"/>
    </xf>
    <xf numFmtId="20" fontId="0" fillId="3" borderId="2" xfId="0" applyNumberFormat="1" applyFill="1" applyBorder="1" applyAlignment="1">
      <alignment horizontal="center" vertical="center"/>
    </xf>
    <xf numFmtId="167" fontId="1" fillId="0" borderId="2" xfId="1" applyNumberFormat="1" applyFont="1" applyBorder="1" applyAlignment="1">
      <alignment horizontal="right"/>
    </xf>
    <xf numFmtId="10" fontId="0" fillId="3" borderId="2" xfId="0" applyNumberFormat="1" applyFill="1" applyBorder="1" applyAlignment="1">
      <alignment horizontal="right"/>
    </xf>
    <xf numFmtId="0" fontId="0" fillId="0" borderId="2" xfId="0" quotePrefix="1" applyBorder="1" applyAlignment="1">
      <alignment horizontal="center" vertical="center"/>
    </xf>
    <xf numFmtId="15" fontId="9" fillId="0" borderId="2" xfId="0" applyNumberFormat="1" applyFont="1" applyBorder="1" applyAlignment="1">
      <alignment horizontal="center" vertical="center"/>
    </xf>
    <xf numFmtId="164" fontId="9" fillId="0" borderId="3" xfId="0" applyNumberFormat="1" applyFont="1" applyBorder="1" applyAlignment="1">
      <alignment horizontal="center" vertical="center"/>
    </xf>
    <xf numFmtId="20" fontId="9" fillId="0" borderId="3" xfId="0" applyNumberFormat="1" applyFont="1" applyBorder="1" applyAlignment="1">
      <alignment horizontal="center" vertical="center"/>
    </xf>
    <xf numFmtId="0" fontId="9" fillId="0" borderId="3" xfId="0" applyFont="1" applyBorder="1" applyAlignment="1">
      <alignment horizontal="center" vertical="center"/>
    </xf>
    <xf numFmtId="10" fontId="9" fillId="0" borderId="3" xfId="0" applyNumberFormat="1" applyFont="1" applyBorder="1" applyAlignment="1">
      <alignment horizontal="right" vertical="center"/>
    </xf>
    <xf numFmtId="0" fontId="6" fillId="0" borderId="3" xfId="0" applyFont="1" applyBorder="1" applyAlignment="1">
      <alignment wrapText="1"/>
    </xf>
    <xf numFmtId="15" fontId="9" fillId="0" borderId="4" xfId="0" applyNumberFormat="1" applyFont="1" applyBorder="1" applyAlignment="1">
      <alignment horizontal="center" vertical="center"/>
    </xf>
    <xf numFmtId="164" fontId="9" fillId="0" borderId="5" xfId="0" applyNumberFormat="1" applyFont="1" applyBorder="1" applyAlignment="1">
      <alignment horizontal="center" vertical="center"/>
    </xf>
    <xf numFmtId="20" fontId="9" fillId="0" borderId="5" xfId="0" applyNumberFormat="1" applyFont="1" applyBorder="1" applyAlignment="1">
      <alignment horizontal="center" vertical="center"/>
    </xf>
    <xf numFmtId="0" fontId="9" fillId="0" borderId="5" xfId="0" applyFont="1" applyBorder="1" applyAlignment="1">
      <alignment horizontal="center" vertical="center"/>
    </xf>
    <xf numFmtId="10" fontId="9" fillId="0" borderId="5" xfId="0" applyNumberFormat="1" applyFont="1" applyBorder="1" applyAlignment="1">
      <alignment horizontal="right" vertical="center"/>
    </xf>
    <xf numFmtId="0" fontId="6" fillId="0" borderId="5" xfId="0" applyFont="1" applyBorder="1" applyAlignment="1">
      <alignment vertical="center" wrapText="1"/>
    </xf>
    <xf numFmtId="0" fontId="6" fillId="0" borderId="5" xfId="0" applyFont="1" applyBorder="1" applyAlignment="1">
      <alignment wrapText="1"/>
    </xf>
    <xf numFmtId="165" fontId="9" fillId="0" borderId="5" xfId="0" applyNumberFormat="1" applyFont="1" applyBorder="1" applyAlignment="1">
      <alignment horizontal="right" vertical="center"/>
    </xf>
    <xf numFmtId="167" fontId="9" fillId="0" borderId="5" xfId="0" applyNumberFormat="1" applyFont="1" applyBorder="1" applyAlignment="1">
      <alignment horizontal="right" vertical="center"/>
    </xf>
    <xf numFmtId="168" fontId="9" fillId="0" borderId="5" xfId="0" applyNumberFormat="1" applyFont="1" applyBorder="1" applyAlignment="1">
      <alignment horizontal="right" vertical="center"/>
    </xf>
    <xf numFmtId="10" fontId="9" fillId="0" borderId="5" xfId="0" quotePrefix="1" applyNumberFormat="1" applyFont="1" applyBorder="1" applyAlignment="1">
      <alignment horizontal="right" vertical="center"/>
    </xf>
    <xf numFmtId="165" fontId="4" fillId="0" borderId="2" xfId="0" applyNumberFormat="1" applyFont="1" applyBorder="1" applyAlignment="1">
      <alignment horizontal="right" vertical="center"/>
    </xf>
    <xf numFmtId="0" fontId="0" fillId="3" borderId="2" xfId="0" applyFill="1" applyBorder="1" applyAlignment="1">
      <alignment horizontal="right"/>
    </xf>
    <xf numFmtId="0" fontId="4" fillId="0" borderId="2" xfId="1" applyNumberFormat="1" applyFont="1" applyBorder="1" applyAlignment="1">
      <alignment horizontal="right" vertical="center"/>
    </xf>
    <xf numFmtId="0" fontId="4" fillId="0" borderId="2" xfId="2" applyNumberFormat="1" applyFont="1" applyBorder="1" applyAlignment="1">
      <alignment horizontal="right" vertical="center"/>
    </xf>
    <xf numFmtId="0" fontId="4" fillId="0" borderId="2" xfId="1" applyNumberFormat="1" applyFont="1" applyFill="1" applyBorder="1" applyAlignment="1">
      <alignment horizontal="right" vertical="center"/>
    </xf>
    <xf numFmtId="0" fontId="10" fillId="0" borderId="3" xfId="0" applyFont="1" applyBorder="1" applyAlignment="1">
      <alignment wrapText="1"/>
    </xf>
    <xf numFmtId="0" fontId="10" fillId="0" borderId="5" xfId="0" applyFont="1" applyBorder="1" applyAlignment="1">
      <alignment wrapText="1"/>
    </xf>
    <xf numFmtId="0" fontId="10" fillId="0" borderId="5" xfId="0" applyFont="1" applyBorder="1" applyAlignment="1">
      <alignment vertical="center" wrapText="1"/>
    </xf>
    <xf numFmtId="10" fontId="9" fillId="0" borderId="5" xfId="0" applyNumberFormat="1" applyFont="1" applyBorder="1" applyAlignment="1">
      <alignment horizontal="center" vertical="center"/>
    </xf>
    <xf numFmtId="0" fontId="11" fillId="2" borderId="2" xfId="0" applyFont="1" applyFill="1" applyBorder="1" applyAlignment="1">
      <alignment horizontal="center" vertical="center"/>
    </xf>
    <xf numFmtId="0" fontId="11" fillId="2" borderId="2" xfId="0" applyFont="1" applyFill="1" applyBorder="1" applyAlignment="1">
      <alignment horizontal="right" vertical="center"/>
    </xf>
    <xf numFmtId="10" fontId="4" fillId="0" borderId="2" xfId="1" applyNumberFormat="1" applyFont="1" applyBorder="1" applyAlignment="1">
      <alignment horizontal="right" vertical="center"/>
    </xf>
    <xf numFmtId="167" fontId="4" fillId="0" borderId="2" xfId="1" applyNumberFormat="1" applyFont="1" applyBorder="1" applyAlignment="1">
      <alignment horizontal="right" vertical="center"/>
    </xf>
    <xf numFmtId="0" fontId="12" fillId="0" borderId="2" xfId="0" quotePrefix="1" applyFont="1" applyBorder="1" applyAlignment="1">
      <alignment wrapText="1"/>
    </xf>
    <xf numFmtId="43" fontId="4" fillId="0" borderId="2" xfId="1" quotePrefix="1" applyFont="1" applyBorder="1" applyAlignment="1">
      <alignment horizontal="right" vertical="center"/>
    </xf>
    <xf numFmtId="0" fontId="4" fillId="0" borderId="2" xfId="0" applyFont="1" applyBorder="1" applyAlignment="1">
      <alignment horizontal="center" vertical="center" wrapText="1"/>
    </xf>
    <xf numFmtId="10" fontId="4" fillId="0" borderId="2" xfId="1" quotePrefix="1" applyNumberFormat="1" applyFont="1" applyBorder="1" applyAlignment="1">
      <alignment horizontal="right" vertical="center"/>
    </xf>
    <xf numFmtId="169" fontId="4" fillId="0" borderId="2" xfId="1" applyNumberFormat="1" applyFont="1" applyBorder="1" applyAlignment="1">
      <alignment horizontal="right" vertical="center"/>
    </xf>
    <xf numFmtId="165" fontId="4" fillId="0" borderId="2" xfId="1" applyNumberFormat="1" applyFont="1" applyBorder="1" applyAlignment="1">
      <alignment horizontal="right" vertical="center"/>
    </xf>
    <xf numFmtId="15" fontId="4" fillId="0" borderId="2" xfId="0" applyNumberFormat="1" applyFont="1" applyBorder="1" applyAlignment="1">
      <alignment horizontal="center" vertical="center" wrapText="1"/>
    </xf>
    <xf numFmtId="164" fontId="4" fillId="0" borderId="2" xfId="1" applyNumberFormat="1" applyFont="1" applyBorder="1" applyAlignment="1">
      <alignment horizontal="center" vertical="center" wrapText="1"/>
    </xf>
    <xf numFmtId="20" fontId="4" fillId="0" borderId="2" xfId="0" applyNumberFormat="1" applyFont="1" applyBorder="1" applyAlignment="1">
      <alignment horizontal="center" vertical="center" wrapText="1"/>
    </xf>
    <xf numFmtId="10" fontId="4" fillId="0" borderId="2" xfId="1" applyNumberFormat="1" applyFont="1" applyBorder="1" applyAlignment="1">
      <alignment horizontal="right" vertical="center" wrapText="1"/>
    </xf>
    <xf numFmtId="10" fontId="4" fillId="0" borderId="2" xfId="1" quotePrefix="1" applyNumberFormat="1" applyFont="1" applyBorder="1" applyAlignment="1">
      <alignment horizontal="right" vertical="center" wrapText="1"/>
    </xf>
    <xf numFmtId="43" fontId="4" fillId="0" borderId="2" xfId="1" applyFont="1" applyBorder="1" applyAlignment="1">
      <alignment horizontal="right" vertical="center" wrapText="1"/>
    </xf>
    <xf numFmtId="0" fontId="4" fillId="0" borderId="2" xfId="0" quotePrefix="1" applyFont="1" applyBorder="1" applyAlignment="1">
      <alignment horizontal="center" vertical="center"/>
    </xf>
    <xf numFmtId="0" fontId="13" fillId="0" borderId="0" xfId="0" applyFont="1" applyAlignment="1">
      <alignment horizontal="center" vertical="center"/>
    </xf>
    <xf numFmtId="0" fontId="16" fillId="0" borderId="0" xfId="0" applyFont="1"/>
    <xf numFmtId="0" fontId="0" fillId="0" borderId="0" xfId="0" applyAlignment="1">
      <alignment horizontal="center" vertical="center"/>
    </xf>
    <xf numFmtId="20" fontId="0" fillId="0" borderId="0" xfId="0" applyNumberFormat="1" applyAlignment="1">
      <alignment horizontal="center" vertical="center"/>
    </xf>
    <xf numFmtId="0" fontId="14" fillId="0" borderId="21" xfId="0" applyFont="1" applyBorder="1" applyAlignment="1">
      <alignment horizontal="right" vertical="center" wrapText="1" readingOrder="1"/>
    </xf>
    <xf numFmtId="0" fontId="14" fillId="0" borderId="22" xfId="0" applyFont="1" applyBorder="1" applyAlignment="1">
      <alignment horizontal="right" vertical="center" wrapText="1" readingOrder="1"/>
    </xf>
    <xf numFmtId="43" fontId="17" fillId="0" borderId="4" xfId="1" quotePrefix="1" applyFont="1" applyBorder="1" applyAlignment="1">
      <alignment horizontal="right" vertical="center" wrapText="1" readingOrder="1"/>
    </xf>
    <xf numFmtId="168" fontId="17" fillId="0" borderId="4" xfId="2" quotePrefix="1" applyNumberFormat="1" applyFont="1" applyBorder="1" applyAlignment="1">
      <alignment horizontal="right" vertical="center" wrapText="1" readingOrder="1"/>
    </xf>
    <xf numFmtId="167" fontId="17" fillId="0" borderId="4" xfId="1" quotePrefix="1" applyNumberFormat="1" applyFont="1" applyBorder="1" applyAlignment="1">
      <alignment horizontal="right" vertical="center" wrapText="1" readingOrder="1"/>
    </xf>
    <xf numFmtId="167" fontId="17" fillId="0" borderId="24" xfId="1" quotePrefix="1" applyNumberFormat="1" applyFont="1" applyBorder="1" applyAlignment="1">
      <alignment horizontal="right" vertical="center" wrapText="1" readingOrder="1"/>
    </xf>
    <xf numFmtId="10" fontId="17" fillId="0" borderId="4" xfId="2" quotePrefix="1" applyNumberFormat="1" applyFont="1" applyBorder="1" applyAlignment="1">
      <alignment horizontal="right" vertical="center" wrapText="1" readingOrder="1"/>
    </xf>
    <xf numFmtId="0" fontId="0" fillId="0" borderId="17" xfId="0" applyBorder="1" applyAlignment="1">
      <alignment horizontal="center" vertical="center"/>
    </xf>
    <xf numFmtId="0" fontId="0" fillId="0" borderId="18" xfId="0" applyBorder="1" applyAlignment="1">
      <alignment horizontal="center" vertical="center"/>
    </xf>
    <xf numFmtId="0" fontId="3" fillId="0" borderId="17" xfId="0" applyFont="1" applyBorder="1" applyAlignment="1">
      <alignment horizontal="center" vertical="center"/>
    </xf>
    <xf numFmtId="0" fontId="0" fillId="0" borderId="28" xfId="0" applyBorder="1" applyAlignment="1">
      <alignment horizontal="center" vertical="center"/>
    </xf>
    <xf numFmtId="0" fontId="0" fillId="0" borderId="30" xfId="0" applyBorder="1" applyAlignment="1">
      <alignment horizontal="center" vertical="center"/>
    </xf>
    <xf numFmtId="0" fontId="14" fillId="4" borderId="38" xfId="0" applyFont="1" applyFill="1" applyBorder="1" applyAlignment="1">
      <alignment vertical="center" wrapText="1" readingOrder="1"/>
    </xf>
    <xf numFmtId="0" fontId="14" fillId="4" borderId="40" xfId="0" applyFont="1" applyFill="1" applyBorder="1" applyAlignment="1">
      <alignment vertical="center" wrapText="1" readingOrder="1"/>
    </xf>
    <xf numFmtId="20" fontId="3" fillId="0" borderId="34" xfId="0" applyNumberFormat="1" applyFont="1" applyBorder="1" applyAlignment="1">
      <alignment horizontal="center" vertical="center"/>
    </xf>
    <xf numFmtId="20" fontId="3" fillId="0" borderId="40" xfId="0" applyNumberFormat="1" applyFont="1" applyBorder="1" applyAlignment="1">
      <alignment horizontal="center" vertical="center"/>
    </xf>
    <xf numFmtId="165" fontId="17" fillId="0" borderId="4" xfId="2" quotePrefix="1" applyNumberFormat="1" applyFont="1" applyBorder="1" applyAlignment="1">
      <alignment horizontal="right" vertical="center" wrapText="1" readingOrder="1"/>
    </xf>
    <xf numFmtId="20" fontId="4" fillId="3" borderId="2" xfId="0" applyNumberFormat="1" applyFont="1" applyFill="1" applyBorder="1" applyAlignment="1">
      <alignment horizontal="center" vertical="center"/>
    </xf>
    <xf numFmtId="168" fontId="4" fillId="0" borderId="2" xfId="1" applyNumberFormat="1" applyFont="1" applyBorder="1" applyAlignment="1">
      <alignment horizontal="right" vertical="center"/>
    </xf>
    <xf numFmtId="168" fontId="17" fillId="0" borderId="43" xfId="2" quotePrefix="1" applyNumberFormat="1" applyFont="1" applyBorder="1" applyAlignment="1">
      <alignment horizontal="right" vertical="center" wrapText="1" readingOrder="1"/>
    </xf>
    <xf numFmtId="0" fontId="16" fillId="0" borderId="18" xfId="0" applyFont="1" applyBorder="1" applyAlignment="1">
      <alignment horizontal="center" vertical="center"/>
    </xf>
    <xf numFmtId="0" fontId="16" fillId="0" borderId="30" xfId="0" applyFont="1" applyBorder="1" applyAlignment="1">
      <alignment horizontal="center" vertical="center"/>
    </xf>
    <xf numFmtId="0" fontId="20" fillId="2" borderId="36" xfId="0" applyFont="1" applyFill="1" applyBorder="1" applyAlignment="1">
      <alignment horizontal="center" vertical="center"/>
    </xf>
    <xf numFmtId="0" fontId="21" fillId="0" borderId="15" xfId="0" applyFont="1" applyBorder="1" applyAlignment="1">
      <alignment horizontal="center" vertical="center"/>
    </xf>
    <xf numFmtId="0" fontId="22" fillId="0" borderId="15" xfId="0" applyFont="1" applyBorder="1" applyAlignment="1">
      <alignment horizontal="center" vertical="center"/>
    </xf>
    <xf numFmtId="0" fontId="22" fillId="0" borderId="15" xfId="0" applyFont="1" applyBorder="1" applyAlignment="1">
      <alignment horizontal="center" vertical="center" wrapText="1" readingOrder="1"/>
    </xf>
    <xf numFmtId="170" fontId="22" fillId="0" borderId="15" xfId="0" applyNumberFormat="1" applyFont="1" applyBorder="1" applyAlignment="1">
      <alignment horizontal="center" vertical="center"/>
    </xf>
    <xf numFmtId="0" fontId="21" fillId="0" borderId="15" xfId="0" applyFont="1" applyBorder="1" applyAlignment="1">
      <alignment vertical="center"/>
    </xf>
    <xf numFmtId="0" fontId="16" fillId="0" borderId="15" xfId="0" applyFont="1" applyBorder="1" applyAlignment="1">
      <alignment vertical="center"/>
    </xf>
    <xf numFmtId="0" fontId="21" fillId="0" borderId="0" xfId="0" applyFont="1" applyAlignment="1">
      <alignment horizontal="center" vertical="center"/>
    </xf>
    <xf numFmtId="170" fontId="21" fillId="0" borderId="0" xfId="0" applyNumberFormat="1" applyFont="1" applyAlignment="1">
      <alignment horizontal="center" vertical="center"/>
    </xf>
    <xf numFmtId="0" fontId="21" fillId="0" borderId="0" xfId="0" applyFont="1" applyAlignment="1">
      <alignment vertical="center"/>
    </xf>
    <xf numFmtId="0" fontId="23" fillId="0" borderId="0" xfId="0" applyFont="1" applyAlignment="1">
      <alignment vertical="center"/>
    </xf>
    <xf numFmtId="0" fontId="21" fillId="0" borderId="1" xfId="0" applyFont="1" applyBorder="1" applyAlignment="1">
      <alignment horizontal="center" vertical="center"/>
    </xf>
    <xf numFmtId="0" fontId="22" fillId="0" borderId="1" xfId="0" applyFont="1" applyBorder="1" applyAlignment="1">
      <alignment horizontal="center" vertical="center"/>
    </xf>
    <xf numFmtId="171" fontId="22" fillId="0" borderId="1" xfId="0" applyNumberFormat="1" applyFont="1" applyBorder="1" applyAlignment="1">
      <alignment horizontal="center" vertical="center" wrapText="1" readingOrder="1"/>
    </xf>
    <xf numFmtId="170" fontId="22" fillId="0" borderId="1" xfId="0" applyNumberFormat="1" applyFont="1" applyBorder="1" applyAlignment="1">
      <alignment horizontal="center" vertical="center"/>
    </xf>
    <xf numFmtId="0" fontId="21" fillId="0" borderId="1" xfId="0" applyFont="1" applyBorder="1" applyAlignment="1">
      <alignment vertical="center"/>
    </xf>
    <xf numFmtId="164" fontId="21" fillId="0" borderId="1" xfId="1" applyNumberFormat="1" applyFont="1" applyBorder="1" applyAlignment="1">
      <alignment horizontal="center" vertical="center"/>
    </xf>
    <xf numFmtId="1" fontId="21" fillId="0" borderId="1" xfId="0" applyNumberFormat="1" applyFont="1" applyBorder="1" applyAlignment="1">
      <alignment horizontal="center" vertical="center"/>
    </xf>
    <xf numFmtId="0" fontId="22" fillId="0" borderId="1" xfId="0" applyFont="1" applyBorder="1" applyAlignment="1">
      <alignment vertical="center"/>
    </xf>
    <xf numFmtId="164" fontId="21" fillId="0" borderId="1" xfId="0" applyNumberFormat="1" applyFont="1" applyBorder="1" applyAlignment="1">
      <alignment vertical="center"/>
    </xf>
    <xf numFmtId="0" fontId="23" fillId="0" borderId="1" xfId="0" applyFont="1" applyBorder="1" applyAlignment="1">
      <alignment vertical="center"/>
    </xf>
    <xf numFmtId="0" fontId="21" fillId="0" borderId="36" xfId="0" applyFont="1" applyBorder="1" applyAlignment="1">
      <alignment horizontal="center" vertical="center"/>
    </xf>
    <xf numFmtId="0" fontId="22" fillId="0" borderId="36" xfId="0" applyFont="1" applyBorder="1" applyAlignment="1">
      <alignment horizontal="center" vertical="center"/>
    </xf>
    <xf numFmtId="171" fontId="22" fillId="0" borderId="36" xfId="0" applyNumberFormat="1" applyFont="1" applyBorder="1" applyAlignment="1">
      <alignment horizontal="center" vertical="center" wrapText="1" readingOrder="1"/>
    </xf>
    <xf numFmtId="170" fontId="22" fillId="0" borderId="36" xfId="0" applyNumberFormat="1" applyFont="1" applyBorder="1" applyAlignment="1">
      <alignment horizontal="center" vertical="center"/>
    </xf>
    <xf numFmtId="0" fontId="21" fillId="0" borderId="36" xfId="0" applyFont="1" applyBorder="1" applyAlignment="1">
      <alignment vertical="center"/>
    </xf>
    <xf numFmtId="164" fontId="21" fillId="0" borderId="36" xfId="1" applyNumberFormat="1" applyFont="1" applyBorder="1" applyAlignment="1">
      <alignment horizontal="center" vertical="center"/>
    </xf>
    <xf numFmtId="1" fontId="21" fillId="0" borderId="36" xfId="0" applyNumberFormat="1" applyFont="1" applyBorder="1" applyAlignment="1">
      <alignment horizontal="center" vertical="center"/>
    </xf>
    <xf numFmtId="0" fontId="22" fillId="0" borderId="36" xfId="0" applyFont="1" applyBorder="1" applyAlignment="1">
      <alignment vertical="center"/>
    </xf>
    <xf numFmtId="164" fontId="21" fillId="0" borderId="36" xfId="0" applyNumberFormat="1" applyFont="1" applyBorder="1" applyAlignment="1">
      <alignment vertical="center"/>
    </xf>
    <xf numFmtId="0" fontId="23" fillId="0" borderId="36" xfId="0" applyFont="1" applyBorder="1" applyAlignment="1">
      <alignment vertical="center"/>
    </xf>
    <xf numFmtId="0" fontId="22" fillId="0" borderId="0" xfId="0" applyFont="1" applyAlignment="1">
      <alignment vertical="center"/>
    </xf>
    <xf numFmtId="164" fontId="21" fillId="0" borderId="0" xfId="0" applyNumberFormat="1" applyFont="1" applyAlignment="1">
      <alignment vertical="center"/>
    </xf>
    <xf numFmtId="1" fontId="21" fillId="0" borderId="0" xfId="0" applyNumberFormat="1" applyFont="1" applyAlignment="1">
      <alignment horizontal="center" vertical="center"/>
    </xf>
    <xf numFmtId="0" fontId="16" fillId="0" borderId="0" xfId="0" applyFont="1" applyAlignment="1">
      <alignment vertical="center"/>
    </xf>
    <xf numFmtId="172" fontId="24" fillId="0" borderId="15" xfId="0" applyNumberFormat="1" applyFont="1" applyBorder="1" applyAlignment="1">
      <alignment horizontal="center" vertical="center" wrapText="1" readingOrder="1"/>
    </xf>
    <xf numFmtId="170" fontId="21" fillId="0" borderId="15" xfId="0" applyNumberFormat="1" applyFont="1" applyBorder="1" applyAlignment="1">
      <alignment horizontal="center" vertical="center"/>
    </xf>
    <xf numFmtId="164" fontId="21" fillId="0" borderId="15" xfId="1" applyNumberFormat="1" applyFont="1" applyBorder="1" applyAlignment="1">
      <alignment horizontal="center" vertical="center"/>
    </xf>
    <xf numFmtId="1" fontId="21" fillId="0" borderId="15" xfId="0" applyNumberFormat="1" applyFont="1" applyBorder="1" applyAlignment="1">
      <alignment horizontal="center" vertical="center"/>
    </xf>
    <xf numFmtId="164" fontId="21" fillId="0" borderId="15" xfId="0" applyNumberFormat="1" applyFont="1" applyBorder="1" applyAlignment="1">
      <alignment vertical="center"/>
    </xf>
    <xf numFmtId="0" fontId="23" fillId="0" borderId="15" xfId="0" applyFont="1" applyBorder="1" applyAlignment="1">
      <alignment vertical="center"/>
    </xf>
    <xf numFmtId="164" fontId="16" fillId="0" borderId="0" xfId="0" applyNumberFormat="1" applyFont="1"/>
    <xf numFmtId="171" fontId="21" fillId="0" borderId="36" xfId="0" applyNumberFormat="1" applyFont="1" applyBorder="1" applyAlignment="1">
      <alignment horizontal="center" vertical="center" wrapText="1" readingOrder="1"/>
    </xf>
    <xf numFmtId="0" fontId="18" fillId="0" borderId="0" xfId="0" applyFont="1" applyAlignment="1">
      <alignment horizontal="center" vertical="center"/>
    </xf>
    <xf numFmtId="0" fontId="14" fillId="4" borderId="41" xfId="0" applyFont="1" applyFill="1" applyBorder="1" applyAlignment="1">
      <alignment vertical="center" wrapText="1" readingOrder="1"/>
    </xf>
    <xf numFmtId="168" fontId="17" fillId="0" borderId="4" xfId="2" quotePrefix="1" applyNumberFormat="1" applyFont="1" applyFill="1" applyBorder="1" applyAlignment="1">
      <alignment horizontal="right" vertical="center" wrapText="1" readingOrder="1"/>
    </xf>
    <xf numFmtId="167" fontId="17" fillId="0" borderId="43" xfId="1" quotePrefix="1" applyNumberFormat="1" applyFont="1" applyBorder="1" applyAlignment="1">
      <alignment horizontal="right" vertical="center" wrapText="1" readingOrder="1"/>
    </xf>
    <xf numFmtId="43" fontId="17" fillId="0" borderId="43" xfId="1" quotePrefix="1" applyFont="1" applyBorder="1" applyAlignment="1">
      <alignment horizontal="right" vertical="center" wrapText="1" readingOrder="1"/>
    </xf>
    <xf numFmtId="0" fontId="16" fillId="0" borderId="0" xfId="0" applyFont="1" applyAlignment="1">
      <alignment horizontal="center" vertical="center"/>
    </xf>
    <xf numFmtId="0" fontId="26" fillId="0" borderId="15" xfId="0" applyFont="1" applyBorder="1" applyAlignment="1">
      <alignment horizontal="center" vertical="center"/>
    </xf>
    <xf numFmtId="0" fontId="26" fillId="0" borderId="15" xfId="0" applyFont="1" applyBorder="1" applyAlignment="1">
      <alignment horizontal="center" vertical="center" wrapText="1" readingOrder="1"/>
    </xf>
    <xf numFmtId="170" fontId="26" fillId="0" borderId="15" xfId="0" applyNumberFormat="1" applyFont="1" applyBorder="1" applyAlignment="1">
      <alignment horizontal="center" vertical="center"/>
    </xf>
    <xf numFmtId="0" fontId="26" fillId="0" borderId="15" xfId="0" applyFont="1" applyBorder="1" applyAlignment="1">
      <alignment vertical="center"/>
    </xf>
    <xf numFmtId="0" fontId="26" fillId="0" borderId="1" xfId="0" applyFont="1" applyBorder="1" applyAlignment="1">
      <alignment horizontal="center" vertical="center"/>
    </xf>
    <xf numFmtId="171" fontId="26" fillId="0" borderId="1" xfId="0" applyNumberFormat="1" applyFont="1" applyBorder="1" applyAlignment="1">
      <alignment horizontal="center" vertical="center" wrapText="1" readingOrder="1"/>
    </xf>
    <xf numFmtId="170" fontId="26" fillId="0" borderId="1" xfId="0" applyNumberFormat="1" applyFont="1" applyBorder="1" applyAlignment="1">
      <alignment horizontal="center" vertical="center"/>
    </xf>
    <xf numFmtId="0" fontId="26" fillId="0" borderId="1" xfId="0" applyFont="1" applyBorder="1" applyAlignment="1">
      <alignment vertical="center"/>
    </xf>
    <xf numFmtId="0" fontId="26" fillId="0" borderId="36" xfId="0" applyFont="1" applyBorder="1" applyAlignment="1">
      <alignment horizontal="center" vertical="center"/>
    </xf>
    <xf numFmtId="170" fontId="26" fillId="0" borderId="36" xfId="0" applyNumberFormat="1" applyFont="1" applyBorder="1" applyAlignment="1">
      <alignment horizontal="center" vertical="center"/>
    </xf>
    <xf numFmtId="172" fontId="26" fillId="0" borderId="36" xfId="0" applyNumberFormat="1" applyFont="1" applyBorder="1" applyAlignment="1">
      <alignment horizontal="center" vertical="center"/>
    </xf>
    <xf numFmtId="0" fontId="26" fillId="0" borderId="36" xfId="0" applyFont="1" applyBorder="1" applyAlignment="1">
      <alignment vertical="center"/>
    </xf>
    <xf numFmtId="0" fontId="14" fillId="0" borderId="2" xfId="0" applyFont="1" applyBorder="1" applyAlignment="1">
      <alignment horizontal="right" vertical="center" wrapText="1" readingOrder="1"/>
    </xf>
    <xf numFmtId="43" fontId="17" fillId="0" borderId="2" xfId="1" quotePrefix="1" applyFont="1" applyBorder="1" applyAlignment="1">
      <alignment horizontal="right" vertical="center" wrapText="1" readingOrder="1"/>
    </xf>
    <xf numFmtId="0" fontId="26" fillId="3" borderId="15" xfId="0" applyFont="1" applyFill="1" applyBorder="1" applyAlignment="1">
      <alignment horizontal="center" vertical="center"/>
    </xf>
    <xf numFmtId="168" fontId="17" fillId="0" borderId="2" xfId="2" quotePrefix="1" applyNumberFormat="1" applyFont="1" applyBorder="1" applyAlignment="1">
      <alignment horizontal="right" vertical="center" wrapText="1" readingOrder="1"/>
    </xf>
    <xf numFmtId="173" fontId="26" fillId="0" borderId="1" xfId="0" applyNumberFormat="1" applyFont="1" applyBorder="1" applyAlignment="1">
      <alignment horizontal="center" vertical="center"/>
    </xf>
    <xf numFmtId="0" fontId="26" fillId="0" borderId="1" xfId="0" applyFont="1" applyBorder="1" applyAlignment="1">
      <alignment horizontal="right" vertical="center"/>
    </xf>
    <xf numFmtId="173" fontId="26" fillId="0" borderId="36" xfId="0" applyNumberFormat="1" applyFont="1" applyBorder="1" applyAlignment="1">
      <alignment horizontal="center" vertical="center"/>
    </xf>
    <xf numFmtId="167" fontId="26" fillId="0" borderId="36" xfId="1" applyNumberFormat="1" applyFont="1" applyBorder="1" applyAlignment="1">
      <alignment horizontal="right" vertical="center"/>
    </xf>
    <xf numFmtId="173" fontId="22" fillId="0" borderId="0" xfId="0" applyNumberFormat="1" applyFont="1" applyAlignment="1">
      <alignment horizontal="center" vertical="center"/>
    </xf>
    <xf numFmtId="0" fontId="21" fillId="0" borderId="0" xfId="0" applyFont="1" applyAlignment="1">
      <alignment horizontal="right" vertical="center"/>
    </xf>
    <xf numFmtId="168" fontId="17" fillId="0" borderId="2" xfId="2" quotePrefix="1" applyNumberFormat="1" applyFont="1" applyFill="1" applyBorder="1" applyAlignment="1">
      <alignment horizontal="right" vertical="center" wrapText="1" readingOrder="1"/>
    </xf>
    <xf numFmtId="0" fontId="16" fillId="0" borderId="0" xfId="0" applyFont="1" applyAlignment="1">
      <alignment horizontal="right" vertical="center"/>
    </xf>
    <xf numFmtId="173" fontId="26" fillId="0" borderId="15" xfId="0" applyNumberFormat="1" applyFont="1" applyBorder="1" applyAlignment="1">
      <alignment horizontal="center" vertical="center"/>
    </xf>
    <xf numFmtId="172" fontId="26" fillId="0" borderId="15" xfId="0" applyNumberFormat="1" applyFont="1" applyBorder="1" applyAlignment="1">
      <alignment horizontal="center" vertical="center"/>
    </xf>
    <xf numFmtId="173" fontId="26" fillId="0" borderId="15" xfId="0" applyNumberFormat="1" applyFont="1" applyBorder="1" applyAlignment="1">
      <alignment horizontal="right" vertical="center"/>
    </xf>
    <xf numFmtId="167" fontId="17" fillId="0" borderId="2" xfId="1" quotePrefix="1" applyNumberFormat="1" applyFont="1" applyBorder="1" applyAlignment="1">
      <alignment horizontal="right" vertical="center" wrapText="1" readingOrder="1"/>
    </xf>
    <xf numFmtId="2" fontId="26" fillId="0" borderId="15" xfId="0" applyNumberFormat="1" applyFont="1" applyBorder="1" applyAlignment="1">
      <alignment horizontal="center" vertical="center"/>
    </xf>
    <xf numFmtId="20" fontId="21" fillId="0" borderId="0" xfId="0" applyNumberFormat="1" applyFont="1" applyAlignment="1">
      <alignment vertical="center"/>
    </xf>
    <xf numFmtId="10" fontId="17" fillId="0" borderId="2" xfId="2" quotePrefix="1" applyNumberFormat="1" applyFont="1" applyBorder="1" applyAlignment="1">
      <alignment horizontal="right" vertical="center" wrapText="1" readingOrder="1"/>
    </xf>
    <xf numFmtId="165" fontId="17" fillId="0" borderId="2" xfId="2" quotePrefix="1" applyNumberFormat="1" applyFont="1" applyBorder="1" applyAlignment="1">
      <alignment horizontal="right" vertical="center" wrapText="1" readingOrder="1"/>
    </xf>
    <xf numFmtId="20" fontId="16" fillId="0" borderId="0" xfId="0" applyNumberFormat="1" applyFont="1" applyAlignment="1">
      <alignment vertical="center"/>
    </xf>
    <xf numFmtId="43" fontId="21" fillId="0" borderId="0" xfId="0" applyNumberFormat="1" applyFont="1" applyAlignment="1">
      <alignment vertical="center"/>
    </xf>
    <xf numFmtId="165" fontId="4" fillId="0" borderId="2" xfId="1" applyNumberFormat="1" applyFont="1" applyBorder="1" applyAlignment="1">
      <alignment horizontal="right" vertical="center" wrapText="1"/>
    </xf>
    <xf numFmtId="167" fontId="4" fillId="0" borderId="2" xfId="1" quotePrefix="1" applyNumberFormat="1" applyFont="1" applyBorder="1" applyAlignment="1">
      <alignment horizontal="right" vertical="center"/>
    </xf>
    <xf numFmtId="10" fontId="4" fillId="0" borderId="2" xfId="1" applyNumberFormat="1" applyFont="1" applyFill="1" applyBorder="1" applyAlignment="1">
      <alignment horizontal="right" vertical="center" wrapText="1"/>
    </xf>
    <xf numFmtId="0" fontId="14" fillId="0" borderId="21" xfId="0" applyFont="1" applyBorder="1" applyAlignment="1">
      <alignment horizontal="right" vertical="center" wrapText="1" indent="2" readingOrder="1"/>
    </xf>
    <xf numFmtId="0" fontId="14" fillId="0" borderId="22" xfId="0" applyFont="1" applyBorder="1" applyAlignment="1">
      <alignment horizontal="right" vertical="center" wrapText="1" indent="2" readingOrder="1"/>
    </xf>
    <xf numFmtId="168" fontId="17" fillId="0" borderId="4" xfId="2" quotePrefix="1" applyNumberFormat="1" applyFont="1" applyBorder="1" applyAlignment="1">
      <alignment horizontal="right" vertical="center" wrapText="1" indent="2" readingOrder="1"/>
    </xf>
    <xf numFmtId="20" fontId="0" fillId="0" borderId="18" xfId="0" applyNumberFormat="1" applyBorder="1" applyAlignment="1">
      <alignment horizontal="center" vertical="center"/>
    </xf>
    <xf numFmtId="167" fontId="17" fillId="0" borderId="4" xfId="1" quotePrefix="1" applyNumberFormat="1" applyFont="1" applyBorder="1" applyAlignment="1">
      <alignment horizontal="right" vertical="center" wrapText="1" indent="2" readingOrder="1"/>
    </xf>
    <xf numFmtId="43" fontId="17" fillId="0" borderId="4" xfId="1" quotePrefix="1" applyFont="1" applyFill="1" applyBorder="1" applyAlignment="1">
      <alignment horizontal="right" vertical="center" wrapText="1" readingOrder="1"/>
    </xf>
    <xf numFmtId="0" fontId="14" fillId="4" borderId="5" xfId="0" applyFont="1" applyFill="1" applyBorder="1" applyAlignment="1">
      <alignment horizontal="center" vertical="center" wrapText="1" readingOrder="1"/>
    </xf>
    <xf numFmtId="0" fontId="14" fillId="0" borderId="3" xfId="0" applyFont="1" applyBorder="1" applyAlignment="1">
      <alignment horizontal="center" vertical="center" wrapText="1" readingOrder="1"/>
    </xf>
    <xf numFmtId="167" fontId="17" fillId="0" borderId="51" xfId="1" quotePrefix="1" applyNumberFormat="1" applyFont="1" applyBorder="1" applyAlignment="1">
      <alignment horizontal="right" vertical="center" wrapText="1" readingOrder="1"/>
    </xf>
    <xf numFmtId="0" fontId="3" fillId="0" borderId="0" xfId="0" applyFont="1" applyAlignment="1">
      <alignment horizontal="center" vertical="center"/>
    </xf>
    <xf numFmtId="167" fontId="26" fillId="0" borderId="36" xfId="1" applyNumberFormat="1" applyFont="1" applyBorder="1" applyAlignment="1">
      <alignment vertical="center"/>
    </xf>
    <xf numFmtId="168" fontId="21" fillId="0" borderId="15" xfId="2" applyNumberFormat="1" applyFont="1" applyBorder="1" applyAlignment="1">
      <alignment horizontal="center" vertical="center"/>
    </xf>
    <xf numFmtId="173" fontId="26" fillId="0" borderId="15" xfId="0" applyNumberFormat="1" applyFont="1" applyBorder="1" applyAlignment="1">
      <alignment horizontal="left" vertical="center"/>
    </xf>
    <xf numFmtId="10" fontId="17" fillId="0" borderId="43" xfId="2" quotePrefix="1" applyNumberFormat="1" applyFont="1" applyBorder="1" applyAlignment="1">
      <alignment horizontal="right" vertical="center" wrapText="1" readingOrder="1"/>
    </xf>
    <xf numFmtId="20" fontId="16" fillId="0" borderId="0" xfId="0" applyNumberFormat="1" applyFont="1"/>
    <xf numFmtId="167" fontId="26" fillId="0" borderId="1" xfId="1" applyNumberFormat="1" applyFont="1" applyBorder="1" applyAlignment="1">
      <alignment vertical="center"/>
    </xf>
    <xf numFmtId="167" fontId="21" fillId="0" borderId="15" xfId="0" applyNumberFormat="1" applyFont="1" applyBorder="1" applyAlignment="1">
      <alignment vertical="center"/>
    </xf>
    <xf numFmtId="43" fontId="17" fillId="0" borderId="4" xfId="1" quotePrefix="1" applyFont="1" applyBorder="1" applyAlignment="1">
      <alignment horizontal="right" vertical="center" wrapText="1" indent="2" readingOrder="1"/>
    </xf>
    <xf numFmtId="0" fontId="29" fillId="0" borderId="0" xfId="0" applyFont="1" applyAlignment="1">
      <alignment horizontal="center" vertical="center"/>
    </xf>
    <xf numFmtId="0" fontId="31" fillId="0" borderId="0" xfId="0" applyFont="1" applyAlignment="1">
      <alignment horizontal="center" vertical="center"/>
    </xf>
    <xf numFmtId="0" fontId="32" fillId="2" borderId="36" xfId="0" applyFont="1" applyFill="1" applyBorder="1" applyAlignment="1">
      <alignment horizontal="center" vertical="center"/>
    </xf>
    <xf numFmtId="0" fontId="31" fillId="0" borderId="15" xfId="0" applyFont="1" applyBorder="1" applyAlignment="1">
      <alignment horizontal="center" vertical="center"/>
    </xf>
    <xf numFmtId="0" fontId="35" fillId="0" borderId="15" xfId="0" applyFont="1" applyBorder="1" applyAlignment="1">
      <alignment horizontal="center" vertical="center"/>
    </xf>
    <xf numFmtId="0" fontId="35" fillId="0" borderId="15" xfId="0" applyFont="1" applyBorder="1" applyAlignment="1">
      <alignment horizontal="center" vertical="center" wrapText="1" readingOrder="1"/>
    </xf>
    <xf numFmtId="170" fontId="35" fillId="0" borderId="15" xfId="0" applyNumberFormat="1" applyFont="1" applyBorder="1" applyAlignment="1">
      <alignment horizontal="center" vertical="center"/>
    </xf>
    <xf numFmtId="0" fontId="31" fillId="0" borderId="15" xfId="0" applyFont="1" applyBorder="1" applyAlignment="1">
      <alignment vertical="center"/>
    </xf>
    <xf numFmtId="0" fontId="35" fillId="0" borderId="15" xfId="0" applyFont="1" applyBorder="1" applyAlignment="1">
      <alignment vertical="center"/>
    </xf>
    <xf numFmtId="164" fontId="31" fillId="0" borderId="15" xfId="0" applyNumberFormat="1" applyFont="1" applyBorder="1" applyAlignment="1">
      <alignment vertical="center"/>
    </xf>
    <xf numFmtId="170" fontId="31" fillId="0" borderId="0" xfId="0" applyNumberFormat="1" applyFont="1" applyAlignment="1">
      <alignment horizontal="center" vertical="center"/>
    </xf>
    <xf numFmtId="0" fontId="31" fillId="0" borderId="0" xfId="0" applyFont="1" applyAlignment="1">
      <alignment vertical="center"/>
    </xf>
    <xf numFmtId="0" fontId="36" fillId="0" borderId="0" xfId="0" applyFont="1" applyAlignment="1">
      <alignment vertical="center"/>
    </xf>
    <xf numFmtId="0" fontId="31" fillId="0" borderId="1" xfId="0" applyFont="1" applyBorder="1" applyAlignment="1">
      <alignment horizontal="center" vertical="center"/>
    </xf>
    <xf numFmtId="0" fontId="35" fillId="0" borderId="1" xfId="0" applyFont="1" applyBorder="1" applyAlignment="1">
      <alignment horizontal="center" vertical="center"/>
    </xf>
    <xf numFmtId="171" fontId="35" fillId="0" borderId="1" xfId="0" applyNumberFormat="1" applyFont="1" applyBorder="1" applyAlignment="1">
      <alignment horizontal="center" vertical="center" wrapText="1" readingOrder="1"/>
    </xf>
    <xf numFmtId="170" fontId="35" fillId="0" borderId="1" xfId="0" applyNumberFormat="1" applyFont="1" applyBorder="1" applyAlignment="1">
      <alignment horizontal="center" vertical="center"/>
    </xf>
    <xf numFmtId="0" fontId="31" fillId="0" borderId="1" xfId="0" applyFont="1" applyBorder="1" applyAlignment="1">
      <alignment vertical="center"/>
    </xf>
    <xf numFmtId="164" fontId="31" fillId="0" borderId="1" xfId="1" applyNumberFormat="1" applyFont="1" applyBorder="1" applyAlignment="1">
      <alignment horizontal="center" vertical="center"/>
    </xf>
    <xf numFmtId="1" fontId="31" fillId="0" borderId="1" xfId="0" applyNumberFormat="1" applyFont="1" applyBorder="1" applyAlignment="1">
      <alignment horizontal="center" vertical="center"/>
    </xf>
    <xf numFmtId="0" fontId="35" fillId="0" borderId="1" xfId="0" applyFont="1" applyBorder="1" applyAlignment="1">
      <alignment vertical="center"/>
    </xf>
    <xf numFmtId="164" fontId="31" fillId="0" borderId="1" xfId="0" applyNumberFormat="1" applyFont="1" applyBorder="1" applyAlignment="1">
      <alignment vertical="center"/>
    </xf>
    <xf numFmtId="0" fontId="36" fillId="0" borderId="1" xfId="0" applyFont="1" applyBorder="1" applyAlignment="1">
      <alignment vertical="center"/>
    </xf>
    <xf numFmtId="0" fontId="31" fillId="0" borderId="36" xfId="0" applyFont="1" applyBorder="1" applyAlignment="1">
      <alignment horizontal="center" vertical="center"/>
    </xf>
    <xf numFmtId="0" fontId="35" fillId="0" borderId="36" xfId="0" applyFont="1" applyBorder="1" applyAlignment="1">
      <alignment horizontal="center" vertical="center"/>
    </xf>
    <xf numFmtId="171" fontId="31" fillId="0" borderId="36" xfId="0" applyNumberFormat="1" applyFont="1" applyBorder="1" applyAlignment="1">
      <alignment horizontal="center" vertical="center" wrapText="1" readingOrder="1"/>
    </xf>
    <xf numFmtId="170" fontId="35" fillId="0" borderId="36" xfId="0" applyNumberFormat="1" applyFont="1" applyBorder="1" applyAlignment="1">
      <alignment horizontal="center" vertical="center"/>
    </xf>
    <xf numFmtId="0" fontId="31" fillId="0" borderId="36" xfId="0" applyFont="1" applyBorder="1" applyAlignment="1">
      <alignment vertical="center"/>
    </xf>
    <xf numFmtId="172" fontId="35" fillId="0" borderId="36" xfId="0" applyNumberFormat="1" applyFont="1" applyBorder="1" applyAlignment="1">
      <alignment horizontal="center" vertical="center"/>
    </xf>
    <xf numFmtId="164" fontId="31" fillId="0" borderId="36" xfId="1" applyNumberFormat="1" applyFont="1" applyBorder="1" applyAlignment="1">
      <alignment horizontal="center" vertical="center"/>
    </xf>
    <xf numFmtId="1" fontId="31" fillId="0" borderId="36" xfId="0" applyNumberFormat="1" applyFont="1" applyBorder="1" applyAlignment="1">
      <alignment horizontal="center" vertical="center"/>
    </xf>
    <xf numFmtId="0" fontId="35" fillId="0" borderId="36" xfId="0" applyFont="1" applyBorder="1" applyAlignment="1">
      <alignment vertical="center"/>
    </xf>
    <xf numFmtId="164" fontId="31" fillId="0" borderId="36" xfId="0" applyNumberFormat="1" applyFont="1" applyBorder="1" applyAlignment="1">
      <alignment vertical="center"/>
    </xf>
    <xf numFmtId="0" fontId="36" fillId="0" borderId="36" xfId="0" applyFont="1" applyBorder="1" applyAlignment="1">
      <alignment vertical="center"/>
    </xf>
    <xf numFmtId="0" fontId="30" fillId="0" borderId="21" xfId="0" applyFont="1" applyBorder="1" applyAlignment="1">
      <alignment horizontal="right" vertical="center" wrapText="1" indent="2" readingOrder="1"/>
    </xf>
    <xf numFmtId="0" fontId="30" fillId="0" borderId="22" xfId="0" applyFont="1" applyBorder="1" applyAlignment="1">
      <alignment horizontal="right" vertical="center" wrapText="1" indent="2" readingOrder="1"/>
    </xf>
    <xf numFmtId="164" fontId="31" fillId="0" borderId="0" xfId="0" applyNumberFormat="1" applyFont="1" applyAlignment="1">
      <alignment vertical="center"/>
    </xf>
    <xf numFmtId="1" fontId="31" fillId="0" borderId="0" xfId="0" applyNumberFormat="1" applyFont="1" applyAlignment="1">
      <alignment horizontal="center" vertical="center"/>
    </xf>
    <xf numFmtId="167" fontId="33" fillId="0" borderId="4" xfId="1" quotePrefix="1" applyNumberFormat="1" applyFont="1" applyBorder="1" applyAlignment="1">
      <alignment horizontal="right" vertical="center" wrapText="1" indent="2" readingOrder="1"/>
    </xf>
    <xf numFmtId="172" fontId="33" fillId="0" borderId="15" xfId="0" applyNumberFormat="1" applyFont="1" applyBorder="1" applyAlignment="1">
      <alignment horizontal="center" vertical="center" wrapText="1" readingOrder="1"/>
    </xf>
    <xf numFmtId="170" fontId="31" fillId="0" borderId="15" xfId="0" applyNumberFormat="1" applyFont="1" applyBorder="1" applyAlignment="1">
      <alignment horizontal="center" vertical="center"/>
    </xf>
    <xf numFmtId="164" fontId="31" fillId="0" borderId="15" xfId="1" applyNumberFormat="1" applyFont="1" applyBorder="1" applyAlignment="1">
      <alignment horizontal="center" vertical="center"/>
    </xf>
    <xf numFmtId="1" fontId="31" fillId="0" borderId="15" xfId="0" applyNumberFormat="1" applyFont="1" applyBorder="1" applyAlignment="1">
      <alignment horizontal="center" vertical="center"/>
    </xf>
    <xf numFmtId="0" fontId="36" fillId="0" borderId="15" xfId="0" applyFont="1" applyBorder="1" applyAlignment="1">
      <alignment vertical="center"/>
    </xf>
    <xf numFmtId="0" fontId="36" fillId="0" borderId="15" xfId="0" applyFont="1" applyBorder="1" applyAlignment="1">
      <alignment horizontal="center" vertical="center"/>
    </xf>
    <xf numFmtId="0" fontId="31" fillId="0" borderId="0" xfId="0" applyFont="1"/>
    <xf numFmtId="0" fontId="30" fillId="0" borderId="21" xfId="0" applyFont="1" applyBorder="1" applyAlignment="1">
      <alignment horizontal="right" vertical="center" wrapText="1" readingOrder="1"/>
    </xf>
    <xf numFmtId="0" fontId="30" fillId="0" borderId="22" xfId="0" applyFont="1" applyBorder="1" applyAlignment="1">
      <alignment horizontal="right" vertical="center" wrapText="1" readingOrder="1"/>
    </xf>
    <xf numFmtId="10" fontId="33" fillId="0" borderId="4" xfId="2" quotePrefix="1" applyNumberFormat="1" applyFont="1" applyBorder="1" applyAlignment="1">
      <alignment horizontal="right" vertical="center" wrapText="1" readingOrder="1"/>
    </xf>
    <xf numFmtId="0" fontId="33" fillId="0" borderId="0" xfId="0" applyFont="1"/>
    <xf numFmtId="173" fontId="35" fillId="0" borderId="1" xfId="0" applyNumberFormat="1" applyFont="1" applyBorder="1" applyAlignment="1">
      <alignment horizontal="center" vertical="center"/>
    </xf>
    <xf numFmtId="0" fontId="35" fillId="0" borderId="1" xfId="0" applyFont="1" applyBorder="1" applyAlignment="1">
      <alignment horizontal="right" vertical="center"/>
    </xf>
    <xf numFmtId="173" fontId="35" fillId="0" borderId="36" xfId="0" applyNumberFormat="1" applyFont="1" applyBorder="1" applyAlignment="1">
      <alignment horizontal="center" vertical="center"/>
    </xf>
    <xf numFmtId="167" fontId="35" fillId="0" borderId="36" xfId="1" applyNumberFormat="1" applyFont="1" applyBorder="1" applyAlignment="1">
      <alignment horizontal="right" vertical="center"/>
    </xf>
    <xf numFmtId="173" fontId="36" fillId="0" borderId="0" xfId="0" applyNumberFormat="1" applyFont="1" applyAlignment="1">
      <alignment horizontal="center" vertical="center"/>
    </xf>
    <xf numFmtId="0" fontId="31" fillId="0" borderId="0" xfId="0" applyFont="1" applyAlignment="1">
      <alignment horizontal="right" vertical="center"/>
    </xf>
    <xf numFmtId="173" fontId="35" fillId="0" borderId="15" xfId="0" applyNumberFormat="1" applyFont="1" applyBorder="1" applyAlignment="1">
      <alignment horizontal="center" vertical="center"/>
    </xf>
    <xf numFmtId="172" fontId="35" fillId="0" borderId="15" xfId="0" applyNumberFormat="1" applyFont="1" applyBorder="1" applyAlignment="1">
      <alignment horizontal="center" vertical="center"/>
    </xf>
    <xf numFmtId="173" fontId="35" fillId="0" borderId="15" xfId="0" applyNumberFormat="1" applyFont="1" applyBorder="1" applyAlignment="1">
      <alignment horizontal="right" vertical="center"/>
    </xf>
    <xf numFmtId="167" fontId="35" fillId="0" borderId="36" xfId="1" applyNumberFormat="1" applyFont="1" applyBorder="1" applyAlignment="1">
      <alignment vertical="center"/>
    </xf>
    <xf numFmtId="0" fontId="38" fillId="0" borderId="0" xfId="0" applyFont="1" applyAlignment="1">
      <alignment horizontal="center" vertical="center"/>
    </xf>
    <xf numFmtId="0" fontId="36" fillId="0" borderId="0" xfId="0" applyFont="1" applyAlignment="1">
      <alignment horizontal="center" vertical="center"/>
    </xf>
    <xf numFmtId="0" fontId="37" fillId="2" borderId="36" xfId="0" applyFont="1" applyFill="1" applyBorder="1" applyAlignment="1">
      <alignment horizontal="center" vertical="center"/>
    </xf>
    <xf numFmtId="0" fontId="36" fillId="0" borderId="15" xfId="0" applyFont="1" applyBorder="1" applyAlignment="1">
      <alignment horizontal="center" vertical="center" wrapText="1" readingOrder="1"/>
    </xf>
    <xf numFmtId="170" fontId="36" fillId="0" borderId="15" xfId="0" applyNumberFormat="1" applyFont="1" applyBorder="1" applyAlignment="1">
      <alignment horizontal="center" vertical="center"/>
    </xf>
    <xf numFmtId="164" fontId="36" fillId="0" borderId="15" xfId="0" applyNumberFormat="1" applyFont="1" applyBorder="1" applyAlignment="1">
      <alignment vertical="center"/>
    </xf>
    <xf numFmtId="170" fontId="36" fillId="0" borderId="0" xfId="0" applyNumberFormat="1" applyFont="1" applyAlignment="1">
      <alignment horizontal="center" vertical="center"/>
    </xf>
    <xf numFmtId="0" fontId="36" fillId="0" borderId="1" xfId="0" applyFont="1" applyBorder="1" applyAlignment="1">
      <alignment horizontal="center" vertical="center"/>
    </xf>
    <xf numFmtId="171" fontId="36" fillId="0" borderId="1" xfId="0" applyNumberFormat="1" applyFont="1" applyBorder="1" applyAlignment="1">
      <alignment horizontal="center" vertical="center" wrapText="1" readingOrder="1"/>
    </xf>
    <xf numFmtId="170" fontId="36" fillId="0" borderId="1" xfId="0" applyNumberFormat="1" applyFont="1" applyBorder="1" applyAlignment="1">
      <alignment horizontal="center" vertical="center"/>
    </xf>
    <xf numFmtId="173" fontId="36" fillId="0" borderId="1" xfId="0" applyNumberFormat="1" applyFont="1" applyBorder="1" applyAlignment="1">
      <alignment horizontal="center" vertical="center"/>
    </xf>
    <xf numFmtId="164" fontId="36" fillId="0" borderId="1" xfId="1" applyNumberFormat="1" applyFont="1" applyBorder="1" applyAlignment="1">
      <alignment horizontal="center" vertical="center"/>
    </xf>
    <xf numFmtId="1" fontId="36" fillId="0" borderId="1" xfId="0" applyNumberFormat="1" applyFont="1" applyBorder="1" applyAlignment="1">
      <alignment horizontal="center" vertical="center"/>
    </xf>
    <xf numFmtId="0" fontId="36" fillId="0" borderId="1" xfId="0" applyFont="1" applyBorder="1" applyAlignment="1">
      <alignment horizontal="right" vertical="center"/>
    </xf>
    <xf numFmtId="164" fontId="36" fillId="0" borderId="1" xfId="0" applyNumberFormat="1" applyFont="1" applyBorder="1" applyAlignment="1">
      <alignment vertical="center"/>
    </xf>
    <xf numFmtId="0" fontId="36" fillId="0" borderId="36" xfId="0" applyFont="1" applyBorder="1" applyAlignment="1">
      <alignment horizontal="center" vertical="center"/>
    </xf>
    <xf numFmtId="171" fontId="36" fillId="0" borderId="36" xfId="0" applyNumberFormat="1" applyFont="1" applyBorder="1" applyAlignment="1">
      <alignment horizontal="center" vertical="center" wrapText="1" readingOrder="1"/>
    </xf>
    <xf numFmtId="170" fontId="36" fillId="0" borderId="36" xfId="0" applyNumberFormat="1" applyFont="1" applyBorder="1" applyAlignment="1">
      <alignment horizontal="center" vertical="center"/>
    </xf>
    <xf numFmtId="173" fontId="36" fillId="0" borderId="36" xfId="0" applyNumberFormat="1" applyFont="1" applyBorder="1" applyAlignment="1">
      <alignment horizontal="center" vertical="center"/>
    </xf>
    <xf numFmtId="172" fontId="36" fillId="0" borderId="36" xfId="0" applyNumberFormat="1" applyFont="1" applyBorder="1" applyAlignment="1">
      <alignment horizontal="center" vertical="center"/>
    </xf>
    <xf numFmtId="164" fontId="36" fillId="0" borderId="36" xfId="1" applyNumberFormat="1" applyFont="1" applyBorder="1" applyAlignment="1">
      <alignment horizontal="center" vertical="center"/>
    </xf>
    <xf numFmtId="1" fontId="36" fillId="0" borderId="36" xfId="0" applyNumberFormat="1" applyFont="1" applyBorder="1" applyAlignment="1">
      <alignment horizontal="center" vertical="center"/>
    </xf>
    <xf numFmtId="167" fontId="36" fillId="0" borderId="36" xfId="1" applyNumberFormat="1" applyFont="1" applyBorder="1" applyAlignment="1">
      <alignment horizontal="right" vertical="center"/>
    </xf>
    <xf numFmtId="164" fontId="36" fillId="0" borderId="36" xfId="0" applyNumberFormat="1" applyFont="1" applyBorder="1" applyAlignment="1">
      <alignment vertical="center"/>
    </xf>
    <xf numFmtId="0" fontId="37" fillId="0" borderId="21" xfId="0" applyFont="1" applyBorder="1" applyAlignment="1">
      <alignment horizontal="right" vertical="center" wrapText="1" readingOrder="1"/>
    </xf>
    <xf numFmtId="0" fontId="37" fillId="0" borderId="22" xfId="0" applyFont="1" applyBorder="1" applyAlignment="1">
      <alignment horizontal="right" vertical="center" wrapText="1" readingOrder="1"/>
    </xf>
    <xf numFmtId="164" fontId="36" fillId="0" borderId="0" xfId="0" applyNumberFormat="1" applyFont="1" applyAlignment="1">
      <alignment vertical="center"/>
    </xf>
    <xf numFmtId="1" fontId="36" fillId="0" borderId="0" xfId="0" applyNumberFormat="1" applyFont="1" applyAlignment="1">
      <alignment horizontal="center" vertical="center"/>
    </xf>
    <xf numFmtId="0" fontId="36" fillId="0" borderId="0" xfId="0" applyFont="1" applyAlignment="1">
      <alignment horizontal="right" vertical="center"/>
    </xf>
    <xf numFmtId="43" fontId="36" fillId="0" borderId="4" xfId="1" quotePrefix="1" applyFont="1" applyBorder="1" applyAlignment="1">
      <alignment horizontal="right" vertical="center" wrapText="1" readingOrder="1"/>
    </xf>
    <xf numFmtId="2" fontId="36" fillId="0" borderId="15" xfId="0" applyNumberFormat="1" applyFont="1" applyBorder="1" applyAlignment="1">
      <alignment horizontal="center" vertical="center"/>
    </xf>
    <xf numFmtId="172" fontId="36" fillId="0" borderId="15" xfId="0" applyNumberFormat="1" applyFont="1" applyBorder="1" applyAlignment="1">
      <alignment horizontal="center" vertical="center" wrapText="1" readingOrder="1"/>
    </xf>
    <xf numFmtId="173" fontId="36" fillId="0" borderId="15" xfId="0" applyNumberFormat="1" applyFont="1" applyBorder="1" applyAlignment="1">
      <alignment horizontal="center" vertical="center"/>
    </xf>
    <xf numFmtId="164" fontId="36" fillId="0" borderId="15" xfId="1" applyNumberFormat="1" applyFont="1" applyBorder="1" applyAlignment="1">
      <alignment horizontal="center" vertical="center"/>
    </xf>
    <xf numFmtId="1" fontId="36" fillId="0" borderId="15" xfId="0" applyNumberFormat="1" applyFont="1" applyBorder="1" applyAlignment="1">
      <alignment horizontal="center" vertical="center"/>
    </xf>
    <xf numFmtId="173" fontId="36" fillId="0" borderId="15" xfId="0" applyNumberFormat="1" applyFont="1" applyBorder="1" applyAlignment="1">
      <alignment horizontal="right" vertical="center"/>
    </xf>
    <xf numFmtId="0" fontId="36" fillId="0" borderId="0" xfId="0" applyFont="1"/>
    <xf numFmtId="43" fontId="36" fillId="0" borderId="43" xfId="1" quotePrefix="1" applyFont="1" applyBorder="1" applyAlignment="1">
      <alignment horizontal="right" vertical="center" wrapText="1" readingOrder="1"/>
    </xf>
    <xf numFmtId="168" fontId="33" fillId="0" borderId="4" xfId="2" quotePrefix="1" applyNumberFormat="1" applyFont="1" applyBorder="1" applyAlignment="1">
      <alignment horizontal="right" vertical="center" wrapText="1" readingOrder="1"/>
    </xf>
    <xf numFmtId="2" fontId="35" fillId="0" borderId="15" xfId="0" applyNumberFormat="1" applyFont="1" applyBorder="1" applyAlignment="1">
      <alignment horizontal="center" vertical="center"/>
    </xf>
    <xf numFmtId="168" fontId="33" fillId="0" borderId="43" xfId="2" quotePrefix="1" applyNumberFormat="1" applyFont="1" applyBorder="1" applyAlignment="1">
      <alignment horizontal="right" vertical="center" wrapText="1" readingOrder="1"/>
    </xf>
    <xf numFmtId="10" fontId="33" fillId="0" borderId="43" xfId="2" quotePrefix="1" applyNumberFormat="1" applyFont="1" applyBorder="1" applyAlignment="1">
      <alignment horizontal="right" vertical="center" wrapText="1" readingOrder="1"/>
    </xf>
    <xf numFmtId="0" fontId="34" fillId="0" borderId="21" xfId="0" applyFont="1" applyBorder="1" applyAlignment="1">
      <alignment horizontal="right" vertical="center" wrapText="1" readingOrder="1"/>
    </xf>
    <xf numFmtId="0" fontId="34" fillId="0" borderId="22" xfId="0" applyFont="1" applyBorder="1" applyAlignment="1">
      <alignment horizontal="right" vertical="center" wrapText="1" readingOrder="1"/>
    </xf>
    <xf numFmtId="167" fontId="35" fillId="0" borderId="1" xfId="1" applyNumberFormat="1" applyFont="1" applyBorder="1" applyAlignment="1">
      <alignment vertical="center"/>
    </xf>
    <xf numFmtId="167" fontId="33" fillId="0" borderId="4" xfId="1" quotePrefix="1" applyNumberFormat="1" applyFont="1" applyBorder="1" applyAlignment="1">
      <alignment horizontal="right" vertical="center" wrapText="1" readingOrder="1"/>
    </xf>
    <xf numFmtId="167" fontId="31" fillId="0" borderId="15" xfId="0" applyNumberFormat="1" applyFont="1" applyBorder="1" applyAlignment="1">
      <alignment vertical="center"/>
    </xf>
    <xf numFmtId="167" fontId="33" fillId="0" borderId="43" xfId="1" quotePrefix="1" applyNumberFormat="1" applyFont="1" applyBorder="1" applyAlignment="1">
      <alignment horizontal="right" vertical="center" wrapText="1" readingOrder="1"/>
    </xf>
    <xf numFmtId="15" fontId="9" fillId="6" borderId="2" xfId="0" applyNumberFormat="1" applyFont="1" applyFill="1" applyBorder="1" applyAlignment="1">
      <alignment horizontal="center" vertical="center" wrapText="1" readingOrder="1"/>
    </xf>
    <xf numFmtId="0" fontId="9" fillId="6" borderId="2" xfId="0" applyFont="1" applyFill="1" applyBorder="1" applyAlignment="1">
      <alignment horizontal="center" vertical="center" wrapText="1" readingOrder="1"/>
    </xf>
    <xf numFmtId="20" fontId="9" fillId="6" borderId="2" xfId="0" applyNumberFormat="1" applyFont="1" applyFill="1" applyBorder="1" applyAlignment="1">
      <alignment horizontal="center" vertical="center" wrapText="1" readingOrder="1"/>
    </xf>
    <xf numFmtId="43" fontId="4" fillId="0" borderId="2" xfId="1" quotePrefix="1" applyFont="1" applyBorder="1" applyAlignment="1">
      <alignment horizontal="right" vertical="center" wrapText="1"/>
    </xf>
    <xf numFmtId="20" fontId="0" fillId="0" borderId="17" xfId="0" applyNumberFormat="1" applyBorder="1" applyAlignment="1">
      <alignment horizontal="center" vertical="center"/>
    </xf>
    <xf numFmtId="20" fontId="3" fillId="0" borderId="18" xfId="0" applyNumberFormat="1" applyFont="1" applyBorder="1" applyAlignment="1">
      <alignment horizontal="center" vertical="center"/>
    </xf>
    <xf numFmtId="0" fontId="30" fillId="4" borderId="9" xfId="0" applyFont="1" applyFill="1" applyBorder="1" applyAlignment="1">
      <alignment horizontal="center" vertical="center" wrapText="1" readingOrder="1"/>
    </xf>
    <xf numFmtId="0" fontId="30" fillId="4" borderId="9" xfId="0" applyFont="1" applyFill="1" applyBorder="1" applyAlignment="1">
      <alignment horizontal="left" vertical="center" wrapText="1" readingOrder="1"/>
    </xf>
    <xf numFmtId="0" fontId="31" fillId="0" borderId="16" xfId="0" applyFont="1" applyBorder="1" applyAlignment="1">
      <alignment horizontal="center" vertical="center"/>
    </xf>
    <xf numFmtId="0" fontId="34" fillId="0" borderId="16" xfId="0" applyFont="1" applyBorder="1" applyAlignment="1">
      <alignment horizontal="left" vertical="center"/>
    </xf>
    <xf numFmtId="0" fontId="31" fillId="0" borderId="16" xfId="0" applyFont="1" applyBorder="1" applyAlignment="1">
      <alignment horizontal="left" vertical="center"/>
    </xf>
    <xf numFmtId="20" fontId="34" fillId="0" borderId="16" xfId="0" applyNumberFormat="1" applyFont="1" applyBorder="1" applyAlignment="1">
      <alignment horizontal="center" vertical="center"/>
    </xf>
    <xf numFmtId="20" fontId="34" fillId="0" borderId="16" xfId="0" applyNumberFormat="1" applyFont="1" applyBorder="1" applyAlignment="1">
      <alignment horizontal="left" vertical="center"/>
    </xf>
    <xf numFmtId="0" fontId="30" fillId="0" borderId="40" xfId="0" applyFont="1" applyBorder="1" applyAlignment="1">
      <alignment horizontal="center" vertical="center" wrapText="1" readingOrder="1"/>
    </xf>
    <xf numFmtId="0" fontId="30" fillId="0" borderId="40" xfId="0" applyFont="1" applyBorder="1" applyAlignment="1">
      <alignment horizontal="left" vertical="center" wrapText="1" readingOrder="1"/>
    </xf>
    <xf numFmtId="168" fontId="33" fillId="0" borderId="4" xfId="2" quotePrefix="1" applyNumberFormat="1" applyFont="1" applyBorder="1" applyAlignment="1">
      <alignment horizontal="right" vertical="center" wrapText="1" indent="2" readingOrder="1"/>
    </xf>
    <xf numFmtId="0" fontId="31" fillId="0" borderId="37" xfId="0" applyFont="1" applyBorder="1" applyAlignment="1">
      <alignment horizontal="left" vertical="center"/>
    </xf>
    <xf numFmtId="20" fontId="31" fillId="0" borderId="16" xfId="0" applyNumberFormat="1" applyFont="1" applyBorder="1" applyAlignment="1">
      <alignment horizontal="left" vertical="center"/>
    </xf>
    <xf numFmtId="0" fontId="31" fillId="0" borderId="33" xfId="0" applyFont="1" applyBorder="1" applyAlignment="1">
      <alignment horizontal="left" vertical="center"/>
    </xf>
    <xf numFmtId="10" fontId="33" fillId="0" borderId="4" xfId="2" quotePrefix="1" applyNumberFormat="1" applyFont="1" applyBorder="1" applyAlignment="1">
      <alignment horizontal="right" vertical="center" wrapText="1" indent="2" readingOrder="1"/>
    </xf>
    <xf numFmtId="43" fontId="33" fillId="0" borderId="4" xfId="2" quotePrefix="1" applyNumberFormat="1" applyFont="1" applyBorder="1" applyAlignment="1">
      <alignment horizontal="right" vertical="center" wrapText="1" readingOrder="1"/>
    </xf>
    <xf numFmtId="0" fontId="34" fillId="4" borderId="9" xfId="0" applyFont="1" applyFill="1" applyBorder="1" applyAlignment="1">
      <alignment horizontal="left" vertical="center" wrapText="1" readingOrder="1"/>
    </xf>
    <xf numFmtId="43" fontId="33" fillId="0" borderId="43" xfId="2" quotePrefix="1" applyNumberFormat="1" applyFont="1" applyBorder="1" applyAlignment="1">
      <alignment horizontal="right" vertical="center" wrapText="1" readingOrder="1"/>
    </xf>
    <xf numFmtId="43" fontId="33" fillId="0" borderId="4" xfId="1" quotePrefix="1" applyFont="1" applyBorder="1" applyAlignment="1">
      <alignment horizontal="right" vertical="center" wrapText="1" indent="2" readingOrder="1"/>
    </xf>
    <xf numFmtId="43" fontId="33" fillId="0" borderId="43" xfId="1" quotePrefix="1" applyFont="1" applyBorder="1" applyAlignment="1">
      <alignment horizontal="right" vertical="center" wrapText="1" indent="2" readingOrder="1"/>
    </xf>
    <xf numFmtId="20" fontId="31" fillId="0" borderId="37" xfId="0" applyNumberFormat="1" applyFont="1" applyBorder="1" applyAlignment="1">
      <alignment horizontal="left" vertical="center"/>
    </xf>
    <xf numFmtId="0" fontId="34" fillId="0" borderId="40" xfId="0" applyFont="1" applyBorder="1" applyAlignment="1">
      <alignment horizontal="left" vertical="center" wrapText="1" readingOrder="1"/>
    </xf>
    <xf numFmtId="43" fontId="31" fillId="0" borderId="4" xfId="2" quotePrefix="1" applyNumberFormat="1" applyFont="1" applyBorder="1" applyAlignment="1">
      <alignment horizontal="right" vertical="center" wrapText="1" readingOrder="1"/>
    </xf>
    <xf numFmtId="2" fontId="31" fillId="0" borderId="15" xfId="0" applyNumberFormat="1" applyFont="1" applyBorder="1" applyAlignment="1">
      <alignment horizontal="center" vertical="center"/>
    </xf>
    <xf numFmtId="172" fontId="31" fillId="0" borderId="15" xfId="0" applyNumberFormat="1" applyFont="1" applyBorder="1" applyAlignment="1">
      <alignment horizontal="center" vertical="center" wrapText="1" readingOrder="1"/>
    </xf>
    <xf numFmtId="173" fontId="31" fillId="0" borderId="15" xfId="0" applyNumberFormat="1" applyFont="1" applyBorder="1" applyAlignment="1">
      <alignment horizontal="center" vertical="center"/>
    </xf>
    <xf numFmtId="173" fontId="31" fillId="0" borderId="15" xfId="0" applyNumberFormat="1" applyFont="1" applyBorder="1" applyAlignment="1">
      <alignment horizontal="right" vertical="center"/>
    </xf>
    <xf numFmtId="43" fontId="31" fillId="0" borderId="43" xfId="2" quotePrefix="1" applyNumberFormat="1" applyFont="1" applyBorder="1" applyAlignment="1">
      <alignment horizontal="right" vertical="center" wrapText="1" readingOrder="1"/>
    </xf>
    <xf numFmtId="168" fontId="31" fillId="0" borderId="4" xfId="2" quotePrefix="1" applyNumberFormat="1" applyFont="1" applyBorder="1" applyAlignment="1">
      <alignment horizontal="right" vertical="center" wrapText="1" readingOrder="1"/>
    </xf>
    <xf numFmtId="168" fontId="31" fillId="0" borderId="43" xfId="2" quotePrefix="1" applyNumberFormat="1" applyFont="1" applyBorder="1" applyAlignment="1">
      <alignment horizontal="right" vertical="center" wrapText="1" readingOrder="1"/>
    </xf>
    <xf numFmtId="167" fontId="31" fillId="0" borderId="15" xfId="1" applyNumberFormat="1" applyFont="1" applyBorder="1" applyAlignment="1">
      <alignment vertical="center"/>
    </xf>
    <xf numFmtId="20" fontId="34" fillId="0" borderId="16" xfId="0" applyNumberFormat="1" applyFont="1" applyBorder="1" applyAlignment="1">
      <alignment horizontal="right" vertical="center"/>
    </xf>
    <xf numFmtId="0" fontId="41" fillId="0" borderId="21" xfId="0" applyFont="1" applyBorder="1" applyAlignment="1">
      <alignment horizontal="right" vertical="center" wrapText="1" indent="2" readingOrder="1"/>
    </xf>
    <xf numFmtId="0" fontId="41" fillId="0" borderId="22" xfId="0" applyFont="1" applyBorder="1" applyAlignment="1">
      <alignment horizontal="right" vertical="center" wrapText="1" indent="2" readingOrder="1"/>
    </xf>
    <xf numFmtId="168" fontId="42" fillId="0" borderId="4" xfId="2" quotePrefix="1" applyNumberFormat="1" applyFont="1" applyBorder="1" applyAlignment="1">
      <alignment horizontal="right" vertical="center" wrapText="1" indent="2" readingOrder="1"/>
    </xf>
    <xf numFmtId="167" fontId="42" fillId="0" borderId="4" xfId="1" quotePrefix="1" applyNumberFormat="1" applyFont="1" applyBorder="1" applyAlignment="1">
      <alignment horizontal="right" vertical="center" wrapText="1" indent="2" readingOrder="1"/>
    </xf>
    <xf numFmtId="0" fontId="41" fillId="0" borderId="21" xfId="0" applyFont="1" applyBorder="1" applyAlignment="1">
      <alignment horizontal="right" vertical="center" wrapText="1" readingOrder="1"/>
    </xf>
    <xf numFmtId="0" fontId="41" fillId="0" borderId="22" xfId="0" applyFont="1" applyBorder="1" applyAlignment="1">
      <alignment horizontal="right" vertical="center" wrapText="1" readingOrder="1"/>
    </xf>
    <xf numFmtId="168" fontId="42" fillId="0" borderId="4" xfId="2" quotePrefix="1" applyNumberFormat="1" applyFont="1" applyBorder="1" applyAlignment="1">
      <alignment horizontal="right" vertical="center" wrapText="1" readingOrder="1"/>
    </xf>
    <xf numFmtId="168" fontId="42" fillId="0" borderId="43" xfId="2" quotePrefix="1" applyNumberFormat="1" applyFont="1" applyBorder="1" applyAlignment="1">
      <alignment horizontal="right" vertical="center" wrapText="1" readingOrder="1"/>
    </xf>
    <xf numFmtId="10" fontId="42" fillId="0" borderId="4" xfId="2" quotePrefix="1" applyNumberFormat="1" applyFont="1" applyBorder="1" applyAlignment="1">
      <alignment horizontal="right" vertical="center" wrapText="1" readingOrder="1"/>
    </xf>
    <xf numFmtId="10" fontId="42" fillId="0" borderId="43" xfId="2" quotePrefix="1" applyNumberFormat="1" applyFont="1" applyBorder="1" applyAlignment="1">
      <alignment horizontal="right" vertical="center" wrapText="1" readingOrder="1"/>
    </xf>
    <xf numFmtId="0" fontId="14" fillId="4" borderId="3" xfId="0" applyFont="1" applyFill="1" applyBorder="1" applyAlignment="1">
      <alignment horizontal="center" vertical="center" wrapText="1" readingOrder="1"/>
    </xf>
    <xf numFmtId="0" fontId="46" fillId="0" borderId="0" xfId="0" applyFont="1"/>
    <xf numFmtId="0" fontId="48" fillId="4" borderId="9" xfId="0" applyFont="1" applyFill="1" applyBorder="1" applyAlignment="1">
      <alignment horizontal="left" vertical="center" wrapText="1" readingOrder="1"/>
    </xf>
    <xf numFmtId="0" fontId="13" fillId="0" borderId="16" xfId="0" applyFont="1" applyBorder="1" applyAlignment="1">
      <alignment horizontal="left" vertical="center"/>
    </xf>
    <xf numFmtId="0" fontId="16" fillId="0" borderId="16" xfId="0" applyFont="1" applyBorder="1" applyAlignment="1">
      <alignment horizontal="left" vertical="center"/>
    </xf>
    <xf numFmtId="20" fontId="13" fillId="0" borderId="16" xfId="0" applyNumberFormat="1" applyFont="1" applyBorder="1" applyAlignment="1">
      <alignment horizontal="center" vertical="center"/>
    </xf>
    <xf numFmtId="20" fontId="13" fillId="0" borderId="16" xfId="0" applyNumberFormat="1" applyFont="1" applyBorder="1" applyAlignment="1">
      <alignment horizontal="left" vertical="center"/>
    </xf>
    <xf numFmtId="0" fontId="48" fillId="0" borderId="21" xfId="0" applyFont="1" applyBorder="1" applyAlignment="1">
      <alignment horizontal="right" vertical="center" wrapText="1" indent="2" readingOrder="1"/>
    </xf>
    <xf numFmtId="0" fontId="48" fillId="0" borderId="22" xfId="0" applyFont="1" applyBorder="1" applyAlignment="1">
      <alignment horizontal="right" vertical="center" wrapText="1" indent="2" readingOrder="1"/>
    </xf>
    <xf numFmtId="0" fontId="48" fillId="0" borderId="40" xfId="0" applyFont="1" applyBorder="1" applyAlignment="1">
      <alignment horizontal="left" vertical="center" wrapText="1" readingOrder="1"/>
    </xf>
    <xf numFmtId="167" fontId="49" fillId="0" borderId="4" xfId="1" quotePrefix="1" applyNumberFormat="1" applyFont="1" applyFill="1" applyBorder="1" applyAlignment="1">
      <alignment horizontal="right" vertical="center" wrapText="1" indent="2" readingOrder="1"/>
    </xf>
    <xf numFmtId="0" fontId="16" fillId="0" borderId="37" xfId="0" applyFont="1" applyBorder="1" applyAlignment="1">
      <alignment horizontal="left" vertical="center"/>
    </xf>
    <xf numFmtId="20" fontId="16" fillId="0" borderId="16" xfId="0" applyNumberFormat="1" applyFont="1" applyBorder="1" applyAlignment="1">
      <alignment horizontal="left" vertical="center"/>
    </xf>
    <xf numFmtId="0" fontId="16" fillId="0" borderId="33" xfId="0" applyFont="1" applyBorder="1" applyAlignment="1">
      <alignment horizontal="left" vertical="center"/>
    </xf>
    <xf numFmtId="167" fontId="49" fillId="0" borderId="4" xfId="1" quotePrefix="1" applyNumberFormat="1" applyFont="1" applyBorder="1" applyAlignment="1">
      <alignment horizontal="right" vertical="center" wrapText="1" indent="2" readingOrder="1"/>
    </xf>
    <xf numFmtId="0" fontId="13" fillId="4" borderId="9" xfId="0" applyFont="1" applyFill="1" applyBorder="1" applyAlignment="1">
      <alignment horizontal="left" vertical="center" wrapText="1" readingOrder="1"/>
    </xf>
    <xf numFmtId="10" fontId="49" fillId="0" borderId="4" xfId="2" quotePrefix="1" applyNumberFormat="1" applyFont="1" applyBorder="1" applyAlignment="1">
      <alignment horizontal="right" vertical="center" wrapText="1" indent="2" readingOrder="1"/>
    </xf>
    <xf numFmtId="20" fontId="16" fillId="0" borderId="37" xfId="0" applyNumberFormat="1" applyFont="1" applyBorder="1" applyAlignment="1">
      <alignment horizontal="left" vertical="center"/>
    </xf>
    <xf numFmtId="0" fontId="13" fillId="0" borderId="40" xfId="0" applyFont="1" applyBorder="1" applyAlignment="1">
      <alignment horizontal="left" vertical="center" wrapText="1" readingOrder="1"/>
    </xf>
    <xf numFmtId="10" fontId="49" fillId="0" borderId="4" xfId="1" quotePrefix="1" applyNumberFormat="1" applyFont="1" applyBorder="1" applyAlignment="1">
      <alignment horizontal="right" vertical="center" wrapText="1" indent="2" readingOrder="1"/>
    </xf>
    <xf numFmtId="10" fontId="49" fillId="0" borderId="43" xfId="1" quotePrefix="1" applyNumberFormat="1" applyFont="1" applyBorder="1" applyAlignment="1">
      <alignment horizontal="right" vertical="center" wrapText="1" indent="2" readingOrder="1"/>
    </xf>
    <xf numFmtId="167" fontId="49" fillId="0" borderId="43" xfId="1" quotePrefix="1" applyNumberFormat="1" applyFont="1" applyBorder="1" applyAlignment="1">
      <alignment horizontal="right" vertical="center" wrapText="1" indent="2" readingOrder="1"/>
    </xf>
    <xf numFmtId="0" fontId="16" fillId="0" borderId="15" xfId="0" applyFont="1" applyBorder="1" applyAlignment="1">
      <alignment horizontal="center" vertical="center"/>
    </xf>
    <xf numFmtId="0" fontId="50" fillId="0" borderId="15" xfId="0" applyFont="1" applyBorder="1" applyAlignment="1">
      <alignment horizontal="center" vertical="center"/>
    </xf>
    <xf numFmtId="0" fontId="50" fillId="0" borderId="15" xfId="0" applyFont="1" applyBorder="1" applyAlignment="1">
      <alignment horizontal="center" vertical="center" wrapText="1" readingOrder="1"/>
    </xf>
    <xf numFmtId="170" fontId="50" fillId="0" borderId="15" xfId="0" applyNumberFormat="1" applyFont="1" applyBorder="1" applyAlignment="1">
      <alignment horizontal="center" vertical="center"/>
    </xf>
    <xf numFmtId="0" fontId="50" fillId="0" borderId="15" xfId="0" applyFont="1" applyBorder="1" applyAlignment="1">
      <alignment vertical="center"/>
    </xf>
    <xf numFmtId="164" fontId="16" fillId="0" borderId="15" xfId="0" applyNumberFormat="1" applyFont="1" applyBorder="1" applyAlignment="1">
      <alignment vertical="center"/>
    </xf>
    <xf numFmtId="170" fontId="16" fillId="0" borderId="0" xfId="0" applyNumberFormat="1" applyFont="1" applyAlignment="1">
      <alignment horizontal="center" vertical="center"/>
    </xf>
    <xf numFmtId="0" fontId="16" fillId="0" borderId="1" xfId="0" applyFont="1" applyBorder="1" applyAlignment="1">
      <alignment horizontal="center" vertical="center"/>
    </xf>
    <xf numFmtId="0" fontId="50" fillId="0" borderId="1" xfId="0" applyFont="1" applyBorder="1" applyAlignment="1">
      <alignment horizontal="center" vertical="center"/>
    </xf>
    <xf numFmtId="171" fontId="50" fillId="0" borderId="1" xfId="0" applyNumberFormat="1" applyFont="1" applyBorder="1" applyAlignment="1">
      <alignment horizontal="center" vertical="center" wrapText="1" readingOrder="1"/>
    </xf>
    <xf numFmtId="170" fontId="50" fillId="0" borderId="1" xfId="0" applyNumberFormat="1" applyFont="1" applyBorder="1" applyAlignment="1">
      <alignment horizontal="center" vertical="center"/>
    </xf>
    <xf numFmtId="0" fontId="16" fillId="0" borderId="1" xfId="0" applyFont="1" applyBorder="1" applyAlignment="1">
      <alignment vertical="center"/>
    </xf>
    <xf numFmtId="164" fontId="16" fillId="0" borderId="1" xfId="1" applyNumberFormat="1" applyFont="1" applyBorder="1" applyAlignment="1">
      <alignment horizontal="center" vertical="center"/>
    </xf>
    <xf numFmtId="1" fontId="16" fillId="0" borderId="1" xfId="0" applyNumberFormat="1" applyFont="1" applyBorder="1" applyAlignment="1">
      <alignment horizontal="center" vertical="center"/>
    </xf>
    <xf numFmtId="0" fontId="50" fillId="0" borderId="1" xfId="0" applyFont="1" applyBorder="1" applyAlignment="1">
      <alignment vertical="center"/>
    </xf>
    <xf numFmtId="164" fontId="16" fillId="0" borderId="1" xfId="0" applyNumberFormat="1" applyFont="1" applyBorder="1" applyAlignment="1">
      <alignment vertical="center"/>
    </xf>
    <xf numFmtId="0" fontId="16" fillId="0" borderId="36" xfId="0" applyFont="1" applyBorder="1" applyAlignment="1">
      <alignment horizontal="center" vertical="center"/>
    </xf>
    <xf numFmtId="0" fontId="50" fillId="0" borderId="36" xfId="0" applyFont="1" applyBorder="1" applyAlignment="1">
      <alignment horizontal="center" vertical="center"/>
    </xf>
    <xf numFmtId="171" fontId="16" fillId="0" borderId="36" xfId="0" applyNumberFormat="1" applyFont="1" applyBorder="1" applyAlignment="1">
      <alignment horizontal="center" vertical="center" wrapText="1" readingOrder="1"/>
    </xf>
    <xf numFmtId="170" fontId="50" fillId="0" borderId="36" xfId="0" applyNumberFormat="1" applyFont="1" applyBorder="1" applyAlignment="1">
      <alignment horizontal="center" vertical="center"/>
    </xf>
    <xf numFmtId="0" fontId="16" fillId="0" borderId="36" xfId="0" applyFont="1" applyBorder="1" applyAlignment="1">
      <alignment vertical="center"/>
    </xf>
    <xf numFmtId="172" fontId="50" fillId="0" borderId="36" xfId="0" applyNumberFormat="1" applyFont="1" applyBorder="1" applyAlignment="1">
      <alignment horizontal="center" vertical="center"/>
    </xf>
    <xf numFmtId="164" fontId="16" fillId="0" borderId="36" xfId="1" applyNumberFormat="1" applyFont="1" applyBorder="1" applyAlignment="1">
      <alignment horizontal="center" vertical="center"/>
    </xf>
    <xf numFmtId="1" fontId="16" fillId="0" borderId="36" xfId="0" applyNumberFormat="1" applyFont="1" applyBorder="1" applyAlignment="1">
      <alignment horizontal="center" vertical="center"/>
    </xf>
    <xf numFmtId="0" fontId="50" fillId="0" borderId="36" xfId="0" applyFont="1" applyBorder="1" applyAlignment="1">
      <alignment vertical="center"/>
    </xf>
    <xf numFmtId="164" fontId="16" fillId="0" borderId="36" xfId="0" applyNumberFormat="1" applyFont="1" applyBorder="1" applyAlignment="1">
      <alignment vertical="center"/>
    </xf>
    <xf numFmtId="164" fontId="16" fillId="0" borderId="0" xfId="0" applyNumberFormat="1" applyFont="1" applyAlignment="1">
      <alignment vertical="center"/>
    </xf>
    <xf numFmtId="1" fontId="16" fillId="0" borderId="0" xfId="0" applyNumberFormat="1" applyFont="1" applyAlignment="1">
      <alignment horizontal="center" vertical="center"/>
    </xf>
    <xf numFmtId="172" fontId="49" fillId="0" borderId="15" xfId="0" applyNumberFormat="1" applyFont="1" applyBorder="1" applyAlignment="1">
      <alignment horizontal="center" vertical="center" wrapText="1" readingOrder="1"/>
    </xf>
    <xf numFmtId="170" fontId="16" fillId="0" borderId="15" xfId="0" applyNumberFormat="1" applyFont="1" applyBorder="1" applyAlignment="1">
      <alignment horizontal="center" vertical="center"/>
    </xf>
    <xf numFmtId="164" fontId="16" fillId="0" borderId="15" xfId="1" applyNumberFormat="1" applyFont="1" applyBorder="1" applyAlignment="1">
      <alignment horizontal="center" vertical="center"/>
    </xf>
    <xf numFmtId="1" fontId="16" fillId="0" borderId="15" xfId="0" applyNumberFormat="1" applyFont="1" applyBorder="1" applyAlignment="1">
      <alignment horizontal="center" vertical="center"/>
    </xf>
    <xf numFmtId="0" fontId="23" fillId="0" borderId="15" xfId="0" applyFont="1" applyBorder="1" applyAlignment="1">
      <alignment horizontal="center" vertical="center"/>
    </xf>
    <xf numFmtId="0" fontId="49" fillId="0" borderId="0" xfId="0" applyFont="1"/>
    <xf numFmtId="43" fontId="49" fillId="0" borderId="4" xfId="1" quotePrefix="1" applyFont="1" applyFill="1" applyBorder="1" applyAlignment="1">
      <alignment horizontal="right" vertical="center" wrapText="1" indent="2" readingOrder="1"/>
    </xf>
    <xf numFmtId="43" fontId="49" fillId="0" borderId="4" xfId="1" quotePrefix="1" applyFont="1" applyBorder="1" applyAlignment="1">
      <alignment horizontal="right" vertical="center" wrapText="1" indent="2" readingOrder="1"/>
    </xf>
    <xf numFmtId="173" fontId="50" fillId="0" borderId="1" xfId="0" applyNumberFormat="1" applyFont="1" applyBorder="1" applyAlignment="1">
      <alignment horizontal="center" vertical="center"/>
    </xf>
    <xf numFmtId="0" fontId="50" fillId="0" borderId="1" xfId="0" applyFont="1" applyBorder="1" applyAlignment="1">
      <alignment horizontal="right" vertical="center"/>
    </xf>
    <xf numFmtId="173" fontId="50" fillId="0" borderId="36" xfId="0" applyNumberFormat="1" applyFont="1" applyBorder="1" applyAlignment="1">
      <alignment horizontal="center" vertical="center"/>
    </xf>
    <xf numFmtId="167" fontId="50" fillId="0" borderId="36" xfId="1" applyNumberFormat="1" applyFont="1" applyBorder="1" applyAlignment="1">
      <alignment horizontal="right" vertical="center"/>
    </xf>
    <xf numFmtId="173" fontId="23" fillId="0" borderId="0" xfId="0" applyNumberFormat="1" applyFont="1" applyAlignment="1">
      <alignment horizontal="center" vertical="center"/>
    </xf>
    <xf numFmtId="174" fontId="50" fillId="0" borderId="15" xfId="0" applyNumberFormat="1" applyFont="1" applyBorder="1" applyAlignment="1">
      <alignment horizontal="center" vertical="center"/>
    </xf>
    <xf numFmtId="173" fontId="50" fillId="0" borderId="15" xfId="0" applyNumberFormat="1" applyFont="1" applyBorder="1" applyAlignment="1">
      <alignment horizontal="center" vertical="center"/>
    </xf>
    <xf numFmtId="172" fontId="50" fillId="0" borderId="15" xfId="0" applyNumberFormat="1" applyFont="1" applyBorder="1" applyAlignment="1">
      <alignment horizontal="center" vertical="center"/>
    </xf>
    <xf numFmtId="173" fontId="50" fillId="0" borderId="15" xfId="0" applyNumberFormat="1" applyFont="1" applyBorder="1" applyAlignment="1">
      <alignment horizontal="right" vertical="center"/>
    </xf>
    <xf numFmtId="10" fontId="49" fillId="0" borderId="4" xfId="2" quotePrefix="1" applyNumberFormat="1" applyFont="1" applyFill="1" applyBorder="1" applyAlignment="1">
      <alignment horizontal="right" vertical="center" wrapText="1" indent="2" readingOrder="1"/>
    </xf>
    <xf numFmtId="172" fontId="16" fillId="0" borderId="0" xfId="0" applyNumberFormat="1" applyFont="1" applyAlignment="1">
      <alignment vertical="center"/>
    </xf>
    <xf numFmtId="2" fontId="50" fillId="0" borderId="15" xfId="0" applyNumberFormat="1" applyFont="1" applyBorder="1" applyAlignment="1">
      <alignment horizontal="center" vertical="center"/>
    </xf>
    <xf numFmtId="167" fontId="50" fillId="0" borderId="36" xfId="1" applyNumberFormat="1" applyFont="1" applyBorder="1" applyAlignment="1">
      <alignment vertical="center"/>
    </xf>
    <xf numFmtId="0" fontId="13" fillId="2" borderId="36" xfId="0" applyFont="1" applyFill="1" applyBorder="1" applyAlignment="1">
      <alignment horizontal="center" vertical="center"/>
    </xf>
    <xf numFmtId="0" fontId="16" fillId="0" borderId="15" xfId="0" applyFont="1" applyBorder="1" applyAlignment="1">
      <alignment horizontal="center" vertical="center" wrapText="1" readingOrder="1"/>
    </xf>
    <xf numFmtId="171" fontId="16" fillId="0" borderId="1" xfId="0" applyNumberFormat="1" applyFont="1" applyBorder="1" applyAlignment="1">
      <alignment horizontal="center" vertical="center" wrapText="1" readingOrder="1"/>
    </xf>
    <xf numFmtId="170" fontId="16" fillId="0" borderId="1" xfId="0" applyNumberFormat="1" applyFont="1" applyBorder="1" applyAlignment="1">
      <alignment horizontal="center" vertical="center"/>
    </xf>
    <xf numFmtId="173" fontId="16" fillId="0" borderId="1" xfId="0" applyNumberFormat="1" applyFont="1" applyBorder="1" applyAlignment="1">
      <alignment horizontal="center" vertical="center"/>
    </xf>
    <xf numFmtId="0" fontId="16" fillId="0" borderId="1" xfId="0" applyFont="1" applyBorder="1" applyAlignment="1">
      <alignment horizontal="right" vertical="center"/>
    </xf>
    <xf numFmtId="170" fontId="16" fillId="0" borderId="36" xfId="0" applyNumberFormat="1" applyFont="1" applyBorder="1" applyAlignment="1">
      <alignment horizontal="center" vertical="center"/>
    </xf>
    <xf numFmtId="173" fontId="16" fillId="0" borderId="36" xfId="0" applyNumberFormat="1" applyFont="1" applyBorder="1" applyAlignment="1">
      <alignment horizontal="center" vertical="center"/>
    </xf>
    <xf numFmtId="172" fontId="16" fillId="0" borderId="36" xfId="0" applyNumberFormat="1" applyFont="1" applyBorder="1" applyAlignment="1">
      <alignment horizontal="center" vertical="center"/>
    </xf>
    <xf numFmtId="167" fontId="16" fillId="0" borderId="36" xfId="1" applyNumberFormat="1" applyFont="1" applyBorder="1" applyAlignment="1">
      <alignment horizontal="right" vertical="center"/>
    </xf>
    <xf numFmtId="173" fontId="16" fillId="0" borderId="0" xfId="0" applyNumberFormat="1" applyFont="1" applyAlignment="1">
      <alignment horizontal="center" vertical="center"/>
    </xf>
    <xf numFmtId="2" fontId="16" fillId="0" borderId="15" xfId="0" applyNumberFormat="1" applyFont="1" applyBorder="1" applyAlignment="1">
      <alignment horizontal="center" vertical="center"/>
    </xf>
    <xf numFmtId="172" fontId="16" fillId="0" borderId="15" xfId="0" applyNumberFormat="1" applyFont="1" applyBorder="1" applyAlignment="1">
      <alignment horizontal="center" vertical="center" wrapText="1" readingOrder="1"/>
    </xf>
    <xf numFmtId="173" fontId="16" fillId="0" borderId="15" xfId="0" applyNumberFormat="1" applyFont="1" applyBorder="1" applyAlignment="1">
      <alignment horizontal="center" vertical="center"/>
    </xf>
    <xf numFmtId="173" fontId="16" fillId="0" borderId="15" xfId="0" applyNumberFormat="1" applyFont="1" applyBorder="1" applyAlignment="1">
      <alignment horizontal="right" vertical="center"/>
    </xf>
    <xf numFmtId="20" fontId="13" fillId="0" borderId="40" xfId="0" applyNumberFormat="1" applyFont="1" applyBorder="1" applyAlignment="1">
      <alignment horizontal="center" vertical="center"/>
    </xf>
    <xf numFmtId="0" fontId="25" fillId="0" borderId="3" xfId="0" applyFont="1" applyBorder="1" applyAlignment="1">
      <alignment horizontal="center" vertical="center"/>
    </xf>
    <xf numFmtId="20" fontId="27" fillId="0" borderId="3" xfId="0" applyNumberFormat="1" applyFont="1" applyBorder="1" applyAlignment="1">
      <alignment horizontal="center" vertical="center"/>
    </xf>
    <xf numFmtId="20" fontId="25" fillId="0" borderId="3" xfId="0" applyNumberFormat="1" applyFont="1" applyBorder="1" applyAlignment="1">
      <alignment horizontal="center" vertical="center"/>
    </xf>
    <xf numFmtId="20" fontId="14" fillId="0" borderId="3" xfId="0" applyNumberFormat="1" applyFont="1" applyBorder="1" applyAlignment="1">
      <alignment horizontal="center" vertical="center" wrapText="1" readingOrder="1"/>
    </xf>
    <xf numFmtId="20" fontId="17" fillId="0" borderId="3" xfId="0" applyNumberFormat="1" applyFont="1" applyBorder="1" applyAlignment="1">
      <alignment horizontal="center" vertical="center" wrapText="1" readingOrder="1"/>
    </xf>
    <xf numFmtId="0" fontId="14" fillId="4" borderId="9" xfId="0" applyFont="1" applyFill="1" applyBorder="1" applyAlignment="1">
      <alignment horizontal="center" vertical="center" wrapText="1" readingOrder="1"/>
    </xf>
    <xf numFmtId="0" fontId="25" fillId="0" borderId="16" xfId="0" applyFont="1" applyBorder="1" applyAlignment="1">
      <alignment horizontal="center" vertical="center"/>
    </xf>
    <xf numFmtId="20" fontId="27" fillId="0" borderId="16" xfId="0" applyNumberFormat="1" applyFont="1" applyBorder="1" applyAlignment="1">
      <alignment horizontal="center" vertical="center"/>
    </xf>
    <xf numFmtId="0" fontId="14" fillId="4" borderId="16" xfId="0" applyFont="1" applyFill="1" applyBorder="1" applyAlignment="1">
      <alignment horizontal="center" vertical="center" wrapText="1" readingOrder="1"/>
    </xf>
    <xf numFmtId="0" fontId="25" fillId="0" borderId="33" xfId="0" applyFont="1" applyBorder="1" applyAlignment="1">
      <alignment horizontal="center" vertical="center"/>
    </xf>
    <xf numFmtId="0" fontId="14" fillId="0" borderId="40" xfId="0" applyFont="1" applyBorder="1" applyAlignment="1">
      <alignment horizontal="center" vertical="center" wrapText="1" readingOrder="1"/>
    </xf>
    <xf numFmtId="0" fontId="25" fillId="0" borderId="37" xfId="0" applyFont="1" applyBorder="1" applyAlignment="1">
      <alignment horizontal="center" vertical="center"/>
    </xf>
    <xf numFmtId="20" fontId="25" fillId="0" borderId="16" xfId="0" applyNumberFormat="1" applyFont="1" applyBorder="1" applyAlignment="1">
      <alignment horizontal="center" vertical="center"/>
    </xf>
    <xf numFmtId="20" fontId="25" fillId="0" borderId="37" xfId="0" applyNumberFormat="1" applyFont="1" applyBorder="1" applyAlignment="1">
      <alignment horizontal="center" vertical="center"/>
    </xf>
    <xf numFmtId="0" fontId="34" fillId="0" borderId="16" xfId="0" applyFont="1" applyBorder="1" applyAlignment="1">
      <alignment horizontal="center" vertical="center"/>
    </xf>
    <xf numFmtId="0" fontId="31" fillId="0" borderId="37" xfId="0" applyFont="1" applyBorder="1" applyAlignment="1">
      <alignment horizontal="center" vertical="center"/>
    </xf>
    <xf numFmtId="20" fontId="31" fillId="0" borderId="16" xfId="0" applyNumberFormat="1" applyFont="1" applyBorder="1" applyAlignment="1">
      <alignment horizontal="center" vertical="center"/>
    </xf>
    <xf numFmtId="0" fontId="31" fillId="0" borderId="33" xfId="0" applyFont="1" applyBorder="1" applyAlignment="1">
      <alignment horizontal="center" vertical="center"/>
    </xf>
    <xf numFmtId="0" fontId="34" fillId="4" borderId="9" xfId="0" applyFont="1" applyFill="1" applyBorder="1" applyAlignment="1">
      <alignment horizontal="center" vertical="center" wrapText="1" readingOrder="1"/>
    </xf>
    <xf numFmtId="20" fontId="31" fillId="0" borderId="37" xfId="0" applyNumberFormat="1" applyFont="1" applyBorder="1" applyAlignment="1">
      <alignment horizontal="center" vertical="center"/>
    </xf>
    <xf numFmtId="0" fontId="37" fillId="4" borderId="9" xfId="0" applyFont="1" applyFill="1" applyBorder="1" applyAlignment="1">
      <alignment horizontal="center" vertical="center" wrapText="1" readingOrder="1"/>
    </xf>
    <xf numFmtId="0" fontId="36" fillId="0" borderId="16" xfId="0" applyFont="1" applyBorder="1" applyAlignment="1">
      <alignment horizontal="center" vertical="center"/>
    </xf>
    <xf numFmtId="20" fontId="37" fillId="0" borderId="16" xfId="0" applyNumberFormat="1" applyFont="1" applyBorder="1" applyAlignment="1">
      <alignment horizontal="center" vertical="center"/>
    </xf>
    <xf numFmtId="0" fontId="37" fillId="0" borderId="40" xfId="0" applyFont="1" applyBorder="1" applyAlignment="1">
      <alignment horizontal="center" vertical="center" wrapText="1" readingOrder="1"/>
    </xf>
    <xf numFmtId="0" fontId="36" fillId="0" borderId="37" xfId="0" applyFont="1" applyBorder="1" applyAlignment="1">
      <alignment horizontal="center" vertical="center"/>
    </xf>
    <xf numFmtId="20" fontId="36" fillId="0" borderId="16" xfId="0" applyNumberFormat="1" applyFont="1" applyBorder="1" applyAlignment="1">
      <alignment horizontal="center" vertical="center"/>
    </xf>
    <xf numFmtId="0" fontId="36" fillId="0" borderId="33" xfId="0" applyFont="1" applyBorder="1" applyAlignment="1">
      <alignment horizontal="center" vertical="center"/>
    </xf>
    <xf numFmtId="0" fontId="34" fillId="0" borderId="40" xfId="0" applyFont="1" applyBorder="1" applyAlignment="1">
      <alignment horizontal="center" vertical="center" wrapText="1" readingOrder="1"/>
    </xf>
    <xf numFmtId="0" fontId="14" fillId="4" borderId="57" xfId="0" applyFont="1" applyFill="1" applyBorder="1" applyAlignment="1">
      <alignment horizontal="left" vertical="center" wrapText="1" readingOrder="1"/>
    </xf>
    <xf numFmtId="0" fontId="14" fillId="0" borderId="62" xfId="0" applyFont="1" applyBorder="1" applyAlignment="1">
      <alignment horizontal="left" vertical="center" wrapText="1" readingOrder="1"/>
    </xf>
    <xf numFmtId="0" fontId="14" fillId="0" borderId="64" xfId="0" applyFont="1" applyBorder="1" applyAlignment="1">
      <alignment horizontal="left" vertical="center" wrapText="1" readingOrder="1"/>
    </xf>
    <xf numFmtId="0" fontId="14" fillId="0" borderId="65" xfId="0" applyFont="1" applyBorder="1" applyAlignment="1">
      <alignment horizontal="left" vertical="center" wrapText="1" readingOrder="1"/>
    </xf>
    <xf numFmtId="0" fontId="14" fillId="0" borderId="67" xfId="0" applyFont="1" applyBorder="1" applyAlignment="1">
      <alignment horizontal="left" vertical="center" wrapText="1" readingOrder="1"/>
    </xf>
    <xf numFmtId="15" fontId="14" fillId="0" borderId="62" xfId="0" applyNumberFormat="1" applyFont="1" applyBorder="1" applyAlignment="1">
      <alignment horizontal="left" vertical="center" wrapText="1" readingOrder="1"/>
    </xf>
    <xf numFmtId="0" fontId="14" fillId="4" borderId="67" xfId="0" applyFont="1" applyFill="1" applyBorder="1" applyAlignment="1">
      <alignment horizontal="left" vertical="center" wrapText="1" readingOrder="1"/>
    </xf>
    <xf numFmtId="15" fontId="14" fillId="0" borderId="70" xfId="0" applyNumberFormat="1" applyFont="1" applyBorder="1" applyAlignment="1">
      <alignment horizontal="left" vertical="center" wrapText="1" readingOrder="1"/>
    </xf>
    <xf numFmtId="0" fontId="14" fillId="4" borderId="64" xfId="0" applyFont="1" applyFill="1" applyBorder="1" applyAlignment="1">
      <alignment horizontal="left" vertical="center" wrapText="1" readingOrder="1"/>
    </xf>
    <xf numFmtId="15" fontId="14" fillId="0" borderId="64" xfId="0" applyNumberFormat="1" applyFont="1" applyBorder="1" applyAlignment="1">
      <alignment horizontal="left" vertical="center" wrapText="1" readingOrder="1"/>
    </xf>
    <xf numFmtId="0" fontId="30" fillId="4" borderId="67" xfId="0" applyFont="1" applyFill="1" applyBorder="1" applyAlignment="1">
      <alignment horizontal="left" vertical="center" wrapText="1" readingOrder="1"/>
    </xf>
    <xf numFmtId="0" fontId="30" fillId="0" borderId="62" xfId="0" applyFont="1" applyBorder="1" applyAlignment="1">
      <alignment horizontal="left" vertical="center" wrapText="1" indent="1" readingOrder="1"/>
    </xf>
    <xf numFmtId="0" fontId="30" fillId="0" borderId="64" xfId="0" applyFont="1" applyBorder="1" applyAlignment="1">
      <alignment horizontal="left" vertical="center" wrapText="1" indent="1" readingOrder="1"/>
    </xf>
    <xf numFmtId="0" fontId="30" fillId="0" borderId="65" xfId="0" applyFont="1" applyBorder="1" applyAlignment="1">
      <alignment horizontal="left" vertical="center" wrapText="1" indent="1" readingOrder="1"/>
    </xf>
    <xf numFmtId="0" fontId="30" fillId="0" borderId="67" xfId="0" applyFont="1" applyBorder="1" applyAlignment="1">
      <alignment horizontal="left" vertical="center" wrapText="1" indent="1" readingOrder="1"/>
    </xf>
    <xf numFmtId="15" fontId="30" fillId="0" borderId="62" xfId="0" applyNumberFormat="1" applyFont="1" applyBorder="1" applyAlignment="1">
      <alignment horizontal="left" vertical="center" wrapText="1" indent="1" readingOrder="1"/>
    </xf>
    <xf numFmtId="0" fontId="30" fillId="0" borderId="62" xfId="0" applyFont="1" applyBorder="1" applyAlignment="1">
      <alignment horizontal="left" vertical="center" wrapText="1" readingOrder="1"/>
    </xf>
    <xf numFmtId="0" fontId="30" fillId="0" borderId="64" xfId="0" applyFont="1" applyBorder="1" applyAlignment="1">
      <alignment horizontal="left" vertical="center" wrapText="1" readingOrder="1"/>
    </xf>
    <xf numFmtId="0" fontId="30" fillId="0" borderId="65" xfId="0" applyFont="1" applyBorder="1" applyAlignment="1">
      <alignment horizontal="left" vertical="center" wrapText="1" readingOrder="1"/>
    </xf>
    <xf numFmtId="0" fontId="30" fillId="0" borderId="67" xfId="0" applyFont="1" applyBorder="1" applyAlignment="1">
      <alignment horizontal="left" vertical="center" wrapText="1" readingOrder="1"/>
    </xf>
    <xf numFmtId="15" fontId="30" fillId="0" borderId="62" xfId="0" applyNumberFormat="1" applyFont="1" applyBorder="1" applyAlignment="1">
      <alignment horizontal="left" vertical="center" wrapText="1" readingOrder="1"/>
    </xf>
    <xf numFmtId="0" fontId="34" fillId="4" borderId="67" xfId="0" applyFont="1" applyFill="1" applyBorder="1" applyAlignment="1">
      <alignment horizontal="left" vertical="center" wrapText="1" readingOrder="1"/>
    </xf>
    <xf numFmtId="15" fontId="37" fillId="0" borderId="62" xfId="0" applyNumberFormat="1" applyFont="1" applyBorder="1" applyAlignment="1">
      <alignment horizontal="left" vertical="center" wrapText="1" readingOrder="1"/>
    </xf>
    <xf numFmtId="0" fontId="37" fillId="4" borderId="67" xfId="0" applyFont="1" applyFill="1" applyBorder="1" applyAlignment="1">
      <alignment horizontal="left" vertical="center" wrapText="1" readingOrder="1"/>
    </xf>
    <xf numFmtId="0" fontId="37" fillId="0" borderId="62" xfId="0" applyFont="1" applyBorder="1" applyAlignment="1">
      <alignment horizontal="left" vertical="center" wrapText="1" readingOrder="1"/>
    </xf>
    <xf numFmtId="0" fontId="37" fillId="0" borderId="64" xfId="0" applyFont="1" applyBorder="1" applyAlignment="1">
      <alignment horizontal="left" vertical="center" wrapText="1" readingOrder="1"/>
    </xf>
    <xf numFmtId="0" fontId="37" fillId="0" borderId="65" xfId="0" applyFont="1" applyBorder="1" applyAlignment="1">
      <alignment horizontal="left" vertical="center" wrapText="1" readingOrder="1"/>
    </xf>
    <xf numFmtId="0" fontId="37" fillId="0" borderId="67" xfId="0" applyFont="1" applyBorder="1" applyAlignment="1">
      <alignment horizontal="left" vertical="center" wrapText="1" readingOrder="1"/>
    </xf>
    <xf numFmtId="15" fontId="37" fillId="0" borderId="70" xfId="0" applyNumberFormat="1" applyFont="1" applyBorder="1" applyAlignment="1">
      <alignment horizontal="left" vertical="center" wrapText="1" readingOrder="1"/>
    </xf>
    <xf numFmtId="15" fontId="30" fillId="0" borderId="70" xfId="0" applyNumberFormat="1" applyFont="1" applyBorder="1" applyAlignment="1">
      <alignment horizontal="left" vertical="center" wrapText="1" readingOrder="1"/>
    </xf>
    <xf numFmtId="0" fontId="34" fillId="0" borderId="62" xfId="0" applyFont="1" applyBorder="1" applyAlignment="1">
      <alignment horizontal="left" vertical="center" wrapText="1" readingOrder="1"/>
    </xf>
    <xf numFmtId="0" fontId="34" fillId="0" borderId="64" xfId="0" applyFont="1" applyBorder="1" applyAlignment="1">
      <alignment horizontal="left" vertical="center" wrapText="1" readingOrder="1"/>
    </xf>
    <xf numFmtId="0" fontId="34" fillId="0" borderId="65" xfId="0" applyFont="1" applyBorder="1" applyAlignment="1">
      <alignment horizontal="left" vertical="center" wrapText="1" readingOrder="1"/>
    </xf>
    <xf numFmtId="0" fontId="34" fillId="0" borderId="67" xfId="0" applyFont="1" applyBorder="1" applyAlignment="1">
      <alignment horizontal="left" vertical="center" wrapText="1" readingOrder="1"/>
    </xf>
    <xf numFmtId="15" fontId="34" fillId="0" borderId="62" xfId="0" applyNumberFormat="1" applyFont="1" applyBorder="1" applyAlignment="1">
      <alignment horizontal="left" vertical="center" wrapText="1" readingOrder="1"/>
    </xf>
    <xf numFmtId="15" fontId="34" fillId="0" borderId="70" xfId="0" applyNumberFormat="1" applyFont="1" applyBorder="1" applyAlignment="1">
      <alignment horizontal="left" vertical="center" wrapText="1" readingOrder="1"/>
    </xf>
    <xf numFmtId="15" fontId="30" fillId="3" borderId="62" xfId="0" applyNumberFormat="1" applyFont="1" applyFill="1" applyBorder="1" applyAlignment="1">
      <alignment horizontal="left" vertical="center" wrapText="1" indent="1" readingOrder="1"/>
    </xf>
    <xf numFmtId="0" fontId="41" fillId="4" borderId="67" xfId="0" applyFont="1" applyFill="1" applyBorder="1" applyAlignment="1">
      <alignment horizontal="left" vertical="center" wrapText="1" readingOrder="1"/>
    </xf>
    <xf numFmtId="0" fontId="41" fillId="0" borderId="62" xfId="0" applyFont="1" applyBorder="1" applyAlignment="1">
      <alignment horizontal="left" vertical="center" wrapText="1" indent="1" readingOrder="1"/>
    </xf>
    <xf numFmtId="0" fontId="41" fillId="0" borderId="64" xfId="0" applyFont="1" applyBorder="1" applyAlignment="1">
      <alignment horizontal="left" vertical="center" wrapText="1" indent="1" readingOrder="1"/>
    </xf>
    <xf numFmtId="0" fontId="41" fillId="0" borderId="65" xfId="0" applyFont="1" applyBorder="1" applyAlignment="1">
      <alignment horizontal="left" vertical="center" wrapText="1" indent="1" readingOrder="1"/>
    </xf>
    <xf numFmtId="0" fontId="41" fillId="0" borderId="67" xfId="0" applyFont="1" applyBorder="1" applyAlignment="1">
      <alignment horizontal="left" vertical="center" wrapText="1" indent="1" readingOrder="1"/>
    </xf>
    <xf numFmtId="15" fontId="41" fillId="0" borderId="62" xfId="0" applyNumberFormat="1" applyFont="1" applyBorder="1" applyAlignment="1">
      <alignment horizontal="left" vertical="center" wrapText="1" indent="1" readingOrder="1"/>
    </xf>
    <xf numFmtId="0" fontId="41" fillId="4" borderId="67" xfId="0" applyFont="1" applyFill="1" applyBorder="1" applyAlignment="1">
      <alignment horizontal="left" vertical="center" wrapText="1" indent="1" readingOrder="1"/>
    </xf>
    <xf numFmtId="0" fontId="41" fillId="0" borderId="62" xfId="0" applyFont="1" applyBorder="1" applyAlignment="1">
      <alignment horizontal="left" vertical="center" wrapText="1" readingOrder="1"/>
    </xf>
    <xf numFmtId="0" fontId="41" fillId="0" borderId="64" xfId="0" applyFont="1" applyBorder="1" applyAlignment="1">
      <alignment horizontal="left" vertical="center" wrapText="1" readingOrder="1"/>
    </xf>
    <xf numFmtId="0" fontId="41" fillId="0" borderId="65" xfId="0" applyFont="1" applyBorder="1" applyAlignment="1">
      <alignment horizontal="left" vertical="center" wrapText="1" readingOrder="1"/>
    </xf>
    <xf numFmtId="0" fontId="41" fillId="0" borderId="67" xfId="0" applyFont="1" applyBorder="1" applyAlignment="1">
      <alignment horizontal="left" vertical="center" wrapText="1" readingOrder="1"/>
    </xf>
    <xf numFmtId="15" fontId="41" fillId="0" borderId="62" xfId="0" applyNumberFormat="1" applyFont="1" applyBorder="1" applyAlignment="1">
      <alignment horizontal="left" vertical="center" wrapText="1" readingOrder="1"/>
    </xf>
    <xf numFmtId="0" fontId="43" fillId="4" borderId="67" xfId="0" applyFont="1" applyFill="1" applyBorder="1" applyAlignment="1">
      <alignment horizontal="left" vertical="center" wrapText="1" readingOrder="1"/>
    </xf>
    <xf numFmtId="15" fontId="41" fillId="0" borderId="70" xfId="0" applyNumberFormat="1" applyFont="1" applyBorder="1" applyAlignment="1">
      <alignment horizontal="left" vertical="center" wrapText="1" readingOrder="1"/>
    </xf>
    <xf numFmtId="15" fontId="43" fillId="0" borderId="62" xfId="0" applyNumberFormat="1" applyFont="1" applyBorder="1" applyAlignment="1">
      <alignment horizontal="left" vertical="center" wrapText="1" readingOrder="1"/>
    </xf>
    <xf numFmtId="15" fontId="43" fillId="0" borderId="70" xfId="0" applyNumberFormat="1" applyFont="1" applyBorder="1" applyAlignment="1">
      <alignment horizontal="left" vertical="center" wrapText="1" readingOrder="1"/>
    </xf>
    <xf numFmtId="0" fontId="48" fillId="4" borderId="67" xfId="0" applyFont="1" applyFill="1" applyBorder="1" applyAlignment="1">
      <alignment horizontal="left" vertical="center" wrapText="1" indent="1" readingOrder="1"/>
    </xf>
    <xf numFmtId="0" fontId="48" fillId="0" borderId="62" xfId="0" applyFont="1" applyBorder="1" applyAlignment="1">
      <alignment horizontal="left" vertical="center" wrapText="1" indent="1" readingOrder="1"/>
    </xf>
    <xf numFmtId="0" fontId="48" fillId="0" borderId="64" xfId="0" applyFont="1" applyBorder="1" applyAlignment="1">
      <alignment horizontal="left" vertical="center" wrapText="1" indent="1" readingOrder="1"/>
    </xf>
    <xf numFmtId="0" fontId="48" fillId="0" borderId="65" xfId="0" applyFont="1" applyBorder="1" applyAlignment="1">
      <alignment horizontal="left" vertical="center" wrapText="1" indent="1" readingOrder="1"/>
    </xf>
    <xf numFmtId="0" fontId="48" fillId="0" borderId="67" xfId="0" applyFont="1" applyBorder="1" applyAlignment="1">
      <alignment horizontal="left" vertical="center" wrapText="1" indent="1" readingOrder="1"/>
    </xf>
    <xf numFmtId="15" fontId="48" fillId="0" borderId="62" xfId="0" applyNumberFormat="1" applyFont="1" applyBorder="1" applyAlignment="1">
      <alignment horizontal="left" vertical="center" wrapText="1" indent="1" readingOrder="1"/>
    </xf>
    <xf numFmtId="15" fontId="48" fillId="0" borderId="70" xfId="0" applyNumberFormat="1" applyFont="1" applyBorder="1" applyAlignment="1">
      <alignment horizontal="left" vertical="center" wrapText="1" indent="1" readingOrder="1"/>
    </xf>
    <xf numFmtId="15" fontId="48" fillId="0" borderId="82" xfId="0" applyNumberFormat="1" applyFont="1" applyBorder="1" applyAlignment="1">
      <alignment horizontal="left" vertical="center" wrapText="1" indent="1" readingOrder="1"/>
    </xf>
    <xf numFmtId="10" fontId="49" fillId="0" borderId="83" xfId="1" quotePrefix="1" applyNumberFormat="1" applyFont="1" applyBorder="1" applyAlignment="1">
      <alignment horizontal="right" vertical="center" wrapText="1" indent="2" readingOrder="1"/>
    </xf>
    <xf numFmtId="0" fontId="14" fillId="4" borderId="90" xfId="0" applyFont="1" applyFill="1" applyBorder="1" applyAlignment="1">
      <alignment vertical="center" wrapText="1" readingOrder="1"/>
    </xf>
    <xf numFmtId="0" fontId="14" fillId="4" borderId="91" xfId="0" applyFont="1" applyFill="1" applyBorder="1" applyAlignment="1">
      <alignment vertical="center" wrapText="1" readingOrder="1"/>
    </xf>
    <xf numFmtId="0" fontId="0" fillId="0" borderId="72" xfId="0" applyBorder="1" applyAlignment="1">
      <alignment horizontal="center" vertical="center"/>
    </xf>
    <xf numFmtId="20" fontId="3" fillId="0" borderId="80" xfId="0" applyNumberFormat="1" applyFont="1" applyBorder="1" applyAlignment="1">
      <alignment horizontal="center" vertical="center"/>
    </xf>
    <xf numFmtId="0" fontId="0" fillId="0" borderId="92" xfId="0" applyBorder="1" applyAlignment="1">
      <alignment horizontal="center" vertical="center"/>
    </xf>
    <xf numFmtId="0" fontId="0" fillId="0" borderId="93" xfId="0" applyBorder="1" applyAlignment="1">
      <alignment horizontal="center" vertical="center"/>
    </xf>
    <xf numFmtId="20" fontId="51" fillId="0" borderId="40" xfId="0" applyNumberFormat="1" applyFont="1" applyBorder="1" applyAlignment="1">
      <alignment horizontal="center" vertical="center"/>
    </xf>
    <xf numFmtId="0" fontId="48" fillId="4" borderId="20" xfId="0" applyFont="1" applyFill="1" applyBorder="1" applyAlignment="1">
      <alignment horizontal="left" vertical="center" wrapText="1" indent="1" readingOrder="1"/>
    </xf>
    <xf numFmtId="0" fontId="48" fillId="4" borderId="34" xfId="0" applyFont="1" applyFill="1" applyBorder="1" applyAlignment="1">
      <alignment horizontal="center" vertical="center" wrapText="1" readingOrder="1"/>
    </xf>
    <xf numFmtId="0" fontId="48" fillId="0" borderId="23" xfId="0" applyFont="1" applyBorder="1" applyAlignment="1">
      <alignment horizontal="left" vertical="center" wrapText="1" indent="1" readingOrder="1"/>
    </xf>
    <xf numFmtId="0" fontId="48" fillId="0" borderId="13" xfId="0" applyFont="1" applyBorder="1" applyAlignment="1">
      <alignment horizontal="left" vertical="center" wrapText="1" indent="1" readingOrder="1"/>
    </xf>
    <xf numFmtId="0" fontId="48" fillId="0" borderId="19" xfId="0" applyFont="1" applyBorder="1" applyAlignment="1">
      <alignment horizontal="left" vertical="center" wrapText="1" indent="1" readingOrder="1"/>
    </xf>
    <xf numFmtId="0" fontId="48" fillId="0" borderId="20" xfId="0" applyFont="1" applyBorder="1" applyAlignment="1">
      <alignment horizontal="left" vertical="center" wrapText="1" indent="1" readingOrder="1"/>
    </xf>
    <xf numFmtId="15" fontId="48" fillId="0" borderId="23" xfId="0" applyNumberFormat="1" applyFont="1" applyBorder="1" applyAlignment="1">
      <alignment horizontal="left" vertical="center" wrapText="1" indent="1" readingOrder="1"/>
    </xf>
    <xf numFmtId="168" fontId="49" fillId="0" borderId="4" xfId="2" quotePrefix="1" applyNumberFormat="1" applyFont="1" applyBorder="1" applyAlignment="1">
      <alignment horizontal="right" vertical="center" wrapText="1" indent="2" readingOrder="1"/>
    </xf>
    <xf numFmtId="168" fontId="49" fillId="0" borderId="4" xfId="2" quotePrefix="1" applyNumberFormat="1" applyFont="1" applyFill="1" applyBorder="1" applyAlignment="1">
      <alignment horizontal="right" vertical="center" wrapText="1" indent="2" readingOrder="1"/>
    </xf>
    <xf numFmtId="15" fontId="52" fillId="0" borderId="23" xfId="0" applyNumberFormat="1" applyFont="1" applyBorder="1" applyAlignment="1">
      <alignment horizontal="left" vertical="center" wrapText="1" indent="1" readingOrder="1"/>
    </xf>
    <xf numFmtId="15" fontId="48" fillId="0" borderId="42" xfId="0" applyNumberFormat="1" applyFont="1" applyBorder="1" applyAlignment="1">
      <alignment horizontal="left" vertical="center" wrapText="1" indent="1" readingOrder="1"/>
    </xf>
    <xf numFmtId="0" fontId="0" fillId="0" borderId="1" xfId="0" applyBorder="1" applyAlignment="1">
      <alignment vertical="center"/>
    </xf>
    <xf numFmtId="0" fontId="0" fillId="0" borderId="0" xfId="0" applyAlignment="1">
      <alignment vertical="center"/>
    </xf>
    <xf numFmtId="10" fontId="4" fillId="0" borderId="14" xfId="1" applyNumberFormat="1" applyFont="1" applyBorder="1" applyAlignment="1">
      <alignment horizontal="right" vertical="center" wrapText="1"/>
    </xf>
    <xf numFmtId="0" fontId="30" fillId="4" borderId="20" xfId="0" applyFont="1" applyFill="1" applyBorder="1" applyAlignment="1">
      <alignment horizontal="left" vertical="center" wrapText="1" readingOrder="1"/>
    </xf>
    <xf numFmtId="0" fontId="30" fillId="0" borderId="23" xfId="0" applyFont="1" applyBorder="1" applyAlignment="1">
      <alignment horizontal="left" vertical="center" wrapText="1" readingOrder="1"/>
    </xf>
    <xf numFmtId="0" fontId="30" fillId="0" borderId="13" xfId="0" applyFont="1" applyBorder="1" applyAlignment="1">
      <alignment horizontal="left" vertical="center" wrapText="1" readingOrder="1"/>
    </xf>
    <xf numFmtId="0" fontId="30" fillId="0" borderId="19" xfId="0" applyFont="1" applyBorder="1" applyAlignment="1">
      <alignment horizontal="left" vertical="center" wrapText="1" readingOrder="1"/>
    </xf>
    <xf numFmtId="0" fontId="30" fillId="0" borderId="20" xfId="0" applyFont="1" applyBorder="1" applyAlignment="1">
      <alignment horizontal="left" vertical="center" wrapText="1" readingOrder="1"/>
    </xf>
    <xf numFmtId="15" fontId="30" fillId="0" borderId="23" xfId="0" applyNumberFormat="1" applyFont="1" applyBorder="1" applyAlignment="1">
      <alignment horizontal="left" vertical="center" wrapText="1" readingOrder="1"/>
    </xf>
    <xf numFmtId="43" fontId="33" fillId="0" borderId="4" xfId="1" quotePrefix="1" applyFont="1" applyBorder="1" applyAlignment="1">
      <alignment horizontal="right" vertical="center" wrapText="1" readingOrder="1"/>
    </xf>
    <xf numFmtId="43" fontId="33" fillId="0" borderId="24" xfId="1" quotePrefix="1" applyFont="1" applyBorder="1" applyAlignment="1">
      <alignment horizontal="right" vertical="center" wrapText="1" readingOrder="1"/>
    </xf>
    <xf numFmtId="15" fontId="30" fillId="0" borderId="25" xfId="0" applyNumberFormat="1" applyFont="1" applyBorder="1" applyAlignment="1">
      <alignment horizontal="left" vertical="center" wrapText="1" readingOrder="1"/>
    </xf>
    <xf numFmtId="43" fontId="33" fillId="0" borderId="26" xfId="1" applyFont="1" applyBorder="1" applyAlignment="1">
      <alignment horizontal="right" vertical="center" wrapText="1" readingOrder="1"/>
    </xf>
    <xf numFmtId="43" fontId="33" fillId="0" borderId="27" xfId="1" applyFont="1" applyBorder="1" applyAlignment="1">
      <alignment horizontal="right" vertical="center" wrapText="1" readingOrder="1"/>
    </xf>
    <xf numFmtId="0" fontId="30" fillId="4" borderId="6" xfId="0" applyFont="1" applyFill="1" applyBorder="1" applyAlignment="1">
      <alignment horizontal="left" vertical="center" wrapText="1" readingOrder="1"/>
    </xf>
    <xf numFmtId="168" fontId="33" fillId="0" borderId="24" xfId="2" quotePrefix="1" applyNumberFormat="1" applyFont="1" applyBorder="1" applyAlignment="1">
      <alignment horizontal="right" vertical="center" wrapText="1" readingOrder="1"/>
    </xf>
    <xf numFmtId="168" fontId="33" fillId="0" borderId="26" xfId="2" applyNumberFormat="1" applyFont="1" applyBorder="1" applyAlignment="1">
      <alignment horizontal="right" vertical="center" wrapText="1" readingOrder="1"/>
    </xf>
    <xf numFmtId="168" fontId="33" fillId="0" borderId="27" xfId="2" applyNumberFormat="1" applyFont="1" applyBorder="1" applyAlignment="1">
      <alignment horizontal="right" vertical="center" wrapText="1" readingOrder="1"/>
    </xf>
    <xf numFmtId="167" fontId="33" fillId="0" borderId="24" xfId="1" quotePrefix="1" applyNumberFormat="1" applyFont="1" applyBorder="1" applyAlignment="1">
      <alignment horizontal="right" vertical="center" wrapText="1" readingOrder="1"/>
    </xf>
    <xf numFmtId="167" fontId="33" fillId="0" borderId="26" xfId="1" applyNumberFormat="1" applyFont="1" applyBorder="1" applyAlignment="1">
      <alignment horizontal="right" vertical="center" wrapText="1" readingOrder="1"/>
    </xf>
    <xf numFmtId="167" fontId="33" fillId="0" borderId="27" xfId="1" applyNumberFormat="1" applyFont="1" applyBorder="1" applyAlignment="1">
      <alignment horizontal="right" vertical="center" wrapText="1" readingOrder="1"/>
    </xf>
    <xf numFmtId="10" fontId="33" fillId="0" borderId="24" xfId="2" quotePrefix="1" applyNumberFormat="1" applyFont="1" applyBorder="1" applyAlignment="1">
      <alignment horizontal="right" vertical="center" wrapText="1" readingOrder="1"/>
    </xf>
    <xf numFmtId="10" fontId="33" fillId="0" borderId="26" xfId="2" applyNumberFormat="1" applyFont="1" applyBorder="1" applyAlignment="1">
      <alignment horizontal="right" vertical="center" wrapText="1" readingOrder="1"/>
    </xf>
    <xf numFmtId="10" fontId="33" fillId="0" borderId="27" xfId="2" applyNumberFormat="1" applyFont="1" applyBorder="1" applyAlignment="1">
      <alignment horizontal="right" vertical="center" wrapText="1" readingOrder="1"/>
    </xf>
    <xf numFmtId="165" fontId="33" fillId="0" borderId="4" xfId="2" quotePrefix="1" applyNumberFormat="1" applyFont="1" applyBorder="1" applyAlignment="1">
      <alignment horizontal="right" vertical="center" wrapText="1" readingOrder="1"/>
    </xf>
    <xf numFmtId="15" fontId="30" fillId="3" borderId="23" xfId="0" applyNumberFormat="1" applyFont="1" applyFill="1" applyBorder="1" applyAlignment="1">
      <alignment horizontal="left" vertical="center" wrapText="1" readingOrder="1"/>
    </xf>
    <xf numFmtId="15" fontId="30" fillId="3" borderId="42" xfId="0" applyNumberFormat="1" applyFont="1" applyFill="1" applyBorder="1" applyAlignment="1">
      <alignment horizontal="left" vertical="center" wrapText="1" readingOrder="1"/>
    </xf>
    <xf numFmtId="168" fontId="33" fillId="0" borderId="4" xfId="2" quotePrefix="1" applyNumberFormat="1" applyFont="1" applyFill="1" applyBorder="1" applyAlignment="1">
      <alignment horizontal="right" vertical="center" wrapText="1" readingOrder="1"/>
    </xf>
    <xf numFmtId="15" fontId="30" fillId="0" borderId="42" xfId="0" applyNumberFormat="1" applyFont="1" applyBorder="1" applyAlignment="1">
      <alignment horizontal="left" vertical="center" wrapText="1" readingOrder="1"/>
    </xf>
    <xf numFmtId="43" fontId="33" fillId="0" borderId="43" xfId="1" quotePrefix="1" applyFont="1" applyBorder="1" applyAlignment="1">
      <alignment horizontal="right" vertical="center" wrapText="1" readingOrder="1"/>
    </xf>
    <xf numFmtId="0" fontId="30" fillId="4" borderId="20" xfId="0" applyFont="1" applyFill="1" applyBorder="1" applyAlignment="1">
      <alignment horizontal="left" vertical="center" wrapText="1" indent="1" readingOrder="1"/>
    </xf>
    <xf numFmtId="0" fontId="30" fillId="0" borderId="23" xfId="0" applyFont="1" applyBorder="1" applyAlignment="1">
      <alignment horizontal="left" vertical="center" wrapText="1" indent="1" readingOrder="1"/>
    </xf>
    <xf numFmtId="0" fontId="30" fillId="0" borderId="13" xfId="0" applyFont="1" applyBorder="1" applyAlignment="1">
      <alignment horizontal="left" vertical="center" wrapText="1" indent="1" readingOrder="1"/>
    </xf>
    <xf numFmtId="0" fontId="30" fillId="0" borderId="19" xfId="0" applyFont="1" applyBorder="1" applyAlignment="1">
      <alignment horizontal="left" vertical="center" wrapText="1" indent="1" readingOrder="1"/>
    </xf>
    <xf numFmtId="0" fontId="30" fillId="0" borderId="20" xfId="0" applyFont="1" applyBorder="1" applyAlignment="1">
      <alignment horizontal="left" vertical="center" wrapText="1" indent="1" readingOrder="1"/>
    </xf>
    <xf numFmtId="15" fontId="30" fillId="0" borderId="23" xfId="0" applyNumberFormat="1" applyFont="1" applyBorder="1" applyAlignment="1">
      <alignment horizontal="left" vertical="center" wrapText="1" indent="1" readingOrder="1"/>
    </xf>
    <xf numFmtId="43" fontId="33" fillId="0" borderId="4" xfId="1" quotePrefix="1" applyFont="1" applyFill="1" applyBorder="1" applyAlignment="1">
      <alignment horizontal="right" vertical="center" wrapText="1" indent="2" readingOrder="1"/>
    </xf>
    <xf numFmtId="165" fontId="33" fillId="0" borderId="4" xfId="2" quotePrefix="1" applyNumberFormat="1" applyFont="1" applyBorder="1" applyAlignment="1">
      <alignment horizontal="right" vertical="center" wrapText="1" indent="2" readingOrder="1"/>
    </xf>
    <xf numFmtId="168" fontId="33" fillId="0" borderId="4" xfId="2" quotePrefix="1" applyNumberFormat="1" applyFont="1" applyFill="1" applyBorder="1" applyAlignment="1">
      <alignment horizontal="right" vertical="center" wrapText="1" indent="2" readingOrder="1"/>
    </xf>
    <xf numFmtId="15" fontId="30" fillId="0" borderId="42" xfId="0" applyNumberFormat="1" applyFont="1" applyBorder="1" applyAlignment="1">
      <alignment horizontal="left" vertical="center" wrapText="1" indent="1" readingOrder="1"/>
    </xf>
    <xf numFmtId="167" fontId="33" fillId="0" borderId="43" xfId="1" quotePrefix="1" applyNumberFormat="1" applyFont="1" applyBorder="1" applyAlignment="1">
      <alignment horizontal="right" vertical="center" wrapText="1" indent="2" readingOrder="1"/>
    </xf>
    <xf numFmtId="168" fontId="33" fillId="0" borderId="43" xfId="2" quotePrefix="1" applyNumberFormat="1" applyFont="1" applyBorder="1" applyAlignment="1">
      <alignment horizontal="right" vertical="center" wrapText="1" indent="2" readingOrder="1"/>
    </xf>
    <xf numFmtId="10" fontId="33" fillId="0" borderId="4" xfId="1" quotePrefix="1" applyNumberFormat="1" applyFont="1" applyFill="1" applyBorder="1" applyAlignment="1">
      <alignment horizontal="right" vertical="center" wrapText="1" indent="2" readingOrder="1"/>
    </xf>
    <xf numFmtId="10" fontId="33" fillId="0" borderId="4" xfId="1" quotePrefix="1" applyNumberFormat="1" applyFont="1" applyBorder="1" applyAlignment="1">
      <alignment horizontal="right" vertical="center" wrapText="1" indent="2" readingOrder="1"/>
    </xf>
    <xf numFmtId="10" fontId="33" fillId="0" borderId="4" xfId="2" quotePrefix="1" applyNumberFormat="1" applyFont="1" applyFill="1" applyBorder="1" applyAlignment="1">
      <alignment horizontal="right" vertical="center" wrapText="1" indent="2" readingOrder="1"/>
    </xf>
    <xf numFmtId="15" fontId="30" fillId="0" borderId="88" xfId="0" applyNumberFormat="1" applyFont="1" applyBorder="1" applyAlignment="1">
      <alignment horizontal="left" vertical="center" wrapText="1" indent="1" readingOrder="1"/>
    </xf>
    <xf numFmtId="167" fontId="33" fillId="0" borderId="89" xfId="1" quotePrefix="1" applyNumberFormat="1" applyFont="1" applyBorder="1" applyAlignment="1">
      <alignment horizontal="right" vertical="center" wrapText="1" indent="2" readingOrder="1"/>
    </xf>
    <xf numFmtId="0" fontId="30" fillId="4" borderId="57" xfId="0" applyFont="1" applyFill="1" applyBorder="1" applyAlignment="1">
      <alignment horizontal="left" vertical="center" wrapText="1" indent="1" readingOrder="1"/>
    </xf>
    <xf numFmtId="15" fontId="30" fillId="0" borderId="82" xfId="0" applyNumberFormat="1" applyFont="1" applyBorder="1" applyAlignment="1">
      <alignment horizontal="left" vertical="center" wrapText="1" indent="1" readingOrder="1"/>
    </xf>
    <xf numFmtId="167" fontId="33" fillId="0" borderId="83" xfId="1" quotePrefix="1" applyNumberFormat="1" applyFont="1" applyBorder="1" applyAlignment="1">
      <alignment horizontal="right" vertical="center" wrapText="1" indent="2" readingOrder="1"/>
    </xf>
    <xf numFmtId="165" fontId="33" fillId="0" borderId="4" xfId="2" quotePrefix="1" applyNumberFormat="1" applyFont="1" applyFill="1" applyBorder="1" applyAlignment="1">
      <alignment horizontal="right" vertical="center" wrapText="1" indent="2" readingOrder="1"/>
    </xf>
    <xf numFmtId="15" fontId="37" fillId="0" borderId="23" xfId="0" applyNumberFormat="1" applyFont="1" applyBorder="1" applyAlignment="1">
      <alignment horizontal="left" vertical="center" wrapText="1" indent="1" readingOrder="1"/>
    </xf>
    <xf numFmtId="10" fontId="33" fillId="0" borderId="43" xfId="1" quotePrefix="1" applyNumberFormat="1" applyFont="1" applyBorder="1" applyAlignment="1">
      <alignment horizontal="right" vertical="center" wrapText="1" indent="2" readingOrder="1"/>
    </xf>
    <xf numFmtId="167" fontId="33" fillId="0" borderId="4" xfId="1" quotePrefix="1" applyNumberFormat="1" applyFont="1" applyFill="1" applyBorder="1" applyAlignment="1">
      <alignment horizontal="right" vertical="center" wrapText="1" indent="2" readingOrder="1"/>
    </xf>
    <xf numFmtId="0" fontId="29" fillId="0" borderId="0" xfId="0" applyFont="1"/>
    <xf numFmtId="0" fontId="5" fillId="0" borderId="2" xfId="0" quotePrefix="1" applyFont="1" applyBorder="1" applyAlignment="1">
      <alignment vertical="center" wrapText="1"/>
    </xf>
    <xf numFmtId="0" fontId="14" fillId="4" borderId="20" xfId="0" applyFont="1" applyFill="1" applyBorder="1" applyAlignment="1">
      <alignment horizontal="left" vertical="center" wrapText="1" indent="1" readingOrder="1"/>
    </xf>
    <xf numFmtId="0" fontId="14" fillId="0" borderId="23" xfId="0" applyFont="1" applyBorder="1" applyAlignment="1">
      <alignment horizontal="left" vertical="center" wrapText="1" indent="1" readingOrder="1"/>
    </xf>
    <xf numFmtId="0" fontId="14" fillId="0" borderId="13" xfId="0" applyFont="1" applyBorder="1" applyAlignment="1">
      <alignment horizontal="left" vertical="center" wrapText="1" indent="1" readingOrder="1"/>
    </xf>
    <xf numFmtId="0" fontId="14" fillId="0" borderId="19" xfId="0" applyFont="1" applyBorder="1" applyAlignment="1">
      <alignment horizontal="left" vertical="center" wrapText="1" indent="1" readingOrder="1"/>
    </xf>
    <xf numFmtId="0" fontId="14" fillId="0" borderId="20" xfId="0" applyFont="1" applyBorder="1" applyAlignment="1">
      <alignment horizontal="left" vertical="center" wrapText="1" indent="1" readingOrder="1"/>
    </xf>
    <xf numFmtId="15" fontId="14" fillId="0" borderId="23" xfId="0" applyNumberFormat="1" applyFont="1" applyBorder="1" applyAlignment="1">
      <alignment horizontal="left" vertical="center" wrapText="1" indent="1" readingOrder="1"/>
    </xf>
    <xf numFmtId="20" fontId="54" fillId="0" borderId="40" xfId="0" applyNumberFormat="1" applyFont="1" applyBorder="1" applyAlignment="1">
      <alignment horizontal="center" vertical="center"/>
    </xf>
    <xf numFmtId="15" fontId="55" fillId="0" borderId="23" xfId="0" applyNumberFormat="1" applyFont="1" applyBorder="1" applyAlignment="1">
      <alignment horizontal="left" vertical="center" wrapText="1" indent="1" readingOrder="1"/>
    </xf>
    <xf numFmtId="10" fontId="17" fillId="0" borderId="4" xfId="2" quotePrefix="1" applyNumberFormat="1" applyFont="1" applyFill="1" applyBorder="1" applyAlignment="1">
      <alignment horizontal="right" vertical="center" wrapText="1" indent="2" readingOrder="1"/>
    </xf>
    <xf numFmtId="167" fontId="17" fillId="0" borderId="4" xfId="1" quotePrefix="1" applyNumberFormat="1" applyFont="1" applyFill="1" applyBorder="1" applyAlignment="1">
      <alignment horizontal="right" vertical="center" wrapText="1" indent="2" readingOrder="1"/>
    </xf>
    <xf numFmtId="10" fontId="17" fillId="0" borderId="4" xfId="2" quotePrefix="1" applyNumberFormat="1" applyFont="1" applyBorder="1" applyAlignment="1">
      <alignment horizontal="right" vertical="center" wrapText="1" indent="2" readingOrder="1"/>
    </xf>
    <xf numFmtId="168" fontId="17" fillId="0" borderId="4" xfId="2" quotePrefix="1" applyNumberFormat="1" applyFont="1" applyFill="1" applyBorder="1" applyAlignment="1">
      <alignment horizontal="right" vertical="center" wrapText="1" indent="2" readingOrder="1"/>
    </xf>
    <xf numFmtId="43" fontId="17" fillId="0" borderId="4" xfId="1" quotePrefix="1" applyFont="1" applyFill="1" applyBorder="1" applyAlignment="1">
      <alignment horizontal="right" vertical="center" wrapText="1" indent="2" readingOrder="1"/>
    </xf>
    <xf numFmtId="10" fontId="17" fillId="0" borderId="4" xfId="1" quotePrefix="1" applyNumberFormat="1" applyFont="1" applyBorder="1" applyAlignment="1">
      <alignment horizontal="right" vertical="center" wrapText="1" indent="2" readingOrder="1"/>
    </xf>
    <xf numFmtId="15" fontId="14" fillId="0" borderId="42" xfId="0" applyNumberFormat="1" applyFont="1" applyBorder="1" applyAlignment="1">
      <alignment horizontal="left" vertical="center" wrapText="1" indent="1" readingOrder="1"/>
    </xf>
    <xf numFmtId="10" fontId="17" fillId="0" borderId="43" xfId="1" quotePrefix="1" applyNumberFormat="1" applyFont="1" applyBorder="1" applyAlignment="1">
      <alignment horizontal="right" vertical="center" wrapText="1" indent="2" readingOrder="1"/>
    </xf>
    <xf numFmtId="167" fontId="17" fillId="0" borderId="43" xfId="1" quotePrefix="1" applyNumberFormat="1" applyFont="1" applyBorder="1" applyAlignment="1">
      <alignment horizontal="right" vertical="center" wrapText="1" indent="2" readingOrder="1"/>
    </xf>
    <xf numFmtId="15" fontId="59" fillId="0" borderId="23" xfId="0" applyNumberFormat="1" applyFont="1" applyBorder="1" applyAlignment="1">
      <alignment horizontal="left" vertical="center" wrapText="1" indent="1" readingOrder="1"/>
    </xf>
    <xf numFmtId="164" fontId="4" fillId="0" borderId="2" xfId="1" applyNumberFormat="1" applyFont="1" applyFill="1" applyBorder="1" applyAlignment="1">
      <alignment horizontal="center" vertical="center"/>
    </xf>
    <xf numFmtId="10" fontId="4" fillId="0" borderId="2" xfId="1" applyNumberFormat="1" applyFont="1" applyFill="1" applyBorder="1" applyAlignment="1">
      <alignment horizontal="right" vertical="center"/>
    </xf>
    <xf numFmtId="43" fontId="4" fillId="0" borderId="2" xfId="1" applyFont="1" applyFill="1" applyBorder="1" applyAlignment="1">
      <alignment horizontal="right" vertical="center" wrapText="1"/>
    </xf>
    <xf numFmtId="10" fontId="4" fillId="0" borderId="14" xfId="1" applyNumberFormat="1" applyFont="1" applyFill="1" applyBorder="1" applyAlignment="1">
      <alignment horizontal="right" vertical="center" wrapText="1"/>
    </xf>
    <xf numFmtId="165" fontId="4" fillId="0" borderId="2" xfId="1" applyNumberFormat="1" applyFont="1" applyFill="1" applyBorder="1" applyAlignment="1">
      <alignment horizontal="right" vertical="center" wrapText="1"/>
    </xf>
    <xf numFmtId="20" fontId="60" fillId="0" borderId="34" xfId="0" applyNumberFormat="1" applyFont="1" applyBorder="1" applyAlignment="1">
      <alignment horizontal="center" vertical="center"/>
    </xf>
    <xf numFmtId="20" fontId="60" fillId="0" borderId="40" xfId="0" applyNumberFormat="1" applyFont="1" applyBorder="1" applyAlignment="1">
      <alignment horizontal="center" vertical="center"/>
    </xf>
    <xf numFmtId="0" fontId="60" fillId="0" borderId="17" xfId="0" applyFont="1" applyBorder="1" applyAlignment="1">
      <alignment horizontal="center" vertical="center"/>
    </xf>
    <xf numFmtId="20" fontId="60" fillId="0" borderId="18" xfId="0" applyNumberFormat="1" applyFont="1" applyBorder="1" applyAlignment="1">
      <alignment horizontal="center" vertical="center"/>
    </xf>
    <xf numFmtId="165" fontId="17" fillId="0" borderId="4" xfId="2" quotePrefix="1" applyNumberFormat="1" applyFont="1" applyFill="1" applyBorder="1" applyAlignment="1">
      <alignment horizontal="right" vertical="center" wrapText="1" indent="2" readingOrder="1"/>
    </xf>
    <xf numFmtId="165" fontId="49" fillId="0" borderId="4" xfId="2" quotePrefix="1" applyNumberFormat="1" applyFont="1" applyFill="1" applyBorder="1" applyAlignment="1">
      <alignment horizontal="right" vertical="center" wrapText="1" indent="2" readingOrder="1"/>
    </xf>
    <xf numFmtId="0" fontId="9" fillId="0" borderId="3" xfId="0" applyFont="1" applyBorder="1" applyAlignment="1">
      <alignment horizontal="center" vertical="center" wrapText="1"/>
    </xf>
    <xf numFmtId="10" fontId="9" fillId="0" borderId="3" xfId="0" applyNumberFormat="1" applyFont="1" applyBorder="1" applyAlignment="1">
      <alignment horizontal="right" vertical="center" wrapText="1"/>
    </xf>
    <xf numFmtId="43" fontId="9" fillId="0" borderId="3" xfId="1" applyFont="1" applyBorder="1" applyAlignment="1">
      <alignment horizontal="right" vertical="center" wrapText="1"/>
    </xf>
    <xf numFmtId="20" fontId="9" fillId="3" borderId="3" xfId="0" applyNumberFormat="1" applyFont="1" applyFill="1" applyBorder="1" applyAlignment="1">
      <alignment horizontal="center" vertical="center"/>
    </xf>
    <xf numFmtId="15" fontId="14" fillId="3" borderId="23" xfId="0" applyNumberFormat="1" applyFont="1" applyFill="1" applyBorder="1" applyAlignment="1">
      <alignment horizontal="left" vertical="center" wrapText="1" indent="1" readingOrder="1"/>
    </xf>
    <xf numFmtId="0" fontId="14" fillId="0" borderId="41" xfId="0" applyFont="1" applyBorder="1" applyAlignment="1">
      <alignment vertical="center" wrapText="1" readingOrder="1"/>
    </xf>
    <xf numFmtId="0" fontId="14" fillId="0" borderId="40" xfId="0" applyFont="1" applyBorder="1" applyAlignment="1">
      <alignment vertical="center" wrapText="1" readingOrder="1"/>
    </xf>
    <xf numFmtId="0" fontId="61" fillId="0" borderId="0" xfId="0" applyFont="1" applyAlignment="1">
      <alignment horizontal="center" vertical="center"/>
    </xf>
    <xf numFmtId="0" fontId="19" fillId="4" borderId="20" xfId="0" applyFont="1" applyFill="1" applyBorder="1" applyAlignment="1">
      <alignment horizontal="left" vertical="center" wrapText="1" indent="1" readingOrder="1"/>
    </xf>
    <xf numFmtId="0" fontId="19" fillId="4" borderId="34" xfId="0" applyFont="1" applyFill="1" applyBorder="1" applyAlignment="1">
      <alignment horizontal="center" vertical="center" wrapText="1" readingOrder="1"/>
    </xf>
    <xf numFmtId="0" fontId="19" fillId="0" borderId="23" xfId="0" applyFont="1" applyBorder="1" applyAlignment="1">
      <alignment horizontal="left" vertical="center" wrapText="1" indent="1" readingOrder="1"/>
    </xf>
    <xf numFmtId="0" fontId="21" fillId="0" borderId="16" xfId="0" applyFont="1" applyBorder="1" applyAlignment="1">
      <alignment horizontal="center" vertical="center"/>
    </xf>
    <xf numFmtId="0" fontId="62" fillId="0" borderId="16" xfId="0" applyFont="1" applyBorder="1" applyAlignment="1">
      <alignment horizontal="left" vertical="center"/>
    </xf>
    <xf numFmtId="0" fontId="19" fillId="0" borderId="13" xfId="0" applyFont="1" applyBorder="1" applyAlignment="1">
      <alignment horizontal="left" vertical="center" wrapText="1" indent="1" readingOrder="1"/>
    </xf>
    <xf numFmtId="0" fontId="21" fillId="0" borderId="16" xfId="0" applyFont="1" applyBorder="1" applyAlignment="1">
      <alignment horizontal="left" vertical="center"/>
    </xf>
    <xf numFmtId="0" fontId="19" fillId="0" borderId="19" xfId="0" applyFont="1" applyBorder="1" applyAlignment="1">
      <alignment horizontal="left" vertical="center" wrapText="1" indent="1" readingOrder="1"/>
    </xf>
    <xf numFmtId="20" fontId="62" fillId="0" borderId="16" xfId="0" applyNumberFormat="1" applyFont="1" applyBorder="1" applyAlignment="1">
      <alignment horizontal="center" vertical="center"/>
    </xf>
    <xf numFmtId="20" fontId="62" fillId="0" borderId="16" xfId="0" applyNumberFormat="1" applyFont="1" applyBorder="1" applyAlignment="1">
      <alignment horizontal="left" vertical="center"/>
    </xf>
    <xf numFmtId="0" fontId="19" fillId="0" borderId="20" xfId="0" applyFont="1" applyBorder="1" applyAlignment="1">
      <alignment horizontal="left" vertical="center" wrapText="1" indent="1" readingOrder="1"/>
    </xf>
    <xf numFmtId="0" fontId="19" fillId="0" borderId="21" xfId="0" applyFont="1" applyBorder="1" applyAlignment="1">
      <alignment horizontal="right" vertical="center" wrapText="1" indent="2" readingOrder="1"/>
    </xf>
    <xf numFmtId="0" fontId="19" fillId="0" borderId="22" xfId="0" applyFont="1" applyBorder="1" applyAlignment="1">
      <alignment horizontal="right" vertical="center" wrapText="1" indent="2" readingOrder="1"/>
    </xf>
    <xf numFmtId="0" fontId="19" fillId="0" borderId="34" xfId="0" applyFont="1" applyBorder="1" applyAlignment="1">
      <alignment horizontal="center" vertical="center" wrapText="1" readingOrder="1"/>
    </xf>
    <xf numFmtId="0" fontId="19" fillId="0" borderId="40" xfId="0" applyFont="1" applyBorder="1" applyAlignment="1">
      <alignment horizontal="center" vertical="center" wrapText="1" readingOrder="1"/>
    </xf>
    <xf numFmtId="0" fontId="19" fillId="0" borderId="40" xfId="0" applyFont="1" applyBorder="1" applyAlignment="1">
      <alignment horizontal="left" vertical="center" wrapText="1" readingOrder="1"/>
    </xf>
    <xf numFmtId="15" fontId="19" fillId="0" borderId="23" xfId="0" applyNumberFormat="1" applyFont="1" applyBorder="1" applyAlignment="1">
      <alignment horizontal="left" vertical="center" wrapText="1" indent="1" readingOrder="1"/>
    </xf>
    <xf numFmtId="168" fontId="24" fillId="0" borderId="4" xfId="2" quotePrefix="1" applyNumberFormat="1" applyFont="1" applyBorder="1" applyAlignment="1">
      <alignment horizontal="right" vertical="center" wrapText="1" indent="2" readingOrder="1"/>
    </xf>
    <xf numFmtId="20" fontId="21" fillId="0" borderId="16" xfId="0" applyNumberFormat="1" applyFont="1" applyBorder="1" applyAlignment="1">
      <alignment horizontal="center" vertical="center" wrapText="1" readingOrder="1"/>
    </xf>
    <xf numFmtId="0" fontId="21" fillId="0" borderId="37" xfId="0" applyFont="1" applyBorder="1" applyAlignment="1">
      <alignment horizontal="left" vertical="center"/>
    </xf>
    <xf numFmtId="20" fontId="21" fillId="0" borderId="16" xfId="0" applyNumberFormat="1" applyFont="1" applyBorder="1" applyAlignment="1">
      <alignment horizontal="left" vertical="center"/>
    </xf>
    <xf numFmtId="0" fontId="21" fillId="0" borderId="33" xfId="0" applyFont="1" applyBorder="1" applyAlignment="1">
      <alignment horizontal="left" vertical="center"/>
    </xf>
    <xf numFmtId="167" fontId="24" fillId="0" borderId="4" xfId="1" quotePrefix="1" applyNumberFormat="1" applyFont="1" applyBorder="1" applyAlignment="1">
      <alignment horizontal="right" vertical="center" wrapText="1" indent="2" readingOrder="1"/>
    </xf>
    <xf numFmtId="0" fontId="19" fillId="3" borderId="20" xfId="0" applyFont="1" applyFill="1" applyBorder="1" applyAlignment="1">
      <alignment horizontal="left" vertical="center" wrapText="1" indent="1" readingOrder="1"/>
    </xf>
    <xf numFmtId="0" fontId="19" fillId="4" borderId="9" xfId="0" applyFont="1" applyFill="1" applyBorder="1" applyAlignment="1">
      <alignment horizontal="left" vertical="center" wrapText="1" readingOrder="1"/>
    </xf>
    <xf numFmtId="0" fontId="19" fillId="3" borderId="23" xfId="0" applyFont="1" applyFill="1" applyBorder="1" applyAlignment="1">
      <alignment horizontal="left" vertical="center" wrapText="1" indent="1" readingOrder="1"/>
    </xf>
    <xf numFmtId="0" fontId="19" fillId="3" borderId="13" xfId="0" applyFont="1" applyFill="1" applyBorder="1" applyAlignment="1">
      <alignment horizontal="left" vertical="center" wrapText="1" indent="1" readingOrder="1"/>
    </xf>
    <xf numFmtId="0" fontId="19" fillId="3" borderId="19" xfId="0" applyFont="1" applyFill="1" applyBorder="1" applyAlignment="1">
      <alignment horizontal="left" vertical="center" wrapText="1" indent="1" readingOrder="1"/>
    </xf>
    <xf numFmtId="15" fontId="19" fillId="3" borderId="23" xfId="0" applyNumberFormat="1" applyFont="1" applyFill="1" applyBorder="1" applyAlignment="1">
      <alignment horizontal="left" vertical="center" wrapText="1" indent="1" readingOrder="1"/>
    </xf>
    <xf numFmtId="43" fontId="24" fillId="0" borderId="4" xfId="1" quotePrefix="1" applyFont="1" applyBorder="1" applyAlignment="1">
      <alignment horizontal="right" vertical="center" wrapText="1" indent="2" readingOrder="1"/>
    </xf>
    <xf numFmtId="168" fontId="24" fillId="0" borderId="4" xfId="2" quotePrefix="1" applyNumberFormat="1" applyFont="1" applyFill="1" applyBorder="1" applyAlignment="1">
      <alignment horizontal="right" vertical="center" wrapText="1" indent="2" readingOrder="1"/>
    </xf>
    <xf numFmtId="20" fontId="21" fillId="0" borderId="37" xfId="0" applyNumberFormat="1" applyFont="1" applyBorder="1" applyAlignment="1">
      <alignment horizontal="left" vertical="center"/>
    </xf>
    <xf numFmtId="43" fontId="24" fillId="0" borderId="4" xfId="1" quotePrefix="1" applyFont="1" applyFill="1" applyBorder="1" applyAlignment="1">
      <alignment horizontal="right" vertical="center" wrapText="1" indent="2" readingOrder="1"/>
    </xf>
    <xf numFmtId="0" fontId="62" fillId="4" borderId="9" xfId="0" applyFont="1" applyFill="1" applyBorder="1" applyAlignment="1">
      <alignment horizontal="left" vertical="center" wrapText="1" readingOrder="1"/>
    </xf>
    <xf numFmtId="0" fontId="0" fillId="3" borderId="0" xfId="0" applyFill="1"/>
    <xf numFmtId="0" fontId="14" fillId="3" borderId="20" xfId="0" applyFont="1" applyFill="1" applyBorder="1" applyAlignment="1">
      <alignment horizontal="left" vertical="center" wrapText="1" indent="1" readingOrder="1"/>
    </xf>
    <xf numFmtId="0" fontId="14" fillId="3" borderId="41" xfId="0" applyFont="1" applyFill="1" applyBorder="1" applyAlignment="1">
      <alignment vertical="center" wrapText="1" readingOrder="1"/>
    </xf>
    <xf numFmtId="0" fontId="14" fillId="3" borderId="40" xfId="0" applyFont="1" applyFill="1" applyBorder="1" applyAlignment="1">
      <alignment vertical="center" wrapText="1" readingOrder="1"/>
    </xf>
    <xf numFmtId="0" fontId="14" fillId="3" borderId="23" xfId="0" applyFont="1" applyFill="1" applyBorder="1" applyAlignment="1">
      <alignment horizontal="left" vertical="center" wrapText="1" indent="1" readingOrder="1"/>
    </xf>
    <xf numFmtId="0" fontId="0" fillId="3" borderId="17" xfId="0" applyFill="1" applyBorder="1" applyAlignment="1">
      <alignment horizontal="center" vertical="center"/>
    </xf>
    <xf numFmtId="0" fontId="0" fillId="3" borderId="18" xfId="0" applyFill="1" applyBorder="1" applyAlignment="1">
      <alignment horizontal="center" vertical="center"/>
    </xf>
    <xf numFmtId="0" fontId="14" fillId="3" borderId="13" xfId="0" applyFont="1" applyFill="1" applyBorder="1" applyAlignment="1">
      <alignment horizontal="left" vertical="center" wrapText="1" indent="1" readingOrder="1"/>
    </xf>
    <xf numFmtId="0" fontId="14" fillId="3" borderId="19" xfId="0" applyFont="1" applyFill="1" applyBorder="1" applyAlignment="1">
      <alignment horizontal="left" vertical="center" wrapText="1" indent="1" readingOrder="1"/>
    </xf>
    <xf numFmtId="20" fontId="60" fillId="3" borderId="34" xfId="0" applyNumberFormat="1" applyFont="1" applyFill="1" applyBorder="1" applyAlignment="1">
      <alignment horizontal="center" vertical="center"/>
    </xf>
    <xf numFmtId="20" fontId="60" fillId="3" borderId="40" xfId="0" applyNumberFormat="1" applyFont="1" applyFill="1" applyBorder="1" applyAlignment="1">
      <alignment horizontal="center" vertical="center"/>
    </xf>
    <xf numFmtId="0" fontId="14" fillId="3" borderId="21" xfId="0" applyFont="1" applyFill="1" applyBorder="1" applyAlignment="1">
      <alignment horizontal="right" vertical="center" wrapText="1" indent="2" readingOrder="1"/>
    </xf>
    <xf numFmtId="0" fontId="14" fillId="3" borderId="22" xfId="0" applyFont="1" applyFill="1" applyBorder="1" applyAlignment="1">
      <alignment horizontal="right" vertical="center" wrapText="1" indent="2" readingOrder="1"/>
    </xf>
    <xf numFmtId="168" fontId="17" fillId="3" borderId="4" xfId="2" quotePrefix="1" applyNumberFormat="1" applyFont="1" applyFill="1" applyBorder="1" applyAlignment="1">
      <alignment horizontal="right" vertical="center" wrapText="1" indent="2" readingOrder="1"/>
    </xf>
    <xf numFmtId="0" fontId="60" fillId="3" borderId="17" xfId="0" applyFont="1" applyFill="1" applyBorder="1" applyAlignment="1">
      <alignment horizontal="center" vertical="center"/>
    </xf>
    <xf numFmtId="0" fontId="0" fillId="3" borderId="28" xfId="0" applyFill="1" applyBorder="1" applyAlignment="1">
      <alignment horizontal="center" vertical="center"/>
    </xf>
    <xf numFmtId="0" fontId="0" fillId="3" borderId="30" xfId="0" applyFill="1" applyBorder="1" applyAlignment="1">
      <alignment horizontal="center" vertical="center"/>
    </xf>
    <xf numFmtId="0" fontId="62" fillId="0" borderId="34" xfId="0" applyFont="1" applyBorder="1" applyAlignment="1">
      <alignment horizontal="center" vertical="center" wrapText="1" readingOrder="1"/>
    </xf>
    <xf numFmtId="0" fontId="19" fillId="0" borderId="9" xfId="0" applyFont="1" applyBorder="1" applyAlignment="1">
      <alignment horizontal="left" vertical="center" wrapText="1" readingOrder="1"/>
    </xf>
    <xf numFmtId="0" fontId="62" fillId="0" borderId="55" xfId="0" applyFont="1" applyBorder="1" applyAlignment="1">
      <alignment horizontal="center" vertical="center" wrapText="1" readingOrder="1"/>
    </xf>
    <xf numFmtId="0" fontId="62" fillId="0" borderId="53" xfId="0" applyFont="1" applyBorder="1" applyAlignment="1">
      <alignment horizontal="center" vertical="center" wrapText="1" readingOrder="1"/>
    </xf>
    <xf numFmtId="20" fontId="62" fillId="0" borderId="53" xfId="0" applyNumberFormat="1" applyFont="1" applyBorder="1" applyAlignment="1">
      <alignment horizontal="center" vertical="center" wrapText="1" readingOrder="1"/>
    </xf>
    <xf numFmtId="15" fontId="62" fillId="0" borderId="23" xfId="0" applyNumberFormat="1" applyFont="1" applyBorder="1" applyAlignment="1">
      <alignment horizontal="left" vertical="center" wrapText="1" indent="1" readingOrder="1"/>
    </xf>
    <xf numFmtId="20" fontId="21" fillId="0" borderId="53" xfId="0" applyNumberFormat="1" applyFont="1" applyBorder="1" applyAlignment="1">
      <alignment horizontal="center" vertical="center" wrapText="1" readingOrder="1"/>
    </xf>
    <xf numFmtId="15" fontId="63" fillId="0" borderId="23" xfId="0" applyNumberFormat="1" applyFont="1" applyBorder="1" applyAlignment="1">
      <alignment horizontal="left" vertical="center" wrapText="1" indent="1" readingOrder="1"/>
    </xf>
    <xf numFmtId="10" fontId="24" fillId="0" borderId="4" xfId="2" quotePrefix="1" applyNumberFormat="1" applyFont="1" applyFill="1" applyBorder="1" applyAlignment="1">
      <alignment horizontal="right" vertical="center" wrapText="1" indent="2" readingOrder="1"/>
    </xf>
    <xf numFmtId="10" fontId="4" fillId="0" borderId="2" xfId="1" quotePrefix="1" applyNumberFormat="1" applyFont="1" applyFill="1" applyBorder="1" applyAlignment="1">
      <alignment horizontal="right" vertical="center" wrapText="1"/>
    </xf>
    <xf numFmtId="0" fontId="64" fillId="0" borderId="0" xfId="0" applyFont="1"/>
    <xf numFmtId="14" fontId="13" fillId="0" borderId="2" xfId="0" applyNumberFormat="1" applyFont="1" applyBorder="1" applyAlignment="1">
      <alignment horizontal="center" vertical="center"/>
    </xf>
    <xf numFmtId="0" fontId="13" fillId="0" borderId="2" xfId="0" applyFont="1" applyBorder="1" applyAlignment="1">
      <alignment horizontal="center" vertical="center"/>
    </xf>
    <xf numFmtId="0" fontId="65" fillId="0" borderId="0" xfId="0" applyFont="1"/>
    <xf numFmtId="20" fontId="64" fillId="0" borderId="0" xfId="0" applyNumberFormat="1" applyFont="1"/>
    <xf numFmtId="10" fontId="66" fillId="0" borderId="0" xfId="0" applyNumberFormat="1" applyFont="1"/>
    <xf numFmtId="10" fontId="64" fillId="0" borderId="0" xfId="0" applyNumberFormat="1" applyFont="1"/>
    <xf numFmtId="10" fontId="67" fillId="0" borderId="0" xfId="0" applyNumberFormat="1" applyFont="1"/>
    <xf numFmtId="0" fontId="68" fillId="0" borderId="0" xfId="0" applyFont="1"/>
    <xf numFmtId="0" fontId="69" fillId="0" borderId="0" xfId="0" applyFont="1"/>
    <xf numFmtId="0" fontId="67" fillId="0" borderId="0" xfId="0" applyFont="1"/>
    <xf numFmtId="14" fontId="16" fillId="0" borderId="2" xfId="0" applyNumberFormat="1" applyFont="1" applyBorder="1" applyAlignment="1">
      <alignment horizontal="center" vertical="center"/>
    </xf>
    <xf numFmtId="0" fontId="16" fillId="0" borderId="2" xfId="0" applyFont="1" applyBorder="1" applyAlignment="1">
      <alignment horizontal="center" vertical="center"/>
    </xf>
    <xf numFmtId="10" fontId="70" fillId="0" borderId="0" xfId="0" applyNumberFormat="1" applyFont="1"/>
    <xf numFmtId="0" fontId="71" fillId="0" borderId="0" xfId="0" applyFont="1"/>
    <xf numFmtId="0" fontId="70" fillId="0" borderId="0" xfId="0" applyFont="1"/>
    <xf numFmtId="10" fontId="71" fillId="0" borderId="0" xfId="0" applyNumberFormat="1" applyFont="1"/>
    <xf numFmtId="10" fontId="69" fillId="0" borderId="0" xfId="0" applyNumberFormat="1" applyFont="1"/>
    <xf numFmtId="9" fontId="0" fillId="0" borderId="0" xfId="0" applyNumberFormat="1"/>
    <xf numFmtId="167" fontId="17" fillId="3" borderId="4" xfId="1" quotePrefix="1" applyNumberFormat="1" applyFont="1" applyFill="1" applyBorder="1" applyAlignment="1">
      <alignment horizontal="right" vertical="center" wrapText="1" indent="2" readingOrder="1"/>
    </xf>
    <xf numFmtId="167" fontId="24" fillId="0" borderId="4" xfId="1" quotePrefix="1" applyNumberFormat="1" applyFont="1" applyFill="1" applyBorder="1" applyAlignment="1">
      <alignment horizontal="right" vertical="center" wrapText="1" indent="2" readingOrder="1"/>
    </xf>
    <xf numFmtId="15" fontId="21" fillId="0" borderId="2" xfId="0" applyNumberFormat="1" applyFont="1" applyBorder="1" applyAlignment="1">
      <alignment horizontal="center" vertical="center"/>
    </xf>
    <xf numFmtId="164" fontId="21" fillId="0" borderId="2" xfId="1" applyNumberFormat="1" applyFont="1" applyFill="1" applyBorder="1" applyAlignment="1">
      <alignment horizontal="center" vertical="center"/>
    </xf>
    <xf numFmtId="20" fontId="21" fillId="0" borderId="2" xfId="0" applyNumberFormat="1" applyFont="1" applyBorder="1" applyAlignment="1">
      <alignment horizontal="center" vertical="center"/>
    </xf>
    <xf numFmtId="0" fontId="21" fillId="0" borderId="2" xfId="0" applyFont="1" applyBorder="1" applyAlignment="1">
      <alignment horizontal="center" vertical="center"/>
    </xf>
    <xf numFmtId="0" fontId="21" fillId="0" borderId="2" xfId="0" applyFont="1" applyBorder="1" applyAlignment="1">
      <alignment horizontal="center" vertical="center" wrapText="1"/>
    </xf>
    <xf numFmtId="10" fontId="21" fillId="0" borderId="2" xfId="1" applyNumberFormat="1" applyFont="1" applyFill="1" applyBorder="1" applyAlignment="1">
      <alignment horizontal="right" vertical="center"/>
    </xf>
    <xf numFmtId="10" fontId="21" fillId="0" borderId="2" xfId="1" applyNumberFormat="1" applyFont="1" applyFill="1" applyBorder="1" applyAlignment="1">
      <alignment horizontal="right" vertical="center" wrapText="1"/>
    </xf>
    <xf numFmtId="0" fontId="72" fillId="0" borderId="2" xfId="0" quotePrefix="1" applyFont="1" applyBorder="1" applyAlignment="1">
      <alignment wrapText="1"/>
    </xf>
    <xf numFmtId="10" fontId="21" fillId="0" borderId="2" xfId="1" quotePrefix="1" applyNumberFormat="1" applyFont="1" applyFill="1" applyBorder="1" applyAlignment="1">
      <alignment horizontal="right" vertical="center" wrapText="1"/>
    </xf>
    <xf numFmtId="43" fontId="21" fillId="0" borderId="2" xfId="1" applyFont="1" applyFill="1" applyBorder="1" applyAlignment="1">
      <alignment horizontal="right" vertical="center" wrapText="1"/>
    </xf>
    <xf numFmtId="165" fontId="21" fillId="0" borderId="2" xfId="1" applyNumberFormat="1" applyFont="1" applyFill="1" applyBorder="1" applyAlignment="1">
      <alignment horizontal="right" vertical="center" wrapText="1"/>
    </xf>
    <xf numFmtId="0" fontId="16" fillId="0" borderId="0" xfId="0" applyFont="1" applyAlignment="1">
      <alignment horizontal="right"/>
    </xf>
    <xf numFmtId="0" fontId="73" fillId="0" borderId="0" xfId="0" applyFont="1"/>
    <xf numFmtId="0" fontId="14" fillId="7" borderId="20" xfId="0" applyFont="1" applyFill="1" applyBorder="1" applyAlignment="1">
      <alignment horizontal="left" vertical="center" wrapText="1" indent="1" readingOrder="1"/>
    </xf>
    <xf numFmtId="0" fontId="61" fillId="3" borderId="0" xfId="0" applyFont="1" applyFill="1" applyAlignment="1">
      <alignment horizontal="center" vertical="center"/>
    </xf>
    <xf numFmtId="0" fontId="19" fillId="3" borderId="9" xfId="0" applyFont="1" applyFill="1" applyBorder="1" applyAlignment="1">
      <alignment horizontal="left" vertical="center" wrapText="1" readingOrder="1"/>
    </xf>
    <xf numFmtId="167" fontId="21" fillId="0" borderId="2" xfId="1" applyNumberFormat="1" applyFont="1" applyFill="1" applyBorder="1" applyAlignment="1">
      <alignment horizontal="right" vertical="center" wrapText="1"/>
    </xf>
    <xf numFmtId="15" fontId="63" fillId="3" borderId="23" xfId="0" applyNumberFormat="1" applyFont="1" applyFill="1" applyBorder="1" applyAlignment="1">
      <alignment horizontal="left" vertical="center" wrapText="1" indent="1" readingOrder="1"/>
    </xf>
    <xf numFmtId="0" fontId="75" fillId="0" borderId="0" xfId="0" applyFont="1" applyAlignment="1">
      <alignment horizontal="center" vertical="center"/>
    </xf>
    <xf numFmtId="0" fontId="19" fillId="0" borderId="88" xfId="0" applyFont="1" applyBorder="1" applyAlignment="1">
      <alignment horizontal="left" vertical="center" wrapText="1" indent="1" readingOrder="1"/>
    </xf>
    <xf numFmtId="0" fontId="19" fillId="0" borderId="48" xfId="0" applyFont="1" applyBorder="1" applyAlignment="1">
      <alignment horizontal="right" vertical="center" wrapText="1" indent="2" readingOrder="1"/>
    </xf>
    <xf numFmtId="0" fontId="19" fillId="0" borderId="30" xfId="0" applyFont="1" applyBorder="1" applyAlignment="1">
      <alignment horizontal="right" vertical="center" wrapText="1" indent="2" readingOrder="1"/>
    </xf>
    <xf numFmtId="168" fontId="24" fillId="0" borderId="5" xfId="0" applyNumberFormat="1" applyFont="1" applyBorder="1" applyAlignment="1">
      <alignment horizontal="right" vertical="center" wrapText="1" indent="2" readingOrder="1"/>
    </xf>
    <xf numFmtId="10" fontId="21" fillId="3" borderId="2" xfId="1" applyNumberFormat="1" applyFont="1" applyFill="1" applyBorder="1" applyAlignment="1">
      <alignment horizontal="right" vertical="center"/>
    </xf>
    <xf numFmtId="10" fontId="21" fillId="3" borderId="2" xfId="1" applyNumberFormat="1" applyFont="1" applyFill="1" applyBorder="1" applyAlignment="1">
      <alignment horizontal="right" vertical="center" wrapText="1"/>
    </xf>
    <xf numFmtId="0" fontId="72" fillId="3" borderId="2" xfId="0" quotePrefix="1" applyFont="1" applyFill="1" applyBorder="1" applyAlignment="1">
      <alignment wrapText="1"/>
    </xf>
    <xf numFmtId="9" fontId="17" fillId="0" borderId="4" xfId="2" quotePrefix="1" applyFont="1" applyBorder="1" applyAlignment="1">
      <alignment horizontal="right" vertical="center" wrapText="1" indent="2" readingOrder="1"/>
    </xf>
    <xf numFmtId="15" fontId="56" fillId="0" borderId="23" xfId="0" applyNumberFormat="1" applyFont="1" applyBorder="1" applyAlignment="1">
      <alignment horizontal="left" vertical="center" wrapText="1" indent="1" readingOrder="1"/>
    </xf>
    <xf numFmtId="15" fontId="62" fillId="0" borderId="42" xfId="0" applyNumberFormat="1" applyFont="1" applyBorder="1" applyAlignment="1">
      <alignment horizontal="left" vertical="center" wrapText="1" indent="1" readingOrder="1"/>
    </xf>
    <xf numFmtId="10" fontId="24" fillId="0" borderId="43" xfId="2" quotePrefix="1" applyNumberFormat="1" applyFont="1" applyFill="1" applyBorder="1" applyAlignment="1">
      <alignment horizontal="right" vertical="center" wrapText="1" indent="2" readingOrder="1"/>
    </xf>
    <xf numFmtId="0" fontId="48" fillId="0" borderId="9" xfId="0" applyFont="1" applyBorder="1" applyAlignment="1">
      <alignment horizontal="left" vertical="center" wrapText="1" readingOrder="1"/>
    </xf>
    <xf numFmtId="15" fontId="13" fillId="0" borderId="23" xfId="0" applyNumberFormat="1" applyFont="1" applyBorder="1" applyAlignment="1">
      <alignment horizontal="left" vertical="center" wrapText="1" indent="1" readingOrder="1"/>
    </xf>
    <xf numFmtId="0" fontId="48" fillId="7" borderId="20" xfId="0" applyFont="1" applyFill="1" applyBorder="1" applyAlignment="1">
      <alignment horizontal="left" vertical="center" wrapText="1" indent="1" readingOrder="1"/>
    </xf>
    <xf numFmtId="0" fontId="0" fillId="3" borderId="0" xfId="0" applyFill="1" applyAlignment="1">
      <alignment horizontal="center" vertical="center"/>
    </xf>
    <xf numFmtId="0" fontId="48" fillId="3" borderId="20" xfId="0" applyFont="1" applyFill="1" applyBorder="1" applyAlignment="1">
      <alignment horizontal="left" vertical="center" wrapText="1" indent="1" readingOrder="1"/>
    </xf>
    <xf numFmtId="0" fontId="48" fillId="3" borderId="9" xfId="0" applyFont="1" applyFill="1" applyBorder="1" applyAlignment="1">
      <alignment horizontal="left" vertical="center" wrapText="1" readingOrder="1"/>
    </xf>
    <xf numFmtId="15" fontId="52" fillId="3" borderId="23" xfId="0" applyNumberFormat="1" applyFont="1" applyFill="1" applyBorder="1" applyAlignment="1">
      <alignment horizontal="left" vertical="center" wrapText="1" indent="1" readingOrder="1"/>
    </xf>
    <xf numFmtId="0" fontId="48" fillId="3" borderId="23" xfId="0" applyFont="1" applyFill="1" applyBorder="1" applyAlignment="1">
      <alignment horizontal="left" vertical="center" wrapText="1" indent="1" readingOrder="1"/>
    </xf>
    <xf numFmtId="0" fontId="13" fillId="3" borderId="16" xfId="0" applyFont="1" applyFill="1" applyBorder="1" applyAlignment="1">
      <alignment horizontal="left" vertical="center"/>
    </xf>
    <xf numFmtId="0" fontId="48" fillId="3" borderId="13" xfId="0" applyFont="1" applyFill="1" applyBorder="1" applyAlignment="1">
      <alignment horizontal="left" vertical="center" wrapText="1" indent="1" readingOrder="1"/>
    </xf>
    <xf numFmtId="0" fontId="16" fillId="3" borderId="16" xfId="0" applyFont="1" applyFill="1" applyBorder="1" applyAlignment="1">
      <alignment horizontal="left" vertical="center"/>
    </xf>
    <xf numFmtId="0" fontId="48" fillId="3" borderId="19" xfId="0" applyFont="1" applyFill="1" applyBorder="1" applyAlignment="1">
      <alignment horizontal="left" vertical="center" wrapText="1" indent="1" readingOrder="1"/>
    </xf>
    <xf numFmtId="20" fontId="13" fillId="3" borderId="16" xfId="0" applyNumberFormat="1" applyFont="1" applyFill="1" applyBorder="1" applyAlignment="1">
      <alignment horizontal="left" vertical="center"/>
    </xf>
    <xf numFmtId="0" fontId="48" fillId="3" borderId="21" xfId="0" applyFont="1" applyFill="1" applyBorder="1" applyAlignment="1">
      <alignment horizontal="right" vertical="center" wrapText="1" indent="2" readingOrder="1"/>
    </xf>
    <xf numFmtId="0" fontId="48" fillId="3" borderId="22" xfId="0" applyFont="1" applyFill="1" applyBorder="1" applyAlignment="1">
      <alignment horizontal="right" vertical="center" wrapText="1" indent="2" readingOrder="1"/>
    </xf>
    <xf numFmtId="0" fontId="48" fillId="3" borderId="40" xfId="0" applyFont="1" applyFill="1" applyBorder="1" applyAlignment="1">
      <alignment horizontal="left" vertical="center" wrapText="1" readingOrder="1"/>
    </xf>
    <xf numFmtId="15" fontId="13" fillId="3" borderId="23" xfId="0" applyNumberFormat="1" applyFont="1" applyFill="1" applyBorder="1" applyAlignment="1">
      <alignment horizontal="left" vertical="center" wrapText="1" indent="1" readingOrder="1"/>
    </xf>
    <xf numFmtId="165" fontId="49" fillId="3" borderId="4" xfId="2" quotePrefix="1" applyNumberFormat="1" applyFont="1" applyFill="1" applyBorder="1" applyAlignment="1">
      <alignment horizontal="right" vertical="center" wrapText="1" indent="2" readingOrder="1"/>
    </xf>
    <xf numFmtId="0" fontId="16" fillId="3" borderId="37" xfId="0" applyFont="1" applyFill="1" applyBorder="1" applyAlignment="1">
      <alignment horizontal="left" vertical="center"/>
    </xf>
    <xf numFmtId="20" fontId="16" fillId="3" borderId="16" xfId="0" applyNumberFormat="1" applyFont="1" applyFill="1" applyBorder="1" applyAlignment="1">
      <alignment horizontal="left" vertical="center"/>
    </xf>
    <xf numFmtId="0" fontId="16" fillId="3" borderId="33" xfId="0" applyFont="1" applyFill="1" applyBorder="1" applyAlignment="1">
      <alignment horizontal="left" vertical="center"/>
    </xf>
    <xf numFmtId="165" fontId="17" fillId="0" borderId="4" xfId="2" quotePrefix="1" applyNumberFormat="1" applyFont="1" applyBorder="1" applyAlignment="1">
      <alignment horizontal="right" vertical="center" wrapText="1" indent="2" readingOrder="1"/>
    </xf>
    <xf numFmtId="10" fontId="17" fillId="3" borderId="4" xfId="2" quotePrefix="1" applyNumberFormat="1" applyFont="1" applyFill="1" applyBorder="1" applyAlignment="1">
      <alignment horizontal="right" vertical="center" wrapText="1" indent="2" readingOrder="1"/>
    </xf>
    <xf numFmtId="15" fontId="56" fillId="3" borderId="23" xfId="0" applyNumberFormat="1" applyFont="1" applyFill="1" applyBorder="1" applyAlignment="1">
      <alignment horizontal="left" vertical="center" wrapText="1" indent="1" readingOrder="1"/>
    </xf>
    <xf numFmtId="43" fontId="17" fillId="3" borderId="4" xfId="1" quotePrefix="1" applyFont="1" applyFill="1" applyBorder="1" applyAlignment="1">
      <alignment horizontal="right" vertical="center" wrapText="1" indent="2" readingOrder="1"/>
    </xf>
    <xf numFmtId="15" fontId="48" fillId="3" borderId="23" xfId="0" applyNumberFormat="1" applyFont="1" applyFill="1" applyBorder="1" applyAlignment="1">
      <alignment horizontal="left" vertical="center" wrapText="1" indent="1" readingOrder="1"/>
    </xf>
    <xf numFmtId="10" fontId="49" fillId="3" borderId="4" xfId="2" quotePrefix="1" applyNumberFormat="1" applyFont="1" applyFill="1" applyBorder="1" applyAlignment="1">
      <alignment horizontal="right" vertical="center" wrapText="1" indent="2" readingOrder="1"/>
    </xf>
    <xf numFmtId="15" fontId="21" fillId="0" borderId="3" xfId="0" applyNumberFormat="1" applyFont="1" applyBorder="1" applyAlignment="1">
      <alignment horizontal="center" vertical="center"/>
    </xf>
    <xf numFmtId="164" fontId="21" fillId="0" borderId="3" xfId="1" applyNumberFormat="1" applyFont="1" applyFill="1" applyBorder="1" applyAlignment="1">
      <alignment horizontal="center" vertical="center"/>
    </xf>
    <xf numFmtId="15" fontId="76" fillId="0" borderId="23" xfId="0" applyNumberFormat="1" applyFont="1" applyBorder="1" applyAlignment="1">
      <alignment horizontal="left" vertical="center" wrapText="1" indent="1" readingOrder="1"/>
    </xf>
    <xf numFmtId="169" fontId="17" fillId="0" borderId="4" xfId="2" quotePrefix="1" applyNumberFormat="1" applyFont="1" applyFill="1" applyBorder="1" applyAlignment="1">
      <alignment horizontal="right" vertical="center" wrapText="1" indent="2" readingOrder="1"/>
    </xf>
    <xf numFmtId="15" fontId="48" fillId="9" borderId="23" xfId="0" applyNumberFormat="1" applyFont="1" applyFill="1" applyBorder="1" applyAlignment="1">
      <alignment horizontal="left" vertical="center" wrapText="1" indent="1" readingOrder="1"/>
    </xf>
    <xf numFmtId="15" fontId="77" fillId="0" borderId="23" xfId="0" applyNumberFormat="1" applyFont="1" applyBorder="1" applyAlignment="1">
      <alignment horizontal="left" vertical="center" wrapText="1" indent="1" readingOrder="1"/>
    </xf>
    <xf numFmtId="168" fontId="21" fillId="0" borderId="2" xfId="2" applyNumberFormat="1" applyFont="1" applyFill="1" applyBorder="1" applyAlignment="1">
      <alignment horizontal="right" vertical="center" wrapText="1"/>
    </xf>
    <xf numFmtId="10" fontId="21" fillId="0" borderId="2" xfId="2" applyNumberFormat="1" applyFont="1" applyFill="1" applyBorder="1" applyAlignment="1">
      <alignment horizontal="right" vertical="center" wrapText="1"/>
    </xf>
    <xf numFmtId="167" fontId="21" fillId="0" borderId="2" xfId="1" quotePrefix="1" applyNumberFormat="1" applyFont="1" applyFill="1" applyBorder="1" applyAlignment="1">
      <alignment horizontal="right" vertical="center" wrapText="1"/>
    </xf>
    <xf numFmtId="0" fontId="61" fillId="0" borderId="0" xfId="0" applyFont="1"/>
    <xf numFmtId="0" fontId="62" fillId="3" borderId="55" xfId="0" applyFont="1" applyFill="1" applyBorder="1" applyAlignment="1">
      <alignment horizontal="center" vertical="center" wrapText="1" readingOrder="1"/>
    </xf>
    <xf numFmtId="15" fontId="19" fillId="8" borderId="23" xfId="0" applyNumberFormat="1" applyFont="1" applyFill="1" applyBorder="1" applyAlignment="1">
      <alignment horizontal="left" vertical="center" wrapText="1" indent="1" readingOrder="1"/>
    </xf>
    <xf numFmtId="0" fontId="62" fillId="3" borderId="16" xfId="0" applyFont="1" applyFill="1" applyBorder="1" applyAlignment="1">
      <alignment horizontal="left" vertical="center"/>
    </xf>
    <xf numFmtId="0" fontId="21" fillId="3" borderId="16" xfId="0" applyFont="1" applyFill="1" applyBorder="1" applyAlignment="1">
      <alignment horizontal="left" vertical="center"/>
    </xf>
    <xf numFmtId="20" fontId="62" fillId="3" borderId="16" xfId="0" applyNumberFormat="1" applyFont="1" applyFill="1" applyBorder="1" applyAlignment="1">
      <alignment horizontal="left" vertical="center"/>
    </xf>
    <xf numFmtId="0" fontId="19" fillId="3" borderId="40" xfId="0" applyFont="1" applyFill="1" applyBorder="1" applyAlignment="1">
      <alignment horizontal="left" vertical="center" wrapText="1" readingOrder="1"/>
    </xf>
    <xf numFmtId="0" fontId="21" fillId="3" borderId="37" xfId="0" applyFont="1" applyFill="1" applyBorder="1" applyAlignment="1">
      <alignment horizontal="left" vertical="center"/>
    </xf>
    <xf numFmtId="20" fontId="21" fillId="3" borderId="16" xfId="0" applyNumberFormat="1" applyFont="1" applyFill="1" applyBorder="1" applyAlignment="1">
      <alignment horizontal="left" vertical="center"/>
    </xf>
    <xf numFmtId="0" fontId="21" fillId="3" borderId="33" xfId="0" applyFont="1" applyFill="1" applyBorder="1" applyAlignment="1">
      <alignment horizontal="left" vertical="center"/>
    </xf>
    <xf numFmtId="0" fontId="14" fillId="0" borderId="58" xfId="0" applyFont="1" applyBorder="1" applyAlignment="1">
      <alignment vertical="center" wrapText="1" readingOrder="1"/>
    </xf>
    <xf numFmtId="0" fontId="14" fillId="0" borderId="61" xfId="0" applyFont="1" applyBorder="1" applyAlignment="1">
      <alignment vertical="center" wrapText="1" readingOrder="1"/>
    </xf>
    <xf numFmtId="0" fontId="19" fillId="0" borderId="13" xfId="0" applyFont="1" applyBorder="1" applyAlignment="1">
      <alignment horizontal="left" vertical="center" wrapText="1" readingOrder="1"/>
    </xf>
    <xf numFmtId="0" fontId="16" fillId="0" borderId="63" xfId="0" applyFont="1" applyBorder="1" applyAlignment="1">
      <alignment horizontal="center" vertical="center"/>
    </xf>
    <xf numFmtId="0" fontId="14" fillId="0" borderId="13" xfId="0" applyFont="1" applyBorder="1" applyAlignment="1">
      <alignment horizontal="left" vertical="center" wrapText="1" readingOrder="1"/>
    </xf>
    <xf numFmtId="20" fontId="13" fillId="0" borderId="66" xfId="0" applyNumberFormat="1" applyFont="1" applyBorder="1" applyAlignment="1">
      <alignment horizontal="center" vertical="center"/>
    </xf>
    <xf numFmtId="20" fontId="17" fillId="0" borderId="13" xfId="0" applyNumberFormat="1" applyFont="1" applyBorder="1" applyAlignment="1">
      <alignment horizontal="right" vertical="center" wrapText="1" readingOrder="1"/>
    </xf>
    <xf numFmtId="20" fontId="16" fillId="0" borderId="63" xfId="0" applyNumberFormat="1" applyFont="1" applyBorder="1" applyAlignment="1">
      <alignment horizontal="center" vertical="center"/>
    </xf>
    <xf numFmtId="0" fontId="14" fillId="0" borderId="38" xfId="0" applyFont="1" applyBorder="1" applyAlignment="1">
      <alignment vertical="center" wrapText="1" readingOrder="1"/>
    </xf>
    <xf numFmtId="0" fontId="14" fillId="0" borderId="68" xfId="0" applyFont="1" applyBorder="1" applyAlignment="1">
      <alignment vertical="center" wrapText="1" readingOrder="1"/>
    </xf>
    <xf numFmtId="0" fontId="13" fillId="0" borderId="63" xfId="0" applyFont="1" applyBorder="1" applyAlignment="1">
      <alignment horizontal="center" vertical="center"/>
    </xf>
    <xf numFmtId="0" fontId="16" fillId="0" borderId="69" xfId="0" applyFont="1" applyBorder="1" applyAlignment="1">
      <alignment horizontal="center" vertical="center"/>
    </xf>
    <xf numFmtId="20" fontId="17" fillId="0" borderId="25" xfId="0" applyNumberFormat="1" applyFont="1" applyBorder="1" applyAlignment="1">
      <alignment horizontal="right" vertical="center" wrapText="1" readingOrder="1"/>
    </xf>
    <xf numFmtId="0" fontId="14" fillId="0" borderId="2" xfId="0" applyFont="1" applyBorder="1" applyAlignment="1">
      <alignment horizontal="center" vertical="center" wrapText="1" readingOrder="1"/>
    </xf>
    <xf numFmtId="0" fontId="14" fillId="0" borderId="71" xfId="0" applyFont="1" applyBorder="1" applyAlignment="1">
      <alignment horizontal="center" vertical="center" wrapText="1" readingOrder="1"/>
    </xf>
    <xf numFmtId="0" fontId="19" fillId="0" borderId="2" xfId="0" applyFont="1" applyBorder="1" applyAlignment="1">
      <alignment horizontal="center" vertical="center" wrapText="1" readingOrder="1"/>
    </xf>
    <xf numFmtId="0" fontId="25" fillId="0" borderId="71" xfId="0" applyFont="1" applyBorder="1" applyAlignment="1">
      <alignment horizontal="center" vertical="center"/>
    </xf>
    <xf numFmtId="20" fontId="27" fillId="0" borderId="71" xfId="0" applyNumberFormat="1" applyFont="1" applyBorder="1" applyAlignment="1">
      <alignment horizontal="center" vertical="center"/>
    </xf>
    <xf numFmtId="20" fontId="17" fillId="0" borderId="2" xfId="0" applyNumberFormat="1" applyFont="1" applyBorder="1" applyAlignment="1">
      <alignment horizontal="center" vertical="center" wrapText="1" readingOrder="1"/>
    </xf>
    <xf numFmtId="0" fontId="27" fillId="0" borderId="71" xfId="0" applyFont="1" applyBorder="1" applyAlignment="1">
      <alignment horizontal="center" vertical="center"/>
    </xf>
    <xf numFmtId="20" fontId="25" fillId="0" borderId="71" xfId="0" applyNumberFormat="1" applyFont="1" applyBorder="1" applyAlignment="1">
      <alignment horizontal="center" vertical="center"/>
    </xf>
    <xf numFmtId="0" fontId="14" fillId="0" borderId="2" xfId="0" applyFont="1" applyBorder="1" applyAlignment="1">
      <alignment horizontal="left" vertical="center" wrapText="1" readingOrder="1"/>
    </xf>
    <xf numFmtId="15" fontId="14" fillId="0" borderId="2" xfId="0" applyNumberFormat="1" applyFont="1" applyBorder="1" applyAlignment="1">
      <alignment horizontal="left" vertical="center" wrapText="1" readingOrder="1"/>
    </xf>
    <xf numFmtId="167" fontId="17" fillId="0" borderId="2" xfId="1" quotePrefix="1" applyNumberFormat="1" applyFont="1" applyFill="1" applyBorder="1" applyAlignment="1">
      <alignment horizontal="right" vertical="center" wrapText="1" readingOrder="1"/>
    </xf>
    <xf numFmtId="167" fontId="17" fillId="0" borderId="71" xfId="1" quotePrefix="1" applyNumberFormat="1" applyFont="1" applyFill="1" applyBorder="1" applyAlignment="1">
      <alignment horizontal="center" vertical="center" wrapText="1" readingOrder="1"/>
    </xf>
    <xf numFmtId="0" fontId="14" fillId="0" borderId="6" xfId="0" applyFont="1" applyBorder="1" applyAlignment="1">
      <alignment horizontal="center" vertical="center" wrapText="1" readingOrder="1"/>
    </xf>
    <xf numFmtId="0" fontId="14" fillId="0" borderId="74" xfId="0" applyFont="1" applyBorder="1" applyAlignment="1">
      <alignment horizontal="center" vertical="center" wrapText="1" readingOrder="1"/>
    </xf>
    <xf numFmtId="0" fontId="19" fillId="0" borderId="13" xfId="0" applyFont="1" applyBorder="1" applyAlignment="1">
      <alignment horizontal="center" vertical="center" wrapText="1" readingOrder="1"/>
    </xf>
    <xf numFmtId="0" fontId="14" fillId="0" borderId="13" xfId="0" applyFont="1" applyBorder="1" applyAlignment="1">
      <alignment horizontal="center" vertical="center" wrapText="1" readingOrder="1"/>
    </xf>
    <xf numFmtId="20" fontId="28" fillId="0" borderId="13" xfId="0" applyNumberFormat="1" applyFont="1" applyBorder="1" applyAlignment="1">
      <alignment horizontal="center" vertical="center" wrapText="1" readingOrder="1"/>
    </xf>
    <xf numFmtId="20" fontId="22" fillId="0" borderId="13" xfId="0" applyNumberFormat="1" applyFont="1" applyBorder="1" applyAlignment="1">
      <alignment horizontal="center" vertical="center" wrapText="1" readingOrder="1"/>
    </xf>
    <xf numFmtId="20" fontId="25" fillId="0" borderId="13" xfId="0" applyNumberFormat="1" applyFont="1" applyBorder="1" applyAlignment="1">
      <alignment horizontal="center" vertical="center" wrapText="1" readingOrder="1"/>
    </xf>
    <xf numFmtId="20" fontId="17" fillId="0" borderId="13" xfId="0" applyNumberFormat="1" applyFont="1" applyBorder="1" applyAlignment="1">
      <alignment horizontal="center" vertical="center" wrapText="1" readingOrder="1"/>
    </xf>
    <xf numFmtId="0" fontId="25" fillId="0" borderId="75" xfId="0" applyFont="1" applyBorder="1" applyAlignment="1">
      <alignment horizontal="center" vertical="center"/>
    </xf>
    <xf numFmtId="0" fontId="14" fillId="0" borderId="5" xfId="0" applyFont="1" applyBorder="1" applyAlignment="1">
      <alignment horizontal="center" vertical="center" wrapText="1" readingOrder="1"/>
    </xf>
    <xf numFmtId="0" fontId="14" fillId="0" borderId="76" xfId="0" applyFont="1" applyBorder="1" applyAlignment="1">
      <alignment horizontal="center" vertical="center" wrapText="1" readingOrder="1"/>
    </xf>
    <xf numFmtId="0" fontId="14" fillId="0" borderId="20" xfId="0" applyFont="1" applyBorder="1" applyAlignment="1">
      <alignment horizontal="center" vertical="center" wrapText="1" readingOrder="1"/>
    </xf>
    <xf numFmtId="0" fontId="14" fillId="0" borderId="66" xfId="0" applyFont="1" applyBorder="1" applyAlignment="1">
      <alignment horizontal="center" vertical="center" wrapText="1" readingOrder="1"/>
    </xf>
    <xf numFmtId="20" fontId="28" fillId="0" borderId="77" xfId="0" applyNumberFormat="1" applyFont="1" applyBorder="1" applyAlignment="1">
      <alignment horizontal="center" vertical="center" wrapText="1" readingOrder="1"/>
    </xf>
    <xf numFmtId="20" fontId="25" fillId="0" borderId="25" xfId="0" applyNumberFormat="1" applyFont="1" applyBorder="1" applyAlignment="1">
      <alignment horizontal="center" vertical="center" wrapText="1" readingOrder="1"/>
    </xf>
    <xf numFmtId="20" fontId="28" fillId="0" borderId="78" xfId="0" applyNumberFormat="1" applyFont="1" applyBorder="1" applyAlignment="1">
      <alignment horizontal="center" vertical="center" wrapText="1" readingOrder="1"/>
    </xf>
    <xf numFmtId="20" fontId="14" fillId="0" borderId="13" xfId="0" applyNumberFormat="1" applyFont="1" applyBorder="1" applyAlignment="1">
      <alignment horizontal="center" vertical="center" wrapText="1" readingOrder="1"/>
    </xf>
    <xf numFmtId="0" fontId="30" fillId="0" borderId="52" xfId="0" applyFont="1" applyBorder="1" applyAlignment="1">
      <alignment horizontal="center" vertical="center" wrapText="1" readingOrder="1"/>
    </xf>
    <xf numFmtId="0" fontId="30" fillId="0" borderId="74" xfId="0" applyFont="1" applyBorder="1" applyAlignment="1">
      <alignment horizontal="center" vertical="center" wrapText="1" readingOrder="1"/>
    </xf>
    <xf numFmtId="0" fontId="30" fillId="0" borderId="53" xfId="0" applyFont="1" applyBorder="1" applyAlignment="1">
      <alignment horizontal="center" vertical="center" wrapText="1" readingOrder="1"/>
    </xf>
    <xf numFmtId="0" fontId="31" fillId="0" borderId="71" xfId="0" applyFont="1" applyBorder="1" applyAlignment="1">
      <alignment horizontal="center" vertical="center"/>
    </xf>
    <xf numFmtId="20" fontId="30" fillId="0" borderId="53" xfId="0" applyNumberFormat="1" applyFont="1" applyBorder="1" applyAlignment="1">
      <alignment horizontal="center" vertical="center" wrapText="1" readingOrder="1"/>
    </xf>
    <xf numFmtId="20" fontId="34" fillId="0" borderId="71" xfId="0" applyNumberFormat="1" applyFont="1" applyBorder="1" applyAlignment="1">
      <alignment horizontal="center" vertical="center"/>
    </xf>
    <xf numFmtId="0" fontId="30" fillId="0" borderId="34" xfId="0" applyFont="1" applyBorder="1" applyAlignment="1">
      <alignment horizontal="center" vertical="center" wrapText="1" readingOrder="1"/>
    </xf>
    <xf numFmtId="0" fontId="30" fillId="0" borderId="66" xfId="0" applyFont="1" applyBorder="1" applyAlignment="1">
      <alignment horizontal="center" vertical="center" wrapText="1" readingOrder="1"/>
    </xf>
    <xf numFmtId="20" fontId="31" fillId="0" borderId="53" xfId="0" applyNumberFormat="1" applyFont="1" applyBorder="1" applyAlignment="1">
      <alignment horizontal="center" vertical="center" wrapText="1" readingOrder="1"/>
    </xf>
    <xf numFmtId="20" fontId="31" fillId="0" borderId="77" xfId="0" applyNumberFormat="1" applyFont="1" applyBorder="1" applyAlignment="1">
      <alignment horizontal="center" vertical="center" wrapText="1" readingOrder="1"/>
    </xf>
    <xf numFmtId="20" fontId="31" fillId="0" borderId="78" xfId="0" applyNumberFormat="1" applyFont="1" applyBorder="1" applyAlignment="1">
      <alignment horizontal="center" vertical="center" wrapText="1" readingOrder="1"/>
    </xf>
    <xf numFmtId="0" fontId="34" fillId="0" borderId="52" xfId="0" applyFont="1" applyBorder="1" applyAlignment="1">
      <alignment horizontal="center" vertical="center" wrapText="1" readingOrder="1"/>
    </xf>
    <xf numFmtId="0" fontId="34" fillId="0" borderId="74" xfId="0" applyFont="1" applyBorder="1" applyAlignment="1">
      <alignment horizontal="center" vertical="center" wrapText="1" readingOrder="1"/>
    </xf>
    <xf numFmtId="0" fontId="30" fillId="0" borderId="55" xfId="0" applyFont="1" applyBorder="1" applyAlignment="1">
      <alignment horizontal="center" vertical="center" wrapText="1" readingOrder="1"/>
    </xf>
    <xf numFmtId="0" fontId="37" fillId="0" borderId="52" xfId="0" applyFont="1" applyBorder="1" applyAlignment="1">
      <alignment horizontal="center" vertical="center" wrapText="1" readingOrder="1"/>
    </xf>
    <xf numFmtId="0" fontId="37" fillId="0" borderId="74" xfId="0" applyFont="1" applyBorder="1" applyAlignment="1">
      <alignment horizontal="center" vertical="center" wrapText="1" readingOrder="1"/>
    </xf>
    <xf numFmtId="0" fontId="37" fillId="0" borderId="53" xfId="0" applyFont="1" applyBorder="1" applyAlignment="1">
      <alignment horizontal="center" vertical="center" wrapText="1" readingOrder="1"/>
    </xf>
    <xf numFmtId="0" fontId="36" fillId="0" borderId="71" xfId="0" applyFont="1" applyBorder="1" applyAlignment="1">
      <alignment horizontal="center" vertical="center"/>
    </xf>
    <xf numFmtId="20" fontId="37" fillId="0" borderId="53" xfId="0" applyNumberFormat="1" applyFont="1" applyBorder="1" applyAlignment="1">
      <alignment horizontal="center" vertical="center" wrapText="1" readingOrder="1"/>
    </xf>
    <xf numFmtId="20" fontId="37" fillId="0" borderId="71" xfId="0" applyNumberFormat="1" applyFont="1" applyBorder="1" applyAlignment="1">
      <alignment horizontal="center" vertical="center"/>
    </xf>
    <xf numFmtId="0" fontId="37" fillId="0" borderId="34" xfId="0" applyFont="1" applyBorder="1" applyAlignment="1">
      <alignment horizontal="center" vertical="center" wrapText="1" readingOrder="1"/>
    </xf>
    <xf numFmtId="0" fontId="37" fillId="0" borderId="66" xfId="0" applyFont="1" applyBorder="1" applyAlignment="1">
      <alignment horizontal="center" vertical="center" wrapText="1" readingOrder="1"/>
    </xf>
    <xf numFmtId="20" fontId="36" fillId="0" borderId="77" xfId="0" applyNumberFormat="1" applyFont="1" applyBorder="1" applyAlignment="1">
      <alignment horizontal="center" vertical="center" wrapText="1" readingOrder="1"/>
    </xf>
    <xf numFmtId="20" fontId="36" fillId="0" borderId="78" xfId="0" applyNumberFormat="1" applyFont="1" applyBorder="1" applyAlignment="1">
      <alignment horizontal="center" vertical="center" wrapText="1" readingOrder="1"/>
    </xf>
    <xf numFmtId="20" fontId="31" fillId="0" borderId="24" xfId="0" applyNumberFormat="1" applyFont="1" applyBorder="1" applyAlignment="1">
      <alignment horizontal="center" vertical="center"/>
    </xf>
    <xf numFmtId="0" fontId="34" fillId="0" borderId="53" xfId="0" applyFont="1" applyBorder="1" applyAlignment="1">
      <alignment horizontal="center" vertical="center" wrapText="1" readingOrder="1"/>
    </xf>
    <xf numFmtId="0" fontId="34" fillId="0" borderId="34" xfId="0" applyFont="1" applyBorder="1" applyAlignment="1">
      <alignment horizontal="center" vertical="center" wrapText="1" readingOrder="1"/>
    </xf>
    <xf numFmtId="0" fontId="34" fillId="0" borderId="66" xfId="0" applyFont="1" applyBorder="1" applyAlignment="1">
      <alignment horizontal="center" vertical="center" wrapText="1" readingOrder="1"/>
    </xf>
    <xf numFmtId="20" fontId="31" fillId="0" borderId="54" xfId="0" applyNumberFormat="1" applyFont="1" applyBorder="1" applyAlignment="1">
      <alignment horizontal="center" vertical="center" wrapText="1" readingOrder="1"/>
    </xf>
    <xf numFmtId="0" fontId="30" fillId="0" borderId="79" xfId="0" applyFont="1" applyBorder="1" applyAlignment="1">
      <alignment horizontal="center" vertical="center" wrapText="1" readingOrder="1"/>
    </xf>
    <xf numFmtId="0" fontId="31" fillId="0" borderId="73" xfId="0" applyFont="1" applyBorder="1" applyAlignment="1">
      <alignment horizontal="center" vertical="center"/>
    </xf>
    <xf numFmtId="20" fontId="34" fillId="0" borderId="73" xfId="0" applyNumberFormat="1" applyFont="1" applyBorder="1" applyAlignment="1">
      <alignment horizontal="center" vertical="center"/>
    </xf>
    <xf numFmtId="0" fontId="30" fillId="0" borderId="80" xfId="0" applyFont="1" applyBorder="1" applyAlignment="1">
      <alignment horizontal="center" vertical="center" wrapText="1" readingOrder="1"/>
    </xf>
    <xf numFmtId="20" fontId="31" fillId="0" borderId="73" xfId="0" applyNumberFormat="1" applyFont="1" applyBorder="1" applyAlignment="1">
      <alignment horizontal="center" vertical="center" wrapText="1" readingOrder="1"/>
    </xf>
    <xf numFmtId="20" fontId="31" fillId="0" borderId="81" xfId="0" applyNumberFormat="1" applyFont="1" applyBorder="1" applyAlignment="1">
      <alignment horizontal="center" vertical="center" wrapText="1" readingOrder="1"/>
    </xf>
    <xf numFmtId="20" fontId="35" fillId="0" borderId="53" xfId="0" applyNumberFormat="1" applyFont="1" applyBorder="1" applyAlignment="1">
      <alignment horizontal="center" vertical="center" wrapText="1" readingOrder="1"/>
    </xf>
    <xf numFmtId="20" fontId="36" fillId="0" borderId="53" xfId="0" applyNumberFormat="1" applyFont="1" applyBorder="1" applyAlignment="1">
      <alignment horizontal="center" vertical="center" wrapText="1" readingOrder="1"/>
    </xf>
    <xf numFmtId="0" fontId="41" fillId="0" borderId="52" xfId="0" applyFont="1" applyBorder="1" applyAlignment="1">
      <alignment horizontal="center" vertical="center" wrapText="1" readingOrder="1"/>
    </xf>
    <xf numFmtId="0" fontId="41" fillId="0" borderId="53" xfId="0" applyFont="1" applyBorder="1" applyAlignment="1">
      <alignment horizontal="center" vertical="center" wrapText="1" readingOrder="1"/>
    </xf>
    <xf numFmtId="20" fontId="41" fillId="0" borderId="53" xfId="0" applyNumberFormat="1" applyFont="1" applyBorder="1" applyAlignment="1">
      <alignment horizontal="center" vertical="center" wrapText="1" readingOrder="1"/>
    </xf>
    <xf numFmtId="0" fontId="41" fillId="0" borderId="34" xfId="0" applyFont="1" applyBorder="1" applyAlignment="1">
      <alignment horizontal="center" vertical="center" wrapText="1" readingOrder="1"/>
    </xf>
    <xf numFmtId="20" fontId="40" fillId="0" borderId="53" xfId="0" applyNumberFormat="1" applyFont="1" applyBorder="1" applyAlignment="1">
      <alignment horizontal="center" vertical="center" wrapText="1" readingOrder="1"/>
    </xf>
    <xf numFmtId="20" fontId="44" fillId="0" borderId="53" xfId="0" applyNumberFormat="1" applyFont="1" applyBorder="1" applyAlignment="1">
      <alignment horizontal="center" vertical="center" wrapText="1" readingOrder="1"/>
    </xf>
    <xf numFmtId="0" fontId="48" fillId="0" borderId="52"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8" fillId="0" borderId="79" xfId="0" applyFont="1" applyBorder="1" applyAlignment="1">
      <alignment horizontal="center" vertical="center" wrapText="1" readingOrder="1"/>
    </xf>
    <xf numFmtId="0" fontId="48" fillId="0" borderId="53" xfId="0" applyFont="1" applyBorder="1" applyAlignment="1">
      <alignment horizontal="center" vertical="center" wrapText="1" readingOrder="1"/>
    </xf>
    <xf numFmtId="0" fontId="16" fillId="0" borderId="73" xfId="0" applyFont="1" applyBorder="1" applyAlignment="1">
      <alignment horizontal="center" vertical="center"/>
    </xf>
    <xf numFmtId="20" fontId="48" fillId="0" borderId="53" xfId="0" applyNumberFormat="1" applyFont="1" applyBorder="1" applyAlignment="1">
      <alignment horizontal="center" vertical="center" wrapText="1" readingOrder="1"/>
    </xf>
    <xf numFmtId="20" fontId="13" fillId="0" borderId="73" xfId="0" applyNumberFormat="1" applyFont="1" applyBorder="1" applyAlignment="1">
      <alignment horizontal="center" vertical="center"/>
    </xf>
    <xf numFmtId="0" fontId="48" fillId="0" borderId="34" xfId="0" applyFont="1" applyBorder="1" applyAlignment="1">
      <alignment horizontal="center" vertical="center" wrapText="1" readingOrder="1"/>
    </xf>
    <xf numFmtId="0" fontId="48" fillId="0" borderId="80" xfId="0" applyFont="1" applyBorder="1" applyAlignment="1">
      <alignment horizontal="center" vertical="center" wrapText="1" readingOrder="1"/>
    </xf>
    <xf numFmtId="20" fontId="16" fillId="0" borderId="53" xfId="0" applyNumberFormat="1" applyFont="1" applyBorder="1" applyAlignment="1">
      <alignment horizontal="center" vertical="center" wrapText="1" readingOrder="1"/>
    </xf>
    <xf numFmtId="20" fontId="16" fillId="0" borderId="73" xfId="0" applyNumberFormat="1" applyFont="1" applyBorder="1" applyAlignment="1">
      <alignment horizontal="center" vertical="center" wrapText="1" readingOrder="1"/>
    </xf>
    <xf numFmtId="20" fontId="16" fillId="0" borderId="81" xfId="0" applyNumberFormat="1" applyFont="1" applyBorder="1" applyAlignment="1">
      <alignment horizontal="center" vertical="center" wrapText="1" readingOrder="1"/>
    </xf>
    <xf numFmtId="20" fontId="16" fillId="0" borderId="54" xfId="0" applyNumberFormat="1" applyFont="1" applyBorder="1" applyAlignment="1">
      <alignment horizontal="center" vertical="center" wrapText="1" readingOrder="1"/>
    </xf>
    <xf numFmtId="20" fontId="16" fillId="0" borderId="84" xfId="0" applyNumberFormat="1" applyFont="1" applyBorder="1" applyAlignment="1">
      <alignment horizontal="center" vertical="center" wrapText="1" readingOrder="1"/>
    </xf>
    <xf numFmtId="20" fontId="16" fillId="0" borderId="87" xfId="0" applyNumberFormat="1" applyFont="1" applyBorder="1" applyAlignment="1">
      <alignment horizontal="center" vertical="center" wrapText="1" readingOrder="1"/>
    </xf>
    <xf numFmtId="0" fontId="48" fillId="0" borderId="55" xfId="0" applyFont="1" applyBorder="1" applyAlignment="1">
      <alignment horizontal="center" vertical="center" wrapText="1" readingOrder="1"/>
    </xf>
    <xf numFmtId="0" fontId="16" fillId="0" borderId="16" xfId="0" applyFont="1" applyBorder="1" applyAlignment="1">
      <alignment horizontal="center" vertical="center"/>
    </xf>
    <xf numFmtId="0" fontId="48" fillId="0" borderId="40" xfId="0" applyFont="1" applyBorder="1" applyAlignment="1">
      <alignment horizontal="center" vertical="center" wrapText="1" readingOrder="1"/>
    </xf>
    <xf numFmtId="20" fontId="23" fillId="0" borderId="53" xfId="0" applyNumberFormat="1" applyFont="1" applyBorder="1" applyAlignment="1">
      <alignment horizontal="center" vertical="center" wrapText="1" readingOrder="1"/>
    </xf>
    <xf numFmtId="20" fontId="16" fillId="0" borderId="16" xfId="0" applyNumberFormat="1" applyFont="1" applyBorder="1" applyAlignment="1">
      <alignment horizontal="center" vertical="center" wrapText="1" readingOrder="1"/>
    </xf>
    <xf numFmtId="20" fontId="16" fillId="0" borderId="33" xfId="0" applyNumberFormat="1" applyFont="1" applyBorder="1" applyAlignment="1">
      <alignment horizontal="center" vertical="center" wrapText="1" readingOrder="1"/>
    </xf>
    <xf numFmtId="20" fontId="50" fillId="0" borderId="53" xfId="0" applyNumberFormat="1" applyFont="1" applyBorder="1" applyAlignment="1">
      <alignment horizontal="center" vertical="center" wrapText="1" readingOrder="1"/>
    </xf>
    <xf numFmtId="0" fontId="16" fillId="0" borderId="37" xfId="0" applyFont="1" applyBorder="1" applyAlignment="1">
      <alignment horizontal="center" vertical="center"/>
    </xf>
    <xf numFmtId="20" fontId="50" fillId="0" borderId="54" xfId="0" applyNumberFormat="1" applyFont="1" applyBorder="1" applyAlignment="1">
      <alignment horizontal="center" vertical="center" wrapText="1" readingOrder="1"/>
    </xf>
    <xf numFmtId="0" fontId="52" fillId="0" borderId="34" xfId="0" applyFont="1" applyBorder="1" applyAlignment="1">
      <alignment horizontal="center" vertical="center" wrapText="1" readingOrder="1"/>
    </xf>
    <xf numFmtId="20" fontId="58" fillId="0" borderId="53" xfId="0" applyNumberFormat="1" applyFont="1" applyBorder="1" applyAlignment="1">
      <alignment horizontal="center" vertical="center" wrapText="1" readingOrder="1"/>
    </xf>
    <xf numFmtId="0" fontId="19" fillId="0" borderId="55" xfId="0" applyFont="1" applyBorder="1" applyAlignment="1">
      <alignment horizontal="center" vertical="center" wrapText="1" readingOrder="1"/>
    </xf>
    <xf numFmtId="0" fontId="19" fillId="0" borderId="53" xfId="0" applyFont="1" applyBorder="1" applyAlignment="1">
      <alignment horizontal="center" vertical="center" wrapText="1" readingOrder="1"/>
    </xf>
    <xf numFmtId="20" fontId="19" fillId="0" borderId="53" xfId="0" applyNumberFormat="1" applyFont="1" applyBorder="1" applyAlignment="1">
      <alignment horizontal="center" vertical="center" wrapText="1" readingOrder="1"/>
    </xf>
    <xf numFmtId="20" fontId="22" fillId="0" borderId="53" xfId="0" applyNumberFormat="1" applyFont="1" applyBorder="1" applyAlignment="1">
      <alignment horizontal="center" vertical="center" wrapText="1" readingOrder="1"/>
    </xf>
    <xf numFmtId="20" fontId="24" fillId="0" borderId="16" xfId="0" applyNumberFormat="1" applyFont="1" applyBorder="1" applyAlignment="1">
      <alignment horizontal="center" vertical="center" wrapText="1" readingOrder="1"/>
    </xf>
    <xf numFmtId="20" fontId="74" fillId="0" borderId="53" xfId="0" applyNumberFormat="1" applyFont="1" applyBorder="1" applyAlignment="1">
      <alignment horizontal="center" vertical="center" wrapText="1" readingOrder="1"/>
    </xf>
    <xf numFmtId="0" fontId="24" fillId="0" borderId="0" xfId="0" applyFont="1" applyAlignment="1">
      <alignment horizontal="center" vertical="center"/>
    </xf>
    <xf numFmtId="0" fontId="24" fillId="0" borderId="16" xfId="0" applyFont="1" applyBorder="1" applyAlignment="1">
      <alignment horizontal="center" vertical="center"/>
    </xf>
    <xf numFmtId="0" fontId="19" fillId="0" borderId="37" xfId="0" applyFont="1" applyBorder="1" applyAlignment="1">
      <alignment horizontal="left" vertical="center"/>
    </xf>
    <xf numFmtId="0" fontId="24" fillId="0" borderId="37" xfId="0" applyFont="1" applyBorder="1" applyAlignment="1">
      <alignment horizontal="center" vertical="center"/>
    </xf>
    <xf numFmtId="0" fontId="24" fillId="0" borderId="37" xfId="0" applyFont="1" applyBorder="1" applyAlignment="1">
      <alignment horizontal="left" vertical="center"/>
    </xf>
    <xf numFmtId="0" fontId="19" fillId="0" borderId="37" xfId="0" applyFont="1" applyBorder="1" applyAlignment="1">
      <alignment horizontal="center" vertical="center" wrapText="1" readingOrder="1"/>
    </xf>
    <xf numFmtId="20" fontId="19" fillId="0" borderId="37" xfId="0" applyNumberFormat="1" applyFont="1" applyBorder="1" applyAlignment="1">
      <alignment horizontal="center" vertical="center" wrapText="1" readingOrder="1"/>
    </xf>
    <xf numFmtId="20" fontId="19" fillId="0" borderId="37" xfId="0" applyNumberFormat="1" applyFont="1" applyBorder="1" applyAlignment="1">
      <alignment horizontal="center" vertical="center"/>
    </xf>
    <xf numFmtId="20" fontId="19" fillId="0" borderId="37" xfId="0" applyNumberFormat="1" applyFont="1" applyBorder="1" applyAlignment="1">
      <alignment horizontal="left" vertical="center"/>
    </xf>
    <xf numFmtId="20" fontId="24" fillId="0" borderId="53" xfId="0" applyNumberFormat="1" applyFont="1" applyBorder="1" applyAlignment="1">
      <alignment horizontal="center" vertical="center" wrapText="1" readingOrder="1"/>
    </xf>
    <xf numFmtId="20" fontId="24" fillId="0" borderId="55" xfId="0" applyNumberFormat="1" applyFont="1" applyBorder="1" applyAlignment="1">
      <alignment horizontal="center" vertical="center" wrapText="1" readingOrder="1"/>
    </xf>
    <xf numFmtId="20" fontId="24" fillId="0" borderId="37" xfId="0" applyNumberFormat="1" applyFont="1" applyBorder="1" applyAlignment="1">
      <alignment horizontal="center" vertical="center" wrapText="1" readingOrder="1"/>
    </xf>
    <xf numFmtId="20" fontId="24" fillId="0" borderId="37" xfId="0" applyNumberFormat="1" applyFont="1" applyBorder="1" applyAlignment="1">
      <alignment horizontal="left" vertical="center"/>
    </xf>
    <xf numFmtId="0" fontId="24" fillId="0" borderId="30" xfId="0" applyFont="1" applyBorder="1" applyAlignment="1">
      <alignment horizontal="left" vertical="center"/>
    </xf>
    <xf numFmtId="0" fontId="19" fillId="0" borderId="37" xfId="0" applyFont="1" applyBorder="1" applyAlignment="1">
      <alignment horizontal="left" vertical="center" wrapText="1" readingOrder="1"/>
    </xf>
    <xf numFmtId="20" fontId="22" fillId="0" borderId="16" xfId="0" applyNumberFormat="1" applyFont="1" applyBorder="1" applyAlignment="1">
      <alignment horizontal="center" vertical="center" wrapText="1" readingOrder="1"/>
    </xf>
    <xf numFmtId="20" fontId="21" fillId="0" borderId="54" xfId="0" applyNumberFormat="1" applyFont="1" applyBorder="1" applyAlignment="1">
      <alignment horizontal="center" vertical="center" wrapText="1" readingOrder="1"/>
    </xf>
    <xf numFmtId="20" fontId="21" fillId="0" borderId="33" xfId="0" applyNumberFormat="1" applyFont="1" applyBorder="1" applyAlignment="1">
      <alignment horizontal="center" vertical="center" wrapText="1" readingOrder="1"/>
    </xf>
    <xf numFmtId="0" fontId="13" fillId="0" borderId="34" xfId="0" applyFont="1" applyBorder="1" applyAlignment="1">
      <alignment horizontal="center" vertical="center" wrapText="1" readingOrder="1"/>
    </xf>
    <xf numFmtId="0" fontId="13" fillId="0" borderId="55" xfId="0" applyFont="1" applyBorder="1" applyAlignment="1">
      <alignment horizontal="center" vertical="center" wrapText="1" readingOrder="1"/>
    </xf>
    <xf numFmtId="0" fontId="13" fillId="0" borderId="53" xfId="0" applyFont="1" applyBorder="1" applyAlignment="1">
      <alignment horizontal="center" vertical="center" wrapText="1" readingOrder="1"/>
    </xf>
    <xf numFmtId="20" fontId="13" fillId="0" borderId="53" xfId="0" applyNumberFormat="1" applyFont="1" applyBorder="1" applyAlignment="1">
      <alignment horizontal="center" vertical="center" wrapText="1" readingOrder="1"/>
    </xf>
    <xf numFmtId="20" fontId="52" fillId="0" borderId="53" xfId="0" applyNumberFormat="1" applyFont="1" applyBorder="1" applyAlignment="1">
      <alignment horizontal="center" vertical="center" wrapText="1" readingOrder="1"/>
    </xf>
    <xf numFmtId="175" fontId="21" fillId="0" borderId="2" xfId="1" quotePrefix="1" applyNumberFormat="1" applyFont="1" applyFill="1" applyBorder="1" applyAlignment="1">
      <alignment horizontal="right" vertical="center" wrapText="1"/>
    </xf>
    <xf numFmtId="0" fontId="16" fillId="3" borderId="0" xfId="0" applyFont="1" applyFill="1"/>
    <xf numFmtId="0" fontId="16" fillId="3" borderId="0" xfId="0" applyFont="1" applyFill="1" applyAlignment="1">
      <alignment horizontal="right"/>
    </xf>
    <xf numFmtId="0" fontId="73" fillId="3" borderId="0" xfId="0" applyFont="1" applyFill="1"/>
    <xf numFmtId="168" fontId="17" fillId="0" borderId="4" xfId="1" quotePrefix="1" applyNumberFormat="1" applyFont="1" applyFill="1" applyBorder="1" applyAlignment="1">
      <alignment horizontal="right" vertical="center" wrapText="1" indent="2" readingOrder="1"/>
    </xf>
    <xf numFmtId="10" fontId="60" fillId="0" borderId="34" xfId="0" applyNumberFormat="1" applyFont="1" applyBorder="1" applyAlignment="1">
      <alignment horizontal="center" vertical="center"/>
    </xf>
    <xf numFmtId="15" fontId="14" fillId="8" borderId="23" xfId="0" applyNumberFormat="1" applyFont="1" applyFill="1" applyBorder="1" applyAlignment="1">
      <alignment horizontal="left" vertical="center" wrapText="1" indent="1" readingOrder="1"/>
    </xf>
    <xf numFmtId="0" fontId="78" fillId="0" borderId="0" xfId="0" applyFont="1" applyAlignment="1">
      <alignment horizontal="center" vertical="center"/>
    </xf>
    <xf numFmtId="0" fontId="24" fillId="0" borderId="23" xfId="0" applyFont="1" applyBorder="1" applyAlignment="1">
      <alignment horizontal="left" vertical="center" wrapText="1" indent="1" readingOrder="1"/>
    </xf>
    <xf numFmtId="0" fontId="21" fillId="0" borderId="55" xfId="0" applyFont="1" applyBorder="1" applyAlignment="1">
      <alignment horizontal="center" vertical="center" wrapText="1" readingOrder="1"/>
    </xf>
    <xf numFmtId="0" fontId="24" fillId="0" borderId="13" xfId="0" applyFont="1" applyBorder="1" applyAlignment="1">
      <alignment horizontal="left" vertical="center" wrapText="1" indent="1" readingOrder="1"/>
    </xf>
    <xf numFmtId="0" fontId="21" fillId="0" borderId="53" xfId="0" applyFont="1" applyBorder="1" applyAlignment="1">
      <alignment horizontal="center" vertical="center" wrapText="1" readingOrder="1"/>
    </xf>
    <xf numFmtId="0" fontId="24" fillId="0" borderId="19" xfId="0" applyFont="1" applyBorder="1" applyAlignment="1">
      <alignment horizontal="left" vertical="center" wrapText="1" indent="1" readingOrder="1"/>
    </xf>
    <xf numFmtId="20" fontId="21" fillId="0" borderId="16" xfId="0" applyNumberFormat="1" applyFont="1" applyBorder="1" applyAlignment="1">
      <alignment horizontal="center" vertical="center"/>
    </xf>
    <xf numFmtId="0" fontId="24" fillId="0" borderId="20" xfId="0" applyFont="1" applyBorder="1" applyAlignment="1">
      <alignment horizontal="left" vertical="center" wrapText="1" indent="1" readingOrder="1"/>
    </xf>
    <xf numFmtId="0" fontId="24" fillId="0" borderId="21" xfId="0" applyFont="1" applyBorder="1" applyAlignment="1">
      <alignment horizontal="right" vertical="center" wrapText="1" indent="2" readingOrder="1"/>
    </xf>
    <xf numFmtId="0" fontId="24" fillId="0" borderId="22" xfId="0" applyFont="1" applyBorder="1" applyAlignment="1">
      <alignment horizontal="right" vertical="center" wrapText="1" indent="2" readingOrder="1"/>
    </xf>
    <xf numFmtId="0" fontId="21" fillId="0" borderId="34" xfId="0" applyFont="1" applyBorder="1" applyAlignment="1">
      <alignment horizontal="center" vertical="center" wrapText="1" readingOrder="1"/>
    </xf>
    <xf numFmtId="0" fontId="24" fillId="0" borderId="40" xfId="0" applyFont="1" applyBorder="1" applyAlignment="1">
      <alignment horizontal="center" vertical="center" wrapText="1" readingOrder="1"/>
    </xf>
    <xf numFmtId="0" fontId="24" fillId="0" borderId="40" xfId="0" applyFont="1" applyBorder="1" applyAlignment="1">
      <alignment horizontal="left" vertical="center" wrapText="1" readingOrder="1"/>
    </xf>
    <xf numFmtId="15" fontId="24" fillId="0" borderId="23" xfId="0" applyNumberFormat="1" applyFont="1" applyBorder="1" applyAlignment="1">
      <alignment horizontal="left" vertical="center" wrapText="1" indent="1" readingOrder="1"/>
    </xf>
    <xf numFmtId="168" fontId="24" fillId="0" borderId="4" xfId="1" quotePrefix="1" applyNumberFormat="1" applyFont="1" applyFill="1" applyBorder="1" applyAlignment="1">
      <alignment horizontal="right" vertical="center" wrapText="1" indent="2" readingOrder="1"/>
    </xf>
    <xf numFmtId="20" fontId="79" fillId="3" borderId="53" xfId="0" applyNumberFormat="1" applyFont="1" applyFill="1" applyBorder="1" applyAlignment="1">
      <alignment horizontal="center" vertical="center" wrapText="1" readingOrder="1"/>
    </xf>
    <xf numFmtId="10" fontId="21" fillId="0" borderId="16" xfId="0" applyNumberFormat="1" applyFont="1" applyBorder="1" applyAlignment="1">
      <alignment horizontal="center" vertical="center"/>
    </xf>
    <xf numFmtId="0" fontId="24" fillId="0" borderId="34" xfId="0" applyFont="1" applyBorder="1" applyAlignment="1">
      <alignment horizontal="center" vertical="center" wrapText="1" readingOrder="1"/>
    </xf>
    <xf numFmtId="0" fontId="24" fillId="0" borderId="9" xfId="0" applyFont="1" applyBorder="1" applyAlignment="1">
      <alignment horizontal="left" vertical="center" wrapText="1" readingOrder="1"/>
    </xf>
    <xf numFmtId="0" fontId="60" fillId="0" borderId="0" xfId="0" applyFont="1" applyAlignment="1">
      <alignment horizontal="center" vertical="center"/>
    </xf>
    <xf numFmtId="0" fontId="14" fillId="0" borderId="38" xfId="0" applyFont="1" applyBorder="1" applyAlignment="1">
      <alignment horizontal="right" vertical="center" wrapText="1" indent="2" readingOrder="1"/>
    </xf>
    <xf numFmtId="0" fontId="14" fillId="0" borderId="39" xfId="0" applyFont="1" applyBorder="1" applyAlignment="1">
      <alignment horizontal="right" vertical="center" wrapText="1" indent="2" readingOrder="1"/>
    </xf>
    <xf numFmtId="0" fontId="14" fillId="0" borderId="40" xfId="0" applyFont="1" applyBorder="1" applyAlignment="1">
      <alignment horizontal="right" vertical="center" wrapText="1" indent="2" readingOrder="1"/>
    </xf>
    <xf numFmtId="0" fontId="14" fillId="0" borderId="38" xfId="0" applyFont="1" applyBorder="1" applyAlignment="1">
      <alignment horizontal="center" vertical="center" wrapText="1" readingOrder="1"/>
    </xf>
    <xf numFmtId="0" fontId="14" fillId="0" borderId="39" xfId="0" applyFont="1" applyBorder="1" applyAlignment="1">
      <alignment horizontal="center" vertical="center" wrapText="1" readingOrder="1"/>
    </xf>
    <xf numFmtId="0" fontId="14" fillId="0" borderId="40" xfId="0" applyFont="1" applyBorder="1" applyAlignment="1">
      <alignment horizontal="center" vertical="center" wrapText="1" readingOrder="1"/>
    </xf>
    <xf numFmtId="10" fontId="14" fillId="0" borderId="35" xfId="0" applyNumberFormat="1" applyFont="1" applyBorder="1" applyAlignment="1">
      <alignment horizontal="right" vertical="center" wrapText="1" indent="2" readingOrder="1"/>
    </xf>
    <xf numFmtId="10" fontId="14" fillId="0" borderId="36" xfId="0" applyNumberFormat="1" applyFont="1" applyBorder="1" applyAlignment="1">
      <alignment horizontal="right" vertical="center" wrapText="1" indent="2" readingOrder="1"/>
    </xf>
    <xf numFmtId="10" fontId="14" fillId="0" borderId="37" xfId="0" applyNumberFormat="1" applyFont="1" applyBorder="1" applyAlignment="1">
      <alignment horizontal="right" vertical="center" wrapText="1" indent="2" readingOrder="1"/>
    </xf>
    <xf numFmtId="0" fontId="15" fillId="0" borderId="17" xfId="0" quotePrefix="1" applyFont="1" applyBorder="1" applyAlignment="1">
      <alignment horizontal="center" vertical="center" wrapText="1" readingOrder="1"/>
    </xf>
    <xf numFmtId="0" fontId="15" fillId="0" borderId="0" xfId="0" quotePrefix="1" applyFont="1" applyAlignment="1">
      <alignment horizontal="center" vertical="center" wrapText="1" readingOrder="1"/>
    </xf>
    <xf numFmtId="0" fontId="15" fillId="0" borderId="18" xfId="0" quotePrefix="1" applyFont="1" applyBorder="1" applyAlignment="1">
      <alignment horizontal="center" vertical="center" wrapText="1" readingOrder="1"/>
    </xf>
    <xf numFmtId="0" fontId="15" fillId="0" borderId="28" xfId="0" quotePrefix="1" applyFont="1" applyBorder="1" applyAlignment="1">
      <alignment horizontal="center" vertical="center" wrapText="1" readingOrder="1"/>
    </xf>
    <xf numFmtId="0" fontId="15" fillId="0" borderId="29" xfId="0" quotePrefix="1" applyFont="1" applyBorder="1" applyAlignment="1">
      <alignment horizontal="center" vertical="center" wrapText="1" readingOrder="1"/>
    </xf>
    <xf numFmtId="0" fontId="15" fillId="0" borderId="30" xfId="0" quotePrefix="1" applyFont="1" applyBorder="1" applyAlignment="1">
      <alignment horizontal="center" vertical="center" wrapText="1" readingOrder="1"/>
    </xf>
    <xf numFmtId="10" fontId="14" fillId="0" borderId="14" xfId="1" applyNumberFormat="1" applyFont="1" applyFill="1" applyBorder="1" applyAlignment="1">
      <alignment horizontal="right" vertical="center" wrapText="1" indent="2" readingOrder="1"/>
    </xf>
    <xf numFmtId="43" fontId="14" fillId="0" borderId="15" xfId="1" applyFont="1" applyFill="1" applyBorder="1" applyAlignment="1">
      <alignment horizontal="right" vertical="center" wrapText="1" indent="2" readingOrder="1"/>
    </xf>
    <xf numFmtId="43" fontId="14" fillId="0" borderId="16" xfId="1" applyFont="1" applyFill="1" applyBorder="1" applyAlignment="1">
      <alignment horizontal="right" vertical="center" wrapText="1" indent="2" readingOrder="1"/>
    </xf>
    <xf numFmtId="10" fontId="14" fillId="0" borderId="14" xfId="2" applyNumberFormat="1" applyFont="1" applyFill="1" applyBorder="1" applyAlignment="1">
      <alignment horizontal="right" vertical="center" wrapText="1" indent="2" readingOrder="1"/>
    </xf>
    <xf numFmtId="10" fontId="14" fillId="0" borderId="15" xfId="2" applyNumberFormat="1" applyFont="1" applyFill="1" applyBorder="1" applyAlignment="1">
      <alignment horizontal="right" vertical="center" wrapText="1" indent="2" readingOrder="1"/>
    </xf>
    <xf numFmtId="10" fontId="14" fillId="0" borderId="16" xfId="2" applyNumberFormat="1" applyFont="1" applyFill="1" applyBorder="1" applyAlignment="1">
      <alignment horizontal="right" vertical="center" wrapText="1" indent="2" readingOrder="1"/>
    </xf>
    <xf numFmtId="20" fontId="14" fillId="0" borderId="31" xfId="0" applyNumberFormat="1" applyFont="1" applyBorder="1" applyAlignment="1">
      <alignment horizontal="right" vertical="center" wrapText="1" indent="2" readingOrder="1"/>
    </xf>
    <xf numFmtId="20" fontId="14" fillId="0" borderId="32" xfId="0" applyNumberFormat="1" applyFont="1" applyBorder="1" applyAlignment="1">
      <alignment horizontal="right" vertical="center" wrapText="1" indent="2" readingOrder="1"/>
    </xf>
    <xf numFmtId="20" fontId="14" fillId="0" borderId="33" xfId="0" applyNumberFormat="1" applyFont="1" applyBorder="1" applyAlignment="1">
      <alignment horizontal="right" vertical="center" wrapText="1" indent="2" readingOrder="1"/>
    </xf>
    <xf numFmtId="43" fontId="14" fillId="0" borderId="14" xfId="1" applyFont="1" applyFill="1" applyBorder="1" applyAlignment="1">
      <alignment horizontal="right" vertical="center" wrapText="1" indent="2" readingOrder="1"/>
    </xf>
    <xf numFmtId="10" fontId="14" fillId="0" borderId="7" xfId="0" applyNumberFormat="1" applyFont="1" applyBorder="1" applyAlignment="1">
      <alignment horizontal="right" vertical="center" wrapText="1" indent="2" readingOrder="1"/>
    </xf>
    <xf numFmtId="10" fontId="14" fillId="0" borderId="8" xfId="0" applyNumberFormat="1" applyFont="1" applyBorder="1" applyAlignment="1">
      <alignment horizontal="right" vertical="center" wrapText="1" indent="2" readingOrder="1"/>
    </xf>
    <xf numFmtId="10" fontId="14" fillId="0" borderId="9" xfId="0" applyNumberFormat="1" applyFont="1" applyBorder="1" applyAlignment="1">
      <alignment horizontal="right" vertical="center" wrapText="1" indent="2" readingOrder="1"/>
    </xf>
    <xf numFmtId="10" fontId="15" fillId="0" borderId="10" xfId="0" quotePrefix="1" applyNumberFormat="1" applyFont="1" applyBorder="1" applyAlignment="1">
      <alignment horizontal="center" vertical="center" wrapText="1" readingOrder="1"/>
    </xf>
    <xf numFmtId="0" fontId="15" fillId="0" borderId="11" xfId="0" quotePrefix="1" applyFont="1" applyBorder="1" applyAlignment="1">
      <alignment horizontal="center" vertical="center" wrapText="1" readingOrder="1"/>
    </xf>
    <xf numFmtId="0" fontId="15" fillId="0" borderId="12" xfId="0" quotePrefix="1" applyFont="1" applyBorder="1" applyAlignment="1">
      <alignment horizontal="center" vertical="center" wrapText="1" readingOrder="1"/>
    </xf>
    <xf numFmtId="10" fontId="14" fillId="0" borderId="15" xfId="1" applyNumberFormat="1" applyFont="1" applyFill="1" applyBorder="1" applyAlignment="1">
      <alignment horizontal="right" vertical="center" wrapText="1" indent="2" readingOrder="1"/>
    </xf>
    <xf numFmtId="10" fontId="14" fillId="0" borderId="16" xfId="1" applyNumberFormat="1" applyFont="1" applyFill="1" applyBorder="1" applyAlignment="1">
      <alignment horizontal="right" vertical="center" wrapText="1" indent="2" readingOrder="1"/>
    </xf>
    <xf numFmtId="43" fontId="14" fillId="0" borderId="15" xfId="2" applyNumberFormat="1" applyFont="1" applyFill="1" applyBorder="1" applyAlignment="1">
      <alignment horizontal="right" vertical="center" wrapText="1" indent="2" readingOrder="1"/>
    </xf>
    <xf numFmtId="43" fontId="14" fillId="0" borderId="16" xfId="2" applyNumberFormat="1" applyFont="1" applyFill="1" applyBorder="1" applyAlignment="1">
      <alignment horizontal="right" vertical="center" wrapText="1" indent="2" readingOrder="1"/>
    </xf>
    <xf numFmtId="0" fontId="15" fillId="0" borderId="10" xfId="0" quotePrefix="1" applyFont="1" applyBorder="1" applyAlignment="1">
      <alignment horizontal="center" vertical="center" wrapText="1" readingOrder="1"/>
    </xf>
    <xf numFmtId="43" fontId="14" fillId="0" borderId="14" xfId="2" applyNumberFormat="1" applyFont="1" applyFill="1" applyBorder="1" applyAlignment="1">
      <alignment horizontal="right" vertical="center" wrapText="1" indent="2" readingOrder="1"/>
    </xf>
    <xf numFmtId="0" fontId="14" fillId="3" borderId="38" xfId="0" applyFont="1" applyFill="1" applyBorder="1" applyAlignment="1">
      <alignment horizontal="right" vertical="center" wrapText="1" indent="2" readingOrder="1"/>
    </xf>
    <xf numFmtId="0" fontId="14" fillId="3" borderId="39" xfId="0" applyFont="1" applyFill="1" applyBorder="1" applyAlignment="1">
      <alignment horizontal="right" vertical="center" wrapText="1" indent="2" readingOrder="1"/>
    </xf>
    <xf numFmtId="0" fontId="14" fillId="3" borderId="40" xfId="0" applyFont="1" applyFill="1" applyBorder="1" applyAlignment="1">
      <alignment horizontal="right" vertical="center" wrapText="1" indent="2" readingOrder="1"/>
    </xf>
    <xf numFmtId="0" fontId="14" fillId="3" borderId="38" xfId="0" applyFont="1" applyFill="1" applyBorder="1" applyAlignment="1">
      <alignment horizontal="center" vertical="center" wrapText="1" readingOrder="1"/>
    </xf>
    <xf numFmtId="0" fontId="14" fillId="3" borderId="39" xfId="0" applyFont="1" applyFill="1" applyBorder="1" applyAlignment="1">
      <alignment horizontal="center" vertical="center" wrapText="1" readingOrder="1"/>
    </xf>
    <xf numFmtId="0" fontId="14" fillId="3" borderId="40" xfId="0" applyFont="1" applyFill="1" applyBorder="1" applyAlignment="1">
      <alignment horizontal="center" vertical="center" wrapText="1" readingOrder="1"/>
    </xf>
    <xf numFmtId="10" fontId="14" fillId="3" borderId="35" xfId="0" applyNumberFormat="1" applyFont="1" applyFill="1" applyBorder="1" applyAlignment="1">
      <alignment horizontal="right" vertical="center" wrapText="1" indent="2" readingOrder="1"/>
    </xf>
    <xf numFmtId="10" fontId="14" fillId="3" borderId="36" xfId="0" applyNumberFormat="1" applyFont="1" applyFill="1" applyBorder="1" applyAlignment="1">
      <alignment horizontal="right" vertical="center" wrapText="1" indent="2" readingOrder="1"/>
    </xf>
    <xf numFmtId="10" fontId="14" fillId="3" borderId="37" xfId="0" applyNumberFormat="1" applyFont="1" applyFill="1" applyBorder="1" applyAlignment="1">
      <alignment horizontal="right" vertical="center" wrapText="1" indent="2" readingOrder="1"/>
    </xf>
    <xf numFmtId="0" fontId="15" fillId="3" borderId="17" xfId="0" quotePrefix="1" applyFont="1" applyFill="1" applyBorder="1" applyAlignment="1">
      <alignment horizontal="center" vertical="center" wrapText="1" readingOrder="1"/>
    </xf>
    <xf numFmtId="0" fontId="15" fillId="3" borderId="0" xfId="0" quotePrefix="1" applyFont="1" applyFill="1" applyAlignment="1">
      <alignment horizontal="center" vertical="center" wrapText="1" readingOrder="1"/>
    </xf>
    <xf numFmtId="0" fontId="15" fillId="3" borderId="18" xfId="0" quotePrefix="1" applyFont="1" applyFill="1" applyBorder="1" applyAlignment="1">
      <alignment horizontal="center" vertical="center" wrapText="1" readingOrder="1"/>
    </xf>
    <xf numFmtId="0" fontId="15" fillId="3" borderId="28" xfId="0" quotePrefix="1" applyFont="1" applyFill="1" applyBorder="1" applyAlignment="1">
      <alignment horizontal="center" vertical="center" wrapText="1" readingOrder="1"/>
    </xf>
    <xf numFmtId="0" fontId="15" fillId="3" borderId="29" xfId="0" quotePrefix="1" applyFont="1" applyFill="1" applyBorder="1" applyAlignment="1">
      <alignment horizontal="center" vertical="center" wrapText="1" readingOrder="1"/>
    </xf>
    <xf numFmtId="0" fontId="15" fillId="3" borderId="30" xfId="0" quotePrefix="1" applyFont="1" applyFill="1" applyBorder="1" applyAlignment="1">
      <alignment horizontal="center" vertical="center" wrapText="1" readingOrder="1"/>
    </xf>
    <xf numFmtId="10" fontId="14" fillId="3" borderId="14" xfId="1" applyNumberFormat="1" applyFont="1" applyFill="1" applyBorder="1" applyAlignment="1">
      <alignment horizontal="right" vertical="center" wrapText="1" indent="2" readingOrder="1"/>
    </xf>
    <xf numFmtId="10" fontId="14" fillId="3" borderId="15" xfId="1" applyNumberFormat="1" applyFont="1" applyFill="1" applyBorder="1" applyAlignment="1">
      <alignment horizontal="right" vertical="center" wrapText="1" indent="2" readingOrder="1"/>
    </xf>
    <xf numFmtId="10" fontId="14" fillId="3" borderId="16" xfId="1" applyNumberFormat="1" applyFont="1" applyFill="1" applyBorder="1" applyAlignment="1">
      <alignment horizontal="right" vertical="center" wrapText="1" indent="2" readingOrder="1"/>
    </xf>
    <xf numFmtId="10" fontId="14" fillId="3" borderId="14" xfId="2" applyNumberFormat="1" applyFont="1" applyFill="1" applyBorder="1" applyAlignment="1">
      <alignment horizontal="right" vertical="center" wrapText="1" indent="2" readingOrder="1"/>
    </xf>
    <xf numFmtId="10" fontId="14" fillId="3" borderId="15" xfId="2" applyNumberFormat="1" applyFont="1" applyFill="1" applyBorder="1" applyAlignment="1">
      <alignment horizontal="right" vertical="center" wrapText="1" indent="2" readingOrder="1"/>
    </xf>
    <xf numFmtId="10" fontId="14" fillId="3" borderId="16" xfId="2" applyNumberFormat="1" applyFont="1" applyFill="1" applyBorder="1" applyAlignment="1">
      <alignment horizontal="right" vertical="center" wrapText="1" indent="2" readingOrder="1"/>
    </xf>
    <xf numFmtId="20" fontId="14" fillId="3" borderId="31" xfId="0" applyNumberFormat="1" applyFont="1" applyFill="1" applyBorder="1" applyAlignment="1">
      <alignment horizontal="right" vertical="center" wrapText="1" indent="2" readingOrder="1"/>
    </xf>
    <xf numFmtId="20" fontId="14" fillId="3" borderId="32" xfId="0" applyNumberFormat="1" applyFont="1" applyFill="1" applyBorder="1" applyAlignment="1">
      <alignment horizontal="right" vertical="center" wrapText="1" indent="2" readingOrder="1"/>
    </xf>
    <xf numFmtId="20" fontId="14" fillId="3" borderId="33" xfId="0" applyNumberFormat="1" applyFont="1" applyFill="1" applyBorder="1" applyAlignment="1">
      <alignment horizontal="right" vertical="center" wrapText="1" indent="2" readingOrder="1"/>
    </xf>
    <xf numFmtId="43" fontId="14" fillId="3" borderId="15" xfId="1" applyFont="1" applyFill="1" applyBorder="1" applyAlignment="1">
      <alignment horizontal="right" vertical="center" wrapText="1" indent="2" readingOrder="1"/>
    </xf>
    <xf numFmtId="43" fontId="14" fillId="3" borderId="16" xfId="1" applyFont="1" applyFill="1" applyBorder="1" applyAlignment="1">
      <alignment horizontal="right" vertical="center" wrapText="1" indent="2" readingOrder="1"/>
    </xf>
    <xf numFmtId="0" fontId="14" fillId="0" borderId="41" xfId="0" applyFont="1" applyBorder="1" applyAlignment="1">
      <alignment horizontal="center" vertical="center" wrapText="1" readingOrder="1"/>
    </xf>
    <xf numFmtId="0" fontId="14" fillId="3" borderId="41" xfId="0" applyFont="1" applyFill="1" applyBorder="1" applyAlignment="1">
      <alignment horizontal="center" vertical="center" wrapText="1" readingOrder="1"/>
    </xf>
    <xf numFmtId="10" fontId="14" fillId="3" borderId="7" xfId="0" applyNumberFormat="1" applyFont="1" applyFill="1" applyBorder="1" applyAlignment="1">
      <alignment horizontal="right" vertical="center" wrapText="1" indent="2" readingOrder="1"/>
    </xf>
    <xf numFmtId="10" fontId="14" fillId="3" borderId="8" xfId="0" applyNumberFormat="1" applyFont="1" applyFill="1" applyBorder="1" applyAlignment="1">
      <alignment horizontal="right" vertical="center" wrapText="1" indent="2" readingOrder="1"/>
    </xf>
    <xf numFmtId="10" fontId="14" fillId="3" borderId="9" xfId="0" applyNumberFormat="1" applyFont="1" applyFill="1" applyBorder="1" applyAlignment="1">
      <alignment horizontal="right" vertical="center" wrapText="1" indent="2" readingOrder="1"/>
    </xf>
    <xf numFmtId="0" fontId="15" fillId="3" borderId="10" xfId="0" quotePrefix="1" applyFont="1" applyFill="1" applyBorder="1" applyAlignment="1">
      <alignment horizontal="center" vertical="center" wrapText="1" readingOrder="1"/>
    </xf>
    <xf numFmtId="0" fontId="15" fillId="3" borderId="11" xfId="0" quotePrefix="1" applyFont="1" applyFill="1" applyBorder="1" applyAlignment="1">
      <alignment horizontal="center" vertical="center" wrapText="1" readingOrder="1"/>
    </xf>
    <xf numFmtId="0" fontId="15" fillId="3" borderId="12" xfId="0" quotePrefix="1" applyFont="1" applyFill="1" applyBorder="1" applyAlignment="1">
      <alignment horizontal="center" vertical="center" wrapText="1" readingOrder="1"/>
    </xf>
    <xf numFmtId="0" fontId="14" fillId="4" borderId="38" xfId="0" applyFont="1" applyFill="1" applyBorder="1" applyAlignment="1">
      <alignment horizontal="right" vertical="center" wrapText="1" indent="2" readingOrder="1"/>
    </xf>
    <xf numFmtId="0" fontId="14" fillId="4" borderId="39" xfId="0" applyFont="1" applyFill="1" applyBorder="1" applyAlignment="1">
      <alignment horizontal="right" vertical="center" wrapText="1" indent="2" readingOrder="1"/>
    </xf>
    <xf numFmtId="0" fontId="14" fillId="4" borderId="40" xfId="0" applyFont="1" applyFill="1" applyBorder="1" applyAlignment="1">
      <alignment horizontal="right" vertical="center" wrapText="1" indent="2" readingOrder="1"/>
    </xf>
    <xf numFmtId="0" fontId="14" fillId="4" borderId="38" xfId="0" applyFont="1" applyFill="1" applyBorder="1" applyAlignment="1">
      <alignment horizontal="center" vertical="center" wrapText="1" readingOrder="1"/>
    </xf>
    <xf numFmtId="0" fontId="14" fillId="4" borderId="39" xfId="0" applyFont="1" applyFill="1" applyBorder="1" applyAlignment="1">
      <alignment horizontal="center" vertical="center" wrapText="1" readingOrder="1"/>
    </xf>
    <xf numFmtId="0" fontId="14" fillId="4" borderId="40" xfId="0" applyFont="1" applyFill="1" applyBorder="1" applyAlignment="1">
      <alignment horizontal="center" vertical="center" wrapText="1" readingOrder="1"/>
    </xf>
    <xf numFmtId="10" fontId="14" fillId="0" borderId="14" xfId="2" applyNumberFormat="1" applyFont="1" applyBorder="1" applyAlignment="1">
      <alignment horizontal="right" vertical="center" wrapText="1" indent="2" readingOrder="1"/>
    </xf>
    <xf numFmtId="10" fontId="14" fillId="0" borderId="15" xfId="2" applyNumberFormat="1" applyFont="1" applyBorder="1" applyAlignment="1">
      <alignment horizontal="right" vertical="center" wrapText="1" indent="2" readingOrder="1"/>
    </xf>
    <xf numFmtId="10" fontId="14" fillId="0" borderId="16" xfId="2" applyNumberFormat="1" applyFont="1" applyBorder="1" applyAlignment="1">
      <alignment horizontal="right" vertical="center" wrapText="1" indent="2" readingOrder="1"/>
    </xf>
    <xf numFmtId="0" fontId="14" fillId="7" borderId="38" xfId="0" applyFont="1" applyFill="1" applyBorder="1" applyAlignment="1">
      <alignment horizontal="right" vertical="center" wrapText="1" indent="2" readingOrder="1"/>
    </xf>
    <xf numFmtId="0" fontId="14" fillId="7" borderId="39" xfId="0" applyFont="1" applyFill="1" applyBorder="1" applyAlignment="1">
      <alignment horizontal="right" vertical="center" wrapText="1" indent="2" readingOrder="1"/>
    </xf>
    <xf numFmtId="0" fontId="14" fillId="7" borderId="40" xfId="0" applyFont="1" applyFill="1" applyBorder="1" applyAlignment="1">
      <alignment horizontal="right" vertical="center" wrapText="1" indent="2" readingOrder="1"/>
    </xf>
    <xf numFmtId="0" fontId="14" fillId="7" borderId="38" xfId="0" applyFont="1" applyFill="1" applyBorder="1" applyAlignment="1">
      <alignment horizontal="center" vertical="center" wrapText="1" readingOrder="1"/>
    </xf>
    <xf numFmtId="0" fontId="14" fillId="7" borderId="39" xfId="0" applyFont="1" applyFill="1" applyBorder="1" applyAlignment="1">
      <alignment horizontal="center" vertical="center" wrapText="1" readingOrder="1"/>
    </xf>
    <xf numFmtId="0" fontId="14" fillId="7" borderId="40" xfId="0" applyFont="1" applyFill="1" applyBorder="1" applyAlignment="1">
      <alignment horizontal="center" vertical="center" wrapText="1" readingOrder="1"/>
    </xf>
    <xf numFmtId="10" fontId="14" fillId="0" borderId="14" xfId="1" applyNumberFormat="1" applyFont="1" applyBorder="1" applyAlignment="1">
      <alignment horizontal="right" vertical="center" wrapText="1" indent="2" readingOrder="1"/>
    </xf>
    <xf numFmtId="43" fontId="14" fillId="0" borderId="15" xfId="1" applyFont="1" applyBorder="1" applyAlignment="1">
      <alignment horizontal="right" vertical="center" wrapText="1" indent="2" readingOrder="1"/>
    </xf>
    <xf numFmtId="43" fontId="14" fillId="0" borderId="16" xfId="1" applyFont="1" applyBorder="1" applyAlignment="1">
      <alignment horizontal="right" vertical="center" wrapText="1" indent="2" readingOrder="1"/>
    </xf>
    <xf numFmtId="43" fontId="14" fillId="0" borderId="14" xfId="1" applyFont="1" applyBorder="1" applyAlignment="1">
      <alignment horizontal="right" vertical="center" wrapText="1" indent="2" readingOrder="1"/>
    </xf>
    <xf numFmtId="43" fontId="14" fillId="0" borderId="14" xfId="2" applyNumberFormat="1" applyFont="1" applyBorder="1" applyAlignment="1">
      <alignment horizontal="right" vertical="center" wrapText="1" indent="2" readingOrder="1"/>
    </xf>
    <xf numFmtId="165" fontId="14" fillId="0" borderId="14" xfId="2" applyNumberFormat="1" applyFont="1" applyBorder="1" applyAlignment="1">
      <alignment horizontal="right" vertical="center" wrapText="1" indent="2" readingOrder="1"/>
    </xf>
    <xf numFmtId="165" fontId="14" fillId="0" borderId="15" xfId="2" applyNumberFormat="1" applyFont="1" applyBorder="1" applyAlignment="1">
      <alignment horizontal="right" vertical="center" wrapText="1" indent="2" readingOrder="1"/>
    </xf>
    <xf numFmtId="165" fontId="14" fillId="0" borderId="16" xfId="2" applyNumberFormat="1" applyFont="1" applyBorder="1" applyAlignment="1">
      <alignment horizontal="right" vertical="center" wrapText="1" indent="2" readingOrder="1"/>
    </xf>
    <xf numFmtId="43" fontId="14" fillId="0" borderId="31" xfId="1" applyFont="1" applyFill="1" applyBorder="1" applyAlignment="1">
      <alignment horizontal="right" vertical="center" wrapText="1" indent="2" readingOrder="1"/>
    </xf>
    <xf numFmtId="43" fontId="14" fillId="0" borderId="32" xfId="1" applyFont="1" applyFill="1" applyBorder="1" applyAlignment="1">
      <alignment horizontal="right" vertical="center" wrapText="1" indent="2" readingOrder="1"/>
    </xf>
    <xf numFmtId="43" fontId="14" fillId="0" borderId="33" xfId="1" applyFont="1" applyFill="1" applyBorder="1" applyAlignment="1">
      <alignment horizontal="right" vertical="center" wrapText="1" indent="2" readingOrder="1"/>
    </xf>
    <xf numFmtId="168" fontId="14" fillId="0" borderId="31" xfId="2" applyNumberFormat="1" applyFont="1" applyFill="1" applyBorder="1" applyAlignment="1">
      <alignment horizontal="right" vertical="center" wrapText="1" indent="2" readingOrder="1"/>
    </xf>
    <xf numFmtId="168" fontId="14" fillId="0" borderId="32" xfId="2" applyNumberFormat="1" applyFont="1" applyFill="1" applyBorder="1" applyAlignment="1">
      <alignment horizontal="right" vertical="center" wrapText="1" indent="2" readingOrder="1"/>
    </xf>
    <xf numFmtId="168" fontId="14" fillId="0" borderId="33" xfId="2" applyNumberFormat="1" applyFont="1" applyFill="1" applyBorder="1" applyAlignment="1">
      <alignment horizontal="right" vertical="center" wrapText="1" indent="2" readingOrder="1"/>
    </xf>
    <xf numFmtId="0" fontId="14" fillId="4" borderId="41" xfId="0" applyFont="1" applyFill="1" applyBorder="1" applyAlignment="1">
      <alignment horizontal="center" vertical="center" wrapText="1" readingOrder="1"/>
    </xf>
    <xf numFmtId="10" fontId="14" fillId="0" borderId="31" xfId="2" applyNumberFormat="1" applyFont="1" applyBorder="1" applyAlignment="1">
      <alignment horizontal="right" vertical="center" wrapText="1" indent="2" readingOrder="1"/>
    </xf>
    <xf numFmtId="10" fontId="14" fillId="0" borderId="32" xfId="2" applyNumberFormat="1" applyFont="1" applyBorder="1" applyAlignment="1">
      <alignment horizontal="right" vertical="center" wrapText="1" indent="2" readingOrder="1"/>
    </xf>
    <xf numFmtId="10" fontId="14" fillId="0" borderId="33" xfId="2" applyNumberFormat="1" applyFont="1" applyBorder="1" applyAlignment="1">
      <alignment horizontal="right" vertical="center" wrapText="1" indent="2" readingOrder="1"/>
    </xf>
    <xf numFmtId="20" fontId="14" fillId="0" borderId="38" xfId="0" applyNumberFormat="1" applyFont="1" applyBorder="1" applyAlignment="1">
      <alignment horizontal="right" vertical="center" wrapText="1" indent="2" readingOrder="1"/>
    </xf>
    <xf numFmtId="20" fontId="14" fillId="0" borderId="39" xfId="0" applyNumberFormat="1" applyFont="1" applyBorder="1" applyAlignment="1">
      <alignment horizontal="right" vertical="center" wrapText="1" indent="2" readingOrder="1"/>
    </xf>
    <xf numFmtId="20" fontId="14" fillId="0" borderId="40" xfId="0" applyNumberFormat="1" applyFont="1" applyBorder="1" applyAlignment="1">
      <alignment horizontal="right" vertical="center" wrapText="1" indent="2" readingOrder="1"/>
    </xf>
    <xf numFmtId="168" fontId="14" fillId="0" borderId="14" xfId="2" applyNumberFormat="1" applyFont="1" applyFill="1" applyBorder="1" applyAlignment="1">
      <alignment horizontal="right" vertical="center" wrapText="1" indent="2" readingOrder="1"/>
    </xf>
    <xf numFmtId="168" fontId="14" fillId="0" borderId="15" xfId="2" applyNumberFormat="1" applyFont="1" applyFill="1" applyBorder="1" applyAlignment="1">
      <alignment horizontal="right" vertical="center" wrapText="1" indent="2" readingOrder="1"/>
    </xf>
    <xf numFmtId="168" fontId="14" fillId="0" borderId="16" xfId="2" applyNumberFormat="1" applyFont="1" applyFill="1" applyBorder="1" applyAlignment="1">
      <alignment horizontal="right" vertical="center" wrapText="1" indent="2" readingOrder="1"/>
    </xf>
    <xf numFmtId="168" fontId="14" fillId="0" borderId="14" xfId="2" applyNumberFormat="1" applyFont="1" applyBorder="1" applyAlignment="1">
      <alignment horizontal="right" vertical="center" wrapText="1" indent="2" readingOrder="1"/>
    </xf>
    <xf numFmtId="168" fontId="14" fillId="0" borderId="15" xfId="2" applyNumberFormat="1" applyFont="1" applyBorder="1" applyAlignment="1">
      <alignment horizontal="right" vertical="center" wrapText="1" indent="2" readingOrder="1"/>
    </xf>
    <xf numFmtId="168" fontId="14" fillId="0" borderId="16" xfId="2" applyNumberFormat="1" applyFont="1" applyBorder="1" applyAlignment="1">
      <alignment horizontal="right" vertical="center" wrapText="1" indent="2" readingOrder="1"/>
    </xf>
    <xf numFmtId="168" fontId="14" fillId="0" borderId="31" xfId="2" applyNumberFormat="1" applyFont="1" applyBorder="1" applyAlignment="1">
      <alignment horizontal="right" vertical="center" wrapText="1" indent="2" readingOrder="1"/>
    </xf>
    <xf numFmtId="168" fontId="14" fillId="0" borderId="32" xfId="2" applyNumberFormat="1" applyFont="1" applyBorder="1" applyAlignment="1">
      <alignment horizontal="right" vertical="center" wrapText="1" indent="2" readingOrder="1"/>
    </xf>
    <xf numFmtId="168" fontId="14" fillId="0" borderId="33" xfId="2"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indent="2" readingOrder="1"/>
    </xf>
    <xf numFmtId="0" fontId="30" fillId="4" borderId="39" xfId="0" applyFont="1" applyFill="1" applyBorder="1" applyAlignment="1">
      <alignment horizontal="right" vertical="center" wrapText="1" indent="2" readingOrder="1"/>
    </xf>
    <xf numFmtId="0" fontId="30" fillId="4" borderId="40" xfId="0" applyFont="1" applyFill="1" applyBorder="1" applyAlignment="1">
      <alignment horizontal="right" vertical="center" wrapText="1" indent="2" readingOrder="1"/>
    </xf>
    <xf numFmtId="10" fontId="30" fillId="0" borderId="35" xfId="0" applyNumberFormat="1" applyFont="1" applyBorder="1" applyAlignment="1">
      <alignment horizontal="right" vertical="center" wrapText="1" indent="2" readingOrder="1"/>
    </xf>
    <xf numFmtId="10" fontId="30" fillId="0" borderId="36" xfId="0" applyNumberFormat="1" applyFont="1" applyBorder="1" applyAlignment="1">
      <alignment horizontal="right" vertical="center" wrapText="1" indent="2" readingOrder="1"/>
    </xf>
    <xf numFmtId="10" fontId="30" fillId="0" borderId="37" xfId="0" applyNumberFormat="1" applyFont="1" applyBorder="1" applyAlignment="1">
      <alignment horizontal="right" vertical="center" wrapText="1" indent="2" readingOrder="1"/>
    </xf>
    <xf numFmtId="10" fontId="30" fillId="0" borderId="14" xfId="1" applyNumberFormat="1" applyFont="1" applyBorder="1" applyAlignment="1">
      <alignment horizontal="right" vertical="center" wrapText="1" indent="2" readingOrder="1"/>
    </xf>
    <xf numFmtId="43" fontId="30" fillId="0" borderId="15" xfId="1" applyFont="1" applyBorder="1" applyAlignment="1">
      <alignment horizontal="right" vertical="center" wrapText="1" indent="2" readingOrder="1"/>
    </xf>
    <xf numFmtId="43" fontId="30" fillId="0" borderId="16" xfId="1" applyFont="1" applyBorder="1" applyAlignment="1">
      <alignment horizontal="right" vertical="center" wrapText="1" indent="2" readingOrder="1"/>
    </xf>
    <xf numFmtId="10" fontId="30" fillId="0" borderId="14" xfId="2" applyNumberFormat="1" applyFont="1" applyBorder="1" applyAlignment="1">
      <alignment horizontal="right" vertical="center" wrapText="1" indent="2" readingOrder="1"/>
    </xf>
    <xf numFmtId="10" fontId="30" fillId="0" borderId="15" xfId="2" applyNumberFormat="1" applyFont="1" applyBorder="1" applyAlignment="1">
      <alignment horizontal="right" vertical="center" wrapText="1" indent="2" readingOrder="1"/>
    </xf>
    <xf numFmtId="10" fontId="30" fillId="0" borderId="16" xfId="2" applyNumberFormat="1" applyFont="1" applyBorder="1" applyAlignment="1">
      <alignment horizontal="right" vertical="center" wrapText="1" indent="2" readingOrder="1"/>
    </xf>
    <xf numFmtId="20" fontId="30" fillId="0" borderId="31" xfId="0" applyNumberFormat="1" applyFont="1" applyBorder="1" applyAlignment="1">
      <alignment horizontal="right" vertical="center" wrapText="1" indent="2" readingOrder="1"/>
    </xf>
    <xf numFmtId="20" fontId="30" fillId="0" borderId="32" xfId="0" applyNumberFormat="1" applyFont="1" applyBorder="1" applyAlignment="1">
      <alignment horizontal="right" vertical="center" wrapText="1" indent="2" readingOrder="1"/>
    </xf>
    <xf numFmtId="20" fontId="30" fillId="0" borderId="33" xfId="0" applyNumberFormat="1" applyFont="1" applyBorder="1" applyAlignment="1">
      <alignment horizontal="right" vertical="center" wrapText="1" indent="2" readingOrder="1"/>
    </xf>
    <xf numFmtId="43" fontId="30" fillId="0" borderId="14" xfId="1" applyFont="1" applyBorder="1" applyAlignment="1">
      <alignment horizontal="right" vertical="center" wrapText="1" indent="2" readingOrder="1"/>
    </xf>
    <xf numFmtId="168" fontId="30" fillId="0" borderId="14" xfId="2" applyNumberFormat="1" applyFont="1" applyBorder="1" applyAlignment="1">
      <alignment horizontal="right" vertical="center" wrapText="1" indent="2" readingOrder="1"/>
    </xf>
    <xf numFmtId="168" fontId="30" fillId="0" borderId="15" xfId="2" applyNumberFormat="1" applyFont="1" applyBorder="1" applyAlignment="1">
      <alignment horizontal="right" vertical="center" wrapText="1" indent="2" readingOrder="1"/>
    </xf>
    <xf numFmtId="168" fontId="30" fillId="0" borderId="16" xfId="2" applyNumberFormat="1" applyFont="1" applyBorder="1" applyAlignment="1">
      <alignment horizontal="right" vertical="center" wrapText="1" indent="2" readingOrder="1"/>
    </xf>
    <xf numFmtId="0" fontId="30" fillId="4" borderId="38" xfId="0" applyFont="1" applyFill="1" applyBorder="1" applyAlignment="1">
      <alignment horizontal="center" vertical="center" wrapText="1" readingOrder="1"/>
    </xf>
    <xf numFmtId="0" fontId="30" fillId="4" borderId="39" xfId="0" applyFont="1" applyFill="1" applyBorder="1" applyAlignment="1">
      <alignment horizontal="center" vertical="center" wrapText="1" readingOrder="1"/>
    </xf>
    <xf numFmtId="0" fontId="30" fillId="4" borderId="40" xfId="0" applyFont="1" applyFill="1" applyBorder="1" applyAlignment="1">
      <alignment horizontal="center" vertical="center" wrapText="1" readingOrder="1"/>
    </xf>
    <xf numFmtId="43" fontId="30" fillId="0" borderId="14" xfId="2" applyNumberFormat="1" applyFont="1" applyBorder="1" applyAlignment="1">
      <alignment horizontal="right" vertical="center" wrapText="1" indent="2" readingOrder="1"/>
    </xf>
    <xf numFmtId="165" fontId="30" fillId="0" borderId="14" xfId="2" applyNumberFormat="1" applyFont="1" applyBorder="1" applyAlignment="1">
      <alignment horizontal="right" vertical="center" wrapText="1" indent="2" readingOrder="1"/>
    </xf>
    <xf numFmtId="165" fontId="30" fillId="0" borderId="15" xfId="2" applyNumberFormat="1" applyFont="1" applyBorder="1" applyAlignment="1">
      <alignment horizontal="right" vertical="center" wrapText="1" indent="2" readingOrder="1"/>
    </xf>
    <xf numFmtId="165" fontId="30" fillId="0" borderId="16" xfId="2" applyNumberFormat="1" applyFont="1" applyBorder="1" applyAlignment="1">
      <alignment horizontal="right" vertical="center" wrapText="1" indent="2" readingOrder="1"/>
    </xf>
    <xf numFmtId="0" fontId="45" fillId="4" borderId="41" xfId="0" applyFont="1" applyFill="1" applyBorder="1" applyAlignment="1">
      <alignment horizontal="center" vertical="center" wrapText="1" readingOrder="1"/>
    </xf>
    <xf numFmtId="0" fontId="45" fillId="4" borderId="39" xfId="0" applyFont="1" applyFill="1" applyBorder="1" applyAlignment="1">
      <alignment horizontal="center" vertical="center" wrapText="1" readingOrder="1"/>
    </xf>
    <xf numFmtId="0" fontId="45" fillId="4" borderId="40" xfId="0" applyFont="1" applyFill="1" applyBorder="1" applyAlignment="1">
      <alignment horizontal="center" vertical="center" wrapText="1" readingOrder="1"/>
    </xf>
    <xf numFmtId="0" fontId="45" fillId="4" borderId="38" xfId="0" applyFont="1" applyFill="1" applyBorder="1" applyAlignment="1">
      <alignment horizontal="center" vertical="center" wrapText="1" readingOrder="1"/>
    </xf>
    <xf numFmtId="10" fontId="30" fillId="0" borderId="7" xfId="0" applyNumberFormat="1" applyFont="1" applyBorder="1" applyAlignment="1">
      <alignment horizontal="right" vertical="center" wrapText="1" indent="2" readingOrder="1"/>
    </xf>
    <xf numFmtId="10" fontId="30" fillId="0" borderId="8" xfId="0" applyNumberFormat="1" applyFont="1" applyBorder="1" applyAlignment="1">
      <alignment horizontal="right" vertical="center" wrapText="1" indent="2" readingOrder="1"/>
    </xf>
    <xf numFmtId="10" fontId="30" fillId="0" borderId="9" xfId="0" applyNumberFormat="1" applyFont="1" applyBorder="1" applyAlignment="1">
      <alignment horizontal="right" vertical="center" wrapText="1" indent="2" readingOrder="1"/>
    </xf>
    <xf numFmtId="0" fontId="47" fillId="0" borderId="17" xfId="0" quotePrefix="1" applyFont="1" applyBorder="1" applyAlignment="1">
      <alignment horizontal="center" vertical="center" wrapText="1" readingOrder="1"/>
    </xf>
    <xf numFmtId="0" fontId="47" fillId="0" borderId="0" xfId="0" quotePrefix="1" applyFont="1" applyAlignment="1">
      <alignment horizontal="center" vertical="center" wrapText="1" readingOrder="1"/>
    </xf>
    <xf numFmtId="0" fontId="47" fillId="0" borderId="18" xfId="0" quotePrefix="1" applyFont="1" applyBorder="1" applyAlignment="1">
      <alignment horizontal="center" vertical="center" wrapText="1" readingOrder="1"/>
    </xf>
    <xf numFmtId="0" fontId="47" fillId="0" borderId="28" xfId="0" quotePrefix="1" applyFont="1" applyBorder="1" applyAlignment="1">
      <alignment horizontal="center" vertical="center" wrapText="1" readingOrder="1"/>
    </xf>
    <xf numFmtId="0" fontId="47" fillId="0" borderId="29" xfId="0" quotePrefix="1" applyFont="1" applyBorder="1" applyAlignment="1">
      <alignment horizontal="center" vertical="center" wrapText="1" readingOrder="1"/>
    </xf>
    <xf numFmtId="0" fontId="47" fillId="0" borderId="30" xfId="0" quotePrefix="1" applyFont="1" applyBorder="1" applyAlignment="1">
      <alignment horizontal="center" vertical="center" wrapText="1" readingOrder="1"/>
    </xf>
    <xf numFmtId="167" fontId="30" fillId="0" borderId="14" xfId="1" applyNumberFormat="1" applyFont="1" applyBorder="1" applyAlignment="1">
      <alignment horizontal="right" vertical="center" wrapText="1" indent="2" readingOrder="1"/>
    </xf>
    <xf numFmtId="167" fontId="30" fillId="0" borderId="15" xfId="1" applyNumberFormat="1" applyFont="1" applyBorder="1" applyAlignment="1">
      <alignment horizontal="right" vertical="center" wrapText="1" indent="2" readingOrder="1"/>
    </xf>
    <xf numFmtId="167" fontId="30" fillId="0" borderId="16" xfId="1" applyNumberFormat="1" applyFont="1" applyBorder="1" applyAlignment="1">
      <alignment horizontal="right" vertical="center" wrapText="1" indent="2" readingOrder="1"/>
    </xf>
    <xf numFmtId="20" fontId="37" fillId="0" borderId="31" xfId="0" applyNumberFormat="1" applyFont="1" applyBorder="1" applyAlignment="1">
      <alignment horizontal="right" vertical="center" wrapText="1" indent="2" readingOrder="1"/>
    </xf>
    <xf numFmtId="20" fontId="37" fillId="0" borderId="32" xfId="0" applyNumberFormat="1" applyFont="1" applyBorder="1" applyAlignment="1">
      <alignment horizontal="right" vertical="center" wrapText="1" indent="2" readingOrder="1"/>
    </xf>
    <xf numFmtId="20" fontId="37" fillId="0" borderId="33" xfId="0" applyNumberFormat="1" applyFont="1" applyBorder="1" applyAlignment="1">
      <alignment horizontal="right" vertical="center" wrapText="1" indent="2" readingOrder="1"/>
    </xf>
    <xf numFmtId="0" fontId="30" fillId="4" borderId="38" xfId="0" applyFont="1" applyFill="1" applyBorder="1" applyAlignment="1">
      <alignment horizontal="right" vertical="center" wrapText="1" readingOrder="1"/>
    </xf>
    <xf numFmtId="0" fontId="30" fillId="4" borderId="39" xfId="0" applyFont="1" applyFill="1" applyBorder="1" applyAlignment="1">
      <alignment horizontal="right" vertical="center" wrapText="1" readingOrder="1"/>
    </xf>
    <xf numFmtId="0" fontId="30" fillId="4" borderId="40" xfId="0" applyFont="1" applyFill="1" applyBorder="1" applyAlignment="1">
      <alignment horizontal="right" vertical="center" wrapText="1" readingOrder="1"/>
    </xf>
    <xf numFmtId="10" fontId="30" fillId="0" borderId="35" xfId="0" applyNumberFormat="1" applyFont="1" applyBorder="1" applyAlignment="1">
      <alignment horizontal="right" vertical="center" wrapText="1" readingOrder="1"/>
    </xf>
    <xf numFmtId="10" fontId="30" fillId="0" borderId="36" xfId="0" applyNumberFormat="1" applyFont="1" applyBorder="1" applyAlignment="1">
      <alignment horizontal="right" vertical="center" wrapText="1" readingOrder="1"/>
    </xf>
    <xf numFmtId="10" fontId="30" fillId="0" borderId="37" xfId="0" applyNumberFormat="1" applyFont="1" applyBorder="1" applyAlignment="1">
      <alignment horizontal="right" vertical="center" wrapText="1" readingOrder="1"/>
    </xf>
    <xf numFmtId="43" fontId="30" fillId="0" borderId="14" xfId="1" applyFont="1" applyBorder="1" applyAlignment="1">
      <alignment horizontal="right" vertical="center" wrapText="1" readingOrder="1"/>
    </xf>
    <xf numFmtId="43" fontId="30" fillId="0" borderId="15" xfId="1" applyFont="1" applyBorder="1" applyAlignment="1">
      <alignment horizontal="right" vertical="center" wrapText="1" readingOrder="1"/>
    </xf>
    <xf numFmtId="43" fontId="30" fillId="0" borderId="16" xfId="1" applyFont="1" applyBorder="1" applyAlignment="1">
      <alignment horizontal="right" vertical="center" wrapText="1" readingOrder="1"/>
    </xf>
    <xf numFmtId="20" fontId="30" fillId="3" borderId="31" xfId="0" applyNumberFormat="1" applyFont="1" applyFill="1" applyBorder="1" applyAlignment="1">
      <alignment horizontal="right" vertical="center" wrapText="1" readingOrder="1"/>
    </xf>
    <xf numFmtId="20" fontId="30" fillId="3" borderId="32" xfId="0" applyNumberFormat="1" applyFont="1" applyFill="1" applyBorder="1" applyAlignment="1">
      <alignment horizontal="right" vertical="center" wrapText="1" readingOrder="1"/>
    </xf>
    <xf numFmtId="20" fontId="30" fillId="3" borderId="33" xfId="0" applyNumberFormat="1" applyFont="1" applyFill="1" applyBorder="1" applyAlignment="1">
      <alignment horizontal="right" vertical="center" wrapText="1" readingOrder="1"/>
    </xf>
    <xf numFmtId="10" fontId="30" fillId="0" borderId="14" xfId="1" applyNumberFormat="1" applyFont="1" applyBorder="1" applyAlignment="1">
      <alignment horizontal="right" vertical="center" wrapText="1" readingOrder="1"/>
    </xf>
    <xf numFmtId="20" fontId="30" fillId="0" borderId="31" xfId="0" applyNumberFormat="1" applyFont="1" applyBorder="1" applyAlignment="1">
      <alignment horizontal="right" vertical="center" wrapText="1" readingOrder="1"/>
    </xf>
    <xf numFmtId="20" fontId="30" fillId="0" borderId="32" xfId="0" applyNumberFormat="1" applyFont="1" applyBorder="1" applyAlignment="1">
      <alignment horizontal="right" vertical="center" wrapText="1" readingOrder="1"/>
    </xf>
    <xf numFmtId="20" fontId="30" fillId="0" borderId="33" xfId="0" applyNumberFormat="1" applyFont="1" applyBorder="1" applyAlignment="1">
      <alignment horizontal="right" vertical="center" wrapText="1" readingOrder="1"/>
    </xf>
    <xf numFmtId="10" fontId="30" fillId="0" borderId="14" xfId="2" applyNumberFormat="1" applyFont="1" applyBorder="1" applyAlignment="1">
      <alignment horizontal="right" vertical="center" wrapText="1" readingOrder="1"/>
    </xf>
    <xf numFmtId="10" fontId="30" fillId="0" borderId="15" xfId="2" applyNumberFormat="1" applyFont="1" applyBorder="1" applyAlignment="1">
      <alignment horizontal="right" vertical="center" wrapText="1" readingOrder="1"/>
    </xf>
    <xf numFmtId="10" fontId="30" fillId="0" borderId="16" xfId="2" applyNumberFormat="1" applyFont="1" applyBorder="1" applyAlignment="1">
      <alignment horizontal="right" vertical="center" wrapText="1" readingOrder="1"/>
    </xf>
    <xf numFmtId="165" fontId="30" fillId="0" borderId="14" xfId="2" applyNumberFormat="1" applyFont="1" applyBorder="1" applyAlignment="1">
      <alignment horizontal="right" vertical="center" wrapText="1" readingOrder="1"/>
    </xf>
    <xf numFmtId="165" fontId="30" fillId="0" borderId="15" xfId="2" applyNumberFormat="1" applyFont="1" applyBorder="1" applyAlignment="1">
      <alignment horizontal="right" vertical="center" wrapText="1" readingOrder="1"/>
    </xf>
    <xf numFmtId="165" fontId="30" fillId="0" borderId="16" xfId="2" applyNumberFormat="1" applyFont="1" applyBorder="1" applyAlignment="1">
      <alignment horizontal="right" vertical="center" wrapText="1" readingOrder="1"/>
    </xf>
    <xf numFmtId="167" fontId="30" fillId="0" borderId="14" xfId="1" applyNumberFormat="1" applyFont="1" applyBorder="1" applyAlignment="1">
      <alignment horizontal="right" vertical="center" wrapText="1" readingOrder="1"/>
    </xf>
    <xf numFmtId="167" fontId="30" fillId="0" borderId="15" xfId="1" applyNumberFormat="1" applyFont="1" applyBorder="1" applyAlignment="1">
      <alignment horizontal="right" vertical="center" wrapText="1" readingOrder="1"/>
    </xf>
    <xf numFmtId="167" fontId="30" fillId="0" borderId="16" xfId="1" applyNumberFormat="1" applyFont="1" applyBorder="1" applyAlignment="1">
      <alignment horizontal="right" vertical="center" wrapText="1" readingOrder="1"/>
    </xf>
    <xf numFmtId="0" fontId="30" fillId="0" borderId="38" xfId="0" applyFont="1" applyBorder="1" applyAlignment="1">
      <alignment horizontal="right" vertical="center" wrapText="1" readingOrder="1"/>
    </xf>
    <xf numFmtId="0" fontId="30" fillId="0" borderId="39" xfId="0" applyFont="1" applyBorder="1" applyAlignment="1">
      <alignment horizontal="right" vertical="center" wrapText="1" readingOrder="1"/>
    </xf>
    <xf numFmtId="0" fontId="30" fillId="0" borderId="40" xfId="0" applyFont="1" applyBorder="1" applyAlignment="1">
      <alignment horizontal="right" vertical="center" wrapText="1" readingOrder="1"/>
    </xf>
    <xf numFmtId="168" fontId="30" fillId="0" borderId="14" xfId="2" applyNumberFormat="1" applyFont="1" applyFill="1" applyBorder="1" applyAlignment="1">
      <alignment horizontal="right" vertical="center" wrapText="1" readingOrder="1"/>
    </xf>
    <xf numFmtId="168" fontId="30" fillId="0" borderId="15" xfId="2" applyNumberFormat="1" applyFont="1" applyFill="1" applyBorder="1" applyAlignment="1">
      <alignment horizontal="right" vertical="center" wrapText="1" readingOrder="1"/>
    </xf>
    <xf numFmtId="168" fontId="30" fillId="0" borderId="16" xfId="2" applyNumberFormat="1" applyFont="1" applyFill="1" applyBorder="1" applyAlignment="1">
      <alignment horizontal="right" vertical="center" wrapText="1" readingOrder="1"/>
    </xf>
    <xf numFmtId="168" fontId="30" fillId="0" borderId="14" xfId="2" applyNumberFormat="1" applyFont="1" applyBorder="1" applyAlignment="1">
      <alignment horizontal="right" vertical="center" wrapText="1" readingOrder="1"/>
    </xf>
    <xf numFmtId="168" fontId="30" fillId="0" borderId="15" xfId="2" applyNumberFormat="1" applyFont="1" applyBorder="1" applyAlignment="1">
      <alignment horizontal="right" vertical="center" wrapText="1" readingOrder="1"/>
    </xf>
    <xf numFmtId="168" fontId="30" fillId="0" borderId="16" xfId="2" applyNumberFormat="1" applyFont="1" applyBorder="1" applyAlignment="1">
      <alignment horizontal="right" vertical="center" wrapText="1" readingOrder="1"/>
    </xf>
    <xf numFmtId="10" fontId="30" fillId="0" borderId="7" xfId="0" applyNumberFormat="1" applyFont="1" applyBorder="1" applyAlignment="1">
      <alignment horizontal="right" vertical="center" wrapText="1" readingOrder="1"/>
    </xf>
    <xf numFmtId="10" fontId="30" fillId="0" borderId="8" xfId="0" applyNumberFormat="1" applyFont="1" applyBorder="1" applyAlignment="1">
      <alignment horizontal="right" vertical="center" wrapText="1" readingOrder="1"/>
    </xf>
    <xf numFmtId="10" fontId="30" fillId="0" borderId="9" xfId="0" applyNumberFormat="1" applyFont="1" applyBorder="1" applyAlignment="1">
      <alignment horizontal="right" vertical="center" wrapText="1" readingOrder="1"/>
    </xf>
    <xf numFmtId="0" fontId="30" fillId="4" borderId="7" xfId="0" applyFont="1" applyFill="1" applyBorder="1" applyAlignment="1">
      <alignment horizontal="right" vertical="center" wrapText="1" readingOrder="1"/>
    </xf>
    <xf numFmtId="0" fontId="30" fillId="4" borderId="8" xfId="0" applyFont="1" applyFill="1" applyBorder="1" applyAlignment="1">
      <alignment horizontal="right" vertical="center" wrapText="1" readingOrder="1"/>
    </xf>
    <xf numFmtId="0" fontId="30" fillId="4" borderId="9" xfId="0" applyFont="1" applyFill="1" applyBorder="1" applyAlignment="1">
      <alignment horizontal="right" vertical="center" wrapText="1" readingOrder="1"/>
    </xf>
    <xf numFmtId="10" fontId="30" fillId="0" borderId="14" xfId="0" applyNumberFormat="1" applyFont="1" applyBorder="1" applyAlignment="1">
      <alignment horizontal="right" vertical="center" wrapText="1" readingOrder="1"/>
    </xf>
    <xf numFmtId="10" fontId="30" fillId="0" borderId="15" xfId="0" applyNumberFormat="1" applyFont="1" applyBorder="1" applyAlignment="1">
      <alignment horizontal="right" vertical="center" wrapText="1" readingOrder="1"/>
    </xf>
    <xf numFmtId="10" fontId="30" fillId="0" borderId="16" xfId="0" applyNumberFormat="1" applyFont="1" applyBorder="1" applyAlignment="1">
      <alignment horizontal="right" vertical="center" wrapText="1" readingOrder="1"/>
    </xf>
    <xf numFmtId="168" fontId="30" fillId="0" borderId="14" xfId="1" applyNumberFormat="1" applyFont="1" applyBorder="1" applyAlignment="1">
      <alignment horizontal="right" vertical="center" wrapText="1" readingOrder="1"/>
    </xf>
    <xf numFmtId="168" fontId="30" fillId="0" borderId="15" xfId="1" applyNumberFormat="1" applyFont="1" applyBorder="1" applyAlignment="1">
      <alignment horizontal="right" vertical="center" wrapText="1" readingOrder="1"/>
    </xf>
    <xf numFmtId="168" fontId="30" fillId="0" borderId="16" xfId="1" applyNumberFormat="1" applyFont="1" applyBorder="1" applyAlignment="1">
      <alignment horizontal="right" vertical="center" wrapText="1" readingOrder="1"/>
    </xf>
    <xf numFmtId="20" fontId="39" fillId="0" borderId="31" xfId="0" applyNumberFormat="1" applyFont="1" applyBorder="1" applyAlignment="1">
      <alignment horizontal="right" vertical="center" wrapText="1" indent="2" readingOrder="1"/>
    </xf>
    <xf numFmtId="20" fontId="39" fillId="0" borderId="32" xfId="0" applyNumberFormat="1" applyFont="1" applyBorder="1" applyAlignment="1">
      <alignment horizontal="right" vertical="center" wrapText="1" indent="2" readingOrder="1"/>
    </xf>
    <xf numFmtId="20" fontId="39" fillId="0" borderId="33" xfId="0" applyNumberFormat="1" applyFont="1" applyBorder="1" applyAlignment="1">
      <alignment horizontal="right" vertical="center" wrapText="1" indent="2" readingOrder="1"/>
    </xf>
    <xf numFmtId="0" fontId="30" fillId="4" borderId="58" xfId="0" applyFont="1" applyFill="1" applyBorder="1" applyAlignment="1">
      <alignment horizontal="right" vertical="center" wrapText="1" indent="2" readingOrder="1"/>
    </xf>
    <xf numFmtId="0" fontId="30" fillId="4" borderId="59" xfId="0" applyFont="1" applyFill="1" applyBorder="1" applyAlignment="1">
      <alignment horizontal="right" vertical="center" wrapText="1" indent="2" readingOrder="1"/>
    </xf>
    <xf numFmtId="0" fontId="30" fillId="4" borderId="60" xfId="0" applyFont="1" applyFill="1" applyBorder="1" applyAlignment="1">
      <alignment horizontal="right" vertical="center" wrapText="1" indent="2" readingOrder="1"/>
    </xf>
    <xf numFmtId="0" fontId="14" fillId="4" borderId="90" xfId="0" applyFont="1" applyFill="1" applyBorder="1" applyAlignment="1">
      <alignment horizontal="center" vertical="center" wrapText="1" readingOrder="1"/>
    </xf>
    <xf numFmtId="0" fontId="14" fillId="4" borderId="59" xfId="0" applyFont="1" applyFill="1" applyBorder="1" applyAlignment="1">
      <alignment horizontal="center" vertical="center" wrapText="1" readingOrder="1"/>
    </xf>
    <xf numFmtId="0" fontId="14" fillId="4" borderId="60" xfId="0" applyFont="1" applyFill="1" applyBorder="1" applyAlignment="1">
      <alignment horizontal="center" vertical="center" wrapText="1" readingOrder="1"/>
    </xf>
    <xf numFmtId="0" fontId="15" fillId="0" borderId="92" xfId="0" quotePrefix="1" applyFont="1" applyBorder="1" applyAlignment="1">
      <alignment horizontal="center" vertical="center" wrapText="1" readingOrder="1"/>
    </xf>
    <xf numFmtId="0" fontId="15" fillId="0" borderId="85" xfId="0" quotePrefix="1" applyFont="1" applyBorder="1" applyAlignment="1">
      <alignment horizontal="center" vertical="center" wrapText="1" readingOrder="1"/>
    </xf>
    <xf numFmtId="0" fontId="15" fillId="0" borderId="86" xfId="0" quotePrefix="1" applyFont="1" applyBorder="1" applyAlignment="1">
      <alignment horizontal="center" vertical="center" wrapText="1" readingOrder="1"/>
    </xf>
    <xf numFmtId="20" fontId="53" fillId="0" borderId="31" xfId="0" applyNumberFormat="1" applyFont="1" applyBorder="1" applyAlignment="1">
      <alignment horizontal="right" vertical="center" wrapText="1" indent="2" readingOrder="1"/>
    </xf>
    <xf numFmtId="20" fontId="53" fillId="0" borderId="32" xfId="0" applyNumberFormat="1" applyFont="1" applyBorder="1" applyAlignment="1">
      <alignment horizontal="right" vertical="center" wrapText="1" indent="2" readingOrder="1"/>
    </xf>
    <xf numFmtId="20" fontId="53" fillId="0" borderId="33" xfId="0" applyNumberFormat="1" applyFont="1" applyBorder="1" applyAlignment="1">
      <alignment horizontal="right" vertical="center" wrapText="1" indent="2" readingOrder="1"/>
    </xf>
    <xf numFmtId="20" fontId="56" fillId="0" borderId="31" xfId="0" applyNumberFormat="1" applyFont="1" applyBorder="1" applyAlignment="1">
      <alignment horizontal="right" vertical="center" wrapText="1" indent="2" readingOrder="1"/>
    </xf>
    <xf numFmtId="20" fontId="56" fillId="0" borderId="32" xfId="0" applyNumberFormat="1" applyFont="1" applyBorder="1" applyAlignment="1">
      <alignment horizontal="right" vertical="center" wrapText="1" indent="2" readingOrder="1"/>
    </xf>
    <xf numFmtId="20" fontId="56" fillId="0" borderId="33" xfId="0" applyNumberFormat="1" applyFont="1" applyBorder="1" applyAlignment="1">
      <alignment horizontal="right" vertical="center" wrapText="1" indent="2" readingOrder="1"/>
    </xf>
    <xf numFmtId="20" fontId="57" fillId="0" borderId="31" xfId="0" applyNumberFormat="1" applyFont="1" applyBorder="1" applyAlignment="1">
      <alignment horizontal="right" vertical="center" wrapText="1" indent="2" readingOrder="1"/>
    </xf>
    <xf numFmtId="20" fontId="57" fillId="0" borderId="32" xfId="0" applyNumberFormat="1" applyFont="1" applyBorder="1" applyAlignment="1">
      <alignment horizontal="right" vertical="center" wrapText="1" indent="2" readingOrder="1"/>
    </xf>
    <xf numFmtId="20" fontId="57" fillId="0" borderId="33" xfId="0" applyNumberFormat="1" applyFont="1" applyBorder="1" applyAlignment="1">
      <alignment horizontal="right" vertical="center" wrapText="1" indent="2" readingOrder="1"/>
    </xf>
    <xf numFmtId="43" fontId="14" fillId="0" borderId="31" xfId="1" applyFont="1" applyBorder="1" applyAlignment="1">
      <alignment horizontal="right" vertical="center" wrapText="1" indent="2" readingOrder="1"/>
    </xf>
    <xf numFmtId="43" fontId="14" fillId="0" borderId="32" xfId="1" applyFont="1" applyBorder="1" applyAlignment="1">
      <alignment horizontal="right" vertical="center" wrapText="1" indent="2" readingOrder="1"/>
    </xf>
    <xf numFmtId="43" fontId="14" fillId="0" borderId="33" xfId="1" applyFont="1" applyBorder="1" applyAlignment="1">
      <alignment horizontal="right" vertical="center" wrapText="1" indent="2" readingOrder="1"/>
    </xf>
    <xf numFmtId="43" fontId="14" fillId="3" borderId="14" xfId="1" applyFont="1" applyFill="1" applyBorder="1" applyAlignment="1">
      <alignment horizontal="right" vertical="center" wrapText="1" indent="2" readingOrder="1"/>
    </xf>
    <xf numFmtId="20" fontId="56" fillId="3" borderId="31" xfId="0" applyNumberFormat="1" applyFont="1" applyFill="1" applyBorder="1" applyAlignment="1">
      <alignment horizontal="right" vertical="center" wrapText="1" indent="2" readingOrder="1"/>
    </xf>
    <xf numFmtId="20" fontId="56" fillId="3" borderId="32" xfId="0" applyNumberFormat="1" applyFont="1" applyFill="1" applyBorder="1" applyAlignment="1">
      <alignment horizontal="right" vertical="center" wrapText="1" indent="2" readingOrder="1"/>
    </xf>
    <xf numFmtId="20" fontId="56" fillId="3" borderId="33" xfId="0" applyNumberFormat="1" applyFont="1" applyFill="1" applyBorder="1" applyAlignment="1">
      <alignment horizontal="right" vertical="center" wrapText="1" indent="2" readingOrder="1"/>
    </xf>
    <xf numFmtId="43" fontId="14" fillId="3" borderId="14" xfId="2" applyNumberFormat="1" applyFont="1" applyFill="1" applyBorder="1" applyAlignment="1">
      <alignment horizontal="right" vertical="center" wrapText="1" indent="2" readingOrder="1"/>
    </xf>
    <xf numFmtId="43" fontId="14" fillId="3" borderId="15" xfId="2" applyNumberFormat="1" applyFont="1" applyFill="1" applyBorder="1" applyAlignment="1">
      <alignment horizontal="right" vertical="center" wrapText="1" indent="2" readingOrder="1"/>
    </xf>
    <xf numFmtId="43" fontId="14" fillId="3" borderId="16" xfId="2" applyNumberFormat="1" applyFont="1" applyFill="1" applyBorder="1" applyAlignment="1">
      <alignment horizontal="right" vertical="center" wrapText="1" indent="2" readingOrder="1"/>
    </xf>
    <xf numFmtId="10" fontId="24" fillId="0" borderId="14" xfId="1" applyNumberFormat="1" applyFont="1" applyFill="1" applyBorder="1" applyAlignment="1">
      <alignment horizontal="right" vertical="center" wrapText="1" indent="2" readingOrder="1"/>
    </xf>
    <xf numFmtId="43" fontId="24" fillId="0" borderId="15" xfId="1" applyFont="1" applyFill="1" applyBorder="1" applyAlignment="1">
      <alignment horizontal="right" vertical="center" wrapText="1" indent="2" readingOrder="1"/>
    </xf>
    <xf numFmtId="43" fontId="24" fillId="0" borderId="16" xfId="1" applyFont="1" applyFill="1" applyBorder="1" applyAlignment="1">
      <alignment horizontal="right" vertical="center" wrapText="1" indent="2" readingOrder="1"/>
    </xf>
    <xf numFmtId="10" fontId="24" fillId="0" borderId="14" xfId="2" applyNumberFormat="1" applyFont="1" applyFill="1" applyBorder="1" applyAlignment="1">
      <alignment horizontal="right" vertical="center" wrapText="1" indent="2" readingOrder="1"/>
    </xf>
    <xf numFmtId="10" fontId="24" fillId="0" borderId="15" xfId="2" applyNumberFormat="1" applyFont="1" applyFill="1" applyBorder="1" applyAlignment="1">
      <alignment horizontal="right" vertical="center" wrapText="1" indent="2" readingOrder="1"/>
    </xf>
    <xf numFmtId="10" fontId="24" fillId="0" borderId="16" xfId="2" applyNumberFormat="1" applyFont="1" applyFill="1" applyBorder="1" applyAlignment="1">
      <alignment horizontal="right" vertical="center" wrapText="1" indent="2" readingOrder="1"/>
    </xf>
    <xf numFmtId="20" fontId="24" fillId="0" borderId="31" xfId="0" applyNumberFormat="1" applyFont="1" applyBorder="1" applyAlignment="1">
      <alignment horizontal="right" vertical="center" wrapText="1" indent="2" readingOrder="1"/>
    </xf>
    <xf numFmtId="20" fontId="24" fillId="0" borderId="32" xfId="0" applyNumberFormat="1" applyFont="1" applyBorder="1" applyAlignment="1">
      <alignment horizontal="right" vertical="center" wrapText="1" indent="2" readingOrder="1"/>
    </xf>
    <xf numFmtId="20" fontId="24" fillId="0" borderId="33" xfId="0" applyNumberFormat="1" applyFont="1" applyBorder="1" applyAlignment="1">
      <alignment horizontal="right" vertical="center" wrapText="1" indent="2" readingOrder="1"/>
    </xf>
    <xf numFmtId="0" fontId="24" fillId="0" borderId="38" xfId="0" applyFont="1" applyBorder="1" applyAlignment="1">
      <alignment horizontal="right" vertical="center" wrapText="1" indent="2" readingOrder="1"/>
    </xf>
    <xf numFmtId="0" fontId="24" fillId="0" borderId="39" xfId="0" applyFont="1" applyBorder="1" applyAlignment="1">
      <alignment horizontal="right" vertical="center" wrapText="1" indent="2" readingOrder="1"/>
    </xf>
    <xf numFmtId="0" fontId="24" fillId="0" borderId="40" xfId="0" applyFont="1" applyBorder="1" applyAlignment="1">
      <alignment horizontal="right" vertical="center" wrapText="1" indent="2" readingOrder="1"/>
    </xf>
    <xf numFmtId="0" fontId="24" fillId="0" borderId="94" xfId="0" applyFont="1" applyBorder="1" applyAlignment="1">
      <alignment horizontal="center" vertical="center" wrapText="1" readingOrder="1"/>
    </xf>
    <xf numFmtId="0" fontId="24" fillId="0" borderId="8" xfId="0" applyFont="1" applyBorder="1" applyAlignment="1">
      <alignment horizontal="center" vertical="center" wrapText="1" readingOrder="1"/>
    </xf>
    <xf numFmtId="0" fontId="24" fillId="0" borderId="9" xfId="0" applyFont="1" applyBorder="1" applyAlignment="1">
      <alignment horizontal="center" vertical="center" wrapText="1" readingOrder="1"/>
    </xf>
    <xf numFmtId="10" fontId="24" fillId="0" borderId="35" xfId="0" applyNumberFormat="1" applyFont="1" applyBorder="1" applyAlignment="1">
      <alignment horizontal="right" vertical="center" wrapText="1" indent="2" readingOrder="1"/>
    </xf>
    <xf numFmtId="10" fontId="24" fillId="0" borderId="36" xfId="0" applyNumberFormat="1" applyFont="1" applyBorder="1" applyAlignment="1">
      <alignment horizontal="right" vertical="center" wrapText="1" indent="2" readingOrder="1"/>
    </xf>
    <xf numFmtId="10" fontId="24" fillId="0" borderId="37" xfId="0" applyNumberFormat="1" applyFont="1" applyBorder="1" applyAlignment="1">
      <alignment horizontal="right" vertical="center" wrapText="1" indent="2" readingOrder="1"/>
    </xf>
    <xf numFmtId="0" fontId="24" fillId="0" borderId="95" xfId="0" quotePrefix="1" applyFont="1" applyBorder="1" applyAlignment="1">
      <alignment horizontal="left" vertical="center" wrapText="1" indent="5" readingOrder="1"/>
    </xf>
    <xf numFmtId="0" fontId="24" fillId="0" borderId="1" xfId="0" quotePrefix="1" applyFont="1" applyBorder="1" applyAlignment="1">
      <alignment horizontal="left" vertical="center" wrapText="1" indent="5" readingOrder="1"/>
    </xf>
    <xf numFmtId="0" fontId="24" fillId="0" borderId="56" xfId="0" quotePrefix="1" applyFont="1" applyBorder="1" applyAlignment="1">
      <alignment horizontal="left" vertical="center" wrapText="1" indent="5" readingOrder="1"/>
    </xf>
    <xf numFmtId="0" fontId="24" fillId="0" borderId="17" xfId="0" quotePrefix="1" applyFont="1" applyBorder="1" applyAlignment="1">
      <alignment horizontal="left" vertical="center" wrapText="1" indent="5" readingOrder="1"/>
    </xf>
    <xf numFmtId="0" fontId="24" fillId="0" borderId="0" xfId="0" quotePrefix="1" applyFont="1" applyAlignment="1">
      <alignment horizontal="left" vertical="center" wrapText="1" indent="5" readingOrder="1"/>
    </xf>
    <xf numFmtId="0" fontId="24" fillId="0" borderId="18" xfId="0" quotePrefix="1" applyFont="1" applyBorder="1" applyAlignment="1">
      <alignment horizontal="left" vertical="center" wrapText="1" indent="5" readingOrder="1"/>
    </xf>
    <xf numFmtId="0" fontId="24" fillId="0" borderId="28" xfId="0" quotePrefix="1" applyFont="1" applyBorder="1" applyAlignment="1">
      <alignment horizontal="left" vertical="center" wrapText="1" indent="5" readingOrder="1"/>
    </xf>
    <xf numFmtId="0" fontId="24" fillId="0" borderId="29" xfId="0" quotePrefix="1" applyFont="1" applyBorder="1" applyAlignment="1">
      <alignment horizontal="left" vertical="center" wrapText="1" indent="5" readingOrder="1"/>
    </xf>
    <xf numFmtId="0" fontId="24" fillId="0" borderId="30" xfId="0" quotePrefix="1" applyFont="1" applyBorder="1" applyAlignment="1">
      <alignment horizontal="left" vertical="center" wrapText="1" indent="5" readingOrder="1"/>
    </xf>
    <xf numFmtId="43" fontId="24" fillId="0" borderId="14" xfId="1" applyFont="1" applyFill="1" applyBorder="1" applyAlignment="1">
      <alignment horizontal="right" vertical="center" wrapText="1" indent="2" readingOrder="1"/>
    </xf>
    <xf numFmtId="0" fontId="19" fillId="0" borderId="38" xfId="0" applyFont="1" applyBorder="1" applyAlignment="1">
      <alignment horizontal="right" vertical="center" wrapText="1" indent="2" readingOrder="1"/>
    </xf>
    <xf numFmtId="0" fontId="19" fillId="0" borderId="39" xfId="0" applyFont="1" applyBorder="1" applyAlignment="1">
      <alignment horizontal="right" vertical="center" wrapText="1" indent="2" readingOrder="1"/>
    </xf>
    <xf numFmtId="0" fontId="19" fillId="0" borderId="40" xfId="0" applyFont="1" applyBorder="1" applyAlignment="1">
      <alignment horizontal="right" vertical="center" wrapText="1" indent="2" readingOrder="1"/>
    </xf>
    <xf numFmtId="0" fontId="19" fillId="0" borderId="94" xfId="0" applyFont="1" applyBorder="1" applyAlignment="1">
      <alignment horizontal="center" vertical="center" wrapText="1" readingOrder="1"/>
    </xf>
    <xf numFmtId="0" fontId="19" fillId="0" borderId="8" xfId="0" applyFont="1" applyBorder="1" applyAlignment="1">
      <alignment horizontal="center" vertical="center" wrapText="1" readingOrder="1"/>
    </xf>
    <xf numFmtId="0" fontId="19" fillId="0" borderId="9" xfId="0" applyFont="1" applyBorder="1" applyAlignment="1">
      <alignment horizontal="center" vertical="center" wrapText="1" readingOrder="1"/>
    </xf>
    <xf numFmtId="10" fontId="24" fillId="0" borderId="7" xfId="0" applyNumberFormat="1" applyFont="1" applyBorder="1" applyAlignment="1">
      <alignment horizontal="right" vertical="center" wrapText="1" indent="2" readingOrder="1"/>
    </xf>
    <xf numFmtId="10" fontId="24" fillId="0" borderId="8" xfId="0" applyNumberFormat="1" applyFont="1" applyBorder="1" applyAlignment="1">
      <alignment horizontal="right" vertical="center" wrapText="1" indent="2" readingOrder="1"/>
    </xf>
    <xf numFmtId="10" fontId="24" fillId="0" borderId="9" xfId="0" applyNumberFormat="1" applyFont="1" applyBorder="1" applyAlignment="1">
      <alignment horizontal="right" vertical="center" wrapText="1" indent="2" readingOrder="1"/>
    </xf>
    <xf numFmtId="10" fontId="24" fillId="0" borderId="95" xfId="0" quotePrefix="1" applyNumberFormat="1" applyFont="1" applyBorder="1" applyAlignment="1">
      <alignment horizontal="left" vertical="center" wrapText="1" indent="5" readingOrder="1"/>
    </xf>
    <xf numFmtId="10" fontId="24" fillId="0" borderId="15" xfId="1" applyNumberFormat="1" applyFont="1" applyFill="1" applyBorder="1" applyAlignment="1">
      <alignment horizontal="right" vertical="center" wrapText="1" indent="2" readingOrder="1"/>
    </xf>
    <xf numFmtId="10" fontId="24" fillId="0" borderId="16" xfId="1" applyNumberFormat="1" applyFont="1" applyFill="1" applyBorder="1" applyAlignment="1">
      <alignment horizontal="right" vertical="center" wrapText="1" indent="2" readingOrder="1"/>
    </xf>
    <xf numFmtId="43" fontId="24" fillId="0" borderId="15" xfId="2" applyNumberFormat="1" applyFont="1" applyFill="1" applyBorder="1" applyAlignment="1">
      <alignment horizontal="right" vertical="center" wrapText="1" indent="2" readingOrder="1"/>
    </xf>
    <xf numFmtId="43" fontId="24" fillId="0" borderId="16" xfId="2" applyNumberFormat="1" applyFont="1" applyFill="1" applyBorder="1" applyAlignment="1">
      <alignment horizontal="right" vertical="center" wrapText="1" indent="2" readingOrder="1"/>
    </xf>
    <xf numFmtId="10" fontId="19" fillId="0" borderId="35" xfId="0" applyNumberFormat="1" applyFont="1" applyBorder="1" applyAlignment="1">
      <alignment horizontal="right" vertical="center" wrapText="1" indent="2" readingOrder="1"/>
    </xf>
    <xf numFmtId="10" fontId="19" fillId="0" borderId="36" xfId="0" applyNumberFormat="1" applyFont="1" applyBorder="1" applyAlignment="1">
      <alignment horizontal="right" vertical="center" wrapText="1" indent="2" readingOrder="1"/>
    </xf>
    <xf numFmtId="10" fontId="19" fillId="0" borderId="37" xfId="0" applyNumberFormat="1" applyFont="1" applyBorder="1" applyAlignment="1">
      <alignment horizontal="right" vertical="center" wrapText="1" indent="2" readingOrder="1"/>
    </xf>
    <xf numFmtId="10" fontId="19" fillId="0" borderId="14" xfId="1" applyNumberFormat="1" applyFont="1" applyFill="1" applyBorder="1" applyAlignment="1">
      <alignment horizontal="right" vertical="center" wrapText="1" indent="2" readingOrder="1"/>
    </xf>
    <xf numFmtId="43" fontId="19" fillId="0" borderId="15" xfId="1" applyFont="1" applyFill="1" applyBorder="1" applyAlignment="1">
      <alignment horizontal="right" vertical="center" wrapText="1" indent="2" readingOrder="1"/>
    </xf>
    <xf numFmtId="43" fontId="19" fillId="0" borderId="16" xfId="1" applyFont="1" applyFill="1" applyBorder="1" applyAlignment="1">
      <alignment horizontal="right" vertical="center" wrapText="1" indent="2" readingOrder="1"/>
    </xf>
    <xf numFmtId="10" fontId="19" fillId="0" borderId="14" xfId="2" applyNumberFormat="1" applyFont="1" applyFill="1" applyBorder="1" applyAlignment="1">
      <alignment horizontal="right" vertical="center" wrapText="1" indent="2" readingOrder="1"/>
    </xf>
    <xf numFmtId="10" fontId="19" fillId="0" borderId="15" xfId="2" applyNumberFormat="1" applyFont="1" applyFill="1" applyBorder="1" applyAlignment="1">
      <alignment horizontal="right" vertical="center" wrapText="1" indent="2" readingOrder="1"/>
    </xf>
    <xf numFmtId="10" fontId="19" fillId="0" borderId="16" xfId="2" applyNumberFormat="1" applyFont="1" applyFill="1" applyBorder="1" applyAlignment="1">
      <alignment horizontal="right" vertical="center" wrapText="1" indent="2" readingOrder="1"/>
    </xf>
    <xf numFmtId="20" fontId="19" fillId="0" borderId="31" xfId="0" applyNumberFormat="1" applyFont="1" applyBorder="1" applyAlignment="1">
      <alignment horizontal="right" vertical="center" wrapText="1" indent="2" readingOrder="1"/>
    </xf>
    <xf numFmtId="20" fontId="19" fillId="0" borderId="32" xfId="0" applyNumberFormat="1" applyFont="1" applyBorder="1" applyAlignment="1">
      <alignment horizontal="right" vertical="center" wrapText="1" indent="2" readingOrder="1"/>
    </xf>
    <xf numFmtId="20" fontId="19" fillId="0" borderId="33" xfId="0" applyNumberFormat="1" applyFont="1" applyBorder="1" applyAlignment="1">
      <alignment horizontal="right" vertical="center" wrapText="1" indent="2" readingOrder="1"/>
    </xf>
    <xf numFmtId="43" fontId="19" fillId="0" borderId="14" xfId="1" applyFont="1" applyFill="1" applyBorder="1" applyAlignment="1">
      <alignment horizontal="right" vertical="center" wrapText="1" indent="2" readingOrder="1"/>
    </xf>
    <xf numFmtId="10" fontId="19" fillId="0" borderId="7" xfId="0" applyNumberFormat="1" applyFont="1" applyBorder="1" applyAlignment="1">
      <alignment horizontal="right" vertical="center" wrapText="1" indent="2" readingOrder="1"/>
    </xf>
    <xf numFmtId="10" fontId="19" fillId="0" borderId="8" xfId="0" applyNumberFormat="1" applyFont="1" applyBorder="1" applyAlignment="1">
      <alignment horizontal="right" vertical="center" wrapText="1" indent="2" readingOrder="1"/>
    </xf>
    <xf numFmtId="10" fontId="19" fillId="0" borderId="9" xfId="0" applyNumberFormat="1" applyFont="1" applyBorder="1" applyAlignment="1">
      <alignment horizontal="right" vertical="center" wrapText="1" indent="2" readingOrder="1"/>
    </xf>
    <xf numFmtId="10" fontId="19" fillId="0" borderId="15" xfId="1" applyNumberFormat="1" applyFont="1" applyFill="1" applyBorder="1" applyAlignment="1">
      <alignment horizontal="right" vertical="center" wrapText="1" indent="2" readingOrder="1"/>
    </xf>
    <xf numFmtId="10" fontId="19" fillId="0" borderId="16" xfId="1" applyNumberFormat="1" applyFont="1" applyFill="1" applyBorder="1" applyAlignment="1">
      <alignment horizontal="right" vertical="center" wrapText="1" indent="2" readingOrder="1"/>
    </xf>
    <xf numFmtId="43" fontId="19" fillId="0" borderId="14" xfId="2" applyNumberFormat="1" applyFont="1" applyFill="1" applyBorder="1" applyAlignment="1">
      <alignment horizontal="right" vertical="center" wrapText="1" indent="2" readingOrder="1"/>
    </xf>
    <xf numFmtId="43" fontId="19" fillId="0" borderId="15" xfId="2" applyNumberFormat="1" applyFont="1" applyFill="1" applyBorder="1" applyAlignment="1">
      <alignment horizontal="right" vertical="center" wrapText="1" indent="2" readingOrder="1"/>
    </xf>
    <xf numFmtId="43" fontId="19" fillId="0" borderId="16" xfId="2" applyNumberFormat="1" applyFont="1" applyFill="1" applyBorder="1" applyAlignment="1">
      <alignment horizontal="right" vertical="center" wrapText="1" indent="2" readingOrder="1"/>
    </xf>
    <xf numFmtId="168" fontId="19" fillId="0" borderId="14" xfId="2" applyNumberFormat="1" applyFont="1" applyFill="1" applyBorder="1" applyAlignment="1">
      <alignment horizontal="right" vertical="center" wrapText="1" indent="2" readingOrder="1"/>
    </xf>
    <xf numFmtId="168" fontId="19" fillId="0" borderId="15" xfId="2" applyNumberFormat="1" applyFont="1" applyFill="1" applyBorder="1" applyAlignment="1">
      <alignment horizontal="right" vertical="center" wrapText="1" indent="2" readingOrder="1"/>
    </xf>
    <xf numFmtId="168" fontId="19" fillId="0" borderId="16" xfId="2" applyNumberFormat="1" applyFont="1" applyFill="1" applyBorder="1" applyAlignment="1">
      <alignment horizontal="right" vertical="center" wrapText="1" indent="2" readingOrder="1"/>
    </xf>
    <xf numFmtId="0" fontId="19" fillId="3" borderId="38" xfId="0" applyFont="1" applyFill="1" applyBorder="1" applyAlignment="1">
      <alignment horizontal="right" vertical="center" wrapText="1" indent="2" readingOrder="1"/>
    </xf>
    <xf numFmtId="0" fontId="19" fillId="3" borderId="39" xfId="0" applyFont="1" applyFill="1" applyBorder="1" applyAlignment="1">
      <alignment horizontal="right" vertical="center" wrapText="1" indent="2" readingOrder="1"/>
    </xf>
    <xf numFmtId="0" fontId="19" fillId="3" borderId="40" xfId="0" applyFont="1" applyFill="1" applyBorder="1" applyAlignment="1">
      <alignment horizontal="right" vertical="center" wrapText="1" indent="2" readingOrder="1"/>
    </xf>
    <xf numFmtId="0" fontId="48" fillId="0" borderId="8" xfId="0" applyFont="1" applyBorder="1" applyAlignment="1">
      <alignment horizontal="center" vertical="center" wrapText="1" readingOrder="1"/>
    </xf>
    <xf numFmtId="0" fontId="48" fillId="0" borderId="9" xfId="0" applyFont="1" applyBorder="1" applyAlignment="1">
      <alignment horizontal="center" vertical="center" wrapText="1" readingOrder="1"/>
    </xf>
    <xf numFmtId="0" fontId="49" fillId="0" borderId="1" xfId="0" quotePrefix="1" applyFont="1" applyBorder="1" applyAlignment="1">
      <alignment horizontal="left" vertical="center" wrapText="1" indent="5" readingOrder="1"/>
    </xf>
    <xf numFmtId="0" fontId="49" fillId="0" borderId="56" xfId="0" quotePrefix="1" applyFont="1" applyBorder="1" applyAlignment="1">
      <alignment horizontal="left" vertical="center" wrapText="1" indent="5" readingOrder="1"/>
    </xf>
    <xf numFmtId="0" fontId="49" fillId="0" borderId="0" xfId="0" quotePrefix="1" applyFont="1" applyAlignment="1">
      <alignment horizontal="left" vertical="center" wrapText="1" indent="5" readingOrder="1"/>
    </xf>
    <xf numFmtId="0" fontId="49" fillId="0" borderId="18" xfId="0" quotePrefix="1" applyFont="1" applyBorder="1" applyAlignment="1">
      <alignment horizontal="left" vertical="center" wrapText="1" indent="5" readingOrder="1"/>
    </xf>
    <xf numFmtId="0" fontId="49" fillId="0" borderId="29" xfId="0" quotePrefix="1" applyFont="1" applyBorder="1" applyAlignment="1">
      <alignment horizontal="left" vertical="center" wrapText="1" indent="5" readingOrder="1"/>
    </xf>
    <xf numFmtId="0" fontId="49" fillId="0" borderId="30" xfId="0" quotePrefix="1" applyFont="1" applyBorder="1" applyAlignment="1">
      <alignment horizontal="left" vertical="center" wrapText="1" indent="5" readingOrder="1"/>
    </xf>
    <xf numFmtId="0" fontId="49" fillId="0" borderId="95" xfId="0" quotePrefix="1" applyFont="1" applyBorder="1" applyAlignment="1">
      <alignment horizontal="left" vertical="center" wrapText="1" indent="5" readingOrder="1"/>
    </xf>
    <xf numFmtId="0" fontId="49" fillId="0" borderId="17" xfId="0" quotePrefix="1" applyFont="1" applyBorder="1" applyAlignment="1">
      <alignment horizontal="left" vertical="center" wrapText="1" indent="5" readingOrder="1"/>
    </xf>
    <xf numFmtId="0" fontId="49" fillId="0" borderId="28" xfId="0" quotePrefix="1" applyFont="1" applyBorder="1" applyAlignment="1">
      <alignment horizontal="left" vertical="center" wrapText="1" indent="5" readingOrder="1"/>
    </xf>
    <xf numFmtId="0" fontId="48" fillId="0" borderId="38" xfId="0" applyFont="1" applyBorder="1" applyAlignment="1">
      <alignment horizontal="right" vertical="center" wrapText="1" indent="2" readingOrder="1"/>
    </xf>
    <xf numFmtId="0" fontId="48" fillId="0" borderId="39" xfId="0" applyFont="1" applyBorder="1" applyAlignment="1">
      <alignment horizontal="right" vertical="center" wrapText="1" indent="2" readingOrder="1"/>
    </xf>
    <xf numFmtId="0" fontId="48" fillId="0" borderId="40" xfId="0" applyFont="1" applyBorder="1" applyAlignment="1">
      <alignment horizontal="right" vertical="center" wrapText="1" indent="2" readingOrder="1"/>
    </xf>
    <xf numFmtId="10" fontId="48" fillId="0" borderId="35" xfId="0" applyNumberFormat="1" applyFont="1" applyBorder="1" applyAlignment="1">
      <alignment horizontal="right" vertical="center" wrapText="1" indent="2" readingOrder="1"/>
    </xf>
    <xf numFmtId="10" fontId="48" fillId="0" borderId="36" xfId="0" applyNumberFormat="1" applyFont="1" applyBorder="1" applyAlignment="1">
      <alignment horizontal="right" vertical="center" wrapText="1" indent="2" readingOrder="1"/>
    </xf>
    <xf numFmtId="10" fontId="48" fillId="0" borderId="37" xfId="0" applyNumberFormat="1" applyFont="1" applyBorder="1" applyAlignment="1">
      <alignment horizontal="right" vertical="center" wrapText="1" indent="2" readingOrder="1"/>
    </xf>
    <xf numFmtId="10" fontId="48" fillId="0" borderId="14" xfId="2" applyNumberFormat="1" applyFont="1" applyFill="1" applyBorder="1" applyAlignment="1">
      <alignment horizontal="right" vertical="center" wrapText="1" indent="2" readingOrder="1"/>
    </xf>
    <xf numFmtId="10" fontId="48" fillId="0" borderId="15" xfId="2" applyNumberFormat="1" applyFont="1" applyFill="1" applyBorder="1" applyAlignment="1">
      <alignment horizontal="right" vertical="center" wrapText="1" indent="2" readingOrder="1"/>
    </xf>
    <xf numFmtId="10" fontId="48" fillId="0" borderId="16" xfId="2" applyNumberFormat="1" applyFont="1" applyFill="1" applyBorder="1" applyAlignment="1">
      <alignment horizontal="right" vertical="center" wrapText="1" indent="2" readingOrder="1"/>
    </xf>
    <xf numFmtId="20" fontId="48" fillId="0" borderId="31" xfId="0" applyNumberFormat="1" applyFont="1" applyBorder="1" applyAlignment="1">
      <alignment horizontal="right" vertical="center" wrapText="1" indent="2" readingOrder="1"/>
    </xf>
    <xf numFmtId="20" fontId="48" fillId="0" borderId="32" xfId="0" applyNumberFormat="1" applyFont="1" applyBorder="1" applyAlignment="1">
      <alignment horizontal="right" vertical="center" wrapText="1" indent="2" readingOrder="1"/>
    </xf>
    <xf numFmtId="20" fontId="48" fillId="0" borderId="33" xfId="0" applyNumberFormat="1" applyFont="1" applyBorder="1" applyAlignment="1">
      <alignment horizontal="right" vertical="center" wrapText="1" indent="2" readingOrder="1"/>
    </xf>
    <xf numFmtId="0" fontId="48" fillId="3" borderId="38" xfId="0" applyFont="1" applyFill="1" applyBorder="1" applyAlignment="1">
      <alignment horizontal="right" vertical="center" wrapText="1" indent="2" readingOrder="1"/>
    </xf>
    <xf numFmtId="0" fontId="48" fillId="3" borderId="39" xfId="0" applyFont="1" applyFill="1" applyBorder="1" applyAlignment="1">
      <alignment horizontal="right" vertical="center" wrapText="1" indent="2" readingOrder="1"/>
    </xf>
    <xf numFmtId="0" fontId="48" fillId="3" borderId="40" xfId="0" applyFont="1" applyFill="1" applyBorder="1" applyAlignment="1">
      <alignment horizontal="right" vertical="center" wrapText="1" indent="2" readingOrder="1"/>
    </xf>
    <xf numFmtId="10" fontId="48" fillId="3" borderId="35" xfId="0" applyNumberFormat="1" applyFont="1" applyFill="1" applyBorder="1" applyAlignment="1">
      <alignment horizontal="right" vertical="center" wrapText="1" indent="2" readingOrder="1"/>
    </xf>
    <xf numFmtId="10" fontId="48" fillId="3" borderId="36" xfId="0" applyNumberFormat="1" applyFont="1" applyFill="1" applyBorder="1" applyAlignment="1">
      <alignment horizontal="right" vertical="center" wrapText="1" indent="2" readingOrder="1"/>
    </xf>
    <xf numFmtId="10" fontId="48" fillId="3" borderId="37" xfId="0" applyNumberFormat="1" applyFont="1" applyFill="1" applyBorder="1" applyAlignment="1">
      <alignment horizontal="right" vertical="center" wrapText="1" indent="2" readingOrder="1"/>
    </xf>
    <xf numFmtId="10" fontId="48" fillId="3" borderId="14" xfId="1" applyNumberFormat="1" applyFont="1" applyFill="1" applyBorder="1" applyAlignment="1">
      <alignment horizontal="right" vertical="center" wrapText="1" indent="2" readingOrder="1"/>
    </xf>
    <xf numFmtId="43" fontId="48" fillId="3" borderId="15" xfId="1" applyFont="1" applyFill="1" applyBorder="1" applyAlignment="1">
      <alignment horizontal="right" vertical="center" wrapText="1" indent="2" readingOrder="1"/>
    </xf>
    <xf numFmtId="43" fontId="48" fillId="3" borderId="16" xfId="1" applyFont="1" applyFill="1" applyBorder="1" applyAlignment="1">
      <alignment horizontal="right" vertical="center" wrapText="1" indent="2" readingOrder="1"/>
    </xf>
    <xf numFmtId="165" fontId="48" fillId="3" borderId="14" xfId="2" applyNumberFormat="1" applyFont="1" applyFill="1" applyBorder="1" applyAlignment="1">
      <alignment horizontal="right" vertical="center" wrapText="1" indent="2" readingOrder="1"/>
    </xf>
    <xf numFmtId="165" fontId="48" fillId="3" borderId="15" xfId="2" applyNumberFormat="1" applyFont="1" applyFill="1" applyBorder="1" applyAlignment="1">
      <alignment horizontal="right" vertical="center" wrapText="1" indent="2" readingOrder="1"/>
    </xf>
    <xf numFmtId="165" fontId="48" fillId="3" borderId="16" xfId="2" applyNumberFormat="1" applyFont="1" applyFill="1" applyBorder="1" applyAlignment="1">
      <alignment horizontal="right" vertical="center" wrapText="1" indent="2" readingOrder="1"/>
    </xf>
    <xf numFmtId="20" fontId="48" fillId="3" borderId="31" xfId="0" applyNumberFormat="1" applyFont="1" applyFill="1" applyBorder="1" applyAlignment="1">
      <alignment horizontal="right" vertical="center" wrapText="1" indent="2" readingOrder="1"/>
    </xf>
    <xf numFmtId="20" fontId="48" fillId="3" borderId="32" xfId="0" applyNumberFormat="1" applyFont="1" applyFill="1" applyBorder="1" applyAlignment="1">
      <alignment horizontal="right" vertical="center" wrapText="1" indent="2" readingOrder="1"/>
    </xf>
    <xf numFmtId="20" fontId="48" fillId="3" borderId="33" xfId="0" applyNumberFormat="1" applyFont="1" applyFill="1" applyBorder="1" applyAlignment="1">
      <alignment horizontal="right" vertical="center" wrapText="1" indent="2" readingOrder="1"/>
    </xf>
    <xf numFmtId="10" fontId="48" fillId="0" borderId="14" xfId="1" applyNumberFormat="1" applyFont="1" applyFill="1" applyBorder="1" applyAlignment="1">
      <alignment horizontal="right" vertical="center" wrapText="1" indent="2" readingOrder="1"/>
    </xf>
    <xf numFmtId="43" fontId="48" fillId="0" borderId="15" xfId="1" applyFont="1" applyFill="1" applyBorder="1" applyAlignment="1">
      <alignment horizontal="right" vertical="center" wrapText="1" indent="2" readingOrder="1"/>
    </xf>
    <xf numFmtId="43" fontId="48" fillId="0" borderId="16" xfId="1" applyFont="1" applyFill="1" applyBorder="1" applyAlignment="1">
      <alignment horizontal="right" vertical="center" wrapText="1" indent="2" readingOrder="1"/>
    </xf>
    <xf numFmtId="43" fontId="48" fillId="0" borderId="14" xfId="1" applyFont="1" applyFill="1" applyBorder="1" applyAlignment="1">
      <alignment horizontal="right" vertical="center" wrapText="1" indent="2" readingOrder="1"/>
    </xf>
    <xf numFmtId="0" fontId="48" fillId="7" borderId="38" xfId="0" applyFont="1" applyFill="1" applyBorder="1" applyAlignment="1">
      <alignment horizontal="right" vertical="center" wrapText="1" indent="2" readingOrder="1"/>
    </xf>
    <xf numFmtId="0" fontId="48" fillId="7" borderId="39" xfId="0" applyFont="1" applyFill="1" applyBorder="1" applyAlignment="1">
      <alignment horizontal="right" vertical="center" wrapText="1" indent="2" readingOrder="1"/>
    </xf>
    <xf numFmtId="0" fontId="48" fillId="7" borderId="40" xfId="0" applyFont="1" applyFill="1" applyBorder="1" applyAlignment="1">
      <alignment horizontal="right" vertical="center" wrapText="1" indent="2" readingOrder="1"/>
    </xf>
    <xf numFmtId="10" fontId="48" fillId="0" borderId="14" xfId="1" applyNumberFormat="1" applyFont="1" applyBorder="1" applyAlignment="1">
      <alignment horizontal="right" vertical="center" wrapText="1" indent="2" readingOrder="1"/>
    </xf>
    <xf numFmtId="43" fontId="48" fillId="0" borderId="15" xfId="1" applyFont="1" applyBorder="1" applyAlignment="1">
      <alignment horizontal="right" vertical="center" wrapText="1" indent="2" readingOrder="1"/>
    </xf>
    <xf numFmtId="43" fontId="48" fillId="0" borderId="16" xfId="1" applyFont="1" applyBorder="1" applyAlignment="1">
      <alignment horizontal="right" vertical="center" wrapText="1" indent="2" readingOrder="1"/>
    </xf>
    <xf numFmtId="43" fontId="48" fillId="0" borderId="14" xfId="1" applyFont="1" applyBorder="1" applyAlignment="1">
      <alignment horizontal="right" vertical="center" wrapText="1" indent="2" readingOrder="1"/>
    </xf>
    <xf numFmtId="165" fontId="48" fillId="0" borderId="14" xfId="2" applyNumberFormat="1" applyFont="1" applyFill="1" applyBorder="1" applyAlignment="1">
      <alignment horizontal="right" vertical="center" wrapText="1" indent="2" readingOrder="1"/>
    </xf>
    <xf numFmtId="165" fontId="48" fillId="0" borderId="15" xfId="2" applyNumberFormat="1" applyFont="1" applyFill="1" applyBorder="1" applyAlignment="1">
      <alignment horizontal="right" vertical="center" wrapText="1" indent="2" readingOrder="1"/>
    </xf>
    <xf numFmtId="165" fontId="48" fillId="0" borderId="16" xfId="2" applyNumberFormat="1" applyFont="1" applyFill="1" applyBorder="1" applyAlignment="1">
      <alignment horizontal="right" vertical="center" wrapText="1" indent="2" readingOrder="1"/>
    </xf>
    <xf numFmtId="0" fontId="48" fillId="0" borderId="94" xfId="0" applyFont="1" applyBorder="1" applyAlignment="1">
      <alignment horizontal="center" vertical="center" wrapText="1" readingOrder="1"/>
    </xf>
    <xf numFmtId="0" fontId="19" fillId="0" borderId="96" xfId="0" applyFont="1" applyBorder="1" applyAlignment="1">
      <alignment horizontal="right" vertical="center" wrapText="1" indent="2" readingOrder="1"/>
    </xf>
    <xf numFmtId="10" fontId="19" fillId="0" borderId="97" xfId="0" applyNumberFormat="1" applyFont="1" applyBorder="1" applyAlignment="1">
      <alignment horizontal="right" vertical="center" wrapText="1" indent="2" readingOrder="1"/>
    </xf>
    <xf numFmtId="10" fontId="19" fillId="0" borderId="14" xfId="0" applyNumberFormat="1" applyFont="1" applyBorder="1" applyAlignment="1">
      <alignment horizontal="right" vertical="center" wrapText="1" indent="2" readingOrder="1"/>
    </xf>
    <xf numFmtId="10" fontId="19" fillId="0" borderId="15" xfId="0" applyNumberFormat="1" applyFont="1" applyBorder="1" applyAlignment="1">
      <alignment horizontal="right" vertical="center" wrapText="1" indent="2" readingOrder="1"/>
    </xf>
    <xf numFmtId="10" fontId="19" fillId="0" borderId="98" xfId="0" applyNumberFormat="1" applyFont="1" applyBorder="1" applyAlignment="1">
      <alignment horizontal="right" vertical="center" wrapText="1" indent="2" readingOrder="1"/>
    </xf>
    <xf numFmtId="168" fontId="19" fillId="0" borderId="14" xfId="0" applyNumberFormat="1" applyFont="1" applyBorder="1" applyAlignment="1">
      <alignment horizontal="right" vertical="center" wrapText="1" indent="2" readingOrder="1"/>
    </xf>
    <xf numFmtId="168" fontId="19" fillId="0" borderId="15" xfId="0" applyNumberFormat="1" applyFont="1" applyBorder="1" applyAlignment="1">
      <alignment horizontal="right" vertical="center" wrapText="1" indent="2" readingOrder="1"/>
    </xf>
    <xf numFmtId="168" fontId="19" fillId="0" borderId="98" xfId="0" applyNumberFormat="1" applyFont="1" applyBorder="1" applyAlignment="1">
      <alignment horizontal="right" vertical="center" wrapText="1" indent="2" readingOrder="1"/>
    </xf>
    <xf numFmtId="20" fontId="19" fillId="0" borderId="99" xfId="0" applyNumberFormat="1" applyFont="1" applyBorder="1" applyAlignment="1">
      <alignment horizontal="right" vertical="center" wrapText="1" indent="2" readingOrder="1"/>
    </xf>
    <xf numFmtId="43" fontId="19" fillId="0" borderId="14" xfId="0" applyNumberFormat="1" applyFont="1" applyBorder="1" applyAlignment="1">
      <alignment horizontal="right" vertical="center" wrapText="1" indent="2" readingOrder="1"/>
    </xf>
    <xf numFmtId="43" fontId="19" fillId="0" borderId="15" xfId="0" applyNumberFormat="1" applyFont="1" applyBorder="1" applyAlignment="1">
      <alignment horizontal="right" vertical="center" wrapText="1" indent="2" readingOrder="1"/>
    </xf>
    <xf numFmtId="43" fontId="19" fillId="0" borderId="98" xfId="0" applyNumberFormat="1" applyFont="1" applyBorder="1" applyAlignment="1">
      <alignment horizontal="right" vertical="center" wrapText="1" indent="2" readingOrder="1"/>
    </xf>
    <xf numFmtId="0" fontId="48" fillId="4" borderId="38" xfId="0" applyFont="1" applyFill="1" applyBorder="1" applyAlignment="1">
      <alignment horizontal="right" vertical="center" wrapText="1" indent="2" readingOrder="1"/>
    </xf>
    <xf numFmtId="0" fontId="48" fillId="4" borderId="39" xfId="0" applyFont="1" applyFill="1" applyBorder="1" applyAlignment="1">
      <alignment horizontal="right" vertical="center" wrapText="1" indent="2" readingOrder="1"/>
    </xf>
    <xf numFmtId="0" fontId="48" fillId="4" borderId="40" xfId="0" applyFont="1" applyFill="1" applyBorder="1" applyAlignment="1">
      <alignment horizontal="right" vertical="center" wrapText="1" indent="2" readingOrder="1"/>
    </xf>
    <xf numFmtId="168" fontId="48" fillId="0" borderId="14" xfId="2" applyNumberFormat="1" applyFont="1" applyBorder="1" applyAlignment="1">
      <alignment horizontal="right" vertical="center" wrapText="1" indent="2" readingOrder="1"/>
    </xf>
    <xf numFmtId="168" fontId="48" fillId="0" borderId="15" xfId="2" applyNumberFormat="1" applyFont="1" applyBorder="1" applyAlignment="1">
      <alignment horizontal="right" vertical="center" wrapText="1" indent="2" readingOrder="1"/>
    </xf>
    <xf numFmtId="168" fontId="48" fillId="0" borderId="16" xfId="2" applyNumberFormat="1" applyFont="1" applyBorder="1" applyAlignment="1">
      <alignment horizontal="right" vertical="center" wrapText="1" indent="2" readingOrder="1"/>
    </xf>
    <xf numFmtId="0" fontId="52" fillId="4" borderId="38" xfId="0" applyFont="1" applyFill="1" applyBorder="1" applyAlignment="1">
      <alignment horizontal="right" vertical="center" wrapText="1" indent="2" readingOrder="1"/>
    </xf>
    <xf numFmtId="0" fontId="52" fillId="4" borderId="39" xfId="0" applyFont="1" applyFill="1" applyBorder="1" applyAlignment="1">
      <alignment horizontal="right" vertical="center" wrapText="1" indent="2" readingOrder="1"/>
    </xf>
    <xf numFmtId="0" fontId="52" fillId="4" borderId="40" xfId="0" applyFont="1" applyFill="1" applyBorder="1" applyAlignment="1">
      <alignment horizontal="right" vertical="center" wrapText="1" indent="2" readingOrder="1"/>
    </xf>
    <xf numFmtId="43" fontId="48" fillId="0" borderId="14" xfId="2" applyNumberFormat="1" applyFont="1" applyBorder="1" applyAlignment="1">
      <alignment horizontal="right" vertical="center" wrapText="1" indent="2" readingOrder="1"/>
    </xf>
    <xf numFmtId="10" fontId="48" fillId="0" borderId="15" xfId="2" applyNumberFormat="1" applyFont="1" applyBorder="1" applyAlignment="1">
      <alignment horizontal="right" vertical="center" wrapText="1" indent="2" readingOrder="1"/>
    </xf>
    <xf numFmtId="10" fontId="48" fillId="0" borderId="16" xfId="2" applyNumberFormat="1" applyFont="1" applyBorder="1" applyAlignment="1">
      <alignment horizontal="right" vertical="center" wrapText="1" indent="2" readingOrder="1"/>
    </xf>
    <xf numFmtId="10" fontId="48" fillId="0" borderId="14" xfId="2" applyNumberFormat="1" applyFont="1" applyBorder="1" applyAlignment="1">
      <alignment horizontal="right" vertical="center" wrapText="1" indent="2" readingOrder="1"/>
    </xf>
    <xf numFmtId="165" fontId="48" fillId="0" borderId="14" xfId="2" applyNumberFormat="1" applyFont="1" applyBorder="1" applyAlignment="1">
      <alignment horizontal="right" vertical="center" wrapText="1" indent="2" readingOrder="1"/>
    </xf>
    <xf numFmtId="165" fontId="48" fillId="0" borderId="15" xfId="2" applyNumberFormat="1" applyFont="1" applyBorder="1" applyAlignment="1">
      <alignment horizontal="right" vertical="center" wrapText="1" indent="2" readingOrder="1"/>
    </xf>
    <xf numFmtId="165" fontId="48" fillId="0" borderId="16" xfId="2" applyNumberFormat="1" applyFont="1" applyBorder="1" applyAlignment="1">
      <alignment horizontal="right" vertical="center" wrapText="1" indent="2" readingOrder="1"/>
    </xf>
    <xf numFmtId="0" fontId="34" fillId="4" borderId="38" xfId="0" applyFont="1" applyFill="1" applyBorder="1" applyAlignment="1">
      <alignment horizontal="right" vertical="center" wrapText="1" readingOrder="1"/>
    </xf>
    <xf numFmtId="0" fontId="34" fillId="4" borderId="39" xfId="0" applyFont="1" applyFill="1" applyBorder="1" applyAlignment="1">
      <alignment horizontal="right" vertical="center" wrapText="1" readingOrder="1"/>
    </xf>
    <xf numFmtId="0" fontId="34" fillId="4" borderId="40" xfId="0" applyFont="1" applyFill="1" applyBorder="1" applyAlignment="1">
      <alignment horizontal="right" vertical="center" wrapText="1" readingOrder="1"/>
    </xf>
    <xf numFmtId="10" fontId="34" fillId="0" borderId="35" xfId="0" applyNumberFormat="1" applyFont="1" applyBorder="1" applyAlignment="1">
      <alignment horizontal="right" vertical="center" wrapText="1" readingOrder="1"/>
    </xf>
    <xf numFmtId="10" fontId="34" fillId="0" borderId="36" xfId="0" applyNumberFormat="1" applyFont="1" applyBorder="1" applyAlignment="1">
      <alignment horizontal="right" vertical="center" wrapText="1" readingOrder="1"/>
    </xf>
    <xf numFmtId="10" fontId="34" fillId="0" borderId="37" xfId="0" applyNumberFormat="1" applyFont="1" applyBorder="1" applyAlignment="1">
      <alignment horizontal="right" vertical="center" wrapText="1" readingOrder="1"/>
    </xf>
    <xf numFmtId="10" fontId="34" fillId="0" borderId="14" xfId="2" applyNumberFormat="1" applyFont="1" applyBorder="1" applyAlignment="1">
      <alignment horizontal="right" vertical="center" wrapText="1" readingOrder="1"/>
    </xf>
    <xf numFmtId="10" fontId="34" fillId="0" borderId="15" xfId="2" applyNumberFormat="1" applyFont="1" applyBorder="1" applyAlignment="1">
      <alignment horizontal="right" vertical="center" wrapText="1" readingOrder="1"/>
    </xf>
    <xf numFmtId="10" fontId="34" fillId="0" borderId="16" xfId="2" applyNumberFormat="1" applyFont="1" applyBorder="1" applyAlignment="1">
      <alignment horizontal="right" vertical="center" wrapText="1" readingOrder="1"/>
    </xf>
    <xf numFmtId="43" fontId="34" fillId="0" borderId="14" xfId="1" applyFont="1" applyBorder="1" applyAlignment="1">
      <alignment horizontal="right" vertical="center" wrapText="1" readingOrder="1"/>
    </xf>
    <xf numFmtId="43" fontId="34" fillId="0" borderId="15" xfId="1" applyFont="1" applyBorder="1" applyAlignment="1">
      <alignment horizontal="right" vertical="center" wrapText="1" readingOrder="1"/>
    </xf>
    <xf numFmtId="43" fontId="34" fillId="0" borderId="16" xfId="1" applyFont="1" applyBorder="1" applyAlignment="1">
      <alignment horizontal="right" vertical="center" wrapText="1" readingOrder="1"/>
    </xf>
    <xf numFmtId="20" fontId="34" fillId="0" borderId="31" xfId="0" applyNumberFormat="1" applyFont="1" applyBorder="1" applyAlignment="1">
      <alignment horizontal="right" vertical="center" wrapText="1" readingOrder="1"/>
    </xf>
    <xf numFmtId="20" fontId="34" fillId="0" borderId="32" xfId="0" applyNumberFormat="1" applyFont="1" applyBorder="1" applyAlignment="1">
      <alignment horizontal="right" vertical="center" wrapText="1" readingOrder="1"/>
    </xf>
    <xf numFmtId="20" fontId="34" fillId="0" borderId="33" xfId="0" applyNumberFormat="1" applyFont="1" applyBorder="1" applyAlignment="1">
      <alignment horizontal="right" vertical="center" wrapText="1" readingOrder="1"/>
    </xf>
    <xf numFmtId="10" fontId="34" fillId="0" borderId="14" xfId="1" applyNumberFormat="1" applyFont="1" applyBorder="1" applyAlignment="1">
      <alignment horizontal="right" vertical="center" wrapText="1" readingOrder="1"/>
    </xf>
    <xf numFmtId="0" fontId="33" fillId="0" borderId="1" xfId="0" quotePrefix="1" applyFont="1" applyBorder="1" applyAlignment="1">
      <alignment horizontal="left" vertical="center" wrapText="1" indent="5" readingOrder="1"/>
    </xf>
    <xf numFmtId="0" fontId="33" fillId="0" borderId="45" xfId="0" quotePrefix="1" applyFont="1" applyBorder="1" applyAlignment="1">
      <alignment horizontal="left" vertical="center" wrapText="1" indent="5" readingOrder="1"/>
    </xf>
    <xf numFmtId="0" fontId="33" fillId="0" borderId="0" xfId="0" quotePrefix="1" applyFont="1" applyAlignment="1">
      <alignment horizontal="left" vertical="center" wrapText="1" indent="5" readingOrder="1"/>
    </xf>
    <xf numFmtId="0" fontId="33" fillId="0" borderId="47" xfId="0" quotePrefix="1" applyFont="1" applyBorder="1" applyAlignment="1">
      <alignment horizontal="left" vertical="center" wrapText="1" indent="5" readingOrder="1"/>
    </xf>
    <xf numFmtId="0" fontId="33" fillId="0" borderId="29" xfId="0" quotePrefix="1" applyFont="1" applyBorder="1" applyAlignment="1">
      <alignment horizontal="left" vertical="center" wrapText="1" indent="5" readingOrder="1"/>
    </xf>
    <xf numFmtId="0" fontId="33" fillId="0" borderId="48" xfId="0" quotePrefix="1" applyFont="1" applyBorder="1" applyAlignment="1">
      <alignment horizontal="left" vertical="center" wrapText="1" indent="5" readingOrder="1"/>
    </xf>
    <xf numFmtId="0" fontId="34" fillId="0" borderId="8" xfId="0" applyFont="1" applyBorder="1" applyAlignment="1">
      <alignment horizontal="center" vertical="center" wrapText="1" readingOrder="1"/>
    </xf>
    <xf numFmtId="0" fontId="34" fillId="0" borderId="49" xfId="0" applyFont="1" applyBorder="1" applyAlignment="1">
      <alignment horizontal="center" vertical="center" wrapText="1" readingOrder="1"/>
    </xf>
    <xf numFmtId="0" fontId="31" fillId="0" borderId="1" xfId="0" quotePrefix="1" applyFont="1" applyBorder="1" applyAlignment="1">
      <alignment horizontal="left" vertical="center" wrapText="1" indent="5" readingOrder="1"/>
    </xf>
    <xf numFmtId="0" fontId="31" fillId="0" borderId="45" xfId="0" quotePrefix="1" applyFont="1" applyBorder="1" applyAlignment="1">
      <alignment horizontal="left" vertical="center" wrapText="1" indent="5" readingOrder="1"/>
    </xf>
    <xf numFmtId="0" fontId="31" fillId="0" borderId="0" xfId="0" quotePrefix="1" applyFont="1" applyAlignment="1">
      <alignment horizontal="left" vertical="center" wrapText="1" indent="5" readingOrder="1"/>
    </xf>
    <xf numFmtId="0" fontId="31" fillId="0" borderId="47" xfId="0" quotePrefix="1" applyFont="1" applyBorder="1" applyAlignment="1">
      <alignment horizontal="left" vertical="center" wrapText="1" indent="5" readingOrder="1"/>
    </xf>
    <xf numFmtId="0" fontId="31" fillId="0" borderId="29" xfId="0" quotePrefix="1" applyFont="1" applyBorder="1" applyAlignment="1">
      <alignment horizontal="left" vertical="center" wrapText="1" indent="5" readingOrder="1"/>
    </xf>
    <xf numFmtId="0" fontId="31" fillId="0" borderId="48" xfId="0" quotePrefix="1" applyFont="1" applyBorder="1" applyAlignment="1">
      <alignment horizontal="left" vertical="center" wrapText="1" indent="5" readingOrder="1"/>
    </xf>
    <xf numFmtId="0" fontId="30" fillId="0" borderId="8" xfId="0" applyFont="1" applyBorder="1" applyAlignment="1">
      <alignment horizontal="center" vertical="center" wrapText="1" readingOrder="1"/>
    </xf>
    <xf numFmtId="0" fontId="30" fillId="0" borderId="49" xfId="0" applyFont="1" applyBorder="1" applyAlignment="1">
      <alignment horizontal="center" vertical="center" wrapText="1" readingOrder="1"/>
    </xf>
    <xf numFmtId="0" fontId="37" fillId="4" borderId="38" xfId="0" applyFont="1" applyFill="1" applyBorder="1" applyAlignment="1">
      <alignment horizontal="right" vertical="center" wrapText="1" readingOrder="1"/>
    </xf>
    <xf numFmtId="0" fontId="37" fillId="4" borderId="39" xfId="0" applyFont="1" applyFill="1" applyBorder="1" applyAlignment="1">
      <alignment horizontal="right" vertical="center" wrapText="1" readingOrder="1"/>
    </xf>
    <xf numFmtId="0" fontId="37" fillId="4" borderId="40" xfId="0" applyFont="1" applyFill="1" applyBorder="1" applyAlignment="1">
      <alignment horizontal="right" vertical="center" wrapText="1" readingOrder="1"/>
    </xf>
    <xf numFmtId="0" fontId="37" fillId="0" borderId="8" xfId="0" applyFont="1" applyBorder="1" applyAlignment="1">
      <alignment horizontal="center" vertical="center" wrapText="1" readingOrder="1"/>
    </xf>
    <xf numFmtId="0" fontId="37" fillId="0" borderId="49" xfId="0" applyFont="1" applyBorder="1" applyAlignment="1">
      <alignment horizontal="center" vertical="center" wrapText="1" readingOrder="1"/>
    </xf>
    <xf numFmtId="10" fontId="37" fillId="0" borderId="35" xfId="0" applyNumberFormat="1" applyFont="1" applyBorder="1" applyAlignment="1">
      <alignment horizontal="right" vertical="center" wrapText="1" readingOrder="1"/>
    </xf>
    <xf numFmtId="10" fontId="37" fillId="0" borderId="36" xfId="0" applyNumberFormat="1" applyFont="1" applyBorder="1" applyAlignment="1">
      <alignment horizontal="right" vertical="center" wrapText="1" readingOrder="1"/>
    </xf>
    <xf numFmtId="10" fontId="37" fillId="0" borderId="37" xfId="0" applyNumberFormat="1" applyFont="1" applyBorder="1" applyAlignment="1">
      <alignment horizontal="right" vertical="center" wrapText="1" readingOrder="1"/>
    </xf>
    <xf numFmtId="0" fontId="36" fillId="0" borderId="1" xfId="0" quotePrefix="1" applyFont="1" applyBorder="1" applyAlignment="1">
      <alignment horizontal="left" vertical="center" wrapText="1" indent="5" readingOrder="1"/>
    </xf>
    <xf numFmtId="0" fontId="36" fillId="0" borderId="45" xfId="0" quotePrefix="1" applyFont="1" applyBorder="1" applyAlignment="1">
      <alignment horizontal="left" vertical="center" wrapText="1" indent="5" readingOrder="1"/>
    </xf>
    <xf numFmtId="0" fontId="36" fillId="0" borderId="0" xfId="0" quotePrefix="1" applyFont="1" applyAlignment="1">
      <alignment horizontal="left" vertical="center" wrapText="1" indent="5" readingOrder="1"/>
    </xf>
    <xf numFmtId="0" fontId="36" fillId="0" borderId="47" xfId="0" quotePrefix="1" applyFont="1" applyBorder="1" applyAlignment="1">
      <alignment horizontal="left" vertical="center" wrapText="1" indent="5" readingOrder="1"/>
    </xf>
    <xf numFmtId="0" fontId="36" fillId="0" borderId="29" xfId="0" quotePrefix="1" applyFont="1" applyBorder="1" applyAlignment="1">
      <alignment horizontal="left" vertical="center" wrapText="1" indent="5" readingOrder="1"/>
    </xf>
    <xf numFmtId="0" fontId="36" fillId="0" borderId="48" xfId="0" quotePrefix="1" applyFont="1" applyBorder="1" applyAlignment="1">
      <alignment horizontal="left" vertical="center" wrapText="1" indent="5" readingOrder="1"/>
    </xf>
    <xf numFmtId="10" fontId="37" fillId="0" borderId="14" xfId="2" applyNumberFormat="1" applyFont="1" applyBorder="1" applyAlignment="1">
      <alignment horizontal="right" vertical="center" wrapText="1" readingOrder="1"/>
    </xf>
    <xf numFmtId="10" fontId="37" fillId="0" borderId="15" xfId="2" applyNumberFormat="1" applyFont="1" applyBorder="1" applyAlignment="1">
      <alignment horizontal="right" vertical="center" wrapText="1" readingOrder="1"/>
    </xf>
    <xf numFmtId="10" fontId="37" fillId="0" borderId="16" xfId="2" applyNumberFormat="1" applyFont="1" applyBorder="1" applyAlignment="1">
      <alignment horizontal="right" vertical="center" wrapText="1" readingOrder="1"/>
    </xf>
    <xf numFmtId="43" fontId="37" fillId="0" borderId="14" xfId="1" applyFont="1" applyBorder="1" applyAlignment="1">
      <alignment horizontal="right" vertical="center" wrapText="1" readingOrder="1"/>
    </xf>
    <xf numFmtId="43" fontId="37" fillId="0" borderId="15" xfId="1" applyFont="1" applyBorder="1" applyAlignment="1">
      <alignment horizontal="right" vertical="center" wrapText="1" readingOrder="1"/>
    </xf>
    <xf numFmtId="43" fontId="37" fillId="0" borderId="16" xfId="1" applyFont="1" applyBorder="1" applyAlignment="1">
      <alignment horizontal="right" vertical="center" wrapText="1" readingOrder="1"/>
    </xf>
    <xf numFmtId="20" fontId="37" fillId="0" borderId="31" xfId="0" applyNumberFormat="1" applyFont="1" applyBorder="1" applyAlignment="1">
      <alignment horizontal="right" vertical="center" wrapText="1" readingOrder="1"/>
    </xf>
    <xf numFmtId="20" fontId="37" fillId="0" borderId="32" xfId="0" applyNumberFormat="1" applyFont="1" applyBorder="1" applyAlignment="1">
      <alignment horizontal="right" vertical="center" wrapText="1" readingOrder="1"/>
    </xf>
    <xf numFmtId="20" fontId="37" fillId="0" borderId="33" xfId="0" applyNumberFormat="1" applyFont="1" applyBorder="1" applyAlignment="1">
      <alignment horizontal="right" vertical="center" wrapText="1" readingOrder="1"/>
    </xf>
    <xf numFmtId="0" fontId="14" fillId="4" borderId="38" xfId="0" applyFont="1" applyFill="1" applyBorder="1" applyAlignment="1">
      <alignment horizontal="right" vertical="center" wrapText="1" readingOrder="1"/>
    </xf>
    <xf numFmtId="0" fontId="14" fillId="4" borderId="39" xfId="0" applyFont="1" applyFill="1" applyBorder="1" applyAlignment="1">
      <alignment horizontal="right" vertical="center" wrapText="1" readingOrder="1"/>
    </xf>
    <xf numFmtId="0" fontId="14" fillId="4" borderId="40" xfId="0" applyFont="1" applyFill="1" applyBorder="1" applyAlignment="1">
      <alignment horizontal="right" vertical="center" wrapText="1" readingOrder="1"/>
    </xf>
    <xf numFmtId="0" fontId="14" fillId="0" borderId="7" xfId="0" applyFont="1" applyBorder="1" applyAlignment="1">
      <alignment horizontal="center" vertical="center" wrapText="1" readingOrder="1"/>
    </xf>
    <xf numFmtId="0" fontId="14" fillId="0" borderId="8" xfId="0" applyFont="1" applyBorder="1" applyAlignment="1">
      <alignment horizontal="center" vertical="center" wrapText="1" readingOrder="1"/>
    </xf>
    <xf numFmtId="0" fontId="14" fillId="0" borderId="49" xfId="0" applyFont="1" applyBorder="1" applyAlignment="1">
      <alignment horizontal="center" vertical="center" wrapText="1" readingOrder="1"/>
    </xf>
    <xf numFmtId="10" fontId="14" fillId="0" borderId="35" xfId="0" applyNumberFormat="1" applyFont="1" applyBorder="1" applyAlignment="1">
      <alignment horizontal="right" vertical="center" wrapText="1" readingOrder="1"/>
    </xf>
    <xf numFmtId="10" fontId="14" fillId="0" borderId="36" xfId="0" applyNumberFormat="1" applyFont="1" applyBorder="1" applyAlignment="1">
      <alignment horizontal="right" vertical="center" wrapText="1" readingOrder="1"/>
    </xf>
    <xf numFmtId="10" fontId="14" fillId="0" borderId="37" xfId="0" applyNumberFormat="1" applyFont="1" applyBorder="1" applyAlignment="1">
      <alignment horizontal="right" vertical="center" wrapText="1" readingOrder="1"/>
    </xf>
    <xf numFmtId="0" fontId="24" fillId="0" borderId="44" xfId="0" quotePrefix="1" applyFont="1" applyBorder="1" applyAlignment="1">
      <alignment horizontal="left" vertical="center" wrapText="1" indent="5" readingOrder="1"/>
    </xf>
    <xf numFmtId="0" fontId="24" fillId="0" borderId="45" xfId="0" quotePrefix="1" applyFont="1" applyBorder="1" applyAlignment="1">
      <alignment horizontal="left" vertical="center" wrapText="1" indent="5" readingOrder="1"/>
    </xf>
    <xf numFmtId="0" fontId="24" fillId="0" borderId="46" xfId="0" quotePrefix="1" applyFont="1" applyBorder="1" applyAlignment="1">
      <alignment horizontal="left" vertical="center" wrapText="1" indent="5" readingOrder="1"/>
    </xf>
    <xf numFmtId="0" fontId="24" fillId="0" borderId="47" xfId="0" quotePrefix="1" applyFont="1" applyBorder="1" applyAlignment="1">
      <alignment horizontal="left" vertical="center" wrapText="1" indent="5" readingOrder="1"/>
    </xf>
    <xf numFmtId="0" fontId="24" fillId="0" borderId="50" xfId="0" quotePrefix="1" applyFont="1" applyBorder="1" applyAlignment="1">
      <alignment horizontal="left" vertical="center" wrapText="1" indent="5" readingOrder="1"/>
    </xf>
    <xf numFmtId="0" fontId="24" fillId="0" borderId="48" xfId="0" quotePrefix="1" applyFont="1" applyBorder="1" applyAlignment="1">
      <alignment horizontal="left" vertical="center" wrapText="1" indent="5" readingOrder="1"/>
    </xf>
    <xf numFmtId="10" fontId="14" fillId="0" borderId="14" xfId="2" applyNumberFormat="1" applyFont="1" applyBorder="1" applyAlignment="1">
      <alignment horizontal="right" vertical="center" wrapText="1" readingOrder="1"/>
    </xf>
    <xf numFmtId="10" fontId="14" fillId="0" borderId="15" xfId="2" applyNumberFormat="1" applyFont="1" applyBorder="1" applyAlignment="1">
      <alignment horizontal="right" vertical="center" wrapText="1" readingOrder="1"/>
    </xf>
    <xf numFmtId="10" fontId="14" fillId="0" borderId="16" xfId="2" applyNumberFormat="1" applyFont="1" applyBorder="1" applyAlignment="1">
      <alignment horizontal="right" vertical="center" wrapText="1" readingOrder="1"/>
    </xf>
    <xf numFmtId="20" fontId="14" fillId="0" borderId="31" xfId="0" applyNumberFormat="1" applyFont="1" applyBorder="1" applyAlignment="1">
      <alignment horizontal="right" vertical="center" wrapText="1" readingOrder="1"/>
    </xf>
    <xf numFmtId="20" fontId="14" fillId="0" borderId="32" xfId="0" applyNumberFormat="1" applyFont="1" applyBorder="1" applyAlignment="1">
      <alignment horizontal="right" vertical="center" wrapText="1" readingOrder="1"/>
    </xf>
    <xf numFmtId="20" fontId="14" fillId="0" borderId="33" xfId="0" applyNumberFormat="1" applyFont="1" applyBorder="1" applyAlignment="1">
      <alignment horizontal="right" vertical="center" wrapText="1" readingOrder="1"/>
    </xf>
    <xf numFmtId="10" fontId="14" fillId="0" borderId="7" xfId="0" applyNumberFormat="1" applyFont="1" applyBorder="1" applyAlignment="1">
      <alignment horizontal="right" vertical="center" wrapText="1" readingOrder="1"/>
    </xf>
    <xf numFmtId="10" fontId="14" fillId="0" borderId="8" xfId="0" applyNumberFormat="1" applyFont="1" applyBorder="1" applyAlignment="1">
      <alignment horizontal="right" vertical="center" wrapText="1" readingOrder="1"/>
    </xf>
    <xf numFmtId="10" fontId="14" fillId="0" borderId="9" xfId="0" applyNumberFormat="1" applyFont="1" applyBorder="1" applyAlignment="1">
      <alignment horizontal="right" vertical="center" wrapText="1" readingOrder="1"/>
    </xf>
    <xf numFmtId="43" fontId="14" fillId="0" borderId="2" xfId="1" applyFont="1" applyBorder="1" applyAlignment="1">
      <alignment horizontal="right" vertical="center" wrapText="1" readingOrder="1"/>
    </xf>
    <xf numFmtId="43" fontId="14" fillId="0" borderId="14" xfId="1" applyFont="1" applyFill="1" applyBorder="1" applyAlignment="1">
      <alignment horizontal="right" vertical="center" wrapText="1" readingOrder="1"/>
    </xf>
    <xf numFmtId="43" fontId="14" fillId="0" borderId="15" xfId="1" applyFont="1" applyFill="1" applyBorder="1" applyAlignment="1">
      <alignment horizontal="right" vertical="center" wrapText="1" readingOrder="1"/>
    </xf>
    <xf numFmtId="43" fontId="14" fillId="0" borderId="73" xfId="1" applyFont="1" applyFill="1" applyBorder="1" applyAlignment="1">
      <alignment horizontal="right" vertical="center" wrapText="1" readingOrder="1"/>
    </xf>
    <xf numFmtId="20" fontId="14" fillId="3" borderId="2" xfId="0" applyNumberFormat="1" applyFont="1" applyFill="1" applyBorder="1" applyAlignment="1">
      <alignment horizontal="right" vertical="center" wrapText="1" readingOrder="1"/>
    </xf>
    <xf numFmtId="20" fontId="14" fillId="0" borderId="2" xfId="0" applyNumberFormat="1" applyFont="1" applyBorder="1" applyAlignment="1">
      <alignment horizontal="right" vertical="center" wrapText="1" readingOrder="1"/>
    </xf>
    <xf numFmtId="20" fontId="14" fillId="0" borderId="71" xfId="0" applyNumberFormat="1" applyFont="1" applyBorder="1" applyAlignment="1">
      <alignment horizontal="right" vertical="center" wrapText="1" readingOrder="1"/>
    </xf>
    <xf numFmtId="0" fontId="14" fillId="4" borderId="2" xfId="0" applyFont="1" applyFill="1" applyBorder="1" applyAlignment="1">
      <alignment horizontal="right" vertical="center" wrapText="1" readingOrder="1"/>
    </xf>
    <xf numFmtId="0" fontId="14" fillId="0" borderId="14" xfId="0" applyFont="1" applyBorder="1" applyAlignment="1">
      <alignment horizontal="right" vertical="center" wrapText="1" readingOrder="1"/>
    </xf>
    <xf numFmtId="0" fontId="14" fillId="0" borderId="15" xfId="0" applyFont="1" applyBorder="1" applyAlignment="1">
      <alignment horizontal="right" vertical="center" wrapText="1" readingOrder="1"/>
    </xf>
    <xf numFmtId="0" fontId="14" fillId="0" borderId="73" xfId="0" applyFont="1" applyBorder="1" applyAlignment="1">
      <alignment horizontal="right" vertical="center" wrapText="1" readingOrder="1"/>
    </xf>
    <xf numFmtId="10" fontId="14" fillId="0" borderId="2" xfId="0" applyNumberFormat="1" applyFont="1" applyBorder="1" applyAlignment="1">
      <alignment horizontal="right" vertical="center" wrapText="1" readingOrder="1"/>
    </xf>
    <xf numFmtId="10" fontId="14" fillId="0" borderId="14" xfId="0" applyNumberFormat="1" applyFont="1" applyBorder="1" applyAlignment="1">
      <alignment horizontal="right" vertical="center" wrapText="1" readingOrder="1"/>
    </xf>
    <xf numFmtId="10" fontId="14" fillId="0" borderId="15" xfId="0" applyNumberFormat="1" applyFont="1" applyBorder="1" applyAlignment="1">
      <alignment horizontal="right" vertical="center" wrapText="1" readingOrder="1"/>
    </xf>
    <xf numFmtId="10" fontId="14" fillId="0" borderId="73" xfId="0" applyNumberFormat="1" applyFont="1" applyBorder="1" applyAlignment="1">
      <alignment horizontal="right" vertical="center" wrapText="1" readingOrder="1"/>
    </xf>
    <xf numFmtId="0" fontId="14" fillId="0" borderId="14" xfId="0" applyFont="1" applyBorder="1" applyAlignment="1">
      <alignment horizontal="left" vertical="center" wrapText="1" indent="5" readingOrder="1"/>
    </xf>
    <xf numFmtId="0" fontId="14" fillId="0" borderId="15" xfId="0" applyFont="1" applyBorder="1" applyAlignment="1">
      <alignment horizontal="left" vertical="center" wrapText="1" indent="5" readingOrder="1"/>
    </xf>
    <xf numFmtId="0" fontId="14" fillId="0" borderId="3" xfId="0" applyFont="1" applyBorder="1" applyAlignment="1">
      <alignment horizontal="left" vertical="center" wrapText="1" indent="5" readingOrder="1"/>
    </xf>
    <xf numFmtId="0" fontId="17" fillId="0" borderId="44" xfId="0" quotePrefix="1" applyFont="1" applyBorder="1" applyAlignment="1">
      <alignment horizontal="left" vertical="center" wrapText="1" indent="5" readingOrder="1"/>
    </xf>
    <xf numFmtId="0" fontId="17" fillId="0" borderId="1" xfId="0" quotePrefix="1" applyFont="1" applyBorder="1" applyAlignment="1">
      <alignment horizontal="left" vertical="center" wrapText="1" indent="5" readingOrder="1"/>
    </xf>
    <xf numFmtId="0" fontId="17" fillId="0" borderId="45" xfId="0" quotePrefix="1" applyFont="1" applyBorder="1" applyAlignment="1">
      <alignment horizontal="left" vertical="center" wrapText="1" indent="5" readingOrder="1"/>
    </xf>
    <xf numFmtId="0" fontId="17" fillId="0" borderId="46" xfId="0" quotePrefix="1" applyFont="1" applyBorder="1" applyAlignment="1">
      <alignment horizontal="left" vertical="center" wrapText="1" indent="5" readingOrder="1"/>
    </xf>
    <xf numFmtId="0" fontId="17" fillId="0" borderId="0" xfId="0" quotePrefix="1" applyFont="1" applyAlignment="1">
      <alignment horizontal="left" vertical="center" wrapText="1" indent="5" readingOrder="1"/>
    </xf>
    <xf numFmtId="0" fontId="17" fillId="0" borderId="47" xfId="0" quotePrefix="1" applyFont="1" applyBorder="1" applyAlignment="1">
      <alignment horizontal="left" vertical="center" wrapText="1" indent="5" readingOrder="1"/>
    </xf>
    <xf numFmtId="0" fontId="17" fillId="0" borderId="35" xfId="0" quotePrefix="1" applyFont="1" applyBorder="1" applyAlignment="1">
      <alignment horizontal="left" vertical="center" wrapText="1" indent="5" readingOrder="1"/>
    </xf>
    <xf numFmtId="0" fontId="17" fillId="0" borderId="36" xfId="0" quotePrefix="1" applyFont="1" applyBorder="1" applyAlignment="1">
      <alignment horizontal="left" vertical="center" wrapText="1" indent="5" readingOrder="1"/>
    </xf>
    <xf numFmtId="0" fontId="17" fillId="0" borderId="5" xfId="0" quotePrefix="1" applyFont="1" applyBorder="1" applyAlignment="1">
      <alignment horizontal="left" vertical="center" wrapText="1" indent="5" readingOrder="1"/>
    </xf>
    <xf numFmtId="10" fontId="14" fillId="0" borderId="2" xfId="1" applyNumberFormat="1" applyFont="1" applyBorder="1" applyAlignment="1">
      <alignment horizontal="right" vertical="center" wrapText="1" readingOrder="1"/>
    </xf>
    <xf numFmtId="165" fontId="14" fillId="0" borderId="2" xfId="2" applyNumberFormat="1" applyFont="1" applyBorder="1" applyAlignment="1">
      <alignment horizontal="right" vertical="center" wrapText="1" readingOrder="1"/>
    </xf>
    <xf numFmtId="168" fontId="14" fillId="0" borderId="2" xfId="2" applyNumberFormat="1" applyFont="1" applyBorder="1" applyAlignment="1">
      <alignment horizontal="right" vertical="center" wrapText="1" readingOrder="1"/>
    </xf>
    <xf numFmtId="168" fontId="14" fillId="0" borderId="2" xfId="2" applyNumberFormat="1" applyFont="1" applyFill="1" applyBorder="1" applyAlignment="1">
      <alignment horizontal="right" vertical="center" wrapText="1" readingOrder="1"/>
    </xf>
    <xf numFmtId="167" fontId="14" fillId="0" borderId="2" xfId="1" applyNumberFormat="1" applyFont="1" applyBorder="1" applyAlignment="1">
      <alignment horizontal="right" vertical="center" wrapText="1" readingOrder="1"/>
    </xf>
    <xf numFmtId="10" fontId="14" fillId="0" borderId="2" xfId="2" applyNumberFormat="1" applyFont="1" applyBorder="1" applyAlignment="1">
      <alignment horizontal="right" vertical="center" wrapText="1" readingOrder="1"/>
    </xf>
    <xf numFmtId="0" fontId="14" fillId="4" borderId="58" xfId="0" applyFont="1" applyFill="1" applyBorder="1" applyAlignment="1">
      <alignment horizontal="right" vertical="center" wrapText="1" readingOrder="1"/>
    </xf>
    <xf numFmtId="0" fontId="14" fillId="4" borderId="59" xfId="0" applyFont="1" applyFill="1" applyBorder="1" applyAlignment="1">
      <alignment horizontal="right" vertical="center" wrapText="1" readingOrder="1"/>
    </xf>
    <xf numFmtId="0" fontId="14" fillId="4" borderId="60" xfId="0" applyFont="1" applyFill="1" applyBorder="1" applyAlignment="1">
      <alignment horizontal="right" vertical="center" wrapText="1" readingOrder="1"/>
    </xf>
    <xf numFmtId="0" fontId="14" fillId="0" borderId="58" xfId="0" applyFont="1" applyBorder="1" applyAlignment="1">
      <alignment horizontal="center" vertical="center" wrapText="1" readingOrder="1"/>
    </xf>
    <xf numFmtId="0" fontId="14" fillId="0" borderId="59" xfId="0" applyFont="1" applyBorder="1" applyAlignment="1">
      <alignment horizontal="center" vertical="center" wrapText="1" readingOrder="1"/>
    </xf>
    <xf numFmtId="0" fontId="14" fillId="0" borderId="60" xfId="0" applyFont="1" applyBorder="1" applyAlignment="1">
      <alignment horizontal="center" vertical="center" wrapText="1" readingOrder="1"/>
    </xf>
    <xf numFmtId="43" fontId="14" fillId="0" borderId="14" xfId="1" applyFont="1" applyBorder="1" applyAlignment="1">
      <alignment horizontal="right" vertical="center" wrapText="1" readingOrder="1"/>
    </xf>
    <xf numFmtId="43" fontId="14" fillId="0" borderId="15" xfId="1" applyFont="1" applyBorder="1" applyAlignment="1">
      <alignment horizontal="right" vertical="center" wrapText="1" readingOrder="1"/>
    </xf>
    <xf numFmtId="43" fontId="14" fillId="0" borderId="16" xfId="1" applyFont="1" applyBorder="1" applyAlignment="1">
      <alignment horizontal="right" vertical="center" wrapText="1" readingOrder="1"/>
    </xf>
    <xf numFmtId="168" fontId="14" fillId="0" borderId="14" xfId="2" applyNumberFormat="1" applyFont="1" applyBorder="1" applyAlignment="1">
      <alignment horizontal="right" vertical="center" wrapText="1" readingOrder="1"/>
    </xf>
    <xf numFmtId="168" fontId="14" fillId="0" borderId="15" xfId="2" applyNumberFormat="1" applyFont="1" applyBorder="1" applyAlignment="1">
      <alignment horizontal="right" vertical="center" wrapText="1" readingOrder="1"/>
    </xf>
    <xf numFmtId="168" fontId="14" fillId="0" borderId="16" xfId="2" applyNumberFormat="1" applyFont="1" applyBorder="1" applyAlignment="1">
      <alignment horizontal="right" vertical="center" wrapText="1" readingOrder="1"/>
    </xf>
    <xf numFmtId="0" fontId="14" fillId="0" borderId="14" xfId="0" applyFont="1" applyBorder="1" applyAlignment="1">
      <alignment horizontal="center" vertical="center" wrapText="1" readingOrder="1"/>
    </xf>
    <xf numFmtId="0" fontId="14" fillId="0" borderId="15" xfId="0" applyFont="1" applyBorder="1" applyAlignment="1">
      <alignment horizontal="center" vertical="center" wrapText="1" readingOrder="1"/>
    </xf>
    <xf numFmtId="0" fontId="14" fillId="0" borderId="3" xfId="0" applyFont="1" applyBorder="1" applyAlignment="1">
      <alignment horizontal="center" vertical="center" wrapText="1" readingOrder="1"/>
    </xf>
    <xf numFmtId="0" fontId="24" fillId="0" borderId="35" xfId="0" quotePrefix="1" applyFont="1" applyBorder="1" applyAlignment="1">
      <alignment horizontal="left" vertical="center" wrapText="1" indent="5" readingOrder="1"/>
    </xf>
    <xf numFmtId="0" fontId="24" fillId="0" borderId="36" xfId="0" quotePrefix="1" applyFont="1" applyBorder="1" applyAlignment="1">
      <alignment horizontal="left" vertical="center" wrapText="1" indent="5" readingOrder="1"/>
    </xf>
    <xf numFmtId="0" fontId="24" fillId="0" borderId="5" xfId="0" quotePrefix="1" applyFont="1" applyBorder="1" applyAlignment="1">
      <alignment horizontal="left" vertical="center" wrapText="1" indent="5" readingOrder="1"/>
    </xf>
    <xf numFmtId="0" fontId="14" fillId="0" borderId="14" xfId="0" applyFont="1" applyBorder="1" applyAlignment="1">
      <alignment horizontal="left" vertical="center" wrapText="1" readingOrder="1"/>
    </xf>
    <xf numFmtId="0" fontId="14" fillId="0" borderId="15" xfId="0" applyFont="1" applyBorder="1" applyAlignment="1">
      <alignment horizontal="left" vertical="center" wrapText="1" readingOrder="1"/>
    </xf>
    <xf numFmtId="0" fontId="14" fillId="0" borderId="3" xfId="0" applyFont="1" applyBorder="1" applyAlignment="1">
      <alignment horizontal="left" vertical="center" wrapText="1" readingOrder="1"/>
    </xf>
    <xf numFmtId="165" fontId="14" fillId="0" borderId="14" xfId="2" applyNumberFormat="1" applyFont="1" applyBorder="1" applyAlignment="1">
      <alignment horizontal="right" vertical="center" wrapText="1" readingOrder="1"/>
    </xf>
    <xf numFmtId="165" fontId="14" fillId="0" borderId="15" xfId="2" applyNumberFormat="1" applyFont="1" applyBorder="1" applyAlignment="1">
      <alignment horizontal="right" vertical="center" wrapText="1" readingOrder="1"/>
    </xf>
    <xf numFmtId="165" fontId="14" fillId="0" borderId="16" xfId="2" applyNumberFormat="1" applyFont="1" applyBorder="1" applyAlignment="1">
      <alignment horizontal="right" vertical="center" wrapText="1" readingOrder="1"/>
    </xf>
    <xf numFmtId="20" fontId="14" fillId="5" borderId="31" xfId="0" applyNumberFormat="1" applyFont="1" applyFill="1" applyBorder="1" applyAlignment="1">
      <alignment horizontal="right" vertical="center" wrapText="1" readingOrder="1"/>
    </xf>
    <xf numFmtId="20" fontId="14" fillId="5" borderId="32" xfId="0" applyNumberFormat="1" applyFont="1" applyFill="1" applyBorder="1" applyAlignment="1">
      <alignment horizontal="right" vertical="center" wrapText="1" readingOrder="1"/>
    </xf>
    <xf numFmtId="20" fontId="14" fillId="5" borderId="33" xfId="0" applyNumberFormat="1" applyFont="1" applyFill="1" applyBorder="1" applyAlignment="1">
      <alignment horizontal="right" vertical="center" wrapText="1" readingOrder="1"/>
    </xf>
    <xf numFmtId="167" fontId="14" fillId="0" borderId="14" xfId="1" applyNumberFormat="1" applyFont="1" applyBorder="1" applyAlignment="1">
      <alignment horizontal="right" vertical="center" wrapText="1" readingOrder="1"/>
    </xf>
    <xf numFmtId="167" fontId="14" fillId="0" borderId="15" xfId="1" applyNumberFormat="1" applyFont="1" applyBorder="1" applyAlignment="1">
      <alignment horizontal="right" vertical="center" wrapText="1" readingOrder="1"/>
    </xf>
    <xf numFmtId="167" fontId="14" fillId="0" borderId="16" xfId="1" applyNumberFormat="1" applyFont="1" applyBorder="1" applyAlignment="1">
      <alignment horizontal="right" vertical="center" wrapText="1" readingOrder="1"/>
    </xf>
    <xf numFmtId="0" fontId="14" fillId="0" borderId="35" xfId="0" applyFont="1" applyBorder="1" applyAlignment="1">
      <alignment horizontal="left" vertical="center" wrapText="1" indent="5" readingOrder="1"/>
    </xf>
    <xf numFmtId="0" fontId="14" fillId="0" borderId="36" xfId="0" applyFont="1" applyBorder="1" applyAlignment="1">
      <alignment horizontal="left" vertical="center" wrapText="1" indent="5" readingOrder="1"/>
    </xf>
    <xf numFmtId="0" fontId="14" fillId="0" borderId="5" xfId="0" applyFont="1" applyBorder="1" applyAlignment="1">
      <alignment horizontal="left" vertical="center" wrapText="1" indent="5" readingOrder="1"/>
    </xf>
    <xf numFmtId="10" fontId="41" fillId="0" borderId="35" xfId="0" applyNumberFormat="1" applyFont="1" applyBorder="1" applyAlignment="1">
      <alignment horizontal="right" vertical="center" wrapText="1" indent="2" readingOrder="1"/>
    </xf>
    <xf numFmtId="10" fontId="41" fillId="0" borderId="36" xfId="0" applyNumberFormat="1" applyFont="1" applyBorder="1" applyAlignment="1">
      <alignment horizontal="right" vertical="center" wrapText="1" indent="2" readingOrder="1"/>
    </xf>
    <xf numFmtId="10" fontId="41" fillId="0" borderId="37" xfId="0" applyNumberFormat="1" applyFont="1" applyBorder="1" applyAlignment="1">
      <alignment horizontal="right" vertical="center" wrapText="1" indent="2" readingOrder="1"/>
    </xf>
    <xf numFmtId="10" fontId="41" fillId="0" borderId="14" xfId="2" applyNumberFormat="1" applyFont="1" applyBorder="1" applyAlignment="1">
      <alignment horizontal="right" vertical="center" wrapText="1" indent="2" readingOrder="1"/>
    </xf>
    <xf numFmtId="10" fontId="41" fillId="0" borderId="15" xfId="2" applyNumberFormat="1" applyFont="1" applyBorder="1" applyAlignment="1">
      <alignment horizontal="right" vertical="center" wrapText="1" indent="2" readingOrder="1"/>
    </xf>
    <xf numFmtId="10"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indent="2" readingOrder="1"/>
    </xf>
    <xf numFmtId="20" fontId="41" fillId="0" borderId="32" xfId="0" applyNumberFormat="1" applyFont="1" applyBorder="1" applyAlignment="1">
      <alignment horizontal="right" vertical="center" wrapText="1" indent="2" readingOrder="1"/>
    </xf>
    <xf numFmtId="20" fontId="41" fillId="0" borderId="33" xfId="0"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indent="2" readingOrder="1"/>
    </xf>
    <xf numFmtId="0" fontId="41" fillId="4" borderId="39" xfId="0" applyFont="1" applyFill="1" applyBorder="1" applyAlignment="1">
      <alignment horizontal="right" vertical="center" wrapText="1" indent="2" readingOrder="1"/>
    </xf>
    <xf numFmtId="0" fontId="41" fillId="4" borderId="40" xfId="0" applyFont="1" applyFill="1" applyBorder="1" applyAlignment="1">
      <alignment horizontal="right" vertical="center" wrapText="1" indent="2" readingOrder="1"/>
    </xf>
    <xf numFmtId="167" fontId="41" fillId="0" borderId="14" xfId="1" applyNumberFormat="1" applyFont="1" applyBorder="1" applyAlignment="1">
      <alignment horizontal="right" vertical="center" wrapText="1" indent="2" readingOrder="1"/>
    </xf>
    <xf numFmtId="167" fontId="41" fillId="0" borderId="15" xfId="1" applyNumberFormat="1" applyFont="1" applyBorder="1" applyAlignment="1">
      <alignment horizontal="right" vertical="center" wrapText="1" indent="2" readingOrder="1"/>
    </xf>
    <xf numFmtId="167" fontId="41" fillId="0" borderId="16" xfId="1" applyNumberFormat="1" applyFont="1" applyBorder="1" applyAlignment="1">
      <alignment horizontal="right" vertical="center" wrapText="1" indent="2" readingOrder="1"/>
    </xf>
    <xf numFmtId="0" fontId="41" fillId="4" borderId="38" xfId="0" applyFont="1" applyFill="1" applyBorder="1" applyAlignment="1">
      <alignment horizontal="right" vertical="center" wrapText="1" readingOrder="1"/>
    </xf>
    <xf numFmtId="0" fontId="41" fillId="4" borderId="39" xfId="0" applyFont="1" applyFill="1" applyBorder="1" applyAlignment="1">
      <alignment horizontal="right" vertical="center" wrapText="1" readingOrder="1"/>
    </xf>
    <xf numFmtId="0" fontId="41" fillId="4" borderId="40" xfId="0" applyFont="1" applyFill="1" applyBorder="1" applyAlignment="1">
      <alignment horizontal="right" vertical="center" wrapText="1" readingOrder="1"/>
    </xf>
    <xf numFmtId="10" fontId="41" fillId="0" borderId="35" xfId="0" applyNumberFormat="1" applyFont="1" applyBorder="1" applyAlignment="1">
      <alignment horizontal="right" vertical="center" wrapText="1" readingOrder="1"/>
    </xf>
    <xf numFmtId="10" fontId="41" fillId="0" borderId="36" xfId="0" applyNumberFormat="1" applyFont="1" applyBorder="1" applyAlignment="1">
      <alignment horizontal="right" vertical="center" wrapText="1" readingOrder="1"/>
    </xf>
    <xf numFmtId="10" fontId="41" fillId="0" borderId="37"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indent="2" readingOrder="1"/>
    </xf>
    <xf numFmtId="168" fontId="41" fillId="0" borderId="15" xfId="2" applyNumberFormat="1" applyFont="1" applyBorder="1" applyAlignment="1">
      <alignment horizontal="right" vertical="center" wrapText="1" indent="2" readingOrder="1"/>
    </xf>
    <xf numFmtId="168" fontId="41" fillId="0" borderId="16" xfId="2" applyNumberFormat="1" applyFont="1" applyBorder="1" applyAlignment="1">
      <alignment horizontal="right" vertical="center" wrapText="1" indent="2" readingOrder="1"/>
    </xf>
    <xf numFmtId="20" fontId="41" fillId="0" borderId="31" xfId="0" applyNumberFormat="1" applyFont="1" applyBorder="1" applyAlignment="1">
      <alignment horizontal="right" vertical="center" wrapText="1" readingOrder="1"/>
    </xf>
    <xf numFmtId="20" fontId="41" fillId="0" borderId="32" xfId="0" applyNumberFormat="1" applyFont="1" applyBorder="1" applyAlignment="1">
      <alignment horizontal="right" vertical="center" wrapText="1" readingOrder="1"/>
    </xf>
    <xf numFmtId="20" fontId="41" fillId="0" borderId="33" xfId="0" applyNumberFormat="1" applyFont="1" applyBorder="1" applyAlignment="1">
      <alignment horizontal="right" vertical="center" wrapText="1" readingOrder="1"/>
    </xf>
    <xf numFmtId="0" fontId="43" fillId="4" borderId="38" xfId="0" applyFont="1" applyFill="1" applyBorder="1" applyAlignment="1">
      <alignment horizontal="right" vertical="center" wrapText="1" readingOrder="1"/>
    </xf>
    <xf numFmtId="0" fontId="43" fillId="4" borderId="39" xfId="0" applyFont="1" applyFill="1" applyBorder="1" applyAlignment="1">
      <alignment horizontal="right" vertical="center" wrapText="1" readingOrder="1"/>
    </xf>
    <xf numFmtId="0" fontId="43" fillId="4" borderId="40" xfId="0" applyFont="1" applyFill="1" applyBorder="1" applyAlignment="1">
      <alignment horizontal="right" vertical="center" wrapText="1" readingOrder="1"/>
    </xf>
    <xf numFmtId="10" fontId="41" fillId="0" borderId="7" xfId="0" applyNumberFormat="1" applyFont="1" applyBorder="1" applyAlignment="1">
      <alignment horizontal="right" vertical="center" wrapText="1" indent="2" readingOrder="1"/>
    </xf>
    <xf numFmtId="10" fontId="41" fillId="0" borderId="8" xfId="0" applyNumberFormat="1" applyFont="1" applyBorder="1" applyAlignment="1">
      <alignment horizontal="right" vertical="center" wrapText="1" indent="2" readingOrder="1"/>
    </xf>
    <xf numFmtId="10" fontId="41" fillId="0" borderId="9" xfId="0" applyNumberFormat="1" applyFont="1" applyBorder="1" applyAlignment="1">
      <alignment horizontal="right" vertical="center" wrapText="1" indent="2" readingOrder="1"/>
    </xf>
    <xf numFmtId="10" fontId="41" fillId="0" borderId="7" xfId="0" applyNumberFormat="1" applyFont="1" applyBorder="1" applyAlignment="1">
      <alignment horizontal="right" vertical="center" wrapText="1" readingOrder="1"/>
    </xf>
    <xf numFmtId="10" fontId="41" fillId="0" borderId="8" xfId="0" applyNumberFormat="1" applyFont="1" applyBorder="1" applyAlignment="1">
      <alignment horizontal="right" vertical="center" wrapText="1" readingOrder="1"/>
    </xf>
    <xf numFmtId="10" fontId="41" fillId="0" borderId="9" xfId="0" applyNumberFormat="1" applyFont="1" applyBorder="1" applyAlignment="1">
      <alignment horizontal="right" vertical="center" wrapText="1" readingOrder="1"/>
    </xf>
    <xf numFmtId="168" fontId="41" fillId="0" borderId="14" xfId="2" applyNumberFormat="1" applyFont="1" applyBorder="1" applyAlignment="1">
      <alignment horizontal="right" vertical="center" wrapText="1" readingOrder="1"/>
    </xf>
    <xf numFmtId="168" fontId="41" fillId="0" borderId="15" xfId="2" applyNumberFormat="1" applyFont="1" applyBorder="1" applyAlignment="1">
      <alignment horizontal="right" vertical="center" wrapText="1" readingOrder="1"/>
    </xf>
    <xf numFmtId="168" fontId="41" fillId="0" borderId="16" xfId="2" applyNumberFormat="1" applyFont="1" applyBorder="1" applyAlignment="1">
      <alignment horizontal="right" vertical="center" wrapText="1" readingOrder="1"/>
    </xf>
    <xf numFmtId="10" fontId="41" fillId="0" borderId="14" xfId="2" applyNumberFormat="1" applyFont="1" applyBorder="1" applyAlignment="1">
      <alignment horizontal="right" vertical="center" wrapText="1" readingOrder="1"/>
    </xf>
    <xf numFmtId="10" fontId="41" fillId="0" borderId="15" xfId="2" applyNumberFormat="1" applyFont="1" applyBorder="1" applyAlignment="1">
      <alignment horizontal="right" vertical="center" wrapText="1" readingOrder="1"/>
    </xf>
    <xf numFmtId="10" fontId="41" fillId="0" borderId="16" xfId="2" applyNumberFormat="1" applyFont="1" applyBorder="1" applyAlignment="1">
      <alignment horizontal="right" vertical="center" wrapText="1" readingOrder="1"/>
    </xf>
    <xf numFmtId="0" fontId="49" fillId="0" borderId="85" xfId="0" quotePrefix="1" applyFont="1" applyBorder="1" applyAlignment="1">
      <alignment horizontal="left" vertical="center" wrapText="1" indent="5" readingOrder="1"/>
    </xf>
    <xf numFmtId="0" fontId="49" fillId="0" borderId="86" xfId="0" quotePrefix="1" applyFont="1" applyBorder="1" applyAlignment="1">
      <alignment horizontal="left" vertical="center" wrapText="1" indent="5" readingOrder="1"/>
    </xf>
    <xf numFmtId="10" fontId="48" fillId="0" borderId="7" xfId="0" applyNumberFormat="1" applyFont="1" applyBorder="1" applyAlignment="1">
      <alignment horizontal="right" vertical="center" wrapText="1" indent="2" readingOrder="1"/>
    </xf>
    <xf numFmtId="10" fontId="48" fillId="0" borderId="8" xfId="0" applyNumberFormat="1" applyFont="1" applyBorder="1" applyAlignment="1">
      <alignment horizontal="right" vertical="center" wrapText="1" indent="2" readingOrder="1"/>
    </xf>
    <xf numFmtId="10" fontId="48" fillId="0" borderId="9" xfId="0" applyNumberFormat="1" applyFont="1" applyBorder="1" applyAlignment="1">
      <alignment horizontal="right" vertical="center" wrapText="1" indent="2" readingOrder="1"/>
    </xf>
    <xf numFmtId="43" fontId="48" fillId="0" borderId="15" xfId="2" applyNumberFormat="1" applyFont="1" applyBorder="1" applyAlignment="1">
      <alignment horizontal="right" vertical="center" wrapText="1" indent="2" readingOrder="1"/>
    </xf>
    <xf numFmtId="43" fontId="48" fillId="0" borderId="16" xfId="2" applyNumberFormat="1" applyFont="1" applyBorder="1" applyAlignment="1">
      <alignment horizontal="right" vertical="center" wrapText="1" indent="2" readingOrder="1"/>
    </xf>
    <xf numFmtId="0" fontId="19" fillId="4" borderId="38" xfId="0" applyFont="1" applyFill="1" applyBorder="1" applyAlignment="1">
      <alignment horizontal="right" vertical="center" wrapText="1" indent="2" readingOrder="1"/>
    </xf>
    <xf numFmtId="0" fontId="19" fillId="4" borderId="39" xfId="0" applyFont="1" applyFill="1" applyBorder="1" applyAlignment="1">
      <alignment horizontal="right" vertical="center" wrapText="1" indent="2" readingOrder="1"/>
    </xf>
    <xf numFmtId="0" fontId="19" fillId="4" borderId="40" xfId="0" applyFont="1" applyFill="1" applyBorder="1" applyAlignment="1">
      <alignment horizontal="right" vertical="center" wrapText="1" indent="2" readingOrder="1"/>
    </xf>
    <xf numFmtId="10" fontId="19" fillId="0" borderId="14" xfId="1" applyNumberFormat="1" applyFont="1" applyBorder="1" applyAlignment="1">
      <alignment horizontal="right" vertical="center" wrapText="1" indent="2" readingOrder="1"/>
    </xf>
    <xf numFmtId="43" fontId="19" fillId="0" borderId="15" xfId="1" applyFont="1" applyBorder="1" applyAlignment="1">
      <alignment horizontal="right" vertical="center" wrapText="1" indent="2" readingOrder="1"/>
    </xf>
    <xf numFmtId="43" fontId="19" fillId="0" borderId="16" xfId="1" applyFont="1" applyBorder="1" applyAlignment="1">
      <alignment horizontal="right" vertical="center" wrapText="1" indent="2" readingOrder="1"/>
    </xf>
    <xf numFmtId="167" fontId="19" fillId="0" borderId="14" xfId="1" applyNumberFormat="1" applyFont="1" applyBorder="1" applyAlignment="1">
      <alignment horizontal="right" vertical="center" wrapText="1" indent="2" readingOrder="1"/>
    </xf>
    <xf numFmtId="167" fontId="19" fillId="0" borderId="15" xfId="1" applyNumberFormat="1" applyFont="1" applyBorder="1" applyAlignment="1">
      <alignment horizontal="right" vertical="center" wrapText="1" indent="2" readingOrder="1"/>
    </xf>
    <xf numFmtId="167" fontId="19" fillId="0" borderId="16" xfId="1" applyNumberFormat="1" applyFont="1" applyBorder="1" applyAlignment="1">
      <alignment horizontal="right" vertical="center" wrapText="1" indent="2" readingOrder="1"/>
    </xf>
    <xf numFmtId="43" fontId="19" fillId="0" borderId="14" xfId="1" applyFont="1" applyBorder="1" applyAlignment="1">
      <alignment horizontal="right" vertical="center" wrapText="1" indent="2" readingOrder="1"/>
    </xf>
    <xf numFmtId="10" fontId="19" fillId="0" borderId="14" xfId="2" applyNumberFormat="1" applyFont="1" applyBorder="1" applyAlignment="1">
      <alignment horizontal="right" vertical="center" wrapText="1" indent="2" readingOrder="1"/>
    </xf>
    <xf numFmtId="10" fontId="19" fillId="0" borderId="15" xfId="2" applyNumberFormat="1" applyFont="1" applyBorder="1" applyAlignment="1">
      <alignment horizontal="right" vertical="center" wrapText="1" indent="2" readingOrder="1"/>
    </xf>
    <xf numFmtId="10" fontId="19" fillId="0" borderId="16" xfId="2" applyNumberFormat="1" applyFont="1" applyBorder="1" applyAlignment="1">
      <alignment horizontal="right" vertical="center" wrapText="1" indent="2" readingOrder="1"/>
    </xf>
    <xf numFmtId="168" fontId="19" fillId="0" borderId="14" xfId="2" applyNumberFormat="1" applyFont="1" applyBorder="1" applyAlignment="1">
      <alignment horizontal="right" vertical="center" wrapText="1" indent="2" readingOrder="1"/>
    </xf>
    <xf numFmtId="168" fontId="19" fillId="0" borderId="15" xfId="2" applyNumberFormat="1" applyFont="1" applyBorder="1" applyAlignment="1">
      <alignment horizontal="right" vertical="center" wrapText="1" indent="2" readingOrder="1"/>
    </xf>
    <xf numFmtId="168" fontId="19" fillId="0" borderId="16" xfId="2" applyNumberFormat="1" applyFont="1" applyBorder="1" applyAlignment="1">
      <alignment horizontal="right" vertical="center" wrapText="1" indent="2" readingOrder="1"/>
    </xf>
    <xf numFmtId="10" fontId="48" fillId="0" borderId="15" xfId="1" applyNumberFormat="1" applyFont="1" applyFill="1" applyBorder="1" applyAlignment="1">
      <alignment horizontal="right" vertical="center" wrapText="1" indent="2" readingOrder="1"/>
    </xf>
    <xf numFmtId="10" fontId="48" fillId="0" borderId="16" xfId="1" applyNumberFormat="1" applyFont="1" applyFill="1" applyBorder="1" applyAlignment="1">
      <alignment horizontal="right" vertical="center" wrapText="1" indent="2" readingOrder="1"/>
    </xf>
    <xf numFmtId="43" fontId="48" fillId="0" borderId="31" xfId="1" applyFont="1" applyBorder="1" applyAlignment="1">
      <alignment horizontal="right" vertical="center" wrapText="1" indent="2" readingOrder="1"/>
    </xf>
    <xf numFmtId="43" fontId="48" fillId="0" borderId="32" xfId="1" applyFont="1" applyBorder="1" applyAlignment="1">
      <alignment horizontal="right" vertical="center" wrapText="1" indent="2" readingOrder="1"/>
    </xf>
    <xf numFmtId="43" fontId="48" fillId="0" borderId="33" xfId="1" applyFont="1" applyBorder="1" applyAlignment="1">
      <alignment horizontal="right" vertical="center" wrapText="1" indent="2" readingOrder="1"/>
    </xf>
    <xf numFmtId="10" fontId="48" fillId="0" borderId="15" xfId="1" applyNumberFormat="1" applyFont="1" applyBorder="1" applyAlignment="1">
      <alignment horizontal="right" vertical="center" wrapText="1" indent="2" readingOrder="1"/>
    </xf>
    <xf numFmtId="10" fontId="48" fillId="0" borderId="16" xfId="1" applyNumberFormat="1" applyFont="1" applyBorder="1" applyAlignment="1">
      <alignment horizontal="right" vertical="center" wrapText="1" indent="2" readingOrder="1"/>
    </xf>
    <xf numFmtId="10" fontId="48" fillId="3" borderId="14" xfId="2" applyNumberFormat="1" applyFont="1" applyFill="1" applyBorder="1" applyAlignment="1">
      <alignment horizontal="right" vertical="center" wrapText="1" indent="2" readingOrder="1"/>
    </xf>
    <xf numFmtId="10" fontId="48" fillId="3" borderId="15" xfId="2" applyNumberFormat="1" applyFont="1" applyFill="1" applyBorder="1" applyAlignment="1">
      <alignment horizontal="right" vertical="center" wrapText="1" indent="2" readingOrder="1"/>
    </xf>
    <xf numFmtId="10" fontId="48" fillId="3" borderId="16" xfId="2" applyNumberFormat="1" applyFont="1" applyFill="1" applyBorder="1" applyAlignment="1">
      <alignment horizontal="right" vertical="center" wrapText="1" indent="2" readingOrder="1"/>
    </xf>
    <xf numFmtId="168" fontId="48" fillId="0" borderId="14" xfId="2" applyNumberFormat="1" applyFont="1" applyFill="1" applyBorder="1" applyAlignment="1">
      <alignment horizontal="right" vertical="center" wrapText="1" indent="2" readingOrder="1"/>
    </xf>
    <xf numFmtId="168" fontId="48" fillId="0" borderId="15" xfId="2" applyNumberFormat="1" applyFont="1" applyFill="1" applyBorder="1" applyAlignment="1">
      <alignment horizontal="right" vertical="center" wrapText="1" indent="2" readingOrder="1"/>
    </xf>
    <xf numFmtId="168" fontId="48" fillId="0" borderId="16" xfId="2" applyNumberFormat="1" applyFont="1" applyFill="1" applyBorder="1" applyAlignment="1">
      <alignment horizontal="right" vertical="center" wrapText="1" indent="2" readingOrder="1"/>
    </xf>
    <xf numFmtId="43" fontId="21" fillId="0" borderId="2" xfId="1" applyFont="1" applyFill="1" applyBorder="1" applyAlignment="1">
      <alignment horizontal="right" vertical="center"/>
    </xf>
    <xf numFmtId="43" fontId="21" fillId="0" borderId="2" xfId="1" quotePrefix="1" applyFont="1" applyFill="1" applyBorder="1" applyAlignment="1">
      <alignment horizontal="right" vertical="center" wrapText="1"/>
    </xf>
    <xf numFmtId="43" fontId="21" fillId="0" borderId="2" xfId="1" quotePrefix="1" applyFont="1" applyFill="1" applyBorder="1" applyAlignment="1">
      <alignment horizontal="right" vertical="center"/>
    </xf>
  </cellXfs>
  <cellStyles count="3">
    <cellStyle name="Comma" xfId="1" builtinId="3"/>
    <cellStyle name="Normal" xfId="0" builtinId="0"/>
    <cellStyle name="Percent" xfId="2" builtinId="5"/>
  </cellStyles>
  <dxfs count="13">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hyperlink" Target="mailto:22@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3DCB9-5E74-874B-8432-3513A5C20642}">
  <dimension ref="A1:L983"/>
  <sheetViews>
    <sheetView showGridLines="0" zoomScale="80" zoomScaleNormal="80" workbookViewId="0">
      <pane ySplit="2" topLeftCell="A853" activePane="bottomLeft" state="frozen"/>
      <selection pane="bottomLeft" activeCell="F864" sqref="F864"/>
    </sheetView>
  </sheetViews>
  <sheetFormatPr baseColWidth="10" defaultRowHeight="16"/>
  <cols>
    <col min="1" max="1" width="2" style="569" customWidth="1"/>
    <col min="7" max="7" width="38.83203125" bestFit="1" customWidth="1"/>
    <col min="8" max="8" width="10.5" style="1" bestFit="1" customWidth="1"/>
    <col min="9" max="9" width="28" style="1" bestFit="1" customWidth="1"/>
    <col min="11" max="11" width="92.1640625" customWidth="1"/>
  </cols>
  <sheetData>
    <row r="1" spans="1:11">
      <c r="A1" s="568" t="s">
        <v>105</v>
      </c>
      <c r="B1" s="2" t="s">
        <v>36</v>
      </c>
      <c r="J1" s="1"/>
    </row>
    <row r="2" spans="1:11">
      <c r="B2" s="26" t="s">
        <v>35</v>
      </c>
      <c r="C2" s="26" t="s">
        <v>34</v>
      </c>
      <c r="D2" s="26" t="s">
        <v>33</v>
      </c>
      <c r="E2" s="26" t="s">
        <v>32</v>
      </c>
      <c r="F2" s="26" t="s">
        <v>31</v>
      </c>
      <c r="G2" s="27" t="s">
        <v>30</v>
      </c>
      <c r="H2" s="28" t="s">
        <v>29</v>
      </c>
      <c r="I2" s="28" t="s">
        <v>28</v>
      </c>
      <c r="J2" s="28" t="s">
        <v>27</v>
      </c>
      <c r="K2" s="4" t="s">
        <v>75</v>
      </c>
    </row>
    <row r="3" spans="1:11">
      <c r="A3" s="568" t="s">
        <v>105</v>
      </c>
      <c r="B3" s="29">
        <v>45474</v>
      </c>
      <c r="C3" s="30" t="str">
        <f>VLOOKUP(WEEKDAY(B3,2),'EC-Commands'!$D$13:$E$19,2,FALSE)</f>
        <v>Mon</v>
      </c>
      <c r="D3" s="31">
        <v>0.72916666666666663</v>
      </c>
      <c r="E3" s="32" t="s">
        <v>22</v>
      </c>
      <c r="F3" s="32">
        <v>3</v>
      </c>
      <c r="G3" s="32" t="s">
        <v>26</v>
      </c>
      <c r="H3" s="34"/>
      <c r="I3" s="35">
        <v>2E-3</v>
      </c>
      <c r="J3" s="35">
        <v>1E-3</v>
      </c>
      <c r="K3" s="33"/>
    </row>
    <row r="4" spans="1:11">
      <c r="B4" s="29">
        <v>45474</v>
      </c>
      <c r="C4" s="30" t="str">
        <f>VLOOKUP(WEEKDAY(B4,2),'EC-Commands'!$D$13:$E$19,2,FALSE)</f>
        <v>Mon</v>
      </c>
      <c r="D4" s="31">
        <v>0.80208333333333337</v>
      </c>
      <c r="E4" s="32" t="s">
        <v>1</v>
      </c>
      <c r="F4" s="32">
        <v>3</v>
      </c>
      <c r="G4" s="32" t="s">
        <v>25</v>
      </c>
      <c r="H4" s="34"/>
      <c r="I4" s="34">
        <v>51.7</v>
      </c>
      <c r="J4" s="34">
        <v>51.3</v>
      </c>
      <c r="K4" s="33"/>
    </row>
    <row r="5" spans="1:11">
      <c r="B5" s="29">
        <v>45474</v>
      </c>
      <c r="C5" s="30" t="str">
        <f>VLOOKUP(WEEKDAY(B5,2),'EC-Commands'!$D$13:$E$19,2,FALSE)</f>
        <v>Mon</v>
      </c>
      <c r="D5" s="31">
        <v>0.8125</v>
      </c>
      <c r="E5" s="32" t="s">
        <v>1</v>
      </c>
      <c r="F5" s="32">
        <v>3</v>
      </c>
      <c r="G5" s="32" t="s">
        <v>24</v>
      </c>
      <c r="H5" s="34"/>
      <c r="I5" s="34">
        <v>49.2</v>
      </c>
      <c r="J5" s="34">
        <v>48.7</v>
      </c>
      <c r="K5" s="33"/>
    </row>
    <row r="6" spans="1:11">
      <c r="B6" s="29">
        <v>45474</v>
      </c>
      <c r="C6" s="30" t="str">
        <f>VLOOKUP(WEEKDAY(B6,2),'EC-Commands'!$D$13:$E$19,2,FALSE)</f>
        <v>Mon</v>
      </c>
      <c r="D6" s="31">
        <v>0.8125</v>
      </c>
      <c r="E6" s="32" t="s">
        <v>1</v>
      </c>
      <c r="F6" s="32">
        <v>3</v>
      </c>
      <c r="G6" s="32" t="s">
        <v>23</v>
      </c>
      <c r="H6" s="34"/>
      <c r="I6" s="34">
        <v>55.8</v>
      </c>
      <c r="J6" s="34">
        <v>57</v>
      </c>
      <c r="K6" s="33"/>
    </row>
    <row r="7" spans="1:11">
      <c r="B7" s="36">
        <f>B6+1</f>
        <v>45475</v>
      </c>
      <c r="C7" s="30" t="str">
        <f>VLOOKUP(WEEKDAY(B7,2),'EC-Commands'!$D$13:$E$19,2,FALSE)</f>
        <v>Tue</v>
      </c>
      <c r="D7" s="31">
        <v>0.60416666666666663</v>
      </c>
      <c r="E7" s="32" t="s">
        <v>22</v>
      </c>
      <c r="F7" s="32">
        <v>3</v>
      </c>
      <c r="G7" s="32" t="s">
        <v>21</v>
      </c>
      <c r="H7" s="34"/>
      <c r="I7" s="35">
        <v>2.5000000000000001E-2</v>
      </c>
      <c r="J7" s="35">
        <v>2.5999999999999999E-2</v>
      </c>
      <c r="K7" s="33"/>
    </row>
    <row r="8" spans="1:11">
      <c r="B8" s="36">
        <f>B7</f>
        <v>45475</v>
      </c>
      <c r="C8" s="30" t="str">
        <f>VLOOKUP(WEEKDAY(B8,2),'EC-Commands'!$D$13:$E$19,2,FALSE)</f>
        <v>Tue</v>
      </c>
      <c r="D8" s="31">
        <v>0.79166666666666663</v>
      </c>
      <c r="E8" s="32" t="s">
        <v>1</v>
      </c>
      <c r="F8" s="32">
        <v>3</v>
      </c>
      <c r="G8" s="32" t="s">
        <v>20</v>
      </c>
      <c r="H8" s="34"/>
      <c r="I8" s="34"/>
      <c r="J8" s="34"/>
      <c r="K8" s="33"/>
    </row>
    <row r="9" spans="1:11">
      <c r="B9" s="36">
        <f>B8</f>
        <v>45475</v>
      </c>
      <c r="C9" s="30" t="str">
        <f>VLOOKUP(WEEKDAY(B9,2),'EC-Commands'!$D$13:$E$19,2,FALSE)</f>
        <v>Tue</v>
      </c>
      <c r="D9" s="31">
        <v>0.8125</v>
      </c>
      <c r="E9" s="32" t="s">
        <v>1</v>
      </c>
      <c r="F9" s="32">
        <v>3</v>
      </c>
      <c r="G9" s="32" t="s">
        <v>19</v>
      </c>
      <c r="H9" s="34"/>
      <c r="I9" s="34"/>
      <c r="J9" s="34" t="s">
        <v>18</v>
      </c>
      <c r="K9" s="33"/>
    </row>
    <row r="10" spans="1:11">
      <c r="B10" s="36">
        <f>B9+1</f>
        <v>45476</v>
      </c>
      <c r="C10" s="30" t="str">
        <f>VLOOKUP(WEEKDAY(B10,2),'EC-Commands'!$D$13:$E$19,2,FALSE)</f>
        <v>Wed</v>
      </c>
      <c r="D10" s="31">
        <v>0.73958333333333337</v>
      </c>
      <c r="E10" s="32" t="s">
        <v>1</v>
      </c>
      <c r="F10" s="32">
        <v>3</v>
      </c>
      <c r="G10" s="32" t="s">
        <v>17</v>
      </c>
      <c r="H10" s="34"/>
      <c r="I10" s="34" t="s">
        <v>16</v>
      </c>
      <c r="J10" s="34" t="s">
        <v>15</v>
      </c>
      <c r="K10" s="33"/>
    </row>
    <row r="11" spans="1:11">
      <c r="B11" s="36">
        <f t="shared" ref="B11:B16" si="0">B10</f>
        <v>45476</v>
      </c>
      <c r="C11" s="30" t="str">
        <f>VLOOKUP(WEEKDAY(B11,2),'EC-Commands'!$D$13:$E$19,2,FALSE)</f>
        <v>Wed</v>
      </c>
      <c r="D11" s="31">
        <v>0.75</v>
      </c>
      <c r="E11" s="32" t="s">
        <v>1</v>
      </c>
      <c r="F11" s="32">
        <v>3</v>
      </c>
      <c r="G11" s="32" t="s">
        <v>14</v>
      </c>
      <c r="H11" s="34"/>
      <c r="I11" s="34"/>
      <c r="J11" s="34" t="s">
        <v>13</v>
      </c>
      <c r="K11" s="33"/>
    </row>
    <row r="12" spans="1:11">
      <c r="B12" s="36">
        <f t="shared" si="0"/>
        <v>45476</v>
      </c>
      <c r="C12" s="30" t="str">
        <f>VLOOKUP(WEEKDAY(B12,2),'EC-Commands'!$D$13:$E$19,2,FALSE)</f>
        <v>Wed</v>
      </c>
      <c r="D12" s="31">
        <v>0.80208333333333337</v>
      </c>
      <c r="E12" s="32" t="s">
        <v>1</v>
      </c>
      <c r="F12" s="32">
        <v>3</v>
      </c>
      <c r="G12" s="32" t="s">
        <v>12</v>
      </c>
      <c r="H12" s="34"/>
      <c r="I12" s="34">
        <v>55.1</v>
      </c>
      <c r="J12" s="34">
        <v>54.8</v>
      </c>
      <c r="K12" s="33"/>
    </row>
    <row r="13" spans="1:11">
      <c r="B13" s="36">
        <f t="shared" si="0"/>
        <v>45476</v>
      </c>
      <c r="C13" s="30" t="str">
        <f>VLOOKUP(WEEKDAY(B13,2),'EC-Commands'!$D$13:$E$19,2,FALSE)</f>
        <v>Wed</v>
      </c>
      <c r="D13" s="31">
        <v>0.8125</v>
      </c>
      <c r="E13" s="32" t="s">
        <v>1</v>
      </c>
      <c r="F13" s="32">
        <v>3</v>
      </c>
      <c r="G13" s="32" t="s">
        <v>11</v>
      </c>
      <c r="H13" s="34"/>
      <c r="I13" s="34">
        <v>52.5</v>
      </c>
      <c r="J13" s="34">
        <v>53.8</v>
      </c>
      <c r="K13" s="33"/>
    </row>
    <row r="14" spans="1:11">
      <c r="B14" s="36">
        <f t="shared" si="0"/>
        <v>45476</v>
      </c>
      <c r="C14" s="30" t="str">
        <f>VLOOKUP(WEEKDAY(B14,2),'EC-Commands'!$D$13:$E$19,2,FALSE)</f>
        <v>Wed</v>
      </c>
      <c r="D14" s="31">
        <v>0.8125</v>
      </c>
      <c r="E14" s="32" t="s">
        <v>1</v>
      </c>
      <c r="F14" s="32">
        <v>3</v>
      </c>
      <c r="G14" s="32" t="s">
        <v>10</v>
      </c>
      <c r="H14" s="34"/>
      <c r="I14" s="34"/>
      <c r="J14" s="34">
        <v>58.1</v>
      </c>
      <c r="K14" s="33"/>
    </row>
    <row r="15" spans="1:11">
      <c r="B15" s="36">
        <f t="shared" si="0"/>
        <v>45476</v>
      </c>
      <c r="C15" s="30" t="str">
        <f>VLOOKUP(WEEKDAY(B15,2),'EC-Commands'!$D$13:$E$19,2,FALSE)</f>
        <v>Wed</v>
      </c>
      <c r="D15" s="31">
        <v>0.83333333333333337</v>
      </c>
      <c r="E15" s="32" t="s">
        <v>1</v>
      </c>
      <c r="F15" s="32">
        <v>3</v>
      </c>
      <c r="G15" s="32" t="s">
        <v>9</v>
      </c>
      <c r="H15" s="34"/>
      <c r="I15" s="34"/>
      <c r="J15" s="34" t="s">
        <v>8</v>
      </c>
      <c r="K15" s="33"/>
    </row>
    <row r="16" spans="1:11">
      <c r="B16" s="36">
        <f t="shared" si="0"/>
        <v>45476</v>
      </c>
      <c r="C16" s="30" t="str">
        <f>VLOOKUP(WEEKDAY(B16,2),'EC-Commands'!$D$13:$E$19,2,FALSE)</f>
        <v>Wed</v>
      </c>
      <c r="D16" s="31">
        <v>0.97916666666666663</v>
      </c>
      <c r="E16" s="32" t="s">
        <v>1</v>
      </c>
      <c r="F16" s="32">
        <v>3</v>
      </c>
      <c r="G16" s="32" t="s">
        <v>7</v>
      </c>
      <c r="H16" s="34"/>
      <c r="I16" s="34"/>
      <c r="J16" s="34"/>
      <c r="K16" s="33"/>
    </row>
    <row r="17" spans="1:11">
      <c r="B17" s="36">
        <f>B16+2</f>
        <v>45478</v>
      </c>
      <c r="C17" s="30" t="str">
        <f>VLOOKUP(WEEKDAY(B17,2),'EC-Commands'!$D$13:$E$19,2,FALSE)</f>
        <v>Fri</v>
      </c>
      <c r="D17" s="31">
        <v>0.75</v>
      </c>
      <c r="E17" s="32" t="s">
        <v>1</v>
      </c>
      <c r="F17" s="32">
        <v>3</v>
      </c>
      <c r="G17" s="32" t="s">
        <v>6</v>
      </c>
      <c r="H17" s="34"/>
      <c r="I17" s="35">
        <v>3.0000000000000001E-3</v>
      </c>
      <c r="J17" s="35">
        <v>4.0000000000000001E-3</v>
      </c>
      <c r="K17" s="33"/>
    </row>
    <row r="18" spans="1:11">
      <c r="B18" s="36">
        <f>B17</f>
        <v>45478</v>
      </c>
      <c r="C18" s="30" t="str">
        <f>VLOOKUP(WEEKDAY(B18,2),'EC-Commands'!$D$13:$E$19,2,FALSE)</f>
        <v>Fri</v>
      </c>
      <c r="D18" s="31">
        <v>0.75</v>
      </c>
      <c r="E18" s="32" t="s">
        <v>1</v>
      </c>
      <c r="F18" s="32">
        <v>3</v>
      </c>
      <c r="G18" s="32" t="s">
        <v>5</v>
      </c>
      <c r="H18" s="34"/>
      <c r="I18" s="35" t="s">
        <v>4</v>
      </c>
      <c r="J18" s="35" t="s">
        <v>3</v>
      </c>
      <c r="K18" s="33"/>
    </row>
    <row r="19" spans="1:11">
      <c r="B19" s="36">
        <f>B18</f>
        <v>45478</v>
      </c>
      <c r="C19" s="30" t="str">
        <f>VLOOKUP(WEEKDAY(B19,2),'EC-Commands'!$D$13:$E$19,2,FALSE)</f>
        <v>Fri</v>
      </c>
      <c r="D19" s="31">
        <v>0.75</v>
      </c>
      <c r="E19" s="32" t="s">
        <v>1</v>
      </c>
      <c r="F19" s="32">
        <v>3</v>
      </c>
      <c r="G19" s="32" t="s">
        <v>2</v>
      </c>
      <c r="H19" s="34"/>
      <c r="I19" s="35">
        <v>0.04</v>
      </c>
      <c r="J19" s="35">
        <v>0.04</v>
      </c>
      <c r="K19" s="33"/>
    </row>
    <row r="20" spans="1:11">
      <c r="B20" s="36">
        <f>B19</f>
        <v>45478</v>
      </c>
      <c r="C20" s="30" t="str">
        <f>VLOOKUP(WEEKDAY(B20,2),'EC-Commands'!$D$13:$E$19,2,FALSE)</f>
        <v>Fri</v>
      </c>
      <c r="D20" s="31">
        <v>0.85416666666666663</v>
      </c>
      <c r="E20" s="32" t="s">
        <v>1</v>
      </c>
      <c r="F20" s="32">
        <v>3</v>
      </c>
      <c r="G20" s="32" t="s">
        <v>0</v>
      </c>
      <c r="H20" s="34"/>
      <c r="I20" s="35"/>
      <c r="J20" s="35"/>
      <c r="K20" s="33"/>
    </row>
    <row r="21" spans="1:11">
      <c r="A21" s="568" t="s">
        <v>105</v>
      </c>
      <c r="B21" s="29">
        <v>45482</v>
      </c>
      <c r="C21" s="30" t="str">
        <f>VLOOKUP(WEEKDAY(B21,2),'EC-Commands'!$D$13:$E$19,2,FALSE)</f>
        <v>Tue</v>
      </c>
      <c r="D21" s="31">
        <v>0.8125</v>
      </c>
      <c r="E21" s="32" t="s">
        <v>1</v>
      </c>
      <c r="F21" s="32">
        <v>3</v>
      </c>
      <c r="G21" s="44" t="s">
        <v>48</v>
      </c>
      <c r="H21" s="34"/>
      <c r="I21" s="35"/>
      <c r="J21" s="35"/>
      <c r="K21" s="35"/>
    </row>
    <row r="22" spans="1:11">
      <c r="B22" s="29">
        <f>B21+1</f>
        <v>45483</v>
      </c>
      <c r="C22" s="30" t="str">
        <f>VLOOKUP(WEEKDAY(B22,2),'EC-Commands'!$D$13:$E$19,2,FALSE)</f>
        <v>Wed</v>
      </c>
      <c r="D22" s="31">
        <v>0.3125</v>
      </c>
      <c r="E22" s="32" t="s">
        <v>49</v>
      </c>
      <c r="F22" s="32">
        <v>3</v>
      </c>
      <c r="G22" s="32" t="s">
        <v>50</v>
      </c>
      <c r="H22" s="34"/>
      <c r="I22" s="34"/>
      <c r="J22" s="35">
        <v>5.5E-2</v>
      </c>
      <c r="K22" s="33"/>
    </row>
    <row r="23" spans="1:11">
      <c r="B23" s="29">
        <f>B22</f>
        <v>45483</v>
      </c>
      <c r="C23" s="30" t="str">
        <f>VLOOKUP(WEEKDAY(B23,2),'EC-Commands'!$D$13:$E$19,2,FALSE)</f>
        <v>Wed</v>
      </c>
      <c r="D23" s="31">
        <v>0.8125</v>
      </c>
      <c r="E23" s="32" t="s">
        <v>1</v>
      </c>
      <c r="F23" s="32">
        <v>3</v>
      </c>
      <c r="G23" s="32" t="s">
        <v>48</v>
      </c>
      <c r="H23" s="34"/>
      <c r="I23" s="34"/>
      <c r="J23" s="34"/>
      <c r="K23" s="33"/>
    </row>
    <row r="24" spans="1:11">
      <c r="B24" s="29">
        <f>B23</f>
        <v>45483</v>
      </c>
      <c r="C24" s="30" t="str">
        <f>VLOOKUP(WEEKDAY(B24,2),'EC-Commands'!$D$13:$E$19,2,FALSE)</f>
        <v>Wed</v>
      </c>
      <c r="D24" s="31">
        <v>0.83333333333333337</v>
      </c>
      <c r="E24" s="32" t="s">
        <v>1</v>
      </c>
      <c r="F24" s="32">
        <v>3</v>
      </c>
      <c r="G24" s="32" t="s">
        <v>9</v>
      </c>
      <c r="H24" s="34"/>
      <c r="I24" s="34"/>
      <c r="J24" s="37" t="s">
        <v>51</v>
      </c>
      <c r="K24" s="33"/>
    </row>
    <row r="25" spans="1:11">
      <c r="B25" s="29">
        <f>B24</f>
        <v>45483</v>
      </c>
      <c r="C25" s="30" t="str">
        <f>VLOOKUP(WEEKDAY(B25,2),'EC-Commands'!$D$13:$E$19,2,FALSE)</f>
        <v>Wed</v>
      </c>
      <c r="D25" s="31">
        <v>0.9375</v>
      </c>
      <c r="E25" s="32" t="s">
        <v>1</v>
      </c>
      <c r="F25" s="32">
        <v>3</v>
      </c>
      <c r="G25" s="32" t="s">
        <v>52</v>
      </c>
      <c r="H25" s="34"/>
      <c r="I25" s="35"/>
      <c r="J25" s="38">
        <v>4.4380000000000003E-2</v>
      </c>
      <c r="K25" s="33"/>
    </row>
    <row r="26" spans="1:11">
      <c r="B26" s="29">
        <f>B25+1</f>
        <v>45484</v>
      </c>
      <c r="C26" s="30" t="str">
        <f>VLOOKUP(WEEKDAY(B26,2),'EC-Commands'!$D$13:$E$19,2,FALSE)</f>
        <v>Thu</v>
      </c>
      <c r="D26" s="31">
        <v>0.47916666666666669</v>
      </c>
      <c r="E26" s="32" t="s">
        <v>53</v>
      </c>
      <c r="F26" s="32">
        <v>3</v>
      </c>
      <c r="G26" s="32" t="s">
        <v>54</v>
      </c>
      <c r="H26" s="34"/>
      <c r="I26" s="34"/>
      <c r="J26" s="35">
        <v>0</v>
      </c>
      <c r="K26" s="33"/>
    </row>
    <row r="27" spans="1:11">
      <c r="B27" s="29">
        <f t="shared" ref="B27:B32" si="1">B26</f>
        <v>45484</v>
      </c>
      <c r="C27" s="30" t="str">
        <f>VLOOKUP(WEEKDAY(B27,2),'EC-Commands'!$D$13:$E$19,2,FALSE)</f>
        <v>Thu</v>
      </c>
      <c r="D27" s="31">
        <v>0.47916666666666669</v>
      </c>
      <c r="E27" s="32" t="s">
        <v>22</v>
      </c>
      <c r="F27" s="32">
        <v>3</v>
      </c>
      <c r="G27" s="32" t="s">
        <v>55</v>
      </c>
      <c r="H27" s="34"/>
      <c r="I27" s="35">
        <v>1E-3</v>
      </c>
      <c r="J27" s="35">
        <v>1E-3</v>
      </c>
      <c r="K27" s="33"/>
    </row>
    <row r="28" spans="1:11">
      <c r="B28" s="29">
        <f t="shared" si="1"/>
        <v>45484</v>
      </c>
      <c r="C28" s="30" t="str">
        <f>VLOOKUP(WEEKDAY(B28,2),'EC-Commands'!$D$13:$E$19,2,FALSE)</f>
        <v>Thu</v>
      </c>
      <c r="D28" s="31">
        <v>0.75</v>
      </c>
      <c r="E28" s="32" t="s">
        <v>1</v>
      </c>
      <c r="F28" s="32">
        <v>3</v>
      </c>
      <c r="G28" s="32" t="s">
        <v>56</v>
      </c>
      <c r="H28" s="34"/>
      <c r="I28" s="35">
        <v>2E-3</v>
      </c>
      <c r="J28" s="35">
        <v>2E-3</v>
      </c>
      <c r="K28" s="33"/>
    </row>
    <row r="29" spans="1:11">
      <c r="B29" s="29">
        <f t="shared" si="1"/>
        <v>45484</v>
      </c>
      <c r="C29" s="30" t="str">
        <f>VLOOKUP(WEEKDAY(B29,2),'EC-Commands'!$D$13:$E$19,2,FALSE)</f>
        <v>Thu</v>
      </c>
      <c r="D29" s="31">
        <v>0.75</v>
      </c>
      <c r="E29" s="32" t="s">
        <v>1</v>
      </c>
      <c r="F29" s="32">
        <v>3</v>
      </c>
      <c r="G29" s="32" t="s">
        <v>57</v>
      </c>
      <c r="H29" s="34"/>
      <c r="I29" s="34"/>
      <c r="J29" s="35">
        <v>3.3000000000000002E-2</v>
      </c>
      <c r="K29" s="33"/>
    </row>
    <row r="30" spans="1:11">
      <c r="B30" s="29">
        <f t="shared" si="1"/>
        <v>45484</v>
      </c>
      <c r="C30" s="30" t="str">
        <f>VLOOKUP(WEEKDAY(B30,2),'EC-Commands'!$D$13:$E$19,2,FALSE)</f>
        <v>Thu</v>
      </c>
      <c r="D30" s="31">
        <v>0.75</v>
      </c>
      <c r="E30" s="32" t="s">
        <v>1</v>
      </c>
      <c r="F30" s="32">
        <v>3</v>
      </c>
      <c r="G30" s="32" t="s">
        <v>58</v>
      </c>
      <c r="H30" s="34"/>
      <c r="I30" s="35">
        <v>1E-3</v>
      </c>
      <c r="J30" s="35">
        <v>0</v>
      </c>
      <c r="K30" s="33"/>
    </row>
    <row r="31" spans="1:11">
      <c r="B31" s="29">
        <f t="shared" si="1"/>
        <v>45484</v>
      </c>
      <c r="C31" s="30" t="str">
        <f>VLOOKUP(WEEKDAY(B31,2),'EC-Commands'!$D$13:$E$19,2,FALSE)</f>
        <v>Thu</v>
      </c>
      <c r="D31" s="31">
        <v>0.75</v>
      </c>
      <c r="E31" s="32" t="s">
        <v>1</v>
      </c>
      <c r="F31" s="32">
        <v>3</v>
      </c>
      <c r="G31" s="32" t="s">
        <v>14</v>
      </c>
      <c r="H31" s="34"/>
      <c r="I31" s="34"/>
      <c r="J31" s="34" t="s">
        <v>59</v>
      </c>
      <c r="K31" s="33"/>
    </row>
    <row r="32" spans="1:11">
      <c r="B32" s="29">
        <f t="shared" si="1"/>
        <v>45484</v>
      </c>
      <c r="C32" s="30" t="str">
        <f>VLOOKUP(WEEKDAY(B32,2),'EC-Commands'!$D$13:$E$19,2,FALSE)</f>
        <v>Thu</v>
      </c>
      <c r="D32" s="31">
        <v>0.9375</v>
      </c>
      <c r="E32" s="32" t="s">
        <v>1</v>
      </c>
      <c r="F32" s="32">
        <v>3</v>
      </c>
      <c r="G32" s="32" t="s">
        <v>60</v>
      </c>
      <c r="H32" s="34"/>
      <c r="I32" s="34"/>
      <c r="J32" s="38">
        <v>4.403E-2</v>
      </c>
      <c r="K32" s="33"/>
    </row>
    <row r="33" spans="1:11">
      <c r="B33" s="29">
        <f>B32+1</f>
        <v>45485</v>
      </c>
      <c r="C33" s="30" t="str">
        <f>VLOOKUP(WEEKDAY(B33,2),'EC-Commands'!$D$13:$E$19,2,FALSE)</f>
        <v>Fri</v>
      </c>
      <c r="D33" s="31">
        <v>0.83333333333333337</v>
      </c>
      <c r="E33" s="32" t="s">
        <v>1</v>
      </c>
      <c r="F33" s="32">
        <v>3</v>
      </c>
      <c r="G33" s="32" t="s">
        <v>9</v>
      </c>
      <c r="H33" s="34"/>
      <c r="I33" s="34"/>
      <c r="J33" s="34" t="s">
        <v>8</v>
      </c>
      <c r="K33" s="33"/>
    </row>
    <row r="34" spans="1:11">
      <c r="B34" s="29">
        <f>B33</f>
        <v>45485</v>
      </c>
      <c r="C34" s="30" t="str">
        <f>VLOOKUP(WEEKDAY(B34,2),'EC-Commands'!$D$13:$E$19,2,FALSE)</f>
        <v>Fri</v>
      </c>
      <c r="D34" s="31">
        <v>0.75</v>
      </c>
      <c r="E34" s="32" t="s">
        <v>1</v>
      </c>
      <c r="F34" s="32">
        <v>3</v>
      </c>
      <c r="G34" s="32" t="s">
        <v>61</v>
      </c>
      <c r="H34" s="34"/>
      <c r="I34" s="35">
        <v>1E-3</v>
      </c>
      <c r="J34" s="35">
        <v>-2E-3</v>
      </c>
      <c r="K34" s="33"/>
    </row>
    <row r="35" spans="1:11">
      <c r="A35" s="568" t="s">
        <v>105</v>
      </c>
      <c r="B35" s="29">
        <v>45488</v>
      </c>
      <c r="C35" s="30" t="str">
        <f>VLOOKUP(WEEKDAY(B35,2),'EC-Commands'!$D$12:$E$18,2,FALSE)</f>
        <v>Mon</v>
      </c>
      <c r="D35" s="39">
        <v>0.3125</v>
      </c>
      <c r="E35" s="32" t="s">
        <v>65</v>
      </c>
      <c r="F35" s="32">
        <v>3</v>
      </c>
      <c r="G35" s="44" t="s">
        <v>66</v>
      </c>
      <c r="H35" s="34"/>
      <c r="I35" s="35">
        <v>5.0999999999999997E-2</v>
      </c>
      <c r="J35" s="35">
        <v>5.2999999999999999E-2</v>
      </c>
      <c r="K35" s="35"/>
    </row>
    <row r="36" spans="1:11">
      <c r="B36" s="29">
        <v>45488</v>
      </c>
      <c r="C36" s="30" t="str">
        <f>VLOOKUP(WEEKDAY(B36,2),'EC-Commands'!$D$12:$E$18,2,FALSE)</f>
        <v>Mon</v>
      </c>
      <c r="D36" s="39">
        <v>0.89583333333333337</v>
      </c>
      <c r="E36" s="32" t="s">
        <v>1</v>
      </c>
      <c r="F36" s="32">
        <v>3</v>
      </c>
      <c r="G36" s="32" t="s">
        <v>20</v>
      </c>
      <c r="H36" s="34"/>
      <c r="I36" s="34"/>
      <c r="J36" s="35"/>
      <c r="K36" s="33"/>
    </row>
    <row r="37" spans="1:11">
      <c r="B37" s="29">
        <f>B36+1</f>
        <v>45489</v>
      </c>
      <c r="C37" s="30" t="str">
        <f>VLOOKUP(WEEKDAY(B37,2),'EC-Commands'!$D$12:$E$18,2,FALSE)</f>
        <v>Tue</v>
      </c>
      <c r="D37" s="39">
        <v>0.75</v>
      </c>
      <c r="E37" s="32" t="s">
        <v>1</v>
      </c>
      <c r="F37" s="32">
        <v>3</v>
      </c>
      <c r="G37" s="32" t="s">
        <v>67</v>
      </c>
      <c r="H37" s="34"/>
      <c r="I37" s="35">
        <v>1E-3</v>
      </c>
      <c r="J37" s="35">
        <v>-1E-3</v>
      </c>
      <c r="K37" s="33"/>
    </row>
    <row r="38" spans="1:11">
      <c r="B38" s="29">
        <f>B37</f>
        <v>45489</v>
      </c>
      <c r="C38" s="30" t="str">
        <f>VLOOKUP(WEEKDAY(B38,2),'EC-Commands'!$D$12:$E$18,2,FALSE)</f>
        <v>Tue</v>
      </c>
      <c r="D38" s="39">
        <v>0.75</v>
      </c>
      <c r="E38" s="32" t="s">
        <v>1</v>
      </c>
      <c r="F38" s="32">
        <v>3</v>
      </c>
      <c r="G38" s="32" t="s">
        <v>68</v>
      </c>
      <c r="H38" s="34"/>
      <c r="I38" s="35">
        <v>0</v>
      </c>
      <c r="J38" s="35">
        <v>1E-3</v>
      </c>
      <c r="K38" s="33"/>
    </row>
    <row r="39" spans="1:11">
      <c r="B39" s="29">
        <f>B38+1</f>
        <v>45490</v>
      </c>
      <c r="C39" s="30" t="str">
        <f>VLOOKUP(WEEKDAY(B39,2),'EC-Commands'!$D$12:$E$18,2,FALSE)</f>
        <v>Wed</v>
      </c>
      <c r="D39" s="39">
        <v>0.47916666666666669</v>
      </c>
      <c r="E39" s="32" t="s">
        <v>53</v>
      </c>
      <c r="F39" s="32">
        <v>3</v>
      </c>
      <c r="G39" s="32" t="s">
        <v>57</v>
      </c>
      <c r="H39" s="34"/>
      <c r="I39" s="35"/>
      <c r="J39" s="35">
        <v>0.02</v>
      </c>
      <c r="K39" s="33"/>
    </row>
    <row r="40" spans="1:11">
      <c r="B40" s="29">
        <f>B39</f>
        <v>45490</v>
      </c>
      <c r="C40" s="30" t="str">
        <f>VLOOKUP(WEEKDAY(B40,2),'EC-Commands'!$D$12:$E$18,2,FALSE)</f>
        <v>Wed</v>
      </c>
      <c r="D40" s="39">
        <v>0.60416666666666663</v>
      </c>
      <c r="E40" s="32" t="s">
        <v>22</v>
      </c>
      <c r="F40" s="32">
        <v>3</v>
      </c>
      <c r="G40" s="32" t="s">
        <v>57</v>
      </c>
      <c r="H40" s="34"/>
      <c r="I40" s="35">
        <v>2.5000000000000001E-2</v>
      </c>
      <c r="J40" s="35">
        <v>2.5000000000000001E-2</v>
      </c>
      <c r="K40" s="33"/>
    </row>
    <row r="41" spans="1:11">
      <c r="B41" s="29">
        <f>B40</f>
        <v>45490</v>
      </c>
      <c r="C41" s="30" t="str">
        <f>VLOOKUP(WEEKDAY(B41,2),'EC-Commands'!$D$12:$E$18,2,FALSE)</f>
        <v>Wed</v>
      </c>
      <c r="D41" s="39">
        <v>0.83333333333333337</v>
      </c>
      <c r="E41" s="32" t="s">
        <v>1</v>
      </c>
      <c r="F41" s="32">
        <v>3</v>
      </c>
      <c r="G41" s="32" t="s">
        <v>9</v>
      </c>
      <c r="H41" s="34"/>
      <c r="I41" s="35"/>
      <c r="J41" s="40" t="s">
        <v>69</v>
      </c>
      <c r="K41" s="33"/>
    </row>
    <row r="42" spans="1:11">
      <c r="B42" s="29">
        <f>B41+1</f>
        <v>45491</v>
      </c>
      <c r="C42" s="30" t="str">
        <f>VLOOKUP(WEEKDAY(B42,2),'EC-Commands'!$D$12:$E$18,2,FALSE)</f>
        <v>Thu</v>
      </c>
      <c r="D42" s="39">
        <v>0.73958333333333337</v>
      </c>
      <c r="E42" s="32" t="s">
        <v>22</v>
      </c>
      <c r="F42" s="32">
        <v>3</v>
      </c>
      <c r="G42" s="32" t="s">
        <v>70</v>
      </c>
      <c r="H42" s="34"/>
      <c r="I42" s="35"/>
      <c r="J42" s="35">
        <v>3.7499999999999999E-2</v>
      </c>
      <c r="K42" s="33"/>
    </row>
    <row r="43" spans="1:11">
      <c r="B43" s="29">
        <f>B42</f>
        <v>45491</v>
      </c>
      <c r="C43" s="30" t="str">
        <f>VLOOKUP(WEEKDAY(B43,2),'EC-Commands'!$D$12:$E$18,2,FALSE)</f>
        <v>Thu</v>
      </c>
      <c r="D43" s="39">
        <f>D42</f>
        <v>0.73958333333333337</v>
      </c>
      <c r="E43" s="32" t="s">
        <v>22</v>
      </c>
      <c r="F43" s="32">
        <v>3</v>
      </c>
      <c r="G43" s="32" t="s">
        <v>71</v>
      </c>
      <c r="H43" s="34"/>
      <c r="I43" s="34"/>
      <c r="J43" s="35">
        <v>4.2500000000000003E-2</v>
      </c>
      <c r="K43" s="33"/>
    </row>
    <row r="44" spans="1:11">
      <c r="B44" s="29">
        <f>B43</f>
        <v>45491</v>
      </c>
      <c r="C44" s="30" t="str">
        <f>C43</f>
        <v>Thu</v>
      </c>
      <c r="D44" s="39">
        <v>0.75</v>
      </c>
      <c r="E44" s="32" t="s">
        <v>1</v>
      </c>
      <c r="F44" s="32">
        <v>3</v>
      </c>
      <c r="G44" s="32" t="s">
        <v>14</v>
      </c>
      <c r="H44" s="34"/>
      <c r="I44" s="35"/>
      <c r="J44" s="35" t="s">
        <v>72</v>
      </c>
      <c r="K44" s="33"/>
    </row>
    <row r="45" spans="1:11">
      <c r="B45" s="29">
        <f>B44</f>
        <v>45491</v>
      </c>
      <c r="C45" s="30" t="str">
        <f>C44</f>
        <v>Thu</v>
      </c>
      <c r="D45" s="39">
        <f>D44</f>
        <v>0.75</v>
      </c>
      <c r="E45" s="32" t="str">
        <f>E44</f>
        <v>USD</v>
      </c>
      <c r="F45" s="32">
        <f>F44</f>
        <v>3</v>
      </c>
      <c r="G45" s="32" t="s">
        <v>73</v>
      </c>
      <c r="H45" s="34"/>
      <c r="I45" s="34">
        <v>2.9</v>
      </c>
      <c r="J45" s="34">
        <v>1.3</v>
      </c>
      <c r="K45" s="33"/>
    </row>
    <row r="46" spans="1:11">
      <c r="B46" s="29">
        <f>B45</f>
        <v>45491</v>
      </c>
      <c r="C46" s="30" t="str">
        <f>C45</f>
        <v>Thu</v>
      </c>
      <c r="D46" s="39">
        <v>0.76041666666666663</v>
      </c>
      <c r="E46" s="32" t="s">
        <v>1</v>
      </c>
      <c r="F46" s="32">
        <v>3</v>
      </c>
      <c r="G46" s="32" t="s">
        <v>74</v>
      </c>
      <c r="H46" s="34"/>
      <c r="I46" s="34"/>
      <c r="J46" s="38"/>
      <c r="K46" s="33"/>
    </row>
    <row r="47" spans="1:11">
      <c r="A47" s="568" t="s">
        <v>105</v>
      </c>
      <c r="B47" s="29">
        <v>45496</v>
      </c>
      <c r="C47" s="30" t="str">
        <f>VLOOKUP(WEEKDAY(B47,2),'EC-Commands'!$D$12:$E$18,2,FALSE)</f>
        <v>Tue</v>
      </c>
      <c r="D47" s="31">
        <v>0.8125</v>
      </c>
      <c r="E47" s="32" t="s">
        <v>1</v>
      </c>
      <c r="F47" s="32">
        <v>3</v>
      </c>
      <c r="G47" s="32" t="s">
        <v>76</v>
      </c>
      <c r="H47" s="34"/>
      <c r="I47" s="34" t="s">
        <v>77</v>
      </c>
      <c r="J47" s="35" t="s">
        <v>78</v>
      </c>
      <c r="K47" s="33"/>
    </row>
    <row r="48" spans="1:11">
      <c r="B48" s="29">
        <f>B50</f>
        <v>45497</v>
      </c>
      <c r="C48" s="30" t="str">
        <f>VLOOKUP(WEEKDAY(B48,2),'EC-Commands'!$D$12:$E$18,2,FALSE)</f>
        <v>Wed</v>
      </c>
      <c r="D48" s="41">
        <v>6.25E-2</v>
      </c>
      <c r="E48" s="32" t="s">
        <v>1</v>
      </c>
      <c r="F48" s="32">
        <v>3</v>
      </c>
      <c r="G48" s="32" t="s">
        <v>79</v>
      </c>
      <c r="H48" s="34"/>
      <c r="I48" s="63" t="s">
        <v>80</v>
      </c>
      <c r="J48" s="35"/>
      <c r="K48" s="33" t="s">
        <v>81</v>
      </c>
    </row>
    <row r="49" spans="1:11">
      <c r="B49" s="29">
        <f>B48</f>
        <v>45497</v>
      </c>
      <c r="C49" s="30" t="str">
        <f>VLOOKUP(WEEKDAY(B49,2),'EC-Commands'!$D$12:$E$18,2,FALSE)</f>
        <v>Wed</v>
      </c>
      <c r="D49" s="41">
        <v>6.25E-2</v>
      </c>
      <c r="E49" s="32" t="s">
        <v>1</v>
      </c>
      <c r="F49" s="32">
        <v>3</v>
      </c>
      <c r="G49" s="32" t="s">
        <v>82</v>
      </c>
      <c r="H49" s="34"/>
      <c r="I49" s="34" t="s">
        <v>83</v>
      </c>
      <c r="J49" s="35"/>
      <c r="K49" s="33" t="s">
        <v>81</v>
      </c>
    </row>
    <row r="50" spans="1:11">
      <c r="B50" s="29">
        <f>B47+1</f>
        <v>45497</v>
      </c>
      <c r="C50" s="30" t="str">
        <f>VLOOKUP(WEEKDAY(B50,2),'EC-Commands'!$D$12:$E$18,2,FALSE)</f>
        <v>Wed</v>
      </c>
      <c r="D50" s="31">
        <v>0.54166666666666663</v>
      </c>
      <c r="E50" s="32" t="s">
        <v>22</v>
      </c>
      <c r="F50" s="32">
        <v>3</v>
      </c>
      <c r="G50" s="32" t="s">
        <v>84</v>
      </c>
      <c r="H50" s="34"/>
      <c r="I50" s="42">
        <v>53.3</v>
      </c>
      <c r="J50" s="42">
        <v>53.1</v>
      </c>
      <c r="K50" s="33" t="s">
        <v>85</v>
      </c>
    </row>
    <row r="51" spans="1:11">
      <c r="B51" s="29">
        <f>B50</f>
        <v>45497</v>
      </c>
      <c r="C51" s="30" t="str">
        <f>VLOOKUP(WEEKDAY(B51,2),'EC-Commands'!$D$12:$E$18,2,FALSE)</f>
        <v>Wed</v>
      </c>
      <c r="D51" s="31">
        <v>0.5625</v>
      </c>
      <c r="E51" s="32" t="s">
        <v>22</v>
      </c>
      <c r="F51" s="32">
        <v>3</v>
      </c>
      <c r="G51" s="32" t="s">
        <v>86</v>
      </c>
      <c r="H51" s="34"/>
      <c r="I51" s="42">
        <v>52.9</v>
      </c>
      <c r="J51" s="42">
        <v>52.8</v>
      </c>
      <c r="K51" s="33" t="s">
        <v>85</v>
      </c>
    </row>
    <row r="52" spans="1:11">
      <c r="B52" s="29">
        <f>B50</f>
        <v>45497</v>
      </c>
      <c r="C52" s="30" t="str">
        <f>VLOOKUP(WEEKDAY(B52,2),'EC-Commands'!$D$12:$E$18,2,FALSE)</f>
        <v>Wed</v>
      </c>
      <c r="D52" s="31">
        <v>0.80208333333333337</v>
      </c>
      <c r="E52" s="32" t="s">
        <v>1</v>
      </c>
      <c r="F52" s="32">
        <v>3</v>
      </c>
      <c r="G52" s="32" t="s">
        <v>87</v>
      </c>
      <c r="H52" s="34"/>
      <c r="I52" s="42">
        <v>53.3</v>
      </c>
      <c r="J52" s="42">
        <v>53.1</v>
      </c>
      <c r="K52" s="33"/>
    </row>
    <row r="53" spans="1:11">
      <c r="B53" s="29">
        <f>B50</f>
        <v>45497</v>
      </c>
      <c r="C53" s="30" t="str">
        <f>VLOOKUP(WEEKDAY(B53,2),'EC-Commands'!$D$12:$E$18,2,FALSE)</f>
        <v>Wed</v>
      </c>
      <c r="D53" s="31">
        <f>D50</f>
        <v>0.54166666666666663</v>
      </c>
      <c r="E53" s="32" t="s">
        <v>1</v>
      </c>
      <c r="F53" s="32">
        <v>3</v>
      </c>
      <c r="G53" s="32" t="s">
        <v>88</v>
      </c>
      <c r="H53" s="34"/>
      <c r="I53" s="35"/>
      <c r="J53" s="42">
        <v>55.3</v>
      </c>
      <c r="K53" s="33"/>
    </row>
    <row r="54" spans="1:11">
      <c r="B54" s="29">
        <f>B53</f>
        <v>45497</v>
      </c>
      <c r="C54" s="30" t="str">
        <f>VLOOKUP(WEEKDAY(B54,2),'EC-Commands'!$D$12:$E$18,2,FALSE)</f>
        <v>Wed</v>
      </c>
      <c r="D54" s="31">
        <f>D53</f>
        <v>0.54166666666666663</v>
      </c>
      <c r="E54" s="32" t="s">
        <v>89</v>
      </c>
      <c r="F54" s="32">
        <v>3</v>
      </c>
      <c r="G54" s="32" t="s">
        <v>90</v>
      </c>
      <c r="H54" s="34"/>
      <c r="I54" s="35">
        <v>4.7500000000000001E-2</v>
      </c>
      <c r="J54" s="35">
        <v>4.7500000000000001E-2</v>
      </c>
      <c r="K54" s="33" t="s">
        <v>91</v>
      </c>
    </row>
    <row r="55" spans="1:11">
      <c r="B55" s="29">
        <f>B54</f>
        <v>45497</v>
      </c>
      <c r="C55" s="30" t="str">
        <f>VLOOKUP(WEEKDAY(B55,2),'EC-Commands'!$D$12:$E$18,2,FALSE)</f>
        <v>Wed</v>
      </c>
      <c r="D55" s="31">
        <v>0.8125</v>
      </c>
      <c r="E55" s="32" t="s">
        <v>1</v>
      </c>
      <c r="F55" s="32">
        <v>3</v>
      </c>
      <c r="G55" s="32" t="s">
        <v>92</v>
      </c>
      <c r="H55" s="34"/>
      <c r="I55" s="35" t="s">
        <v>93</v>
      </c>
      <c r="J55" s="35" t="s">
        <v>94</v>
      </c>
      <c r="K55" s="33"/>
    </row>
    <row r="56" spans="1:11">
      <c r="B56" s="29">
        <f>B55</f>
        <v>45497</v>
      </c>
      <c r="C56" s="30" t="str">
        <f>VLOOKUP(WEEKDAY(B56,2),'EC-Commands'!$D$12:$E$18,2,FALSE)</f>
        <v>Wed</v>
      </c>
      <c r="D56" s="31">
        <v>0.83333333333333337</v>
      </c>
      <c r="E56" s="32" t="s">
        <v>1</v>
      </c>
      <c r="F56" s="32">
        <v>3</v>
      </c>
      <c r="G56" s="32" t="s">
        <v>9</v>
      </c>
      <c r="H56" s="34"/>
      <c r="I56" s="35" t="s">
        <v>95</v>
      </c>
      <c r="J56" s="40" t="s">
        <v>96</v>
      </c>
      <c r="K56" s="33"/>
    </row>
    <row r="57" spans="1:11">
      <c r="B57" s="29">
        <f>B56+1</f>
        <v>45498</v>
      </c>
      <c r="C57" s="30" t="str">
        <f>VLOOKUP(WEEKDAY(B57,2),'EC-Commands'!$D$12:$E$18,2,FALSE)</f>
        <v>Thu</v>
      </c>
      <c r="D57" s="31">
        <v>0.75</v>
      </c>
      <c r="E57" s="32" t="s">
        <v>1</v>
      </c>
      <c r="F57" s="32">
        <v>3</v>
      </c>
      <c r="G57" s="32" t="s">
        <v>97</v>
      </c>
      <c r="H57" s="34"/>
      <c r="I57" s="35">
        <v>3.0000000000000001E-3</v>
      </c>
      <c r="J57" s="35">
        <v>1E-3</v>
      </c>
      <c r="K57" s="33"/>
    </row>
    <row r="58" spans="1:11">
      <c r="B58" s="29">
        <f>B57</f>
        <v>45498</v>
      </c>
      <c r="C58" s="30" t="str">
        <f>VLOOKUP(WEEKDAY(B58,2),'EC-Commands'!$D$12:$E$18,2,FALSE)</f>
        <v>Thu</v>
      </c>
      <c r="D58" s="31">
        <f t="shared" ref="D58:D63" si="2">D57</f>
        <v>0.75</v>
      </c>
      <c r="E58" s="32" t="s">
        <v>1</v>
      </c>
      <c r="F58" s="32">
        <v>3</v>
      </c>
      <c r="G58" s="32" t="s">
        <v>98</v>
      </c>
      <c r="H58" s="34"/>
      <c r="I58" s="35">
        <v>0.02</v>
      </c>
      <c r="J58" s="35">
        <v>1.4E-2</v>
      </c>
      <c r="K58" s="33"/>
    </row>
    <row r="59" spans="1:11">
      <c r="B59" s="29">
        <f>B58</f>
        <v>45498</v>
      </c>
      <c r="C59" s="30" t="str">
        <f>VLOOKUP(WEEKDAY(B59,2),'EC-Commands'!$D$12:$E$18,2,FALSE)</f>
        <v>Thu</v>
      </c>
      <c r="D59" s="31">
        <f t="shared" si="2"/>
        <v>0.75</v>
      </c>
      <c r="E59" s="32" t="s">
        <v>1</v>
      </c>
      <c r="F59" s="32">
        <v>3</v>
      </c>
      <c r="G59" s="32" t="s">
        <v>14</v>
      </c>
      <c r="H59" s="34"/>
      <c r="I59" s="35"/>
      <c r="J59" s="35" t="s">
        <v>99</v>
      </c>
      <c r="K59" s="33"/>
    </row>
    <row r="60" spans="1:11">
      <c r="B60" s="29">
        <f>B59+1</f>
        <v>45499</v>
      </c>
      <c r="C60" s="30" t="str">
        <f>VLOOKUP(WEEKDAY(B60,2),'EC-Commands'!$D$12:$E$18,2,FALSE)</f>
        <v>Fri</v>
      </c>
      <c r="D60" s="31">
        <f t="shared" si="2"/>
        <v>0.75</v>
      </c>
      <c r="E60" s="32" t="s">
        <v>1</v>
      </c>
      <c r="F60" s="32">
        <v>3</v>
      </c>
      <c r="G60" s="32" t="s">
        <v>100</v>
      </c>
      <c r="H60" s="34"/>
      <c r="I60" s="35">
        <v>2E-3</v>
      </c>
      <c r="J60" s="35">
        <v>1E-3</v>
      </c>
      <c r="K60" s="33" t="s">
        <v>101</v>
      </c>
    </row>
    <row r="61" spans="1:11">
      <c r="B61" s="29">
        <f>B60</f>
        <v>45499</v>
      </c>
      <c r="C61" s="30" t="str">
        <f>VLOOKUP(WEEKDAY(B61,2),'EC-Commands'!$D$12:$E$18,2,FALSE)</f>
        <v>Fri</v>
      </c>
      <c r="D61" s="31">
        <f t="shared" si="2"/>
        <v>0.75</v>
      </c>
      <c r="E61" s="32" t="s">
        <v>1</v>
      </c>
      <c r="F61" s="32">
        <v>3</v>
      </c>
      <c r="G61" s="32" t="s">
        <v>102</v>
      </c>
      <c r="H61" s="34"/>
      <c r="I61" s="43">
        <v>2.5999999999999999E-2</v>
      </c>
      <c r="J61" s="35">
        <v>2.5999999999999999E-2</v>
      </c>
      <c r="K61" s="33" t="s">
        <v>101</v>
      </c>
    </row>
    <row r="62" spans="1:11">
      <c r="B62" s="29">
        <f>B61</f>
        <v>45499</v>
      </c>
      <c r="C62" s="30" t="str">
        <f>VLOOKUP(WEEKDAY(B62,2),'EC-Commands'!$D$12:$E$18,2,FALSE)</f>
        <v>Fri</v>
      </c>
      <c r="D62" s="31">
        <f t="shared" si="2"/>
        <v>0.75</v>
      </c>
      <c r="E62" s="32" t="s">
        <v>1</v>
      </c>
      <c r="F62" s="32">
        <v>3</v>
      </c>
      <c r="G62" s="32" t="s">
        <v>103</v>
      </c>
      <c r="H62" s="34"/>
      <c r="I62" s="35">
        <v>1E-3</v>
      </c>
      <c r="J62" s="35">
        <v>0</v>
      </c>
      <c r="K62" s="33" t="s">
        <v>101</v>
      </c>
    </row>
    <row r="63" spans="1:11">
      <c r="B63" s="29">
        <f>B62</f>
        <v>45499</v>
      </c>
      <c r="C63" s="30" t="str">
        <f>VLOOKUP(WEEKDAY(B63,2),'EC-Commands'!$D$12:$E$18,2,FALSE)</f>
        <v>Fri</v>
      </c>
      <c r="D63" s="31">
        <f t="shared" si="2"/>
        <v>0.75</v>
      </c>
      <c r="E63" s="32" t="s">
        <v>1</v>
      </c>
      <c r="F63" s="32">
        <v>3</v>
      </c>
      <c r="G63" s="32" t="s">
        <v>104</v>
      </c>
      <c r="H63" s="34"/>
      <c r="I63" s="43">
        <v>2.5000000000000001E-2</v>
      </c>
      <c r="J63" s="35">
        <v>2.5999999999999999E-2</v>
      </c>
      <c r="K63" s="33" t="s">
        <v>101</v>
      </c>
    </row>
    <row r="64" spans="1:11">
      <c r="A64" s="568" t="s">
        <v>105</v>
      </c>
      <c r="B64" s="5">
        <v>45503</v>
      </c>
      <c r="C64" s="6" t="str">
        <f>VLOOKUP(WEEKDAY(B64,2),'EC-Commands'!$D$12:$E$18,2,FALSE)</f>
        <v>Tue</v>
      </c>
      <c r="D64" s="7">
        <v>0.5625</v>
      </c>
      <c r="E64" s="8" t="s">
        <v>22</v>
      </c>
      <c r="F64" s="8">
        <v>3</v>
      </c>
      <c r="G64" s="8" t="s">
        <v>106</v>
      </c>
      <c r="H64" s="24"/>
      <c r="I64" s="20">
        <v>2E-3</v>
      </c>
      <c r="J64" s="9">
        <v>2E-3</v>
      </c>
      <c r="K64" s="10" t="s">
        <v>107</v>
      </c>
    </row>
    <row r="65" spans="2:11">
      <c r="B65" s="5">
        <v>45503</v>
      </c>
      <c r="C65" s="6" t="str">
        <f>VLOOKUP(WEEKDAY(B65,2),'EC-Commands'!$D$12:$E$18,2,FALSE)</f>
        <v>Tue</v>
      </c>
      <c r="D65" s="7">
        <v>0.72916666666666663</v>
      </c>
      <c r="E65" s="8" t="s">
        <v>22</v>
      </c>
      <c r="F65" s="8">
        <v>3</v>
      </c>
      <c r="G65" s="8" t="s">
        <v>108</v>
      </c>
      <c r="H65" s="24"/>
      <c r="I65" s="20"/>
      <c r="J65" s="9">
        <v>1E-3</v>
      </c>
      <c r="K65" s="11"/>
    </row>
    <row r="66" spans="2:11">
      <c r="B66" s="5">
        <f>B65</f>
        <v>45503</v>
      </c>
      <c r="C66" s="6" t="str">
        <f>VLOOKUP(WEEKDAY(B66,2),'EC-Commands'!$D$12:$E$18,2,FALSE)</f>
        <v>Tue</v>
      </c>
      <c r="D66" s="7">
        <v>0.8125</v>
      </c>
      <c r="E66" s="8" t="s">
        <v>1</v>
      </c>
      <c r="F66" s="8">
        <v>3</v>
      </c>
      <c r="G66" s="8" t="s">
        <v>109</v>
      </c>
      <c r="H66" s="24"/>
      <c r="I66" s="64">
        <v>99.9</v>
      </c>
      <c r="J66" s="12">
        <v>100.4</v>
      </c>
      <c r="K66" s="11"/>
    </row>
    <row r="67" spans="2:11">
      <c r="B67" s="5">
        <f>B66</f>
        <v>45503</v>
      </c>
      <c r="C67" s="6" t="str">
        <f>VLOOKUP(WEEKDAY(B67,2),'EC-Commands'!$D$12:$E$18,2,FALSE)</f>
        <v>Tue</v>
      </c>
      <c r="D67" s="7">
        <v>0.8125</v>
      </c>
      <c r="E67" s="8" t="s">
        <v>1</v>
      </c>
      <c r="F67" s="8">
        <v>3</v>
      </c>
      <c r="G67" s="8" t="s">
        <v>110</v>
      </c>
      <c r="H67" s="24"/>
      <c r="I67" s="64"/>
      <c r="J67" s="12" t="s">
        <v>111</v>
      </c>
      <c r="K67" s="11"/>
    </row>
    <row r="68" spans="2:11" ht="27">
      <c r="B68" s="5">
        <f>B65+1</f>
        <v>45504</v>
      </c>
      <c r="C68" s="6" t="str">
        <f>VLOOKUP(WEEKDAY(B68,2),'EC-Commands'!$D$12:$E$18,2,FALSE)</f>
        <v>Wed</v>
      </c>
      <c r="D68" s="7">
        <v>6.25E-2</v>
      </c>
      <c r="E68" s="8" t="s">
        <v>1</v>
      </c>
      <c r="F68" s="8">
        <v>3</v>
      </c>
      <c r="G68" s="8" t="s">
        <v>112</v>
      </c>
      <c r="H68" s="24"/>
      <c r="I68" s="24"/>
      <c r="J68" s="12"/>
      <c r="K68" s="11" t="s">
        <v>113</v>
      </c>
    </row>
    <row r="69" spans="2:11" ht="27">
      <c r="B69" s="5">
        <f>B66+1</f>
        <v>45504</v>
      </c>
      <c r="C69" s="6" t="str">
        <f>VLOOKUP(WEEKDAY(B69,2),'EC-Commands'!$D$12:$E$18,2,FALSE)</f>
        <v>Wed</v>
      </c>
      <c r="D69" s="7">
        <v>6.25E-2</v>
      </c>
      <c r="E69" s="8" t="s">
        <v>1</v>
      </c>
      <c r="F69" s="8">
        <v>3</v>
      </c>
      <c r="G69" s="8" t="s">
        <v>114</v>
      </c>
      <c r="H69" s="24"/>
      <c r="I69" s="24"/>
      <c r="J69" s="12"/>
      <c r="K69" s="11" t="s">
        <v>115</v>
      </c>
    </row>
    <row r="70" spans="2:11">
      <c r="B70" s="5">
        <f>B67+1</f>
        <v>45504</v>
      </c>
      <c r="C70" s="6" t="str">
        <f>VLOOKUP(WEEKDAY(B70,2),'EC-Commands'!$D$12:$E$18,2,FALSE)</f>
        <v>Wed</v>
      </c>
      <c r="D70" s="7">
        <v>0.29166666666666669</v>
      </c>
      <c r="E70" s="8" t="s">
        <v>65</v>
      </c>
      <c r="F70" s="8">
        <v>3</v>
      </c>
      <c r="G70" s="8" t="s">
        <v>116</v>
      </c>
      <c r="H70" s="24"/>
      <c r="I70" s="24"/>
      <c r="J70" s="12">
        <v>49.5</v>
      </c>
      <c r="K70" s="11"/>
    </row>
    <row r="71" spans="2:11" ht="26">
      <c r="B71" s="5">
        <f t="shared" ref="B71:B78" si="3">B70</f>
        <v>45504</v>
      </c>
      <c r="C71" s="6" t="str">
        <f>VLOOKUP(WEEKDAY(B71,2),'EC-Commands'!$D$12:$E$18,2,FALSE)</f>
        <v>Wed</v>
      </c>
      <c r="D71" s="7">
        <v>0.35416666666666669</v>
      </c>
      <c r="E71" s="8" t="s">
        <v>117</v>
      </c>
      <c r="F71" s="8">
        <v>3</v>
      </c>
      <c r="G71" s="8" t="s">
        <v>118</v>
      </c>
      <c r="H71" s="24"/>
      <c r="I71" s="20">
        <v>1E-3</v>
      </c>
      <c r="J71" s="9">
        <v>1E-3</v>
      </c>
      <c r="K71" s="10" t="s">
        <v>119</v>
      </c>
    </row>
    <row r="72" spans="2:11">
      <c r="B72" s="5">
        <f t="shared" si="3"/>
        <v>45504</v>
      </c>
      <c r="C72" s="6" t="str">
        <f>VLOOKUP(WEEKDAY(B72,2),'EC-Commands'!$D$12:$E$18,2,FALSE)</f>
        <v>Wed</v>
      </c>
      <c r="D72" s="7">
        <v>0.60416666666666663</v>
      </c>
      <c r="E72" s="8" t="s">
        <v>22</v>
      </c>
      <c r="F72" s="8">
        <v>3</v>
      </c>
      <c r="G72" s="8" t="s">
        <v>120</v>
      </c>
      <c r="H72" s="24"/>
      <c r="I72" s="65"/>
      <c r="J72" s="13">
        <v>2.5000000000000001E-2</v>
      </c>
      <c r="K72" s="14"/>
    </row>
    <row r="73" spans="2:11">
      <c r="B73" s="5">
        <f t="shared" si="3"/>
        <v>45504</v>
      </c>
      <c r="C73" s="6" t="str">
        <f>VLOOKUP(WEEKDAY(B73,2),'EC-Commands'!$D$12:$E$18,2,FALSE)</f>
        <v>Wed</v>
      </c>
      <c r="D73" s="7">
        <v>0.73958333333333337</v>
      </c>
      <c r="E73" s="8" t="s">
        <v>1</v>
      </c>
      <c r="F73" s="8">
        <v>3</v>
      </c>
      <c r="G73" s="8" t="s">
        <v>121</v>
      </c>
      <c r="H73" s="24"/>
      <c r="I73" s="24"/>
      <c r="J73" s="13" t="s">
        <v>122</v>
      </c>
      <c r="K73" s="14"/>
    </row>
    <row r="74" spans="2:11">
      <c r="B74" s="5">
        <f t="shared" si="3"/>
        <v>45504</v>
      </c>
      <c r="C74" s="6" t="str">
        <f>VLOOKUP(WEEKDAY(B74,2),'EC-Commands'!$D$12:$E$18,2,FALSE)</f>
        <v>Wed</v>
      </c>
      <c r="D74" s="7">
        <v>0.80208333333333337</v>
      </c>
      <c r="E74" s="8" t="s">
        <v>1</v>
      </c>
      <c r="F74" s="8">
        <v>3</v>
      </c>
      <c r="G74" s="8" t="s">
        <v>123</v>
      </c>
      <c r="H74" s="24"/>
      <c r="I74" s="24"/>
      <c r="J74" s="12">
        <v>47.4</v>
      </c>
      <c r="K74" s="14"/>
    </row>
    <row r="75" spans="2:11">
      <c r="B75" s="5">
        <f t="shared" si="3"/>
        <v>45504</v>
      </c>
      <c r="C75" s="6" t="str">
        <f>VLOOKUP(WEEKDAY(B75,2),'EC-Commands'!$D$12:$E$18,2,FALSE)</f>
        <v>Wed</v>
      </c>
      <c r="D75" s="7">
        <v>0.83333333333333337</v>
      </c>
      <c r="E75" s="8" t="s">
        <v>1</v>
      </c>
      <c r="F75" s="8">
        <v>3</v>
      </c>
      <c r="G75" s="8" t="s">
        <v>9</v>
      </c>
      <c r="H75" s="24"/>
      <c r="I75" s="24"/>
      <c r="J75" s="15" t="s">
        <v>124</v>
      </c>
      <c r="K75" s="14"/>
    </row>
    <row r="76" spans="2:11" ht="26">
      <c r="B76" s="5">
        <f t="shared" si="3"/>
        <v>45504</v>
      </c>
      <c r="C76" s="6" t="str">
        <f>VLOOKUP(WEEKDAY(B76,2),'EC-Commands'!$D$12:$E$18,2,FALSE)</f>
        <v>Wed</v>
      </c>
      <c r="D76" s="7">
        <v>0.97916666666666663</v>
      </c>
      <c r="E76" s="8" t="s">
        <v>1</v>
      </c>
      <c r="F76" s="8">
        <v>3</v>
      </c>
      <c r="G76" s="8" t="s">
        <v>125</v>
      </c>
      <c r="H76" s="24"/>
      <c r="I76" s="24"/>
      <c r="J76" s="8"/>
      <c r="K76" s="10" t="s">
        <v>126</v>
      </c>
    </row>
    <row r="77" spans="2:11">
      <c r="B77" s="5">
        <f t="shared" si="3"/>
        <v>45504</v>
      </c>
      <c r="C77" s="6" t="str">
        <f>VLOOKUP(WEEKDAY(B77,2),'EC-Commands'!$D$12:$E$18,2,FALSE)</f>
        <v>Wed</v>
      </c>
      <c r="D77" s="7">
        <v>0.97916666666666663</v>
      </c>
      <c r="E77" s="8" t="s">
        <v>1</v>
      </c>
      <c r="F77" s="8">
        <v>3</v>
      </c>
      <c r="G77" s="8" t="s">
        <v>127</v>
      </c>
      <c r="H77" s="24"/>
      <c r="I77" s="22">
        <v>5.5E-2</v>
      </c>
      <c r="J77" s="16">
        <v>5.5E-2</v>
      </c>
      <c r="K77" s="10" t="s">
        <v>128</v>
      </c>
    </row>
    <row r="78" spans="2:11" ht="26">
      <c r="B78" s="5">
        <f t="shared" si="3"/>
        <v>45504</v>
      </c>
      <c r="C78" s="6" t="str">
        <f>VLOOKUP(WEEKDAY(B78,2),'EC-Commands'!$D$12:$E$18,2,FALSE)</f>
        <v>Wed</v>
      </c>
      <c r="D78" s="7">
        <v>0.97916666666666663</v>
      </c>
      <c r="E78" s="8" t="s">
        <v>1</v>
      </c>
      <c r="F78" s="8">
        <v>3</v>
      </c>
      <c r="G78" s="8" t="s">
        <v>129</v>
      </c>
      <c r="H78" s="24"/>
      <c r="I78" s="24"/>
      <c r="J78" s="8"/>
      <c r="K78" s="10" t="s">
        <v>126</v>
      </c>
    </row>
    <row r="79" spans="2:11" ht="27">
      <c r="B79" s="5">
        <f>B76+1</f>
        <v>45505</v>
      </c>
      <c r="C79" s="6" t="str">
        <f>VLOOKUP(WEEKDAY(B79,2),'EC-Commands'!$D$12:$E$18,2,FALSE)</f>
        <v>Thu</v>
      </c>
      <c r="D79" s="7">
        <v>6.25E-2</v>
      </c>
      <c r="E79" s="8" t="s">
        <v>1</v>
      </c>
      <c r="F79" s="8">
        <v>3</v>
      </c>
      <c r="G79" s="8" t="s">
        <v>130</v>
      </c>
      <c r="H79" s="24"/>
      <c r="I79" s="24"/>
      <c r="J79" s="12"/>
      <c r="K79" s="11" t="s">
        <v>131</v>
      </c>
    </row>
    <row r="80" spans="2:11" ht="27">
      <c r="B80" s="5">
        <f>B77+1</f>
        <v>45505</v>
      </c>
      <c r="C80" s="6" t="str">
        <f>VLOOKUP(WEEKDAY(B80,2),'EC-Commands'!$D$12:$E$18,2,FALSE)</f>
        <v>Thu</v>
      </c>
      <c r="D80" s="7">
        <v>6.25E-2</v>
      </c>
      <c r="E80" s="8" t="s">
        <v>1</v>
      </c>
      <c r="F80" s="8">
        <v>3</v>
      </c>
      <c r="G80" s="8" t="s">
        <v>132</v>
      </c>
      <c r="H80" s="24"/>
      <c r="I80" s="24"/>
      <c r="J80" s="12"/>
      <c r="K80" s="11" t="s">
        <v>133</v>
      </c>
    </row>
    <row r="81" spans="1:11" ht="26">
      <c r="B81" s="5">
        <f>B78+1</f>
        <v>45505</v>
      </c>
      <c r="C81" s="6" t="str">
        <f>VLOOKUP(WEEKDAY(B81,2),'EC-Commands'!$D$12:$E$18,2,FALSE)</f>
        <v>Thu</v>
      </c>
      <c r="D81" s="7">
        <v>0.6875</v>
      </c>
      <c r="E81" s="8" t="s">
        <v>53</v>
      </c>
      <c r="F81" s="8">
        <v>3</v>
      </c>
      <c r="G81" s="8" t="s">
        <v>134</v>
      </c>
      <c r="H81" s="24"/>
      <c r="I81" s="22">
        <v>0.05</v>
      </c>
      <c r="J81" s="16">
        <v>5.2499999999999998E-2</v>
      </c>
      <c r="K81" s="10" t="s">
        <v>135</v>
      </c>
    </row>
    <row r="82" spans="1:11">
      <c r="B82" s="5">
        <f>B81</f>
        <v>45505</v>
      </c>
      <c r="C82" s="6" t="str">
        <f>VLOOKUP(WEEKDAY(B82,2),'EC-Commands'!$D$12:$E$18,2,FALSE)</f>
        <v>Thu</v>
      </c>
      <c r="D82" s="7">
        <v>0.75</v>
      </c>
      <c r="E82" s="8" t="s">
        <v>1</v>
      </c>
      <c r="F82" s="8">
        <v>3</v>
      </c>
      <c r="G82" s="8" t="s">
        <v>14</v>
      </c>
      <c r="H82" s="24"/>
      <c r="I82" s="24"/>
      <c r="J82" s="8" t="s">
        <v>136</v>
      </c>
      <c r="K82" s="17"/>
    </row>
    <row r="83" spans="1:11">
      <c r="B83" s="5">
        <f>B82</f>
        <v>45505</v>
      </c>
      <c r="C83" s="6" t="str">
        <f>VLOOKUP(WEEKDAY(B83,2),'EC-Commands'!$D$12:$E$18,2,FALSE)</f>
        <v>Thu</v>
      </c>
      <c r="D83" s="7">
        <v>0.80208333333333337</v>
      </c>
      <c r="E83" s="8" t="s">
        <v>1</v>
      </c>
      <c r="F83" s="8">
        <v>3</v>
      </c>
      <c r="G83" s="8" t="s">
        <v>137</v>
      </c>
      <c r="H83" s="24"/>
      <c r="I83" s="66">
        <v>49.5</v>
      </c>
      <c r="J83" s="18">
        <v>51.6</v>
      </c>
      <c r="K83" s="17"/>
    </row>
    <row r="84" spans="1:11">
      <c r="B84" s="5">
        <f>B83</f>
        <v>45505</v>
      </c>
      <c r="C84" s="6" t="str">
        <f>VLOOKUP(WEEKDAY(B84,2),'EC-Commands'!$D$12:$E$18,2,FALSE)</f>
        <v>Thu</v>
      </c>
      <c r="D84" s="7">
        <v>0.8125</v>
      </c>
      <c r="E84" s="8" t="s">
        <v>1</v>
      </c>
      <c r="F84" s="8">
        <v>3</v>
      </c>
      <c r="G84" s="8" t="s">
        <v>138</v>
      </c>
      <c r="H84" s="24"/>
      <c r="I84" s="66">
        <v>48.8</v>
      </c>
      <c r="J84" s="18">
        <v>48.5</v>
      </c>
      <c r="K84" s="17"/>
    </row>
    <row r="85" spans="1:11">
      <c r="B85" s="5">
        <f>B84</f>
        <v>45505</v>
      </c>
      <c r="C85" s="6" t="str">
        <f>VLOOKUP(WEEKDAY(B85,2),'EC-Commands'!$D$12:$E$18,2,FALSE)</f>
        <v>Thu</v>
      </c>
      <c r="D85" s="7">
        <v>0.8125</v>
      </c>
      <c r="E85" s="8" t="s">
        <v>1</v>
      </c>
      <c r="F85" s="8">
        <v>3</v>
      </c>
      <c r="G85" s="8" t="s">
        <v>139</v>
      </c>
      <c r="H85" s="24"/>
      <c r="I85" s="66"/>
      <c r="J85" s="18">
        <v>52.1</v>
      </c>
      <c r="K85" s="17"/>
    </row>
    <row r="86" spans="1:11" ht="27">
      <c r="B86" s="5">
        <f>B83+1</f>
        <v>45506</v>
      </c>
      <c r="C86" s="6" t="str">
        <f>VLOOKUP(WEEKDAY(B86,2),'EC-Commands'!$D$12:$E$18,2,FALSE)</f>
        <v>Fri</v>
      </c>
      <c r="D86" s="7">
        <v>6.25E-2</v>
      </c>
      <c r="E86" s="8" t="s">
        <v>1</v>
      </c>
      <c r="F86" s="8">
        <v>3</v>
      </c>
      <c r="G86" s="8" t="s">
        <v>140</v>
      </c>
      <c r="H86" s="24"/>
      <c r="I86" s="24"/>
      <c r="J86" s="12"/>
      <c r="K86" s="11" t="s">
        <v>141</v>
      </c>
    </row>
    <row r="87" spans="1:11" ht="27">
      <c r="B87" s="5">
        <f>B84+1</f>
        <v>45506</v>
      </c>
      <c r="C87" s="6" t="str">
        <f>VLOOKUP(WEEKDAY(B87,2),'EC-Commands'!$D$12:$E$18,2,FALSE)</f>
        <v>Fri</v>
      </c>
      <c r="D87" s="7">
        <v>6.25E-2</v>
      </c>
      <c r="E87" s="8" t="s">
        <v>1</v>
      </c>
      <c r="F87" s="8">
        <v>3</v>
      </c>
      <c r="G87" s="8" t="s">
        <v>142</v>
      </c>
      <c r="H87" s="24"/>
      <c r="I87" s="24"/>
      <c r="J87" s="12"/>
      <c r="K87" s="11" t="s">
        <v>143</v>
      </c>
    </row>
    <row r="88" spans="1:11" ht="27">
      <c r="B88" s="5">
        <f>B85+1</f>
        <v>45506</v>
      </c>
      <c r="C88" s="6" t="str">
        <f>VLOOKUP(WEEKDAY(B88,2),'EC-Commands'!$D$12:$E$18,2,FALSE)</f>
        <v>Fri</v>
      </c>
      <c r="D88" s="7">
        <v>6.25E-2</v>
      </c>
      <c r="E88" s="8" t="s">
        <v>1</v>
      </c>
      <c r="F88" s="8">
        <v>3</v>
      </c>
      <c r="G88" s="8" t="s">
        <v>144</v>
      </c>
      <c r="H88" s="24"/>
      <c r="I88" s="24"/>
      <c r="J88" s="12"/>
      <c r="K88" s="11" t="s">
        <v>145</v>
      </c>
    </row>
    <row r="89" spans="1:11">
      <c r="B89" s="5">
        <f>B85+1</f>
        <v>45506</v>
      </c>
      <c r="C89" s="6" t="str">
        <f>VLOOKUP(WEEKDAY(B89,2),'EC-Commands'!$D$12:$E$18,2,FALSE)</f>
        <v>Fri</v>
      </c>
      <c r="D89" s="7">
        <v>0.75</v>
      </c>
      <c r="E89" s="8" t="s">
        <v>1</v>
      </c>
      <c r="F89" s="8">
        <v>3</v>
      </c>
      <c r="G89" s="8" t="s">
        <v>146</v>
      </c>
      <c r="H89" s="24"/>
      <c r="I89" s="22">
        <v>3.0000000000000001E-3</v>
      </c>
      <c r="J89" s="16">
        <v>3.0000000000000001E-3</v>
      </c>
      <c r="K89" s="17"/>
    </row>
    <row r="90" spans="1:11">
      <c r="B90" s="5">
        <f>B89</f>
        <v>45506</v>
      </c>
      <c r="C90" s="6" t="str">
        <f>VLOOKUP(WEEKDAY(B90,2),'EC-Commands'!$D$12:$E$18,2,FALSE)</f>
        <v>Fri</v>
      </c>
      <c r="D90" s="7">
        <v>0.75</v>
      </c>
      <c r="E90" s="8" t="s">
        <v>1</v>
      </c>
      <c r="F90" s="8">
        <v>3</v>
      </c>
      <c r="G90" s="8" t="s">
        <v>147</v>
      </c>
      <c r="H90" s="24"/>
      <c r="I90" s="24" t="s">
        <v>148</v>
      </c>
      <c r="J90" s="8" t="s">
        <v>149</v>
      </c>
      <c r="K90" s="17"/>
    </row>
    <row r="91" spans="1:11">
      <c r="B91" s="5">
        <f>B90</f>
        <v>45506</v>
      </c>
      <c r="C91" s="6" t="str">
        <f>VLOOKUP(WEEKDAY(B91,2),'EC-Commands'!$D$12:$E$18,2,FALSE)</f>
        <v>Fri</v>
      </c>
      <c r="D91" s="7">
        <v>0.75</v>
      </c>
      <c r="E91" s="8" t="s">
        <v>1</v>
      </c>
      <c r="F91" s="8">
        <v>3</v>
      </c>
      <c r="G91" s="8" t="s">
        <v>150</v>
      </c>
      <c r="H91" s="24"/>
      <c r="I91" s="22">
        <v>4.1000000000000002E-2</v>
      </c>
      <c r="J91" s="16">
        <v>4.1000000000000002E-2</v>
      </c>
      <c r="K91" s="17"/>
    </row>
    <row r="92" spans="1:11" ht="27">
      <c r="A92" s="568" t="s">
        <v>105</v>
      </c>
      <c r="B92" s="5">
        <v>45509</v>
      </c>
      <c r="C92" s="6" t="str">
        <f>VLOOKUP(WEEKDAY(B92,2),'EC-Commands'!$D$12:$E$18,2,FALSE)</f>
        <v>Mon</v>
      </c>
      <c r="D92" s="7">
        <v>0.80208333333333337</v>
      </c>
      <c r="E92" s="8" t="s">
        <v>1</v>
      </c>
      <c r="F92" s="8">
        <v>3</v>
      </c>
      <c r="G92" s="8" t="s">
        <v>12</v>
      </c>
      <c r="H92" s="19">
        <v>55</v>
      </c>
      <c r="I92" s="19">
        <v>56</v>
      </c>
      <c r="J92" s="19">
        <v>56</v>
      </c>
      <c r="K92" s="11" t="s">
        <v>151</v>
      </c>
    </row>
    <row r="93" spans="1:11" ht="27">
      <c r="B93" s="5">
        <f>B92</f>
        <v>45509</v>
      </c>
      <c r="C93" s="6" t="str">
        <f>VLOOKUP(WEEKDAY(B93,2),'EC-Commands'!$D$12:$E$18,2,FALSE)</f>
        <v>Mon</v>
      </c>
      <c r="D93" s="7">
        <v>0.8125</v>
      </c>
      <c r="E93" s="8" t="s">
        <v>1</v>
      </c>
      <c r="F93" s="8">
        <v>3</v>
      </c>
      <c r="G93" s="8" t="s">
        <v>152</v>
      </c>
      <c r="H93" s="24">
        <v>51.4</v>
      </c>
      <c r="I93" s="19">
        <v>51</v>
      </c>
      <c r="J93" s="19">
        <v>48.8</v>
      </c>
      <c r="K93" s="11" t="s">
        <v>153</v>
      </c>
    </row>
    <row r="94" spans="1:11" ht="27">
      <c r="B94" s="5">
        <f>B93</f>
        <v>45509</v>
      </c>
      <c r="C94" s="6" t="str">
        <f>VLOOKUP(WEEKDAY(B94,2),'EC-Commands'!$D$12:$E$18,2,FALSE)</f>
        <v>Mon</v>
      </c>
      <c r="D94" s="7">
        <v>0.8125</v>
      </c>
      <c r="E94" s="8" t="s">
        <v>1</v>
      </c>
      <c r="F94" s="8">
        <v>3</v>
      </c>
      <c r="G94" s="8" t="s">
        <v>154</v>
      </c>
      <c r="H94" s="24">
        <v>57</v>
      </c>
      <c r="I94" s="19">
        <v>56</v>
      </c>
      <c r="J94" s="19">
        <v>56.3</v>
      </c>
      <c r="K94" s="11" t="s">
        <v>155</v>
      </c>
    </row>
    <row r="95" spans="1:11" ht="27">
      <c r="B95" s="5">
        <f>B98</f>
        <v>45510</v>
      </c>
      <c r="C95" s="6" t="str">
        <f>VLOOKUP(WEEKDAY(B95,2),'EC-Commands'!$D$12:$E$18,2,FALSE)</f>
        <v>Tue</v>
      </c>
      <c r="D95" s="7">
        <v>6.25E-2</v>
      </c>
      <c r="E95" s="8" t="s">
        <v>1</v>
      </c>
      <c r="F95" s="8">
        <v>3</v>
      </c>
      <c r="G95" s="8" t="s">
        <v>156</v>
      </c>
      <c r="H95" s="24"/>
      <c r="I95" s="19"/>
      <c r="J95" s="19"/>
      <c r="K95" s="11" t="s">
        <v>157</v>
      </c>
    </row>
    <row r="96" spans="1:11" ht="27">
      <c r="B96" s="5">
        <f>B95</f>
        <v>45510</v>
      </c>
      <c r="C96" s="6" t="str">
        <f>VLOOKUP(WEEKDAY(B96,2),'EC-Commands'!$D$12:$E$18,2,FALSE)</f>
        <v>Tue</v>
      </c>
      <c r="D96" s="7">
        <v>6.25E-2</v>
      </c>
      <c r="E96" s="8" t="s">
        <v>1</v>
      </c>
      <c r="F96" s="8">
        <v>3</v>
      </c>
      <c r="G96" s="8" t="s">
        <v>158</v>
      </c>
      <c r="H96" s="24"/>
      <c r="I96" s="19"/>
      <c r="J96" s="19"/>
      <c r="K96" s="11" t="s">
        <v>159</v>
      </c>
    </row>
    <row r="97" spans="1:11" ht="53">
      <c r="B97" s="5">
        <f>B96</f>
        <v>45510</v>
      </c>
      <c r="C97" s="6" t="str">
        <f>VLOOKUP(WEEKDAY(B97,2),'EC-Commands'!$D$12:$E$18,2,FALSE)</f>
        <v>Tue</v>
      </c>
      <c r="D97" s="7">
        <v>6.25E-2</v>
      </c>
      <c r="E97" s="8" t="s">
        <v>1</v>
      </c>
      <c r="F97" s="8">
        <v>3</v>
      </c>
      <c r="G97" s="8" t="s">
        <v>160</v>
      </c>
      <c r="H97" s="24"/>
      <c r="I97" s="19"/>
      <c r="J97" s="19"/>
      <c r="K97" s="11" t="s">
        <v>161</v>
      </c>
    </row>
    <row r="98" spans="1:11" ht="27">
      <c r="B98" s="5">
        <f>B94+1</f>
        <v>45510</v>
      </c>
      <c r="C98" s="6" t="str">
        <f>VLOOKUP(WEEKDAY(B98,2),'EC-Commands'!$D$12:$E$18,2,FALSE)</f>
        <v>Tue</v>
      </c>
      <c r="D98" s="7">
        <v>0.41666666666666669</v>
      </c>
      <c r="E98" s="8" t="s">
        <v>1</v>
      </c>
      <c r="F98" s="8">
        <v>3</v>
      </c>
      <c r="G98" s="8" t="s">
        <v>162</v>
      </c>
      <c r="H98" s="20">
        <v>4.3499999999999997E-2</v>
      </c>
      <c r="I98" s="20">
        <v>4.3499999999999997E-2</v>
      </c>
      <c r="J98" s="20">
        <v>4.3499999999999997E-2</v>
      </c>
      <c r="K98" s="11" t="s">
        <v>163</v>
      </c>
    </row>
    <row r="99" spans="1:11">
      <c r="B99" s="5">
        <f>B98+1</f>
        <v>45511</v>
      </c>
      <c r="C99" s="6" t="str">
        <f>VLOOKUP(WEEKDAY(B99,2),'EC-Commands'!$D$12:$E$18,2,FALSE)</f>
        <v>Wed</v>
      </c>
      <c r="D99" s="7">
        <v>0.83333333333333337</v>
      </c>
      <c r="E99" s="8" t="s">
        <v>1</v>
      </c>
      <c r="F99" s="8">
        <v>3</v>
      </c>
      <c r="G99" s="8" t="s">
        <v>9</v>
      </c>
      <c r="H99" s="21" t="s">
        <v>164</v>
      </c>
      <c r="I99" s="21" t="s">
        <v>165</v>
      </c>
      <c r="J99" s="21" t="s">
        <v>166</v>
      </c>
      <c r="K99" s="10" t="s">
        <v>167</v>
      </c>
    </row>
    <row r="100" spans="1:11" ht="27">
      <c r="B100" s="5">
        <f>B99</f>
        <v>45511</v>
      </c>
      <c r="C100" s="6" t="str">
        <f>VLOOKUP(WEEKDAY(B100,2),'EC-Commands'!$D$12:$E$18,2,FALSE)</f>
        <v>Wed</v>
      </c>
      <c r="D100" s="7">
        <v>0.9375</v>
      </c>
      <c r="E100" s="8" t="s">
        <v>1</v>
      </c>
      <c r="F100" s="8">
        <v>3</v>
      </c>
      <c r="G100" s="8" t="s">
        <v>52</v>
      </c>
      <c r="H100" s="20">
        <v>3.9600000000000003E-2</v>
      </c>
      <c r="I100" s="22"/>
      <c r="J100" s="23">
        <v>4.2759999999999999E-2</v>
      </c>
      <c r="K100" s="14" t="s">
        <v>168</v>
      </c>
    </row>
    <row r="101" spans="1:11" ht="27">
      <c r="B101" s="5">
        <f>B99+1</f>
        <v>45512</v>
      </c>
      <c r="C101" s="6" t="str">
        <f>VLOOKUP(WEEKDAY(B101,2),'EC-Commands'!$D$12:$E$18,2,FALSE)</f>
        <v>Thu</v>
      </c>
      <c r="D101" s="7">
        <f>D97</f>
        <v>6.25E-2</v>
      </c>
      <c r="E101" s="8" t="s">
        <v>1</v>
      </c>
      <c r="F101" s="8">
        <v>3</v>
      </c>
      <c r="G101" s="8" t="s">
        <v>169</v>
      </c>
      <c r="H101" s="24"/>
      <c r="I101" s="24"/>
      <c r="J101" s="22"/>
      <c r="K101" s="11" t="s">
        <v>170</v>
      </c>
    </row>
    <row r="102" spans="1:11" ht="27">
      <c r="B102" s="5">
        <f>B100+1</f>
        <v>45512</v>
      </c>
      <c r="C102" s="6" t="str">
        <f>VLOOKUP(WEEKDAY(B102,2),'EC-Commands'!$D$12:$E$18,2,FALSE)</f>
        <v>Thu</v>
      </c>
      <c r="D102" s="7">
        <v>0.75</v>
      </c>
      <c r="E102" s="8" t="s">
        <v>1</v>
      </c>
      <c r="F102" s="8">
        <v>3</v>
      </c>
      <c r="G102" s="8" t="s">
        <v>14</v>
      </c>
      <c r="H102" s="24" t="s">
        <v>13</v>
      </c>
      <c r="I102" s="24" t="s">
        <v>171</v>
      </c>
      <c r="J102" s="22" t="s">
        <v>172</v>
      </c>
      <c r="K102" s="14" t="s">
        <v>173</v>
      </c>
    </row>
    <row r="103" spans="1:11">
      <c r="B103" s="5">
        <f>B102</f>
        <v>45512</v>
      </c>
      <c r="C103" s="6" t="str">
        <f>VLOOKUP(WEEKDAY(B103,2),'EC-Commands'!$D$12:$E$18,2,FALSE)</f>
        <v>Thu</v>
      </c>
      <c r="D103" s="7">
        <v>0.93819444444444444</v>
      </c>
      <c r="E103" s="8" t="s">
        <v>1</v>
      </c>
      <c r="F103" s="8">
        <v>3</v>
      </c>
      <c r="G103" s="8" t="s">
        <v>174</v>
      </c>
      <c r="H103" s="62">
        <v>4.3139999999999998E-2</v>
      </c>
      <c r="I103" s="24"/>
      <c r="J103" s="23">
        <v>4.4049999999999999E-2</v>
      </c>
      <c r="K103" s="14" t="s">
        <v>175</v>
      </c>
    </row>
    <row r="104" spans="1:11" ht="27">
      <c r="B104" s="5">
        <f>B103+1</f>
        <v>45513</v>
      </c>
      <c r="C104" s="6" t="str">
        <f>VLOOKUP(WEEKDAY(B104,2),'EC-Commands'!$D$12:$E$18,2,FALSE)</f>
        <v>Fri</v>
      </c>
      <c r="D104" s="7">
        <f>D101</f>
        <v>6.25E-2</v>
      </c>
      <c r="E104" s="8" t="s">
        <v>1</v>
      </c>
      <c r="F104" s="8">
        <v>3</v>
      </c>
      <c r="G104" s="8" t="s">
        <v>176</v>
      </c>
      <c r="H104" s="24"/>
      <c r="I104" s="20"/>
      <c r="J104" s="20"/>
      <c r="K104" s="11" t="s">
        <v>177</v>
      </c>
    </row>
    <row r="105" spans="1:11" ht="27">
      <c r="B105" s="5">
        <f>B104</f>
        <v>45513</v>
      </c>
      <c r="C105" s="6" t="str">
        <f>VLOOKUP(WEEKDAY(B105,2),'EC-Commands'!$D$12:$E$18,2,FALSE)</f>
        <v>Fri</v>
      </c>
      <c r="D105" s="7">
        <v>0.47916666666666669</v>
      </c>
      <c r="E105" s="8" t="s">
        <v>1</v>
      </c>
      <c r="F105" s="8">
        <v>3</v>
      </c>
      <c r="G105" s="8" t="s">
        <v>178</v>
      </c>
      <c r="H105" s="24"/>
      <c r="I105" s="20">
        <v>3.0000000000000001E-3</v>
      </c>
      <c r="J105" s="20">
        <v>3.0000000000000001E-3</v>
      </c>
      <c r="K105" s="14" t="s">
        <v>179</v>
      </c>
    </row>
    <row r="106" spans="1:11">
      <c r="B106" s="5">
        <v>45553</v>
      </c>
      <c r="C106" s="6" t="str">
        <f>VLOOKUP(WEEKDAY(B106,2),'EC-Commands'!$D$12:$E$18,2,FALSE)</f>
        <v>Wed</v>
      </c>
      <c r="D106" s="7">
        <v>0.91666666666666663</v>
      </c>
      <c r="E106" s="8" t="s">
        <v>1</v>
      </c>
      <c r="F106" s="8">
        <v>3</v>
      </c>
      <c r="G106" s="8" t="s">
        <v>180</v>
      </c>
      <c r="H106" s="24"/>
      <c r="I106" s="24"/>
      <c r="J106" s="20"/>
      <c r="K106" s="10"/>
    </row>
    <row r="107" spans="1:11">
      <c r="C107" t="s">
        <v>181</v>
      </c>
      <c r="J107" s="1"/>
      <c r="K107" s="25"/>
    </row>
    <row r="108" spans="1:11" ht="27">
      <c r="A108" s="569" t="s">
        <v>105</v>
      </c>
      <c r="B108" s="45">
        <v>45517</v>
      </c>
      <c r="C108" s="46" t="s">
        <v>182</v>
      </c>
      <c r="D108" s="47">
        <v>0.75</v>
      </c>
      <c r="E108" s="48" t="s">
        <v>1</v>
      </c>
      <c r="F108" s="48">
        <v>3</v>
      </c>
      <c r="G108" s="48" t="s">
        <v>183</v>
      </c>
      <c r="H108" s="49">
        <v>1E-3</v>
      </c>
      <c r="I108" s="49">
        <v>2E-3</v>
      </c>
      <c r="J108" s="49">
        <v>2E-3</v>
      </c>
      <c r="K108" s="50" t="s">
        <v>184</v>
      </c>
    </row>
    <row r="109" spans="1:11" ht="39">
      <c r="B109" s="51">
        <v>45518</v>
      </c>
      <c r="C109" s="52" t="s">
        <v>185</v>
      </c>
      <c r="D109" s="53">
        <v>0.3125</v>
      </c>
      <c r="E109" s="54" t="s">
        <v>49</v>
      </c>
      <c r="F109" s="54">
        <v>3</v>
      </c>
      <c r="G109" s="54" t="s">
        <v>50</v>
      </c>
      <c r="H109" s="55">
        <v>5.2499999999999998E-2</v>
      </c>
      <c r="I109" s="55">
        <v>5.5E-2</v>
      </c>
      <c r="J109" s="55">
        <v>5.5E-2</v>
      </c>
      <c r="K109" s="56" t="s">
        <v>186</v>
      </c>
    </row>
    <row r="110" spans="1:11" ht="26">
      <c r="B110" s="51">
        <v>45518</v>
      </c>
      <c r="C110" s="52" t="s">
        <v>185</v>
      </c>
      <c r="D110" s="53">
        <v>0.47916666666666669</v>
      </c>
      <c r="E110" s="54" t="s">
        <v>53</v>
      </c>
      <c r="F110" s="54">
        <v>3</v>
      </c>
      <c r="G110" s="54" t="s">
        <v>187</v>
      </c>
      <c r="H110" s="55">
        <v>2.1999999999999999E-2</v>
      </c>
      <c r="I110" s="55">
        <v>2.3E-2</v>
      </c>
      <c r="J110" s="55">
        <v>0.02</v>
      </c>
      <c r="K110" s="56" t="s">
        <v>188</v>
      </c>
    </row>
    <row r="111" spans="1:11" ht="26">
      <c r="B111" s="51">
        <v>45518</v>
      </c>
      <c r="C111" s="52" t="s">
        <v>185</v>
      </c>
      <c r="D111" s="53">
        <v>0.75</v>
      </c>
      <c r="E111" s="54" t="s">
        <v>1</v>
      </c>
      <c r="F111" s="54">
        <v>3</v>
      </c>
      <c r="G111" s="54" t="s">
        <v>189</v>
      </c>
      <c r="H111" s="55">
        <v>2E-3</v>
      </c>
      <c r="I111" s="55">
        <v>2E-3</v>
      </c>
      <c r="J111" s="55">
        <v>1E-3</v>
      </c>
      <c r="K111" s="56" t="s">
        <v>190</v>
      </c>
    </row>
    <row r="112" spans="1:11">
      <c r="B112" s="51">
        <v>45518</v>
      </c>
      <c r="C112" s="52" t="s">
        <v>185</v>
      </c>
      <c r="D112" s="53">
        <v>0.75</v>
      </c>
      <c r="E112" s="54" t="s">
        <v>1</v>
      </c>
      <c r="F112" s="54">
        <v>3</v>
      </c>
      <c r="G112" s="54" t="s">
        <v>187</v>
      </c>
      <c r="H112" s="55">
        <v>2.9000000000000001E-2</v>
      </c>
      <c r="I112" s="55">
        <v>0.03</v>
      </c>
      <c r="J112" s="55">
        <v>0.03</v>
      </c>
      <c r="K112" s="56" t="s">
        <v>191</v>
      </c>
    </row>
    <row r="113" spans="1:11">
      <c r="B113" s="51">
        <v>45518</v>
      </c>
      <c r="C113" s="52" t="s">
        <v>185</v>
      </c>
      <c r="D113" s="53">
        <v>0.75</v>
      </c>
      <c r="E113" s="54" t="s">
        <v>1</v>
      </c>
      <c r="F113" s="54">
        <v>3</v>
      </c>
      <c r="G113" s="54" t="s">
        <v>192</v>
      </c>
      <c r="H113" s="55">
        <v>2E-3</v>
      </c>
      <c r="I113" s="55">
        <v>2E-3</v>
      </c>
      <c r="J113" s="55">
        <v>-1E-3</v>
      </c>
      <c r="K113" s="56"/>
    </row>
    <row r="114" spans="1:11" ht="26">
      <c r="B114" s="51">
        <v>45518</v>
      </c>
      <c r="C114" s="52" t="s">
        <v>185</v>
      </c>
      <c r="D114" s="53">
        <v>0.83333333333333337</v>
      </c>
      <c r="E114" s="54" t="s">
        <v>1</v>
      </c>
      <c r="F114" s="54">
        <v>3</v>
      </c>
      <c r="G114" s="54" t="s">
        <v>9</v>
      </c>
      <c r="H114" s="61" t="s">
        <v>208</v>
      </c>
      <c r="I114" s="61" t="s">
        <v>207</v>
      </c>
      <c r="J114" s="55" t="s">
        <v>164</v>
      </c>
      <c r="K114" s="56" t="s">
        <v>193</v>
      </c>
    </row>
    <row r="115" spans="1:11">
      <c r="B115" s="51">
        <v>45519</v>
      </c>
      <c r="C115" s="52" t="s">
        <v>194</v>
      </c>
      <c r="D115" s="53">
        <v>0.22222222222222221</v>
      </c>
      <c r="E115" s="54" t="s">
        <v>117</v>
      </c>
      <c r="F115" s="54">
        <v>3</v>
      </c>
      <c r="G115" s="54" t="s">
        <v>98</v>
      </c>
      <c r="H115" s="55">
        <v>8.0000000000000002E-3</v>
      </c>
      <c r="I115" s="55">
        <v>6.0000000000000001E-3</v>
      </c>
      <c r="J115" s="55">
        <v>-6.0000000000000001E-3</v>
      </c>
      <c r="K115" s="57"/>
    </row>
    <row r="116" spans="1:11" ht="27">
      <c r="B116" s="51">
        <v>45519</v>
      </c>
      <c r="C116" s="52" t="s">
        <v>194</v>
      </c>
      <c r="D116" s="53">
        <v>0.47916666666666669</v>
      </c>
      <c r="E116" s="54" t="s">
        <v>53</v>
      </c>
      <c r="F116" s="54">
        <v>3</v>
      </c>
      <c r="G116" s="54" t="s">
        <v>195</v>
      </c>
      <c r="H116" s="55">
        <v>8.9999999999999993E-3</v>
      </c>
      <c r="I116" s="55">
        <v>8.9999999999999993E-3</v>
      </c>
      <c r="J116" s="58">
        <v>3.0000000000000001E-3</v>
      </c>
      <c r="K116" s="57" t="s">
        <v>196</v>
      </c>
    </row>
    <row r="117" spans="1:11">
      <c r="B117" s="51">
        <v>45519</v>
      </c>
      <c r="C117" s="52" t="s">
        <v>194</v>
      </c>
      <c r="D117" s="53">
        <v>0.47916666666666669</v>
      </c>
      <c r="E117" s="54" t="s">
        <v>53</v>
      </c>
      <c r="F117" s="54">
        <v>3</v>
      </c>
      <c r="G117" s="54" t="s">
        <v>197</v>
      </c>
      <c r="H117" s="55">
        <v>0</v>
      </c>
      <c r="I117" s="55">
        <v>0</v>
      </c>
      <c r="J117" s="55">
        <v>4.0000000000000001E-3</v>
      </c>
      <c r="K117" s="57" t="s">
        <v>198</v>
      </c>
    </row>
    <row r="118" spans="1:11">
      <c r="B118" s="51">
        <v>45519</v>
      </c>
      <c r="C118" s="52" t="s">
        <v>194</v>
      </c>
      <c r="D118" s="53">
        <v>0.47916666666666669</v>
      </c>
      <c r="E118" s="54" t="s">
        <v>53</v>
      </c>
      <c r="F118" s="54">
        <v>3</v>
      </c>
      <c r="G118" s="54" t="s">
        <v>98</v>
      </c>
      <c r="H118" s="55">
        <v>6.0000000000000001E-3</v>
      </c>
      <c r="I118" s="55">
        <v>6.0000000000000001E-3</v>
      </c>
      <c r="J118" s="55">
        <v>7.0000000000000001E-3</v>
      </c>
      <c r="K118" s="57" t="s">
        <v>199</v>
      </c>
    </row>
    <row r="119" spans="1:11" ht="27">
      <c r="B119" s="51">
        <v>45519</v>
      </c>
      <c r="C119" s="52" t="s">
        <v>194</v>
      </c>
      <c r="D119" s="53">
        <v>0.75</v>
      </c>
      <c r="E119" s="54" t="s">
        <v>1</v>
      </c>
      <c r="F119" s="54">
        <v>3</v>
      </c>
      <c r="G119" s="54" t="s">
        <v>200</v>
      </c>
      <c r="H119" s="58">
        <v>4.0000000000000001E-3</v>
      </c>
      <c r="I119" s="55">
        <v>1E-3</v>
      </c>
      <c r="J119" s="55">
        <v>4.0000000000000001E-3</v>
      </c>
      <c r="K119" s="57" t="s">
        <v>201</v>
      </c>
    </row>
    <row r="120" spans="1:11" ht="27">
      <c r="B120" s="51">
        <v>45519</v>
      </c>
      <c r="C120" s="52" t="s">
        <v>194</v>
      </c>
      <c r="D120" s="53">
        <v>0.75</v>
      </c>
      <c r="E120" s="54" t="s">
        <v>1</v>
      </c>
      <c r="F120" s="54">
        <v>3</v>
      </c>
      <c r="G120" s="54" t="s">
        <v>14</v>
      </c>
      <c r="H120" s="58" t="s">
        <v>209</v>
      </c>
      <c r="I120" s="55" t="s">
        <v>210</v>
      </c>
      <c r="J120" s="55" t="s">
        <v>211</v>
      </c>
      <c r="K120" s="57" t="s">
        <v>202</v>
      </c>
    </row>
    <row r="121" spans="1:11" ht="27">
      <c r="B121" s="51">
        <v>45519</v>
      </c>
      <c r="C121" s="52" t="s">
        <v>194</v>
      </c>
      <c r="D121" s="53">
        <v>0.75</v>
      </c>
      <c r="E121" s="54" t="s">
        <v>1</v>
      </c>
      <c r="F121" s="54">
        <v>3</v>
      </c>
      <c r="G121" s="54" t="s">
        <v>203</v>
      </c>
      <c r="H121" s="59">
        <v>-7</v>
      </c>
      <c r="I121" s="59">
        <v>5.4</v>
      </c>
      <c r="J121" s="59">
        <v>13.9</v>
      </c>
      <c r="K121" s="57" t="s">
        <v>204</v>
      </c>
    </row>
    <row r="122" spans="1:11" ht="27">
      <c r="B122" s="51">
        <v>45519</v>
      </c>
      <c r="C122" s="52" t="s">
        <v>194</v>
      </c>
      <c r="D122" s="53">
        <v>0.75</v>
      </c>
      <c r="E122" s="54" t="s">
        <v>1</v>
      </c>
      <c r="F122" s="54">
        <v>3</v>
      </c>
      <c r="G122" s="54" t="s">
        <v>205</v>
      </c>
      <c r="H122" s="55">
        <v>0.01</v>
      </c>
      <c r="I122" s="60">
        <v>4.0000000000000001E-3</v>
      </c>
      <c r="J122" s="60">
        <f>-0.2%</f>
        <v>-2E-3</v>
      </c>
      <c r="K122" s="57" t="s">
        <v>206</v>
      </c>
    </row>
    <row r="123" spans="1:11" ht="27">
      <c r="A123" s="569" t="s">
        <v>105</v>
      </c>
      <c r="B123" s="45">
        <v>45524</v>
      </c>
      <c r="C123" s="46" t="s">
        <v>182</v>
      </c>
      <c r="D123" s="47">
        <v>0.54166666666666663</v>
      </c>
      <c r="E123" s="48" t="s">
        <v>214</v>
      </c>
      <c r="F123" s="48">
        <v>3</v>
      </c>
      <c r="G123" s="48" t="s">
        <v>215</v>
      </c>
      <c r="H123" s="49">
        <v>3.5000000000000003E-2</v>
      </c>
      <c r="I123" s="49"/>
      <c r="J123" s="49">
        <v>3.7499999999999999E-2</v>
      </c>
      <c r="K123" s="67" t="s">
        <v>216</v>
      </c>
    </row>
    <row r="124" spans="1:11" ht="27">
      <c r="B124" s="51">
        <v>45524</v>
      </c>
      <c r="C124" s="52" t="s">
        <v>182</v>
      </c>
      <c r="D124" s="53">
        <v>0.60416666666666663</v>
      </c>
      <c r="E124" s="54" t="s">
        <v>22</v>
      </c>
      <c r="F124" s="54">
        <v>3</v>
      </c>
      <c r="G124" s="54" t="s">
        <v>187</v>
      </c>
      <c r="H124" s="55">
        <v>2.5999999999999999E-2</v>
      </c>
      <c r="I124" s="55">
        <v>2.5999999999999999E-2</v>
      </c>
      <c r="J124" s="55">
        <v>2.5000000000000001E-2</v>
      </c>
      <c r="K124" s="68" t="s">
        <v>217</v>
      </c>
    </row>
    <row r="125" spans="1:11" ht="39">
      <c r="B125" s="51">
        <v>45525</v>
      </c>
      <c r="C125" s="52" t="s">
        <v>185</v>
      </c>
      <c r="D125" s="53">
        <v>0.83333333333333337</v>
      </c>
      <c r="E125" s="54" t="s">
        <v>1</v>
      </c>
      <c r="F125" s="54">
        <v>3</v>
      </c>
      <c r="G125" s="54" t="s">
        <v>9</v>
      </c>
      <c r="H125" s="55" t="s">
        <v>218</v>
      </c>
      <c r="I125" s="55" t="s">
        <v>219</v>
      </c>
      <c r="J125" s="55" t="s">
        <v>220</v>
      </c>
      <c r="K125" s="69" t="s">
        <v>221</v>
      </c>
    </row>
    <row r="126" spans="1:11" ht="52">
      <c r="B126" s="51">
        <v>45525</v>
      </c>
      <c r="C126" s="52" t="s">
        <v>185</v>
      </c>
      <c r="D126" s="53">
        <v>0.97916666666666663</v>
      </c>
      <c r="E126" s="54" t="s">
        <v>1</v>
      </c>
      <c r="F126" s="54">
        <v>3</v>
      </c>
      <c r="G126" s="54" t="s">
        <v>7</v>
      </c>
      <c r="H126" s="54"/>
      <c r="I126" s="55"/>
      <c r="J126" s="55"/>
      <c r="K126" s="69" t="s">
        <v>222</v>
      </c>
    </row>
    <row r="127" spans="1:11" ht="39">
      <c r="B127" s="51">
        <v>45526</v>
      </c>
      <c r="C127" s="52" t="s">
        <v>194</v>
      </c>
      <c r="D127" s="53">
        <v>0.75</v>
      </c>
      <c r="E127" s="54" t="s">
        <v>1</v>
      </c>
      <c r="F127" s="54">
        <v>3</v>
      </c>
      <c r="G127" s="54" t="s">
        <v>14</v>
      </c>
      <c r="H127" s="54" t="s">
        <v>223</v>
      </c>
      <c r="I127" s="55" t="s">
        <v>223</v>
      </c>
      <c r="J127" s="55" t="s">
        <v>209</v>
      </c>
      <c r="K127" s="69" t="s">
        <v>224</v>
      </c>
    </row>
    <row r="128" spans="1:11" ht="39">
      <c r="B128" s="51">
        <v>45526</v>
      </c>
      <c r="C128" s="52" t="s">
        <v>194</v>
      </c>
      <c r="D128" s="53">
        <v>0.80208333333333337</v>
      </c>
      <c r="E128" s="54" t="s">
        <v>1</v>
      </c>
      <c r="F128" s="54">
        <v>3</v>
      </c>
      <c r="G128" s="54" t="s">
        <v>225</v>
      </c>
      <c r="H128" s="54">
        <v>48</v>
      </c>
      <c r="I128" s="59">
        <v>49.8</v>
      </c>
      <c r="J128" s="59">
        <v>49.6</v>
      </c>
      <c r="K128" s="69" t="s">
        <v>226</v>
      </c>
    </row>
    <row r="129" spans="1:11">
      <c r="B129" s="51">
        <v>45526</v>
      </c>
      <c r="C129" s="52" t="s">
        <v>194</v>
      </c>
      <c r="D129" s="53">
        <v>0.80208333333333337</v>
      </c>
      <c r="E129" s="54" t="s">
        <v>1</v>
      </c>
      <c r="F129" s="54">
        <v>3</v>
      </c>
      <c r="G129" s="54" t="s">
        <v>227</v>
      </c>
      <c r="H129" s="54">
        <v>55.2</v>
      </c>
      <c r="I129" s="59">
        <v>54</v>
      </c>
      <c r="J129" s="59">
        <v>55</v>
      </c>
      <c r="K129" s="69"/>
    </row>
    <row r="130" spans="1:11" ht="39">
      <c r="B130" s="51">
        <v>45526</v>
      </c>
      <c r="C130" s="52" t="s">
        <v>194</v>
      </c>
      <c r="D130" s="53">
        <v>0.8125</v>
      </c>
      <c r="E130" s="54" t="s">
        <v>1</v>
      </c>
      <c r="F130" s="54">
        <v>3</v>
      </c>
      <c r="G130" s="54" t="s">
        <v>228</v>
      </c>
      <c r="H130" s="59" t="s">
        <v>229</v>
      </c>
      <c r="I130" s="59" t="s">
        <v>230</v>
      </c>
      <c r="J130" s="59" t="s">
        <v>231</v>
      </c>
      <c r="K130" s="69" t="s">
        <v>232</v>
      </c>
    </row>
    <row r="131" spans="1:11" ht="39">
      <c r="B131" s="51">
        <v>45527</v>
      </c>
      <c r="C131" s="52" t="s">
        <v>233</v>
      </c>
      <c r="D131" s="53">
        <v>0.25</v>
      </c>
      <c r="E131" s="54" t="s">
        <v>117</v>
      </c>
      <c r="F131" s="54">
        <v>3</v>
      </c>
      <c r="G131" s="54" t="s">
        <v>234</v>
      </c>
      <c r="H131" s="55"/>
      <c r="I131" s="55"/>
      <c r="J131" s="55"/>
      <c r="K131" s="69" t="s">
        <v>235</v>
      </c>
    </row>
    <row r="132" spans="1:11" ht="53">
      <c r="B132" s="51">
        <v>45527</v>
      </c>
      <c r="C132" s="52" t="s">
        <v>233</v>
      </c>
      <c r="D132" s="53">
        <v>0.8125</v>
      </c>
      <c r="E132" s="54" t="s">
        <v>1</v>
      </c>
      <c r="F132" s="54">
        <v>3</v>
      </c>
      <c r="G132" s="54" t="s">
        <v>236</v>
      </c>
      <c r="H132" s="55"/>
      <c r="I132" s="55"/>
      <c r="J132" s="55"/>
      <c r="K132" s="68" t="s">
        <v>237</v>
      </c>
    </row>
    <row r="133" spans="1:11">
      <c r="B133" s="51">
        <v>45527</v>
      </c>
      <c r="C133" s="52" t="s">
        <v>233</v>
      </c>
      <c r="D133" s="53">
        <v>0.8125</v>
      </c>
      <c r="E133" s="54" t="s">
        <v>1</v>
      </c>
      <c r="F133" s="54">
        <v>3</v>
      </c>
      <c r="G133" s="54" t="s">
        <v>238</v>
      </c>
      <c r="H133" s="70" t="s">
        <v>239</v>
      </c>
      <c r="I133" s="55" t="s">
        <v>240</v>
      </c>
      <c r="J133" s="55" t="s">
        <v>241</v>
      </c>
      <c r="K133" s="68"/>
    </row>
    <row r="134" spans="1:11">
      <c r="C134" t="s">
        <v>212</v>
      </c>
    </row>
    <row r="135" spans="1:11">
      <c r="A135" s="569" t="s">
        <v>105</v>
      </c>
      <c r="B135" s="71" t="s">
        <v>35</v>
      </c>
      <c r="C135" s="71" t="s">
        <v>34</v>
      </c>
      <c r="D135" s="71" t="s">
        <v>33</v>
      </c>
      <c r="E135" s="71" t="s">
        <v>32</v>
      </c>
      <c r="F135" s="71" t="s">
        <v>31</v>
      </c>
      <c r="G135" s="71" t="s">
        <v>30</v>
      </c>
      <c r="H135" s="71" t="s">
        <v>29</v>
      </c>
      <c r="I135" s="72" t="s">
        <v>28</v>
      </c>
      <c r="J135" s="72" t="s">
        <v>27</v>
      </c>
      <c r="K135" s="71" t="s">
        <v>75</v>
      </c>
    </row>
    <row r="136" spans="1:11" ht="66">
      <c r="B136" s="5">
        <v>45530</v>
      </c>
      <c r="C136" s="6" t="str">
        <f>VLOOKUP(WEEKDAY(B136,2),'EC-Commands'!$D$11:$E$17,2,FALSE)</f>
        <v>Mon</v>
      </c>
      <c r="D136" s="7">
        <v>0.75</v>
      </c>
      <c r="E136" s="8" t="s">
        <v>1</v>
      </c>
      <c r="F136" s="8">
        <v>3</v>
      </c>
      <c r="G136" s="8" t="s">
        <v>242</v>
      </c>
      <c r="H136" s="73">
        <v>9.9000000000000005E-2</v>
      </c>
      <c r="I136" s="73">
        <v>0.04</v>
      </c>
      <c r="J136" s="73">
        <v>-6.6000000000000003E-2</v>
      </c>
      <c r="K136" s="14" t="s">
        <v>243</v>
      </c>
    </row>
    <row r="137" spans="1:11" ht="53">
      <c r="B137" s="5">
        <f>B136+1</f>
        <v>45531</v>
      </c>
      <c r="C137" s="6" t="str">
        <f>VLOOKUP(WEEKDAY(B137,2),'EC-Commands'!$D$11:$E$17,2,FALSE)</f>
        <v>Tue</v>
      </c>
      <c r="D137" s="7">
        <v>0.47916666666666669</v>
      </c>
      <c r="E137" s="8" t="s">
        <v>22</v>
      </c>
      <c r="F137" s="8">
        <v>3</v>
      </c>
      <c r="G137" s="8" t="s">
        <v>244</v>
      </c>
      <c r="H137" s="22">
        <f>-0.1%</f>
        <v>-1E-3</v>
      </c>
      <c r="I137" s="22">
        <f>-0.1%</f>
        <v>-1E-3</v>
      </c>
      <c r="J137" s="22">
        <f>0.2%</f>
        <v>2E-3</v>
      </c>
      <c r="K137" s="14" t="s">
        <v>245</v>
      </c>
    </row>
    <row r="138" spans="1:11" ht="40">
      <c r="B138" s="5">
        <f>B137</f>
        <v>45531</v>
      </c>
      <c r="C138" s="6" t="str">
        <f>VLOOKUP(WEEKDAY(B138,2),'EC-Commands'!$D$11:$E$17,2,FALSE)</f>
        <v>Tue</v>
      </c>
      <c r="D138" s="7">
        <v>0.8125</v>
      </c>
      <c r="E138" s="8" t="s">
        <v>1</v>
      </c>
      <c r="F138" s="8">
        <v>3</v>
      </c>
      <c r="G138" s="8" t="s">
        <v>246</v>
      </c>
      <c r="H138" s="74">
        <v>103.3</v>
      </c>
      <c r="I138" s="74">
        <v>100.1</v>
      </c>
      <c r="J138" s="74">
        <v>100.3</v>
      </c>
      <c r="K138" s="14" t="s">
        <v>247</v>
      </c>
    </row>
    <row r="139" spans="1:11" ht="53">
      <c r="B139" s="5">
        <f>B138+1</f>
        <v>45532</v>
      </c>
      <c r="C139" s="6" t="str">
        <f>VLOOKUP(WEEKDAY(B139,2),'EC-Commands'!$D$11:$E$17,2,FALSE)</f>
        <v>Wed</v>
      </c>
      <c r="D139" s="7">
        <v>0.83333333333333337</v>
      </c>
      <c r="E139" s="8" t="s">
        <v>1</v>
      </c>
      <c r="F139" s="8">
        <v>3</v>
      </c>
      <c r="G139" s="8" t="s">
        <v>9</v>
      </c>
      <c r="H139" s="21" t="s">
        <v>267</v>
      </c>
      <c r="I139" s="21" t="s">
        <v>266</v>
      </c>
      <c r="J139" s="21" t="s">
        <v>218</v>
      </c>
      <c r="K139" s="14" t="s">
        <v>248</v>
      </c>
    </row>
    <row r="140" spans="1:11" ht="53">
      <c r="B140" s="5">
        <f>B139+1</f>
        <v>45533</v>
      </c>
      <c r="C140" s="6" t="str">
        <f>VLOOKUP(WEEKDAY(B140,2),'EC-Commands'!$D$11:$E$17,2,FALSE)</f>
        <v>Thu</v>
      </c>
      <c r="D140" s="7">
        <v>6.25E-2</v>
      </c>
      <c r="E140" s="8" t="s">
        <v>1</v>
      </c>
      <c r="F140" s="8">
        <v>3</v>
      </c>
      <c r="G140" s="8" t="s">
        <v>249</v>
      </c>
      <c r="H140" s="9"/>
      <c r="I140" s="22"/>
      <c r="J140" s="22"/>
      <c r="K140" s="14" t="s">
        <v>250</v>
      </c>
    </row>
    <row r="141" spans="1:11" ht="53">
      <c r="B141" s="5">
        <f>B140</f>
        <v>45533</v>
      </c>
      <c r="C141" s="6" t="str">
        <f>VLOOKUP(WEEKDAY(B141,2),'EC-Commands'!$D$11:$E$17,2,FALSE)</f>
        <v>Thu</v>
      </c>
      <c r="D141" s="7">
        <v>0.72916666666666663</v>
      </c>
      <c r="E141" s="8" t="s">
        <v>22</v>
      </c>
      <c r="F141" s="8">
        <v>3</v>
      </c>
      <c r="G141" s="8" t="s">
        <v>251</v>
      </c>
      <c r="H141" s="22">
        <v>-1E-3</v>
      </c>
      <c r="I141" s="22">
        <v>0</v>
      </c>
      <c r="J141" s="22">
        <v>3.0000000000000001E-3</v>
      </c>
      <c r="K141" s="14" t="s">
        <v>252</v>
      </c>
    </row>
    <row r="142" spans="1:11" ht="53">
      <c r="B142" s="5">
        <f>B141</f>
        <v>45533</v>
      </c>
      <c r="C142" s="6" t="str">
        <f>VLOOKUP(WEEKDAY(B142,2),'EC-Commands'!$D$11:$E$17,2,FALSE)</f>
        <v>Thu</v>
      </c>
      <c r="D142" s="7">
        <v>0.75</v>
      </c>
      <c r="E142" s="8" t="s">
        <v>1</v>
      </c>
      <c r="F142" s="8">
        <v>3</v>
      </c>
      <c r="G142" s="8" t="s">
        <v>253</v>
      </c>
      <c r="H142" s="22">
        <v>0.03</v>
      </c>
      <c r="I142" s="22">
        <v>2.8000000000000001E-2</v>
      </c>
      <c r="J142" s="22">
        <v>1.4E-2</v>
      </c>
      <c r="K142" s="14" t="s">
        <v>254</v>
      </c>
    </row>
    <row r="143" spans="1:11" ht="27">
      <c r="B143" s="5">
        <f>B142</f>
        <v>45533</v>
      </c>
      <c r="C143" s="6" t="str">
        <f>VLOOKUP(WEEKDAY(B143,2),'EC-Commands'!$D$11:$E$17,2,FALSE)</f>
        <v>Thu</v>
      </c>
      <c r="D143" s="7">
        <v>0.75</v>
      </c>
      <c r="E143" s="8" t="s">
        <v>1</v>
      </c>
      <c r="F143" s="8">
        <v>3</v>
      </c>
      <c r="G143" s="8" t="s">
        <v>14</v>
      </c>
      <c r="H143" s="22" t="s">
        <v>268</v>
      </c>
      <c r="I143" s="22" t="s">
        <v>223</v>
      </c>
      <c r="J143" s="22" t="s">
        <v>13</v>
      </c>
      <c r="K143" s="75" t="s">
        <v>255</v>
      </c>
    </row>
    <row r="144" spans="1:11" ht="53">
      <c r="B144" s="5">
        <f>B143+1</f>
        <v>45534</v>
      </c>
      <c r="C144" s="6" t="str">
        <f>VLOOKUP(WEEKDAY(B144,2),'EC-Commands'!$D$11:$E$17,2,FALSE)</f>
        <v>Fri</v>
      </c>
      <c r="D144" s="7">
        <v>0.75</v>
      </c>
      <c r="E144" s="8" t="s">
        <v>22</v>
      </c>
      <c r="F144" s="8">
        <v>3</v>
      </c>
      <c r="G144" s="8" t="s">
        <v>256</v>
      </c>
      <c r="H144" s="22">
        <v>2.1999999999999999E-2</v>
      </c>
      <c r="I144" s="22">
        <v>2.1999999999999999E-2</v>
      </c>
      <c r="J144" s="22">
        <v>2.5999999999999999E-2</v>
      </c>
      <c r="K144" s="14" t="s">
        <v>257</v>
      </c>
    </row>
    <row r="145" spans="1:11">
      <c r="B145" s="5">
        <f>B144</f>
        <v>45534</v>
      </c>
      <c r="C145" s="6" t="str">
        <f>VLOOKUP(WEEKDAY(B145,2),'EC-Commands'!$D$11:$E$17,2,FALSE)</f>
        <v>Fri</v>
      </c>
      <c r="D145" s="7">
        <v>0.75</v>
      </c>
      <c r="E145" s="8" t="s">
        <v>1</v>
      </c>
      <c r="F145" s="8">
        <v>3</v>
      </c>
      <c r="G145" s="8" t="s">
        <v>258</v>
      </c>
      <c r="H145" s="22">
        <v>2.1999999999999999E-2</v>
      </c>
      <c r="I145" s="22">
        <v>2.1999999999999999E-2</v>
      </c>
      <c r="J145" s="22">
        <v>2.5999999999999999E-2</v>
      </c>
      <c r="K145" s="14"/>
    </row>
    <row r="146" spans="1:11" ht="40">
      <c r="B146" s="5">
        <f>B145</f>
        <v>45534</v>
      </c>
      <c r="C146" s="6" t="str">
        <f>VLOOKUP(WEEKDAY(B146,2),'EC-Commands'!$D$11:$E$17,2,FALSE)</f>
        <v>Fri</v>
      </c>
      <c r="D146" s="7">
        <v>0.75</v>
      </c>
      <c r="E146" s="8" t="s">
        <v>1</v>
      </c>
      <c r="F146" s="8">
        <v>3</v>
      </c>
      <c r="G146" s="8" t="s">
        <v>259</v>
      </c>
      <c r="H146" s="22">
        <v>2E-3</v>
      </c>
      <c r="I146" s="22">
        <v>2E-3</v>
      </c>
      <c r="J146" s="22">
        <v>2E-3</v>
      </c>
      <c r="K146" s="14" t="s">
        <v>260</v>
      </c>
    </row>
    <row r="147" spans="1:11" ht="53">
      <c r="B147" s="5">
        <f>B146</f>
        <v>45534</v>
      </c>
      <c r="C147" s="6" t="str">
        <f>VLOOKUP(WEEKDAY(B147,2),'EC-Commands'!$D$11:$E$17,2,FALSE)</f>
        <v>Fri</v>
      </c>
      <c r="D147" s="7">
        <v>0.80208333333333337</v>
      </c>
      <c r="E147" s="8" t="s">
        <v>1</v>
      </c>
      <c r="F147" s="8">
        <v>3</v>
      </c>
      <c r="G147" s="8" t="s">
        <v>261</v>
      </c>
      <c r="H147" s="19">
        <v>46.1</v>
      </c>
      <c r="I147" s="19">
        <v>45</v>
      </c>
      <c r="J147" s="19">
        <v>45.3</v>
      </c>
      <c r="K147" s="14" t="s">
        <v>262</v>
      </c>
    </row>
    <row r="148" spans="1:11" ht="40">
      <c r="B148" s="5">
        <f>B147+1</f>
        <v>45535</v>
      </c>
      <c r="C148" s="6" t="str">
        <f>VLOOKUP(WEEKDAY(B148,2),'EC-Commands'!$D$11:$E$19,2,FALSE)</f>
        <v>Sat</v>
      </c>
      <c r="D148" s="7">
        <v>0.29166666666666669</v>
      </c>
      <c r="E148" s="8" t="s">
        <v>65</v>
      </c>
      <c r="F148" s="8">
        <v>3</v>
      </c>
      <c r="G148" s="8" t="s">
        <v>263</v>
      </c>
      <c r="H148" s="19">
        <v>49.1</v>
      </c>
      <c r="I148" s="19">
        <v>49.5</v>
      </c>
      <c r="J148" s="19">
        <v>49.4</v>
      </c>
      <c r="K148" s="14" t="s">
        <v>264</v>
      </c>
    </row>
    <row r="149" spans="1:11">
      <c r="C149" t="s">
        <v>265</v>
      </c>
      <c r="H149"/>
      <c r="J149" s="1"/>
      <c r="K149" s="25"/>
    </row>
    <row r="150" spans="1:11" ht="105">
      <c r="A150" s="569" t="s">
        <v>105</v>
      </c>
      <c r="B150" s="5">
        <v>45538</v>
      </c>
      <c r="C150" s="6" t="str">
        <f>VLOOKUP(WEEKDAY(B150,2),'EC-Commands'!$D$11:$E$19,2,FALSE)</f>
        <v>Tue</v>
      </c>
      <c r="D150" s="7">
        <v>0.5</v>
      </c>
      <c r="E150" s="8" t="s">
        <v>270</v>
      </c>
      <c r="F150" s="8">
        <v>2</v>
      </c>
      <c r="G150" s="8" t="s">
        <v>271</v>
      </c>
      <c r="H150" s="73"/>
      <c r="I150" s="73">
        <v>1E-3</v>
      </c>
      <c r="J150" s="73">
        <f>-0.2%</f>
        <v>-2E-3</v>
      </c>
      <c r="K150" s="14" t="s">
        <v>272</v>
      </c>
    </row>
    <row r="151" spans="1:11" ht="66">
      <c r="B151" s="5">
        <v>45538</v>
      </c>
      <c r="C151" s="6" t="str">
        <f>VLOOKUP(WEEKDAY(B151,2),'EC-Commands'!$D$11:$E$19,2,FALSE)</f>
        <v>Tue</v>
      </c>
      <c r="D151" s="7">
        <v>0.80208333333333337</v>
      </c>
      <c r="E151" s="8" t="s">
        <v>1</v>
      </c>
      <c r="F151" s="8">
        <v>3</v>
      </c>
      <c r="G151" s="8" t="s">
        <v>263</v>
      </c>
      <c r="H151" s="73"/>
      <c r="I151" s="19">
        <v>48.1</v>
      </c>
      <c r="J151" s="19">
        <v>48</v>
      </c>
      <c r="K151" s="14" t="s">
        <v>273</v>
      </c>
    </row>
    <row r="152" spans="1:11" ht="66">
      <c r="B152" s="5">
        <v>45538</v>
      </c>
      <c r="C152" s="6" t="str">
        <f>VLOOKUP(WEEKDAY(B152,2),'EC-Commands'!$D$11:$E$19,2,FALSE)</f>
        <v>Tue</v>
      </c>
      <c r="D152" s="7">
        <v>0.8125</v>
      </c>
      <c r="E152" s="8" t="s">
        <v>1</v>
      </c>
      <c r="F152" s="8">
        <v>3</v>
      </c>
      <c r="G152" s="8" t="s">
        <v>274</v>
      </c>
      <c r="H152" s="73"/>
      <c r="I152" s="19">
        <v>47.5</v>
      </c>
      <c r="J152" s="19">
        <v>46.8</v>
      </c>
      <c r="K152" s="14" t="s">
        <v>273</v>
      </c>
    </row>
    <row r="153" spans="1:11" ht="66">
      <c r="B153" s="5">
        <v>45538</v>
      </c>
      <c r="C153" s="6" t="str">
        <f>VLOOKUP(WEEKDAY(B153,2),'EC-Commands'!$D$11:$E$19,2,FALSE)</f>
        <v>Tue</v>
      </c>
      <c r="D153" s="7">
        <f>D152</f>
        <v>0.8125</v>
      </c>
      <c r="E153" s="8" t="s">
        <v>1</v>
      </c>
      <c r="F153" s="8">
        <v>3</v>
      </c>
      <c r="G153" s="8" t="s">
        <v>275</v>
      </c>
      <c r="H153" s="73"/>
      <c r="I153" s="19">
        <v>52.5</v>
      </c>
      <c r="J153" s="19">
        <v>52.9</v>
      </c>
      <c r="K153" s="14" t="s">
        <v>273</v>
      </c>
    </row>
    <row r="154" spans="1:11" ht="144">
      <c r="B154" s="5">
        <f>B153+1</f>
        <v>45539</v>
      </c>
      <c r="C154" s="6" t="str">
        <f>VLOOKUP(WEEKDAY(B154,2),'EC-Commands'!$D$11:$E$19,2,FALSE)</f>
        <v>Wed</v>
      </c>
      <c r="D154" s="7">
        <v>0.80208333333333337</v>
      </c>
      <c r="E154" s="8" t="s">
        <v>89</v>
      </c>
      <c r="F154" s="8">
        <v>3</v>
      </c>
      <c r="G154" s="8" t="s">
        <v>90</v>
      </c>
      <c r="H154" s="73"/>
      <c r="I154" s="73">
        <v>4.2500000000000003E-2</v>
      </c>
      <c r="J154" s="73">
        <v>4.4999999999999998E-2</v>
      </c>
      <c r="K154" s="14" t="s">
        <v>276</v>
      </c>
    </row>
    <row r="155" spans="1:11" ht="66">
      <c r="B155" s="5">
        <f>B154</f>
        <v>45539</v>
      </c>
      <c r="C155" s="6" t="str">
        <f>VLOOKUP(WEEKDAY(B155,2),'EC-Commands'!$D$11:$E$19,2,FALSE)</f>
        <v>Wed</v>
      </c>
      <c r="D155" s="7">
        <v>0.83333333333333337</v>
      </c>
      <c r="E155" s="8" t="s">
        <v>1</v>
      </c>
      <c r="F155" s="8">
        <v>3</v>
      </c>
      <c r="G155" s="8" t="s">
        <v>277</v>
      </c>
      <c r="H155" s="73"/>
      <c r="I155" s="76" t="s">
        <v>278</v>
      </c>
      <c r="J155" s="76" t="s">
        <v>279</v>
      </c>
      <c r="K155" s="14" t="s">
        <v>273</v>
      </c>
    </row>
    <row r="156" spans="1:11" ht="66">
      <c r="B156" s="5">
        <f>B155+1</f>
        <v>45540</v>
      </c>
      <c r="C156" s="6" t="str">
        <f>VLOOKUP(WEEKDAY(B156,2),'EC-Commands'!$D$11:$E$19,2,FALSE)</f>
        <v>Thu</v>
      </c>
      <c r="D156" s="7">
        <v>0.73958333333333337</v>
      </c>
      <c r="E156" s="8" t="s">
        <v>1</v>
      </c>
      <c r="F156" s="8">
        <v>3</v>
      </c>
      <c r="G156" s="8" t="s">
        <v>280</v>
      </c>
      <c r="H156" s="73"/>
      <c r="I156" s="19" t="s">
        <v>281</v>
      </c>
      <c r="J156" s="19" t="s">
        <v>282</v>
      </c>
      <c r="K156" s="14" t="s">
        <v>273</v>
      </c>
    </row>
    <row r="157" spans="1:11" ht="66">
      <c r="B157" s="5">
        <f>B156</f>
        <v>45540</v>
      </c>
      <c r="C157" s="6" t="str">
        <f>VLOOKUP(WEEKDAY(B157,2),'EC-Commands'!$D$11:$E$19,2,FALSE)</f>
        <v>Thu</v>
      </c>
      <c r="D157" s="7">
        <v>0.75</v>
      </c>
      <c r="E157" s="8" t="s">
        <v>1</v>
      </c>
      <c r="F157" s="8">
        <v>3</v>
      </c>
      <c r="G157" s="8" t="s">
        <v>14</v>
      </c>
      <c r="H157" s="73"/>
      <c r="I157" s="19"/>
      <c r="J157" s="19" t="s">
        <v>268</v>
      </c>
      <c r="K157" s="14" t="s">
        <v>283</v>
      </c>
    </row>
    <row r="158" spans="1:11" ht="66">
      <c r="B158" s="5">
        <f>B157</f>
        <v>45540</v>
      </c>
      <c r="C158" s="6" t="str">
        <f>VLOOKUP(WEEKDAY(B158,2),'EC-Commands'!$D$11:$E$19,2,FALSE)</f>
        <v>Thu</v>
      </c>
      <c r="D158" s="7">
        <v>0.80208333333333337</v>
      </c>
      <c r="E158" s="8" t="s">
        <v>1</v>
      </c>
      <c r="F158" s="8">
        <v>3</v>
      </c>
      <c r="G158" s="8" t="s">
        <v>284</v>
      </c>
      <c r="H158" s="73"/>
      <c r="I158" s="19">
        <v>55.2</v>
      </c>
      <c r="J158" s="19">
        <v>55.2</v>
      </c>
      <c r="K158" s="14" t="s">
        <v>273</v>
      </c>
    </row>
    <row r="159" spans="1:11" ht="66">
      <c r="B159" s="5">
        <f>B158</f>
        <v>45540</v>
      </c>
      <c r="C159" s="6" t="str">
        <f>VLOOKUP(WEEKDAY(B159,2),'EC-Commands'!$D$11:$E$19,2,FALSE)</f>
        <v>Thu</v>
      </c>
      <c r="D159" s="7">
        <v>0.8125</v>
      </c>
      <c r="E159" s="8" t="s">
        <v>1</v>
      </c>
      <c r="F159" s="8">
        <v>3</v>
      </c>
      <c r="G159" s="8" t="s">
        <v>285</v>
      </c>
      <c r="H159" s="9"/>
      <c r="I159" s="19">
        <v>50.9</v>
      </c>
      <c r="J159" s="19">
        <v>51.4</v>
      </c>
      <c r="K159" s="14" t="s">
        <v>273</v>
      </c>
    </row>
    <row r="160" spans="1:11" ht="66">
      <c r="B160" s="5">
        <f>B159</f>
        <v>45540</v>
      </c>
      <c r="C160" s="6" t="str">
        <f>VLOOKUP(WEEKDAY(B160,2),'EC-Commands'!$D$11:$E$19,2,FALSE)</f>
        <v>Thu</v>
      </c>
      <c r="D160" s="7">
        <v>0.8125</v>
      </c>
      <c r="E160" s="8" t="s">
        <v>1</v>
      </c>
      <c r="F160" s="8">
        <v>3</v>
      </c>
      <c r="G160" s="8" t="s">
        <v>286</v>
      </c>
      <c r="H160" s="9"/>
      <c r="I160" s="19"/>
      <c r="J160" s="19">
        <v>57</v>
      </c>
      <c r="K160" s="14" t="s">
        <v>273</v>
      </c>
    </row>
    <row r="161" spans="1:11" ht="79">
      <c r="B161" s="5">
        <f>B160</f>
        <v>45540</v>
      </c>
      <c r="C161" s="6" t="str">
        <f>VLOOKUP(WEEKDAY(B161,2),'EC-Commands'!$D$11:$E$19,2,FALSE)</f>
        <v>Thu</v>
      </c>
      <c r="D161" s="7">
        <v>0.85416666666666663</v>
      </c>
      <c r="E161" s="8" t="s">
        <v>1</v>
      </c>
      <c r="F161" s="8">
        <v>3</v>
      </c>
      <c r="G161" s="8" t="s">
        <v>287</v>
      </c>
      <c r="H161" s="9"/>
      <c r="I161" s="19"/>
      <c r="J161" s="76" t="s">
        <v>267</v>
      </c>
      <c r="K161" s="14" t="s">
        <v>288</v>
      </c>
    </row>
    <row r="162" spans="1:11" ht="66">
      <c r="B162" s="5">
        <f>B161+1</f>
        <v>45541</v>
      </c>
      <c r="C162" s="6" t="str">
        <f>VLOOKUP(WEEKDAY(B162,2),'EC-Commands'!$D$11:$E$19,2,FALSE)</f>
        <v>Fri</v>
      </c>
      <c r="D162" s="7">
        <v>0.75</v>
      </c>
      <c r="E162" s="8" t="s">
        <v>1</v>
      </c>
      <c r="F162" s="8">
        <v>3</v>
      </c>
      <c r="G162" s="8" t="s">
        <v>289</v>
      </c>
      <c r="H162" s="9"/>
      <c r="I162" s="22"/>
      <c r="J162" s="73">
        <v>2E-3</v>
      </c>
      <c r="K162" s="14" t="s">
        <v>290</v>
      </c>
    </row>
    <row r="163" spans="1:11" ht="131">
      <c r="B163" s="5">
        <v>45541</v>
      </c>
      <c r="C163" s="6" t="str">
        <f>VLOOKUP(WEEKDAY(B163,2),'EC-Commands'!$D$11:$E$19,2,FALSE)</f>
        <v>Fri</v>
      </c>
      <c r="D163" s="7">
        <v>0.75</v>
      </c>
      <c r="E163" s="8" t="s">
        <v>1</v>
      </c>
      <c r="F163" s="8">
        <v>3</v>
      </c>
      <c r="G163" s="8" t="s">
        <v>291</v>
      </c>
      <c r="H163" s="9"/>
      <c r="I163" s="22" t="s">
        <v>292</v>
      </c>
      <c r="J163" s="19" t="s">
        <v>293</v>
      </c>
      <c r="K163" s="14" t="s">
        <v>294</v>
      </c>
    </row>
    <row r="164" spans="1:11" ht="27">
      <c r="B164" s="5">
        <f>B163</f>
        <v>45541</v>
      </c>
      <c r="C164" s="6" t="str">
        <f>VLOOKUP(WEEKDAY(B164,2),'EC-Commands'!$D$11:$E$19,2,FALSE)</f>
        <v>Fri</v>
      </c>
      <c r="D164" s="7">
        <v>0.75</v>
      </c>
      <c r="E164" s="8" t="s">
        <v>1</v>
      </c>
      <c r="F164" s="8">
        <v>3</v>
      </c>
      <c r="G164" s="8" t="s">
        <v>2</v>
      </c>
      <c r="H164" s="9"/>
      <c r="I164" s="22">
        <v>4.2000000000000003E-2</v>
      </c>
      <c r="J164" s="73">
        <v>4.2999999999999997E-2</v>
      </c>
      <c r="K164" s="14" t="s">
        <v>295</v>
      </c>
    </row>
    <row r="165" spans="1:11" ht="27">
      <c r="B165" s="5">
        <f>B164+5</f>
        <v>45546</v>
      </c>
      <c r="C165" s="6" t="str">
        <f>VLOOKUP(WEEKDAY(B165,2),'EC-Commands'!$D$11:$E$19,2,FALSE)</f>
        <v>Wed</v>
      </c>
      <c r="D165" s="7">
        <v>0.75</v>
      </c>
      <c r="E165" s="8" t="s">
        <v>1</v>
      </c>
      <c r="F165" s="8">
        <v>3</v>
      </c>
      <c r="G165" s="8" t="s">
        <v>296</v>
      </c>
      <c r="H165" s="9"/>
      <c r="I165" s="22"/>
      <c r="J165" s="19">
        <v>49.4</v>
      </c>
      <c r="K165" s="14" t="s">
        <v>297</v>
      </c>
    </row>
    <row r="166" spans="1:11" ht="27">
      <c r="B166" s="5">
        <v>45553</v>
      </c>
      <c r="C166" s="6" t="str">
        <f>VLOOKUP(WEEKDAY(B166,2),'EC-Commands'!$D$11:$E$17,2,FALSE)</f>
        <v>Wed</v>
      </c>
      <c r="D166" s="7">
        <v>0.97916666666666663</v>
      </c>
      <c r="E166" s="8" t="s">
        <v>298</v>
      </c>
      <c r="F166" s="8">
        <v>3</v>
      </c>
      <c r="G166" s="8" t="s">
        <v>127</v>
      </c>
      <c r="H166" s="9"/>
      <c r="I166" s="22"/>
      <c r="J166" s="22">
        <v>5.5E-2</v>
      </c>
      <c r="K166" s="14" t="s">
        <v>299</v>
      </c>
    </row>
    <row r="167" spans="1:11">
      <c r="C167" t="s">
        <v>300</v>
      </c>
      <c r="H167"/>
      <c r="J167" s="1"/>
      <c r="K167" s="25"/>
    </row>
    <row r="168" spans="1:11" ht="53">
      <c r="A168" s="569" t="s">
        <v>105</v>
      </c>
      <c r="B168" s="5">
        <v>45545</v>
      </c>
      <c r="C168" s="6" t="str">
        <f>VLOOKUP(WEEKDAY(B168,2),'EC-Commands'!$D$11:$E$19,2,FALSE)</f>
        <v>Tue</v>
      </c>
      <c r="D168" s="7">
        <v>0.47916666666666669</v>
      </c>
      <c r="E168" s="8" t="s">
        <v>22</v>
      </c>
      <c r="F168" s="8">
        <v>3</v>
      </c>
      <c r="G168" s="8" t="s">
        <v>301</v>
      </c>
      <c r="H168" s="73">
        <f>-0.1%</f>
        <v>-1E-3</v>
      </c>
      <c r="I168" s="73">
        <f>-0.1%</f>
        <v>-1E-3</v>
      </c>
      <c r="J168" s="73">
        <v>3.0000000000000001E-3</v>
      </c>
      <c r="K168" s="14" t="s">
        <v>302</v>
      </c>
    </row>
    <row r="169" spans="1:11" ht="144">
      <c r="B169" s="5">
        <v>45545</v>
      </c>
      <c r="C169" s="6" t="str">
        <f>VLOOKUP(WEEKDAY(B169,2),'EC-Commands'!$D$11:$E$19,2,FALSE)</f>
        <v>Tue</v>
      </c>
      <c r="D169" s="7">
        <v>0.6875</v>
      </c>
      <c r="E169" s="8" t="s">
        <v>1</v>
      </c>
      <c r="F169" s="8">
        <v>2</v>
      </c>
      <c r="G169" s="8" t="s">
        <v>303</v>
      </c>
      <c r="H169" s="73"/>
      <c r="I169" s="73"/>
      <c r="J169" s="73"/>
      <c r="K169" s="14" t="s">
        <v>304</v>
      </c>
    </row>
    <row r="170" spans="1:11" ht="40">
      <c r="B170" s="5">
        <f>B171</f>
        <v>45546</v>
      </c>
      <c r="C170" s="6" t="str">
        <f>VLOOKUP(WEEKDAY(B170,2),'EC-Commands'!$D$11:$E$19,2,FALSE)</f>
        <v>Wed</v>
      </c>
      <c r="D170" s="7">
        <v>0.27083333333333331</v>
      </c>
      <c r="E170" s="8" t="s">
        <v>1</v>
      </c>
      <c r="F170" s="8">
        <v>3</v>
      </c>
      <c r="G170" s="77" t="s">
        <v>305</v>
      </c>
      <c r="H170" s="73"/>
      <c r="I170" s="73"/>
      <c r="J170" s="73"/>
      <c r="K170" s="14" t="s">
        <v>306</v>
      </c>
    </row>
    <row r="171" spans="1:11" ht="53">
      <c r="B171" s="5">
        <f>B168+1</f>
        <v>45546</v>
      </c>
      <c r="C171" s="6" t="str">
        <f>VLOOKUP(WEEKDAY(B171,2),'EC-Commands'!$D$11:$E$19,2,FALSE)</f>
        <v>Wed</v>
      </c>
      <c r="D171" s="7">
        <v>0.47916666666666669</v>
      </c>
      <c r="E171" s="8" t="s">
        <v>53</v>
      </c>
      <c r="F171" s="8">
        <v>3</v>
      </c>
      <c r="G171" s="8" t="s">
        <v>307</v>
      </c>
      <c r="H171" s="73">
        <v>0</v>
      </c>
      <c r="I171" s="73">
        <v>2E-3</v>
      </c>
      <c r="J171" s="73">
        <v>0</v>
      </c>
      <c r="K171" s="14" t="s">
        <v>308</v>
      </c>
    </row>
    <row r="172" spans="1:11" ht="118">
      <c r="B172" s="5">
        <f>B171</f>
        <v>45546</v>
      </c>
      <c r="C172" s="6" t="str">
        <f>VLOOKUP(WEEKDAY(B172,2),'EC-Commands'!$D$11:$E$19,2,FALSE)</f>
        <v>Wed</v>
      </c>
      <c r="D172" s="7">
        <v>0.75</v>
      </c>
      <c r="E172" s="8" t="s">
        <v>1</v>
      </c>
      <c r="F172" s="8">
        <v>3</v>
      </c>
      <c r="G172" s="8" t="s">
        <v>309</v>
      </c>
      <c r="H172" s="73">
        <v>3.0000000000000001E-3</v>
      </c>
      <c r="I172" s="73">
        <v>2E-3</v>
      </c>
      <c r="J172" s="73">
        <v>2E-3</v>
      </c>
      <c r="K172" s="14" t="s">
        <v>310</v>
      </c>
    </row>
    <row r="173" spans="1:11" ht="118">
      <c r="B173" s="5">
        <f>B172</f>
        <v>45546</v>
      </c>
      <c r="C173" s="6" t="str">
        <f>VLOOKUP(WEEKDAY(B173,2),'EC-Commands'!$D$11:$E$19,2,FALSE)</f>
        <v>Wed</v>
      </c>
      <c r="D173" s="7">
        <v>0.75</v>
      </c>
      <c r="E173" s="8" t="s">
        <v>1</v>
      </c>
      <c r="F173" s="8">
        <v>3</v>
      </c>
      <c r="G173" s="8" t="s">
        <v>311</v>
      </c>
      <c r="H173" s="73">
        <v>2.5000000000000001E-2</v>
      </c>
      <c r="I173" s="73">
        <v>2.5999999999999999E-2</v>
      </c>
      <c r="J173" s="73">
        <v>2.9000000000000001E-2</v>
      </c>
      <c r="K173" s="14" t="s">
        <v>310</v>
      </c>
    </row>
    <row r="174" spans="1:11" ht="118">
      <c r="B174" s="5">
        <f>B173</f>
        <v>45546</v>
      </c>
      <c r="C174" s="6" t="str">
        <f>VLOOKUP(WEEKDAY(B174,2),'EC-Commands'!$D$11:$E$19,2,FALSE)</f>
        <v>Wed</v>
      </c>
      <c r="D174" s="7">
        <v>0.75</v>
      </c>
      <c r="E174" s="8" t="s">
        <v>1</v>
      </c>
      <c r="F174" s="8">
        <v>3</v>
      </c>
      <c r="G174" s="8" t="s">
        <v>271</v>
      </c>
      <c r="H174" s="73">
        <v>2E-3</v>
      </c>
      <c r="I174" s="73">
        <v>2E-3</v>
      </c>
      <c r="J174" s="73">
        <v>2E-3</v>
      </c>
      <c r="K174" s="14" t="s">
        <v>310</v>
      </c>
    </row>
    <row r="175" spans="1:11" ht="79">
      <c r="B175" s="5">
        <f>B174</f>
        <v>45546</v>
      </c>
      <c r="C175" s="6" t="str">
        <f>VLOOKUP(WEEKDAY(B175,2),'EC-Commands'!$D$11:$E$19,2,FALSE)</f>
        <v>Wed</v>
      </c>
      <c r="D175" s="7">
        <v>0.83333333333333337</v>
      </c>
      <c r="E175" s="8" t="s">
        <v>1</v>
      </c>
      <c r="F175" s="8">
        <v>3</v>
      </c>
      <c r="G175" s="8" t="s">
        <v>9</v>
      </c>
      <c r="H175" s="78" t="s">
        <v>328</v>
      </c>
      <c r="I175" s="78" t="s">
        <v>329</v>
      </c>
      <c r="J175" s="78" t="s">
        <v>312</v>
      </c>
      <c r="K175" s="14" t="s">
        <v>313</v>
      </c>
    </row>
    <row r="176" spans="1:11" ht="118">
      <c r="B176" s="5">
        <f>B175</f>
        <v>45546</v>
      </c>
      <c r="C176" s="6" t="str">
        <f>VLOOKUP(WEEKDAY(B176,2),'EC-Commands'!$D$11:$E$19,2,FALSE)</f>
        <v>Wed</v>
      </c>
      <c r="D176" s="7">
        <v>0.9375</v>
      </c>
      <c r="E176" s="8" t="s">
        <v>1</v>
      </c>
      <c r="F176" s="8">
        <v>3</v>
      </c>
      <c r="G176" s="8" t="s">
        <v>52</v>
      </c>
      <c r="H176" s="73">
        <v>3.6479999999999999E-2</v>
      </c>
      <c r="I176" s="73"/>
      <c r="J176" s="78">
        <v>3.9600000000000003E-2</v>
      </c>
      <c r="K176" s="14" t="s">
        <v>314</v>
      </c>
    </row>
    <row r="177" spans="2:11" ht="53">
      <c r="B177" s="5">
        <f>B171+1</f>
        <v>45547</v>
      </c>
      <c r="C177" s="6" t="str">
        <f>VLOOKUP(WEEKDAY(B177,2),'EC-Commands'!$D$11:$E$19,2,FALSE)</f>
        <v>Thu</v>
      </c>
      <c r="D177" s="7">
        <v>0.22222222222222221</v>
      </c>
      <c r="E177" s="8" t="s">
        <v>117</v>
      </c>
      <c r="F177" s="8">
        <v>1</v>
      </c>
      <c r="G177" s="8" t="s">
        <v>315</v>
      </c>
      <c r="H177" s="73">
        <v>-2E-3</v>
      </c>
      <c r="I177" s="73">
        <v>0</v>
      </c>
      <c r="J177" s="73">
        <v>3.0000000000000001E-3</v>
      </c>
      <c r="K177" s="14" t="s">
        <v>316</v>
      </c>
    </row>
    <row r="178" spans="2:11" ht="53">
      <c r="B178" s="5">
        <f>B177</f>
        <v>45547</v>
      </c>
      <c r="C178" s="6" t="str">
        <f>VLOOKUP(WEEKDAY(B178,2),'EC-Commands'!$D$11:$E$19,2,FALSE)</f>
        <v>Thu</v>
      </c>
      <c r="D178" s="7">
        <v>0.22222222222222221</v>
      </c>
      <c r="E178" s="8" t="s">
        <v>117</v>
      </c>
      <c r="F178" s="8">
        <v>1</v>
      </c>
      <c r="G178" s="8" t="s">
        <v>317</v>
      </c>
      <c r="H178" s="73">
        <v>2.5000000000000001E-2</v>
      </c>
      <c r="I178" s="73">
        <v>2.8000000000000001E-2</v>
      </c>
      <c r="J178" s="73">
        <v>0.03</v>
      </c>
      <c r="K178" s="14" t="s">
        <v>316</v>
      </c>
    </row>
    <row r="179" spans="2:11" ht="105">
      <c r="B179" s="5">
        <f>B176+1</f>
        <v>45547</v>
      </c>
      <c r="C179" s="6" t="str">
        <f>VLOOKUP(WEEKDAY(B179,2),'EC-Commands'!$D$11:$E$19,2,FALSE)</f>
        <v>Thu</v>
      </c>
      <c r="D179" s="7">
        <v>0.73958333333333337</v>
      </c>
      <c r="E179" s="8" t="s">
        <v>22</v>
      </c>
      <c r="F179" s="8">
        <v>3</v>
      </c>
      <c r="G179" s="8" t="s">
        <v>318</v>
      </c>
      <c r="H179" s="73">
        <v>3.5000000000000003E-2</v>
      </c>
      <c r="I179" s="73">
        <v>3.5000000000000003E-2</v>
      </c>
      <c r="J179" s="78">
        <v>3.7499999999999999E-2</v>
      </c>
      <c r="K179" s="14" t="s">
        <v>319</v>
      </c>
    </row>
    <row r="180" spans="2:11" ht="105">
      <c r="B180" s="5">
        <f>B179</f>
        <v>45547</v>
      </c>
      <c r="C180" s="6" t="str">
        <f>VLOOKUP(WEEKDAY(B180,2),'EC-Commands'!$D$11:$E$19,2,FALSE)</f>
        <v>Thu</v>
      </c>
      <c r="D180" s="7">
        <v>0.73958333333333337</v>
      </c>
      <c r="E180" s="8" t="s">
        <v>22</v>
      </c>
      <c r="F180" s="8">
        <v>3</v>
      </c>
      <c r="G180" s="8" t="s">
        <v>320</v>
      </c>
      <c r="H180" s="73">
        <v>3.6499999999999998E-2</v>
      </c>
      <c r="I180" s="73">
        <v>3.6499999999999998E-2</v>
      </c>
      <c r="J180" s="78">
        <v>4.2500000000000003E-2</v>
      </c>
      <c r="K180" s="14" t="s">
        <v>319</v>
      </c>
    </row>
    <row r="181" spans="2:11" ht="53">
      <c r="B181" s="5">
        <f>B180</f>
        <v>45547</v>
      </c>
      <c r="C181" s="6" t="str">
        <f>VLOOKUP(WEEKDAY(B181,2),'EC-Commands'!$D$11:$E$19,2,FALSE)</f>
        <v>Thu</v>
      </c>
      <c r="D181" s="7">
        <v>0.75</v>
      </c>
      <c r="E181" s="8" t="s">
        <v>1</v>
      </c>
      <c r="F181" s="8">
        <v>3</v>
      </c>
      <c r="G181" s="8" t="s">
        <v>14</v>
      </c>
      <c r="H181" s="78" t="s">
        <v>330</v>
      </c>
      <c r="I181" s="73" t="s">
        <v>321</v>
      </c>
      <c r="J181" s="78" t="s">
        <v>209</v>
      </c>
      <c r="K181" s="14" t="s">
        <v>322</v>
      </c>
    </row>
    <row r="182" spans="2:11" ht="53">
      <c r="B182" s="5">
        <f>B181</f>
        <v>45547</v>
      </c>
      <c r="C182" s="6" t="str">
        <f>VLOOKUP(WEEKDAY(B182,2),'EC-Commands'!$D$11:$E$19,2,FALSE)</f>
        <v>Thu</v>
      </c>
      <c r="D182" s="7">
        <v>0.75</v>
      </c>
      <c r="E182" s="8" t="s">
        <v>1</v>
      </c>
      <c r="F182" s="8">
        <v>3</v>
      </c>
      <c r="G182" s="8" t="s">
        <v>315</v>
      </c>
      <c r="H182" s="73">
        <v>2E-3</v>
      </c>
      <c r="I182" s="73">
        <v>1E-3</v>
      </c>
      <c r="J182" s="73">
        <v>1E-3</v>
      </c>
      <c r="K182" s="14" t="s">
        <v>323</v>
      </c>
    </row>
    <row r="183" spans="2:11" ht="105">
      <c r="B183" s="5">
        <f>B182</f>
        <v>45547</v>
      </c>
      <c r="C183" s="6" t="str">
        <f>VLOOKUP(WEEKDAY(B183,2),'EC-Commands'!$D$11:$E$19,2,FALSE)</f>
        <v>Thu</v>
      </c>
      <c r="D183" s="7">
        <v>0.76041666666666663</v>
      </c>
      <c r="E183" s="8" t="s">
        <v>22</v>
      </c>
      <c r="F183" s="8">
        <v>3</v>
      </c>
      <c r="G183" s="8" t="s">
        <v>74</v>
      </c>
      <c r="H183" s="73"/>
      <c r="I183" s="73"/>
      <c r="J183" s="73"/>
      <c r="K183" s="14" t="s">
        <v>319</v>
      </c>
    </row>
    <row r="184" spans="2:11" ht="118">
      <c r="B184" s="5">
        <f>B179</f>
        <v>45547</v>
      </c>
      <c r="C184" s="6" t="str">
        <f>VLOOKUP(WEEKDAY(B184,2),'EC-Commands'!$D$11:$E$19,2,FALSE)</f>
        <v>Thu</v>
      </c>
      <c r="D184" s="7">
        <v>0.9375</v>
      </c>
      <c r="E184" s="8" t="s">
        <v>1</v>
      </c>
      <c r="F184" s="8">
        <v>3</v>
      </c>
      <c r="G184" s="8" t="s">
        <v>174</v>
      </c>
      <c r="H184" s="79">
        <v>4.0149999999999998E-2</v>
      </c>
      <c r="I184" s="73"/>
      <c r="J184" s="80">
        <v>4.3139999999999998E-2</v>
      </c>
      <c r="K184" s="14" t="s">
        <v>324</v>
      </c>
    </row>
    <row r="185" spans="2:11" ht="53">
      <c r="B185" s="5">
        <f>B184+1</f>
        <v>45548</v>
      </c>
      <c r="C185" s="6" t="str">
        <f>VLOOKUP(WEEKDAY(B185,2),'EC-Commands'!$D$11:$E$19,2,FALSE)</f>
        <v>Fri</v>
      </c>
      <c r="D185" s="7">
        <v>0.41666666666666669</v>
      </c>
      <c r="E185" s="8" t="s">
        <v>117</v>
      </c>
      <c r="F185" s="8">
        <v>2</v>
      </c>
      <c r="G185" s="8" t="s">
        <v>325</v>
      </c>
      <c r="H185" s="73">
        <v>3.1E-2</v>
      </c>
      <c r="I185" s="73">
        <v>2.8000000000000001E-2</v>
      </c>
      <c r="J185" s="80">
        <v>-4.2000000000000003E-2</v>
      </c>
      <c r="K185" s="14" t="s">
        <v>316</v>
      </c>
    </row>
    <row r="186" spans="2:11" ht="53">
      <c r="B186" s="5">
        <f>B185</f>
        <v>45548</v>
      </c>
      <c r="C186" s="6" t="str">
        <f>VLOOKUP(WEEKDAY(B186,2),'EC-Commands'!$D$11:$E$19,2,FALSE)</f>
        <v>Fri</v>
      </c>
      <c r="D186" s="7">
        <v>0.60416666666666663</v>
      </c>
      <c r="E186" s="8" t="s">
        <v>22</v>
      </c>
      <c r="F186" s="8">
        <v>2</v>
      </c>
      <c r="G186" s="8" t="s">
        <v>325</v>
      </c>
      <c r="H186" s="73">
        <v>-3.0000000000000001E-3</v>
      </c>
      <c r="I186" s="73">
        <v>-3.0000000000000001E-3</v>
      </c>
      <c r="J186" s="80">
        <v>-1E-3</v>
      </c>
      <c r="K186" s="14" t="s">
        <v>302</v>
      </c>
    </row>
    <row r="187" spans="2:11" ht="53">
      <c r="B187" s="5">
        <f>B186</f>
        <v>45548</v>
      </c>
      <c r="C187" s="6" t="str">
        <f>VLOOKUP(WEEKDAY(B187,2),'EC-Commands'!$D$11:$E$19,2,FALSE)</f>
        <v>Fri</v>
      </c>
      <c r="D187" s="7">
        <v>0.8125</v>
      </c>
      <c r="E187" s="8" t="s">
        <v>1</v>
      </c>
      <c r="F187" s="8">
        <v>2</v>
      </c>
      <c r="G187" s="8" t="s">
        <v>326</v>
      </c>
      <c r="H187" s="73">
        <v>0.69</v>
      </c>
      <c r="I187" s="74">
        <v>68.400000000000006</v>
      </c>
      <c r="J187" s="74">
        <v>67.900000000000006</v>
      </c>
      <c r="K187" s="14" t="s">
        <v>327</v>
      </c>
    </row>
    <row r="188" spans="2:11" ht="27">
      <c r="B188" s="5">
        <v>45553</v>
      </c>
      <c r="C188" s="6" t="str">
        <f>VLOOKUP(WEEKDAY(B188,2),'EC-Commands'!$D$11:$E$17,2,FALSE)</f>
        <v>Wed</v>
      </c>
      <c r="D188" s="7">
        <v>0.97916666666666663</v>
      </c>
      <c r="E188" s="8" t="s">
        <v>298</v>
      </c>
      <c r="F188" s="8">
        <v>3</v>
      </c>
      <c r="G188" s="8" t="s">
        <v>127</v>
      </c>
      <c r="H188" s="9"/>
      <c r="I188" s="22"/>
      <c r="J188" s="22">
        <v>5.5E-2</v>
      </c>
      <c r="K188" s="14" t="s">
        <v>299</v>
      </c>
    </row>
    <row r="189" spans="2:11" ht="92">
      <c r="B189" s="81">
        <v>45552</v>
      </c>
      <c r="C189" s="82" t="s">
        <v>42</v>
      </c>
      <c r="D189" s="83">
        <v>0.75</v>
      </c>
      <c r="E189" s="77" t="s">
        <v>1</v>
      </c>
      <c r="F189" s="77">
        <v>3</v>
      </c>
      <c r="G189" s="77" t="s">
        <v>331</v>
      </c>
      <c r="H189" s="84">
        <v>1E-3</v>
      </c>
      <c r="I189" s="84">
        <v>2E-3</v>
      </c>
      <c r="J189" s="84">
        <v>4.0000000000000001E-3</v>
      </c>
      <c r="K189" s="14" t="s">
        <v>332</v>
      </c>
    </row>
    <row r="190" spans="2:11" ht="92">
      <c r="B190" s="81">
        <v>45552</v>
      </c>
      <c r="C190" s="82" t="s">
        <v>42</v>
      </c>
      <c r="D190" s="83">
        <v>0.75</v>
      </c>
      <c r="E190" s="77" t="s">
        <v>1</v>
      </c>
      <c r="F190" s="77">
        <v>3</v>
      </c>
      <c r="G190" s="77" t="s">
        <v>333</v>
      </c>
      <c r="H190" s="84">
        <v>1E-3</v>
      </c>
      <c r="I190" s="84">
        <v>-2E-3</v>
      </c>
      <c r="J190" s="84">
        <v>1.0999999999999999E-2</v>
      </c>
      <c r="K190" s="14" t="s">
        <v>332</v>
      </c>
    </row>
    <row r="191" spans="2:11" ht="92">
      <c r="B191" s="81">
        <v>45552</v>
      </c>
      <c r="C191" s="82" t="s">
        <v>42</v>
      </c>
      <c r="D191" s="83">
        <v>0.75</v>
      </c>
      <c r="E191" s="77" t="s">
        <v>89</v>
      </c>
      <c r="F191" s="77">
        <v>2</v>
      </c>
      <c r="G191" s="77" t="s">
        <v>334</v>
      </c>
      <c r="H191" s="84">
        <v>1.4999999999999999E-2</v>
      </c>
      <c r="I191" s="84"/>
      <c r="J191" s="84">
        <v>1.7000000000000001E-2</v>
      </c>
      <c r="K191" s="14" t="s">
        <v>332</v>
      </c>
    </row>
    <row r="192" spans="2:11" ht="92">
      <c r="B192" s="81">
        <v>45552</v>
      </c>
      <c r="C192" s="82" t="s">
        <v>42</v>
      </c>
      <c r="D192" s="83">
        <v>0.75</v>
      </c>
      <c r="E192" s="77" t="s">
        <v>89</v>
      </c>
      <c r="F192" s="77">
        <v>2</v>
      </c>
      <c r="G192" s="77" t="s">
        <v>309</v>
      </c>
      <c r="H192" s="84">
        <v>-1E-3</v>
      </c>
      <c r="I192" s="84"/>
      <c r="J192" s="84">
        <v>3.0000000000000001E-3</v>
      </c>
      <c r="K192" s="14" t="s">
        <v>332</v>
      </c>
    </row>
    <row r="193" spans="1:11" ht="92">
      <c r="B193" s="81">
        <v>45552</v>
      </c>
      <c r="C193" s="82" t="s">
        <v>42</v>
      </c>
      <c r="D193" s="83">
        <v>0.75</v>
      </c>
      <c r="E193" s="77" t="s">
        <v>89</v>
      </c>
      <c r="F193" s="77">
        <v>2</v>
      </c>
      <c r="G193" s="77" t="s">
        <v>271</v>
      </c>
      <c r="H193" s="84">
        <v>-2E-3</v>
      </c>
      <c r="I193" s="84">
        <v>0</v>
      </c>
      <c r="J193" s="84">
        <v>4.0000000000000001E-3</v>
      </c>
      <c r="K193" s="14" t="s">
        <v>332</v>
      </c>
    </row>
    <row r="194" spans="1:11" ht="27">
      <c r="B194" s="81">
        <v>45553</v>
      </c>
      <c r="C194" s="82" t="s">
        <v>41</v>
      </c>
      <c r="D194" s="83">
        <v>0.47916666666666669</v>
      </c>
      <c r="E194" s="77" t="s">
        <v>53</v>
      </c>
      <c r="F194" s="77">
        <v>3</v>
      </c>
      <c r="G194" s="77" t="s">
        <v>311</v>
      </c>
      <c r="H194" s="84">
        <v>2.1999999999999999E-2</v>
      </c>
      <c r="I194" s="84">
        <v>2.1999999999999999E-2</v>
      </c>
      <c r="J194" s="84">
        <v>2.1999999999999999E-2</v>
      </c>
      <c r="K194" s="14" t="s">
        <v>335</v>
      </c>
    </row>
    <row r="195" spans="1:11" ht="27">
      <c r="B195" s="81">
        <v>45553</v>
      </c>
      <c r="C195" s="82" t="s">
        <v>41</v>
      </c>
      <c r="D195" s="83">
        <v>0.60416666666666663</v>
      </c>
      <c r="E195" s="77" t="s">
        <v>22</v>
      </c>
      <c r="F195" s="77">
        <v>3</v>
      </c>
      <c r="G195" s="77" t="s">
        <v>311</v>
      </c>
      <c r="H195" s="84">
        <v>2.1999999999999999E-2</v>
      </c>
      <c r="I195" s="84">
        <v>2.1999999999999999E-2</v>
      </c>
      <c r="J195" s="84">
        <v>2.5999999999999999E-2</v>
      </c>
      <c r="K195" s="14" t="s">
        <v>336</v>
      </c>
    </row>
    <row r="196" spans="1:11" ht="53">
      <c r="B196" s="81">
        <v>45553</v>
      </c>
      <c r="C196" s="82" t="s">
        <v>41</v>
      </c>
      <c r="D196" s="83">
        <v>0.60416666666666663</v>
      </c>
      <c r="E196" s="77" t="s">
        <v>1</v>
      </c>
      <c r="F196" s="77">
        <v>3</v>
      </c>
      <c r="G196" s="77" t="s">
        <v>9</v>
      </c>
      <c r="H196" s="85" t="s">
        <v>337</v>
      </c>
      <c r="I196" s="85" t="s">
        <v>338</v>
      </c>
      <c r="J196" s="84" t="s">
        <v>339</v>
      </c>
      <c r="K196" s="14" t="s">
        <v>340</v>
      </c>
    </row>
    <row r="197" spans="1:11" ht="131">
      <c r="B197" s="81">
        <v>45553</v>
      </c>
      <c r="C197" s="82" t="s">
        <v>41</v>
      </c>
      <c r="D197" s="83">
        <v>0.97916666666666663</v>
      </c>
      <c r="E197" s="77" t="s">
        <v>1</v>
      </c>
      <c r="F197" s="77">
        <v>3</v>
      </c>
      <c r="G197" s="77" t="s">
        <v>341</v>
      </c>
      <c r="H197" s="84"/>
      <c r="I197" s="84"/>
      <c r="J197" s="84"/>
      <c r="K197" s="14" t="s">
        <v>342</v>
      </c>
    </row>
    <row r="198" spans="1:11" ht="131">
      <c r="B198" s="81">
        <v>45553</v>
      </c>
      <c r="C198" s="82" t="s">
        <v>41</v>
      </c>
      <c r="D198" s="83">
        <v>0.97916666666666663</v>
      </c>
      <c r="E198" s="77" t="s">
        <v>1</v>
      </c>
      <c r="F198" s="77">
        <v>3</v>
      </c>
      <c r="G198" s="77" t="s">
        <v>125</v>
      </c>
      <c r="H198" s="84"/>
      <c r="I198" s="84"/>
      <c r="J198" s="84"/>
      <c r="K198" s="14" t="s">
        <v>342</v>
      </c>
    </row>
    <row r="199" spans="1:11" ht="131">
      <c r="B199" s="81">
        <v>45553</v>
      </c>
      <c r="C199" s="82" t="s">
        <v>41</v>
      </c>
      <c r="D199" s="83">
        <v>0.97916666666666663</v>
      </c>
      <c r="E199" s="77" t="s">
        <v>1</v>
      </c>
      <c r="F199" s="77">
        <v>3</v>
      </c>
      <c r="G199" s="77" t="s">
        <v>127</v>
      </c>
      <c r="H199" s="84">
        <v>0.05</v>
      </c>
      <c r="I199" s="84">
        <v>5.2499999999999998E-2</v>
      </c>
      <c r="J199" s="84">
        <v>5.5E-2</v>
      </c>
      <c r="K199" s="14" t="s">
        <v>342</v>
      </c>
    </row>
    <row r="200" spans="1:11" ht="131">
      <c r="B200" s="81">
        <v>45554</v>
      </c>
      <c r="C200" s="82" t="s">
        <v>40</v>
      </c>
      <c r="D200" s="83">
        <v>0</v>
      </c>
      <c r="E200" s="77" t="s">
        <v>1</v>
      </c>
      <c r="F200" s="77">
        <v>3</v>
      </c>
      <c r="G200" s="77" t="s">
        <v>129</v>
      </c>
      <c r="H200" s="84"/>
      <c r="I200" s="84"/>
      <c r="J200" s="84"/>
      <c r="K200" s="14" t="s">
        <v>342</v>
      </c>
    </row>
    <row r="201" spans="1:11" ht="79">
      <c r="B201" s="81">
        <v>45554</v>
      </c>
      <c r="C201" s="82" t="s">
        <v>40</v>
      </c>
      <c r="D201" s="83">
        <v>0.6875</v>
      </c>
      <c r="E201" s="77" t="s">
        <v>53</v>
      </c>
      <c r="F201" s="77">
        <v>3</v>
      </c>
      <c r="G201" s="77" t="s">
        <v>343</v>
      </c>
      <c r="H201" s="84">
        <v>0.05</v>
      </c>
      <c r="I201" s="84">
        <v>0.05</v>
      </c>
      <c r="J201" s="84">
        <v>0.05</v>
      </c>
      <c r="K201" s="14" t="s">
        <v>344</v>
      </c>
    </row>
    <row r="202" spans="1:11" ht="27">
      <c r="B202" s="81">
        <v>45554</v>
      </c>
      <c r="C202" s="82" t="s">
        <v>40</v>
      </c>
      <c r="D202" s="83">
        <v>0.75</v>
      </c>
      <c r="E202" s="77" t="s">
        <v>1</v>
      </c>
      <c r="F202" s="77">
        <v>3</v>
      </c>
      <c r="G202" s="77" t="s">
        <v>14</v>
      </c>
      <c r="H202" s="84" t="s">
        <v>345</v>
      </c>
      <c r="I202" s="84" t="s">
        <v>223</v>
      </c>
      <c r="J202" s="84" t="s">
        <v>330</v>
      </c>
      <c r="K202" s="14" t="s">
        <v>346</v>
      </c>
    </row>
    <row r="203" spans="1:11" ht="27">
      <c r="B203" s="81">
        <v>45554</v>
      </c>
      <c r="C203" s="82" t="s">
        <v>40</v>
      </c>
      <c r="D203" s="83">
        <v>0.75</v>
      </c>
      <c r="E203" s="77" t="s">
        <v>1</v>
      </c>
      <c r="F203" s="77">
        <v>3</v>
      </c>
      <c r="G203" s="77" t="s">
        <v>347</v>
      </c>
      <c r="H203" s="86">
        <v>1.7</v>
      </c>
      <c r="I203" s="86">
        <v>-0.8</v>
      </c>
      <c r="J203" s="86">
        <v>-7</v>
      </c>
      <c r="K203" s="14" t="s">
        <v>204</v>
      </c>
    </row>
    <row r="204" spans="1:11" ht="40">
      <c r="B204" s="81">
        <v>45554</v>
      </c>
      <c r="C204" s="82" t="s">
        <v>40</v>
      </c>
      <c r="D204" s="83">
        <v>0.8125</v>
      </c>
      <c r="E204" s="77" t="s">
        <v>1</v>
      </c>
      <c r="F204" s="77">
        <v>3</v>
      </c>
      <c r="G204" s="77" t="s">
        <v>348</v>
      </c>
      <c r="H204" s="84" t="s">
        <v>349</v>
      </c>
      <c r="I204" s="84" t="s">
        <v>350</v>
      </c>
      <c r="J204" s="84" t="s">
        <v>351</v>
      </c>
      <c r="K204" s="14" t="s">
        <v>232</v>
      </c>
    </row>
    <row r="205" spans="1:11" ht="53">
      <c r="B205" s="81">
        <v>45555</v>
      </c>
      <c r="C205" s="82" t="s">
        <v>39</v>
      </c>
      <c r="D205" s="83">
        <v>0.35416666666666669</v>
      </c>
      <c r="E205" s="77" t="s">
        <v>117</v>
      </c>
      <c r="F205" s="77">
        <v>3</v>
      </c>
      <c r="G205" s="77" t="s">
        <v>118</v>
      </c>
      <c r="H205" s="84">
        <v>2.5000000000000001E-3</v>
      </c>
      <c r="I205" s="84">
        <v>2.5000000000000001E-3</v>
      </c>
      <c r="J205" s="84">
        <v>2.5000000000000001E-3</v>
      </c>
      <c r="K205" s="14" t="s">
        <v>352</v>
      </c>
    </row>
    <row r="206" spans="1:11" ht="53">
      <c r="A206" s="569" t="s">
        <v>105</v>
      </c>
      <c r="B206" s="5">
        <v>45558</v>
      </c>
      <c r="C206" s="6" t="str">
        <f>VLOOKUP(WEEKDAY(B206,2),'EC-Commands'!$D$11:$E$19,2,FALSE)</f>
        <v>Mon</v>
      </c>
      <c r="D206" s="7">
        <v>0.80208333333333337</v>
      </c>
      <c r="E206" s="8" t="s">
        <v>1</v>
      </c>
      <c r="F206" s="8">
        <v>3</v>
      </c>
      <c r="G206" s="8" t="s">
        <v>353</v>
      </c>
      <c r="H206" s="19">
        <v>47</v>
      </c>
      <c r="I206" s="19">
        <v>48.6</v>
      </c>
      <c r="J206" s="19">
        <v>47.9</v>
      </c>
      <c r="K206" s="14" t="s">
        <v>354</v>
      </c>
    </row>
    <row r="207" spans="1:11" ht="53">
      <c r="B207" s="5">
        <v>45558</v>
      </c>
      <c r="C207" s="6" t="str">
        <f>VLOOKUP(WEEKDAY(B207,2),'EC-Commands'!$D$11:$E$19,2,FALSE)</f>
        <v>Mon</v>
      </c>
      <c r="D207" s="7">
        <v>0</v>
      </c>
      <c r="E207" s="8" t="s">
        <v>1</v>
      </c>
      <c r="F207" s="8">
        <v>3</v>
      </c>
      <c r="G207" s="87" t="s">
        <v>355</v>
      </c>
      <c r="H207" s="19">
        <v>55.4</v>
      </c>
      <c r="I207" s="19">
        <v>55.3</v>
      </c>
      <c r="J207" s="19">
        <v>55.7</v>
      </c>
      <c r="K207" s="14" t="s">
        <v>356</v>
      </c>
    </row>
    <row r="208" spans="1:11" ht="222">
      <c r="B208" s="5">
        <f>B207+1</f>
        <v>45559</v>
      </c>
      <c r="C208" s="6" t="str">
        <f>VLOOKUP(WEEKDAY(B208,2),'EC-Commands'!$D$11:$E$19,2,FALSE)</f>
        <v>Tue</v>
      </c>
      <c r="D208" s="7">
        <v>0.22916666666666666</v>
      </c>
      <c r="E208" s="8" t="s">
        <v>357</v>
      </c>
      <c r="F208" s="8">
        <v>3</v>
      </c>
      <c r="G208" s="77" t="s">
        <v>370</v>
      </c>
      <c r="H208" s="73">
        <v>4.3499999999999997E-2</v>
      </c>
      <c r="I208" s="73">
        <v>4.3499999999999997E-2</v>
      </c>
      <c r="J208" s="73">
        <v>4.3499999999999997E-2</v>
      </c>
      <c r="K208" s="14" t="s">
        <v>358</v>
      </c>
    </row>
    <row r="209" spans="1:11" ht="209">
      <c r="B209" s="5">
        <f>B208</f>
        <v>45559</v>
      </c>
      <c r="C209" s="6" t="str">
        <f>VLOOKUP(WEEKDAY(B209,2),'EC-Commands'!$D$11:$E$19,2,FALSE)</f>
        <v>Tue</v>
      </c>
      <c r="D209" s="7">
        <v>0.45833333333333331</v>
      </c>
      <c r="E209" s="8" t="s">
        <v>357</v>
      </c>
      <c r="F209" s="8">
        <v>2</v>
      </c>
      <c r="G209" s="77" t="s">
        <v>359</v>
      </c>
      <c r="H209" s="73"/>
      <c r="I209" s="73"/>
      <c r="J209" s="73"/>
      <c r="K209" s="14" t="s">
        <v>360</v>
      </c>
    </row>
    <row r="210" spans="1:11" ht="66">
      <c r="B210" s="5">
        <f>B208</f>
        <v>45559</v>
      </c>
      <c r="C210" s="6" t="str">
        <f>VLOOKUP(WEEKDAY(B210,2),'EC-Commands'!$D$11:$E$19,2,FALSE)</f>
        <v>Tue</v>
      </c>
      <c r="D210" s="7">
        <v>0.22916666666666666</v>
      </c>
      <c r="E210" s="8" t="s">
        <v>1</v>
      </c>
      <c r="F210" s="8">
        <v>3</v>
      </c>
      <c r="G210" s="8" t="s">
        <v>371</v>
      </c>
      <c r="H210" s="19">
        <v>98.7</v>
      </c>
      <c r="I210" s="19">
        <v>103.5</v>
      </c>
      <c r="J210" s="19">
        <v>103.3</v>
      </c>
      <c r="K210" s="14" t="s">
        <v>361</v>
      </c>
    </row>
    <row r="211" spans="1:11" ht="66">
      <c r="B211" s="5">
        <f>B210+1</f>
        <v>45560</v>
      </c>
      <c r="C211" s="6" t="str">
        <f>VLOOKUP(WEEKDAY(B211,2),'EC-Commands'!$D$11:$E$19,2,FALSE)</f>
        <v>Wed</v>
      </c>
      <c r="D211" s="7">
        <v>0</v>
      </c>
      <c r="E211" s="8" t="s">
        <v>1</v>
      </c>
      <c r="F211" s="8">
        <v>3</v>
      </c>
      <c r="G211" s="8" t="s">
        <v>372</v>
      </c>
      <c r="H211" s="19" t="s">
        <v>378</v>
      </c>
      <c r="I211" s="19" t="s">
        <v>377</v>
      </c>
      <c r="J211" s="19" t="s">
        <v>239</v>
      </c>
      <c r="K211" s="14" t="s">
        <v>361</v>
      </c>
    </row>
    <row r="212" spans="1:11" ht="53">
      <c r="B212" s="5">
        <f>B211</f>
        <v>45560</v>
      </c>
      <c r="C212" s="6" t="str">
        <f>VLOOKUP(WEEKDAY(B212,2),'EC-Commands'!$D$11:$E$19,2,FALSE)</f>
        <v>Wed</v>
      </c>
      <c r="D212" s="7">
        <v>0</v>
      </c>
      <c r="E212" s="8" t="s">
        <v>1</v>
      </c>
      <c r="F212" s="8">
        <v>3</v>
      </c>
      <c r="G212" s="8" t="s">
        <v>9</v>
      </c>
      <c r="H212" s="76" t="s">
        <v>380</v>
      </c>
      <c r="I212" s="76" t="s">
        <v>379</v>
      </c>
      <c r="J212" s="19" t="s">
        <v>337</v>
      </c>
      <c r="K212" s="14" t="s">
        <v>362</v>
      </c>
    </row>
    <row r="213" spans="1:11" ht="209">
      <c r="B213" s="5">
        <f>B212+1</f>
        <v>45561</v>
      </c>
      <c r="C213" s="6" t="str">
        <f>VLOOKUP(WEEKDAY(B213,2),'EC-Commands'!$D$11:$E$19,2,FALSE)</f>
        <v>Thu</v>
      </c>
      <c r="D213" s="7">
        <v>0</v>
      </c>
      <c r="E213" s="8" t="s">
        <v>270</v>
      </c>
      <c r="F213" s="8">
        <v>3</v>
      </c>
      <c r="G213" s="8" t="s">
        <v>373</v>
      </c>
      <c r="H213" s="73">
        <v>0.01</v>
      </c>
      <c r="I213" s="73">
        <v>0.01</v>
      </c>
      <c r="J213" s="73">
        <v>1.2500000000000001E-2</v>
      </c>
      <c r="K213" s="14" t="s">
        <v>363</v>
      </c>
    </row>
    <row r="214" spans="1:11" ht="157">
      <c r="B214" s="5">
        <f>B213+1</f>
        <v>45562</v>
      </c>
      <c r="C214" s="6" t="str">
        <f>VLOOKUP(WEEKDAY(B214,2),'EC-Commands'!$D$11:$E$19,2,FALSE)</f>
        <v>Fri</v>
      </c>
      <c r="D214" s="7">
        <v>0.5625</v>
      </c>
      <c r="E214" s="8" t="s">
        <v>270</v>
      </c>
      <c r="F214" s="8">
        <v>2</v>
      </c>
      <c r="G214" s="8" t="s">
        <v>364</v>
      </c>
      <c r="H214" s="73"/>
      <c r="I214" s="73"/>
      <c r="J214" s="73"/>
      <c r="K214" s="14" t="s">
        <v>365</v>
      </c>
    </row>
    <row r="215" spans="1:11" ht="66">
      <c r="B215" s="5">
        <f>B213</f>
        <v>45561</v>
      </c>
      <c r="C215" s="6" t="str">
        <f>VLOOKUP(WEEKDAY(B215,2),'EC-Commands'!$D$11:$E$19,2,FALSE)</f>
        <v>Thu</v>
      </c>
      <c r="D215" s="7">
        <v>0</v>
      </c>
      <c r="E215" s="8" t="s">
        <v>1</v>
      </c>
      <c r="F215" s="8">
        <v>3</v>
      </c>
      <c r="G215" s="8" t="s">
        <v>374</v>
      </c>
      <c r="H215" s="73">
        <v>0</v>
      </c>
      <c r="I215" s="73">
        <v>-2.8000000000000001E-2</v>
      </c>
      <c r="J215" s="73">
        <v>9.9000000000000005E-2</v>
      </c>
      <c r="K215" s="14" t="s">
        <v>361</v>
      </c>
    </row>
    <row r="216" spans="1:11" ht="53">
      <c r="B216" s="5">
        <f>B215</f>
        <v>45561</v>
      </c>
      <c r="C216" s="6" t="str">
        <f>VLOOKUP(WEEKDAY(B216,2),'EC-Commands'!$D$11:$E$19,2,FALSE)</f>
        <v>Thu</v>
      </c>
      <c r="D216" s="7">
        <v>0</v>
      </c>
      <c r="E216" s="8" t="s">
        <v>1</v>
      </c>
      <c r="F216" s="8">
        <v>3</v>
      </c>
      <c r="G216" s="8" t="s">
        <v>14</v>
      </c>
      <c r="H216" s="73" t="s">
        <v>382</v>
      </c>
      <c r="I216" s="73" t="s">
        <v>381</v>
      </c>
      <c r="J216" s="73" t="s">
        <v>72</v>
      </c>
      <c r="K216" s="14" t="s">
        <v>366</v>
      </c>
    </row>
    <row r="217" spans="1:11" ht="79">
      <c r="B217" s="5">
        <f>B216</f>
        <v>45561</v>
      </c>
      <c r="C217" s="6" t="str">
        <f>VLOOKUP(WEEKDAY(B217,2),'EC-Commands'!$D$11:$E$19,2,FALSE)</f>
        <v>Thu</v>
      </c>
      <c r="D217" s="7">
        <v>0</v>
      </c>
      <c r="E217" s="8" t="s">
        <v>1</v>
      </c>
      <c r="F217" s="8">
        <v>3</v>
      </c>
      <c r="G217" s="8" t="s">
        <v>20</v>
      </c>
      <c r="H217" s="73"/>
      <c r="I217" s="73"/>
      <c r="J217" s="73"/>
      <c r="K217" s="14" t="s">
        <v>367</v>
      </c>
    </row>
    <row r="218" spans="1:11" ht="209">
      <c r="B218" s="5">
        <f>B217+1</f>
        <v>45562</v>
      </c>
      <c r="C218" s="6" t="str">
        <f>VLOOKUP(WEEKDAY(B218,2),'EC-Commands'!$D$11:$E$19,2,FALSE)</f>
        <v>Fri</v>
      </c>
      <c r="D218" s="7">
        <v>0</v>
      </c>
      <c r="E218" s="8" t="s">
        <v>1</v>
      </c>
      <c r="F218" s="8">
        <v>3</v>
      </c>
      <c r="G218" s="8" t="s">
        <v>375</v>
      </c>
      <c r="H218" s="73">
        <v>1E-3</v>
      </c>
      <c r="I218" s="73">
        <v>2E-3</v>
      </c>
      <c r="J218" s="73">
        <v>2E-3</v>
      </c>
      <c r="K218" s="14" t="s">
        <v>368</v>
      </c>
    </row>
    <row r="219" spans="1:11" ht="209">
      <c r="B219" s="5">
        <f>B218</f>
        <v>45562</v>
      </c>
      <c r="C219" s="6" t="str">
        <f>VLOOKUP(WEEKDAY(B219,2),'EC-Commands'!$D$11:$E$19,2,FALSE)</f>
        <v>Fri</v>
      </c>
      <c r="D219" s="7">
        <f>D218</f>
        <v>0</v>
      </c>
      <c r="E219" s="8" t="s">
        <v>1</v>
      </c>
      <c r="F219" s="8">
        <v>3</v>
      </c>
      <c r="G219" s="8" t="s">
        <v>376</v>
      </c>
      <c r="H219" s="73">
        <v>2.7E-2</v>
      </c>
      <c r="I219" s="73">
        <v>2.7E-2</v>
      </c>
      <c r="J219" s="73">
        <v>2.5999999999999999E-2</v>
      </c>
      <c r="K219" s="14" t="s">
        <v>368</v>
      </c>
    </row>
    <row r="220" spans="1:11" ht="27">
      <c r="B220" s="81">
        <v>45603</v>
      </c>
      <c r="C220" s="82" t="s">
        <v>40</v>
      </c>
      <c r="D220" s="83">
        <v>0.97916666666666663</v>
      </c>
      <c r="E220" s="77" t="s">
        <v>1</v>
      </c>
      <c r="F220" s="77">
        <v>3</v>
      </c>
      <c r="G220" s="77" t="s">
        <v>127</v>
      </c>
      <c r="H220" s="84"/>
      <c r="I220" s="84">
        <v>4.5199999999999997E-2</v>
      </c>
      <c r="J220" s="84">
        <v>4.7500000000000001E-2</v>
      </c>
      <c r="K220" s="14" t="s">
        <v>369</v>
      </c>
    </row>
    <row r="221" spans="1:11" ht="144">
      <c r="A221" s="569" t="s">
        <v>429</v>
      </c>
      <c r="B221" s="5">
        <v>45565</v>
      </c>
      <c r="C221" s="6" t="s">
        <v>43</v>
      </c>
      <c r="D221" s="7">
        <v>0.29166666666666669</v>
      </c>
      <c r="E221" s="8" t="s">
        <v>65</v>
      </c>
      <c r="F221" s="8">
        <v>3</v>
      </c>
      <c r="G221" s="8" t="s">
        <v>383</v>
      </c>
      <c r="H221" s="19">
        <v>49.8</v>
      </c>
      <c r="I221" s="19">
        <v>49.4</v>
      </c>
      <c r="J221" s="19">
        <v>49.1</v>
      </c>
      <c r="K221" s="14" t="s">
        <v>384</v>
      </c>
    </row>
    <row r="222" spans="1:11" ht="92">
      <c r="B222" s="5">
        <f>B221</f>
        <v>45565</v>
      </c>
      <c r="C222" s="6" t="s">
        <v>43</v>
      </c>
      <c r="D222" s="7">
        <v>0.47916666666666669</v>
      </c>
      <c r="E222" s="8" t="s">
        <v>53</v>
      </c>
      <c r="F222" s="8">
        <v>3</v>
      </c>
      <c r="G222" s="87" t="s">
        <v>385</v>
      </c>
      <c r="H222" s="73">
        <v>5.0000000000000001E-3</v>
      </c>
      <c r="I222" s="73">
        <v>6.0000000000000001E-3</v>
      </c>
      <c r="J222" s="73">
        <v>6.0000000000000001E-3</v>
      </c>
      <c r="K222" s="14" t="s">
        <v>386</v>
      </c>
    </row>
    <row r="223" spans="1:11" ht="92">
      <c r="B223" s="5">
        <f>B222</f>
        <v>45565</v>
      </c>
      <c r="C223" s="6" t="s">
        <v>43</v>
      </c>
      <c r="D223" s="7">
        <v>0.47916666666666669</v>
      </c>
      <c r="E223" s="8" t="s">
        <v>53</v>
      </c>
      <c r="F223" s="8">
        <v>3</v>
      </c>
      <c r="G223" s="87" t="s">
        <v>387</v>
      </c>
      <c r="H223" s="73">
        <v>7.0000000000000001E-3</v>
      </c>
      <c r="I223" s="73">
        <v>8.9999999999999993E-3</v>
      </c>
      <c r="J223" s="73">
        <v>8.9999999999999993E-3</v>
      </c>
      <c r="K223" s="14" t="s">
        <v>386</v>
      </c>
    </row>
    <row r="224" spans="1:11" ht="105">
      <c r="B224" s="5">
        <f>B223</f>
        <v>45565</v>
      </c>
      <c r="C224" s="6" t="s">
        <v>43</v>
      </c>
      <c r="D224" s="7">
        <v>0.72916666666666663</v>
      </c>
      <c r="E224" s="8" t="s">
        <v>22</v>
      </c>
      <c r="F224" s="8">
        <v>3</v>
      </c>
      <c r="G224" s="87" t="s">
        <v>388</v>
      </c>
      <c r="H224" s="73">
        <v>0</v>
      </c>
      <c r="I224" s="73">
        <v>1E-3</v>
      </c>
      <c r="J224" s="73">
        <v>-1E-3</v>
      </c>
      <c r="K224" s="14" t="s">
        <v>389</v>
      </c>
    </row>
    <row r="225" spans="2:11" ht="118">
      <c r="B225" s="5">
        <f>B224</f>
        <v>45565</v>
      </c>
      <c r="C225" s="6" t="s">
        <v>43</v>
      </c>
      <c r="D225" s="7">
        <v>0.80208333333333337</v>
      </c>
      <c r="E225" s="8" t="s">
        <v>1</v>
      </c>
      <c r="F225" s="8">
        <v>3</v>
      </c>
      <c r="G225" s="87" t="s">
        <v>390</v>
      </c>
      <c r="H225" s="19">
        <v>46.6</v>
      </c>
      <c r="I225" s="19">
        <v>46.1</v>
      </c>
      <c r="J225" s="19">
        <v>46.1</v>
      </c>
      <c r="K225" s="14" t="s">
        <v>391</v>
      </c>
    </row>
    <row r="226" spans="2:11" ht="66">
      <c r="B226" s="5">
        <f>B225</f>
        <v>45565</v>
      </c>
      <c r="C226" s="6" t="s">
        <v>43</v>
      </c>
      <c r="D226" s="7">
        <v>0.97569444444444442</v>
      </c>
      <c r="E226" s="8" t="s">
        <v>1</v>
      </c>
      <c r="F226" s="8">
        <v>3</v>
      </c>
      <c r="G226" s="87" t="s">
        <v>20</v>
      </c>
      <c r="H226" s="73"/>
      <c r="I226" s="19"/>
      <c r="J226" s="19"/>
      <c r="K226" s="14" t="s">
        <v>392</v>
      </c>
    </row>
    <row r="227" spans="2:11" ht="196">
      <c r="B227" s="5">
        <f>B226+1</f>
        <v>45566</v>
      </c>
      <c r="C227" s="6" t="s">
        <v>42</v>
      </c>
      <c r="D227" s="7">
        <v>0.60416666666666663</v>
      </c>
      <c r="E227" s="8" t="s">
        <v>22</v>
      </c>
      <c r="F227" s="8">
        <v>3</v>
      </c>
      <c r="G227" s="87" t="s">
        <v>393</v>
      </c>
      <c r="H227" s="73">
        <v>1.7999999999999999E-2</v>
      </c>
      <c r="I227" s="73">
        <v>1.7999999999999999E-2</v>
      </c>
      <c r="J227" s="73">
        <v>2.1999999999999999E-2</v>
      </c>
      <c r="K227" s="14" t="s">
        <v>394</v>
      </c>
    </row>
    <row r="228" spans="2:11" ht="131">
      <c r="B228" s="5">
        <f>B227</f>
        <v>45566</v>
      </c>
      <c r="C228" s="6" t="s">
        <v>42</v>
      </c>
      <c r="D228" s="7">
        <v>0.80208333333333337</v>
      </c>
      <c r="E228" s="8" t="s">
        <v>1</v>
      </c>
      <c r="F228" s="8">
        <v>3</v>
      </c>
      <c r="G228" s="87" t="s">
        <v>395</v>
      </c>
      <c r="H228" s="19">
        <v>47.3</v>
      </c>
      <c r="I228" s="19">
        <v>47</v>
      </c>
      <c r="J228" s="19">
        <v>47</v>
      </c>
      <c r="K228" s="14" t="s">
        <v>396</v>
      </c>
    </row>
    <row r="229" spans="2:11" ht="209">
      <c r="B229" s="5">
        <f>B228</f>
        <v>45566</v>
      </c>
      <c r="C229" s="6" t="s">
        <v>42</v>
      </c>
      <c r="D229" s="7">
        <v>0.8125</v>
      </c>
      <c r="E229" s="8" t="s">
        <v>1</v>
      </c>
      <c r="F229" s="8">
        <v>3</v>
      </c>
      <c r="G229" s="87" t="s">
        <v>397</v>
      </c>
      <c r="H229" s="19">
        <v>47.2</v>
      </c>
      <c r="I229" s="19">
        <v>47.6</v>
      </c>
      <c r="J229" s="19">
        <v>47.2</v>
      </c>
      <c r="K229" s="14" t="s">
        <v>398</v>
      </c>
    </row>
    <row r="230" spans="2:11" ht="381">
      <c r="B230" s="5">
        <f>B229</f>
        <v>45566</v>
      </c>
      <c r="C230" s="6" t="s">
        <v>42</v>
      </c>
      <c r="D230" s="7">
        <v>0.8125</v>
      </c>
      <c r="E230" s="8" t="s">
        <v>1</v>
      </c>
      <c r="F230" s="8">
        <v>3</v>
      </c>
      <c r="G230" s="87" t="s">
        <v>399</v>
      </c>
      <c r="H230" s="19">
        <v>48.3</v>
      </c>
      <c r="I230" s="19">
        <v>53.5</v>
      </c>
      <c r="J230" s="19">
        <v>54</v>
      </c>
      <c r="K230" s="14" t="s">
        <v>400</v>
      </c>
    </row>
    <row r="231" spans="2:11" ht="144">
      <c r="B231" s="5">
        <f>B230</f>
        <v>45566</v>
      </c>
      <c r="C231" s="6" t="s">
        <v>42</v>
      </c>
      <c r="D231" s="7">
        <v>0.8125</v>
      </c>
      <c r="E231" s="8" t="s">
        <v>1</v>
      </c>
      <c r="F231" s="8">
        <v>3</v>
      </c>
      <c r="G231" s="87" t="s">
        <v>401</v>
      </c>
      <c r="H231" s="19" t="s">
        <v>634</v>
      </c>
      <c r="I231" s="19" t="s">
        <v>402</v>
      </c>
      <c r="J231" s="19" t="s">
        <v>403</v>
      </c>
      <c r="K231" s="14" t="s">
        <v>404</v>
      </c>
    </row>
    <row r="232" spans="2:11" ht="105">
      <c r="B232" s="5">
        <f>B231+1</f>
        <v>45567</v>
      </c>
      <c r="C232" s="6" t="s">
        <v>41</v>
      </c>
      <c r="D232" s="7">
        <v>0.73958333333333337</v>
      </c>
      <c r="E232" s="8" t="s">
        <v>1</v>
      </c>
      <c r="F232" s="8">
        <v>3</v>
      </c>
      <c r="G232" s="87" t="s">
        <v>405</v>
      </c>
      <c r="H232" s="19" t="s">
        <v>635</v>
      </c>
      <c r="I232" s="19" t="s">
        <v>406</v>
      </c>
      <c r="J232" s="19" t="s">
        <v>407</v>
      </c>
      <c r="K232" s="14" t="s">
        <v>408</v>
      </c>
    </row>
    <row r="233" spans="2:11" ht="131">
      <c r="B233" s="5">
        <f>B232</f>
        <v>45567</v>
      </c>
      <c r="C233" s="6" t="s">
        <v>41</v>
      </c>
      <c r="D233" s="7">
        <v>0.83333333333333337</v>
      </c>
      <c r="E233" s="8" t="s">
        <v>1</v>
      </c>
      <c r="F233" s="8">
        <v>3</v>
      </c>
      <c r="G233" s="87" t="s">
        <v>9</v>
      </c>
      <c r="H233" s="76" t="s">
        <v>637</v>
      </c>
      <c r="I233" s="76" t="s">
        <v>636</v>
      </c>
      <c r="J233" s="76" t="s">
        <v>409</v>
      </c>
      <c r="K233" s="14" t="s">
        <v>410</v>
      </c>
    </row>
    <row r="234" spans="2:11" ht="105">
      <c r="B234" s="5">
        <f>B232+1</f>
        <v>45568</v>
      </c>
      <c r="C234" s="6" t="s">
        <v>40</v>
      </c>
      <c r="D234" s="7">
        <v>0.5</v>
      </c>
      <c r="E234" s="8" t="s">
        <v>270</v>
      </c>
      <c r="F234" s="8">
        <v>2</v>
      </c>
      <c r="G234" s="87" t="s">
        <v>411</v>
      </c>
      <c r="H234" s="73">
        <v>-3.0000000000000001E-3</v>
      </c>
      <c r="I234" s="73">
        <v>-1E-3</v>
      </c>
      <c r="J234" s="73">
        <v>0</v>
      </c>
      <c r="K234" s="14" t="s">
        <v>412</v>
      </c>
    </row>
    <row r="235" spans="2:11" ht="79">
      <c r="B235" s="5">
        <f>B233+1</f>
        <v>45568</v>
      </c>
      <c r="C235" s="6" t="s">
        <v>40</v>
      </c>
      <c r="D235" s="7">
        <v>0.75</v>
      </c>
      <c r="E235" s="8" t="s">
        <v>1</v>
      </c>
      <c r="F235" s="8">
        <v>3</v>
      </c>
      <c r="G235" s="87" t="s">
        <v>14</v>
      </c>
      <c r="H235" s="19" t="s">
        <v>638</v>
      </c>
      <c r="I235" s="19" t="s">
        <v>413</v>
      </c>
      <c r="J235" s="19" t="s">
        <v>382</v>
      </c>
      <c r="K235" s="14" t="s">
        <v>414</v>
      </c>
    </row>
    <row r="236" spans="2:11" ht="118">
      <c r="B236" s="5">
        <f>B235</f>
        <v>45568</v>
      </c>
      <c r="C236" s="6" t="s">
        <v>40</v>
      </c>
      <c r="D236" s="7">
        <v>0.80208333333333337</v>
      </c>
      <c r="E236" s="8" t="s">
        <v>1</v>
      </c>
      <c r="F236" s="8">
        <v>3</v>
      </c>
      <c r="G236" s="87" t="s">
        <v>415</v>
      </c>
      <c r="H236" s="19">
        <v>55.2</v>
      </c>
      <c r="I236" s="19">
        <v>55.4</v>
      </c>
      <c r="J236" s="19">
        <v>55.4</v>
      </c>
      <c r="K236" s="14" t="s">
        <v>416</v>
      </c>
    </row>
    <row r="237" spans="2:11" ht="273">
      <c r="B237" s="5">
        <f>B236</f>
        <v>45568</v>
      </c>
      <c r="C237" s="6" t="s">
        <v>40</v>
      </c>
      <c r="D237" s="7">
        <v>0.8125</v>
      </c>
      <c r="E237" s="8" t="s">
        <v>1</v>
      </c>
      <c r="F237" s="8">
        <v>3</v>
      </c>
      <c r="G237" s="87" t="s">
        <v>417</v>
      </c>
      <c r="H237" s="19">
        <v>54.9</v>
      </c>
      <c r="I237" s="19">
        <v>51.6</v>
      </c>
      <c r="J237" s="19">
        <v>51.5</v>
      </c>
      <c r="K237" s="14" t="s">
        <v>418</v>
      </c>
    </row>
    <row r="238" spans="2:11" ht="196">
      <c r="B238" s="5">
        <f>B237</f>
        <v>45568</v>
      </c>
      <c r="C238" s="6" t="s">
        <v>40</v>
      </c>
      <c r="D238" s="7">
        <v>0.8125</v>
      </c>
      <c r="E238" s="8" t="s">
        <v>1</v>
      </c>
      <c r="F238" s="8">
        <v>3</v>
      </c>
      <c r="G238" s="87" t="s">
        <v>419</v>
      </c>
      <c r="H238" s="19">
        <v>59.4</v>
      </c>
      <c r="I238" s="19">
        <v>56.3</v>
      </c>
      <c r="J238" s="19">
        <v>57.3</v>
      </c>
      <c r="K238" s="14" t="s">
        <v>420</v>
      </c>
    </row>
    <row r="239" spans="2:11" ht="92">
      <c r="B239" s="5">
        <f>B238+1</f>
        <v>45569</v>
      </c>
      <c r="C239" s="6" t="s">
        <v>39</v>
      </c>
      <c r="D239" s="7">
        <v>0.75</v>
      </c>
      <c r="E239" s="8" t="s">
        <v>1</v>
      </c>
      <c r="F239" s="8">
        <v>3</v>
      </c>
      <c r="G239" s="87" t="s">
        <v>421</v>
      </c>
      <c r="H239" s="73">
        <v>4.0000000000000001E-3</v>
      </c>
      <c r="I239" s="73">
        <v>3.0000000000000001E-3</v>
      </c>
      <c r="J239" s="73">
        <v>4.0000000000000001E-3</v>
      </c>
      <c r="K239" s="14" t="s">
        <v>422</v>
      </c>
    </row>
    <row r="240" spans="2:11" ht="297">
      <c r="B240" s="5">
        <f>B239</f>
        <v>45569</v>
      </c>
      <c r="C240" s="6" t="s">
        <v>39</v>
      </c>
      <c r="D240" s="7">
        <v>0.75</v>
      </c>
      <c r="E240" s="8" t="s">
        <v>1</v>
      </c>
      <c r="F240" s="8">
        <v>3</v>
      </c>
      <c r="G240" s="87" t="s">
        <v>423</v>
      </c>
      <c r="H240" s="73" t="s">
        <v>641</v>
      </c>
      <c r="I240" s="73" t="s">
        <v>640</v>
      </c>
      <c r="J240" s="73" t="s">
        <v>639</v>
      </c>
      <c r="K240" s="14" t="s">
        <v>426</v>
      </c>
    </row>
    <row r="241" spans="1:11" ht="92">
      <c r="B241" s="5">
        <f>B240</f>
        <v>45569</v>
      </c>
      <c r="C241" s="6" t="s">
        <v>39</v>
      </c>
      <c r="D241" s="7">
        <v>0.75</v>
      </c>
      <c r="E241" s="8" t="s">
        <v>1</v>
      </c>
      <c r="F241" s="8">
        <v>3</v>
      </c>
      <c r="G241" s="87" t="s">
        <v>2</v>
      </c>
      <c r="H241" s="73">
        <v>4.1000000000000002E-2</v>
      </c>
      <c r="I241" s="73">
        <v>4.2000000000000003E-2</v>
      </c>
      <c r="J241" s="73">
        <v>4.2000000000000003E-2</v>
      </c>
      <c r="K241" s="14" t="s">
        <v>427</v>
      </c>
    </row>
    <row r="242" spans="1:11" ht="27">
      <c r="B242" s="81">
        <v>45603</v>
      </c>
      <c r="C242" s="82" t="s">
        <v>40</v>
      </c>
      <c r="D242" s="83">
        <v>0.97916666666666663</v>
      </c>
      <c r="E242" s="77" t="s">
        <v>1</v>
      </c>
      <c r="F242" s="77">
        <v>3</v>
      </c>
      <c r="G242" s="77" t="s">
        <v>127</v>
      </c>
      <c r="H242" s="84"/>
      <c r="I242" s="84">
        <v>4.5199999999999997E-2</v>
      </c>
      <c r="J242" s="84">
        <v>4.7500000000000001E-2</v>
      </c>
      <c r="K242" s="14" t="s">
        <v>369</v>
      </c>
    </row>
    <row r="243" spans="1:11">
      <c r="C243" t="s">
        <v>428</v>
      </c>
    </row>
    <row r="244" spans="1:11" ht="105">
      <c r="A244" s="569" t="s">
        <v>105</v>
      </c>
      <c r="B244" s="5">
        <v>45574</v>
      </c>
      <c r="C244" s="6" t="s">
        <v>41</v>
      </c>
      <c r="D244" s="7">
        <v>0.27083333333333331</v>
      </c>
      <c r="E244" s="8" t="s">
        <v>49</v>
      </c>
      <c r="F244" s="8">
        <v>3</v>
      </c>
      <c r="G244" s="8" t="s">
        <v>50</v>
      </c>
      <c r="H244" s="73">
        <v>4.7500000000000001E-2</v>
      </c>
      <c r="I244" s="73">
        <v>4.7500000000000001E-2</v>
      </c>
      <c r="J244" s="73">
        <v>5.2499999999999998E-2</v>
      </c>
      <c r="K244" s="14" t="s">
        <v>642</v>
      </c>
    </row>
    <row r="245" spans="1:11" ht="144">
      <c r="B245" s="5">
        <f>B244</f>
        <v>45574</v>
      </c>
      <c r="C245" s="6" t="s">
        <v>41</v>
      </c>
      <c r="D245" s="7">
        <v>0.83333333333333337</v>
      </c>
      <c r="E245" s="8" t="s">
        <v>1</v>
      </c>
      <c r="F245" s="8">
        <v>3</v>
      </c>
      <c r="G245" s="8" t="s">
        <v>9</v>
      </c>
      <c r="H245" s="73" t="s">
        <v>677</v>
      </c>
      <c r="I245" s="73" t="s">
        <v>676</v>
      </c>
      <c r="J245" s="73" t="s">
        <v>637</v>
      </c>
      <c r="K245" s="14" t="s">
        <v>643</v>
      </c>
    </row>
    <row r="246" spans="1:11" ht="131">
      <c r="B246" s="5">
        <f>B245</f>
        <v>45574</v>
      </c>
      <c r="C246" s="6" t="s">
        <v>41</v>
      </c>
      <c r="D246" s="7">
        <v>0.9375</v>
      </c>
      <c r="E246" s="8" t="s">
        <v>1</v>
      </c>
      <c r="F246" s="8">
        <v>3</v>
      </c>
      <c r="G246" s="8" t="s">
        <v>644</v>
      </c>
      <c r="H246" s="80">
        <v>4.0660000000000002E-2</v>
      </c>
      <c r="I246" s="73"/>
      <c r="J246" s="80">
        <v>3.6479999999999999E-2</v>
      </c>
      <c r="K246" s="14" t="s">
        <v>645</v>
      </c>
    </row>
    <row r="247" spans="1:11" ht="79">
      <c r="B247" s="5">
        <f>B246</f>
        <v>45574</v>
      </c>
      <c r="C247" s="6" t="s">
        <v>41</v>
      </c>
      <c r="D247" s="7">
        <v>0.97916666666666663</v>
      </c>
      <c r="E247" s="8" t="s">
        <v>1</v>
      </c>
      <c r="F247" s="8">
        <v>3</v>
      </c>
      <c r="G247" s="8" t="s">
        <v>7</v>
      </c>
      <c r="H247" s="73"/>
      <c r="I247" s="73"/>
      <c r="J247" s="80"/>
      <c r="K247" s="14" t="s">
        <v>646</v>
      </c>
    </row>
    <row r="248" spans="1:11" ht="131">
      <c r="B248" s="5">
        <f>B247+1</f>
        <v>45575</v>
      </c>
      <c r="C248" s="6" t="s">
        <v>40</v>
      </c>
      <c r="D248" s="7">
        <v>0.75</v>
      </c>
      <c r="E248" s="8" t="s">
        <v>1</v>
      </c>
      <c r="F248" s="8">
        <v>3</v>
      </c>
      <c r="G248" s="8" t="s">
        <v>647</v>
      </c>
      <c r="H248" s="73">
        <v>3.0000000000000001E-3</v>
      </c>
      <c r="I248" s="73">
        <v>2E-3</v>
      </c>
      <c r="J248" s="73">
        <v>3.0000000000000001E-3</v>
      </c>
      <c r="K248" s="14" t="s">
        <v>648</v>
      </c>
    </row>
    <row r="249" spans="1:11" ht="105">
      <c r="B249" s="5">
        <f>B248</f>
        <v>45575</v>
      </c>
      <c r="C249" s="6" t="s">
        <v>40</v>
      </c>
      <c r="D249" s="7">
        <v>0.75</v>
      </c>
      <c r="E249" s="8" t="s">
        <v>1</v>
      </c>
      <c r="F249" s="8">
        <v>3</v>
      </c>
      <c r="G249" s="8" t="s">
        <v>649</v>
      </c>
      <c r="H249" s="73">
        <v>2.4E-2</v>
      </c>
      <c r="I249" s="73">
        <v>2.3E-2</v>
      </c>
      <c r="J249" s="73">
        <v>2.5000000000000001E-2</v>
      </c>
      <c r="K249" s="14" t="s">
        <v>650</v>
      </c>
    </row>
    <row r="250" spans="1:11" ht="131">
      <c r="B250" s="5">
        <f>B249</f>
        <v>45575</v>
      </c>
      <c r="C250" s="6" t="s">
        <v>40</v>
      </c>
      <c r="D250" s="7">
        <v>0.75</v>
      </c>
      <c r="E250" s="8" t="s">
        <v>1</v>
      </c>
      <c r="F250" s="8">
        <v>3</v>
      </c>
      <c r="G250" s="8" t="s">
        <v>411</v>
      </c>
      <c r="H250" s="73">
        <v>2E-3</v>
      </c>
      <c r="I250" s="73">
        <v>1E-3</v>
      </c>
      <c r="J250" s="73">
        <v>2E-3</v>
      </c>
      <c r="K250" s="14" t="s">
        <v>648</v>
      </c>
    </row>
    <row r="251" spans="1:11">
      <c r="B251" s="5">
        <f>B250</f>
        <v>45575</v>
      </c>
      <c r="C251" s="6" t="s">
        <v>40</v>
      </c>
      <c r="D251" s="7">
        <v>0.75</v>
      </c>
      <c r="E251" s="8" t="s">
        <v>1</v>
      </c>
      <c r="F251" s="8">
        <v>3</v>
      </c>
      <c r="G251" s="8" t="s">
        <v>14</v>
      </c>
      <c r="H251" s="73" t="s">
        <v>678</v>
      </c>
      <c r="I251" s="73" t="s">
        <v>268</v>
      </c>
      <c r="J251" s="73" t="s">
        <v>638</v>
      </c>
      <c r="K251" s="14" t="s">
        <v>651</v>
      </c>
    </row>
    <row r="252" spans="1:11" ht="131">
      <c r="B252" s="5">
        <f>B251</f>
        <v>45575</v>
      </c>
      <c r="C252" s="6" t="s">
        <v>40</v>
      </c>
      <c r="D252" s="7">
        <v>0.9375</v>
      </c>
      <c r="E252" s="8" t="s">
        <v>1</v>
      </c>
      <c r="F252" s="8">
        <v>3</v>
      </c>
      <c r="G252" s="8" t="s">
        <v>174</v>
      </c>
      <c r="H252" s="80">
        <v>4.3889999999999998E-2</v>
      </c>
      <c r="I252" s="73"/>
      <c r="J252" s="80">
        <v>4.0149999999999998E-2</v>
      </c>
      <c r="K252" s="14" t="s">
        <v>652</v>
      </c>
    </row>
    <row r="253" spans="1:11" ht="79">
      <c r="B253" s="5">
        <f>B252+1</f>
        <v>45576</v>
      </c>
      <c r="C253" s="6" t="s">
        <v>39</v>
      </c>
      <c r="D253" s="7">
        <v>0.47916666666666669</v>
      </c>
      <c r="E253" s="8" t="s">
        <v>53</v>
      </c>
      <c r="F253" s="8">
        <v>3</v>
      </c>
      <c r="G253" s="8" t="s">
        <v>653</v>
      </c>
      <c r="H253" s="73">
        <v>2E-3</v>
      </c>
      <c r="I253" s="73">
        <v>2E-3</v>
      </c>
      <c r="J253" s="80">
        <v>0</v>
      </c>
      <c r="K253" s="14" t="s">
        <v>654</v>
      </c>
    </row>
    <row r="254" spans="1:11" ht="105">
      <c r="B254" s="5">
        <f t="shared" ref="B254:E259" si="4">B253</f>
        <v>45576</v>
      </c>
      <c r="C254" s="6" t="s">
        <v>39</v>
      </c>
      <c r="D254" s="7">
        <v>0.47916666666666669</v>
      </c>
      <c r="E254" s="8" t="s">
        <v>22</v>
      </c>
      <c r="F254" s="8">
        <v>3</v>
      </c>
      <c r="G254" s="8" t="s">
        <v>388</v>
      </c>
      <c r="H254" s="80">
        <v>0</v>
      </c>
      <c r="I254" s="80">
        <v>0</v>
      </c>
      <c r="J254" s="80">
        <v>-1E-3</v>
      </c>
      <c r="K254" s="14" t="s">
        <v>389</v>
      </c>
    </row>
    <row r="255" spans="1:11" ht="131">
      <c r="B255" s="5">
        <f t="shared" si="4"/>
        <v>45576</v>
      </c>
      <c r="C255" s="6" t="s">
        <v>39</v>
      </c>
      <c r="D255" s="7">
        <v>0.75</v>
      </c>
      <c r="E255" s="8" t="s">
        <v>1</v>
      </c>
      <c r="F255" s="8">
        <v>3</v>
      </c>
      <c r="G255" s="8" t="s">
        <v>655</v>
      </c>
      <c r="H255" s="80">
        <v>0</v>
      </c>
      <c r="I255" s="80">
        <v>1E-3</v>
      </c>
      <c r="J255" s="80">
        <v>2E-3</v>
      </c>
      <c r="K255" s="14" t="s">
        <v>656</v>
      </c>
    </row>
    <row r="256" spans="1:11" ht="79">
      <c r="B256" s="5">
        <f t="shared" si="4"/>
        <v>45576</v>
      </c>
      <c r="C256" s="6" t="s">
        <v>39</v>
      </c>
      <c r="D256" s="7">
        <v>0.8125</v>
      </c>
      <c r="E256" s="8" t="s">
        <v>1</v>
      </c>
      <c r="F256" s="8">
        <v>2</v>
      </c>
      <c r="G256" s="8" t="s">
        <v>657</v>
      </c>
      <c r="H256" s="80">
        <v>2.9000000000000001E-2</v>
      </c>
      <c r="I256" s="80">
        <v>2.7E-2</v>
      </c>
      <c r="J256" s="80">
        <v>2.7E-2</v>
      </c>
      <c r="K256" s="14" t="s">
        <v>658</v>
      </c>
    </row>
    <row r="257" spans="1:11" ht="66">
      <c r="B257" s="5">
        <f t="shared" si="4"/>
        <v>45576</v>
      </c>
      <c r="C257" s="5" t="str">
        <f t="shared" si="4"/>
        <v>Fri</v>
      </c>
      <c r="D257" s="7">
        <f>D256</f>
        <v>0.8125</v>
      </c>
      <c r="E257" s="5" t="str">
        <f t="shared" si="4"/>
        <v>USD</v>
      </c>
      <c r="F257" s="8">
        <v>2</v>
      </c>
      <c r="G257" s="8" t="s">
        <v>659</v>
      </c>
      <c r="H257" s="80">
        <v>0.03</v>
      </c>
      <c r="I257" s="80">
        <v>0.03</v>
      </c>
      <c r="J257" s="80">
        <v>3.1E-2</v>
      </c>
      <c r="K257" s="14" t="s">
        <v>660</v>
      </c>
    </row>
    <row r="258" spans="1:11" ht="66">
      <c r="B258" s="5">
        <f t="shared" si="4"/>
        <v>45576</v>
      </c>
      <c r="C258" s="5" t="str">
        <f>C257</f>
        <v>Fri</v>
      </c>
      <c r="D258" s="7">
        <f>D257</f>
        <v>0.8125</v>
      </c>
      <c r="E258" s="5" t="str">
        <f t="shared" si="4"/>
        <v>USD</v>
      </c>
      <c r="F258" s="8">
        <v>2</v>
      </c>
      <c r="G258" s="8" t="s">
        <v>661</v>
      </c>
      <c r="H258" s="74">
        <v>72.900000000000006</v>
      </c>
      <c r="I258" s="74">
        <v>75</v>
      </c>
      <c r="J258" s="74">
        <v>74.400000000000006</v>
      </c>
      <c r="K258" s="14" t="s">
        <v>662</v>
      </c>
    </row>
    <row r="259" spans="1:11" ht="92">
      <c r="B259" s="5">
        <f t="shared" si="4"/>
        <v>45576</v>
      </c>
      <c r="C259" s="5" t="str">
        <f>C258</f>
        <v>Fri</v>
      </c>
      <c r="D259" s="7">
        <f>D258</f>
        <v>0.8125</v>
      </c>
      <c r="E259" s="5" t="str">
        <f>E258</f>
        <v>USD</v>
      </c>
      <c r="F259" s="8">
        <v>2</v>
      </c>
      <c r="G259" s="8" t="s">
        <v>663</v>
      </c>
      <c r="H259" s="74">
        <v>68.900000000000006</v>
      </c>
      <c r="I259" s="74">
        <v>70.900000000000006</v>
      </c>
      <c r="J259" s="74">
        <v>70.099999999999994</v>
      </c>
      <c r="K259" s="14" t="s">
        <v>664</v>
      </c>
    </row>
    <row r="260" spans="1:11" ht="27">
      <c r="B260" s="81">
        <v>45603</v>
      </c>
      <c r="C260" s="82" t="s">
        <v>40</v>
      </c>
      <c r="D260" s="83">
        <v>0.97916666666666663</v>
      </c>
      <c r="E260" s="77" t="s">
        <v>1</v>
      </c>
      <c r="F260" s="77">
        <v>3</v>
      </c>
      <c r="G260" s="77" t="s">
        <v>127</v>
      </c>
      <c r="H260" s="84"/>
      <c r="I260" s="84">
        <v>4.5199999999999997E-2</v>
      </c>
      <c r="J260" s="84">
        <v>4.7500000000000001E-2</v>
      </c>
      <c r="K260" s="14" t="s">
        <v>369</v>
      </c>
    </row>
    <row r="261" spans="1:11">
      <c r="C261" t="s">
        <v>679</v>
      </c>
    </row>
    <row r="262" spans="1:11" ht="183">
      <c r="A262" s="569" t="s">
        <v>105</v>
      </c>
      <c r="B262" s="5">
        <f>B264-2</f>
        <v>45579</v>
      </c>
      <c r="C262" s="6" t="s">
        <v>38</v>
      </c>
      <c r="D262" s="7">
        <v>0.6875</v>
      </c>
      <c r="E262" s="8" t="s">
        <v>1</v>
      </c>
      <c r="F262" s="8">
        <v>2</v>
      </c>
      <c r="G262" s="8" t="s">
        <v>303</v>
      </c>
      <c r="H262" s="73"/>
      <c r="I262" s="73"/>
      <c r="J262" s="73"/>
      <c r="K262" s="14" t="s">
        <v>680</v>
      </c>
    </row>
    <row r="263" spans="1:11" ht="157">
      <c r="B263" s="5">
        <f>B264</f>
        <v>45581</v>
      </c>
      <c r="C263" s="6" t="s">
        <v>38</v>
      </c>
      <c r="D263" s="7">
        <v>0.13541666666666666</v>
      </c>
      <c r="E263" s="8" t="s">
        <v>49</v>
      </c>
      <c r="F263" s="8">
        <v>2</v>
      </c>
      <c r="G263" s="8" t="s">
        <v>681</v>
      </c>
      <c r="H263" s="73">
        <v>2.1999999999999999E-2</v>
      </c>
      <c r="I263" s="73">
        <v>2.1999999999999999E-2</v>
      </c>
      <c r="J263" s="73">
        <v>3.3000000000000002E-2</v>
      </c>
      <c r="K263" s="14" t="s">
        <v>682</v>
      </c>
    </row>
    <row r="264" spans="1:11" ht="105">
      <c r="B264" s="5">
        <v>45581</v>
      </c>
      <c r="C264" s="6" t="s">
        <v>38</v>
      </c>
      <c r="D264" s="7">
        <v>0.47916666666666669</v>
      </c>
      <c r="E264" s="8" t="s">
        <v>53</v>
      </c>
      <c r="F264" s="8">
        <v>3</v>
      </c>
      <c r="G264" s="8" t="s">
        <v>683</v>
      </c>
      <c r="H264" s="73">
        <v>1.7000000000000001E-2</v>
      </c>
      <c r="I264" s="73">
        <v>1.9E-2</v>
      </c>
      <c r="J264" s="73">
        <v>2.1999999999999999E-2</v>
      </c>
      <c r="K264" s="14" t="s">
        <v>684</v>
      </c>
    </row>
    <row r="265" spans="1:11" ht="92">
      <c r="B265" s="5">
        <f>B264+1</f>
        <v>45582</v>
      </c>
      <c r="C265" s="6" t="s">
        <v>38</v>
      </c>
      <c r="D265" s="7">
        <v>0.60416666666666663</v>
      </c>
      <c r="E265" s="8" t="s">
        <v>22</v>
      </c>
      <c r="F265" s="8">
        <v>3</v>
      </c>
      <c r="G265" s="8" t="s">
        <v>685</v>
      </c>
      <c r="H265" s="73">
        <v>1.7000000000000001E-2</v>
      </c>
      <c r="I265" s="73">
        <v>1.7999999999999999E-2</v>
      </c>
      <c r="J265" s="73">
        <v>2.1999999999999999E-2</v>
      </c>
      <c r="K265" s="14" t="s">
        <v>686</v>
      </c>
    </row>
    <row r="266" spans="1:11">
      <c r="B266" s="5">
        <f t="shared" ref="B266:B273" si="5">B265</f>
        <v>45582</v>
      </c>
      <c r="C266" s="6" t="s">
        <v>38</v>
      </c>
      <c r="D266" s="7">
        <v>0.73958333333333337</v>
      </c>
      <c r="E266" s="8" t="s">
        <v>22</v>
      </c>
      <c r="F266" s="8">
        <v>3</v>
      </c>
      <c r="G266" s="8" t="s">
        <v>687</v>
      </c>
      <c r="H266" s="73">
        <v>3.2500000000000001E-2</v>
      </c>
      <c r="I266" s="73">
        <v>3.2500000000000001E-2</v>
      </c>
      <c r="J266" s="73">
        <v>3.5000000000000003E-2</v>
      </c>
      <c r="K266" s="14"/>
    </row>
    <row r="267" spans="1:11" ht="131">
      <c r="B267" s="5">
        <f t="shared" si="5"/>
        <v>45582</v>
      </c>
      <c r="C267" s="6" t="s">
        <v>38</v>
      </c>
      <c r="D267" s="7">
        <f>D266</f>
        <v>0.73958333333333337</v>
      </c>
      <c r="E267" s="8" t="s">
        <v>22</v>
      </c>
      <c r="F267" s="8">
        <v>3</v>
      </c>
      <c r="G267" s="8" t="s">
        <v>688</v>
      </c>
      <c r="H267" s="73">
        <v>3.4000000000000002E-2</v>
      </c>
      <c r="I267" s="73">
        <v>3.4000000000000002E-2</v>
      </c>
      <c r="J267" s="73">
        <v>3.6499999999999998E-2</v>
      </c>
      <c r="K267" s="14" t="s">
        <v>689</v>
      </c>
    </row>
    <row r="268" spans="1:11" ht="92">
      <c r="B268" s="5">
        <f t="shared" si="5"/>
        <v>45582</v>
      </c>
      <c r="C268" s="6" t="s">
        <v>38</v>
      </c>
      <c r="D268" s="7">
        <v>0.75</v>
      </c>
      <c r="E268" s="8" t="s">
        <v>1</v>
      </c>
      <c r="F268" s="8">
        <v>3</v>
      </c>
      <c r="G268" s="8" t="s">
        <v>690</v>
      </c>
      <c r="H268" s="73">
        <v>5.0000000000000001E-3</v>
      </c>
      <c r="I268" s="73">
        <v>1E-3</v>
      </c>
      <c r="J268" s="73">
        <v>1E-3</v>
      </c>
      <c r="K268" s="14" t="s">
        <v>691</v>
      </c>
    </row>
    <row r="269" spans="1:11" ht="92">
      <c r="B269" s="5">
        <f t="shared" si="5"/>
        <v>45582</v>
      </c>
      <c r="C269" s="6" t="s">
        <v>38</v>
      </c>
      <c r="D269" s="7">
        <v>0.75</v>
      </c>
      <c r="E269" s="8" t="s">
        <v>1</v>
      </c>
      <c r="F269" s="8">
        <v>3</v>
      </c>
      <c r="G269" s="8" t="s">
        <v>14</v>
      </c>
      <c r="H269" s="73" t="s">
        <v>171</v>
      </c>
      <c r="I269" s="73" t="s">
        <v>171</v>
      </c>
      <c r="J269" s="73" t="s">
        <v>692</v>
      </c>
      <c r="K269" s="14" t="s">
        <v>693</v>
      </c>
    </row>
    <row r="270" spans="1:11" ht="118">
      <c r="B270" s="5">
        <f t="shared" si="5"/>
        <v>45582</v>
      </c>
      <c r="C270" s="6" t="s">
        <v>38</v>
      </c>
      <c r="D270" s="7">
        <v>0.75</v>
      </c>
      <c r="E270" s="8" t="s">
        <v>1</v>
      </c>
      <c r="F270" s="8">
        <v>3</v>
      </c>
      <c r="G270" s="8" t="s">
        <v>694</v>
      </c>
      <c r="H270" s="74">
        <v>10.3</v>
      </c>
      <c r="I270" s="74">
        <v>4.2</v>
      </c>
      <c r="J270" s="74">
        <v>1.7</v>
      </c>
      <c r="K270" s="14" t="s">
        <v>695</v>
      </c>
    </row>
    <row r="271" spans="1:11" ht="92">
      <c r="B271" s="5">
        <f t="shared" si="5"/>
        <v>45582</v>
      </c>
      <c r="C271" s="6" t="s">
        <v>38</v>
      </c>
      <c r="D271" s="7">
        <v>0.75</v>
      </c>
      <c r="E271" s="8" t="s">
        <v>1</v>
      </c>
      <c r="F271" s="8">
        <v>3</v>
      </c>
      <c r="G271" s="8" t="s">
        <v>696</v>
      </c>
      <c r="H271" s="73">
        <v>4.0000000000000001E-3</v>
      </c>
      <c r="I271" s="73">
        <v>3.0000000000000001E-3</v>
      </c>
      <c r="J271" s="73">
        <v>1E-3</v>
      </c>
      <c r="K271" s="14" t="s">
        <v>697</v>
      </c>
    </row>
    <row r="272" spans="1:11" ht="105">
      <c r="B272" s="5">
        <f t="shared" si="5"/>
        <v>45582</v>
      </c>
      <c r="C272" s="6" t="s">
        <v>38</v>
      </c>
      <c r="D272" s="7">
        <v>0.76041666666666663</v>
      </c>
      <c r="E272" s="8" t="s">
        <v>1</v>
      </c>
      <c r="F272" s="8">
        <v>3</v>
      </c>
      <c r="G272" s="8" t="s">
        <v>74</v>
      </c>
      <c r="H272" s="73"/>
      <c r="I272" s="73"/>
      <c r="J272" s="73"/>
      <c r="K272" s="14" t="s">
        <v>698</v>
      </c>
    </row>
    <row r="273" spans="1:11" ht="131">
      <c r="B273" s="5">
        <f t="shared" si="5"/>
        <v>45582</v>
      </c>
      <c r="C273" s="6" t="s">
        <v>38</v>
      </c>
      <c r="D273" s="7">
        <v>0.85416666666666663</v>
      </c>
      <c r="E273" s="8" t="s">
        <v>1</v>
      </c>
      <c r="F273" s="8">
        <v>3</v>
      </c>
      <c r="G273" s="8" t="s">
        <v>9</v>
      </c>
      <c r="H273" s="78" t="s">
        <v>699</v>
      </c>
      <c r="I273" s="73" t="s">
        <v>700</v>
      </c>
      <c r="J273" s="73" t="s">
        <v>677</v>
      </c>
      <c r="K273" s="14" t="s">
        <v>701</v>
      </c>
    </row>
    <row r="274" spans="1:11" ht="92">
      <c r="B274" s="5">
        <f>B273+1</f>
        <v>45583</v>
      </c>
      <c r="C274" s="6" t="s">
        <v>38</v>
      </c>
      <c r="D274" s="7">
        <v>0.3125</v>
      </c>
      <c r="E274" s="8" t="s">
        <v>65</v>
      </c>
      <c r="F274" s="8">
        <v>3</v>
      </c>
      <c r="G274" s="8" t="s">
        <v>702</v>
      </c>
      <c r="H274" s="73">
        <v>4.5999999999999999E-2</v>
      </c>
      <c r="I274" s="73">
        <v>4.5999999999999999E-2</v>
      </c>
      <c r="J274" s="73">
        <v>4.7E-2</v>
      </c>
      <c r="K274" s="14" t="s">
        <v>703</v>
      </c>
    </row>
    <row r="275" spans="1:11" ht="27">
      <c r="B275" s="81">
        <v>45603</v>
      </c>
      <c r="C275" s="82" t="s">
        <v>40</v>
      </c>
      <c r="D275" s="83">
        <v>0.97916666666666663</v>
      </c>
      <c r="E275" s="77" t="s">
        <v>1</v>
      </c>
      <c r="F275" s="77">
        <v>3</v>
      </c>
      <c r="G275" s="77" t="s">
        <v>127</v>
      </c>
      <c r="H275" s="84"/>
      <c r="I275" s="84">
        <v>4.6600000000000003E-2</v>
      </c>
      <c r="J275" s="84">
        <v>4.8800000000000003E-2</v>
      </c>
      <c r="K275" s="14" t="s">
        <v>369</v>
      </c>
    </row>
    <row r="276" spans="1:11">
      <c r="C276" t="s">
        <v>704</v>
      </c>
      <c r="H276"/>
      <c r="J276" s="1"/>
      <c r="K276" s="25"/>
    </row>
    <row r="277" spans="1:11" ht="157">
      <c r="A277" s="569" t="s">
        <v>105</v>
      </c>
      <c r="B277" s="5">
        <v>45588</v>
      </c>
      <c r="C277" s="6" t="s">
        <v>38</v>
      </c>
      <c r="D277" s="7">
        <v>0.80208333333333337</v>
      </c>
      <c r="E277" s="8" t="s">
        <v>89</v>
      </c>
      <c r="F277" s="8">
        <v>3</v>
      </c>
      <c r="G277" s="8" t="s">
        <v>90</v>
      </c>
      <c r="H277" s="73"/>
      <c r="I277" s="73">
        <v>3.7499999999999999E-2</v>
      </c>
      <c r="J277" s="73">
        <v>4.2500000000000003E-2</v>
      </c>
      <c r="K277" s="14" t="s">
        <v>705</v>
      </c>
    </row>
    <row r="278" spans="1:11" ht="105">
      <c r="B278" s="5">
        <v>45588</v>
      </c>
      <c r="C278" s="6" t="s">
        <v>38</v>
      </c>
      <c r="D278" s="7">
        <v>0.8125</v>
      </c>
      <c r="E278" s="8" t="s">
        <v>1</v>
      </c>
      <c r="F278" s="8">
        <v>3</v>
      </c>
      <c r="G278" s="8" t="s">
        <v>706</v>
      </c>
      <c r="H278" s="73"/>
      <c r="I278" s="73" t="s">
        <v>707</v>
      </c>
      <c r="J278" s="73" t="s">
        <v>349</v>
      </c>
      <c r="K278" s="14" t="s">
        <v>708</v>
      </c>
    </row>
    <row r="279" spans="1:11" ht="131">
      <c r="B279" s="5">
        <f t="shared" ref="B279" si="6">B278</f>
        <v>45588</v>
      </c>
      <c r="C279" s="6" t="s">
        <v>38</v>
      </c>
      <c r="D279" s="7">
        <v>0.83333333333333337</v>
      </c>
      <c r="E279" s="8" t="s">
        <v>1</v>
      </c>
      <c r="F279" s="8">
        <v>3</v>
      </c>
      <c r="G279" s="8" t="s">
        <v>9</v>
      </c>
      <c r="H279" s="78"/>
      <c r="I279" s="73"/>
      <c r="J279" s="78" t="s">
        <v>699</v>
      </c>
      <c r="K279" s="14" t="s">
        <v>701</v>
      </c>
    </row>
    <row r="280" spans="1:11">
      <c r="B280" s="5">
        <f>B281</f>
        <v>45589</v>
      </c>
      <c r="C280" s="6" t="str">
        <f>C281</f>
        <v>Sat</v>
      </c>
      <c r="D280" s="109">
        <f>M280+TIME(5,30,0)</f>
        <v>0.22916666666666666</v>
      </c>
      <c r="E280" s="8" t="s">
        <v>1</v>
      </c>
      <c r="F280" s="8">
        <v>3</v>
      </c>
      <c r="G280" s="8" t="s">
        <v>709</v>
      </c>
      <c r="H280" s="78"/>
      <c r="I280" s="19">
        <v>0.6</v>
      </c>
      <c r="J280" s="19">
        <v>0.66</v>
      </c>
      <c r="K280" s="14" t="s">
        <v>710</v>
      </c>
    </row>
    <row r="281" spans="1:11" ht="92">
      <c r="B281" s="5">
        <f>B278+1</f>
        <v>45589</v>
      </c>
      <c r="C281" s="6" t="s">
        <v>38</v>
      </c>
      <c r="D281" s="7">
        <v>0.58333333333333337</v>
      </c>
      <c r="E281" s="8" t="s">
        <v>53</v>
      </c>
      <c r="F281" s="8">
        <v>2</v>
      </c>
      <c r="G281" s="8" t="s">
        <v>711</v>
      </c>
      <c r="H281" s="73"/>
      <c r="I281" s="74"/>
      <c r="J281" s="74">
        <v>52.6</v>
      </c>
      <c r="K281" s="14" t="s">
        <v>712</v>
      </c>
    </row>
    <row r="282" spans="1:11" ht="92">
      <c r="B282" s="5">
        <f>B279+1</f>
        <v>45589</v>
      </c>
      <c r="C282" s="6" t="s">
        <v>38</v>
      </c>
      <c r="D282" s="7">
        <v>0.75</v>
      </c>
      <c r="E282" s="8" t="s">
        <v>1</v>
      </c>
      <c r="F282" s="8">
        <v>3</v>
      </c>
      <c r="G282" s="8" t="s">
        <v>14</v>
      </c>
      <c r="H282" s="73"/>
      <c r="I282" s="73" t="s">
        <v>99</v>
      </c>
      <c r="J282" s="73" t="s">
        <v>171</v>
      </c>
      <c r="K282" s="14" t="s">
        <v>693</v>
      </c>
    </row>
    <row r="283" spans="1:11" ht="157">
      <c r="B283" s="5">
        <f t="shared" ref="B283:C285" si="7">B282</f>
        <v>45589</v>
      </c>
      <c r="C283" s="6" t="str">
        <f t="shared" si="7"/>
        <v>Sat</v>
      </c>
      <c r="D283" s="7">
        <v>0.80208333333333337</v>
      </c>
      <c r="E283" s="8" t="s">
        <v>1</v>
      </c>
      <c r="F283" s="8">
        <v>3</v>
      </c>
      <c r="G283" s="8" t="s">
        <v>713</v>
      </c>
      <c r="H283" s="73"/>
      <c r="I283" s="74">
        <v>47.5</v>
      </c>
      <c r="J283" s="74">
        <v>47.3</v>
      </c>
      <c r="K283" s="14" t="s">
        <v>714</v>
      </c>
    </row>
    <row r="284" spans="1:11" ht="131">
      <c r="B284" s="5">
        <f t="shared" si="7"/>
        <v>45589</v>
      </c>
      <c r="C284" s="6" t="str">
        <f t="shared" si="7"/>
        <v>Sat</v>
      </c>
      <c r="D284" s="7">
        <v>0.80208333333333337</v>
      </c>
      <c r="E284" s="8" t="s">
        <v>1</v>
      </c>
      <c r="F284" s="8">
        <v>3</v>
      </c>
      <c r="G284" s="8" t="s">
        <v>715</v>
      </c>
      <c r="H284" s="73"/>
      <c r="I284" s="74">
        <v>55</v>
      </c>
      <c r="J284" s="74">
        <v>55.2</v>
      </c>
      <c r="K284" s="14" t="s">
        <v>716</v>
      </c>
    </row>
    <row r="285" spans="1:11" ht="105">
      <c r="B285" s="5">
        <f t="shared" si="7"/>
        <v>45589</v>
      </c>
      <c r="C285" s="6" t="str">
        <f t="shared" si="7"/>
        <v>Sat</v>
      </c>
      <c r="D285" s="7">
        <v>0.8125</v>
      </c>
      <c r="E285" s="8" t="s">
        <v>1</v>
      </c>
      <c r="F285" s="8">
        <v>3</v>
      </c>
      <c r="G285" s="8" t="s">
        <v>717</v>
      </c>
      <c r="H285" s="73"/>
      <c r="I285" s="73" t="s">
        <v>718</v>
      </c>
      <c r="J285" s="73" t="s">
        <v>378</v>
      </c>
      <c r="K285" s="14" t="s">
        <v>719</v>
      </c>
    </row>
    <row r="286" spans="1:11" ht="92">
      <c r="B286" s="5">
        <f>B285+1</f>
        <v>45590</v>
      </c>
      <c r="C286" s="6" t="s">
        <v>38</v>
      </c>
      <c r="D286" s="7">
        <v>0.75</v>
      </c>
      <c r="E286" s="8" t="s">
        <v>1</v>
      </c>
      <c r="F286" s="8">
        <v>3</v>
      </c>
      <c r="G286" s="8" t="s">
        <v>720</v>
      </c>
      <c r="H286" s="73"/>
      <c r="I286" s="110">
        <v>-1.0999999999999999E-2</v>
      </c>
      <c r="J286" s="110">
        <v>0</v>
      </c>
      <c r="K286" s="14" t="s">
        <v>721</v>
      </c>
    </row>
    <row r="287" spans="1:11" ht="27">
      <c r="B287" s="81">
        <v>45603</v>
      </c>
      <c r="C287" s="82" t="s">
        <v>40</v>
      </c>
      <c r="D287" s="83">
        <v>0.97916666666666663</v>
      </c>
      <c r="E287" s="77" t="s">
        <v>1</v>
      </c>
      <c r="F287" s="77">
        <v>3</v>
      </c>
      <c r="G287" s="77" t="s">
        <v>127</v>
      </c>
      <c r="H287" s="84"/>
      <c r="I287" s="84">
        <v>4.6399999999999997E-2</v>
      </c>
      <c r="J287" s="84">
        <v>4.8800000000000003E-2</v>
      </c>
      <c r="K287" s="14" t="s">
        <v>369</v>
      </c>
    </row>
    <row r="288" spans="1:11">
      <c r="C288" t="s">
        <v>722</v>
      </c>
      <c r="H288"/>
      <c r="J288" s="1"/>
      <c r="K288" s="25"/>
    </row>
    <row r="289" spans="1:11" ht="105">
      <c r="A289" s="569" t="s">
        <v>105</v>
      </c>
      <c r="B289" s="5">
        <v>45594</v>
      </c>
      <c r="C289" s="6" t="s">
        <v>38</v>
      </c>
      <c r="D289" s="7">
        <v>0.8125</v>
      </c>
      <c r="E289" s="8" t="s">
        <v>1</v>
      </c>
      <c r="F289" s="8">
        <v>3</v>
      </c>
      <c r="G289" s="8" t="s">
        <v>817</v>
      </c>
      <c r="H289" s="73"/>
      <c r="I289" s="74">
        <v>99.2</v>
      </c>
      <c r="J289" s="74">
        <v>98.7</v>
      </c>
      <c r="K289" s="14" t="s">
        <v>818</v>
      </c>
    </row>
    <row r="290" spans="1:11" ht="144">
      <c r="B290" s="5">
        <f>B289</f>
        <v>45594</v>
      </c>
      <c r="C290" s="6" t="s">
        <v>38</v>
      </c>
      <c r="D290" s="7">
        <f>D289</f>
        <v>0.8125</v>
      </c>
      <c r="E290" s="8" t="s">
        <v>1</v>
      </c>
      <c r="F290" s="8">
        <v>3</v>
      </c>
      <c r="G290" s="8" t="s">
        <v>819</v>
      </c>
      <c r="H290" s="73"/>
      <c r="I290" s="74" t="s">
        <v>820</v>
      </c>
      <c r="J290" s="74" t="s">
        <v>634</v>
      </c>
      <c r="K290" s="14" t="s">
        <v>821</v>
      </c>
    </row>
    <row r="291" spans="1:11">
      <c r="B291" s="5">
        <f>B289+1</f>
        <v>45595</v>
      </c>
      <c r="C291" s="6" t="s">
        <v>38</v>
      </c>
      <c r="D291" s="7">
        <v>6.25E-2</v>
      </c>
      <c r="E291" s="8" t="s">
        <v>1</v>
      </c>
      <c r="F291" s="8">
        <v>3</v>
      </c>
      <c r="G291" s="8" t="s">
        <v>822</v>
      </c>
      <c r="H291" s="73"/>
      <c r="I291" s="19">
        <v>1.84</v>
      </c>
      <c r="J291" s="19">
        <v>1.55</v>
      </c>
      <c r="K291" s="14" t="s">
        <v>823</v>
      </c>
    </row>
    <row r="292" spans="1:11">
      <c r="B292" s="5">
        <f>B290+1</f>
        <v>45595</v>
      </c>
      <c r="C292" s="6" t="s">
        <v>38</v>
      </c>
      <c r="D292" s="7">
        <v>6.25E-2</v>
      </c>
      <c r="E292" s="8" t="s">
        <v>1</v>
      </c>
      <c r="F292" s="8">
        <v>3</v>
      </c>
      <c r="G292" s="8" t="s">
        <v>112</v>
      </c>
      <c r="H292" s="73"/>
      <c r="I292" s="19">
        <v>0.92</v>
      </c>
      <c r="J292" s="19">
        <v>0.7</v>
      </c>
      <c r="K292" s="14" t="s">
        <v>823</v>
      </c>
    </row>
    <row r="293" spans="1:11" ht="144">
      <c r="B293" s="5">
        <f>B290+1</f>
        <v>45595</v>
      </c>
      <c r="C293" s="6" t="s">
        <v>38</v>
      </c>
      <c r="D293" s="7">
        <v>0.25</v>
      </c>
      <c r="E293" s="8" t="s">
        <v>357</v>
      </c>
      <c r="F293" s="8">
        <v>2</v>
      </c>
      <c r="G293" s="8" t="s">
        <v>824</v>
      </c>
      <c r="H293" s="73"/>
      <c r="I293" s="84">
        <v>2.3E-2</v>
      </c>
      <c r="J293" s="84">
        <v>3.7999999999999999E-2</v>
      </c>
      <c r="K293" s="14" t="s">
        <v>825</v>
      </c>
    </row>
    <row r="294" spans="1:11" ht="92">
      <c r="B294" s="5">
        <f>B290+1</f>
        <v>45595</v>
      </c>
      <c r="C294" s="6" t="s">
        <v>38</v>
      </c>
      <c r="D294" s="7">
        <v>0.60416666666666663</v>
      </c>
      <c r="E294" s="8" t="s">
        <v>22</v>
      </c>
      <c r="F294" s="8">
        <v>3</v>
      </c>
      <c r="G294" s="8" t="s">
        <v>826</v>
      </c>
      <c r="H294" s="78"/>
      <c r="I294" s="84">
        <v>-1E-3</v>
      </c>
      <c r="J294" s="84">
        <v>-1E-3</v>
      </c>
      <c r="K294" s="14" t="s">
        <v>827</v>
      </c>
    </row>
    <row r="295" spans="1:11" ht="79">
      <c r="B295" s="5">
        <f>B293</f>
        <v>45595</v>
      </c>
      <c r="C295" s="6" t="str">
        <f>C293</f>
        <v>Sat</v>
      </c>
      <c r="D295" s="7">
        <v>0.64583333333333337</v>
      </c>
      <c r="E295" s="8" t="s">
        <v>22</v>
      </c>
      <c r="F295" s="8">
        <v>3</v>
      </c>
      <c r="G295" s="8" t="s">
        <v>828</v>
      </c>
      <c r="H295" s="78"/>
      <c r="I295" s="84">
        <v>8.0000000000000002E-3</v>
      </c>
      <c r="J295" s="84">
        <v>6.0000000000000001E-3</v>
      </c>
      <c r="K295" s="14" t="s">
        <v>829</v>
      </c>
    </row>
    <row r="296" spans="1:11" ht="66">
      <c r="B296" s="5">
        <f>B294</f>
        <v>45595</v>
      </c>
      <c r="C296" s="6" t="str">
        <f>C294</f>
        <v>Sat</v>
      </c>
      <c r="D296" s="7">
        <v>0.64583333333333337</v>
      </c>
      <c r="E296" s="8" t="s">
        <v>53</v>
      </c>
      <c r="F296" s="8">
        <v>3</v>
      </c>
      <c r="G296" s="8" t="s">
        <v>830</v>
      </c>
      <c r="H296" s="78"/>
      <c r="I296" s="19"/>
      <c r="J296" s="19"/>
      <c r="K296" s="14" t="s">
        <v>831</v>
      </c>
    </row>
    <row r="297" spans="1:11" ht="131">
      <c r="B297" s="5">
        <f t="shared" ref="B297:C300" si="8">B296</f>
        <v>45595</v>
      </c>
      <c r="C297" s="6" t="str">
        <f t="shared" si="8"/>
        <v>Sat</v>
      </c>
      <c r="D297" s="7">
        <v>0.73958333333333337</v>
      </c>
      <c r="E297" s="8" t="s">
        <v>1</v>
      </c>
      <c r="F297" s="8">
        <v>3</v>
      </c>
      <c r="G297" s="8" t="s">
        <v>832</v>
      </c>
      <c r="H297" s="73"/>
      <c r="I297" s="74" t="s">
        <v>833</v>
      </c>
      <c r="J297" s="74" t="s">
        <v>635</v>
      </c>
      <c r="K297" s="14" t="s">
        <v>834</v>
      </c>
    </row>
    <row r="298" spans="1:11" ht="105">
      <c r="B298" s="5">
        <f t="shared" si="8"/>
        <v>45595</v>
      </c>
      <c r="C298" s="6" t="str">
        <f t="shared" si="8"/>
        <v>Sat</v>
      </c>
      <c r="D298" s="7">
        <v>0.75</v>
      </c>
      <c r="E298" s="8" t="s">
        <v>1</v>
      </c>
      <c r="F298" s="8">
        <v>3</v>
      </c>
      <c r="G298" s="8" t="s">
        <v>835</v>
      </c>
      <c r="H298" s="73"/>
      <c r="I298" s="84">
        <v>0.03</v>
      </c>
      <c r="J298" s="84">
        <v>0.03</v>
      </c>
      <c r="K298" s="14" t="s">
        <v>836</v>
      </c>
    </row>
    <row r="299" spans="1:11" ht="105">
      <c r="B299" s="5">
        <f t="shared" si="8"/>
        <v>45595</v>
      </c>
      <c r="C299" s="6" t="str">
        <f t="shared" si="8"/>
        <v>Sat</v>
      </c>
      <c r="D299" s="7">
        <v>0.77083333333333337</v>
      </c>
      <c r="E299" s="8" t="s">
        <v>22</v>
      </c>
      <c r="F299" s="8">
        <v>3</v>
      </c>
      <c r="G299" s="8" t="s">
        <v>837</v>
      </c>
      <c r="H299" s="73"/>
      <c r="I299" s="84">
        <v>2E-3</v>
      </c>
      <c r="J299" s="84">
        <v>0</v>
      </c>
      <c r="K299" s="14" t="s">
        <v>838</v>
      </c>
    </row>
    <row r="300" spans="1:11" ht="131">
      <c r="B300" s="5">
        <f t="shared" si="8"/>
        <v>45595</v>
      </c>
      <c r="C300" s="6" t="str">
        <f t="shared" si="8"/>
        <v>Sat</v>
      </c>
      <c r="D300" s="7">
        <v>0.83333333333333337</v>
      </c>
      <c r="E300" s="8" t="s">
        <v>1</v>
      </c>
      <c r="F300" s="8">
        <v>3</v>
      </c>
      <c r="G300" s="8" t="s">
        <v>9</v>
      </c>
      <c r="H300" s="73"/>
      <c r="I300" s="74"/>
      <c r="J300" s="74" t="s">
        <v>839</v>
      </c>
      <c r="K300" s="14" t="s">
        <v>840</v>
      </c>
    </row>
    <row r="301" spans="1:11">
      <c r="B301" s="5">
        <f>B299+1</f>
        <v>45596</v>
      </c>
      <c r="C301" s="6" t="s">
        <v>38</v>
      </c>
      <c r="D301" s="7">
        <v>6.25E-2</v>
      </c>
      <c r="E301" s="8" t="s">
        <v>1</v>
      </c>
      <c r="F301" s="8">
        <v>3</v>
      </c>
      <c r="G301" s="8" t="s">
        <v>114</v>
      </c>
      <c r="H301" s="73"/>
      <c r="I301" s="19">
        <v>3.1</v>
      </c>
      <c r="J301" s="19">
        <v>2.99</v>
      </c>
      <c r="K301" s="14" t="s">
        <v>823</v>
      </c>
    </row>
    <row r="302" spans="1:11">
      <c r="B302" s="5">
        <f>B300+1</f>
        <v>45596</v>
      </c>
      <c r="C302" s="6" t="s">
        <v>38</v>
      </c>
      <c r="D302" s="7">
        <v>6.25E-2</v>
      </c>
      <c r="E302" s="8" t="s">
        <v>1</v>
      </c>
      <c r="F302" s="8">
        <v>3</v>
      </c>
      <c r="G302" s="8" t="s">
        <v>841</v>
      </c>
      <c r="H302" s="73"/>
      <c r="I302" s="19">
        <v>5.21</v>
      </c>
      <c r="J302" s="19">
        <v>4.3899999999999997</v>
      </c>
      <c r="K302" s="14" t="s">
        <v>823</v>
      </c>
    </row>
    <row r="303" spans="1:11" ht="157">
      <c r="B303" s="5">
        <f>B300+1</f>
        <v>45596</v>
      </c>
      <c r="C303" s="6" t="s">
        <v>38</v>
      </c>
      <c r="D303" s="7">
        <v>0.29166666666666669</v>
      </c>
      <c r="E303" s="8" t="s">
        <v>65</v>
      </c>
      <c r="F303" s="8">
        <v>3</v>
      </c>
      <c r="G303" s="8" t="s">
        <v>842</v>
      </c>
      <c r="H303" s="73"/>
      <c r="I303" s="74">
        <v>50</v>
      </c>
      <c r="J303" s="74">
        <v>49.8</v>
      </c>
      <c r="K303" s="14" t="s">
        <v>843</v>
      </c>
    </row>
    <row r="304" spans="1:11" ht="92">
      <c r="B304" s="5">
        <f>B303</f>
        <v>45596</v>
      </c>
      <c r="C304" s="6" t="str">
        <f>C303</f>
        <v>Sat</v>
      </c>
      <c r="D304" s="7">
        <v>0.35416666666666669</v>
      </c>
      <c r="E304" s="8" t="s">
        <v>117</v>
      </c>
      <c r="F304" s="8">
        <v>3</v>
      </c>
      <c r="G304" s="8" t="s">
        <v>118</v>
      </c>
      <c r="H304" s="73"/>
      <c r="I304" s="73">
        <v>2.5000000000000001E-3</v>
      </c>
      <c r="J304" s="73">
        <v>2.5000000000000001E-3</v>
      </c>
      <c r="K304" s="14" t="s">
        <v>844</v>
      </c>
    </row>
    <row r="305" spans="1:11" ht="92">
      <c r="B305" s="5">
        <f>B304</f>
        <v>45596</v>
      </c>
      <c r="C305" s="6" t="str">
        <f t="shared" ref="C305:C309" si="9">C304</f>
        <v>Sat</v>
      </c>
      <c r="D305" s="7">
        <v>0.64583333333333337</v>
      </c>
      <c r="E305" s="8" t="s">
        <v>22</v>
      </c>
      <c r="F305" s="8">
        <v>3</v>
      </c>
      <c r="G305" s="8" t="s">
        <v>845</v>
      </c>
      <c r="H305" s="73"/>
      <c r="I305" s="73">
        <v>1.9E-2</v>
      </c>
      <c r="J305" s="73">
        <v>1.7000000000000001E-2</v>
      </c>
      <c r="K305" s="14" t="s">
        <v>846</v>
      </c>
    </row>
    <row r="306" spans="1:11" ht="79">
      <c r="B306" s="5">
        <f>B305</f>
        <v>45596</v>
      </c>
      <c r="C306" s="6" t="str">
        <f t="shared" si="9"/>
        <v>Sat</v>
      </c>
      <c r="D306" s="7">
        <v>0.75</v>
      </c>
      <c r="E306" s="8" t="s">
        <v>1</v>
      </c>
      <c r="F306" s="8">
        <v>3</v>
      </c>
      <c r="G306" s="8" t="s">
        <v>847</v>
      </c>
      <c r="H306" s="73"/>
      <c r="I306" s="73"/>
      <c r="J306" s="73">
        <v>2.7E-2</v>
      </c>
      <c r="K306" s="14" t="s">
        <v>848</v>
      </c>
    </row>
    <row r="307" spans="1:11" ht="118">
      <c r="B307" s="5">
        <f>B306</f>
        <v>45596</v>
      </c>
      <c r="C307" s="6" t="str">
        <f t="shared" si="9"/>
        <v>Sat</v>
      </c>
      <c r="D307" s="7">
        <f>D306</f>
        <v>0.75</v>
      </c>
      <c r="E307" s="8" t="str">
        <f>E306</f>
        <v>USD</v>
      </c>
      <c r="F307" s="8">
        <v>3</v>
      </c>
      <c r="G307" s="8" t="s">
        <v>849</v>
      </c>
      <c r="H307" s="73"/>
      <c r="I307" s="73">
        <v>3.0000000000000001E-3</v>
      </c>
      <c r="J307" s="73">
        <v>1E-3</v>
      </c>
      <c r="K307" s="14" t="s">
        <v>850</v>
      </c>
    </row>
    <row r="308" spans="1:11" ht="79">
      <c r="B308" s="5">
        <f>B307</f>
        <v>45596</v>
      </c>
      <c r="C308" s="6" t="str">
        <f t="shared" si="9"/>
        <v>Sat</v>
      </c>
      <c r="D308" s="7">
        <f>D307</f>
        <v>0.75</v>
      </c>
      <c r="E308" s="8" t="str">
        <f>E307</f>
        <v>USD</v>
      </c>
      <c r="F308" s="8">
        <v>3</v>
      </c>
      <c r="G308" s="8" t="s">
        <v>14</v>
      </c>
      <c r="H308" s="73"/>
      <c r="I308" s="73" t="s">
        <v>268</v>
      </c>
      <c r="J308" s="73" t="s">
        <v>209</v>
      </c>
      <c r="K308" s="14" t="s">
        <v>851</v>
      </c>
    </row>
    <row r="309" spans="1:11" ht="118">
      <c r="B309" s="5">
        <f>B308</f>
        <v>45596</v>
      </c>
      <c r="C309" s="6" t="str">
        <f t="shared" si="9"/>
        <v>Sat</v>
      </c>
      <c r="D309" s="7">
        <v>0.80208333333333337</v>
      </c>
      <c r="E309" s="8" t="s">
        <v>1</v>
      </c>
      <c r="F309" s="8">
        <v>3</v>
      </c>
      <c r="G309" s="8" t="s">
        <v>852</v>
      </c>
      <c r="H309" s="73"/>
      <c r="I309" s="74">
        <v>47.1</v>
      </c>
      <c r="J309" s="74">
        <v>46.6</v>
      </c>
      <c r="K309" s="14" t="s">
        <v>853</v>
      </c>
    </row>
    <row r="310" spans="1:11">
      <c r="B310" s="5">
        <f>B311</f>
        <v>45597</v>
      </c>
      <c r="C310" s="6" t="s">
        <v>38</v>
      </c>
      <c r="D310" s="7">
        <v>6.25E-2</v>
      </c>
      <c r="E310" s="8" t="s">
        <v>1</v>
      </c>
      <c r="F310" s="8">
        <v>3</v>
      </c>
      <c r="G310" s="8" t="s">
        <v>854</v>
      </c>
      <c r="H310" s="73"/>
      <c r="I310" s="19">
        <v>1.1399999999999999</v>
      </c>
      <c r="J310" s="19"/>
      <c r="K310" s="14" t="s">
        <v>855</v>
      </c>
    </row>
    <row r="311" spans="1:11" ht="157">
      <c r="B311" s="5">
        <f>B312</f>
        <v>45597</v>
      </c>
      <c r="C311" s="6" t="s">
        <v>38</v>
      </c>
      <c r="D311" s="7">
        <f>D310</f>
        <v>6.25E-2</v>
      </c>
      <c r="E311" s="8" t="s">
        <v>1</v>
      </c>
      <c r="F311" s="8">
        <v>3</v>
      </c>
      <c r="G311" s="8" t="s">
        <v>856</v>
      </c>
      <c r="H311" s="73"/>
      <c r="I311" s="19">
        <v>1.59</v>
      </c>
      <c r="J311" s="19">
        <v>1.4</v>
      </c>
      <c r="K311" s="14" t="s">
        <v>857</v>
      </c>
    </row>
    <row r="312" spans="1:11" ht="131">
      <c r="B312" s="5">
        <f>B309+1</f>
        <v>45597</v>
      </c>
      <c r="C312" s="6" t="s">
        <v>38</v>
      </c>
      <c r="D312" s="7">
        <v>0.75</v>
      </c>
      <c r="E312" s="8" t="s">
        <v>1</v>
      </c>
      <c r="F312" s="8">
        <v>3</v>
      </c>
      <c r="G312" s="8" t="s">
        <v>858</v>
      </c>
      <c r="H312" s="73"/>
      <c r="I312" s="73">
        <v>3.0000000000000001E-3</v>
      </c>
      <c r="J312" s="73">
        <v>4.0000000000000001E-3</v>
      </c>
      <c r="K312" s="14" t="s">
        <v>859</v>
      </c>
    </row>
    <row r="313" spans="1:11" ht="131">
      <c r="B313" s="5">
        <f>B312</f>
        <v>45597</v>
      </c>
      <c r="C313" s="6" t="str">
        <f>C312</f>
        <v>Sat</v>
      </c>
      <c r="D313" s="7">
        <v>0.75</v>
      </c>
      <c r="E313" s="8" t="s">
        <v>1</v>
      </c>
      <c r="F313" s="8">
        <v>3</v>
      </c>
      <c r="G313" s="8" t="s">
        <v>860</v>
      </c>
      <c r="H313" s="73"/>
      <c r="I313" s="73" t="s">
        <v>547</v>
      </c>
      <c r="J313" s="73" t="s">
        <v>641</v>
      </c>
      <c r="K313" s="14" t="s">
        <v>859</v>
      </c>
    </row>
    <row r="314" spans="1:11" ht="131">
      <c r="B314" s="5">
        <f t="shared" ref="B314:C317" si="10">B313</f>
        <v>45597</v>
      </c>
      <c r="C314" s="6" t="str">
        <f t="shared" si="10"/>
        <v>Sat</v>
      </c>
      <c r="D314" s="7">
        <v>0.75</v>
      </c>
      <c r="E314" s="8" t="s">
        <v>1</v>
      </c>
      <c r="F314" s="8">
        <f>F313</f>
        <v>3</v>
      </c>
      <c r="G314" s="8" t="s">
        <v>861</v>
      </c>
      <c r="H314" s="73"/>
      <c r="I314" s="73">
        <v>4.1000000000000002E-2</v>
      </c>
      <c r="J314" s="73">
        <v>4.1000000000000002E-2</v>
      </c>
      <c r="K314" s="14" t="s">
        <v>859</v>
      </c>
    </row>
    <row r="315" spans="1:11" ht="196">
      <c r="B315" s="5">
        <f t="shared" si="10"/>
        <v>45597</v>
      </c>
      <c r="C315" s="6" t="str">
        <f t="shared" si="10"/>
        <v>Sat</v>
      </c>
      <c r="D315" s="7">
        <v>0.8125</v>
      </c>
      <c r="E315" s="8" t="s">
        <v>1</v>
      </c>
      <c r="F315" s="8">
        <f t="shared" ref="F315:F317" si="11">F314</f>
        <v>3</v>
      </c>
      <c r="G315" s="8" t="s">
        <v>862</v>
      </c>
      <c r="H315" s="73"/>
      <c r="I315" s="74">
        <v>47.5</v>
      </c>
      <c r="J315" s="74">
        <v>47.2</v>
      </c>
      <c r="K315" s="14" t="s">
        <v>863</v>
      </c>
    </row>
    <row r="316" spans="1:11" ht="381">
      <c r="B316" s="5">
        <f t="shared" si="10"/>
        <v>45597</v>
      </c>
      <c r="C316" s="6" t="str">
        <f t="shared" si="10"/>
        <v>Sat</v>
      </c>
      <c r="D316" s="7">
        <f>D315</f>
        <v>0.8125</v>
      </c>
      <c r="E316" s="8" t="s">
        <v>1</v>
      </c>
      <c r="F316" s="8">
        <f t="shared" si="11"/>
        <v>3</v>
      </c>
      <c r="G316" s="8" t="s">
        <v>864</v>
      </c>
      <c r="H316" s="73"/>
      <c r="I316" s="74">
        <v>48.9</v>
      </c>
      <c r="J316" s="74">
        <v>48.3</v>
      </c>
      <c r="K316" s="14" t="s">
        <v>865</v>
      </c>
    </row>
    <row r="317" spans="1:11" ht="131">
      <c r="B317" s="5">
        <f t="shared" si="10"/>
        <v>45597</v>
      </c>
      <c r="C317" s="6" t="str">
        <f t="shared" si="10"/>
        <v>Sat</v>
      </c>
      <c r="D317" s="7">
        <v>0.84375</v>
      </c>
      <c r="E317" s="8" t="s">
        <v>1</v>
      </c>
      <c r="F317" s="8">
        <f t="shared" si="11"/>
        <v>3</v>
      </c>
      <c r="G317" s="8" t="s">
        <v>866</v>
      </c>
      <c r="H317" s="73"/>
      <c r="I317" s="74">
        <v>47.9</v>
      </c>
      <c r="J317" s="74">
        <v>47.3</v>
      </c>
      <c r="K317" s="14" t="s">
        <v>867</v>
      </c>
    </row>
    <row r="318" spans="1:11" ht="27">
      <c r="B318" s="81">
        <v>45603</v>
      </c>
      <c r="C318" s="82" t="s">
        <v>40</v>
      </c>
      <c r="D318" s="83">
        <v>0.97916666666666663</v>
      </c>
      <c r="E318" s="77" t="s">
        <v>1</v>
      </c>
      <c r="F318" s="77">
        <v>3</v>
      </c>
      <c r="G318" s="77" t="s">
        <v>127</v>
      </c>
      <c r="H318" s="84"/>
      <c r="I318" s="84">
        <v>4.6399999999999997E-2</v>
      </c>
      <c r="J318" s="84">
        <v>4.8800000000000003E-2</v>
      </c>
      <c r="K318" s="14" t="s">
        <v>369</v>
      </c>
    </row>
    <row r="319" spans="1:11">
      <c r="A319" s="569" t="s">
        <v>105</v>
      </c>
      <c r="B319" s="71" t="s">
        <v>35</v>
      </c>
      <c r="C319" s="71" t="s">
        <v>34</v>
      </c>
      <c r="D319" s="71" t="s">
        <v>33</v>
      </c>
      <c r="E319" s="71" t="s">
        <v>32</v>
      </c>
      <c r="F319" s="71" t="s">
        <v>31</v>
      </c>
      <c r="G319" s="71" t="s">
        <v>30</v>
      </c>
      <c r="H319" s="71" t="s">
        <v>29</v>
      </c>
      <c r="I319" s="72" t="s">
        <v>28</v>
      </c>
      <c r="J319" s="72" t="s">
        <v>27</v>
      </c>
      <c r="K319" s="71" t="s">
        <v>75</v>
      </c>
    </row>
    <row r="320" spans="1:11" ht="92">
      <c r="B320" s="5">
        <v>45601</v>
      </c>
      <c r="C320" s="6" t="s">
        <v>38</v>
      </c>
      <c r="D320" s="7">
        <v>0.375</v>
      </c>
      <c r="E320" s="8" t="s">
        <v>357</v>
      </c>
      <c r="F320" s="8">
        <v>3</v>
      </c>
      <c r="G320" s="8" t="s">
        <v>915</v>
      </c>
      <c r="H320" s="73"/>
      <c r="I320" s="84">
        <v>4.3499999999999997E-2</v>
      </c>
      <c r="J320" s="84">
        <v>4.3499999999999997E-2</v>
      </c>
      <c r="K320" s="14" t="s">
        <v>916</v>
      </c>
    </row>
    <row r="321" spans="2:11" ht="79">
      <c r="B321" s="5">
        <v>45601</v>
      </c>
      <c r="C321" s="6" t="s">
        <v>38</v>
      </c>
      <c r="D321" s="7">
        <v>0.64583333333333337</v>
      </c>
      <c r="E321" s="8" t="s">
        <v>1</v>
      </c>
      <c r="F321" s="8">
        <v>3</v>
      </c>
      <c r="G321" s="8" t="s">
        <v>917</v>
      </c>
      <c r="H321" s="73"/>
      <c r="I321" s="84"/>
      <c r="J321" s="84"/>
      <c r="K321" s="14" t="s">
        <v>918</v>
      </c>
    </row>
    <row r="322" spans="2:11" ht="131">
      <c r="B322" s="5">
        <v>45601</v>
      </c>
      <c r="C322" s="6" t="s">
        <v>38</v>
      </c>
      <c r="D322" s="7">
        <v>0.84375</v>
      </c>
      <c r="E322" s="8" t="s">
        <v>1</v>
      </c>
      <c r="F322" s="8">
        <v>3</v>
      </c>
      <c r="G322" s="8" t="s">
        <v>919</v>
      </c>
      <c r="H322" s="73"/>
      <c r="I322" s="74">
        <v>55.3</v>
      </c>
      <c r="J322" s="74">
        <v>55.2</v>
      </c>
      <c r="K322" s="14" t="s">
        <v>716</v>
      </c>
    </row>
    <row r="323" spans="2:11" ht="209">
      <c r="B323" s="5">
        <v>45601</v>
      </c>
      <c r="C323" s="6" t="s">
        <v>38</v>
      </c>
      <c r="D323" s="7">
        <v>0.85416666666666663</v>
      </c>
      <c r="E323" s="8" t="s">
        <v>1</v>
      </c>
      <c r="F323" s="8">
        <v>3</v>
      </c>
      <c r="G323" s="8" t="s">
        <v>920</v>
      </c>
      <c r="H323" s="73"/>
      <c r="I323" s="74">
        <v>53.3</v>
      </c>
      <c r="J323" s="74">
        <v>54.9</v>
      </c>
      <c r="K323" s="14" t="s">
        <v>921</v>
      </c>
    </row>
    <row r="324" spans="2:11" ht="196">
      <c r="B324" s="5">
        <v>45601</v>
      </c>
      <c r="C324" s="6" t="s">
        <v>38</v>
      </c>
      <c r="D324" s="7">
        <v>0.85416666666666663</v>
      </c>
      <c r="E324" s="8" t="s">
        <v>1</v>
      </c>
      <c r="F324" s="8">
        <v>3</v>
      </c>
      <c r="G324" s="8" t="s">
        <v>922</v>
      </c>
      <c r="H324" s="73"/>
      <c r="I324" s="74"/>
      <c r="J324" s="74">
        <v>59.4</v>
      </c>
      <c r="K324" s="14" t="s">
        <v>923</v>
      </c>
    </row>
    <row r="325" spans="2:11" ht="144">
      <c r="B325" s="5">
        <v>45601</v>
      </c>
      <c r="C325" s="6" t="s">
        <v>38</v>
      </c>
      <c r="D325" s="7">
        <v>0.97916666666666663</v>
      </c>
      <c r="E325" s="8" t="s">
        <v>1</v>
      </c>
      <c r="F325" s="8">
        <v>3</v>
      </c>
      <c r="G325" s="8" t="s">
        <v>52</v>
      </c>
      <c r="H325" s="73"/>
      <c r="I325" s="74"/>
      <c r="J325" s="197">
        <v>4.0660000000000002E-2</v>
      </c>
      <c r="K325" s="14" t="s">
        <v>924</v>
      </c>
    </row>
    <row r="326" spans="2:11" ht="131">
      <c r="B326" s="5">
        <f>B325+1</f>
        <v>45602</v>
      </c>
      <c r="C326" s="6" t="s">
        <v>38</v>
      </c>
      <c r="D326" s="7">
        <v>0.875</v>
      </c>
      <c r="E326" s="8" t="s">
        <v>1</v>
      </c>
      <c r="F326" s="8">
        <v>3</v>
      </c>
      <c r="G326" s="8" t="s">
        <v>9</v>
      </c>
      <c r="H326" s="73"/>
      <c r="I326" s="74"/>
      <c r="J326" s="198" t="s">
        <v>925</v>
      </c>
      <c r="K326" s="14" t="s">
        <v>926</v>
      </c>
    </row>
    <row r="327" spans="2:11" ht="144">
      <c r="B327" s="5">
        <f>B326</f>
        <v>45602</v>
      </c>
      <c r="C327" s="6" t="s">
        <v>38</v>
      </c>
      <c r="D327" s="7">
        <v>0.97916666666666663</v>
      </c>
      <c r="E327" s="8" t="s">
        <v>1</v>
      </c>
      <c r="F327" s="8">
        <v>3</v>
      </c>
      <c r="G327" s="8" t="s">
        <v>927</v>
      </c>
      <c r="H327" s="73"/>
      <c r="I327" s="74"/>
      <c r="J327" s="197">
        <v>4.3889999999999998E-2</v>
      </c>
      <c r="K327" s="14" t="s">
        <v>928</v>
      </c>
    </row>
    <row r="328" spans="2:11" ht="92">
      <c r="B328" s="5">
        <f>B327+1</f>
        <v>45603</v>
      </c>
      <c r="C328" s="6" t="s">
        <v>38</v>
      </c>
      <c r="D328" s="7">
        <v>0.72916666666666663</v>
      </c>
      <c r="E328" s="8" t="s">
        <v>53</v>
      </c>
      <c r="F328" s="8">
        <v>3</v>
      </c>
      <c r="G328" s="8" t="s">
        <v>929</v>
      </c>
      <c r="H328" s="73"/>
      <c r="I328" s="84">
        <v>4.7500000000000001E-2</v>
      </c>
      <c r="J328" s="84">
        <v>0.05</v>
      </c>
      <c r="K328" s="14" t="s">
        <v>930</v>
      </c>
    </row>
    <row r="329" spans="2:11" ht="92">
      <c r="B329" s="5">
        <f>B328</f>
        <v>45603</v>
      </c>
      <c r="C329" s="6" t="s">
        <v>38</v>
      </c>
      <c r="D329" s="7">
        <v>0.79166666666666663</v>
      </c>
      <c r="E329" s="8" t="s">
        <v>1</v>
      </c>
      <c r="F329" s="8">
        <v>3</v>
      </c>
      <c r="G329" s="8" t="s">
        <v>14</v>
      </c>
      <c r="H329" s="73"/>
      <c r="I329" s="74" t="s">
        <v>931</v>
      </c>
      <c r="J329" s="74" t="s">
        <v>932</v>
      </c>
      <c r="K329" s="14" t="s">
        <v>933</v>
      </c>
    </row>
    <row r="330" spans="2:11" ht="131">
      <c r="B330" s="81">
        <f>B329+1</f>
        <v>45604</v>
      </c>
      <c r="C330" s="6" t="s">
        <v>38</v>
      </c>
      <c r="D330" s="83">
        <v>2.0833333333333332E-2</v>
      </c>
      <c r="E330" s="77" t="s">
        <v>1</v>
      </c>
      <c r="F330" s="77">
        <v>3</v>
      </c>
      <c r="G330" s="77" t="s">
        <v>127</v>
      </c>
      <c r="H330" s="84"/>
      <c r="I330" s="199">
        <v>4.6199999999999998E-2</v>
      </c>
      <c r="J330" s="199">
        <v>4.8800000000000003E-2</v>
      </c>
      <c r="K330" s="14" t="s">
        <v>934</v>
      </c>
    </row>
    <row r="331" spans="2:11" ht="118">
      <c r="B331" s="5">
        <f>B330</f>
        <v>45604</v>
      </c>
      <c r="C331" s="6" t="s">
        <v>38</v>
      </c>
      <c r="D331" s="7">
        <v>2.0833333333333332E-2</v>
      </c>
      <c r="E331" s="8" t="s">
        <v>1</v>
      </c>
      <c r="F331" s="8">
        <v>3</v>
      </c>
      <c r="G331" s="8" t="s">
        <v>125</v>
      </c>
      <c r="H331" s="73"/>
      <c r="I331" s="199"/>
      <c r="J331" s="199"/>
      <c r="K331" s="14" t="s">
        <v>935</v>
      </c>
    </row>
    <row r="332" spans="2:11">
      <c r="B332" s="5">
        <f>B331</f>
        <v>45604</v>
      </c>
      <c r="C332" s="6" t="s">
        <v>38</v>
      </c>
      <c r="D332" s="7">
        <v>4.1666666666666664E-2</v>
      </c>
      <c r="E332" s="8" t="s">
        <v>1</v>
      </c>
      <c r="F332" s="8">
        <v>3</v>
      </c>
      <c r="G332" s="8" t="s">
        <v>129</v>
      </c>
      <c r="H332" s="73"/>
      <c r="I332" s="199"/>
      <c r="J332" s="199"/>
      <c r="K332" s="14" t="s">
        <v>936</v>
      </c>
    </row>
    <row r="333" spans="2:11" ht="27">
      <c r="B333" s="81">
        <v>45644</v>
      </c>
      <c r="C333" s="82" t="s">
        <v>40</v>
      </c>
      <c r="D333" s="83">
        <v>0.97916666666666663</v>
      </c>
      <c r="E333" s="77" t="s">
        <v>1</v>
      </c>
      <c r="F333" s="77">
        <v>3</v>
      </c>
      <c r="G333" s="77" t="s">
        <v>127</v>
      </c>
      <c r="H333" s="84"/>
      <c r="I333" s="199">
        <v>4.4200000000000003E-2</v>
      </c>
      <c r="J333" s="199">
        <f>I330</f>
        <v>4.6199999999999998E-2</v>
      </c>
      <c r="K333" s="14" t="s">
        <v>369</v>
      </c>
    </row>
    <row r="334" spans="2:11">
      <c r="C334" t="s">
        <v>937</v>
      </c>
      <c r="H334"/>
      <c r="J334" s="1"/>
      <c r="K334" s="25"/>
    </row>
    <row r="335" spans="2:11" ht="105">
      <c r="B335" s="5">
        <v>45608</v>
      </c>
      <c r="C335" s="6" t="s">
        <v>38</v>
      </c>
      <c r="D335" s="7">
        <v>0.52083333333333337</v>
      </c>
      <c r="E335" s="8" t="s">
        <v>22</v>
      </c>
      <c r="F335" s="8">
        <v>3</v>
      </c>
      <c r="G335" s="8" t="s">
        <v>948</v>
      </c>
      <c r="H335" s="73"/>
      <c r="I335" s="84">
        <v>4.0000000000000001E-3</v>
      </c>
      <c r="J335" s="84">
        <v>0</v>
      </c>
      <c r="K335" s="14" t="s">
        <v>949</v>
      </c>
    </row>
    <row r="336" spans="2:11" ht="118">
      <c r="B336" s="5">
        <f>B335+1</f>
        <v>45609</v>
      </c>
      <c r="C336" s="6" t="s">
        <v>38</v>
      </c>
      <c r="D336" s="7">
        <v>0.79166666666666663</v>
      </c>
      <c r="E336" s="8" t="s">
        <v>1</v>
      </c>
      <c r="F336" s="8">
        <v>3</v>
      </c>
      <c r="G336" s="8" t="s">
        <v>950</v>
      </c>
      <c r="H336" s="73"/>
      <c r="I336" s="84">
        <v>3.0000000000000001E-3</v>
      </c>
      <c r="J336" s="84">
        <v>3.0000000000000001E-3</v>
      </c>
      <c r="K336" s="14" t="s">
        <v>951</v>
      </c>
    </row>
    <row r="337" spans="1:11" ht="92">
      <c r="B337" s="5">
        <f>B336</f>
        <v>45609</v>
      </c>
      <c r="C337" s="6" t="s">
        <v>38</v>
      </c>
      <c r="D337" s="7">
        <v>0.79166666666666663</v>
      </c>
      <c r="E337" s="8" t="s">
        <v>1</v>
      </c>
      <c r="F337" s="8">
        <v>3</v>
      </c>
      <c r="G337" s="8" t="s">
        <v>952</v>
      </c>
      <c r="H337" s="73"/>
      <c r="I337" s="84">
        <v>2.4E-2</v>
      </c>
      <c r="J337" s="84">
        <v>2.4E-2</v>
      </c>
      <c r="K337" s="14" t="s">
        <v>953</v>
      </c>
    </row>
    <row r="338" spans="1:11" ht="92">
      <c r="B338" s="5">
        <f>B337</f>
        <v>45609</v>
      </c>
      <c r="C338" s="6" t="s">
        <v>38</v>
      </c>
      <c r="D338" s="7">
        <v>0.79166666666666663</v>
      </c>
      <c r="E338" s="8" t="s">
        <v>1</v>
      </c>
      <c r="F338" s="8">
        <v>3</v>
      </c>
      <c r="G338" s="8" t="s">
        <v>954</v>
      </c>
      <c r="H338" s="73"/>
      <c r="I338" s="84">
        <v>2E-3</v>
      </c>
      <c r="J338" s="84">
        <v>2E-3</v>
      </c>
      <c r="K338" s="14" t="s">
        <v>953</v>
      </c>
    </row>
    <row r="339" spans="1:11" ht="79">
      <c r="B339" s="5">
        <f>B338+1</f>
        <v>45610</v>
      </c>
      <c r="C339" s="6" t="s">
        <v>38</v>
      </c>
      <c r="D339" s="7">
        <v>0.79166666666666663</v>
      </c>
      <c r="E339" s="8" t="s">
        <v>1</v>
      </c>
      <c r="F339" s="8">
        <v>3</v>
      </c>
      <c r="G339" s="8" t="s">
        <v>14</v>
      </c>
      <c r="H339" s="73"/>
      <c r="I339" s="84" t="s">
        <v>72</v>
      </c>
      <c r="J339" s="84" t="s">
        <v>413</v>
      </c>
      <c r="K339" s="14" t="s">
        <v>955</v>
      </c>
    </row>
    <row r="340" spans="1:11" ht="131">
      <c r="B340" s="5">
        <f>B339</f>
        <v>45610</v>
      </c>
      <c r="C340" s="6" t="s">
        <v>38</v>
      </c>
      <c r="D340" s="7">
        <v>0.79166666666666663</v>
      </c>
      <c r="E340" s="8" t="s">
        <v>1</v>
      </c>
      <c r="F340" s="8">
        <v>3</v>
      </c>
      <c r="G340" s="8" t="s">
        <v>956</v>
      </c>
      <c r="H340" s="73"/>
      <c r="I340" s="84">
        <v>2E-3</v>
      </c>
      <c r="J340" s="84">
        <v>0</v>
      </c>
      <c r="K340" s="14" t="s">
        <v>957</v>
      </c>
    </row>
    <row r="341" spans="1:11" ht="131">
      <c r="B341" s="5">
        <f>B340</f>
        <v>45610</v>
      </c>
      <c r="C341" s="6" t="s">
        <v>38</v>
      </c>
      <c r="D341" s="7">
        <v>0.89583333333333337</v>
      </c>
      <c r="E341" s="8" t="s">
        <v>1</v>
      </c>
      <c r="F341" s="8">
        <v>3</v>
      </c>
      <c r="G341" s="8" t="s">
        <v>9</v>
      </c>
      <c r="H341" s="73"/>
      <c r="I341" s="84"/>
      <c r="J341" s="84" t="s">
        <v>958</v>
      </c>
      <c r="K341" s="14" t="s">
        <v>926</v>
      </c>
    </row>
    <row r="342" spans="1:11" ht="105">
      <c r="B342" s="5">
        <f>B341+1</f>
        <v>45611</v>
      </c>
      <c r="C342" s="6" t="s">
        <v>38</v>
      </c>
      <c r="D342" s="7">
        <v>0.22222222222222221</v>
      </c>
      <c r="E342" s="8" t="s">
        <v>117</v>
      </c>
      <c r="F342" s="8">
        <v>3</v>
      </c>
      <c r="G342" s="8" t="s">
        <v>959</v>
      </c>
      <c r="H342" s="73"/>
      <c r="I342" s="84">
        <v>2E-3</v>
      </c>
      <c r="J342" s="84">
        <v>7.0000000000000001E-3</v>
      </c>
      <c r="K342" s="14" t="s">
        <v>960</v>
      </c>
    </row>
    <row r="343" spans="1:11" ht="92">
      <c r="B343" s="5">
        <f>B342</f>
        <v>45611</v>
      </c>
      <c r="C343" s="6" t="s">
        <v>38</v>
      </c>
      <c r="D343" s="7">
        <v>0.52083333333333337</v>
      </c>
      <c r="E343" s="8" t="s">
        <v>53</v>
      </c>
      <c r="F343" s="8">
        <v>3</v>
      </c>
      <c r="G343" s="8" t="s">
        <v>961</v>
      </c>
      <c r="H343" s="73"/>
      <c r="I343" s="84">
        <v>1E-3</v>
      </c>
      <c r="J343" s="84">
        <v>7.0000000000000001E-3</v>
      </c>
      <c r="K343" s="14" t="s">
        <v>962</v>
      </c>
    </row>
    <row r="344" spans="1:11" ht="92">
      <c r="B344" s="5">
        <f>B343</f>
        <v>45611</v>
      </c>
      <c r="C344" s="6" t="s">
        <v>38</v>
      </c>
      <c r="D344" s="7">
        <v>0.52083333333333337</v>
      </c>
      <c r="E344" s="8" t="s">
        <v>53</v>
      </c>
      <c r="F344" s="8">
        <v>3</v>
      </c>
      <c r="G344" s="8" t="s">
        <v>963</v>
      </c>
      <c r="H344" s="73"/>
      <c r="I344" s="84">
        <v>2E-3</v>
      </c>
      <c r="J344" s="84">
        <v>2E-3</v>
      </c>
      <c r="K344" s="14" t="s">
        <v>964</v>
      </c>
    </row>
    <row r="345" spans="1:11" ht="105">
      <c r="B345" s="5">
        <f>B344</f>
        <v>45611</v>
      </c>
      <c r="C345" s="6" t="s">
        <v>38</v>
      </c>
      <c r="D345" s="7">
        <v>0.52083333333333337</v>
      </c>
      <c r="E345" s="8" t="s">
        <v>53</v>
      </c>
      <c r="F345" s="8">
        <v>3</v>
      </c>
      <c r="G345" s="8" t="s">
        <v>965</v>
      </c>
      <c r="H345" s="73"/>
      <c r="I345" s="84">
        <v>2E-3</v>
      </c>
      <c r="J345" s="84">
        <v>5.0000000000000001E-3</v>
      </c>
      <c r="K345" s="14" t="s">
        <v>966</v>
      </c>
    </row>
    <row r="346" spans="1:11" ht="92">
      <c r="B346" s="5">
        <f>B345</f>
        <v>45611</v>
      </c>
      <c r="C346" s="6" t="s">
        <v>38</v>
      </c>
      <c r="D346" s="7">
        <v>0.79166666666666663</v>
      </c>
      <c r="E346" s="8" t="s">
        <v>1</v>
      </c>
      <c r="F346" s="8">
        <v>3</v>
      </c>
      <c r="G346" s="8" t="s">
        <v>967</v>
      </c>
      <c r="H346" s="73"/>
      <c r="I346" s="84">
        <v>2E-3</v>
      </c>
      <c r="J346" s="84">
        <v>5.0000000000000001E-3</v>
      </c>
      <c r="K346" s="14" t="s">
        <v>691</v>
      </c>
    </row>
    <row r="347" spans="1:11" ht="105">
      <c r="B347" s="5">
        <f>B346</f>
        <v>45611</v>
      </c>
      <c r="C347" s="6" t="s">
        <v>38</v>
      </c>
      <c r="D347" s="7">
        <v>0.79166666666666663</v>
      </c>
      <c r="E347" s="8" t="s">
        <v>1</v>
      </c>
      <c r="F347" s="8">
        <v>3</v>
      </c>
      <c r="G347" s="8" t="s">
        <v>968</v>
      </c>
      <c r="H347" s="73"/>
      <c r="I347" s="84">
        <v>3.0000000000000001E-3</v>
      </c>
      <c r="J347" s="84">
        <v>4.0000000000000001E-3</v>
      </c>
      <c r="K347" s="14" t="s">
        <v>969</v>
      </c>
    </row>
    <row r="348" spans="1:11" ht="27">
      <c r="B348" s="81">
        <v>45644</v>
      </c>
      <c r="C348" s="82" t="s">
        <v>40</v>
      </c>
      <c r="D348" s="83">
        <v>0.97916666666666663</v>
      </c>
      <c r="E348" s="77" t="s">
        <v>1</v>
      </c>
      <c r="F348" s="77">
        <v>3</v>
      </c>
      <c r="G348" s="77" t="s">
        <v>127</v>
      </c>
      <c r="H348" s="84"/>
      <c r="I348" s="84">
        <v>4.4600000000000001E-2</v>
      </c>
      <c r="J348" s="84">
        <f>I348+0.16%</f>
        <v>4.6199999999999998E-2</v>
      </c>
      <c r="K348" s="14" t="s">
        <v>369</v>
      </c>
    </row>
    <row r="349" spans="1:11">
      <c r="C349" t="s">
        <v>970</v>
      </c>
      <c r="H349"/>
      <c r="J349" s="1"/>
      <c r="K349" s="25"/>
    </row>
    <row r="350" spans="1:11" ht="170">
      <c r="A350" s="569" t="s">
        <v>105</v>
      </c>
      <c r="B350" s="5">
        <v>45615</v>
      </c>
      <c r="C350" s="6" t="s">
        <v>38</v>
      </c>
      <c r="D350" s="7">
        <v>0.64583333333333337</v>
      </c>
      <c r="E350" s="8" t="s">
        <v>22</v>
      </c>
      <c r="F350" s="8">
        <v>3</v>
      </c>
      <c r="G350" s="8" t="s">
        <v>1005</v>
      </c>
      <c r="H350" s="73"/>
      <c r="I350" s="84">
        <v>0.02</v>
      </c>
      <c r="J350" s="84">
        <v>0.02</v>
      </c>
      <c r="K350" s="14" t="s">
        <v>1006</v>
      </c>
    </row>
    <row r="351" spans="1:11" ht="118">
      <c r="B351" s="5">
        <v>45615</v>
      </c>
      <c r="C351" s="6" t="s">
        <v>38</v>
      </c>
      <c r="D351" s="7">
        <v>0.79166666666666663</v>
      </c>
      <c r="E351" s="8" t="s">
        <v>89</v>
      </c>
      <c r="F351" s="8">
        <v>3</v>
      </c>
      <c r="G351" s="8" t="s">
        <v>1007</v>
      </c>
      <c r="H351" s="73"/>
      <c r="I351" s="84"/>
      <c r="J351" s="84">
        <v>1.6E-2</v>
      </c>
      <c r="K351" s="14" t="s">
        <v>1008</v>
      </c>
    </row>
    <row r="352" spans="1:11" ht="105">
      <c r="B352" s="5">
        <v>45616</v>
      </c>
      <c r="C352" s="6" t="s">
        <v>38</v>
      </c>
      <c r="D352" s="7">
        <v>0.52083333333333337</v>
      </c>
      <c r="E352" s="8" t="s">
        <v>53</v>
      </c>
      <c r="F352" s="8">
        <v>3</v>
      </c>
      <c r="G352" s="8" t="s">
        <v>1009</v>
      </c>
      <c r="H352" s="73"/>
      <c r="I352" s="84"/>
      <c r="J352" s="84">
        <v>1.7000000000000001E-2</v>
      </c>
      <c r="K352" s="14" t="s">
        <v>1010</v>
      </c>
    </row>
    <row r="353" spans="1:11" ht="131">
      <c r="B353" s="5">
        <v>45616</v>
      </c>
      <c r="C353" s="6" t="s">
        <v>38</v>
      </c>
      <c r="D353" s="7">
        <v>0.875</v>
      </c>
      <c r="E353" s="8" t="s">
        <v>1</v>
      </c>
      <c r="F353" s="8">
        <v>3</v>
      </c>
      <c r="G353" s="8" t="s">
        <v>9</v>
      </c>
      <c r="H353" s="73"/>
      <c r="I353" s="84"/>
      <c r="J353" s="84" t="s">
        <v>1011</v>
      </c>
      <c r="K353" s="14" t="s">
        <v>926</v>
      </c>
    </row>
    <row r="354" spans="1:11" ht="131">
      <c r="B354" s="5">
        <f>B353+1</f>
        <v>45617</v>
      </c>
      <c r="C354" s="6" t="s">
        <v>38</v>
      </c>
      <c r="D354" s="7">
        <v>0.10416666666666667</v>
      </c>
      <c r="E354" s="8" t="s">
        <v>1</v>
      </c>
      <c r="F354" s="8">
        <v>3</v>
      </c>
      <c r="G354" s="8" t="s">
        <v>1012</v>
      </c>
      <c r="H354" s="73"/>
      <c r="I354" s="86">
        <v>32.97</v>
      </c>
      <c r="J354" s="86"/>
      <c r="K354" s="14" t="s">
        <v>1013</v>
      </c>
    </row>
    <row r="355" spans="1:11" ht="79">
      <c r="B355" s="5">
        <f>B353+1</f>
        <v>45617</v>
      </c>
      <c r="C355" s="6" t="s">
        <v>38</v>
      </c>
      <c r="D355" s="7">
        <v>0.79166666666666663</v>
      </c>
      <c r="E355" s="8" t="s">
        <v>1</v>
      </c>
      <c r="F355" s="8">
        <v>3</v>
      </c>
      <c r="G355" s="8" t="s">
        <v>14</v>
      </c>
      <c r="H355" s="73"/>
      <c r="I355" s="84" t="s">
        <v>1014</v>
      </c>
      <c r="J355" s="84" t="s">
        <v>1015</v>
      </c>
      <c r="K355" s="14" t="s">
        <v>955</v>
      </c>
    </row>
    <row r="356" spans="1:11" ht="105">
      <c r="B356" s="5">
        <f>B355</f>
        <v>45617</v>
      </c>
      <c r="C356" s="6" t="s">
        <v>38</v>
      </c>
      <c r="D356" s="7">
        <v>0.79166666666666663</v>
      </c>
      <c r="E356" s="8" t="s">
        <v>1</v>
      </c>
      <c r="F356" s="8">
        <v>3</v>
      </c>
      <c r="G356" s="8" t="s">
        <v>1016</v>
      </c>
      <c r="H356" s="73"/>
      <c r="I356" s="84"/>
      <c r="J356" s="86">
        <v>10.3</v>
      </c>
      <c r="K356" s="14" t="s">
        <v>1017</v>
      </c>
    </row>
    <row r="357" spans="1:11" ht="105">
      <c r="B357" s="5">
        <f>B356</f>
        <v>45617</v>
      </c>
      <c r="C357" s="6" t="s">
        <v>38</v>
      </c>
      <c r="D357" s="7">
        <v>0.85416666666666663</v>
      </c>
      <c r="E357" s="8" t="s">
        <v>1</v>
      </c>
      <c r="F357" s="8">
        <v>3</v>
      </c>
      <c r="G357" s="8" t="s">
        <v>1018</v>
      </c>
      <c r="H357" s="73"/>
      <c r="I357" s="84" t="s">
        <v>707</v>
      </c>
      <c r="J357" s="84" t="s">
        <v>1019</v>
      </c>
      <c r="K357" s="14" t="s">
        <v>1020</v>
      </c>
    </row>
    <row r="358" spans="1:11" ht="92">
      <c r="B358" s="5">
        <v>45618</v>
      </c>
      <c r="C358" s="6" t="s">
        <v>38</v>
      </c>
      <c r="D358" s="7">
        <v>0.52083333333333337</v>
      </c>
      <c r="E358" s="8" t="s">
        <v>22</v>
      </c>
      <c r="F358" s="8">
        <v>3</v>
      </c>
      <c r="G358" s="8" t="s">
        <v>1021</v>
      </c>
      <c r="H358" s="73"/>
      <c r="I358" s="84">
        <v>2E-3</v>
      </c>
      <c r="J358" s="84">
        <v>2E-3</v>
      </c>
      <c r="K358" s="14" t="s">
        <v>1022</v>
      </c>
    </row>
    <row r="359" spans="1:11" ht="131">
      <c r="B359" s="5">
        <v>45618</v>
      </c>
      <c r="C359" s="6" t="s">
        <v>38</v>
      </c>
      <c r="D359" s="7">
        <v>0.84375</v>
      </c>
      <c r="E359" s="8" t="s">
        <v>1</v>
      </c>
      <c r="F359" s="8">
        <v>3</v>
      </c>
      <c r="G359" s="8" t="s">
        <v>1023</v>
      </c>
      <c r="H359" s="73"/>
      <c r="I359" s="84"/>
      <c r="J359" s="86">
        <v>48.5</v>
      </c>
      <c r="K359" s="14" t="s">
        <v>1024</v>
      </c>
    </row>
    <row r="360" spans="1:11" ht="105">
      <c r="B360" s="5">
        <v>45618</v>
      </c>
      <c r="C360" s="6" t="s">
        <v>38</v>
      </c>
      <c r="D360" s="7">
        <v>0.84375</v>
      </c>
      <c r="E360" s="8" t="s">
        <v>1</v>
      </c>
      <c r="F360" s="8">
        <v>3</v>
      </c>
      <c r="G360" s="8" t="s">
        <v>1025</v>
      </c>
      <c r="H360" s="73"/>
      <c r="I360" s="84"/>
      <c r="J360" s="86">
        <v>55</v>
      </c>
      <c r="K360" s="14" t="s">
        <v>1026</v>
      </c>
    </row>
    <row r="361" spans="1:11" ht="27">
      <c r="B361" s="81">
        <v>45644</v>
      </c>
      <c r="C361" s="82" t="s">
        <v>40</v>
      </c>
      <c r="D361" s="83">
        <v>0.97916666666666663</v>
      </c>
      <c r="E361" s="77" t="s">
        <v>1</v>
      </c>
      <c r="F361" s="77">
        <v>3</v>
      </c>
      <c r="G361" s="77" t="s">
        <v>127</v>
      </c>
      <c r="H361" s="84"/>
      <c r="I361" s="84">
        <v>4.4600000000000001E-2</v>
      </c>
      <c r="J361" s="84">
        <f>I361+0.16%</f>
        <v>4.6199999999999998E-2</v>
      </c>
      <c r="K361" s="14" t="s">
        <v>369</v>
      </c>
    </row>
    <row r="362" spans="1:11">
      <c r="C362" t="s">
        <v>1027</v>
      </c>
    </row>
    <row r="363" spans="1:11" ht="105">
      <c r="A363" s="569" t="s">
        <v>105</v>
      </c>
      <c r="B363" s="5">
        <v>45622</v>
      </c>
      <c r="C363" s="6" t="s">
        <v>38</v>
      </c>
      <c r="D363" s="7">
        <v>0.85416666666666663</v>
      </c>
      <c r="E363" s="8" t="s">
        <v>1</v>
      </c>
      <c r="F363" s="8">
        <v>3</v>
      </c>
      <c r="G363" s="8" t="s">
        <v>1060</v>
      </c>
      <c r="H363" s="73"/>
      <c r="I363" s="84"/>
      <c r="J363" s="86">
        <v>108.7</v>
      </c>
      <c r="K363" s="14" t="s">
        <v>1061</v>
      </c>
    </row>
    <row r="364" spans="1:11" ht="105">
      <c r="B364" s="5">
        <v>45622</v>
      </c>
      <c r="C364" s="6" t="s">
        <v>38</v>
      </c>
      <c r="D364" s="7">
        <v>0.85416666666666663</v>
      </c>
      <c r="E364" s="8" t="s">
        <v>1</v>
      </c>
      <c r="F364" s="8">
        <v>3</v>
      </c>
      <c r="G364" s="8" t="s">
        <v>1062</v>
      </c>
      <c r="H364" s="73"/>
      <c r="I364" s="84"/>
      <c r="J364" s="86" t="s">
        <v>1063</v>
      </c>
      <c r="K364" s="14" t="s">
        <v>1064</v>
      </c>
    </row>
    <row r="365" spans="1:11" ht="79">
      <c r="B365" s="5">
        <v>45623</v>
      </c>
      <c r="C365" s="6" t="s">
        <v>38</v>
      </c>
      <c r="D365" s="7">
        <v>2.0833333333333332E-2</v>
      </c>
      <c r="E365" s="8" t="s">
        <v>1</v>
      </c>
      <c r="F365" s="8">
        <v>3</v>
      </c>
      <c r="G365" s="8" t="s">
        <v>7</v>
      </c>
      <c r="H365" s="73"/>
      <c r="I365" s="84"/>
      <c r="J365" s="86"/>
      <c r="K365" s="14" t="s">
        <v>1065</v>
      </c>
    </row>
    <row r="366" spans="1:11" ht="131">
      <c r="B366" s="5">
        <v>45623</v>
      </c>
      <c r="C366" s="6" t="s">
        <v>38</v>
      </c>
      <c r="D366" s="7">
        <v>0.27083333333333331</v>
      </c>
      <c r="E366" s="8" t="s">
        <v>49</v>
      </c>
      <c r="F366" s="8">
        <v>3</v>
      </c>
      <c r="G366" s="8" t="s">
        <v>50</v>
      </c>
      <c r="H366" s="73"/>
      <c r="I366" s="84">
        <v>4.2500000000000003E-2</v>
      </c>
      <c r="J366" s="84">
        <v>4.7500000000000001E-2</v>
      </c>
      <c r="K366" s="14" t="s">
        <v>1066</v>
      </c>
    </row>
    <row r="367" spans="1:11" ht="92">
      <c r="B367" s="5">
        <v>45623</v>
      </c>
      <c r="C367" s="6" t="s">
        <v>38</v>
      </c>
      <c r="D367" s="7">
        <v>0.79166666666666663</v>
      </c>
      <c r="E367" s="8" t="s">
        <v>1</v>
      </c>
      <c r="F367" s="8">
        <v>3</v>
      </c>
      <c r="G367" s="8" t="s">
        <v>1067</v>
      </c>
      <c r="H367" s="73"/>
      <c r="I367" s="84"/>
      <c r="J367" s="84">
        <f>-0.7%</f>
        <v>-6.9999999999999993E-3</v>
      </c>
      <c r="K367" s="14" t="s">
        <v>1068</v>
      </c>
    </row>
    <row r="368" spans="1:11" ht="105">
      <c r="B368" s="5">
        <v>45623</v>
      </c>
      <c r="C368" s="6" t="s">
        <v>38</v>
      </c>
      <c r="D368" s="7">
        <v>0.79166666666666663</v>
      </c>
      <c r="E368" s="8" t="s">
        <v>1</v>
      </c>
      <c r="F368" s="8">
        <v>3</v>
      </c>
      <c r="G368" s="8" t="s">
        <v>1069</v>
      </c>
      <c r="H368" s="73"/>
      <c r="I368" s="84"/>
      <c r="J368" s="84">
        <v>2.8000000000000001E-2</v>
      </c>
      <c r="K368" s="14" t="s">
        <v>1070</v>
      </c>
    </row>
    <row r="369" spans="1:11" ht="92">
      <c r="B369" s="5">
        <v>45623</v>
      </c>
      <c r="C369" s="6" t="s">
        <v>38</v>
      </c>
      <c r="D369" s="7">
        <v>0.79166666666666663</v>
      </c>
      <c r="E369" s="8" t="s">
        <v>1</v>
      </c>
      <c r="F369" s="8">
        <v>3</v>
      </c>
      <c r="G369" s="8" t="s">
        <v>14</v>
      </c>
      <c r="H369" s="73"/>
      <c r="I369" s="84"/>
      <c r="J369" s="86" t="s">
        <v>1071</v>
      </c>
      <c r="K369" s="14" t="s">
        <v>1072</v>
      </c>
    </row>
    <row r="370" spans="1:11" ht="118">
      <c r="B370" s="5">
        <v>45623</v>
      </c>
      <c r="C370" s="6" t="s">
        <v>38</v>
      </c>
      <c r="D370" s="7">
        <v>0.84375</v>
      </c>
      <c r="E370" s="8" t="s">
        <v>1</v>
      </c>
      <c r="F370" s="8">
        <v>3</v>
      </c>
      <c r="G370" s="8" t="s">
        <v>1073</v>
      </c>
      <c r="H370" s="73"/>
      <c r="I370" s="84">
        <v>44.9</v>
      </c>
      <c r="J370" s="86">
        <v>41.6</v>
      </c>
      <c r="K370" s="14" t="s">
        <v>1074</v>
      </c>
    </row>
    <row r="371" spans="1:11" ht="183">
      <c r="B371" s="5">
        <v>45623</v>
      </c>
      <c r="C371" s="6" t="s">
        <v>38</v>
      </c>
      <c r="D371" s="7">
        <v>0.85416666666666663</v>
      </c>
      <c r="E371" s="8" t="s">
        <v>1</v>
      </c>
      <c r="F371" s="8">
        <v>3</v>
      </c>
      <c r="G371" s="8" t="s">
        <v>1075</v>
      </c>
      <c r="H371" s="73"/>
      <c r="I371" s="84"/>
      <c r="J371" s="84">
        <v>2.7E-2</v>
      </c>
      <c r="K371" s="14" t="s">
        <v>1076</v>
      </c>
    </row>
    <row r="372" spans="1:11" ht="183">
      <c r="B372" s="5">
        <v>45623</v>
      </c>
      <c r="C372" s="6" t="s">
        <v>38</v>
      </c>
      <c r="D372" s="7">
        <v>0.85416666666666663</v>
      </c>
      <c r="E372" s="8" t="s">
        <v>1</v>
      </c>
      <c r="F372" s="8">
        <v>3</v>
      </c>
      <c r="G372" s="8" t="s">
        <v>1077</v>
      </c>
      <c r="H372" s="73"/>
      <c r="I372" s="84"/>
      <c r="J372" s="84">
        <v>3.0000000000000001E-3</v>
      </c>
      <c r="K372" s="14" t="s">
        <v>1076</v>
      </c>
    </row>
    <row r="373" spans="1:11" ht="131">
      <c r="B373" s="5">
        <v>45623</v>
      </c>
      <c r="C373" s="6" t="s">
        <v>38</v>
      </c>
      <c r="D373" s="7">
        <v>0.875</v>
      </c>
      <c r="E373" s="8" t="s">
        <v>1</v>
      </c>
      <c r="F373" s="8">
        <v>3</v>
      </c>
      <c r="G373" s="8" t="s">
        <v>9</v>
      </c>
      <c r="H373" s="73"/>
      <c r="I373" s="84"/>
      <c r="J373" s="86" t="s">
        <v>1078</v>
      </c>
      <c r="K373" s="14" t="s">
        <v>1079</v>
      </c>
    </row>
    <row r="374" spans="1:11" ht="79">
      <c r="B374" s="5">
        <f>B373+1</f>
        <v>45624</v>
      </c>
      <c r="C374" s="6" t="s">
        <v>38</v>
      </c>
      <c r="D374" s="7">
        <v>2.0833333333333332E-2</v>
      </c>
      <c r="E374" s="8" t="s">
        <v>1</v>
      </c>
      <c r="F374" s="8">
        <v>3</v>
      </c>
      <c r="G374" s="8" t="s">
        <v>7</v>
      </c>
      <c r="H374" s="73"/>
      <c r="I374" s="84"/>
      <c r="J374" s="86"/>
      <c r="K374" s="14" t="s">
        <v>1065</v>
      </c>
    </row>
    <row r="375" spans="1:11" ht="105">
      <c r="B375" s="5">
        <v>45624</v>
      </c>
      <c r="C375" s="6" t="s">
        <v>38</v>
      </c>
      <c r="D375" s="7">
        <v>0.77083333333333337</v>
      </c>
      <c r="E375" s="8" t="s">
        <v>22</v>
      </c>
      <c r="F375" s="8">
        <v>3</v>
      </c>
      <c r="G375" s="8" t="s">
        <v>1080</v>
      </c>
      <c r="H375" s="73"/>
      <c r="I375" s="84"/>
      <c r="J375" s="84">
        <v>4.0000000000000001E-3</v>
      </c>
      <c r="K375" s="14" t="s">
        <v>1081</v>
      </c>
    </row>
    <row r="376" spans="1:11" ht="105">
      <c r="B376" s="5">
        <f>B377</f>
        <v>45625</v>
      </c>
      <c r="C376" s="6" t="s">
        <v>38</v>
      </c>
      <c r="D376" s="7">
        <v>0.5625</v>
      </c>
      <c r="E376" s="8" t="s">
        <v>270</v>
      </c>
      <c r="F376" s="8">
        <v>2</v>
      </c>
      <c r="G376" s="8" t="s">
        <v>1082</v>
      </c>
      <c r="H376" s="73"/>
      <c r="I376" s="84"/>
      <c r="J376" s="84">
        <v>7.0000000000000001E-3</v>
      </c>
      <c r="K376" s="14" t="s">
        <v>1083</v>
      </c>
    </row>
    <row r="377" spans="1:11" ht="92">
      <c r="B377" s="5">
        <f>B375+1</f>
        <v>45625</v>
      </c>
      <c r="C377" s="6" t="s">
        <v>38</v>
      </c>
      <c r="D377" s="7">
        <v>0.64583333333333337</v>
      </c>
      <c r="E377" s="8" t="s">
        <v>22</v>
      </c>
      <c r="F377" s="8">
        <v>3</v>
      </c>
      <c r="G377" s="8" t="s">
        <v>1084</v>
      </c>
      <c r="H377" s="73"/>
      <c r="I377" s="84"/>
      <c r="J377" s="84">
        <v>0.02</v>
      </c>
      <c r="K377" s="14" t="s">
        <v>1085</v>
      </c>
    </row>
    <row r="378" spans="1:11" ht="144">
      <c r="B378" s="5">
        <f>B376+1</f>
        <v>45626</v>
      </c>
      <c r="C378" s="6" t="s">
        <v>38</v>
      </c>
      <c r="D378" s="7">
        <v>0.29166666666666669</v>
      </c>
      <c r="E378" s="8" t="s">
        <v>65</v>
      </c>
      <c r="F378" s="8">
        <v>3</v>
      </c>
      <c r="G378" s="8" t="s">
        <v>1087</v>
      </c>
      <c r="H378" s="73"/>
      <c r="I378" s="84"/>
      <c r="J378" s="86">
        <v>50.1</v>
      </c>
      <c r="K378" s="14" t="s">
        <v>1088</v>
      </c>
    </row>
    <row r="379" spans="1:11" ht="27">
      <c r="B379" s="81">
        <v>45644</v>
      </c>
      <c r="C379" s="82" t="s">
        <v>40</v>
      </c>
      <c r="D379" s="83">
        <v>0.97916666666666663</v>
      </c>
      <c r="E379" s="77" t="s">
        <v>1</v>
      </c>
      <c r="F379" s="77">
        <v>3</v>
      </c>
      <c r="G379" s="77" t="s">
        <v>127</v>
      </c>
      <c r="H379" s="84"/>
      <c r="I379" s="84">
        <v>4.4600000000000001E-2</v>
      </c>
      <c r="J379" s="84">
        <f>I379+0.16%</f>
        <v>4.6199999999999998E-2</v>
      </c>
      <c r="K379" s="14" t="s">
        <v>369</v>
      </c>
    </row>
    <row r="380" spans="1:11">
      <c r="C380" t="s">
        <v>1089</v>
      </c>
      <c r="H380"/>
      <c r="J380" s="1"/>
      <c r="K380" s="25"/>
    </row>
    <row r="381" spans="1:11" ht="105">
      <c r="A381" s="569" t="s">
        <v>105</v>
      </c>
      <c r="B381" s="326">
        <v>45635</v>
      </c>
      <c r="C381" s="327" t="s">
        <v>1134</v>
      </c>
      <c r="D381" s="328">
        <v>0.22222222222222221</v>
      </c>
      <c r="E381" s="327" t="s">
        <v>117</v>
      </c>
      <c r="F381" s="327">
        <v>3</v>
      </c>
      <c r="G381" s="327" t="s">
        <v>1135</v>
      </c>
      <c r="H381" s="73"/>
      <c r="I381" s="84">
        <v>2E-3</v>
      </c>
      <c r="J381" s="84">
        <v>2E-3</v>
      </c>
      <c r="K381" s="14" t="s">
        <v>1136</v>
      </c>
    </row>
    <row r="382" spans="1:11" ht="118">
      <c r="B382" s="326">
        <v>45636</v>
      </c>
      <c r="C382" s="327" t="s">
        <v>182</v>
      </c>
      <c r="D382" s="328">
        <v>0.375</v>
      </c>
      <c r="E382" s="327" t="s">
        <v>357</v>
      </c>
      <c r="F382" s="327">
        <v>3</v>
      </c>
      <c r="G382" s="327" t="s">
        <v>1137</v>
      </c>
      <c r="H382" s="73"/>
      <c r="I382" s="84">
        <v>4.3499999999999997E-2</v>
      </c>
      <c r="J382" s="84">
        <v>4.3499999999999997E-2</v>
      </c>
      <c r="K382" s="14" t="s">
        <v>1138</v>
      </c>
    </row>
    <row r="383" spans="1:11" ht="92">
      <c r="B383" s="326">
        <v>45636</v>
      </c>
      <c r="C383" s="327" t="s">
        <v>182</v>
      </c>
      <c r="D383" s="328">
        <v>0.52083333333333337</v>
      </c>
      <c r="E383" s="327" t="s">
        <v>22</v>
      </c>
      <c r="F383" s="327">
        <v>3</v>
      </c>
      <c r="G383" s="327" t="s">
        <v>1139</v>
      </c>
      <c r="H383" s="73"/>
      <c r="I383" s="84">
        <v>-2E-3</v>
      </c>
      <c r="J383" s="84">
        <v>4.0000000000000001E-3</v>
      </c>
      <c r="K383" s="14" t="s">
        <v>1140</v>
      </c>
    </row>
    <row r="384" spans="1:11" ht="118">
      <c r="B384" s="326">
        <v>45637</v>
      </c>
      <c r="C384" s="327" t="s">
        <v>185</v>
      </c>
      <c r="D384" s="328">
        <v>0.79166666666666663</v>
      </c>
      <c r="E384" s="327" t="s">
        <v>1</v>
      </c>
      <c r="F384" s="327">
        <v>3</v>
      </c>
      <c r="G384" s="327" t="s">
        <v>1141</v>
      </c>
      <c r="H384" s="73"/>
      <c r="I384" s="84">
        <v>3.0000000000000001E-3</v>
      </c>
      <c r="J384" s="84">
        <v>3.0000000000000001E-3</v>
      </c>
      <c r="K384" s="14" t="s">
        <v>1142</v>
      </c>
    </row>
    <row r="385" spans="1:11" ht="105">
      <c r="B385" s="326">
        <v>45637</v>
      </c>
      <c r="C385" s="327" t="s">
        <v>185</v>
      </c>
      <c r="D385" s="328">
        <v>0.79166666666666663</v>
      </c>
      <c r="E385" s="327" t="s">
        <v>1</v>
      </c>
      <c r="F385" s="327">
        <v>3</v>
      </c>
      <c r="G385" s="327" t="s">
        <v>1143</v>
      </c>
      <c r="H385" s="73"/>
      <c r="I385" s="84">
        <v>2E-3</v>
      </c>
      <c r="J385" s="84">
        <v>2E-3</v>
      </c>
      <c r="K385" s="14" t="s">
        <v>1144</v>
      </c>
    </row>
    <row r="386" spans="1:11" ht="105">
      <c r="B386" s="326">
        <v>45637</v>
      </c>
      <c r="C386" s="327" t="s">
        <v>185</v>
      </c>
      <c r="D386" s="328">
        <v>0.79166666666666663</v>
      </c>
      <c r="E386" s="327" t="s">
        <v>1</v>
      </c>
      <c r="F386" s="327">
        <v>3</v>
      </c>
      <c r="G386" s="327" t="s">
        <v>1145</v>
      </c>
      <c r="H386" s="73"/>
      <c r="I386" s="84">
        <v>2.7E-2</v>
      </c>
      <c r="J386" s="84">
        <v>2.5999999999999999E-2</v>
      </c>
      <c r="K386" s="14" t="s">
        <v>1144</v>
      </c>
    </row>
    <row r="387" spans="1:11" ht="79">
      <c r="B387" s="326">
        <v>45637</v>
      </c>
      <c r="C387" s="327" t="s">
        <v>185</v>
      </c>
      <c r="D387" s="328">
        <v>0.84375</v>
      </c>
      <c r="E387" s="327" t="s">
        <v>1</v>
      </c>
      <c r="F387" s="327">
        <v>3</v>
      </c>
      <c r="G387" s="327" t="s">
        <v>90</v>
      </c>
      <c r="H387" s="73"/>
      <c r="I387" s="84">
        <v>3.2500000000000001E-2</v>
      </c>
      <c r="J387" s="84">
        <v>3.7499999999999999E-2</v>
      </c>
      <c r="K387" s="14" t="s">
        <v>1146</v>
      </c>
    </row>
    <row r="388" spans="1:11" ht="105">
      <c r="B388" s="326">
        <v>45637</v>
      </c>
      <c r="C388" s="327" t="s">
        <v>185</v>
      </c>
      <c r="D388" s="328">
        <v>0.875</v>
      </c>
      <c r="E388" s="327" t="s">
        <v>1</v>
      </c>
      <c r="F388" s="327">
        <v>3</v>
      </c>
      <c r="G388" s="327" t="s">
        <v>9</v>
      </c>
      <c r="H388" s="73"/>
      <c r="I388" s="86"/>
      <c r="J388" s="329" t="s">
        <v>1147</v>
      </c>
      <c r="K388" s="14" t="s">
        <v>1148</v>
      </c>
    </row>
    <row r="389" spans="1:11" ht="118">
      <c r="B389" s="326">
        <v>45637</v>
      </c>
      <c r="C389" s="327" t="s">
        <v>185</v>
      </c>
      <c r="D389" s="328">
        <v>0.97916666666666663</v>
      </c>
      <c r="E389" s="327" t="s">
        <v>1</v>
      </c>
      <c r="F389" s="327">
        <v>3</v>
      </c>
      <c r="G389" s="327" t="s">
        <v>52</v>
      </c>
      <c r="H389" s="73"/>
      <c r="I389" s="86"/>
      <c r="J389" s="197">
        <v>4.3470000000000002E-2</v>
      </c>
      <c r="K389" s="14" t="s">
        <v>1149</v>
      </c>
    </row>
    <row r="390" spans="1:11" ht="79">
      <c r="B390" s="326">
        <v>45638</v>
      </c>
      <c r="C390" s="327" t="s">
        <v>194</v>
      </c>
      <c r="D390" s="328">
        <v>0.58333333333333337</v>
      </c>
      <c r="E390" s="327" t="s">
        <v>270</v>
      </c>
      <c r="F390" s="327">
        <v>3</v>
      </c>
      <c r="G390" s="327" t="s">
        <v>1150</v>
      </c>
      <c r="H390" s="73"/>
      <c r="I390" s="84">
        <v>7.4999999999999997E-3</v>
      </c>
      <c r="J390" s="84">
        <v>0.01</v>
      </c>
      <c r="K390" s="14" t="s">
        <v>1151</v>
      </c>
    </row>
    <row r="391" spans="1:11" ht="157">
      <c r="B391" s="326">
        <v>45638</v>
      </c>
      <c r="C391" s="327" t="s">
        <v>194</v>
      </c>
      <c r="D391" s="328">
        <v>0.78125</v>
      </c>
      <c r="E391" s="327" t="s">
        <v>22</v>
      </c>
      <c r="F391" s="327">
        <v>3</v>
      </c>
      <c r="G391" s="327" t="s">
        <v>1152</v>
      </c>
      <c r="H391" s="73"/>
      <c r="I391" s="86"/>
      <c r="J391" s="84">
        <v>3.2500000000000001E-2</v>
      </c>
      <c r="K391" s="14" t="s">
        <v>1153</v>
      </c>
    </row>
    <row r="392" spans="1:11" ht="157">
      <c r="B392" s="326">
        <v>45638</v>
      </c>
      <c r="C392" s="327" t="s">
        <v>194</v>
      </c>
      <c r="D392" s="328">
        <v>0.78125</v>
      </c>
      <c r="E392" s="327" t="s">
        <v>22</v>
      </c>
      <c r="F392" s="327">
        <v>3</v>
      </c>
      <c r="G392" s="327" t="s">
        <v>1154</v>
      </c>
      <c r="H392" s="73"/>
      <c r="I392" s="84">
        <v>3.15E-2</v>
      </c>
      <c r="J392" s="84">
        <v>3.4000000000000002E-2</v>
      </c>
      <c r="K392" s="14" t="s">
        <v>1153</v>
      </c>
    </row>
    <row r="393" spans="1:11" ht="79">
      <c r="B393" s="326">
        <v>45638</v>
      </c>
      <c r="C393" s="327" t="s">
        <v>194</v>
      </c>
      <c r="D393" s="328">
        <v>0.79166666666666663</v>
      </c>
      <c r="E393" s="327" t="s">
        <v>1</v>
      </c>
      <c r="F393" s="327">
        <v>3</v>
      </c>
      <c r="G393" s="327" t="s">
        <v>14</v>
      </c>
      <c r="H393" s="73"/>
      <c r="I393" s="84" t="s">
        <v>413</v>
      </c>
      <c r="J393" s="84" t="s">
        <v>381</v>
      </c>
      <c r="K393" s="14" t="s">
        <v>1155</v>
      </c>
    </row>
    <row r="394" spans="1:11" ht="118">
      <c r="B394" s="326">
        <v>45638</v>
      </c>
      <c r="C394" s="327" t="s">
        <v>194</v>
      </c>
      <c r="D394" s="328">
        <v>0.79166666666666663</v>
      </c>
      <c r="E394" s="327" t="s">
        <v>1</v>
      </c>
      <c r="F394" s="327">
        <v>3</v>
      </c>
      <c r="G394" s="327" t="s">
        <v>1156</v>
      </c>
      <c r="H394" s="73"/>
      <c r="I394" s="84">
        <v>3.0000000000000001E-3</v>
      </c>
      <c r="J394" s="84">
        <v>2E-3</v>
      </c>
      <c r="K394" s="14" t="s">
        <v>1157</v>
      </c>
    </row>
    <row r="395" spans="1:11" ht="144">
      <c r="B395" s="326">
        <v>45638</v>
      </c>
      <c r="C395" s="327" t="s">
        <v>194</v>
      </c>
      <c r="D395" s="328">
        <v>0.97916666666666663</v>
      </c>
      <c r="E395" s="327" t="s">
        <v>1</v>
      </c>
      <c r="F395" s="327">
        <v>3</v>
      </c>
      <c r="G395" s="327" t="s">
        <v>1158</v>
      </c>
      <c r="H395" s="73"/>
      <c r="I395" s="84"/>
      <c r="J395" s="197">
        <v>4.6080000000000003E-2</v>
      </c>
      <c r="K395" s="14" t="s">
        <v>1159</v>
      </c>
    </row>
    <row r="396" spans="1:11" ht="92">
      <c r="B396" s="326">
        <v>45639</v>
      </c>
      <c r="C396" s="327" t="s">
        <v>233</v>
      </c>
      <c r="D396" s="328">
        <v>0.52083333333333337</v>
      </c>
      <c r="E396" s="327" t="s">
        <v>53</v>
      </c>
      <c r="F396" s="327">
        <v>3</v>
      </c>
      <c r="G396" s="327" t="s">
        <v>1160</v>
      </c>
      <c r="H396" s="73"/>
      <c r="I396" s="84">
        <v>1E-3</v>
      </c>
      <c r="J396" s="84">
        <v>-1E-3</v>
      </c>
      <c r="K396" s="14" t="s">
        <v>1161</v>
      </c>
    </row>
    <row r="397" spans="1:11" ht="27">
      <c r="B397" s="326">
        <v>45645</v>
      </c>
      <c r="C397" s="327" t="s">
        <v>194</v>
      </c>
      <c r="D397" s="328">
        <v>2.0833333333333332E-2</v>
      </c>
      <c r="E397" s="77" t="s">
        <v>1</v>
      </c>
      <c r="F397" s="77">
        <v>3</v>
      </c>
      <c r="G397" s="77" t="s">
        <v>127</v>
      </c>
      <c r="H397" s="84"/>
      <c r="I397" s="84">
        <v>4.4600000000000001E-2</v>
      </c>
      <c r="J397" s="84"/>
      <c r="K397" s="14" t="s">
        <v>369</v>
      </c>
    </row>
    <row r="398" spans="1:11" ht="27">
      <c r="B398" s="81">
        <v>45644</v>
      </c>
      <c r="C398" s="82" t="s">
        <v>40</v>
      </c>
      <c r="D398" s="83">
        <v>0.97916666666666663</v>
      </c>
      <c r="E398" s="77" t="s">
        <v>1</v>
      </c>
      <c r="F398" s="77">
        <v>3</v>
      </c>
      <c r="G398" s="77" t="s">
        <v>127</v>
      </c>
      <c r="H398" s="84"/>
      <c r="I398" s="84">
        <v>4.4600000000000001E-2</v>
      </c>
      <c r="J398" s="84">
        <v>4.6199999999999998E-2</v>
      </c>
      <c r="K398" s="14" t="s">
        <v>369</v>
      </c>
    </row>
    <row r="399" spans="1:11">
      <c r="C399" t="s">
        <v>1162</v>
      </c>
      <c r="H399"/>
      <c r="J399" s="1"/>
      <c r="K399" s="25"/>
    </row>
    <row r="400" spans="1:11" ht="144">
      <c r="A400" s="569" t="s">
        <v>105</v>
      </c>
      <c r="B400" s="5">
        <v>45642</v>
      </c>
      <c r="C400" s="6" t="s">
        <v>43</v>
      </c>
      <c r="D400" s="7">
        <v>0.84375</v>
      </c>
      <c r="E400" s="8" t="s">
        <v>1</v>
      </c>
      <c r="F400" s="8">
        <v>3</v>
      </c>
      <c r="G400" s="8" t="s">
        <v>1250</v>
      </c>
      <c r="H400" s="73"/>
      <c r="I400" s="86">
        <v>49.4</v>
      </c>
      <c r="J400" s="86">
        <v>49.7</v>
      </c>
      <c r="K400" s="14" t="s">
        <v>1251</v>
      </c>
    </row>
    <row r="401" spans="2:11" ht="105">
      <c r="B401" s="5">
        <v>45642</v>
      </c>
      <c r="C401" s="6" t="s">
        <v>43</v>
      </c>
      <c r="D401" s="7">
        <v>0.84375</v>
      </c>
      <c r="E401" s="8" t="s">
        <v>1</v>
      </c>
      <c r="F401" s="8">
        <v>3</v>
      </c>
      <c r="G401" s="8" t="s">
        <v>1252</v>
      </c>
      <c r="H401" s="73"/>
      <c r="I401" s="86">
        <v>55.7</v>
      </c>
      <c r="J401" s="86">
        <v>56.1</v>
      </c>
      <c r="K401" s="14" t="s">
        <v>1253</v>
      </c>
    </row>
    <row r="402" spans="2:11" ht="131">
      <c r="B402" s="5">
        <v>45643</v>
      </c>
      <c r="C402" s="6" t="s">
        <v>42</v>
      </c>
      <c r="D402" s="7">
        <v>0.79166666666666663</v>
      </c>
      <c r="E402" s="8" t="s">
        <v>89</v>
      </c>
      <c r="F402" s="8">
        <v>2</v>
      </c>
      <c r="G402" s="8" t="s">
        <v>1254</v>
      </c>
      <c r="H402" s="73"/>
      <c r="I402" s="84"/>
      <c r="J402" s="84">
        <v>1.7000000000000001E-2</v>
      </c>
      <c r="K402" s="14" t="s">
        <v>1255</v>
      </c>
    </row>
    <row r="403" spans="2:11" ht="131">
      <c r="B403" s="5">
        <v>45643</v>
      </c>
      <c r="C403" s="6" t="s">
        <v>42</v>
      </c>
      <c r="D403" s="7">
        <v>0.79166666666666663</v>
      </c>
      <c r="E403" s="8" t="s">
        <v>89</v>
      </c>
      <c r="F403" s="8">
        <v>2</v>
      </c>
      <c r="G403" s="8" t="s">
        <v>1256</v>
      </c>
      <c r="H403" s="73"/>
      <c r="I403" s="84">
        <v>1E-3</v>
      </c>
      <c r="J403" s="84">
        <v>4.0000000000000001E-3</v>
      </c>
      <c r="K403" s="14" t="s">
        <v>1255</v>
      </c>
    </row>
    <row r="404" spans="2:11" ht="105">
      <c r="B404" s="5">
        <v>45643</v>
      </c>
      <c r="C404" s="6" t="s">
        <v>42</v>
      </c>
      <c r="D404" s="7">
        <v>0.79166666666666663</v>
      </c>
      <c r="E404" s="8" t="s">
        <v>1</v>
      </c>
      <c r="F404" s="8">
        <v>3</v>
      </c>
      <c r="G404" s="8" t="s">
        <v>1257</v>
      </c>
      <c r="H404" s="73"/>
      <c r="I404" s="84">
        <v>4.0000000000000001E-3</v>
      </c>
      <c r="J404" s="84">
        <v>1E-3</v>
      </c>
      <c r="K404" s="14" t="s">
        <v>1258</v>
      </c>
    </row>
    <row r="405" spans="2:11" ht="92">
      <c r="B405" s="5">
        <v>45643</v>
      </c>
      <c r="C405" s="6" t="s">
        <v>42</v>
      </c>
      <c r="D405" s="7">
        <v>0.79166666666666663</v>
      </c>
      <c r="E405" s="8" t="s">
        <v>1</v>
      </c>
      <c r="F405" s="8">
        <v>3</v>
      </c>
      <c r="G405" s="8" t="s">
        <v>1259</v>
      </c>
      <c r="H405" s="73"/>
      <c r="I405" s="84">
        <v>6.0000000000000001E-3</v>
      </c>
      <c r="J405" s="84">
        <v>4.0000000000000001E-3</v>
      </c>
      <c r="K405" s="14" t="s">
        <v>1260</v>
      </c>
    </row>
    <row r="406" spans="2:11" ht="92">
      <c r="B406" s="5">
        <v>45644</v>
      </c>
      <c r="C406" s="6" t="s">
        <v>41</v>
      </c>
      <c r="D406" s="7">
        <v>0.52083333333333337</v>
      </c>
      <c r="E406" s="8" t="s">
        <v>53</v>
      </c>
      <c r="F406" s="8">
        <v>3</v>
      </c>
      <c r="G406" s="8" t="s">
        <v>1261</v>
      </c>
      <c r="H406" s="73"/>
      <c r="I406" s="84">
        <v>2.5999999999999999E-2</v>
      </c>
      <c r="J406" s="84">
        <v>2.3E-2</v>
      </c>
      <c r="K406" s="14" t="s">
        <v>1262</v>
      </c>
    </row>
    <row r="407" spans="2:11" ht="105">
      <c r="B407" s="5">
        <v>45644</v>
      </c>
      <c r="C407" s="6" t="s">
        <v>41</v>
      </c>
      <c r="D407" s="7">
        <v>0.64583333333333337</v>
      </c>
      <c r="E407" s="8" t="s">
        <v>22</v>
      </c>
      <c r="F407" s="8">
        <v>3</v>
      </c>
      <c r="G407" s="8" t="s">
        <v>1263</v>
      </c>
      <c r="H407" s="73"/>
      <c r="I407" s="84">
        <v>2.3E-2</v>
      </c>
      <c r="J407" s="84">
        <v>2.3E-2</v>
      </c>
      <c r="K407" s="14" t="s">
        <v>1264</v>
      </c>
    </row>
    <row r="408" spans="2:11" ht="131">
      <c r="B408" s="5">
        <v>45644</v>
      </c>
      <c r="C408" s="6" t="s">
        <v>41</v>
      </c>
      <c r="D408" s="7">
        <v>0.875</v>
      </c>
      <c r="E408" s="8" t="s">
        <v>1</v>
      </c>
      <c r="F408" s="8">
        <v>3</v>
      </c>
      <c r="G408" s="8" t="s">
        <v>9</v>
      </c>
      <c r="H408" s="73"/>
      <c r="I408" s="84"/>
      <c r="J408" s="85" t="s">
        <v>1265</v>
      </c>
      <c r="K408" s="14" t="s">
        <v>1266</v>
      </c>
    </row>
    <row r="409" spans="2:11" ht="131">
      <c r="B409" s="5">
        <v>45645</v>
      </c>
      <c r="C409" s="6" t="s">
        <v>40</v>
      </c>
      <c r="D409" s="7">
        <v>2.0833333333333332E-2</v>
      </c>
      <c r="E409" s="8" t="s">
        <v>1</v>
      </c>
      <c r="F409" s="8">
        <v>3</v>
      </c>
      <c r="G409" s="8" t="s">
        <v>125</v>
      </c>
      <c r="H409" s="73"/>
      <c r="I409" s="84"/>
      <c r="J409" s="84"/>
      <c r="K409" s="14" t="s">
        <v>1267</v>
      </c>
    </row>
    <row r="410" spans="2:11" ht="131">
      <c r="B410" s="5">
        <v>45645</v>
      </c>
      <c r="C410" s="6" t="s">
        <v>40</v>
      </c>
      <c r="D410" s="7">
        <v>2.0833333333333332E-2</v>
      </c>
      <c r="E410" s="8" t="s">
        <v>1</v>
      </c>
      <c r="F410" s="8">
        <v>3</v>
      </c>
      <c r="G410" s="8" t="s">
        <v>341</v>
      </c>
      <c r="H410" s="73"/>
      <c r="I410" s="84"/>
      <c r="J410" s="84"/>
      <c r="K410" s="14" t="s">
        <v>1267</v>
      </c>
    </row>
    <row r="411" spans="2:11" ht="131">
      <c r="B411" s="5">
        <v>45645</v>
      </c>
      <c r="C411" s="6" t="s">
        <v>40</v>
      </c>
      <c r="D411" s="7">
        <v>2.0833333333333332E-2</v>
      </c>
      <c r="E411" s="8" t="s">
        <v>1</v>
      </c>
      <c r="F411" s="8">
        <v>3</v>
      </c>
      <c r="G411" s="8" t="s">
        <v>127</v>
      </c>
      <c r="H411" s="73"/>
      <c r="I411" s="84">
        <v>4.3799999999999999E-2</v>
      </c>
      <c r="J411" s="84">
        <v>4.6199999999999998E-2</v>
      </c>
      <c r="K411" s="14" t="s">
        <v>1267</v>
      </c>
    </row>
    <row r="412" spans="2:11" ht="131">
      <c r="B412" s="5">
        <v>45645</v>
      </c>
      <c r="C412" s="6" t="s">
        <v>40</v>
      </c>
      <c r="D412" s="7">
        <v>4.1666666666666664E-2</v>
      </c>
      <c r="E412" s="8" t="s">
        <v>1</v>
      </c>
      <c r="F412" s="8">
        <v>3</v>
      </c>
      <c r="G412" s="8" t="s">
        <v>129</v>
      </c>
      <c r="H412" s="73"/>
      <c r="I412" s="84"/>
      <c r="J412" s="84"/>
      <c r="K412" s="14" t="s">
        <v>1267</v>
      </c>
    </row>
    <row r="413" spans="2:11" ht="79">
      <c r="B413" s="5">
        <v>45645</v>
      </c>
      <c r="C413" s="6" t="s">
        <v>40</v>
      </c>
      <c r="D413" s="7">
        <v>0.35416666666666669</v>
      </c>
      <c r="E413" s="8" t="s">
        <v>117</v>
      </c>
      <c r="F413" s="8">
        <v>3</v>
      </c>
      <c r="G413" s="8" t="s">
        <v>118</v>
      </c>
      <c r="H413" s="73"/>
      <c r="I413" s="84">
        <v>2.5000000000000001E-3</v>
      </c>
      <c r="J413" s="84">
        <v>2.5000000000000001E-3</v>
      </c>
      <c r="K413" s="14" t="s">
        <v>1268</v>
      </c>
    </row>
    <row r="414" spans="2:11" ht="66">
      <c r="B414" s="5">
        <v>45645</v>
      </c>
      <c r="C414" s="6" t="s">
        <v>40</v>
      </c>
      <c r="D414" s="7">
        <v>0.72916666666666663</v>
      </c>
      <c r="E414" s="8" t="s">
        <v>53</v>
      </c>
      <c r="F414" s="8">
        <v>3</v>
      </c>
      <c r="G414" s="8" t="s">
        <v>1269</v>
      </c>
      <c r="H414" s="73"/>
      <c r="I414" s="84">
        <v>4.7500000000000001E-2</v>
      </c>
      <c r="J414" s="84">
        <v>4.7500000000000001E-2</v>
      </c>
      <c r="K414" s="14" t="s">
        <v>1270</v>
      </c>
    </row>
    <row r="415" spans="2:11" ht="105">
      <c r="B415" s="5">
        <v>45645</v>
      </c>
      <c r="C415" s="6" t="s">
        <v>40</v>
      </c>
      <c r="D415" s="7">
        <v>0.79166666666666663</v>
      </c>
      <c r="E415" s="8" t="s">
        <v>1</v>
      </c>
      <c r="F415" s="8">
        <v>3</v>
      </c>
      <c r="G415" s="8" t="s">
        <v>1271</v>
      </c>
      <c r="H415" s="73"/>
      <c r="I415" s="84">
        <v>2.8000000000000001E-2</v>
      </c>
      <c r="J415" s="84">
        <v>2.8000000000000001E-2</v>
      </c>
      <c r="K415" s="14" t="s">
        <v>1272</v>
      </c>
    </row>
    <row r="416" spans="2:11" ht="79">
      <c r="B416" s="5">
        <v>45645</v>
      </c>
      <c r="C416" s="6" t="s">
        <v>40</v>
      </c>
      <c r="D416" s="7">
        <v>0.79166666666666663</v>
      </c>
      <c r="E416" s="8" t="s">
        <v>1</v>
      </c>
      <c r="F416" s="8">
        <v>3</v>
      </c>
      <c r="G416" s="8" t="s">
        <v>1273</v>
      </c>
      <c r="H416" s="73"/>
      <c r="I416" s="84" t="s">
        <v>1274</v>
      </c>
      <c r="J416" s="84" t="s">
        <v>897</v>
      </c>
      <c r="K416" s="14" t="s">
        <v>1275</v>
      </c>
    </row>
    <row r="417" spans="1:11" ht="131">
      <c r="B417" s="5">
        <v>45645</v>
      </c>
      <c r="C417" s="6" t="s">
        <v>40</v>
      </c>
      <c r="D417" s="7">
        <v>0.79166666666666663</v>
      </c>
      <c r="E417" s="8" t="s">
        <v>1</v>
      </c>
      <c r="F417" s="8">
        <v>3</v>
      </c>
      <c r="G417" s="8" t="s">
        <v>1276</v>
      </c>
      <c r="H417" s="73"/>
      <c r="I417" s="86">
        <v>2.5</v>
      </c>
      <c r="J417" s="86">
        <v>-5.5</v>
      </c>
      <c r="K417" s="14" t="s">
        <v>1277</v>
      </c>
    </row>
    <row r="418" spans="1:11" ht="105">
      <c r="B418" s="5">
        <v>45645</v>
      </c>
      <c r="C418" s="6" t="s">
        <v>40</v>
      </c>
      <c r="D418" s="7">
        <v>0.85416666666666663</v>
      </c>
      <c r="E418" s="8" t="s">
        <v>1</v>
      </c>
      <c r="F418" s="8">
        <v>3</v>
      </c>
      <c r="G418" s="8" t="s">
        <v>1278</v>
      </c>
      <c r="H418" s="73"/>
      <c r="I418" s="86" t="s">
        <v>78</v>
      </c>
      <c r="J418" s="86" t="s">
        <v>351</v>
      </c>
      <c r="K418" s="14" t="s">
        <v>1279</v>
      </c>
    </row>
    <row r="419" spans="1:11" ht="118">
      <c r="B419" s="5">
        <v>45646</v>
      </c>
      <c r="C419" s="6" t="s">
        <v>39</v>
      </c>
      <c r="D419" s="7">
        <v>0.79166666666666663</v>
      </c>
      <c r="E419" s="8" t="s">
        <v>1</v>
      </c>
      <c r="F419" s="8">
        <v>3</v>
      </c>
      <c r="G419" s="8" t="s">
        <v>1280</v>
      </c>
      <c r="H419" s="73"/>
      <c r="I419" s="84">
        <v>2E-3</v>
      </c>
      <c r="J419" s="84">
        <v>3.0000000000000001E-3</v>
      </c>
      <c r="K419" s="14" t="s">
        <v>1281</v>
      </c>
    </row>
    <row r="420" spans="1:11" ht="92">
      <c r="B420" s="5">
        <v>45646</v>
      </c>
      <c r="C420" s="6" t="s">
        <v>39</v>
      </c>
      <c r="D420" s="7">
        <v>0.79166666666666663</v>
      </c>
      <c r="E420" s="8" t="s">
        <v>1</v>
      </c>
      <c r="F420" s="8">
        <v>3</v>
      </c>
      <c r="G420" s="8" t="s">
        <v>1282</v>
      </c>
      <c r="H420" s="73"/>
      <c r="I420" s="84"/>
      <c r="J420" s="84">
        <v>2.8000000000000001E-2</v>
      </c>
      <c r="K420" s="14" t="s">
        <v>1283</v>
      </c>
    </row>
    <row r="421" spans="1:11" ht="53">
      <c r="B421" s="5">
        <v>45687</v>
      </c>
      <c r="C421" s="6" t="s">
        <v>40</v>
      </c>
      <c r="D421" s="7">
        <v>2.0833333333333332E-2</v>
      </c>
      <c r="E421" s="8" t="s">
        <v>1</v>
      </c>
      <c r="F421" s="8">
        <v>3</v>
      </c>
      <c r="G421" s="8" t="s">
        <v>127</v>
      </c>
      <c r="H421" s="73"/>
      <c r="I421" s="84">
        <v>4.3299999999999998E-2</v>
      </c>
      <c r="J421" s="84">
        <v>4.6199999999999998E-2</v>
      </c>
      <c r="K421" s="14" t="s">
        <v>1284</v>
      </c>
    </row>
    <row r="422" spans="1:11">
      <c r="C422" t="s">
        <v>1162</v>
      </c>
      <c r="H422"/>
      <c r="J422" s="1"/>
      <c r="K422" s="25"/>
    </row>
    <row r="423" spans="1:11" ht="92">
      <c r="A423" s="569" t="s">
        <v>105</v>
      </c>
      <c r="B423" s="5">
        <v>45649</v>
      </c>
      <c r="C423" s="6" t="s">
        <v>38</v>
      </c>
      <c r="D423" s="7">
        <v>0.52083333333333337</v>
      </c>
      <c r="E423" s="8" t="s">
        <v>53</v>
      </c>
      <c r="F423" s="8">
        <v>3</v>
      </c>
      <c r="G423" s="8" t="s">
        <v>1295</v>
      </c>
      <c r="H423" s="73"/>
      <c r="I423" s="84">
        <v>1E-3</v>
      </c>
      <c r="J423" s="84">
        <v>5.0000000000000001E-3</v>
      </c>
      <c r="K423" s="14" t="s">
        <v>1296</v>
      </c>
    </row>
    <row r="424" spans="1:11" ht="92">
      <c r="B424" s="5">
        <v>45649</v>
      </c>
      <c r="C424" s="6" t="s">
        <v>38</v>
      </c>
      <c r="D424" s="7">
        <v>0.52083333333333337</v>
      </c>
      <c r="E424" s="8" t="s">
        <v>53</v>
      </c>
      <c r="F424" s="8">
        <v>3</v>
      </c>
      <c r="G424" s="8" t="s">
        <v>1297</v>
      </c>
      <c r="H424" s="73"/>
      <c r="I424" s="84">
        <v>0.01</v>
      </c>
      <c r="J424" s="84">
        <v>7.0000000000000001E-3</v>
      </c>
      <c r="K424" s="14" t="s">
        <v>1296</v>
      </c>
    </row>
    <row r="425" spans="1:11" ht="105">
      <c r="B425" s="5">
        <v>45649</v>
      </c>
      <c r="C425" s="6" t="s">
        <v>38</v>
      </c>
      <c r="D425" s="7">
        <v>0.85416666666666663</v>
      </c>
      <c r="E425" s="8" t="s">
        <v>1</v>
      </c>
      <c r="F425" s="8">
        <v>3</v>
      </c>
      <c r="G425" s="8" t="s">
        <v>1298</v>
      </c>
      <c r="H425" s="73"/>
      <c r="I425" s="86">
        <v>113</v>
      </c>
      <c r="J425" s="86">
        <v>111.7</v>
      </c>
      <c r="K425" s="14" t="s">
        <v>1299</v>
      </c>
    </row>
    <row r="426" spans="1:11">
      <c r="B426" s="5">
        <v>45650</v>
      </c>
      <c r="C426" s="6" t="s">
        <v>38</v>
      </c>
      <c r="D426" s="7">
        <v>0.22916666666666666</v>
      </c>
      <c r="E426" s="8" t="s">
        <v>1300</v>
      </c>
      <c r="F426" s="8">
        <v>3</v>
      </c>
      <c r="G426" s="8" t="s">
        <v>1301</v>
      </c>
      <c r="H426" s="73"/>
      <c r="I426" s="84"/>
      <c r="J426" s="86"/>
      <c r="K426" s="14"/>
    </row>
    <row r="427" spans="1:11" ht="92">
      <c r="B427" s="5">
        <f>B426</f>
        <v>45650</v>
      </c>
      <c r="C427" s="6" t="s">
        <v>38</v>
      </c>
      <c r="D427" s="7">
        <v>0.79166666666666663</v>
      </c>
      <c r="E427" s="8" t="s">
        <v>1</v>
      </c>
      <c r="F427" s="8">
        <v>3</v>
      </c>
      <c r="G427" s="8" t="s">
        <v>1302</v>
      </c>
      <c r="H427" s="73"/>
      <c r="I427" s="84">
        <v>-4.0000000000000001E-3</v>
      </c>
      <c r="J427" s="84">
        <v>2E-3</v>
      </c>
      <c r="K427" s="14" t="s">
        <v>1303</v>
      </c>
    </row>
    <row r="428" spans="1:11" ht="118">
      <c r="B428" s="5">
        <f>B427</f>
        <v>45650</v>
      </c>
      <c r="C428" s="6" t="s">
        <v>38</v>
      </c>
      <c r="D428" s="7">
        <v>0.85416666666666663</v>
      </c>
      <c r="E428" s="8" t="s">
        <v>1</v>
      </c>
      <c r="F428" s="8">
        <v>3</v>
      </c>
      <c r="G428" s="8" t="s">
        <v>1304</v>
      </c>
      <c r="H428" s="73"/>
      <c r="I428" s="84" t="s">
        <v>1305</v>
      </c>
      <c r="J428" s="84" t="s">
        <v>1306</v>
      </c>
      <c r="K428" s="14" t="s">
        <v>1307</v>
      </c>
    </row>
    <row r="429" spans="1:11">
      <c r="B429" s="5">
        <v>45651</v>
      </c>
      <c r="C429" s="6" t="s">
        <v>38</v>
      </c>
      <c r="D429" s="7">
        <v>0.22916666666666666</v>
      </c>
      <c r="E429" s="8" t="s">
        <v>1300</v>
      </c>
      <c r="F429" s="8">
        <v>3</v>
      </c>
      <c r="G429" s="8" t="s">
        <v>1308</v>
      </c>
      <c r="H429" s="73"/>
      <c r="I429" s="84"/>
      <c r="J429" s="86"/>
      <c r="K429" s="14"/>
    </row>
    <row r="430" spans="1:11" ht="92">
      <c r="B430" s="5">
        <f>B429+1</f>
        <v>45652</v>
      </c>
      <c r="C430" s="6" t="s">
        <v>38</v>
      </c>
      <c r="D430" s="7">
        <v>0.79166666666666663</v>
      </c>
      <c r="E430" s="8" t="s">
        <v>1</v>
      </c>
      <c r="F430" s="8">
        <v>3</v>
      </c>
      <c r="G430" s="8" t="s">
        <v>1309</v>
      </c>
      <c r="H430" s="73"/>
      <c r="I430" s="84"/>
      <c r="J430" s="84" t="s">
        <v>931</v>
      </c>
      <c r="K430" s="14" t="s">
        <v>1310</v>
      </c>
    </row>
    <row r="431" spans="1:11" ht="144">
      <c r="B431" s="5">
        <f>B430</f>
        <v>45652</v>
      </c>
      <c r="C431" s="6" t="s">
        <v>38</v>
      </c>
      <c r="D431" s="7">
        <v>0.89583333333333337</v>
      </c>
      <c r="E431" s="8" t="s">
        <v>1</v>
      </c>
      <c r="F431" s="8">
        <v>3</v>
      </c>
      <c r="G431" s="8" t="s">
        <v>9</v>
      </c>
      <c r="H431" s="73"/>
      <c r="I431" s="84"/>
      <c r="J431" s="85" t="s">
        <v>1311</v>
      </c>
      <c r="K431" s="14" t="s">
        <v>1312</v>
      </c>
    </row>
    <row r="432" spans="1:11" ht="53">
      <c r="B432" s="5">
        <v>45687</v>
      </c>
      <c r="C432" s="6" t="s">
        <v>40</v>
      </c>
      <c r="D432" s="7">
        <v>2.0833333333333332E-2</v>
      </c>
      <c r="E432" s="8" t="s">
        <v>1</v>
      </c>
      <c r="F432" s="8">
        <v>3</v>
      </c>
      <c r="G432" s="8" t="s">
        <v>127</v>
      </c>
      <c r="H432" s="73"/>
      <c r="I432" s="84">
        <v>4.3299999999999998E-2</v>
      </c>
      <c r="J432" s="84">
        <v>4.6199999999999998E-2</v>
      </c>
      <c r="K432" s="14" t="s">
        <v>1284</v>
      </c>
    </row>
    <row r="433" spans="1:11">
      <c r="C433" t="s">
        <v>1313</v>
      </c>
      <c r="H433"/>
      <c r="J433" s="1"/>
      <c r="K433" s="25"/>
    </row>
    <row r="434" spans="1:11" ht="118">
      <c r="A434" s="569" t="s">
        <v>105</v>
      </c>
      <c r="B434" s="5">
        <v>45656</v>
      </c>
      <c r="C434" s="6" t="s">
        <v>43</v>
      </c>
      <c r="D434" s="7">
        <v>0.84375</v>
      </c>
      <c r="E434" s="8" t="s">
        <v>1</v>
      </c>
      <c r="F434" s="77">
        <v>3</v>
      </c>
      <c r="G434" s="8" t="s">
        <v>1319</v>
      </c>
      <c r="H434" s="73"/>
      <c r="I434" s="86">
        <v>42.7</v>
      </c>
      <c r="J434" s="86">
        <v>40.200000000000003</v>
      </c>
      <c r="K434" s="14" t="s">
        <v>1320</v>
      </c>
    </row>
    <row r="435" spans="1:11">
      <c r="B435" s="5">
        <v>45657</v>
      </c>
      <c r="C435" s="6" t="s">
        <v>42</v>
      </c>
      <c r="D435" s="7">
        <v>0.22916666666666666</v>
      </c>
      <c r="E435" s="8" t="s">
        <v>1300</v>
      </c>
      <c r="F435" s="77">
        <v>3</v>
      </c>
      <c r="G435" s="8" t="s">
        <v>1321</v>
      </c>
      <c r="H435" s="73"/>
      <c r="I435" s="86"/>
      <c r="J435" s="86"/>
      <c r="K435" s="14"/>
    </row>
    <row r="436" spans="1:11" ht="144">
      <c r="B436" s="5">
        <v>45657</v>
      </c>
      <c r="C436" s="6" t="s">
        <v>42</v>
      </c>
      <c r="D436" s="7">
        <v>0.29166666666666669</v>
      </c>
      <c r="E436" s="8" t="s">
        <v>65</v>
      </c>
      <c r="F436" s="77">
        <v>3</v>
      </c>
      <c r="G436" s="8" t="s">
        <v>1322</v>
      </c>
      <c r="H436" s="73"/>
      <c r="I436" s="86">
        <v>50.3</v>
      </c>
      <c r="J436" s="86">
        <v>50.3</v>
      </c>
      <c r="K436" s="14" t="s">
        <v>1323</v>
      </c>
    </row>
    <row r="437" spans="1:11">
      <c r="B437" s="5">
        <v>45658</v>
      </c>
      <c r="C437" s="6" t="s">
        <v>41</v>
      </c>
      <c r="D437" s="7">
        <v>0.22916666666666666</v>
      </c>
      <c r="E437" s="8" t="s">
        <v>1300</v>
      </c>
      <c r="F437" s="77">
        <v>3</v>
      </c>
      <c r="G437" s="8" t="s">
        <v>1324</v>
      </c>
      <c r="H437" s="73"/>
      <c r="I437" s="86"/>
      <c r="J437" s="86"/>
      <c r="K437" s="14"/>
    </row>
    <row r="438" spans="1:11">
      <c r="B438" s="5">
        <v>45659</v>
      </c>
      <c r="C438" s="6" t="s">
        <v>1325</v>
      </c>
      <c r="D438" s="7">
        <v>0.22916666666666666</v>
      </c>
      <c r="E438" s="8" t="s">
        <v>1300</v>
      </c>
      <c r="F438" s="77">
        <v>3</v>
      </c>
      <c r="G438" s="8" t="s">
        <v>1326</v>
      </c>
      <c r="H438" s="73"/>
      <c r="I438" s="86"/>
      <c r="J438" s="86"/>
      <c r="K438" s="14"/>
    </row>
    <row r="439" spans="1:11" ht="92">
      <c r="B439" s="5">
        <v>45659</v>
      </c>
      <c r="C439" s="6" t="s">
        <v>1325</v>
      </c>
      <c r="D439" s="7">
        <v>0.79166666666666663</v>
      </c>
      <c r="E439" s="8" t="s">
        <v>1</v>
      </c>
      <c r="F439" s="77">
        <v>3</v>
      </c>
      <c r="G439" s="8" t="s">
        <v>1309</v>
      </c>
      <c r="H439" s="73"/>
      <c r="I439" s="86" t="s">
        <v>931</v>
      </c>
      <c r="J439" s="86" t="s">
        <v>345</v>
      </c>
      <c r="K439" s="14" t="s">
        <v>1327</v>
      </c>
    </row>
    <row r="440" spans="1:11" ht="144">
      <c r="B440" s="5">
        <v>45659</v>
      </c>
      <c r="C440" s="6" t="s">
        <v>1325</v>
      </c>
      <c r="D440" s="7">
        <v>0.84375</v>
      </c>
      <c r="E440" s="8" t="s">
        <v>1</v>
      </c>
      <c r="F440" s="77">
        <v>3</v>
      </c>
      <c r="G440" s="8" t="s">
        <v>1328</v>
      </c>
      <c r="H440" s="73"/>
      <c r="I440" s="86">
        <v>48.3</v>
      </c>
      <c r="J440" s="86">
        <v>49.7</v>
      </c>
      <c r="K440" s="14" t="s">
        <v>1329</v>
      </c>
    </row>
    <row r="441" spans="1:11" ht="196">
      <c r="B441" s="5">
        <v>45659</v>
      </c>
      <c r="C441" s="6" t="s">
        <v>1325</v>
      </c>
      <c r="D441" s="7">
        <v>0.85416666666666663</v>
      </c>
      <c r="E441" s="8" t="s">
        <v>1</v>
      </c>
      <c r="F441" s="77">
        <v>3</v>
      </c>
      <c r="G441" s="8" t="s">
        <v>1330</v>
      </c>
      <c r="H441" s="73"/>
      <c r="I441" s="86"/>
      <c r="J441" s="86">
        <v>48.4</v>
      </c>
      <c r="K441" s="14" t="s">
        <v>1331</v>
      </c>
    </row>
    <row r="442" spans="1:11" ht="381">
      <c r="B442" s="5">
        <v>45659</v>
      </c>
      <c r="C442" s="6" t="s">
        <v>1325</v>
      </c>
      <c r="D442" s="7">
        <v>0.85416666666666663</v>
      </c>
      <c r="E442" s="8" t="s">
        <v>1</v>
      </c>
      <c r="F442" s="77">
        <v>3</v>
      </c>
      <c r="G442" s="8" t="s">
        <v>1332</v>
      </c>
      <c r="H442" s="73"/>
      <c r="I442" s="86"/>
      <c r="J442" s="86">
        <v>50.3</v>
      </c>
      <c r="K442" s="14" t="s">
        <v>1333</v>
      </c>
    </row>
    <row r="443" spans="1:11" ht="131">
      <c r="B443" s="5">
        <v>45659</v>
      </c>
      <c r="C443" s="6" t="s">
        <v>1325</v>
      </c>
      <c r="D443" s="7">
        <v>0.89583333333333337</v>
      </c>
      <c r="E443" s="8" t="s">
        <v>1300</v>
      </c>
      <c r="F443" s="77">
        <v>3</v>
      </c>
      <c r="G443" s="8" t="s">
        <v>1334</v>
      </c>
      <c r="H443" s="73"/>
      <c r="I443" s="86"/>
      <c r="J443" s="329" t="s">
        <v>1335</v>
      </c>
      <c r="K443" s="14" t="s">
        <v>1336</v>
      </c>
    </row>
    <row r="444" spans="1:11">
      <c r="B444" s="5">
        <v>45660</v>
      </c>
      <c r="C444" s="6" t="s">
        <v>1325</v>
      </c>
      <c r="D444" s="7">
        <v>0.22916666666666666</v>
      </c>
      <c r="E444" s="8" t="s">
        <v>1300</v>
      </c>
      <c r="F444" s="77">
        <v>3</v>
      </c>
      <c r="G444" s="8" t="s">
        <v>1337</v>
      </c>
      <c r="H444" s="73"/>
      <c r="I444" s="86"/>
      <c r="J444" s="86"/>
      <c r="K444" s="14"/>
    </row>
    <row r="445" spans="1:11" ht="196">
      <c r="B445" s="5">
        <v>45661</v>
      </c>
      <c r="C445" s="6" t="s">
        <v>39</v>
      </c>
      <c r="D445" s="7">
        <v>0.85416666666666663</v>
      </c>
      <c r="E445" s="8" t="s">
        <v>1</v>
      </c>
      <c r="F445" s="77">
        <v>3</v>
      </c>
      <c r="G445" s="8" t="s">
        <v>1330</v>
      </c>
      <c r="H445" s="73"/>
      <c r="I445" s="86">
        <v>48.3</v>
      </c>
      <c r="J445" s="86">
        <v>48.4</v>
      </c>
      <c r="K445" s="14" t="s">
        <v>1331</v>
      </c>
    </row>
    <row r="446" spans="1:11" ht="331" customHeight="1">
      <c r="B446" s="5">
        <v>45661</v>
      </c>
      <c r="C446" s="6" t="s">
        <v>39</v>
      </c>
      <c r="D446" s="7">
        <v>0.85416666666666663</v>
      </c>
      <c r="E446" s="8" t="s">
        <v>1</v>
      </c>
      <c r="F446" s="77">
        <v>3</v>
      </c>
      <c r="G446" s="8" t="s">
        <v>1332</v>
      </c>
      <c r="H446" s="73"/>
      <c r="I446" s="86">
        <v>52.2</v>
      </c>
      <c r="J446" s="86">
        <v>50.3</v>
      </c>
      <c r="K446" s="14" t="s">
        <v>1333</v>
      </c>
    </row>
    <row r="447" spans="1:11" ht="53">
      <c r="B447" s="5">
        <v>45687</v>
      </c>
      <c r="C447" s="6" t="s">
        <v>40</v>
      </c>
      <c r="D447" s="7">
        <v>2.0833333333333332E-2</v>
      </c>
      <c r="E447" s="8" t="s">
        <v>1</v>
      </c>
      <c r="F447" s="8">
        <v>3</v>
      </c>
      <c r="G447" s="8" t="s">
        <v>127</v>
      </c>
      <c r="H447" s="73"/>
      <c r="I447" s="84">
        <v>4.3499999999999997E-2</v>
      </c>
      <c r="J447" s="84">
        <v>4.6199999999999998E-2</v>
      </c>
      <c r="K447" s="14" t="s">
        <v>1284</v>
      </c>
    </row>
    <row r="448" spans="1:11">
      <c r="C448" t="s">
        <v>1338</v>
      </c>
      <c r="H448"/>
      <c r="J448" s="1"/>
      <c r="K448" s="25"/>
    </row>
    <row r="449" spans="1:11" ht="118">
      <c r="A449" s="569" t="s">
        <v>105</v>
      </c>
      <c r="B449" s="5">
        <v>45656</v>
      </c>
      <c r="C449" s="6" t="s">
        <v>43</v>
      </c>
      <c r="D449" s="7">
        <v>0.84375</v>
      </c>
      <c r="E449" s="8" t="s">
        <v>1</v>
      </c>
      <c r="F449" s="77">
        <v>3</v>
      </c>
      <c r="G449" s="8" t="s">
        <v>1319</v>
      </c>
      <c r="H449" s="73"/>
      <c r="I449" s="86">
        <v>42.7</v>
      </c>
      <c r="J449" s="86">
        <v>40.200000000000003</v>
      </c>
      <c r="K449" s="14" t="s">
        <v>1320</v>
      </c>
    </row>
    <row r="450" spans="1:11">
      <c r="B450" s="5">
        <v>45657</v>
      </c>
      <c r="C450" s="6" t="s">
        <v>42</v>
      </c>
      <c r="D450" s="7">
        <v>0.22916666666666666</v>
      </c>
      <c r="E450" s="8" t="s">
        <v>1300</v>
      </c>
      <c r="F450" s="77">
        <v>3</v>
      </c>
      <c r="G450" s="8" t="s">
        <v>1321</v>
      </c>
      <c r="H450" s="73"/>
      <c r="I450" s="86"/>
      <c r="J450" s="86"/>
      <c r="K450" s="14"/>
    </row>
    <row r="451" spans="1:11" ht="144">
      <c r="B451" s="5">
        <v>45657</v>
      </c>
      <c r="C451" s="6" t="s">
        <v>42</v>
      </c>
      <c r="D451" s="7">
        <v>0.29166666666666669</v>
      </c>
      <c r="E451" s="8" t="s">
        <v>65</v>
      </c>
      <c r="F451" s="77">
        <v>3</v>
      </c>
      <c r="G451" s="8" t="s">
        <v>1322</v>
      </c>
      <c r="H451" s="73"/>
      <c r="I451" s="86">
        <v>50.3</v>
      </c>
      <c r="J451" s="86">
        <v>50.3</v>
      </c>
      <c r="K451" s="14" t="s">
        <v>1323</v>
      </c>
    </row>
    <row r="452" spans="1:11">
      <c r="B452" s="5">
        <v>45658</v>
      </c>
      <c r="C452" s="6" t="s">
        <v>41</v>
      </c>
      <c r="D452" s="7">
        <v>0.22916666666666666</v>
      </c>
      <c r="E452" s="8" t="s">
        <v>1300</v>
      </c>
      <c r="F452" s="77">
        <v>3</v>
      </c>
      <c r="G452" s="8" t="s">
        <v>1324</v>
      </c>
      <c r="H452" s="73"/>
      <c r="I452" s="86"/>
      <c r="J452" s="86"/>
      <c r="K452" s="14"/>
    </row>
    <row r="453" spans="1:11">
      <c r="B453" s="5">
        <v>45659</v>
      </c>
      <c r="C453" s="6" t="s">
        <v>1325</v>
      </c>
      <c r="D453" s="7">
        <v>0.22916666666666666</v>
      </c>
      <c r="E453" s="8" t="s">
        <v>1300</v>
      </c>
      <c r="F453" s="77">
        <v>3</v>
      </c>
      <c r="G453" s="8" t="s">
        <v>1326</v>
      </c>
      <c r="H453" s="73"/>
      <c r="I453" s="86"/>
      <c r="J453" s="86"/>
      <c r="K453" s="14"/>
    </row>
    <row r="454" spans="1:11" ht="92">
      <c r="B454" s="5">
        <v>45659</v>
      </c>
      <c r="C454" s="6" t="s">
        <v>1325</v>
      </c>
      <c r="D454" s="7">
        <v>0.79166666666666663</v>
      </c>
      <c r="E454" s="8" t="s">
        <v>1</v>
      </c>
      <c r="F454" s="77">
        <v>3</v>
      </c>
      <c r="G454" s="8" t="s">
        <v>1309</v>
      </c>
      <c r="H454" s="73"/>
      <c r="I454" s="86" t="s">
        <v>931</v>
      </c>
      <c r="J454" s="86" t="s">
        <v>345</v>
      </c>
      <c r="K454" s="14" t="s">
        <v>1327</v>
      </c>
    </row>
    <row r="455" spans="1:11" ht="144">
      <c r="B455" s="5">
        <v>45659</v>
      </c>
      <c r="C455" s="6" t="s">
        <v>1325</v>
      </c>
      <c r="D455" s="7">
        <v>0.84375</v>
      </c>
      <c r="E455" s="8" t="s">
        <v>1</v>
      </c>
      <c r="F455" s="77">
        <v>3</v>
      </c>
      <c r="G455" s="8" t="s">
        <v>1328</v>
      </c>
      <c r="H455" s="73"/>
      <c r="I455" s="86">
        <v>48.3</v>
      </c>
      <c r="J455" s="86">
        <v>49.7</v>
      </c>
      <c r="K455" s="14" t="s">
        <v>1329</v>
      </c>
    </row>
    <row r="456" spans="1:11" ht="196">
      <c r="B456" s="5">
        <v>45659</v>
      </c>
      <c r="C456" s="6" t="s">
        <v>1325</v>
      </c>
      <c r="D456" s="7">
        <v>0.85416666666666663</v>
      </c>
      <c r="E456" s="8" t="s">
        <v>1</v>
      </c>
      <c r="F456" s="77">
        <v>3</v>
      </c>
      <c r="G456" s="8" t="s">
        <v>1330</v>
      </c>
      <c r="H456" s="73"/>
      <c r="I456" s="86"/>
      <c r="J456" s="86">
        <v>48.4</v>
      </c>
      <c r="K456" s="14" t="s">
        <v>1331</v>
      </c>
    </row>
    <row r="457" spans="1:11" ht="381">
      <c r="B457" s="5">
        <v>45659</v>
      </c>
      <c r="C457" s="6" t="s">
        <v>1325</v>
      </c>
      <c r="D457" s="7">
        <v>0.85416666666666663</v>
      </c>
      <c r="E457" s="8" t="s">
        <v>1</v>
      </c>
      <c r="F457" s="77">
        <v>3</v>
      </c>
      <c r="G457" s="8" t="s">
        <v>1332</v>
      </c>
      <c r="H457" s="73"/>
      <c r="I457" s="86"/>
      <c r="J457" s="86">
        <v>50.3</v>
      </c>
      <c r="K457" s="14" t="s">
        <v>1333</v>
      </c>
    </row>
    <row r="458" spans="1:11" ht="131">
      <c r="B458" s="5">
        <v>45659</v>
      </c>
      <c r="C458" s="6" t="s">
        <v>1325</v>
      </c>
      <c r="D458" s="7">
        <v>0.89583333333333337</v>
      </c>
      <c r="E458" s="8" t="s">
        <v>1300</v>
      </c>
      <c r="F458" s="77">
        <v>3</v>
      </c>
      <c r="G458" s="8" t="s">
        <v>1334</v>
      </c>
      <c r="H458" s="73"/>
      <c r="I458" s="86"/>
      <c r="J458" s="329" t="s">
        <v>1335</v>
      </c>
      <c r="K458" s="14" t="s">
        <v>1336</v>
      </c>
    </row>
    <row r="459" spans="1:11">
      <c r="B459" s="5">
        <v>45660</v>
      </c>
      <c r="C459" s="6" t="s">
        <v>1325</v>
      </c>
      <c r="D459" s="7">
        <v>0.22916666666666666</v>
      </c>
      <c r="E459" s="8" t="s">
        <v>1300</v>
      </c>
      <c r="F459" s="77">
        <v>3</v>
      </c>
      <c r="G459" s="8" t="s">
        <v>1337</v>
      </c>
      <c r="H459" s="73"/>
      <c r="I459" s="86"/>
      <c r="J459" s="86"/>
      <c r="K459" s="14"/>
    </row>
    <row r="460" spans="1:11" ht="196">
      <c r="B460" s="5">
        <v>45661</v>
      </c>
      <c r="C460" s="6" t="s">
        <v>39</v>
      </c>
      <c r="D460" s="7">
        <v>0.85416666666666663</v>
      </c>
      <c r="E460" s="8" t="s">
        <v>1</v>
      </c>
      <c r="F460" s="77">
        <v>3</v>
      </c>
      <c r="G460" s="8" t="s">
        <v>1330</v>
      </c>
      <c r="H460" s="73"/>
      <c r="I460" s="86">
        <v>48.3</v>
      </c>
      <c r="J460" s="86">
        <v>48.4</v>
      </c>
      <c r="K460" s="14" t="s">
        <v>1331</v>
      </c>
    </row>
    <row r="461" spans="1:11" ht="381">
      <c r="B461" s="5">
        <v>45661</v>
      </c>
      <c r="C461" s="6" t="s">
        <v>39</v>
      </c>
      <c r="D461" s="7">
        <v>0.85416666666666663</v>
      </c>
      <c r="E461" s="8" t="s">
        <v>1</v>
      </c>
      <c r="F461" s="77">
        <v>3</v>
      </c>
      <c r="G461" s="8" t="s">
        <v>1332</v>
      </c>
      <c r="H461" s="73"/>
      <c r="I461" s="86">
        <v>52.2</v>
      </c>
      <c r="J461" s="86">
        <v>50.3</v>
      </c>
      <c r="K461" s="14" t="s">
        <v>1333</v>
      </c>
    </row>
    <row r="462" spans="1:11" ht="53">
      <c r="B462" s="5">
        <v>45687</v>
      </c>
      <c r="C462" s="6" t="s">
        <v>40</v>
      </c>
      <c r="D462" s="7">
        <v>2.0833333333333332E-2</v>
      </c>
      <c r="E462" s="8" t="s">
        <v>1</v>
      </c>
      <c r="F462" s="8">
        <v>3</v>
      </c>
      <c r="G462" s="8" t="s">
        <v>127</v>
      </c>
      <c r="H462" s="73"/>
      <c r="I462" s="84">
        <v>4.3499999999999997E-2</v>
      </c>
      <c r="J462" s="84">
        <v>4.6199999999999998E-2</v>
      </c>
      <c r="K462" s="14" t="s">
        <v>1284</v>
      </c>
    </row>
    <row r="463" spans="1:11">
      <c r="C463" t="s">
        <v>1338</v>
      </c>
      <c r="H463"/>
      <c r="J463" s="1"/>
      <c r="K463" s="25"/>
    </row>
    <row r="464" spans="1:11" ht="105">
      <c r="A464" s="569" t="s">
        <v>105</v>
      </c>
      <c r="B464" s="5">
        <v>45663</v>
      </c>
      <c r="C464" s="6" t="s">
        <v>43</v>
      </c>
      <c r="D464" s="7">
        <v>0.77083333333333337</v>
      </c>
      <c r="E464" s="8" t="s">
        <v>22</v>
      </c>
      <c r="F464" s="77">
        <v>3</v>
      </c>
      <c r="G464" s="8" t="s">
        <v>1348</v>
      </c>
      <c r="H464" s="73"/>
      <c r="I464" s="84"/>
      <c r="J464" s="84">
        <v>-2E-3</v>
      </c>
      <c r="K464" s="14" t="s">
        <v>1349</v>
      </c>
    </row>
    <row r="465" spans="2:11" ht="105">
      <c r="B465" s="5">
        <v>45663</v>
      </c>
      <c r="C465" s="6" t="s">
        <v>43</v>
      </c>
      <c r="D465" s="7">
        <v>0.84375</v>
      </c>
      <c r="E465" s="8" t="s">
        <v>1</v>
      </c>
      <c r="F465" s="77">
        <v>3</v>
      </c>
      <c r="G465" s="8" t="s">
        <v>1350</v>
      </c>
      <c r="H465" s="73"/>
      <c r="I465" s="86">
        <v>58.5</v>
      </c>
      <c r="J465" s="86">
        <v>56.1</v>
      </c>
      <c r="K465" s="14" t="s">
        <v>1351</v>
      </c>
    </row>
    <row r="466" spans="2:11" ht="170">
      <c r="B466" s="5">
        <v>45664</v>
      </c>
      <c r="C466" s="6" t="s">
        <v>42</v>
      </c>
      <c r="D466" s="7">
        <v>0.54166666666666663</v>
      </c>
      <c r="E466" s="8" t="s">
        <v>270</v>
      </c>
      <c r="F466" s="77">
        <v>1</v>
      </c>
      <c r="G466" s="8" t="s">
        <v>1352</v>
      </c>
      <c r="H466" s="73"/>
      <c r="I466" s="84"/>
      <c r="J466" s="84">
        <v>7.0000000000000001E-3</v>
      </c>
      <c r="K466" s="14" t="s">
        <v>1353</v>
      </c>
    </row>
    <row r="467" spans="2:11" ht="170">
      <c r="B467" s="5">
        <v>45664</v>
      </c>
      <c r="C467" s="6" t="s">
        <v>42</v>
      </c>
      <c r="D467" s="7">
        <v>0.64583333333333337</v>
      </c>
      <c r="E467" s="8" t="s">
        <v>22</v>
      </c>
      <c r="F467" s="77">
        <v>3</v>
      </c>
      <c r="G467" s="8" t="s">
        <v>1354</v>
      </c>
      <c r="H467" s="73"/>
      <c r="I467" s="84"/>
      <c r="J467" s="84">
        <v>2.1999999999999999E-2</v>
      </c>
      <c r="K467" s="14" t="s">
        <v>1353</v>
      </c>
    </row>
    <row r="468" spans="2:11" ht="209">
      <c r="B468" s="5">
        <v>45664</v>
      </c>
      <c r="C468" s="6" t="s">
        <v>42</v>
      </c>
      <c r="D468" s="7">
        <v>0.85416666666666663</v>
      </c>
      <c r="E468" s="8" t="s">
        <v>1</v>
      </c>
      <c r="F468" s="77">
        <v>3</v>
      </c>
      <c r="G468" s="8" t="s">
        <v>1355</v>
      </c>
      <c r="H468" s="73"/>
      <c r="I468" s="86">
        <v>53.5</v>
      </c>
      <c r="J468" s="86">
        <v>52.1</v>
      </c>
      <c r="K468" s="14" t="s">
        <v>1356</v>
      </c>
    </row>
    <row r="469" spans="2:11" ht="196">
      <c r="B469" s="5">
        <v>45664</v>
      </c>
      <c r="C469" s="6" t="s">
        <v>42</v>
      </c>
      <c r="D469" s="7">
        <v>0.85416666666666663</v>
      </c>
      <c r="E469" s="8" t="s">
        <v>1</v>
      </c>
      <c r="F469" s="77">
        <v>3</v>
      </c>
      <c r="G469" s="8" t="s">
        <v>1357</v>
      </c>
      <c r="H469" s="73"/>
      <c r="I469" s="84"/>
      <c r="J469" s="86">
        <v>58.2</v>
      </c>
      <c r="K469" s="14" t="s">
        <v>1358</v>
      </c>
    </row>
    <row r="470" spans="2:11" ht="157">
      <c r="B470" s="5">
        <v>45664</v>
      </c>
      <c r="C470" s="6" t="s">
        <v>42</v>
      </c>
      <c r="D470" s="7">
        <v>0.85416666666666663</v>
      </c>
      <c r="E470" s="8" t="s">
        <v>1</v>
      </c>
      <c r="F470" s="77">
        <v>3</v>
      </c>
      <c r="G470" s="8" t="s">
        <v>1359</v>
      </c>
      <c r="H470" s="73"/>
      <c r="I470" s="86" t="s">
        <v>1360</v>
      </c>
      <c r="J470" s="86" t="s">
        <v>1361</v>
      </c>
      <c r="K470" s="14" t="s">
        <v>1362</v>
      </c>
    </row>
    <row r="471" spans="2:11" ht="157">
      <c r="B471" s="5">
        <v>45664</v>
      </c>
      <c r="C471" s="5" t="s">
        <v>42</v>
      </c>
      <c r="D471" s="7">
        <v>0.97916666666666663</v>
      </c>
      <c r="E471" s="8" t="s">
        <v>1</v>
      </c>
      <c r="F471" s="77">
        <v>3</v>
      </c>
      <c r="G471" s="8" t="s">
        <v>52</v>
      </c>
      <c r="H471" s="73"/>
      <c r="I471" s="86"/>
      <c r="J471" s="197">
        <v>4.2349999999999999E-2</v>
      </c>
      <c r="K471" s="14" t="s">
        <v>1363</v>
      </c>
    </row>
    <row r="472" spans="2:11" ht="105">
      <c r="B472" s="5">
        <v>45665</v>
      </c>
      <c r="C472" s="6" t="s">
        <v>41</v>
      </c>
      <c r="D472" s="7">
        <v>0.78125</v>
      </c>
      <c r="E472" s="8" t="s">
        <v>1</v>
      </c>
      <c r="F472" s="77">
        <v>3</v>
      </c>
      <c r="G472" s="8" t="s">
        <v>1364</v>
      </c>
      <c r="H472" s="73"/>
      <c r="I472" s="86" t="s">
        <v>635</v>
      </c>
      <c r="J472" s="86" t="s">
        <v>1365</v>
      </c>
      <c r="K472" s="14" t="s">
        <v>1366</v>
      </c>
    </row>
    <row r="473" spans="2:11" ht="79">
      <c r="B473" s="5">
        <v>45666</v>
      </c>
      <c r="C473" s="6" t="s">
        <v>1325</v>
      </c>
      <c r="D473" s="7">
        <v>0.79166666666666663</v>
      </c>
      <c r="E473" s="8" t="s">
        <v>1</v>
      </c>
      <c r="F473" s="77">
        <v>3</v>
      </c>
      <c r="G473" s="8" t="s">
        <v>14</v>
      </c>
      <c r="H473" s="73"/>
      <c r="I473" s="86"/>
      <c r="J473" s="197" t="s">
        <v>1367</v>
      </c>
      <c r="K473" s="14" t="s">
        <v>1368</v>
      </c>
    </row>
    <row r="474" spans="2:11" ht="131">
      <c r="B474" s="5">
        <v>45665</v>
      </c>
      <c r="C474" s="6" t="s">
        <v>41</v>
      </c>
      <c r="D474" s="7">
        <v>0.875</v>
      </c>
      <c r="E474" s="8" t="s">
        <v>1</v>
      </c>
      <c r="F474" s="77">
        <v>3</v>
      </c>
      <c r="G474" s="8" t="s">
        <v>9</v>
      </c>
      <c r="H474" s="73"/>
      <c r="I474" s="86"/>
      <c r="J474" s="329" t="s">
        <v>1369</v>
      </c>
      <c r="K474" s="14" t="s">
        <v>1370</v>
      </c>
    </row>
    <row r="475" spans="2:11" ht="144">
      <c r="B475" s="5">
        <v>45665</v>
      </c>
      <c r="C475" s="6" t="s">
        <v>41</v>
      </c>
      <c r="D475" s="7">
        <v>0.97916666666666663</v>
      </c>
      <c r="E475" s="8" t="s">
        <v>1</v>
      </c>
      <c r="F475" s="77">
        <v>3</v>
      </c>
      <c r="G475" s="8" t="s">
        <v>927</v>
      </c>
      <c r="H475" s="73"/>
      <c r="I475" s="86"/>
      <c r="J475" s="197">
        <v>4.5350000000000001E-2</v>
      </c>
      <c r="K475" s="14" t="s">
        <v>1371</v>
      </c>
    </row>
    <row r="476" spans="2:11" ht="42">
      <c r="B476" s="5">
        <v>45666</v>
      </c>
      <c r="C476" s="6" t="s">
        <v>1325</v>
      </c>
      <c r="D476" s="7">
        <v>0</v>
      </c>
      <c r="E476" s="8" t="s">
        <v>1</v>
      </c>
      <c r="F476" s="77">
        <v>3</v>
      </c>
      <c r="G476" s="77" t="s">
        <v>1373</v>
      </c>
      <c r="H476" s="73"/>
      <c r="I476" s="86"/>
      <c r="J476" s="197"/>
      <c r="K476" s="14" t="s">
        <v>1372</v>
      </c>
    </row>
    <row r="477" spans="2:11" ht="144">
      <c r="B477" s="5">
        <v>45666</v>
      </c>
      <c r="C477" s="6" t="s">
        <v>1325</v>
      </c>
      <c r="D477" s="7">
        <v>2.0833333333333332E-2</v>
      </c>
      <c r="E477" s="8" t="s">
        <v>1</v>
      </c>
      <c r="F477" s="77">
        <v>3</v>
      </c>
      <c r="G477" s="8" t="s">
        <v>7</v>
      </c>
      <c r="H477" s="73"/>
      <c r="I477" s="86"/>
      <c r="J477" s="197"/>
      <c r="K477" s="14" t="s">
        <v>1374</v>
      </c>
    </row>
    <row r="478" spans="2:11" ht="157">
      <c r="B478" s="5">
        <v>45667</v>
      </c>
      <c r="C478" s="6" t="s">
        <v>39</v>
      </c>
      <c r="D478" s="7">
        <v>0.79166666666666663</v>
      </c>
      <c r="E478" s="8" t="s">
        <v>1</v>
      </c>
      <c r="F478" s="77">
        <v>3</v>
      </c>
      <c r="G478" s="8" t="s">
        <v>1376</v>
      </c>
      <c r="H478" s="73"/>
      <c r="I478" s="84">
        <v>3.0000000000000001E-3</v>
      </c>
      <c r="J478" s="84">
        <v>4.0000000000000001E-3</v>
      </c>
      <c r="K478" s="14" t="s">
        <v>1375</v>
      </c>
    </row>
    <row r="479" spans="2:11" ht="157">
      <c r="B479" s="5">
        <v>45667</v>
      </c>
      <c r="C479" s="6" t="s">
        <v>39</v>
      </c>
      <c r="D479" s="7">
        <v>0.79166666666666663</v>
      </c>
      <c r="E479" s="8" t="s">
        <v>1</v>
      </c>
      <c r="F479" s="77">
        <v>3</v>
      </c>
      <c r="G479" s="8" t="s">
        <v>1378</v>
      </c>
      <c r="H479" s="73"/>
      <c r="I479" s="84" t="s">
        <v>1377</v>
      </c>
      <c r="J479" s="86" t="s">
        <v>209</v>
      </c>
      <c r="K479" s="14" t="s">
        <v>1375</v>
      </c>
    </row>
    <row r="480" spans="2:11" ht="157">
      <c r="B480" s="5">
        <v>45667</v>
      </c>
      <c r="C480" s="6" t="s">
        <v>39</v>
      </c>
      <c r="D480" s="7">
        <v>0.79166666666666663</v>
      </c>
      <c r="E480" s="8" t="s">
        <v>1</v>
      </c>
      <c r="F480" s="77">
        <v>3</v>
      </c>
      <c r="G480" s="8" t="s">
        <v>1379</v>
      </c>
      <c r="H480" s="73"/>
      <c r="I480" s="84">
        <v>4.2000000000000003E-2</v>
      </c>
      <c r="J480" s="84">
        <v>4.2000000000000003E-2</v>
      </c>
      <c r="K480" s="14" t="s">
        <v>1375</v>
      </c>
    </row>
    <row r="481" spans="1:12" ht="66">
      <c r="B481" s="5">
        <v>45687</v>
      </c>
      <c r="C481" s="6" t="s">
        <v>40</v>
      </c>
      <c r="D481" s="7">
        <v>2.0833333333333332E-2</v>
      </c>
      <c r="E481" s="8" t="s">
        <v>1</v>
      </c>
      <c r="F481" s="8">
        <v>3</v>
      </c>
      <c r="G481" s="77" t="s">
        <v>127</v>
      </c>
      <c r="H481" s="73"/>
      <c r="I481" s="84">
        <v>4.3499999999999997E-2</v>
      </c>
      <c r="J481" s="84">
        <v>4.6199999999999998E-2</v>
      </c>
      <c r="K481" s="14" t="s">
        <v>1380</v>
      </c>
    </row>
    <row r="482" spans="1:12">
      <c r="C482" t="s">
        <v>1381</v>
      </c>
      <c r="H482"/>
      <c r="J482" s="1"/>
      <c r="K482" s="1"/>
      <c r="L482" s="1"/>
    </row>
    <row r="483" spans="1:12" ht="27">
      <c r="A483" s="569" t="s">
        <v>105</v>
      </c>
      <c r="B483" s="5">
        <v>45670</v>
      </c>
      <c r="C483" s="6" t="s">
        <v>43</v>
      </c>
      <c r="D483" s="7">
        <v>0</v>
      </c>
      <c r="E483" s="8" t="s">
        <v>117</v>
      </c>
      <c r="F483" s="77">
        <v>3</v>
      </c>
      <c r="G483" s="8" t="s">
        <v>1402</v>
      </c>
      <c r="H483" s="73"/>
      <c r="I483" s="84"/>
      <c r="J483" s="84"/>
      <c r="K483" s="14" t="s">
        <v>1403</v>
      </c>
    </row>
    <row r="484" spans="1:12" ht="131">
      <c r="B484" s="5">
        <v>45671</v>
      </c>
      <c r="C484" s="6" t="s">
        <v>42</v>
      </c>
      <c r="D484" s="7">
        <v>0.79166666666666663</v>
      </c>
      <c r="E484" s="8" t="s">
        <v>1</v>
      </c>
      <c r="F484" s="77">
        <v>3</v>
      </c>
      <c r="G484" s="8" t="s">
        <v>1404</v>
      </c>
      <c r="H484" s="73"/>
      <c r="I484" s="84">
        <v>4.0000000000000001E-3</v>
      </c>
      <c r="J484" s="84">
        <v>4.0000000000000001E-3</v>
      </c>
      <c r="K484" s="14" t="s">
        <v>1405</v>
      </c>
    </row>
    <row r="485" spans="1:12" ht="183">
      <c r="B485" s="5">
        <v>45672</v>
      </c>
      <c r="C485" s="6" t="s">
        <v>41</v>
      </c>
      <c r="D485" s="7">
        <v>0.52083333333333337</v>
      </c>
      <c r="E485" s="8" t="s">
        <v>53</v>
      </c>
      <c r="F485" s="77">
        <v>3</v>
      </c>
      <c r="G485" s="8" t="s">
        <v>1406</v>
      </c>
      <c r="H485" s="73"/>
      <c r="I485" s="570">
        <v>2.5999999999999999E-2</v>
      </c>
      <c r="J485" s="84">
        <v>2.5999999999999999E-2</v>
      </c>
      <c r="K485" s="14" t="s">
        <v>1407</v>
      </c>
    </row>
    <row r="486" spans="1:12" ht="144">
      <c r="B486" s="5">
        <v>45672</v>
      </c>
      <c r="C486" s="6" t="s">
        <v>41</v>
      </c>
      <c r="D486" s="7">
        <v>0.79166666666666663</v>
      </c>
      <c r="E486" s="8" t="s">
        <v>1</v>
      </c>
      <c r="F486" s="77">
        <v>3</v>
      </c>
      <c r="G486" s="8" t="s">
        <v>1408</v>
      </c>
      <c r="H486" s="73"/>
      <c r="I486" s="84">
        <v>2E-3</v>
      </c>
      <c r="J486" s="84">
        <v>3.0000000000000001E-3</v>
      </c>
      <c r="K486" s="14" t="s">
        <v>1409</v>
      </c>
    </row>
    <row r="487" spans="1:12" ht="144">
      <c r="B487" s="5">
        <v>45672</v>
      </c>
      <c r="C487" s="6" t="s">
        <v>41</v>
      </c>
      <c r="D487" s="7">
        <v>0.79166666666666663</v>
      </c>
      <c r="E487" s="8" t="s">
        <v>1</v>
      </c>
      <c r="F487" s="77">
        <v>3</v>
      </c>
      <c r="G487" s="8" t="s">
        <v>1410</v>
      </c>
      <c r="H487" s="73"/>
      <c r="I487" s="84">
        <v>2.9000000000000001E-2</v>
      </c>
      <c r="J487" s="84">
        <v>2.7E-2</v>
      </c>
      <c r="K487" s="14" t="s">
        <v>1409</v>
      </c>
    </row>
    <row r="488" spans="1:12" ht="144">
      <c r="B488" s="5">
        <v>45672</v>
      </c>
      <c r="C488" s="6" t="s">
        <v>41</v>
      </c>
      <c r="D488" s="7">
        <v>0.79166666666666663</v>
      </c>
      <c r="E488" s="8" t="s">
        <v>1</v>
      </c>
      <c r="F488" s="77">
        <v>3</v>
      </c>
      <c r="G488" s="8" t="s">
        <v>1411</v>
      </c>
      <c r="H488" s="73"/>
      <c r="I488" s="84">
        <v>3.0000000000000001E-3</v>
      </c>
      <c r="J488" s="84">
        <v>3.0000000000000001E-3</v>
      </c>
      <c r="K488" s="14" t="s">
        <v>1409</v>
      </c>
    </row>
    <row r="489" spans="1:12" ht="144">
      <c r="B489" s="5">
        <v>45672</v>
      </c>
      <c r="C489" s="6" t="s">
        <v>41</v>
      </c>
      <c r="D489" s="7">
        <v>0.875</v>
      </c>
      <c r="E489" s="8" t="s">
        <v>1300</v>
      </c>
      <c r="F489" s="77">
        <v>3</v>
      </c>
      <c r="G489" s="8" t="s">
        <v>1412</v>
      </c>
      <c r="H489" s="73"/>
      <c r="I489" s="84"/>
      <c r="J489" s="85" t="s">
        <v>1413</v>
      </c>
      <c r="K489" s="14" t="s">
        <v>1414</v>
      </c>
    </row>
    <row r="490" spans="1:12" ht="92">
      <c r="B490" s="5">
        <v>45673</v>
      </c>
      <c r="C490" s="6" t="s">
        <v>1325</v>
      </c>
      <c r="D490" s="7">
        <v>0.52083333333333337</v>
      </c>
      <c r="E490" s="8" t="s">
        <v>53</v>
      </c>
      <c r="F490" s="77">
        <v>3</v>
      </c>
      <c r="G490" s="8" t="s">
        <v>1415</v>
      </c>
      <c r="H490" s="73"/>
      <c r="I490" s="85">
        <v>2E-3</v>
      </c>
      <c r="J490" s="85">
        <v>-1E-3</v>
      </c>
      <c r="K490" s="14" t="s">
        <v>1416</v>
      </c>
    </row>
    <row r="491" spans="1:12" ht="118">
      <c r="B491" s="5">
        <v>45673</v>
      </c>
      <c r="C491" s="6" t="s">
        <v>1325</v>
      </c>
      <c r="D491" s="7">
        <v>0.52083333333333337</v>
      </c>
      <c r="E491" s="8" t="s">
        <v>53</v>
      </c>
      <c r="F491" s="77">
        <v>3</v>
      </c>
      <c r="G491" s="8" t="s">
        <v>1417</v>
      </c>
      <c r="H491" s="73"/>
      <c r="I491" s="85">
        <v>4.0000000000000001E-3</v>
      </c>
      <c r="J491" s="85">
        <v>4.0000000000000001E-3</v>
      </c>
      <c r="K491" s="14" t="s">
        <v>1418</v>
      </c>
    </row>
    <row r="492" spans="1:12" ht="105">
      <c r="B492" s="5">
        <v>45673</v>
      </c>
      <c r="C492" s="6" t="s">
        <v>1325</v>
      </c>
      <c r="D492" s="7">
        <v>0.79166666666666663</v>
      </c>
      <c r="E492" s="8" t="s">
        <v>1</v>
      </c>
      <c r="F492" s="77">
        <v>3</v>
      </c>
      <c r="G492" s="8" t="s">
        <v>1419</v>
      </c>
      <c r="H492" s="73"/>
      <c r="I492" s="85">
        <v>4.0000000000000001E-3</v>
      </c>
      <c r="J492" s="85">
        <v>2E-3</v>
      </c>
      <c r="K492" s="14" t="s">
        <v>1420</v>
      </c>
    </row>
    <row r="493" spans="1:12" ht="92">
      <c r="B493" s="5">
        <v>45673</v>
      </c>
      <c r="C493" s="6" t="s">
        <v>1325</v>
      </c>
      <c r="D493" s="7">
        <v>0.79166666666666663</v>
      </c>
      <c r="E493" s="8" t="s">
        <v>1</v>
      </c>
      <c r="F493" s="77">
        <v>3</v>
      </c>
      <c r="G493" s="8" t="s">
        <v>1421</v>
      </c>
      <c r="H493" s="73"/>
      <c r="I493" s="85" t="s">
        <v>1422</v>
      </c>
      <c r="J493" s="85" t="s">
        <v>1423</v>
      </c>
      <c r="K493" s="14" t="s">
        <v>1424</v>
      </c>
    </row>
    <row r="494" spans="1:12" ht="131">
      <c r="B494" s="5">
        <v>45673</v>
      </c>
      <c r="C494" s="6" t="s">
        <v>1325</v>
      </c>
      <c r="D494" s="7">
        <v>0.79166666666666663</v>
      </c>
      <c r="E494" s="8" t="s">
        <v>1</v>
      </c>
      <c r="F494" s="77">
        <v>3</v>
      </c>
      <c r="G494" s="77" t="s">
        <v>1425</v>
      </c>
      <c r="H494" s="73"/>
      <c r="I494" s="329" t="s">
        <v>1426</v>
      </c>
      <c r="J494" s="329" t="s">
        <v>1427</v>
      </c>
      <c r="K494" s="14" t="s">
        <v>1428</v>
      </c>
    </row>
    <row r="495" spans="1:12" ht="105">
      <c r="B495" s="5">
        <v>45673</v>
      </c>
      <c r="C495" s="6" t="s">
        <v>1325</v>
      </c>
      <c r="D495" s="7">
        <v>0.79166666666666663</v>
      </c>
      <c r="E495" s="8" t="s">
        <v>1</v>
      </c>
      <c r="F495" s="77">
        <v>3</v>
      </c>
      <c r="G495" s="8" t="s">
        <v>1429</v>
      </c>
      <c r="H495" s="73"/>
      <c r="I495" s="85">
        <v>5.0000000000000001E-3</v>
      </c>
      <c r="J495" s="85">
        <v>7.0000000000000001E-3</v>
      </c>
      <c r="K495" s="14" t="s">
        <v>1430</v>
      </c>
    </row>
    <row r="496" spans="1:12" ht="105">
      <c r="B496" s="5">
        <v>45674</v>
      </c>
      <c r="C496" s="6" t="s">
        <v>1325</v>
      </c>
      <c r="D496" s="7">
        <v>0.3125</v>
      </c>
      <c r="E496" s="8" t="s">
        <v>65</v>
      </c>
      <c r="F496" s="77">
        <v>3</v>
      </c>
      <c r="G496" s="8" t="s">
        <v>1431</v>
      </c>
      <c r="H496" s="73"/>
      <c r="I496" s="85">
        <v>5.0999999999999997E-2</v>
      </c>
      <c r="J496" s="85">
        <v>4.5999999999999999E-2</v>
      </c>
      <c r="K496" s="14" t="s">
        <v>1432</v>
      </c>
    </row>
    <row r="497" spans="1:11" ht="157">
      <c r="B497" s="5">
        <v>45674</v>
      </c>
      <c r="C497" s="6" t="s">
        <v>1325</v>
      </c>
      <c r="D497" s="7">
        <v>0.64583333333333337</v>
      </c>
      <c r="E497" s="8" t="s">
        <v>22</v>
      </c>
      <c r="F497" s="77">
        <v>3</v>
      </c>
      <c r="G497" s="8" t="s">
        <v>1433</v>
      </c>
      <c r="H497" s="73"/>
      <c r="I497" s="85">
        <v>2.4E-2</v>
      </c>
      <c r="J497" s="85">
        <v>2.4E-2</v>
      </c>
      <c r="K497" s="14" t="s">
        <v>1434</v>
      </c>
    </row>
    <row r="498" spans="1:11" ht="27">
      <c r="B498" s="81">
        <v>45644</v>
      </c>
      <c r="C498" s="82" t="s">
        <v>40</v>
      </c>
      <c r="D498" s="83">
        <v>0.97916666666666663</v>
      </c>
      <c r="E498" s="77" t="s">
        <v>1</v>
      </c>
      <c r="F498" s="77">
        <v>3</v>
      </c>
      <c r="G498" s="77" t="s">
        <v>127</v>
      </c>
      <c r="H498" s="84"/>
      <c r="I498" s="84">
        <v>4.4600000000000001E-2</v>
      </c>
      <c r="J498" s="84">
        <v>4.6199999999999998E-2</v>
      </c>
      <c r="K498" s="14" t="s">
        <v>369</v>
      </c>
    </row>
    <row r="499" spans="1:11" ht="66">
      <c r="B499" s="5">
        <v>45687</v>
      </c>
      <c r="C499" s="6" t="s">
        <v>40</v>
      </c>
      <c r="D499" s="7">
        <v>2.0833333333333332E-2</v>
      </c>
      <c r="E499" s="8" t="s">
        <v>1</v>
      </c>
      <c r="F499" s="8">
        <v>3</v>
      </c>
      <c r="G499" s="8" t="s">
        <v>127</v>
      </c>
      <c r="H499" s="73"/>
      <c r="I499" s="84">
        <v>4.3700000000000003E-2</v>
      </c>
      <c r="J499" s="84">
        <v>4.6199999999999998E-2</v>
      </c>
      <c r="K499" s="14" t="s">
        <v>1380</v>
      </c>
    </row>
    <row r="500" spans="1:11">
      <c r="C500" t="s">
        <v>1435</v>
      </c>
      <c r="H500"/>
      <c r="I500"/>
    </row>
    <row r="501" spans="1:11" ht="118">
      <c r="A501" s="569" t="s">
        <v>105</v>
      </c>
      <c r="B501" s="5">
        <v>45677</v>
      </c>
      <c r="C501" s="6" t="s">
        <v>43</v>
      </c>
      <c r="D501" s="7" t="s">
        <v>1449</v>
      </c>
      <c r="E501" s="8" t="s">
        <v>1</v>
      </c>
      <c r="F501" s="77">
        <v>3</v>
      </c>
      <c r="G501" s="8" t="s">
        <v>1450</v>
      </c>
      <c r="H501" s="73"/>
      <c r="I501" s="84"/>
      <c r="J501" s="84"/>
      <c r="K501" s="14" t="s">
        <v>1451</v>
      </c>
    </row>
    <row r="502" spans="1:11" ht="104">
      <c r="B502" s="5">
        <f>B501+1</f>
        <v>45678</v>
      </c>
      <c r="C502" s="6" t="s">
        <v>42</v>
      </c>
      <c r="D502" s="7">
        <v>0.52083333333333337</v>
      </c>
      <c r="E502" s="8" t="s">
        <v>53</v>
      </c>
      <c r="F502" s="77">
        <v>2</v>
      </c>
      <c r="G502" s="8" t="s">
        <v>1452</v>
      </c>
      <c r="H502" s="73"/>
      <c r="I502" s="84">
        <v>4.2999999999999997E-2</v>
      </c>
      <c r="J502" s="84">
        <v>4.2999999999999997E-2</v>
      </c>
      <c r="K502" s="623" t="s">
        <v>1453</v>
      </c>
    </row>
    <row r="503" spans="1:11" ht="104">
      <c r="B503" s="5">
        <f>B502</f>
        <v>45678</v>
      </c>
      <c r="C503" s="6" t="s">
        <v>42</v>
      </c>
      <c r="D503" s="7">
        <v>0.52083333333333337</v>
      </c>
      <c r="E503" s="8" t="s">
        <v>53</v>
      </c>
      <c r="F503" s="77">
        <v>2</v>
      </c>
      <c r="G503" s="8" t="s">
        <v>1454</v>
      </c>
      <c r="H503" s="73"/>
      <c r="I503" s="84"/>
      <c r="J503" s="84">
        <v>5.1999999999999998E-2</v>
      </c>
      <c r="K503" s="623" t="s">
        <v>1453</v>
      </c>
    </row>
    <row r="504" spans="1:11" ht="104">
      <c r="B504" s="5">
        <f>B503</f>
        <v>45678</v>
      </c>
      <c r="C504" s="6" t="s">
        <v>42</v>
      </c>
      <c r="D504" s="7">
        <v>0.79166666666666663</v>
      </c>
      <c r="E504" s="8" t="s">
        <v>89</v>
      </c>
      <c r="F504" s="77">
        <v>1</v>
      </c>
      <c r="G504" s="8" t="s">
        <v>1455</v>
      </c>
      <c r="H504" s="73"/>
      <c r="I504" s="84">
        <v>1.9E-2</v>
      </c>
      <c r="J504" s="84">
        <v>0.02</v>
      </c>
      <c r="K504" s="623" t="s">
        <v>1456</v>
      </c>
    </row>
    <row r="505" spans="1:11" ht="104">
      <c r="B505" s="5">
        <f>B503+1</f>
        <v>45679</v>
      </c>
      <c r="C505" s="6" t="s">
        <v>41</v>
      </c>
      <c r="D505" s="7">
        <v>0.13541666666666666</v>
      </c>
      <c r="E505" s="8" t="s">
        <v>49</v>
      </c>
      <c r="F505" s="77">
        <v>2</v>
      </c>
      <c r="G505" s="8" t="s">
        <v>1457</v>
      </c>
      <c r="H505" s="73"/>
      <c r="I505" s="84">
        <v>5.0000000000000001E-3</v>
      </c>
      <c r="J505" s="84">
        <v>6.0000000000000001E-3</v>
      </c>
      <c r="K505" s="623" t="s">
        <v>1458</v>
      </c>
    </row>
    <row r="506" spans="1:11" ht="91">
      <c r="B506" s="5">
        <f>B501+3</f>
        <v>45680</v>
      </c>
      <c r="C506" s="6" t="s">
        <v>1325</v>
      </c>
      <c r="D506" s="7">
        <v>0.79166666666666663</v>
      </c>
      <c r="E506" s="8" t="s">
        <v>1</v>
      </c>
      <c r="F506" s="77">
        <v>3</v>
      </c>
      <c r="G506" s="8" t="s">
        <v>1459</v>
      </c>
      <c r="H506" s="73"/>
      <c r="I506" s="84"/>
      <c r="J506" s="84" t="s">
        <v>1015</v>
      </c>
      <c r="K506" s="623" t="s">
        <v>1460</v>
      </c>
    </row>
    <row r="507" spans="1:11" ht="143">
      <c r="B507" s="5">
        <f>B506</f>
        <v>45680</v>
      </c>
      <c r="C507" s="6" t="s">
        <v>1325</v>
      </c>
      <c r="D507" s="7">
        <v>0.9375</v>
      </c>
      <c r="E507" s="8" t="s">
        <v>1300</v>
      </c>
      <c r="F507" s="77">
        <v>3</v>
      </c>
      <c r="G507" s="8" t="s">
        <v>1461</v>
      </c>
      <c r="H507" s="73"/>
      <c r="I507" s="84"/>
      <c r="J507" s="85" t="s">
        <v>1462</v>
      </c>
      <c r="K507" s="623" t="s">
        <v>1463</v>
      </c>
    </row>
    <row r="508" spans="1:11" ht="91">
      <c r="B508" s="5">
        <f>B507+1</f>
        <v>45681</v>
      </c>
      <c r="C508" s="6" t="s">
        <v>39</v>
      </c>
      <c r="D508" s="7">
        <v>0.35416666666666669</v>
      </c>
      <c r="E508" s="8" t="s">
        <v>117</v>
      </c>
      <c r="F508" s="77">
        <v>3</v>
      </c>
      <c r="G508" s="8" t="s">
        <v>1464</v>
      </c>
      <c r="H508" s="73"/>
      <c r="I508" s="84">
        <v>5.0000000000000001E-3</v>
      </c>
      <c r="J508" s="84">
        <v>2.5000000000000001E-3</v>
      </c>
      <c r="K508" s="623" t="s">
        <v>1465</v>
      </c>
    </row>
    <row r="509" spans="1:11" ht="104">
      <c r="B509" s="5">
        <f>B508</f>
        <v>45681</v>
      </c>
      <c r="C509" s="6" t="s">
        <v>39</v>
      </c>
      <c r="D509" s="7">
        <v>0.84375</v>
      </c>
      <c r="E509" s="8" t="s">
        <v>1</v>
      </c>
      <c r="F509" s="77">
        <v>3</v>
      </c>
      <c r="G509" s="8" t="s">
        <v>1466</v>
      </c>
      <c r="H509" s="73"/>
      <c r="I509" s="86">
        <v>49.6</v>
      </c>
      <c r="J509" s="86">
        <v>49.4</v>
      </c>
      <c r="K509" s="623" t="s">
        <v>1467</v>
      </c>
    </row>
    <row r="510" spans="1:11" ht="117">
      <c r="B510" s="5">
        <f t="shared" ref="B510:B511" si="12">B509</f>
        <v>45681</v>
      </c>
      <c r="C510" s="6" t="s">
        <v>39</v>
      </c>
      <c r="D510" s="7">
        <v>0.84375</v>
      </c>
      <c r="E510" s="8" t="s">
        <v>1</v>
      </c>
      <c r="F510" s="77">
        <v>3</v>
      </c>
      <c r="G510" s="8" t="s">
        <v>1468</v>
      </c>
      <c r="H510" s="73"/>
      <c r="I510" s="84"/>
      <c r="J510" s="86">
        <v>56.8</v>
      </c>
      <c r="K510" s="623" t="s">
        <v>1469</v>
      </c>
    </row>
    <row r="511" spans="1:11" ht="117">
      <c r="B511" s="5">
        <f t="shared" si="12"/>
        <v>45681</v>
      </c>
      <c r="C511" s="6" t="s">
        <v>39</v>
      </c>
      <c r="D511" s="7">
        <v>0.85416666666666663</v>
      </c>
      <c r="E511" s="8" t="s">
        <v>1</v>
      </c>
      <c r="F511" s="77">
        <v>3</v>
      </c>
      <c r="G511" s="8" t="s">
        <v>1470</v>
      </c>
      <c r="H511" s="73"/>
      <c r="I511" s="85" t="s">
        <v>1471</v>
      </c>
      <c r="J511" s="85" t="s">
        <v>1472</v>
      </c>
      <c r="K511" s="623" t="s">
        <v>1473</v>
      </c>
    </row>
    <row r="512" spans="1:11" ht="66">
      <c r="B512" s="5">
        <v>45687</v>
      </c>
      <c r="C512" s="6" t="s">
        <v>40</v>
      </c>
      <c r="D512" s="7">
        <v>2.0833333333333332E-2</v>
      </c>
      <c r="E512" s="8" t="s">
        <v>1</v>
      </c>
      <c r="F512" s="8">
        <v>3</v>
      </c>
      <c r="G512" s="8" t="s">
        <v>127</v>
      </c>
      <c r="H512" s="73"/>
      <c r="I512" s="84">
        <v>4.3799999999999999E-2</v>
      </c>
      <c r="J512" s="84">
        <v>4.6199999999999998E-2</v>
      </c>
      <c r="K512" s="14" t="s">
        <v>1380</v>
      </c>
    </row>
    <row r="513" spans="1:11">
      <c r="C513" t="s">
        <v>1474</v>
      </c>
      <c r="H513"/>
      <c r="J513" s="1"/>
      <c r="K513" s="25"/>
    </row>
    <row r="514" spans="1:11" ht="53">
      <c r="A514" s="569" t="s">
        <v>105</v>
      </c>
      <c r="B514" s="5">
        <v>45684</v>
      </c>
      <c r="C514" s="6" t="s">
        <v>43</v>
      </c>
      <c r="D514" s="7" t="s">
        <v>1449</v>
      </c>
      <c r="E514" s="8" t="s">
        <v>357</v>
      </c>
      <c r="F514" s="77">
        <v>3</v>
      </c>
      <c r="G514" s="8" t="s">
        <v>1475</v>
      </c>
      <c r="H514" s="73"/>
      <c r="I514" s="84"/>
      <c r="J514" s="84"/>
      <c r="K514" s="14" t="s">
        <v>1476</v>
      </c>
    </row>
    <row r="515" spans="1:11" ht="144">
      <c r="B515" s="5">
        <v>45684</v>
      </c>
      <c r="C515" s="6" t="s">
        <v>43</v>
      </c>
      <c r="D515" s="7">
        <v>0.29166666666666669</v>
      </c>
      <c r="E515" s="8" t="s">
        <v>65</v>
      </c>
      <c r="F515" s="77">
        <v>3</v>
      </c>
      <c r="G515" s="8" t="s">
        <v>1477</v>
      </c>
      <c r="H515" s="74"/>
      <c r="I515" s="74">
        <v>50.1</v>
      </c>
      <c r="J515" s="74">
        <v>50.1</v>
      </c>
      <c r="K515" s="14" t="s">
        <v>1478</v>
      </c>
    </row>
    <row r="516" spans="1:11" ht="105">
      <c r="B516" s="5">
        <v>45684</v>
      </c>
      <c r="C516" s="6" t="s">
        <v>43</v>
      </c>
      <c r="D516" s="7">
        <v>0.85416666666666663</v>
      </c>
      <c r="E516" s="8" t="s">
        <v>1</v>
      </c>
      <c r="F516" s="77">
        <v>3</v>
      </c>
      <c r="G516" s="8" t="s">
        <v>1479</v>
      </c>
      <c r="H516" s="74"/>
      <c r="I516" s="74" t="s">
        <v>1480</v>
      </c>
      <c r="J516" s="74" t="s">
        <v>1481</v>
      </c>
      <c r="K516" s="14" t="s">
        <v>1482</v>
      </c>
    </row>
    <row r="517" spans="1:11" ht="53">
      <c r="B517" s="5">
        <v>45685</v>
      </c>
      <c r="C517" s="6" t="s">
        <v>42</v>
      </c>
      <c r="D517" s="7" t="s">
        <v>1449</v>
      </c>
      <c r="E517" s="8" t="s">
        <v>65</v>
      </c>
      <c r="F517" s="77">
        <v>3</v>
      </c>
      <c r="G517" s="8" t="s">
        <v>1483</v>
      </c>
      <c r="H517" s="74"/>
      <c r="I517" s="74"/>
      <c r="J517" s="74"/>
      <c r="K517" s="14" t="s">
        <v>1484</v>
      </c>
    </row>
    <row r="518" spans="1:11" ht="53">
      <c r="B518" s="5">
        <v>45685</v>
      </c>
      <c r="C518" s="6" t="s">
        <v>42</v>
      </c>
      <c r="D518" s="7" t="s">
        <v>1449</v>
      </c>
      <c r="E518" s="8" t="s">
        <v>1485</v>
      </c>
      <c r="F518" s="77">
        <v>3</v>
      </c>
      <c r="G518" s="8" t="s">
        <v>1486</v>
      </c>
      <c r="H518" s="74"/>
      <c r="I518" s="74"/>
      <c r="J518" s="74"/>
      <c r="K518" s="14" t="s">
        <v>1487</v>
      </c>
    </row>
    <row r="519" spans="1:11" ht="92">
      <c r="B519" s="5">
        <v>45685</v>
      </c>
      <c r="C519" s="6" t="s">
        <v>42</v>
      </c>
      <c r="D519" s="7">
        <v>0.79166666666666663</v>
      </c>
      <c r="E519" s="8" t="s">
        <v>1</v>
      </c>
      <c r="F519" s="77">
        <v>3</v>
      </c>
      <c r="G519" s="8" t="s">
        <v>1488</v>
      </c>
      <c r="H519" s="74"/>
      <c r="I519" s="84">
        <v>8.0000000000000002E-3</v>
      </c>
      <c r="J519" s="84">
        <v>-1.2E-2</v>
      </c>
      <c r="K519" s="14" t="s">
        <v>1489</v>
      </c>
    </row>
    <row r="520" spans="1:11" ht="105">
      <c r="B520" s="5">
        <v>45685</v>
      </c>
      <c r="C520" s="6" t="s">
        <v>42</v>
      </c>
      <c r="D520" s="7">
        <v>0.85416666666666663</v>
      </c>
      <c r="E520" s="8" t="s">
        <v>1</v>
      </c>
      <c r="F520" s="77">
        <v>3</v>
      </c>
      <c r="G520" s="8" t="s">
        <v>1490</v>
      </c>
      <c r="H520" s="74"/>
      <c r="I520" s="74">
        <v>106</v>
      </c>
      <c r="J520" s="74">
        <v>104.7</v>
      </c>
      <c r="K520" s="14" t="s">
        <v>1491</v>
      </c>
    </row>
    <row r="521" spans="1:11" ht="53">
      <c r="B521" s="5">
        <f>B520+1</f>
        <v>45686</v>
      </c>
      <c r="C521" s="6" t="s">
        <v>41</v>
      </c>
      <c r="D521" s="7" t="s">
        <v>1449</v>
      </c>
      <c r="E521" s="8" t="s">
        <v>65</v>
      </c>
      <c r="F521" s="77">
        <v>3</v>
      </c>
      <c r="G521" s="8" t="s">
        <v>1483</v>
      </c>
      <c r="H521" s="74"/>
      <c r="I521" s="74"/>
      <c r="J521" s="74"/>
      <c r="K521" s="14" t="s">
        <v>1484</v>
      </c>
    </row>
    <row r="522" spans="1:11" ht="53">
      <c r="B522" s="5">
        <f>B521</f>
        <v>45686</v>
      </c>
      <c r="C522" s="6" t="s">
        <v>41</v>
      </c>
      <c r="D522" s="7" t="s">
        <v>1449</v>
      </c>
      <c r="E522" s="8" t="s">
        <v>1485</v>
      </c>
      <c r="F522" s="77">
        <v>3</v>
      </c>
      <c r="G522" s="8" t="s">
        <v>1486</v>
      </c>
      <c r="H522" s="74"/>
      <c r="I522" s="74"/>
      <c r="J522" s="74"/>
      <c r="K522" s="14" t="s">
        <v>1487</v>
      </c>
    </row>
    <row r="523" spans="1:11" ht="53">
      <c r="B523" s="5">
        <f t="shared" ref="B523:B524" si="13">B522</f>
        <v>45686</v>
      </c>
      <c r="C523" s="6" t="s">
        <v>41</v>
      </c>
      <c r="D523" s="7" t="s">
        <v>1449</v>
      </c>
      <c r="E523" s="8" t="s">
        <v>1492</v>
      </c>
      <c r="F523" s="77">
        <v>3</v>
      </c>
      <c r="G523" s="8" t="s">
        <v>1493</v>
      </c>
      <c r="H523" s="74"/>
      <c r="I523" s="74"/>
      <c r="J523" s="74"/>
      <c r="K523" s="14" t="s">
        <v>1494</v>
      </c>
    </row>
    <row r="524" spans="1:11" ht="53">
      <c r="B524" s="5">
        <f t="shared" si="13"/>
        <v>45686</v>
      </c>
      <c r="C524" s="6" t="s">
        <v>41</v>
      </c>
      <c r="D524" s="7" t="s">
        <v>1449</v>
      </c>
      <c r="E524" s="8" t="s">
        <v>1495</v>
      </c>
      <c r="F524" s="77">
        <v>3</v>
      </c>
      <c r="G524" s="8" t="s">
        <v>1496</v>
      </c>
      <c r="H524" s="74"/>
      <c r="I524" s="74"/>
      <c r="J524" s="74"/>
      <c r="K524" s="14" t="s">
        <v>1497</v>
      </c>
    </row>
    <row r="525" spans="1:11" ht="40">
      <c r="B525" s="5">
        <f>B522</f>
        <v>45686</v>
      </c>
      <c r="C525" s="6" t="s">
        <v>41</v>
      </c>
      <c r="D525" s="7">
        <v>0.10416666666666667</v>
      </c>
      <c r="E525" s="8" t="s">
        <v>1</v>
      </c>
      <c r="F525" s="77">
        <v>3</v>
      </c>
      <c r="G525" s="8" t="s">
        <v>1498</v>
      </c>
      <c r="H525" s="74"/>
      <c r="I525" s="86">
        <v>3.13</v>
      </c>
      <c r="J525" s="86">
        <v>2.93</v>
      </c>
      <c r="K525" s="14" t="s">
        <v>1499</v>
      </c>
    </row>
    <row r="526" spans="1:11" ht="40">
      <c r="B526" s="5">
        <f>B523</f>
        <v>45686</v>
      </c>
      <c r="C526" s="6" t="s">
        <v>41</v>
      </c>
      <c r="D526" s="7">
        <v>0.10416666666666667</v>
      </c>
      <c r="E526" s="8" t="s">
        <v>1</v>
      </c>
      <c r="F526" s="77">
        <v>3</v>
      </c>
      <c r="G526" s="8" t="s">
        <v>1500</v>
      </c>
      <c r="H526" s="74"/>
      <c r="I526" s="86">
        <v>0.64</v>
      </c>
      <c r="J526" s="86">
        <v>0.56999999999999995</v>
      </c>
      <c r="K526" s="14" t="s">
        <v>1499</v>
      </c>
    </row>
    <row r="527" spans="1:11" ht="92">
      <c r="B527" s="5">
        <f>B524</f>
        <v>45686</v>
      </c>
      <c r="C527" s="6" t="s">
        <v>41</v>
      </c>
      <c r="D527" s="7">
        <v>0.84375</v>
      </c>
      <c r="E527" s="8" t="s">
        <v>89</v>
      </c>
      <c r="F527" s="77">
        <v>3</v>
      </c>
      <c r="G527" s="8" t="s">
        <v>1501</v>
      </c>
      <c r="H527" s="74"/>
      <c r="I527" s="84">
        <v>0.03</v>
      </c>
      <c r="J527" s="84">
        <v>3.2500000000000001E-2</v>
      </c>
      <c r="K527" s="14" t="s">
        <v>1502</v>
      </c>
    </row>
    <row r="528" spans="1:11" ht="131">
      <c r="B528" s="5">
        <f>B527</f>
        <v>45686</v>
      </c>
      <c r="C528" s="6" t="s">
        <v>41</v>
      </c>
      <c r="D528" s="7">
        <v>0.875</v>
      </c>
      <c r="E528" s="8" t="s">
        <v>1300</v>
      </c>
      <c r="F528" s="77">
        <v>3</v>
      </c>
      <c r="G528" s="8" t="s">
        <v>1503</v>
      </c>
      <c r="H528" s="74"/>
      <c r="I528" s="84"/>
      <c r="J528" s="85" t="s">
        <v>1504</v>
      </c>
      <c r="K528" s="14" t="s">
        <v>1505</v>
      </c>
    </row>
    <row r="529" spans="2:11" ht="53">
      <c r="B529" s="5">
        <f>B528+1</f>
        <v>45687</v>
      </c>
      <c r="C529" s="6" t="s">
        <v>1325</v>
      </c>
      <c r="D529" s="7" t="s">
        <v>1449</v>
      </c>
      <c r="E529" s="8" t="s">
        <v>65</v>
      </c>
      <c r="F529" s="77">
        <v>3</v>
      </c>
      <c r="G529" s="8" t="s">
        <v>1483</v>
      </c>
      <c r="H529" s="74"/>
      <c r="I529" s="74"/>
      <c r="J529" s="74"/>
      <c r="K529" s="14" t="s">
        <v>1484</v>
      </c>
    </row>
    <row r="530" spans="2:11" ht="53">
      <c r="B530" s="5">
        <f>B529</f>
        <v>45687</v>
      </c>
      <c r="C530" s="6" t="s">
        <v>1325</v>
      </c>
      <c r="D530" s="7" t="s">
        <v>1449</v>
      </c>
      <c r="E530" s="8" t="s">
        <v>1485</v>
      </c>
      <c r="F530" s="77">
        <v>3</v>
      </c>
      <c r="G530" s="8" t="s">
        <v>1486</v>
      </c>
      <c r="H530" s="74"/>
      <c r="I530" s="74"/>
      <c r="J530" s="74"/>
      <c r="K530" s="14" t="s">
        <v>1487</v>
      </c>
    </row>
    <row r="531" spans="2:11" ht="53">
      <c r="B531" s="5">
        <f t="shared" ref="B531" si="14">B530</f>
        <v>45687</v>
      </c>
      <c r="C531" s="6" t="s">
        <v>1325</v>
      </c>
      <c r="D531" s="7" t="s">
        <v>1449</v>
      </c>
      <c r="E531" s="8" t="s">
        <v>1492</v>
      </c>
      <c r="F531" s="77">
        <v>3</v>
      </c>
      <c r="G531" s="8" t="s">
        <v>1493</v>
      </c>
      <c r="H531" s="74"/>
      <c r="I531" s="74"/>
      <c r="J531" s="74"/>
      <c r="K531" s="14" t="s">
        <v>1494</v>
      </c>
    </row>
    <row r="532" spans="2:11" ht="53">
      <c r="B532" s="5">
        <f>B531</f>
        <v>45687</v>
      </c>
      <c r="C532" s="6" t="s">
        <v>1325</v>
      </c>
      <c r="D532" s="7" t="s">
        <v>1449</v>
      </c>
      <c r="E532" s="8" t="s">
        <v>1495</v>
      </c>
      <c r="F532" s="77">
        <v>3</v>
      </c>
      <c r="G532" s="8" t="s">
        <v>1496</v>
      </c>
      <c r="H532" s="74"/>
      <c r="I532" s="74"/>
      <c r="J532" s="74"/>
      <c r="K532" s="14" t="s">
        <v>1497</v>
      </c>
    </row>
    <row r="533" spans="2:11" ht="144">
      <c r="B533" s="5">
        <f>B532</f>
        <v>45687</v>
      </c>
      <c r="C533" s="6" t="s">
        <v>1325</v>
      </c>
      <c r="D533" s="7">
        <v>2.0833333333333332E-2</v>
      </c>
      <c r="E533" s="8" t="s">
        <v>1</v>
      </c>
      <c r="F533" s="77">
        <v>3</v>
      </c>
      <c r="G533" s="8" t="s">
        <v>1506</v>
      </c>
      <c r="H533" s="74"/>
      <c r="I533" s="84"/>
      <c r="J533" s="84"/>
      <c r="K533" s="14" t="s">
        <v>1507</v>
      </c>
    </row>
    <row r="534" spans="2:11" ht="144">
      <c r="B534" s="5">
        <f t="shared" ref="B534:B542" si="15">B533</f>
        <v>45687</v>
      </c>
      <c r="C534" s="6" t="s">
        <v>1325</v>
      </c>
      <c r="D534" s="7">
        <v>2.0833333333333332E-2</v>
      </c>
      <c r="E534" s="8" t="s">
        <v>1</v>
      </c>
      <c r="F534" s="77">
        <v>3</v>
      </c>
      <c r="G534" s="8" t="s">
        <v>1508</v>
      </c>
      <c r="H534" s="74"/>
      <c r="I534" s="84">
        <v>4.4999999999999998E-2</v>
      </c>
      <c r="J534" s="84">
        <v>4.4999999999999998E-2</v>
      </c>
      <c r="K534" s="14" t="s">
        <v>1507</v>
      </c>
    </row>
    <row r="535" spans="2:11" ht="144">
      <c r="B535" s="5">
        <f t="shared" si="15"/>
        <v>45687</v>
      </c>
      <c r="C535" s="6" t="s">
        <v>1325</v>
      </c>
      <c r="D535" s="7">
        <v>4.1666666666666664E-2</v>
      </c>
      <c r="E535" s="8" t="s">
        <v>1</v>
      </c>
      <c r="F535" s="77">
        <v>3</v>
      </c>
      <c r="G535" s="8" t="s">
        <v>1509</v>
      </c>
      <c r="H535" s="74"/>
      <c r="I535" s="84"/>
      <c r="J535" s="84"/>
      <c r="K535" s="14" t="s">
        <v>1507</v>
      </c>
    </row>
    <row r="536" spans="2:11" ht="40">
      <c r="B536" s="5">
        <f>B530</f>
        <v>45687</v>
      </c>
      <c r="C536" s="6" t="s">
        <v>1325</v>
      </c>
      <c r="D536" s="7">
        <v>0.10416666666666667</v>
      </c>
      <c r="E536" s="8" t="s">
        <v>1</v>
      </c>
      <c r="F536" s="77">
        <v>3</v>
      </c>
      <c r="G536" s="8" t="s">
        <v>1510</v>
      </c>
      <c r="H536" s="74"/>
      <c r="I536" s="86">
        <v>6.76</v>
      </c>
      <c r="J536" s="86">
        <v>5.33</v>
      </c>
      <c r="K536" s="14" t="s">
        <v>1499</v>
      </c>
    </row>
    <row r="537" spans="2:11" ht="92">
      <c r="B537" s="5">
        <f>B535</f>
        <v>45687</v>
      </c>
      <c r="C537" s="6" t="s">
        <v>1325</v>
      </c>
      <c r="D537" s="7">
        <v>0.60416666666666663</v>
      </c>
      <c r="E537" s="8" t="s">
        <v>22</v>
      </c>
      <c r="F537" s="77">
        <v>3</v>
      </c>
      <c r="G537" s="8" t="s">
        <v>1511</v>
      </c>
      <c r="H537" s="74"/>
      <c r="I537" s="84"/>
      <c r="J537" s="84">
        <v>1E-3</v>
      </c>
      <c r="K537" s="14" t="s">
        <v>1512</v>
      </c>
    </row>
    <row r="538" spans="2:11" ht="118">
      <c r="B538" s="5">
        <f t="shared" si="15"/>
        <v>45687</v>
      </c>
      <c r="C538" s="6" t="s">
        <v>1325</v>
      </c>
      <c r="D538" s="7">
        <v>0.78125</v>
      </c>
      <c r="E538" s="8" t="s">
        <v>22</v>
      </c>
      <c r="F538" s="77">
        <v>3</v>
      </c>
      <c r="G538" s="8" t="s">
        <v>1513</v>
      </c>
      <c r="H538" s="74"/>
      <c r="I538" s="84">
        <v>2.75E-2</v>
      </c>
      <c r="J538" s="84">
        <v>0.03</v>
      </c>
      <c r="K538" s="14" t="s">
        <v>1514</v>
      </c>
    </row>
    <row r="539" spans="2:11" ht="118">
      <c r="B539" s="5">
        <f t="shared" si="15"/>
        <v>45687</v>
      </c>
      <c r="C539" s="6" t="s">
        <v>1325</v>
      </c>
      <c r="D539" s="7">
        <v>0.78125</v>
      </c>
      <c r="E539" s="8" t="s">
        <v>22</v>
      </c>
      <c r="F539" s="77">
        <v>3</v>
      </c>
      <c r="G539" s="8" t="s">
        <v>1515</v>
      </c>
      <c r="H539" s="74"/>
      <c r="I539" s="84">
        <v>2.9000000000000001E-2</v>
      </c>
      <c r="J539" s="84">
        <v>3.15E-2</v>
      </c>
      <c r="K539" s="14" t="s">
        <v>1514</v>
      </c>
    </row>
    <row r="540" spans="2:11" ht="118">
      <c r="B540" s="5">
        <f t="shared" si="15"/>
        <v>45687</v>
      </c>
      <c r="C540" s="6" t="s">
        <v>1325</v>
      </c>
      <c r="D540" s="7">
        <v>0.79166666666666663</v>
      </c>
      <c r="E540" s="8" t="s">
        <v>1</v>
      </c>
      <c r="F540" s="77">
        <v>3</v>
      </c>
      <c r="G540" s="8" t="s">
        <v>1516</v>
      </c>
      <c r="H540" s="74"/>
      <c r="I540" s="84"/>
      <c r="J540" s="84">
        <v>3.1E-2</v>
      </c>
      <c r="K540" s="14" t="s">
        <v>1517</v>
      </c>
    </row>
    <row r="541" spans="2:11" ht="92">
      <c r="B541" s="5">
        <f t="shared" si="15"/>
        <v>45687</v>
      </c>
      <c r="C541" s="6" t="s">
        <v>1325</v>
      </c>
      <c r="D541" s="7">
        <v>0.79166666666666663</v>
      </c>
      <c r="E541" s="8" t="s">
        <v>1</v>
      </c>
      <c r="F541" s="77">
        <v>3</v>
      </c>
      <c r="G541" s="8" t="s">
        <v>1421</v>
      </c>
      <c r="H541" s="74"/>
      <c r="I541" s="84"/>
      <c r="J541" s="84" t="s">
        <v>1347</v>
      </c>
      <c r="K541" s="14" t="s">
        <v>1518</v>
      </c>
    </row>
    <row r="542" spans="2:11" ht="118">
      <c r="B542" s="5">
        <f t="shared" si="15"/>
        <v>45687</v>
      </c>
      <c r="C542" s="6" t="s">
        <v>1325</v>
      </c>
      <c r="D542" s="7">
        <v>0.80208333333333337</v>
      </c>
      <c r="E542" s="8" t="s">
        <v>22</v>
      </c>
      <c r="F542" s="77">
        <v>3</v>
      </c>
      <c r="G542" s="8" t="s">
        <v>1519</v>
      </c>
      <c r="H542" s="74"/>
      <c r="I542" s="84"/>
      <c r="J542" s="84"/>
      <c r="K542" s="14" t="s">
        <v>1514</v>
      </c>
    </row>
    <row r="543" spans="2:11" ht="40">
      <c r="B543" s="5">
        <f>B542+1</f>
        <v>45688</v>
      </c>
      <c r="C543" s="6" t="s">
        <v>39</v>
      </c>
      <c r="D543" s="7" t="s">
        <v>1449</v>
      </c>
      <c r="E543" s="8" t="s">
        <v>65</v>
      </c>
      <c r="F543" s="77">
        <v>3</v>
      </c>
      <c r="G543" s="8" t="s">
        <v>1483</v>
      </c>
      <c r="H543" s="74"/>
      <c r="I543" s="74"/>
      <c r="J543" s="74"/>
      <c r="K543" s="14" t="s">
        <v>1520</v>
      </c>
    </row>
    <row r="544" spans="2:11" ht="40">
      <c r="B544" s="5">
        <f>B543</f>
        <v>45688</v>
      </c>
      <c r="C544" s="6" t="s">
        <v>39</v>
      </c>
      <c r="D544" s="7" t="s">
        <v>1449</v>
      </c>
      <c r="E544" s="8" t="s">
        <v>1495</v>
      </c>
      <c r="F544" s="77">
        <v>3</v>
      </c>
      <c r="G544" s="8" t="s">
        <v>1496</v>
      </c>
      <c r="H544" s="74"/>
      <c r="I544" s="74"/>
      <c r="J544" s="74"/>
      <c r="K544" s="14" t="s">
        <v>1520</v>
      </c>
    </row>
    <row r="545" spans="1:11" ht="183">
      <c r="B545" s="5">
        <f>B544</f>
        <v>45688</v>
      </c>
      <c r="C545" s="6" t="s">
        <v>39</v>
      </c>
      <c r="D545" s="7">
        <v>0.10416666666666667</v>
      </c>
      <c r="E545" s="8" t="s">
        <v>1</v>
      </c>
      <c r="F545" s="77">
        <v>3</v>
      </c>
      <c r="G545" s="8" t="s">
        <v>1521</v>
      </c>
      <c r="H545" s="74"/>
      <c r="I545" s="86">
        <v>2.36</v>
      </c>
      <c r="J545" s="86">
        <v>2.1800000000000002</v>
      </c>
      <c r="K545" s="14" t="s">
        <v>1522</v>
      </c>
    </row>
    <row r="546" spans="1:11" ht="118">
      <c r="B546" s="5">
        <f>B544</f>
        <v>45688</v>
      </c>
      <c r="C546" s="6" t="s">
        <v>39</v>
      </c>
      <c r="D546" s="7">
        <v>0.77083333333333337</v>
      </c>
      <c r="E546" s="8" t="s">
        <v>22</v>
      </c>
      <c r="F546" s="8">
        <v>3</v>
      </c>
      <c r="G546" s="8" t="s">
        <v>1523</v>
      </c>
      <c r="H546" s="73"/>
      <c r="I546" s="73"/>
      <c r="J546" s="73">
        <v>5.0000000000000001E-3</v>
      </c>
      <c r="K546" s="14" t="s">
        <v>1524</v>
      </c>
    </row>
    <row r="547" spans="1:11" ht="131">
      <c r="B547" s="5">
        <f>B546</f>
        <v>45688</v>
      </c>
      <c r="C547" s="6" t="s">
        <v>39</v>
      </c>
      <c r="D547" s="7">
        <v>0.79166666666666663</v>
      </c>
      <c r="E547" s="8" t="s">
        <v>1</v>
      </c>
      <c r="F547" s="8">
        <v>3</v>
      </c>
      <c r="G547" s="8" t="s">
        <v>1525</v>
      </c>
      <c r="H547" s="73"/>
      <c r="I547" s="73"/>
      <c r="J547" s="73">
        <v>1E-3</v>
      </c>
      <c r="K547" s="14" t="s">
        <v>1526</v>
      </c>
    </row>
    <row r="548" spans="1:11" ht="92">
      <c r="B548" s="5">
        <f>B547</f>
        <v>45688</v>
      </c>
      <c r="C548" s="6" t="s">
        <v>39</v>
      </c>
      <c r="D548" s="7">
        <v>0.79166666666666663</v>
      </c>
      <c r="E548" s="8" t="s">
        <v>1</v>
      </c>
      <c r="F548" s="8">
        <v>3</v>
      </c>
      <c r="G548" s="8" t="s">
        <v>1527</v>
      </c>
      <c r="H548" s="73"/>
      <c r="I548" s="73"/>
      <c r="J548" s="73">
        <v>2.8000000000000001E-2</v>
      </c>
      <c r="K548" s="14" t="s">
        <v>1528</v>
      </c>
    </row>
    <row r="549" spans="1:11" ht="131">
      <c r="B549" s="5">
        <f>B548</f>
        <v>45688</v>
      </c>
      <c r="C549" s="6" t="s">
        <v>39</v>
      </c>
      <c r="D549" s="7">
        <v>0.84375</v>
      </c>
      <c r="E549" s="8" t="s">
        <v>1</v>
      </c>
      <c r="F549" s="8">
        <v>3</v>
      </c>
      <c r="G549" s="8" t="s">
        <v>1529</v>
      </c>
      <c r="H549" s="73"/>
      <c r="I549" s="73"/>
      <c r="J549" s="74">
        <v>36.9</v>
      </c>
      <c r="K549" s="14" t="s">
        <v>1530</v>
      </c>
    </row>
    <row r="550" spans="1:11" ht="66">
      <c r="B550" s="5">
        <v>45736</v>
      </c>
      <c r="C550" s="6"/>
      <c r="D550" s="7">
        <v>2.0833333333333332E-2</v>
      </c>
      <c r="E550" s="8" t="s">
        <v>1</v>
      </c>
      <c r="F550" s="8">
        <v>3</v>
      </c>
      <c r="G550" s="8" t="s">
        <v>127</v>
      </c>
      <c r="H550" s="73"/>
      <c r="I550" s="84">
        <v>4.3099999999999999E-2</v>
      </c>
      <c r="J550" s="84">
        <v>4.3799999999999999E-2</v>
      </c>
      <c r="K550" s="14" t="s">
        <v>1380</v>
      </c>
    </row>
    <row r="551" spans="1:11">
      <c r="B551" t="s">
        <v>1531</v>
      </c>
      <c r="H551"/>
      <c r="J551" s="1"/>
      <c r="K551" s="25"/>
    </row>
    <row r="552" spans="1:11" ht="40">
      <c r="A552" s="569" t="s">
        <v>105</v>
      </c>
      <c r="B552" s="5">
        <v>45699</v>
      </c>
      <c r="C552" s="642" t="s">
        <v>42</v>
      </c>
      <c r="D552" s="7">
        <v>0</v>
      </c>
      <c r="E552" s="8" t="s">
        <v>117</v>
      </c>
      <c r="F552" s="77" t="s">
        <v>1560</v>
      </c>
      <c r="G552" s="8" t="s">
        <v>1561</v>
      </c>
      <c r="H552" s="643"/>
      <c r="I552" s="199"/>
      <c r="J552" s="199"/>
      <c r="K552" s="14" t="s">
        <v>1562</v>
      </c>
    </row>
    <row r="553" spans="1:11" ht="92">
      <c r="B553" s="5">
        <v>45699</v>
      </c>
      <c r="C553" s="642" t="s">
        <v>42</v>
      </c>
      <c r="D553" s="7">
        <v>0.6875</v>
      </c>
      <c r="E553" s="8" t="s">
        <v>1</v>
      </c>
      <c r="F553" s="77">
        <v>1</v>
      </c>
      <c r="G553" s="8" t="s">
        <v>1563</v>
      </c>
      <c r="H553" s="643"/>
      <c r="I553" s="644">
        <v>104.6</v>
      </c>
      <c r="J553" s="644">
        <v>105.1</v>
      </c>
      <c r="K553" s="14" t="s">
        <v>1564</v>
      </c>
    </row>
    <row r="554" spans="1:11" ht="79">
      <c r="B554" s="5">
        <v>45699</v>
      </c>
      <c r="C554" s="642" t="s">
        <v>42</v>
      </c>
      <c r="D554" s="7">
        <v>0.85416666666666663</v>
      </c>
      <c r="E554" s="8" t="s">
        <v>1</v>
      </c>
      <c r="F554" s="77">
        <v>3</v>
      </c>
      <c r="G554" s="8" t="s">
        <v>1565</v>
      </c>
      <c r="H554" s="643"/>
      <c r="I554" s="199"/>
      <c r="J554" s="199"/>
      <c r="K554" s="14" t="s">
        <v>1566</v>
      </c>
    </row>
    <row r="555" spans="1:11" ht="157">
      <c r="B555" s="5">
        <v>45700</v>
      </c>
      <c r="C555" s="642" t="s">
        <v>41</v>
      </c>
      <c r="D555" s="7">
        <v>0.79166666666666663</v>
      </c>
      <c r="E555" s="8" t="s">
        <v>1</v>
      </c>
      <c r="F555" s="77">
        <v>3</v>
      </c>
      <c r="G555" s="8" t="s">
        <v>1567</v>
      </c>
      <c r="H555" s="643"/>
      <c r="I555" s="199"/>
      <c r="J555" s="199">
        <v>2E-3</v>
      </c>
      <c r="K555" s="14" t="s">
        <v>1568</v>
      </c>
    </row>
    <row r="556" spans="1:11" ht="157">
      <c r="B556" s="5">
        <v>45700</v>
      </c>
      <c r="C556" s="642" t="s">
        <v>41</v>
      </c>
      <c r="D556" s="7">
        <v>0.79166666666666663</v>
      </c>
      <c r="E556" s="8" t="s">
        <v>1</v>
      </c>
      <c r="F556" s="77">
        <v>3</v>
      </c>
      <c r="G556" s="8" t="s">
        <v>1569</v>
      </c>
      <c r="H556" s="643"/>
      <c r="I556" s="645"/>
      <c r="J556" s="199">
        <v>4.0000000000000001E-3</v>
      </c>
      <c r="K556" s="14" t="s">
        <v>1568</v>
      </c>
    </row>
    <row r="557" spans="1:11" ht="157">
      <c r="B557" s="5">
        <v>45700</v>
      </c>
      <c r="C557" s="642" t="s">
        <v>41</v>
      </c>
      <c r="D557" s="7">
        <v>0.79166666666666663</v>
      </c>
      <c r="E557" s="8" t="s">
        <v>1</v>
      </c>
      <c r="F557" s="77">
        <v>3</v>
      </c>
      <c r="G557" s="8" t="s">
        <v>1570</v>
      </c>
      <c r="H557" s="643"/>
      <c r="I557" s="199"/>
      <c r="J557" s="199">
        <v>2.9000000000000001E-2</v>
      </c>
      <c r="K557" s="14" t="s">
        <v>1568</v>
      </c>
    </row>
    <row r="558" spans="1:11" ht="79">
      <c r="B558" s="5">
        <v>45700</v>
      </c>
      <c r="C558" s="642" t="s">
        <v>42</v>
      </c>
      <c r="D558" s="7">
        <v>0.85416666666666663</v>
      </c>
      <c r="E558" s="8" t="s">
        <v>1</v>
      </c>
      <c r="F558" s="77">
        <v>3</v>
      </c>
      <c r="G558" s="8" t="s">
        <v>1565</v>
      </c>
      <c r="H558" s="643"/>
      <c r="I558" s="199"/>
      <c r="J558" s="199"/>
      <c r="K558" s="14" t="s">
        <v>1566</v>
      </c>
    </row>
    <row r="559" spans="1:11" ht="131">
      <c r="B559" s="5">
        <v>45700</v>
      </c>
      <c r="C559" s="642" t="s">
        <v>42</v>
      </c>
      <c r="D559" s="7">
        <v>0.875</v>
      </c>
      <c r="E559" s="8" t="s">
        <v>1</v>
      </c>
      <c r="F559" s="77">
        <v>3</v>
      </c>
      <c r="G559" s="8" t="s">
        <v>1571</v>
      </c>
      <c r="H559" s="643"/>
      <c r="I559" s="199"/>
      <c r="J559" s="199" t="s">
        <v>1572</v>
      </c>
      <c r="K559" s="14" t="s">
        <v>1505</v>
      </c>
    </row>
    <row r="560" spans="1:11" ht="144">
      <c r="B560" s="5">
        <v>45700</v>
      </c>
      <c r="C560" s="642" t="s">
        <v>42</v>
      </c>
      <c r="D560" s="7">
        <v>0.97916666666666663</v>
      </c>
      <c r="E560" s="8" t="s">
        <v>1</v>
      </c>
      <c r="F560" s="77">
        <v>3</v>
      </c>
      <c r="G560" s="8" t="s">
        <v>52</v>
      </c>
      <c r="H560" s="643"/>
      <c r="I560" s="199"/>
      <c r="J560" s="646">
        <v>4.6800000000000001E-2</v>
      </c>
      <c r="K560" s="14" t="s">
        <v>1573</v>
      </c>
    </row>
    <row r="561" spans="1:11" ht="79">
      <c r="B561" s="5">
        <v>45701</v>
      </c>
      <c r="C561" s="642" t="s">
        <v>1325</v>
      </c>
      <c r="D561" s="7">
        <v>0.52083333333333337</v>
      </c>
      <c r="E561" s="8" t="s">
        <v>53</v>
      </c>
      <c r="F561" s="77">
        <v>3</v>
      </c>
      <c r="G561" s="8" t="s">
        <v>1574</v>
      </c>
      <c r="H561" s="643"/>
      <c r="I561" s="199"/>
      <c r="J561" s="646">
        <v>8.9999999999999993E-3</v>
      </c>
      <c r="K561" s="14" t="s">
        <v>1575</v>
      </c>
    </row>
    <row r="562" spans="1:11" ht="79">
      <c r="B562" s="5">
        <v>45701</v>
      </c>
      <c r="C562" s="642" t="s">
        <v>1325</v>
      </c>
      <c r="D562" s="7">
        <v>0.52083333333333337</v>
      </c>
      <c r="E562" s="8" t="s">
        <v>53</v>
      </c>
      <c r="F562" s="77">
        <v>3</v>
      </c>
      <c r="G562" s="8" t="s">
        <v>1576</v>
      </c>
      <c r="H562" s="643"/>
      <c r="I562" s="199"/>
      <c r="J562" s="646">
        <v>0</v>
      </c>
      <c r="K562" s="14" t="s">
        <v>1575</v>
      </c>
    </row>
    <row r="563" spans="1:11" ht="79">
      <c r="B563" s="5">
        <v>45701</v>
      </c>
      <c r="C563" s="642" t="s">
        <v>1325</v>
      </c>
      <c r="D563" s="7">
        <v>0.52083333333333337</v>
      </c>
      <c r="E563" s="8" t="s">
        <v>53</v>
      </c>
      <c r="F563" s="77">
        <v>3</v>
      </c>
      <c r="G563" s="8" t="s">
        <v>1577</v>
      </c>
      <c r="H563" s="643"/>
      <c r="I563" s="199"/>
      <c r="J563" s="199">
        <v>1E-3</v>
      </c>
      <c r="K563" s="14" t="s">
        <v>1575</v>
      </c>
    </row>
    <row r="564" spans="1:11" ht="105">
      <c r="B564" s="5">
        <v>45701</v>
      </c>
      <c r="C564" s="642" t="s">
        <v>1325</v>
      </c>
      <c r="D564" s="7">
        <v>0.52083333333333337</v>
      </c>
      <c r="E564" s="8" t="s">
        <v>22</v>
      </c>
      <c r="F564" s="77">
        <v>3</v>
      </c>
      <c r="G564" s="8" t="s">
        <v>1578</v>
      </c>
      <c r="H564" s="643"/>
      <c r="I564" s="199"/>
      <c r="J564" s="199">
        <v>-2E-3</v>
      </c>
      <c r="K564" s="14" t="s">
        <v>1579</v>
      </c>
    </row>
    <row r="565" spans="1:11" ht="79">
      <c r="B565" s="5">
        <v>45701</v>
      </c>
      <c r="C565" s="642" t="s">
        <v>1325</v>
      </c>
      <c r="D565" s="7">
        <v>0.79166666666666663</v>
      </c>
      <c r="E565" s="8" t="s">
        <v>1</v>
      </c>
      <c r="F565" s="77">
        <v>3</v>
      </c>
      <c r="G565" s="8" t="s">
        <v>14</v>
      </c>
      <c r="H565" s="643"/>
      <c r="I565" s="199"/>
      <c r="J565" s="199"/>
      <c r="K565" s="14" t="s">
        <v>1580</v>
      </c>
    </row>
    <row r="566" spans="1:11" ht="131">
      <c r="B566" s="5">
        <v>45701</v>
      </c>
      <c r="C566" s="642" t="s">
        <v>1325</v>
      </c>
      <c r="D566" s="7">
        <v>0.79166666666666663</v>
      </c>
      <c r="E566" s="8" t="s">
        <v>1</v>
      </c>
      <c r="F566" s="77">
        <v>3</v>
      </c>
      <c r="G566" s="8" t="s">
        <v>1581</v>
      </c>
      <c r="H566" s="643"/>
      <c r="I566" s="199"/>
      <c r="J566" s="199">
        <v>2E-3</v>
      </c>
      <c r="K566" s="14" t="s">
        <v>1582</v>
      </c>
    </row>
    <row r="567" spans="1:11" ht="144">
      <c r="B567" s="5">
        <v>45701</v>
      </c>
      <c r="C567" s="642" t="s">
        <v>1325</v>
      </c>
      <c r="D567" s="7">
        <v>0.97916666666666663</v>
      </c>
      <c r="E567" s="8" t="s">
        <v>1</v>
      </c>
      <c r="F567" s="77">
        <v>3</v>
      </c>
      <c r="G567" s="8" t="s">
        <v>927</v>
      </c>
      <c r="H567" s="643"/>
      <c r="I567" s="199"/>
      <c r="J567" s="646">
        <v>4.913E-2</v>
      </c>
      <c r="K567" s="14" t="s">
        <v>1583</v>
      </c>
    </row>
    <row r="568" spans="1:11" ht="92">
      <c r="B568" s="5">
        <v>45702</v>
      </c>
      <c r="C568" s="642" t="s">
        <v>39</v>
      </c>
      <c r="D568" s="7">
        <v>0.64583333333333337</v>
      </c>
      <c r="E568" s="8" t="s">
        <v>22</v>
      </c>
      <c r="F568" s="77">
        <v>2</v>
      </c>
      <c r="G568" s="8" t="s">
        <v>1584</v>
      </c>
      <c r="H568" s="643"/>
      <c r="I568" s="199">
        <v>0</v>
      </c>
      <c r="J568" s="199">
        <v>0</v>
      </c>
      <c r="K568" s="14" t="s">
        <v>1585</v>
      </c>
    </row>
    <row r="569" spans="1:11" ht="92">
      <c r="B569" s="5">
        <v>45702</v>
      </c>
      <c r="C569" s="642" t="s">
        <v>39</v>
      </c>
      <c r="D569" s="7">
        <v>0.79166666666666663</v>
      </c>
      <c r="E569" s="8" t="s">
        <v>1</v>
      </c>
      <c r="F569" s="77">
        <v>3</v>
      </c>
      <c r="G569" s="8" t="s">
        <v>1586</v>
      </c>
      <c r="H569" s="643"/>
      <c r="I569" s="199"/>
      <c r="J569" s="199">
        <v>4.0000000000000001E-3</v>
      </c>
      <c r="K569" s="14" t="s">
        <v>1587</v>
      </c>
    </row>
    <row r="570" spans="1:11" ht="92">
      <c r="B570" s="5">
        <v>45702</v>
      </c>
      <c r="C570" s="642" t="s">
        <v>39</v>
      </c>
      <c r="D570" s="7">
        <v>0.79166666666666663</v>
      </c>
      <c r="E570" s="8" t="s">
        <v>1</v>
      </c>
      <c r="F570" s="77">
        <v>3</v>
      </c>
      <c r="G570" s="8" t="s">
        <v>1588</v>
      </c>
      <c r="H570" s="643"/>
      <c r="I570" s="199"/>
      <c r="J570" s="199">
        <v>4.0000000000000001E-3</v>
      </c>
      <c r="K570" s="14" t="s">
        <v>1589</v>
      </c>
    </row>
    <row r="571" spans="1:11">
      <c r="B571" s="5">
        <v>45687</v>
      </c>
      <c r="C571" s="642" t="s">
        <v>40</v>
      </c>
      <c r="D571" s="7">
        <v>2.0833333333333332E-2</v>
      </c>
      <c r="E571" s="8" t="s">
        <v>1</v>
      </c>
      <c r="F571" s="8">
        <v>3</v>
      </c>
      <c r="G571" s="8" t="s">
        <v>127</v>
      </c>
      <c r="H571" s="643"/>
      <c r="I571" s="199">
        <v>4.3700000000000003E-2</v>
      </c>
      <c r="J571" s="199">
        <v>4.6199999999999998E-2</v>
      </c>
      <c r="K571" s="14" t="s">
        <v>1591</v>
      </c>
    </row>
    <row r="572" spans="1:11">
      <c r="B572" t="s">
        <v>1590</v>
      </c>
      <c r="H572"/>
      <c r="J572" s="1"/>
      <c r="K572" s="25"/>
    </row>
    <row r="573" spans="1:11" ht="79">
      <c r="A573" s="569" t="s">
        <v>105</v>
      </c>
      <c r="B573" s="5">
        <v>45712</v>
      </c>
      <c r="C573" s="642" t="s">
        <v>43</v>
      </c>
      <c r="D573" s="7" t="s">
        <v>1449</v>
      </c>
      <c r="E573" s="8" t="s">
        <v>117</v>
      </c>
      <c r="F573" s="77" t="s">
        <v>1560</v>
      </c>
      <c r="G573" s="8" t="s">
        <v>1613</v>
      </c>
      <c r="H573" s="643"/>
      <c r="I573" s="199"/>
      <c r="J573" s="199"/>
      <c r="K573" s="14" t="s">
        <v>1614</v>
      </c>
    </row>
    <row r="574" spans="1:11" ht="105">
      <c r="B574" s="5">
        <v>45712</v>
      </c>
      <c r="C574" s="642" t="s">
        <v>43</v>
      </c>
      <c r="D574" s="7">
        <v>0.64583333333333337</v>
      </c>
      <c r="E574" s="8" t="s">
        <v>22</v>
      </c>
      <c r="F574" s="77">
        <v>3</v>
      </c>
      <c r="G574" s="8" t="s">
        <v>1615</v>
      </c>
      <c r="H574" s="643"/>
      <c r="I574" s="199"/>
      <c r="J574" s="199">
        <v>2.5000000000000001E-2</v>
      </c>
      <c r="K574" s="14" t="s">
        <v>1616</v>
      </c>
    </row>
    <row r="575" spans="1:11" ht="92">
      <c r="B575" s="5">
        <f>B574+1</f>
        <v>45713</v>
      </c>
      <c r="C575" s="642" t="s">
        <v>42</v>
      </c>
      <c r="D575" s="7">
        <v>0.52083333333333337</v>
      </c>
      <c r="E575" s="8" t="s">
        <v>22</v>
      </c>
      <c r="F575" s="77">
        <v>3</v>
      </c>
      <c r="G575" s="8" t="s">
        <v>1617</v>
      </c>
      <c r="H575" s="643"/>
      <c r="I575" s="199"/>
      <c r="J575" s="199">
        <v>-2E-3</v>
      </c>
      <c r="K575" s="14" t="s">
        <v>1618</v>
      </c>
    </row>
    <row r="576" spans="1:11" ht="105">
      <c r="B576" s="45">
        <f>B575</f>
        <v>45713</v>
      </c>
      <c r="C576" s="46" t="s">
        <v>182</v>
      </c>
      <c r="D576" s="47">
        <v>0.85416666666666663</v>
      </c>
      <c r="E576" s="48" t="s">
        <v>1</v>
      </c>
      <c r="F576" s="653">
        <v>3</v>
      </c>
      <c r="G576" s="48" t="s">
        <v>1619</v>
      </c>
      <c r="H576" s="49"/>
      <c r="I576" s="654"/>
      <c r="J576" s="655">
        <v>104.1</v>
      </c>
      <c r="K576" s="67" t="s">
        <v>1620</v>
      </c>
    </row>
    <row r="577" spans="2:11" ht="79">
      <c r="B577" s="45">
        <f>B576+1</f>
        <v>45714</v>
      </c>
      <c r="C577" s="46" t="s">
        <v>41</v>
      </c>
      <c r="D577" s="47" t="s">
        <v>1449</v>
      </c>
      <c r="E577" s="48" t="s">
        <v>1621</v>
      </c>
      <c r="F577" s="653" t="s">
        <v>1560</v>
      </c>
      <c r="G577" s="48" t="s">
        <v>1622</v>
      </c>
      <c r="H577" s="49"/>
      <c r="I577" s="654"/>
      <c r="J577" s="655"/>
      <c r="K577" s="67" t="s">
        <v>1623</v>
      </c>
    </row>
    <row r="578" spans="2:11" ht="131">
      <c r="B578" s="45">
        <f>B577</f>
        <v>45714</v>
      </c>
      <c r="C578" s="46" t="s">
        <v>41</v>
      </c>
      <c r="D578" s="47">
        <v>0.85416666666666663</v>
      </c>
      <c r="E578" s="48" t="s">
        <v>1</v>
      </c>
      <c r="F578" s="653">
        <v>3</v>
      </c>
      <c r="G578" s="48" t="s">
        <v>1412</v>
      </c>
      <c r="H578" s="49"/>
      <c r="I578" s="654"/>
      <c r="J578" s="655" t="s">
        <v>1624</v>
      </c>
      <c r="K578" s="67" t="s">
        <v>1505</v>
      </c>
    </row>
    <row r="579" spans="2:11" ht="105">
      <c r="B579" s="45">
        <f>B577</f>
        <v>45714</v>
      </c>
      <c r="C579" s="46" t="s">
        <v>41</v>
      </c>
      <c r="D579" s="47">
        <v>0.85416666666666663</v>
      </c>
      <c r="E579" s="48" t="s">
        <v>1</v>
      </c>
      <c r="F579" s="653">
        <v>3</v>
      </c>
      <c r="G579" s="48" t="s">
        <v>1625</v>
      </c>
      <c r="H579" s="49"/>
      <c r="I579" s="654"/>
      <c r="J579" s="655" t="s">
        <v>768</v>
      </c>
      <c r="K579" s="67" t="s">
        <v>1482</v>
      </c>
    </row>
    <row r="580" spans="2:11" ht="157">
      <c r="B580" s="45">
        <f>B577+1</f>
        <v>45715</v>
      </c>
      <c r="C580" s="46" t="s">
        <v>1325</v>
      </c>
      <c r="D580" s="656">
        <v>0.10416666666666667</v>
      </c>
      <c r="E580" s="48" t="s">
        <v>1</v>
      </c>
      <c r="F580" s="653">
        <v>3</v>
      </c>
      <c r="G580" s="48" t="s">
        <v>1626</v>
      </c>
      <c r="H580" s="49"/>
      <c r="I580" s="655">
        <v>0.79</v>
      </c>
      <c r="J580" s="655">
        <v>0.49</v>
      </c>
      <c r="K580" s="67" t="s">
        <v>1627</v>
      </c>
    </row>
    <row r="581" spans="2:11" ht="157">
      <c r="B581" s="45">
        <f>B578+1</f>
        <v>45715</v>
      </c>
      <c r="C581" s="46" t="s">
        <v>1325</v>
      </c>
      <c r="D581" s="47">
        <v>0.5625</v>
      </c>
      <c r="E581" s="48" t="s">
        <v>270</v>
      </c>
      <c r="F581" s="653">
        <v>2</v>
      </c>
      <c r="G581" s="48" t="s">
        <v>1628</v>
      </c>
      <c r="H581" s="49"/>
      <c r="I581" s="654">
        <v>2E-3</v>
      </c>
      <c r="J581" s="199">
        <v>4.0000000000000001E-3</v>
      </c>
      <c r="K581" s="67" t="s">
        <v>1629</v>
      </c>
    </row>
    <row r="582" spans="2:11" ht="92">
      <c r="B582" s="45">
        <f>B579+1</f>
        <v>45715</v>
      </c>
      <c r="C582" s="46" t="s">
        <v>1325</v>
      </c>
      <c r="D582" s="47">
        <v>0.79166666666666663</v>
      </c>
      <c r="E582" s="48" t="s">
        <v>1</v>
      </c>
      <c r="F582" s="653">
        <v>3</v>
      </c>
      <c r="G582" s="48" t="s">
        <v>1630</v>
      </c>
      <c r="H582" s="49"/>
      <c r="I582" s="654"/>
      <c r="J582" s="199">
        <v>-2.1999999999999999E-2</v>
      </c>
      <c r="K582" s="67" t="s">
        <v>1631</v>
      </c>
    </row>
    <row r="583" spans="2:11" ht="105">
      <c r="B583" s="45">
        <f>B582</f>
        <v>45715</v>
      </c>
      <c r="C583" s="46" t="s">
        <v>1325</v>
      </c>
      <c r="D583" s="47">
        <v>0.79166666666666663</v>
      </c>
      <c r="E583" s="48" t="s">
        <v>1</v>
      </c>
      <c r="F583" s="653">
        <v>3</v>
      </c>
      <c r="G583" s="48" t="s">
        <v>1516</v>
      </c>
      <c r="H583" s="49"/>
      <c r="I583" s="654"/>
      <c r="J583" s="199">
        <v>2.3E-2</v>
      </c>
      <c r="K583" s="67" t="s">
        <v>1632</v>
      </c>
    </row>
    <row r="584" spans="2:11" ht="79">
      <c r="B584" s="45">
        <f>B583</f>
        <v>45715</v>
      </c>
      <c r="C584" s="46" t="s">
        <v>1325</v>
      </c>
      <c r="D584" s="47">
        <v>0.79166666666666663</v>
      </c>
      <c r="E584" s="48" t="s">
        <v>1</v>
      </c>
      <c r="F584" s="653">
        <v>3</v>
      </c>
      <c r="G584" s="48" t="s">
        <v>1421</v>
      </c>
      <c r="H584" s="49"/>
      <c r="I584" s="654"/>
      <c r="J584" s="199"/>
      <c r="K584" s="67" t="s">
        <v>1633</v>
      </c>
    </row>
    <row r="585" spans="2:11" ht="105">
      <c r="B585" s="45">
        <f>B584+1</f>
        <v>45716</v>
      </c>
      <c r="C585" s="46" t="s">
        <v>39</v>
      </c>
      <c r="D585" s="47">
        <v>0.77083333333333337</v>
      </c>
      <c r="E585" s="48" t="s">
        <v>22</v>
      </c>
      <c r="F585" s="653">
        <v>3</v>
      </c>
      <c r="G585" s="48" t="s">
        <v>1634</v>
      </c>
      <c r="H585" s="49"/>
      <c r="I585" s="654"/>
      <c r="J585" s="199">
        <f>-0.2%</f>
        <v>-2E-3</v>
      </c>
      <c r="K585" s="67" t="s">
        <v>1635</v>
      </c>
    </row>
    <row r="586" spans="2:11" ht="79">
      <c r="B586" s="45">
        <f>B585</f>
        <v>45716</v>
      </c>
      <c r="C586" s="46" t="s">
        <v>39</v>
      </c>
      <c r="D586" s="47">
        <v>0.79166666666666663</v>
      </c>
      <c r="E586" s="48" t="s">
        <v>1</v>
      </c>
      <c r="F586" s="653">
        <v>3</v>
      </c>
      <c r="G586" s="48" t="s">
        <v>1636</v>
      </c>
      <c r="H586" s="49"/>
      <c r="I586" s="654"/>
      <c r="J586" s="199">
        <v>2E-3</v>
      </c>
      <c r="K586" s="67" t="s">
        <v>1637</v>
      </c>
    </row>
    <row r="587" spans="2:11" ht="79">
      <c r="B587" s="45">
        <f>B586</f>
        <v>45716</v>
      </c>
      <c r="C587" s="46" t="s">
        <v>39</v>
      </c>
      <c r="D587" s="47">
        <v>0.79166666666666663</v>
      </c>
      <c r="E587" s="48" t="s">
        <v>1</v>
      </c>
      <c r="F587" s="653">
        <v>3</v>
      </c>
      <c r="G587" s="48" t="s">
        <v>1638</v>
      </c>
      <c r="H587" s="49"/>
      <c r="I587" s="654"/>
      <c r="J587" s="199">
        <v>2.8000000000000001E-2</v>
      </c>
      <c r="K587" s="67" t="s">
        <v>1637</v>
      </c>
    </row>
    <row r="588" spans="2:11" ht="118">
      <c r="B588" s="45">
        <f>B587</f>
        <v>45716</v>
      </c>
      <c r="C588" s="46" t="s">
        <v>39</v>
      </c>
      <c r="D588" s="47">
        <v>0.84375</v>
      </c>
      <c r="E588" s="48" t="s">
        <v>1</v>
      </c>
      <c r="F588" s="653">
        <v>3</v>
      </c>
      <c r="G588" s="48" t="s">
        <v>1639</v>
      </c>
      <c r="H588" s="49"/>
      <c r="I588" s="654"/>
      <c r="J588" s="655">
        <v>39.5</v>
      </c>
      <c r="K588" s="67" t="s">
        <v>1640</v>
      </c>
    </row>
    <row r="589" spans="2:11" ht="92">
      <c r="B589" s="45">
        <f>B588+1</f>
        <v>45717</v>
      </c>
      <c r="C589" s="46" t="s">
        <v>38</v>
      </c>
      <c r="D589" s="47" t="s">
        <v>1449</v>
      </c>
      <c r="E589" s="48" t="s">
        <v>1485</v>
      </c>
      <c r="F589" s="653" t="s">
        <v>1560</v>
      </c>
      <c r="G589" s="48" t="s">
        <v>1641</v>
      </c>
      <c r="H589" s="49"/>
      <c r="I589" s="654"/>
      <c r="J589" s="655"/>
      <c r="K589" s="14" t="s">
        <v>1642</v>
      </c>
    </row>
    <row r="590" spans="2:11" ht="144">
      <c r="B590" s="45">
        <f>B589</f>
        <v>45717</v>
      </c>
      <c r="C590" s="46" t="s">
        <v>38</v>
      </c>
      <c r="D590" s="47">
        <v>0.29166666666666669</v>
      </c>
      <c r="E590" s="48" t="s">
        <v>65</v>
      </c>
      <c r="F590" s="653">
        <v>3</v>
      </c>
      <c r="G590" s="48" t="s">
        <v>1643</v>
      </c>
      <c r="H590" s="49"/>
      <c r="I590" s="654"/>
      <c r="J590" s="655">
        <v>49.1</v>
      </c>
      <c r="K590" s="14" t="s">
        <v>1478</v>
      </c>
    </row>
    <row r="591" spans="2:11" ht="40">
      <c r="B591" s="5">
        <v>45735</v>
      </c>
      <c r="C591" s="642" t="s">
        <v>40</v>
      </c>
      <c r="D591" s="7">
        <v>2.0833333333333332E-2</v>
      </c>
      <c r="E591" s="8" t="s">
        <v>1</v>
      </c>
      <c r="F591" s="8">
        <v>3</v>
      </c>
      <c r="G591" s="8" t="s">
        <v>127</v>
      </c>
      <c r="H591" s="643"/>
      <c r="I591" s="199">
        <v>4.3700000000000003E-2</v>
      </c>
      <c r="J591" s="199">
        <v>4.3799999999999999E-2</v>
      </c>
      <c r="K591" s="14" t="s">
        <v>1644</v>
      </c>
    </row>
    <row r="592" spans="2:11">
      <c r="B592" t="s">
        <v>1645</v>
      </c>
      <c r="H592"/>
      <c r="J592" s="1"/>
      <c r="K592" s="25"/>
    </row>
    <row r="593" spans="1:11" ht="131">
      <c r="A593" s="569" t="s">
        <v>105</v>
      </c>
      <c r="B593" s="5">
        <v>45740</v>
      </c>
      <c r="C593" s="642" t="s">
        <v>43</v>
      </c>
      <c r="D593" s="7">
        <v>0.80208333333333337</v>
      </c>
      <c r="E593" s="8" t="s">
        <v>1</v>
      </c>
      <c r="F593" s="77">
        <v>3</v>
      </c>
      <c r="G593" s="8" t="s">
        <v>1663</v>
      </c>
      <c r="H593" s="643"/>
      <c r="I593" s="199"/>
      <c r="J593" s="644">
        <v>52.7</v>
      </c>
      <c r="K593" s="14" t="s">
        <v>1664</v>
      </c>
    </row>
    <row r="594" spans="1:11" ht="105">
      <c r="B594" s="5">
        <v>45740</v>
      </c>
      <c r="C594" s="642" t="s">
        <v>43</v>
      </c>
      <c r="D594" s="7">
        <v>0.80208333333333337</v>
      </c>
      <c r="E594" s="8" t="s">
        <v>1</v>
      </c>
      <c r="F594" s="77">
        <v>3</v>
      </c>
      <c r="G594" s="8" t="s">
        <v>1665</v>
      </c>
      <c r="H594" s="643"/>
      <c r="I594" s="199"/>
      <c r="J594" s="644">
        <v>51</v>
      </c>
      <c r="K594" s="14" t="s">
        <v>1666</v>
      </c>
    </row>
    <row r="595" spans="1:11" ht="105">
      <c r="B595" s="5">
        <v>45741</v>
      </c>
      <c r="C595" s="642" t="s">
        <v>42</v>
      </c>
      <c r="D595" s="7">
        <v>0.8125</v>
      </c>
      <c r="E595" s="8" t="s">
        <v>1</v>
      </c>
      <c r="F595" s="77">
        <v>3</v>
      </c>
      <c r="G595" s="8" t="s">
        <v>1667</v>
      </c>
      <c r="H595" s="643"/>
      <c r="I595" s="199"/>
      <c r="J595" s="644">
        <v>98.3</v>
      </c>
      <c r="K595" s="14" t="s">
        <v>1620</v>
      </c>
    </row>
    <row r="596" spans="1:11" ht="79">
      <c r="B596" s="5">
        <v>45741</v>
      </c>
      <c r="C596" s="642" t="s">
        <v>42</v>
      </c>
      <c r="D596" s="7">
        <v>0.8125</v>
      </c>
      <c r="E596" s="8" t="s">
        <v>1</v>
      </c>
      <c r="F596" s="77">
        <v>3</v>
      </c>
      <c r="G596" s="8" t="s">
        <v>1668</v>
      </c>
      <c r="H596" s="643"/>
      <c r="I596" s="199"/>
      <c r="J596" s="199" t="s">
        <v>1669</v>
      </c>
      <c r="K596" s="14" t="s">
        <v>1670</v>
      </c>
    </row>
    <row r="597" spans="1:11" ht="105">
      <c r="B597" s="5">
        <v>45742</v>
      </c>
      <c r="C597" s="642" t="s">
        <v>41</v>
      </c>
      <c r="D597" s="7">
        <v>0.52083333333333337</v>
      </c>
      <c r="E597" s="8" t="s">
        <v>53</v>
      </c>
      <c r="F597" s="77">
        <v>3</v>
      </c>
      <c r="G597" s="8" t="s">
        <v>1671</v>
      </c>
      <c r="H597" s="643"/>
      <c r="I597" s="199"/>
      <c r="J597" s="199">
        <v>0.03</v>
      </c>
      <c r="K597" s="14" t="s">
        <v>1672</v>
      </c>
    </row>
    <row r="598" spans="1:11" ht="79">
      <c r="B598" s="5">
        <v>45742</v>
      </c>
      <c r="C598" s="642" t="s">
        <v>41</v>
      </c>
      <c r="D598" s="7">
        <v>0.64583333333333337</v>
      </c>
      <c r="E598" s="8" t="s">
        <v>53</v>
      </c>
      <c r="F598" s="77">
        <v>3</v>
      </c>
      <c r="G598" s="8" t="s">
        <v>1673</v>
      </c>
      <c r="H598" s="643"/>
      <c r="I598" s="199"/>
      <c r="J598" s="199"/>
      <c r="K598" s="14" t="s">
        <v>1674</v>
      </c>
    </row>
    <row r="599" spans="1:11" ht="118">
      <c r="B599" s="5">
        <v>45742</v>
      </c>
      <c r="C599" s="642" t="s">
        <v>41</v>
      </c>
      <c r="D599" s="7">
        <v>0.75</v>
      </c>
      <c r="E599" s="8" t="s">
        <v>1</v>
      </c>
      <c r="F599" s="77">
        <v>3</v>
      </c>
      <c r="G599" s="8" t="s">
        <v>1675</v>
      </c>
      <c r="H599" s="643"/>
      <c r="I599" s="199"/>
      <c r="J599" s="199">
        <v>3.2000000000000001E-2</v>
      </c>
      <c r="K599" s="14" t="s">
        <v>1676</v>
      </c>
    </row>
    <row r="600" spans="1:11" ht="144">
      <c r="B600" s="5">
        <v>45742</v>
      </c>
      <c r="C600" s="642" t="s">
        <v>41</v>
      </c>
      <c r="D600" s="7">
        <v>0.79166666666666663</v>
      </c>
      <c r="E600" s="8" t="s">
        <v>1</v>
      </c>
      <c r="F600" s="77">
        <v>3</v>
      </c>
      <c r="G600" s="8" t="s">
        <v>1503</v>
      </c>
      <c r="H600" s="643"/>
      <c r="I600" s="199"/>
      <c r="J600" s="199" t="s">
        <v>1677</v>
      </c>
      <c r="K600" s="14" t="s">
        <v>1678</v>
      </c>
    </row>
    <row r="601" spans="1:11" ht="118">
      <c r="B601" s="5">
        <v>45743</v>
      </c>
      <c r="C601" s="642" t="s">
        <v>40</v>
      </c>
      <c r="D601" s="7">
        <v>0.75</v>
      </c>
      <c r="E601" s="8" t="s">
        <v>1</v>
      </c>
      <c r="F601" s="77">
        <v>3</v>
      </c>
      <c r="G601" s="8" t="s">
        <v>1679</v>
      </c>
      <c r="H601" s="643"/>
      <c r="I601" s="199"/>
      <c r="J601" s="199">
        <v>2.3E-2</v>
      </c>
      <c r="K601" s="14" t="s">
        <v>1680</v>
      </c>
    </row>
    <row r="602" spans="1:11" ht="92">
      <c r="B602" s="5">
        <v>45743</v>
      </c>
      <c r="C602" s="642" t="s">
        <v>40</v>
      </c>
      <c r="D602" s="7">
        <v>0.75</v>
      </c>
      <c r="E602" s="8" t="s">
        <v>1</v>
      </c>
      <c r="F602" s="8">
        <v>3</v>
      </c>
      <c r="G602" s="8" t="s">
        <v>1421</v>
      </c>
      <c r="H602" s="643"/>
      <c r="I602" s="199"/>
      <c r="J602" s="199"/>
      <c r="K602" s="14" t="s">
        <v>1460</v>
      </c>
    </row>
    <row r="603" spans="1:11" ht="105">
      <c r="B603" s="5">
        <v>45744</v>
      </c>
      <c r="C603" s="642" t="s">
        <v>39</v>
      </c>
      <c r="D603" s="7">
        <v>0.52083333333333337</v>
      </c>
      <c r="E603" s="8" t="s">
        <v>53</v>
      </c>
      <c r="F603" s="77">
        <v>3</v>
      </c>
      <c r="G603" s="8" t="s">
        <v>1681</v>
      </c>
      <c r="H603" s="643"/>
      <c r="I603" s="199"/>
      <c r="J603" s="199">
        <v>1E-3</v>
      </c>
      <c r="K603" s="14" t="s">
        <v>1682</v>
      </c>
    </row>
    <row r="604" spans="1:11" ht="105">
      <c r="B604" s="5">
        <v>45745</v>
      </c>
      <c r="C604" s="642" t="s">
        <v>39</v>
      </c>
      <c r="D604" s="7">
        <v>0.52083333333333337</v>
      </c>
      <c r="E604" s="8" t="s">
        <v>53</v>
      </c>
      <c r="F604" s="77">
        <v>3</v>
      </c>
      <c r="G604" s="8" t="s">
        <v>1683</v>
      </c>
      <c r="H604" s="643"/>
      <c r="I604" s="199"/>
      <c r="J604" s="199">
        <v>1.4E-2</v>
      </c>
      <c r="K604" s="14" t="s">
        <v>1682</v>
      </c>
    </row>
    <row r="605" spans="1:11" ht="118">
      <c r="B605" s="5">
        <v>45744</v>
      </c>
      <c r="C605" s="642" t="s">
        <v>39</v>
      </c>
      <c r="D605" s="7">
        <v>0.75</v>
      </c>
      <c r="E605" s="8" t="s">
        <v>1</v>
      </c>
      <c r="F605" s="8">
        <v>3</v>
      </c>
      <c r="G605" s="8" t="s">
        <v>1684</v>
      </c>
      <c r="H605" s="643"/>
      <c r="I605" s="199"/>
      <c r="J605" s="199">
        <v>3.0000000000000001E-3</v>
      </c>
      <c r="K605" s="14" t="s">
        <v>1685</v>
      </c>
    </row>
    <row r="606" spans="1:11" ht="79">
      <c r="B606" s="5">
        <v>45744</v>
      </c>
      <c r="C606" s="642" t="s">
        <v>39</v>
      </c>
      <c r="D606" s="7">
        <v>0.75</v>
      </c>
      <c r="E606" s="8" t="s">
        <v>1</v>
      </c>
      <c r="F606" s="8">
        <v>3</v>
      </c>
      <c r="G606" s="8" t="s">
        <v>1686</v>
      </c>
      <c r="H606" s="643"/>
      <c r="I606" s="199"/>
      <c r="J606" s="199">
        <v>2.5999999999999999E-2</v>
      </c>
      <c r="K606" s="14" t="s">
        <v>1687</v>
      </c>
    </row>
    <row r="607" spans="1:11">
      <c r="B607" s="5">
        <v>45784</v>
      </c>
      <c r="C607" s="642" t="s">
        <v>41</v>
      </c>
      <c r="D607" s="7">
        <v>0.97916666666666663</v>
      </c>
      <c r="E607" s="8" t="s">
        <v>1</v>
      </c>
      <c r="F607" s="8">
        <v>3</v>
      </c>
      <c r="G607" s="8" t="s">
        <v>127</v>
      </c>
      <c r="H607" s="643"/>
      <c r="I607" s="199">
        <v>4.2900000000000001E-2</v>
      </c>
      <c r="J607" s="199">
        <v>4.3700000000000003E-2</v>
      </c>
      <c r="K607" s="14" t="s">
        <v>562</v>
      </c>
    </row>
    <row r="608" spans="1:11">
      <c r="B608" t="s">
        <v>1688</v>
      </c>
      <c r="H608"/>
      <c r="J608" s="1"/>
      <c r="K608" s="25"/>
    </row>
    <row r="609" spans="1:11">
      <c r="A609" s="569" t="s">
        <v>105</v>
      </c>
      <c r="B609" s="5">
        <v>45747</v>
      </c>
      <c r="C609" s="642" t="s">
        <v>43</v>
      </c>
      <c r="D609" s="7" t="s">
        <v>1449</v>
      </c>
      <c r="E609" s="8" t="s">
        <v>1492</v>
      </c>
      <c r="F609" s="77">
        <v>3</v>
      </c>
      <c r="G609" s="8" t="s">
        <v>1705</v>
      </c>
      <c r="H609" s="643"/>
      <c r="I609" s="199"/>
      <c r="J609" s="644"/>
      <c r="K609" s="14" t="s">
        <v>562</v>
      </c>
    </row>
    <row r="610" spans="1:11">
      <c r="B610" s="5">
        <v>45747</v>
      </c>
      <c r="C610" s="642" t="s">
        <v>43</v>
      </c>
      <c r="D610" s="7" t="s">
        <v>1449</v>
      </c>
      <c r="E610" s="8" t="s">
        <v>1621</v>
      </c>
      <c r="F610" s="77">
        <v>3</v>
      </c>
      <c r="G610" s="8" t="s">
        <v>1706</v>
      </c>
      <c r="H610" s="643"/>
      <c r="I610" s="199"/>
      <c r="J610" s="644"/>
      <c r="K610" s="14" t="s">
        <v>562</v>
      </c>
    </row>
    <row r="611" spans="1:11" ht="144">
      <c r="B611" s="5">
        <v>45747</v>
      </c>
      <c r="C611" s="642" t="s">
        <v>43</v>
      </c>
      <c r="D611" s="7">
        <v>0.29166666666666669</v>
      </c>
      <c r="E611" s="8" t="s">
        <v>65</v>
      </c>
      <c r="F611" s="77">
        <v>3</v>
      </c>
      <c r="G611" s="8" t="s">
        <v>1707</v>
      </c>
      <c r="H611" s="643"/>
      <c r="I611" s="644">
        <v>50.5</v>
      </c>
      <c r="J611" s="644">
        <v>50.2</v>
      </c>
      <c r="K611" s="14" t="s">
        <v>1478</v>
      </c>
    </row>
    <row r="612" spans="1:11" ht="105">
      <c r="B612" s="5">
        <v>45747</v>
      </c>
      <c r="C612" s="642" t="s">
        <v>43</v>
      </c>
      <c r="D612" s="7">
        <v>0.72916666666666663</v>
      </c>
      <c r="E612" s="8" t="s">
        <v>22</v>
      </c>
      <c r="F612" s="77">
        <v>3</v>
      </c>
      <c r="G612" s="8" t="s">
        <v>1708</v>
      </c>
      <c r="H612" s="643"/>
      <c r="I612" s="199"/>
      <c r="J612" s="199">
        <v>4.0000000000000001E-3</v>
      </c>
      <c r="K612" s="14" t="s">
        <v>1709</v>
      </c>
    </row>
    <row r="613" spans="1:11" ht="118">
      <c r="B613" s="5">
        <v>45747</v>
      </c>
      <c r="C613" s="642" t="s">
        <v>43</v>
      </c>
      <c r="D613" s="7">
        <v>0.80208333333333337</v>
      </c>
      <c r="E613" s="8" t="s">
        <v>1</v>
      </c>
      <c r="F613" s="77">
        <v>3</v>
      </c>
      <c r="G613" s="8" t="s">
        <v>1710</v>
      </c>
      <c r="H613" s="643"/>
      <c r="I613" s="644">
        <v>45.4</v>
      </c>
      <c r="J613" s="644">
        <v>45.5</v>
      </c>
      <c r="K613" s="14" t="s">
        <v>1711</v>
      </c>
    </row>
    <row r="614" spans="1:11" ht="92">
      <c r="B614" s="5">
        <v>45748</v>
      </c>
      <c r="C614" s="642" t="s">
        <v>42</v>
      </c>
      <c r="D614" s="7">
        <v>0.375</v>
      </c>
      <c r="E614" s="8" t="s">
        <v>357</v>
      </c>
      <c r="F614" s="77">
        <v>3</v>
      </c>
      <c r="G614" s="8" t="s">
        <v>1712</v>
      </c>
      <c r="H614" s="643"/>
      <c r="I614" s="199">
        <v>4.1000000000000002E-2</v>
      </c>
      <c r="J614" s="199">
        <v>4.1000000000000002E-2</v>
      </c>
      <c r="K614" s="14" t="s">
        <v>1713</v>
      </c>
    </row>
    <row r="615" spans="1:11" ht="92">
      <c r="B615" s="5">
        <v>45748</v>
      </c>
      <c r="C615" s="642" t="s">
        <v>42</v>
      </c>
      <c r="D615" s="7">
        <v>0.60416666666666663</v>
      </c>
      <c r="E615" s="8" t="s">
        <v>22</v>
      </c>
      <c r="F615" s="77">
        <v>3</v>
      </c>
      <c r="G615" s="8" t="s">
        <v>1714</v>
      </c>
      <c r="H615" s="643"/>
      <c r="I615" s="199"/>
      <c r="J615" s="199">
        <v>2.3E-2</v>
      </c>
      <c r="K615" s="14" t="s">
        <v>1715</v>
      </c>
    </row>
    <row r="616" spans="1:11" ht="131">
      <c r="B616" s="5">
        <v>45748</v>
      </c>
      <c r="C616" s="642" t="s">
        <v>42</v>
      </c>
      <c r="D616" s="7">
        <v>0.80208333333333337</v>
      </c>
      <c r="E616" s="8" t="s">
        <v>1</v>
      </c>
      <c r="F616" s="77">
        <v>3</v>
      </c>
      <c r="G616" s="8" t="s">
        <v>1716</v>
      </c>
      <c r="H616" s="643"/>
      <c r="I616" s="644">
        <v>49.8</v>
      </c>
      <c r="J616" s="644">
        <v>52.7</v>
      </c>
      <c r="K616" s="14" t="s">
        <v>1717</v>
      </c>
    </row>
    <row r="617" spans="1:11" ht="196">
      <c r="B617" s="5">
        <v>45748</v>
      </c>
      <c r="C617" s="642" t="s">
        <v>42</v>
      </c>
      <c r="D617" s="7">
        <v>0.8125</v>
      </c>
      <c r="E617" s="8" t="s">
        <v>1</v>
      </c>
      <c r="F617" s="77">
        <v>3</v>
      </c>
      <c r="G617" s="8" t="s">
        <v>1718</v>
      </c>
      <c r="H617" s="643"/>
      <c r="I617" s="644">
        <v>50.3</v>
      </c>
      <c r="J617" s="644">
        <v>50.3</v>
      </c>
      <c r="K617" s="14" t="s">
        <v>1719</v>
      </c>
    </row>
    <row r="618" spans="1:11" ht="381">
      <c r="B618" s="5">
        <v>45748</v>
      </c>
      <c r="C618" s="642" t="s">
        <v>42</v>
      </c>
      <c r="D618" s="7">
        <v>0.8125</v>
      </c>
      <c r="E618" s="8" t="s">
        <v>1</v>
      </c>
      <c r="F618" s="77">
        <v>3</v>
      </c>
      <c r="G618" s="8" t="s">
        <v>1720</v>
      </c>
      <c r="H618" s="643"/>
      <c r="I618" s="199"/>
      <c r="J618" s="644">
        <v>62.4</v>
      </c>
      <c r="K618" s="14" t="s">
        <v>1721</v>
      </c>
    </row>
    <row r="619" spans="1:11" ht="157">
      <c r="B619" s="5">
        <v>45748</v>
      </c>
      <c r="C619" s="642" t="s">
        <v>42</v>
      </c>
      <c r="D619" s="7">
        <v>0.8125</v>
      </c>
      <c r="E619" s="8" t="s">
        <v>1</v>
      </c>
      <c r="F619" s="77">
        <v>3</v>
      </c>
      <c r="G619" s="8" t="s">
        <v>1722</v>
      </c>
      <c r="H619" s="643"/>
      <c r="I619" s="199"/>
      <c r="J619" s="644" t="s">
        <v>1723</v>
      </c>
      <c r="K619" s="14" t="s">
        <v>1724</v>
      </c>
    </row>
    <row r="620" spans="1:11" ht="131">
      <c r="B620" s="5">
        <v>45749</v>
      </c>
      <c r="C620" s="642" t="s">
        <v>41</v>
      </c>
      <c r="D620" s="7">
        <v>0.73958333333333337</v>
      </c>
      <c r="E620" s="8" t="s">
        <v>1</v>
      </c>
      <c r="F620" s="77">
        <v>3</v>
      </c>
      <c r="G620" s="8" t="s">
        <v>1725</v>
      </c>
      <c r="H620" s="643"/>
      <c r="I620" s="199"/>
      <c r="J620" s="644" t="s">
        <v>1726</v>
      </c>
      <c r="K620" s="14" t="s">
        <v>1727</v>
      </c>
    </row>
    <row r="621" spans="1:11" ht="131">
      <c r="B621" s="5">
        <v>45749</v>
      </c>
      <c r="C621" s="642" t="s">
        <v>41</v>
      </c>
      <c r="D621" s="7">
        <v>0.83333333333333337</v>
      </c>
      <c r="E621" s="8" t="s">
        <v>1</v>
      </c>
      <c r="F621" s="77">
        <v>3</v>
      </c>
      <c r="G621" s="8" t="s">
        <v>1503</v>
      </c>
      <c r="H621" s="643"/>
      <c r="I621" s="199"/>
      <c r="J621" s="721" t="s">
        <v>1728</v>
      </c>
      <c r="K621" s="14" t="s">
        <v>1727</v>
      </c>
    </row>
    <row r="622" spans="1:11" ht="144">
      <c r="B622" s="5">
        <v>45750</v>
      </c>
      <c r="C622" s="642" t="s">
        <v>40</v>
      </c>
      <c r="D622" s="7">
        <v>0.75</v>
      </c>
      <c r="E622" s="8" t="s">
        <v>1</v>
      </c>
      <c r="F622" s="77">
        <v>3</v>
      </c>
      <c r="G622" s="8" t="s">
        <v>1421</v>
      </c>
      <c r="H622" s="643"/>
      <c r="I622" s="199"/>
      <c r="J622" s="721" t="s">
        <v>381</v>
      </c>
      <c r="K622" s="14" t="s">
        <v>1729</v>
      </c>
    </row>
    <row r="623" spans="1:11" ht="209">
      <c r="B623" s="5">
        <v>45750</v>
      </c>
      <c r="C623" s="642" t="s">
        <v>40</v>
      </c>
      <c r="D623" s="7">
        <v>0.80208333333333337</v>
      </c>
      <c r="E623" s="8" t="s">
        <v>1</v>
      </c>
      <c r="F623" s="77">
        <v>3</v>
      </c>
      <c r="G623" s="8" t="s">
        <v>1730</v>
      </c>
      <c r="H623" s="643"/>
      <c r="I623" s="644">
        <v>54.3</v>
      </c>
      <c r="J623" s="644">
        <v>51</v>
      </c>
      <c r="K623" s="14" t="s">
        <v>1731</v>
      </c>
    </row>
    <row r="624" spans="1:11" ht="209">
      <c r="B624" s="5">
        <v>45750</v>
      </c>
      <c r="C624" s="642" t="s">
        <v>40</v>
      </c>
      <c r="D624" s="7">
        <v>0.8125</v>
      </c>
      <c r="E624" s="8" t="s">
        <v>1</v>
      </c>
      <c r="F624" s="77">
        <v>3</v>
      </c>
      <c r="G624" s="8" t="s">
        <v>1732</v>
      </c>
      <c r="H624" s="643"/>
      <c r="I624" s="644">
        <v>53</v>
      </c>
      <c r="J624" s="644">
        <v>53.5</v>
      </c>
      <c r="K624" s="14" t="s">
        <v>1731</v>
      </c>
    </row>
    <row r="625" spans="1:11" ht="196">
      <c r="B625" s="5">
        <v>45750</v>
      </c>
      <c r="C625" s="642" t="s">
        <v>40</v>
      </c>
      <c r="D625" s="7">
        <v>0.8125</v>
      </c>
      <c r="E625" s="8" t="s">
        <v>1</v>
      </c>
      <c r="F625" s="77">
        <v>3</v>
      </c>
      <c r="G625" s="8" t="s">
        <v>1733</v>
      </c>
      <c r="H625" s="643"/>
      <c r="I625" s="199"/>
      <c r="J625" s="644">
        <v>62.6</v>
      </c>
      <c r="K625" s="14" t="s">
        <v>1734</v>
      </c>
    </row>
    <row r="626" spans="1:11" ht="40">
      <c r="B626" s="5">
        <v>45751</v>
      </c>
      <c r="C626" s="642" t="s">
        <v>39</v>
      </c>
      <c r="D626" s="7" t="s">
        <v>1449</v>
      </c>
      <c r="E626" s="8" t="s">
        <v>1495</v>
      </c>
      <c r="F626" s="77">
        <v>3</v>
      </c>
      <c r="G626" s="8" t="s">
        <v>1735</v>
      </c>
      <c r="H626" s="643"/>
      <c r="I626" s="199"/>
      <c r="J626" s="199"/>
      <c r="K626" s="14" t="s">
        <v>1520</v>
      </c>
    </row>
    <row r="627" spans="1:11" ht="40">
      <c r="B627" s="5">
        <v>45751</v>
      </c>
      <c r="C627" s="642" t="s">
        <v>39</v>
      </c>
      <c r="D627" s="7" t="s">
        <v>1449</v>
      </c>
      <c r="E627" s="8" t="s">
        <v>1495</v>
      </c>
      <c r="F627" s="77">
        <v>3</v>
      </c>
      <c r="G627" s="8" t="s">
        <v>1736</v>
      </c>
      <c r="H627" s="643"/>
      <c r="I627" s="199"/>
      <c r="J627" s="199"/>
      <c r="K627" s="14" t="s">
        <v>1520</v>
      </c>
    </row>
    <row r="628" spans="1:11" ht="92">
      <c r="B628" s="5">
        <v>45751</v>
      </c>
      <c r="C628" s="642" t="s">
        <v>39</v>
      </c>
      <c r="D628" s="7">
        <v>0.75</v>
      </c>
      <c r="E628" s="8" t="s">
        <v>1</v>
      </c>
      <c r="F628" s="77">
        <v>3</v>
      </c>
      <c r="G628" s="8" t="s">
        <v>1737</v>
      </c>
      <c r="H628" s="643"/>
      <c r="I628" s="199"/>
      <c r="J628" s="199">
        <v>3.0000000000000001E-3</v>
      </c>
      <c r="K628" s="14" t="s">
        <v>1738</v>
      </c>
    </row>
    <row r="629" spans="1:11" ht="105">
      <c r="B629" s="5">
        <v>45751</v>
      </c>
      <c r="C629" s="642" t="s">
        <v>39</v>
      </c>
      <c r="D629" s="7">
        <v>0.75</v>
      </c>
      <c r="E629" s="8" t="s">
        <v>1</v>
      </c>
      <c r="F629" s="77">
        <v>3</v>
      </c>
      <c r="G629" s="8" t="s">
        <v>1739</v>
      </c>
      <c r="H629" s="643"/>
      <c r="I629" s="199" t="s">
        <v>1740</v>
      </c>
      <c r="J629" s="199" t="s">
        <v>1741</v>
      </c>
      <c r="K629" s="14" t="s">
        <v>1742</v>
      </c>
    </row>
    <row r="630" spans="1:11" ht="92">
      <c r="B630" s="5">
        <v>45751</v>
      </c>
      <c r="C630" s="642" t="s">
        <v>39</v>
      </c>
      <c r="D630" s="7">
        <v>0.75</v>
      </c>
      <c r="E630" s="8" t="s">
        <v>1</v>
      </c>
      <c r="F630" s="77">
        <v>3</v>
      </c>
      <c r="G630" s="8" t="s">
        <v>1743</v>
      </c>
      <c r="H630" s="643"/>
      <c r="I630" s="199">
        <v>4.2000000000000003E-2</v>
      </c>
      <c r="J630" s="199">
        <v>4.1000000000000002E-2</v>
      </c>
      <c r="K630" s="14" t="s">
        <v>1744</v>
      </c>
    </row>
    <row r="631" spans="1:11" ht="66">
      <c r="B631" s="5">
        <v>45751</v>
      </c>
      <c r="C631" s="642" t="s">
        <v>39</v>
      </c>
      <c r="D631" s="7">
        <v>0.87152777777777779</v>
      </c>
      <c r="E631" s="8" t="s">
        <v>1</v>
      </c>
      <c r="F631" s="77">
        <v>3</v>
      </c>
      <c r="G631" s="8" t="s">
        <v>1745</v>
      </c>
      <c r="H631" s="643"/>
      <c r="I631" s="199"/>
      <c r="J631" s="199"/>
      <c r="K631" s="14" t="s">
        <v>1746</v>
      </c>
    </row>
    <row r="632" spans="1:11">
      <c r="B632" s="5">
        <v>45784</v>
      </c>
      <c r="C632" s="642" t="s">
        <v>41</v>
      </c>
      <c r="D632" s="7">
        <v>0.97916666666666663</v>
      </c>
      <c r="E632" s="8" t="s">
        <v>1</v>
      </c>
      <c r="F632" s="8">
        <v>3</v>
      </c>
      <c r="G632" s="8" t="s">
        <v>127</v>
      </c>
      <c r="H632" s="643"/>
      <c r="I632" s="199">
        <v>4.3499999999999997E-2</v>
      </c>
      <c r="J632" s="199">
        <v>4.3700000000000003E-2</v>
      </c>
      <c r="K632" s="14" t="s">
        <v>562</v>
      </c>
    </row>
    <row r="633" spans="1:11">
      <c r="B633" t="s">
        <v>1747</v>
      </c>
      <c r="H633"/>
      <c r="J633" s="1"/>
      <c r="K633" s="25"/>
    </row>
    <row r="634" spans="1:11" ht="105">
      <c r="A634" s="569" t="s">
        <v>105</v>
      </c>
      <c r="B634" s="743">
        <v>45756</v>
      </c>
      <c r="C634" s="744" t="s">
        <v>41</v>
      </c>
      <c r="D634" s="745">
        <v>0.3125</v>
      </c>
      <c r="E634" s="746" t="s">
        <v>49</v>
      </c>
      <c r="F634" s="747">
        <v>3</v>
      </c>
      <c r="G634" s="746" t="s">
        <v>1897</v>
      </c>
      <c r="H634" s="748"/>
      <c r="I634" s="749"/>
      <c r="J634" s="749">
        <v>3.7499999999999999E-2</v>
      </c>
      <c r="K634" s="750" t="s">
        <v>1898</v>
      </c>
    </row>
    <row r="635" spans="1:11" ht="131">
      <c r="B635" s="743">
        <f>B634</f>
        <v>45756</v>
      </c>
      <c r="C635" s="744" t="s">
        <v>41</v>
      </c>
      <c r="D635" s="745">
        <v>0.83333333333333337</v>
      </c>
      <c r="E635" s="746" t="s">
        <v>1</v>
      </c>
      <c r="F635" s="747">
        <v>3</v>
      </c>
      <c r="G635" s="746" t="s">
        <v>1503</v>
      </c>
      <c r="H635" s="748"/>
      <c r="I635" s="749"/>
      <c r="J635" s="751" t="s">
        <v>1899</v>
      </c>
      <c r="K635" s="750" t="s">
        <v>1505</v>
      </c>
    </row>
    <row r="636" spans="1:11" ht="131">
      <c r="B636" s="743">
        <f t="shared" ref="B636:B637" si="16">B635</f>
        <v>45756</v>
      </c>
      <c r="C636" s="744" t="s">
        <v>41</v>
      </c>
      <c r="D636" s="745">
        <v>0.9375</v>
      </c>
      <c r="E636" s="746" t="s">
        <v>1</v>
      </c>
      <c r="F636" s="747">
        <v>3</v>
      </c>
      <c r="G636" s="746" t="s">
        <v>1900</v>
      </c>
      <c r="H636" s="748"/>
      <c r="I636" s="749"/>
      <c r="J636" s="749">
        <v>4.3099999999999999E-2</v>
      </c>
      <c r="K636" s="750" t="s">
        <v>1901</v>
      </c>
    </row>
    <row r="637" spans="1:11" ht="66">
      <c r="B637" s="743">
        <f t="shared" si="16"/>
        <v>45756</v>
      </c>
      <c r="C637" s="744" t="s">
        <v>41</v>
      </c>
      <c r="D637" s="745">
        <v>0.97916666666666663</v>
      </c>
      <c r="E637" s="746" t="s">
        <v>1</v>
      </c>
      <c r="F637" s="747">
        <v>3</v>
      </c>
      <c r="G637" s="746" t="s">
        <v>1902</v>
      </c>
      <c r="H637" s="748"/>
      <c r="I637" s="749"/>
      <c r="J637" s="749"/>
      <c r="K637" s="750" t="s">
        <v>1903</v>
      </c>
    </row>
    <row r="638" spans="1:11" ht="40">
      <c r="B638" s="743">
        <f>B637+1</f>
        <v>45757</v>
      </c>
      <c r="C638" s="744" t="s">
        <v>1325</v>
      </c>
      <c r="D638" s="745" t="s">
        <v>1449</v>
      </c>
      <c r="E638" s="746" t="s">
        <v>1621</v>
      </c>
      <c r="F638" s="747">
        <v>3</v>
      </c>
      <c r="G638" s="746" t="s">
        <v>1904</v>
      </c>
      <c r="H638" s="748"/>
      <c r="I638" s="749"/>
      <c r="J638" s="749"/>
      <c r="K638" s="750" t="s">
        <v>1905</v>
      </c>
    </row>
    <row r="639" spans="1:11" ht="118">
      <c r="B639" s="743">
        <f>B638</f>
        <v>45757</v>
      </c>
      <c r="C639" s="744" t="s">
        <v>1325</v>
      </c>
      <c r="D639" s="745">
        <v>0.75</v>
      </c>
      <c r="E639" s="746" t="s">
        <v>1</v>
      </c>
      <c r="F639" s="747">
        <v>3</v>
      </c>
      <c r="G639" s="746" t="s">
        <v>1906</v>
      </c>
      <c r="H639" s="748"/>
      <c r="I639" s="749"/>
      <c r="J639" s="749">
        <v>2E-3</v>
      </c>
      <c r="K639" s="750" t="s">
        <v>1907</v>
      </c>
    </row>
    <row r="640" spans="1:11" ht="105">
      <c r="B640" s="743">
        <f t="shared" ref="B640:B643" si="17">B639</f>
        <v>45757</v>
      </c>
      <c r="C640" s="744" t="s">
        <v>1325</v>
      </c>
      <c r="D640" s="745">
        <v>0.75</v>
      </c>
      <c r="E640" s="746" t="s">
        <v>1</v>
      </c>
      <c r="F640" s="747">
        <v>3</v>
      </c>
      <c r="G640" s="746" t="s">
        <v>1908</v>
      </c>
      <c r="H640" s="748"/>
      <c r="I640" s="749"/>
      <c r="J640" s="749">
        <v>2.8000000000000001E-2</v>
      </c>
      <c r="K640" s="750" t="s">
        <v>1909</v>
      </c>
    </row>
    <row r="641" spans="1:11" ht="92">
      <c r="B641" s="743">
        <f t="shared" si="17"/>
        <v>45757</v>
      </c>
      <c r="C641" s="744" t="s">
        <v>1325</v>
      </c>
      <c r="D641" s="745">
        <v>0.75</v>
      </c>
      <c r="E641" s="746" t="s">
        <v>1</v>
      </c>
      <c r="F641" s="747">
        <v>3</v>
      </c>
      <c r="G641" s="746" t="s">
        <v>1910</v>
      </c>
      <c r="H641" s="748"/>
      <c r="I641" s="752"/>
      <c r="J641" s="749">
        <v>2E-3</v>
      </c>
      <c r="K641" s="750" t="s">
        <v>1911</v>
      </c>
    </row>
    <row r="642" spans="1:11" ht="79">
      <c r="B642" s="743">
        <f t="shared" si="17"/>
        <v>45757</v>
      </c>
      <c r="C642" s="744" t="s">
        <v>1325</v>
      </c>
      <c r="D642" s="745">
        <v>0.75</v>
      </c>
      <c r="E642" s="746" t="s">
        <v>1</v>
      </c>
      <c r="F642" s="747">
        <v>3</v>
      </c>
      <c r="G642" s="746" t="s">
        <v>1421</v>
      </c>
      <c r="H642" s="748"/>
      <c r="I642" s="752"/>
      <c r="J642" s="749" t="s">
        <v>345</v>
      </c>
      <c r="K642" s="750" t="s">
        <v>1912</v>
      </c>
    </row>
    <row r="643" spans="1:11" ht="144">
      <c r="B643" s="743">
        <f t="shared" si="17"/>
        <v>45757</v>
      </c>
      <c r="C643" s="744" t="s">
        <v>1325</v>
      </c>
      <c r="D643" s="745">
        <v>0.9375</v>
      </c>
      <c r="E643" s="746" t="s">
        <v>1</v>
      </c>
      <c r="F643" s="747">
        <v>3</v>
      </c>
      <c r="G643" s="746" t="s">
        <v>1913</v>
      </c>
      <c r="H643" s="748"/>
      <c r="I643" s="752"/>
      <c r="J643" s="753">
        <v>4.623E-2</v>
      </c>
      <c r="K643" s="750" t="s">
        <v>1914</v>
      </c>
    </row>
    <row r="644" spans="1:11" ht="79">
      <c r="B644" s="743">
        <f>B643+1</f>
        <v>45758</v>
      </c>
      <c r="C644" s="744" t="s">
        <v>39</v>
      </c>
      <c r="D644" s="745">
        <v>0.47916666666666669</v>
      </c>
      <c r="E644" s="746" t="s">
        <v>53</v>
      </c>
      <c r="F644" s="747">
        <v>3</v>
      </c>
      <c r="G644" s="746" t="s">
        <v>1915</v>
      </c>
      <c r="H644" s="748"/>
      <c r="I644" s="749"/>
      <c r="J644" s="749">
        <v>-1E-3</v>
      </c>
      <c r="K644" s="750" t="s">
        <v>1916</v>
      </c>
    </row>
    <row r="645" spans="1:11" ht="105">
      <c r="B645" s="743">
        <f>B644</f>
        <v>45758</v>
      </c>
      <c r="C645" s="744" t="s">
        <v>39</v>
      </c>
      <c r="D645" s="745">
        <v>0.47916666666666669</v>
      </c>
      <c r="E645" s="746" t="s">
        <v>22</v>
      </c>
      <c r="F645" s="747">
        <v>3</v>
      </c>
      <c r="G645" s="746" t="s">
        <v>1917</v>
      </c>
      <c r="H645" s="748"/>
      <c r="I645" s="749"/>
      <c r="J645" s="749">
        <v>4.0000000000000001E-3</v>
      </c>
      <c r="K645" s="750" t="s">
        <v>1635</v>
      </c>
    </row>
    <row r="646" spans="1:11" ht="144">
      <c r="B646" s="743">
        <f>B645</f>
        <v>45758</v>
      </c>
      <c r="C646" s="744" t="s">
        <v>39</v>
      </c>
      <c r="D646" s="745">
        <v>0.75</v>
      </c>
      <c r="E646" s="746" t="s">
        <v>1</v>
      </c>
      <c r="F646" s="747">
        <v>3</v>
      </c>
      <c r="G646" s="746" t="s">
        <v>1918</v>
      </c>
      <c r="H646" s="748"/>
      <c r="I646" s="749"/>
      <c r="J646" s="749">
        <v>0</v>
      </c>
      <c r="K646" s="750" t="s">
        <v>1919</v>
      </c>
    </row>
    <row r="647" spans="1:11">
      <c r="B647" s="743">
        <v>45784</v>
      </c>
      <c r="C647" s="744" t="s">
        <v>41</v>
      </c>
      <c r="D647" s="745">
        <v>0.97916666666666663</v>
      </c>
      <c r="E647" s="746" t="s">
        <v>1</v>
      </c>
      <c r="F647" s="746">
        <v>3</v>
      </c>
      <c r="G647" s="746" t="s">
        <v>127</v>
      </c>
      <c r="H647" s="748"/>
      <c r="I647" s="749">
        <v>4.2999999999999997E-2</v>
      </c>
      <c r="J647" s="749">
        <v>4.3700000000000003E-2</v>
      </c>
      <c r="K647" s="750" t="s">
        <v>562</v>
      </c>
    </row>
    <row r="648" spans="1:11">
      <c r="B648" s="89" t="s">
        <v>1920</v>
      </c>
      <c r="C648" s="89"/>
      <c r="D648" s="89"/>
      <c r="E648" s="89"/>
      <c r="F648" s="89"/>
      <c r="G648" s="89"/>
      <c r="H648" s="89"/>
      <c r="I648" s="754"/>
      <c r="J648" s="754"/>
      <c r="K648" s="755"/>
    </row>
    <row r="649" spans="1:11" ht="66">
      <c r="A649" s="569" t="s">
        <v>105</v>
      </c>
      <c r="B649" s="743">
        <v>45761</v>
      </c>
      <c r="C649" s="744" t="s">
        <v>43</v>
      </c>
      <c r="D649" s="745" t="s">
        <v>1449</v>
      </c>
      <c r="E649" s="746" t="s">
        <v>1621</v>
      </c>
      <c r="F649" s="747">
        <v>3</v>
      </c>
      <c r="G649" s="746" t="s">
        <v>1927</v>
      </c>
      <c r="H649" s="748"/>
      <c r="I649" s="749"/>
      <c r="J649" s="749"/>
      <c r="K649" s="750" t="s">
        <v>1958</v>
      </c>
    </row>
    <row r="650" spans="1:11" ht="53">
      <c r="B650" s="743">
        <v>45761</v>
      </c>
      <c r="C650" s="744" t="s">
        <v>41</v>
      </c>
      <c r="D650" s="745" t="s">
        <v>1449</v>
      </c>
      <c r="E650" s="746" t="s">
        <v>1928</v>
      </c>
      <c r="F650" s="747">
        <v>3</v>
      </c>
      <c r="G650" s="746" t="s">
        <v>1929</v>
      </c>
      <c r="H650" s="748"/>
      <c r="I650" s="749"/>
      <c r="J650" s="749"/>
      <c r="K650" s="750" t="s">
        <v>1959</v>
      </c>
    </row>
    <row r="651" spans="1:11" ht="92">
      <c r="B651" s="743">
        <v>45763</v>
      </c>
      <c r="C651" s="744" t="s">
        <v>41</v>
      </c>
      <c r="D651" s="745">
        <v>0.3125</v>
      </c>
      <c r="E651" s="746" t="s">
        <v>65</v>
      </c>
      <c r="F651" s="747">
        <v>3</v>
      </c>
      <c r="G651" s="746" t="s">
        <v>1930</v>
      </c>
      <c r="H651" s="748"/>
      <c r="I651" s="749">
        <v>5.1999999999999998E-2</v>
      </c>
      <c r="J651" s="749">
        <v>5.3999999999999999E-2</v>
      </c>
      <c r="K651" s="750" t="s">
        <v>1931</v>
      </c>
    </row>
    <row r="652" spans="1:11" ht="92">
      <c r="B652" s="743">
        <v>45763</v>
      </c>
      <c r="C652" s="744" t="s">
        <v>41</v>
      </c>
      <c r="D652" s="745">
        <v>0.47916666666666669</v>
      </c>
      <c r="E652" s="746" t="s">
        <v>53</v>
      </c>
      <c r="F652" s="747">
        <v>3</v>
      </c>
      <c r="G652" s="746" t="s">
        <v>1932</v>
      </c>
      <c r="H652" s="748"/>
      <c r="I652" s="749">
        <v>2.7E-2</v>
      </c>
      <c r="J652" s="749">
        <v>2.8000000000000001E-2</v>
      </c>
      <c r="K652" s="750" t="s">
        <v>1933</v>
      </c>
    </row>
    <row r="653" spans="1:11" ht="92">
      <c r="B653" s="743">
        <v>45763</v>
      </c>
      <c r="C653" s="744" t="s">
        <v>41</v>
      </c>
      <c r="D653" s="745">
        <v>0.60416666666666663</v>
      </c>
      <c r="E653" s="746" t="s">
        <v>22</v>
      </c>
      <c r="F653" s="747">
        <v>3</v>
      </c>
      <c r="G653" s="746" t="s">
        <v>1934</v>
      </c>
      <c r="H653" s="748"/>
      <c r="I653" s="749">
        <v>2.1999999999999999E-2</v>
      </c>
      <c r="J653" s="749">
        <v>2.1999999999999999E-2</v>
      </c>
      <c r="K653" s="750" t="s">
        <v>1935</v>
      </c>
    </row>
    <row r="654" spans="1:11" ht="105">
      <c r="B654" s="743">
        <v>45763</v>
      </c>
      <c r="C654" s="744" t="s">
        <v>41</v>
      </c>
      <c r="D654" s="745">
        <v>0.75</v>
      </c>
      <c r="E654" s="746" t="s">
        <v>1</v>
      </c>
      <c r="F654" s="747">
        <v>3</v>
      </c>
      <c r="G654" s="746" t="s">
        <v>1936</v>
      </c>
      <c r="H654" s="748"/>
      <c r="I654" s="749">
        <v>4.0000000000000001E-3</v>
      </c>
      <c r="J654" s="749">
        <v>3.0000000000000001E-3</v>
      </c>
      <c r="K654" s="750" t="s">
        <v>1937</v>
      </c>
    </row>
    <row r="655" spans="1:11" ht="105">
      <c r="B655" s="743">
        <v>45763</v>
      </c>
      <c r="C655" s="744" t="s">
        <v>41</v>
      </c>
      <c r="D655" s="745">
        <v>0.75</v>
      </c>
      <c r="E655" s="746" t="s">
        <v>1</v>
      </c>
      <c r="F655" s="747">
        <v>3</v>
      </c>
      <c r="G655" s="746" t="s">
        <v>1938</v>
      </c>
      <c r="H655" s="748"/>
      <c r="I655" s="749">
        <v>1.4E-2</v>
      </c>
      <c r="J655" s="749">
        <v>2E-3</v>
      </c>
      <c r="K655" s="750" t="s">
        <v>1939</v>
      </c>
    </row>
    <row r="656" spans="1:11" ht="105">
      <c r="B656" s="743">
        <v>45763</v>
      </c>
      <c r="C656" s="744" t="s">
        <v>41</v>
      </c>
      <c r="D656" s="745">
        <v>0.80208333333333337</v>
      </c>
      <c r="E656" s="746" t="s">
        <v>89</v>
      </c>
      <c r="F656" s="747">
        <v>3</v>
      </c>
      <c r="G656" s="746" t="s">
        <v>1501</v>
      </c>
      <c r="H656" s="748"/>
      <c r="I656" s="749">
        <v>2.75E-2</v>
      </c>
      <c r="J656" s="749">
        <v>2.75E-2</v>
      </c>
      <c r="K656" s="750" t="s">
        <v>1940</v>
      </c>
    </row>
    <row r="657" spans="1:11" ht="144">
      <c r="B657" s="743">
        <v>45763</v>
      </c>
      <c r="C657" s="744" t="s">
        <v>41</v>
      </c>
      <c r="D657" s="745">
        <v>0.83333333333333337</v>
      </c>
      <c r="E657" s="746" t="s">
        <v>1</v>
      </c>
      <c r="F657" s="747">
        <v>3</v>
      </c>
      <c r="G657" s="746" t="s">
        <v>1503</v>
      </c>
      <c r="H657" s="748"/>
      <c r="I657" s="749"/>
      <c r="J657" s="751" t="s">
        <v>1941</v>
      </c>
      <c r="K657" s="750" t="s">
        <v>1678</v>
      </c>
    </row>
    <row r="658" spans="1:11" ht="92">
      <c r="B658" s="743">
        <v>45763</v>
      </c>
      <c r="C658" s="744" t="s">
        <v>41</v>
      </c>
      <c r="D658" s="745">
        <v>0.94791666666666663</v>
      </c>
      <c r="E658" s="746" t="s">
        <v>1</v>
      </c>
      <c r="F658" s="747">
        <v>3</v>
      </c>
      <c r="G658" s="746" t="s">
        <v>1745</v>
      </c>
      <c r="H658" s="748"/>
      <c r="I658" s="749"/>
      <c r="J658" s="749"/>
      <c r="K658" s="750" t="s">
        <v>1942</v>
      </c>
    </row>
    <row r="659" spans="1:11" ht="53">
      <c r="B659" s="743">
        <v>45764</v>
      </c>
      <c r="C659" s="744" t="s">
        <v>1325</v>
      </c>
      <c r="D659" s="745" t="s">
        <v>1449</v>
      </c>
      <c r="E659" s="746" t="s">
        <v>1943</v>
      </c>
      <c r="F659" s="747">
        <v>3</v>
      </c>
      <c r="G659" s="746" t="s">
        <v>1944</v>
      </c>
      <c r="H659" s="748"/>
      <c r="I659" s="752"/>
      <c r="J659" s="749"/>
      <c r="K659" s="750" t="s">
        <v>1960</v>
      </c>
    </row>
    <row r="660" spans="1:11" ht="53">
      <c r="B660" s="743">
        <v>45764</v>
      </c>
      <c r="C660" s="744" t="s">
        <v>1325</v>
      </c>
      <c r="D660" s="745" t="s">
        <v>1449</v>
      </c>
      <c r="E660" s="746" t="s">
        <v>1928</v>
      </c>
      <c r="F660" s="747">
        <v>3</v>
      </c>
      <c r="G660" s="746" t="s">
        <v>1945</v>
      </c>
      <c r="H660" s="748"/>
      <c r="I660" s="752"/>
      <c r="J660" s="749"/>
      <c r="K660" s="750" t="s">
        <v>1961</v>
      </c>
    </row>
    <row r="661" spans="1:11" ht="144">
      <c r="B661" s="743">
        <v>45764</v>
      </c>
      <c r="C661" s="744" t="s">
        <v>1325</v>
      </c>
      <c r="D661" s="745">
        <v>0.73958333333333337</v>
      </c>
      <c r="E661" s="746" t="s">
        <v>22</v>
      </c>
      <c r="F661" s="747">
        <v>3</v>
      </c>
      <c r="G661" s="746" t="s">
        <v>1946</v>
      </c>
      <c r="H661" s="748"/>
      <c r="I661" s="749">
        <v>2.2499999999999999E-2</v>
      </c>
      <c r="J661" s="749">
        <v>2.5000000000000001E-2</v>
      </c>
      <c r="K661" s="750" t="s">
        <v>1947</v>
      </c>
    </row>
    <row r="662" spans="1:11" ht="131">
      <c r="B662" s="743">
        <v>45764</v>
      </c>
      <c r="C662" s="744" t="s">
        <v>1325</v>
      </c>
      <c r="D662" s="745">
        <v>0.73958333333333337</v>
      </c>
      <c r="E662" s="746" t="s">
        <v>22</v>
      </c>
      <c r="F662" s="747">
        <v>3</v>
      </c>
      <c r="G662" s="746" t="s">
        <v>1948</v>
      </c>
      <c r="H662" s="748"/>
      <c r="I662" s="749">
        <v>2.4E-2</v>
      </c>
      <c r="J662" s="749">
        <v>2.6499999999999999E-2</v>
      </c>
      <c r="K662" s="750" t="s">
        <v>1949</v>
      </c>
    </row>
    <row r="663" spans="1:11" ht="79">
      <c r="B663" s="743">
        <v>45764</v>
      </c>
      <c r="C663" s="744" t="s">
        <v>1325</v>
      </c>
      <c r="D663" s="745">
        <v>0.75</v>
      </c>
      <c r="E663" s="746" t="s">
        <v>1</v>
      </c>
      <c r="F663" s="747">
        <v>3</v>
      </c>
      <c r="G663" s="746" t="s">
        <v>1421</v>
      </c>
      <c r="H663" s="748"/>
      <c r="I663" s="749" t="s">
        <v>638</v>
      </c>
      <c r="J663" s="749" t="s">
        <v>1347</v>
      </c>
      <c r="K663" s="750" t="s">
        <v>1912</v>
      </c>
    </row>
    <row r="664" spans="1:11" ht="118">
      <c r="B664" s="743">
        <v>45764</v>
      </c>
      <c r="C664" s="744" t="s">
        <v>1325</v>
      </c>
      <c r="D664" s="745">
        <v>0.75</v>
      </c>
      <c r="E664" s="746" t="s">
        <v>1</v>
      </c>
      <c r="F664" s="747">
        <v>3</v>
      </c>
      <c r="G664" s="746" t="s">
        <v>1950</v>
      </c>
      <c r="H664" s="748"/>
      <c r="I664" s="759">
        <v>3.1</v>
      </c>
      <c r="J664" s="759">
        <v>12.5</v>
      </c>
      <c r="K664" s="750" t="s">
        <v>1951</v>
      </c>
    </row>
    <row r="665" spans="1:11" ht="131">
      <c r="B665" s="743">
        <v>45764</v>
      </c>
      <c r="C665" s="744" t="s">
        <v>1325</v>
      </c>
      <c r="D665" s="745">
        <v>0.76041666666666663</v>
      </c>
      <c r="E665" s="746" t="s">
        <v>22</v>
      </c>
      <c r="F665" s="747">
        <v>3</v>
      </c>
      <c r="G665" s="746" t="s">
        <v>1952</v>
      </c>
      <c r="H665" s="748"/>
      <c r="I665" s="749"/>
      <c r="J665" s="749"/>
      <c r="K665" s="750" t="s">
        <v>1953</v>
      </c>
    </row>
    <row r="666" spans="1:11" ht="53">
      <c r="B666" s="743">
        <v>45765</v>
      </c>
      <c r="C666" s="744" t="s">
        <v>39</v>
      </c>
      <c r="D666" s="745" t="s">
        <v>1449</v>
      </c>
      <c r="E666" s="746" t="s">
        <v>1300</v>
      </c>
      <c r="F666" s="747">
        <v>3</v>
      </c>
      <c r="G666" s="746" t="s">
        <v>1954</v>
      </c>
      <c r="H666" s="748"/>
      <c r="I666" s="749"/>
      <c r="J666" s="749"/>
      <c r="K666" s="750" t="s">
        <v>1955</v>
      </c>
    </row>
    <row r="667" spans="1:11">
      <c r="B667" s="743">
        <v>45784</v>
      </c>
      <c r="C667" s="744" t="s">
        <v>41</v>
      </c>
      <c r="D667" s="745">
        <v>0.97916666666666663</v>
      </c>
      <c r="E667" s="746" t="s">
        <v>1</v>
      </c>
      <c r="F667" s="746">
        <v>3</v>
      </c>
      <c r="G667" s="746" t="s">
        <v>127</v>
      </c>
      <c r="H667" s="748"/>
      <c r="I667" s="749">
        <v>4.2799999999999998E-2</v>
      </c>
      <c r="J667" s="749">
        <v>4.3700000000000003E-2</v>
      </c>
      <c r="K667" s="750" t="s">
        <v>562</v>
      </c>
    </row>
    <row r="668" spans="1:11">
      <c r="B668" s="89" t="s">
        <v>1956</v>
      </c>
      <c r="C668" s="89"/>
      <c r="D668" s="89"/>
      <c r="E668" s="89"/>
      <c r="F668" s="89"/>
      <c r="G668" s="89"/>
      <c r="H668" s="89"/>
      <c r="I668" s="754"/>
      <c r="J668" s="754"/>
      <c r="K668" s="755"/>
    </row>
    <row r="669" spans="1:11" ht="40">
      <c r="A669" s="569" t="s">
        <v>105</v>
      </c>
      <c r="B669" s="743">
        <v>45768</v>
      </c>
      <c r="C669" s="744" t="s">
        <v>43</v>
      </c>
      <c r="D669" s="745" t="s">
        <v>1449</v>
      </c>
      <c r="E669" s="746" t="s">
        <v>1300</v>
      </c>
      <c r="F669" s="747">
        <v>3</v>
      </c>
      <c r="G669" s="746" t="s">
        <v>1962</v>
      </c>
      <c r="H669" s="748"/>
      <c r="I669" s="749"/>
      <c r="J669" s="749"/>
      <c r="K669" s="750" t="s">
        <v>1963</v>
      </c>
    </row>
    <row r="670" spans="1:11" ht="40">
      <c r="B670" s="743">
        <v>45770</v>
      </c>
      <c r="C670" s="744" t="s">
        <v>41</v>
      </c>
      <c r="D670" s="745">
        <v>6.25E-2</v>
      </c>
      <c r="E670" s="746" t="s">
        <v>1</v>
      </c>
      <c r="F670" s="747">
        <v>3</v>
      </c>
      <c r="G670" s="746" t="s">
        <v>1964</v>
      </c>
      <c r="H670" s="748"/>
      <c r="I670" s="749"/>
      <c r="J670" s="752"/>
      <c r="K670" s="750" t="s">
        <v>1965</v>
      </c>
    </row>
    <row r="671" spans="1:11" ht="131">
      <c r="B671" s="743">
        <v>45770</v>
      </c>
      <c r="C671" s="744" t="s">
        <v>41</v>
      </c>
      <c r="D671" s="745">
        <v>0.80208333333333337</v>
      </c>
      <c r="E671" s="746" t="s">
        <v>1</v>
      </c>
      <c r="F671" s="747">
        <v>3</v>
      </c>
      <c r="G671" s="746" t="s">
        <v>1966</v>
      </c>
      <c r="H671" s="748"/>
      <c r="I671" s="749"/>
      <c r="J671" s="752">
        <v>50.2</v>
      </c>
      <c r="K671" s="750" t="s">
        <v>1967</v>
      </c>
    </row>
    <row r="672" spans="1:11" ht="118">
      <c r="B672" s="743">
        <v>45770</v>
      </c>
      <c r="C672" s="744" t="s">
        <v>41</v>
      </c>
      <c r="D672" s="745">
        <v>0.80208333333333337</v>
      </c>
      <c r="E672" s="746" t="s">
        <v>1</v>
      </c>
      <c r="F672" s="747">
        <v>3</v>
      </c>
      <c r="G672" s="746" t="s">
        <v>1968</v>
      </c>
      <c r="H672" s="748"/>
      <c r="I672" s="749"/>
      <c r="J672" s="752">
        <v>54.4</v>
      </c>
      <c r="K672" s="750" t="s">
        <v>1969</v>
      </c>
    </row>
    <row r="673" spans="2:11" ht="92">
      <c r="B673" s="743">
        <v>45770</v>
      </c>
      <c r="C673" s="744" t="s">
        <v>41</v>
      </c>
      <c r="D673" s="745">
        <v>0.8125</v>
      </c>
      <c r="E673" s="746" t="s">
        <v>1</v>
      </c>
      <c r="F673" s="747">
        <v>3</v>
      </c>
      <c r="G673" s="746" t="s">
        <v>1970</v>
      </c>
      <c r="H673" s="748"/>
      <c r="I673" s="749"/>
      <c r="J673" s="749" t="s">
        <v>1971</v>
      </c>
      <c r="K673" s="750" t="s">
        <v>1482</v>
      </c>
    </row>
    <row r="674" spans="2:11" ht="131">
      <c r="B674" s="743">
        <v>45770</v>
      </c>
      <c r="C674" s="744" t="s">
        <v>41</v>
      </c>
      <c r="D674" s="745">
        <v>0.83333333333333337</v>
      </c>
      <c r="E674" s="746" t="s">
        <v>1</v>
      </c>
      <c r="F674" s="747">
        <v>3</v>
      </c>
      <c r="G674" s="746" t="s">
        <v>1503</v>
      </c>
      <c r="H674" s="748"/>
      <c r="I674" s="749"/>
      <c r="J674" s="749" t="s">
        <v>1972</v>
      </c>
      <c r="K674" s="750" t="s">
        <v>1505</v>
      </c>
    </row>
    <row r="675" spans="2:11" ht="92">
      <c r="B675" s="743">
        <v>45771</v>
      </c>
      <c r="C675" s="744" t="s">
        <v>1325</v>
      </c>
      <c r="D675" s="745">
        <v>0.75</v>
      </c>
      <c r="E675" s="746" t="s">
        <v>1</v>
      </c>
      <c r="F675" s="747">
        <v>3</v>
      </c>
      <c r="G675" s="746" t="s">
        <v>1973</v>
      </c>
      <c r="H675" s="748"/>
      <c r="I675" s="749"/>
      <c r="J675" s="749">
        <v>0.01</v>
      </c>
      <c r="K675" s="750" t="s">
        <v>1631</v>
      </c>
    </row>
    <row r="676" spans="2:11" ht="92">
      <c r="B676" s="743">
        <v>45771</v>
      </c>
      <c r="C676" s="744" t="s">
        <v>1325</v>
      </c>
      <c r="D676" s="745">
        <v>0.75</v>
      </c>
      <c r="E676" s="746" t="s">
        <v>1</v>
      </c>
      <c r="F676" s="747">
        <v>3</v>
      </c>
      <c r="G676" s="746" t="s">
        <v>1421</v>
      </c>
      <c r="H676" s="748"/>
      <c r="I676" s="749"/>
      <c r="J676" s="749"/>
      <c r="K676" s="750" t="s">
        <v>1460</v>
      </c>
    </row>
    <row r="677" spans="2:11" ht="118">
      <c r="B677" s="743">
        <v>45771</v>
      </c>
      <c r="C677" s="744" t="s">
        <v>1325</v>
      </c>
      <c r="D677" s="745">
        <v>0.8125</v>
      </c>
      <c r="E677" s="746" t="s">
        <v>1</v>
      </c>
      <c r="F677" s="747">
        <v>3</v>
      </c>
      <c r="G677" s="746" t="s">
        <v>1974</v>
      </c>
      <c r="H677" s="748"/>
      <c r="I677" s="749"/>
      <c r="J677" s="749" t="s">
        <v>1975</v>
      </c>
      <c r="K677" s="750" t="s">
        <v>1976</v>
      </c>
    </row>
    <row r="678" spans="2:11" ht="40">
      <c r="B678" s="743">
        <v>45772</v>
      </c>
      <c r="C678" s="744" t="s">
        <v>39</v>
      </c>
      <c r="D678" s="745">
        <v>6.25E-2</v>
      </c>
      <c r="E678" s="746" t="s">
        <v>1</v>
      </c>
      <c r="F678" s="747">
        <v>3</v>
      </c>
      <c r="G678" s="746" t="s">
        <v>1977</v>
      </c>
      <c r="H678" s="748"/>
      <c r="I678" s="749"/>
      <c r="J678" s="749"/>
      <c r="K678" s="750" t="s">
        <v>1965</v>
      </c>
    </row>
    <row r="679" spans="2:11" ht="40">
      <c r="B679" s="743">
        <v>45772</v>
      </c>
      <c r="C679" s="744" t="s">
        <v>39</v>
      </c>
      <c r="D679" s="745" t="s">
        <v>1449</v>
      </c>
      <c r="E679" s="746" t="s">
        <v>1978</v>
      </c>
      <c r="F679" s="747">
        <v>3</v>
      </c>
      <c r="G679" s="746" t="s">
        <v>1979</v>
      </c>
      <c r="H679" s="748"/>
      <c r="I679" s="749"/>
      <c r="J679" s="749"/>
      <c r="K679" s="750" t="s">
        <v>1963</v>
      </c>
    </row>
    <row r="680" spans="2:11" ht="40">
      <c r="B680" s="743">
        <v>45772</v>
      </c>
      <c r="C680" s="744" t="s">
        <v>39</v>
      </c>
      <c r="D680" s="745" t="s">
        <v>1449</v>
      </c>
      <c r="E680" s="746" t="s">
        <v>49</v>
      </c>
      <c r="F680" s="747">
        <v>3</v>
      </c>
      <c r="G680" s="746" t="s">
        <v>1980</v>
      </c>
      <c r="H680" s="748"/>
      <c r="I680" s="749"/>
      <c r="J680" s="749"/>
      <c r="K680" s="750" t="s">
        <v>1963</v>
      </c>
    </row>
    <row r="681" spans="2:11" ht="105">
      <c r="B681" s="743">
        <v>45772</v>
      </c>
      <c r="C681" s="744" t="s">
        <v>41</v>
      </c>
      <c r="D681" s="745">
        <v>0.75</v>
      </c>
      <c r="E681" s="746" t="s">
        <v>1</v>
      </c>
      <c r="F681" s="747">
        <v>3</v>
      </c>
      <c r="G681" s="746" t="s">
        <v>1938</v>
      </c>
      <c r="H681" s="748"/>
      <c r="I681" s="749">
        <v>1.4E-2</v>
      </c>
      <c r="J681" s="749">
        <v>2E-3</v>
      </c>
      <c r="K681" s="750" t="s">
        <v>1939</v>
      </c>
    </row>
    <row r="682" spans="2:11" ht="105">
      <c r="B682" s="743">
        <v>45772</v>
      </c>
      <c r="C682" s="744" t="s">
        <v>41</v>
      </c>
      <c r="D682" s="745">
        <v>0.80208333333333337</v>
      </c>
      <c r="E682" s="746" t="s">
        <v>89</v>
      </c>
      <c r="F682" s="747">
        <v>3</v>
      </c>
      <c r="G682" s="746" t="s">
        <v>1501</v>
      </c>
      <c r="H682" s="748"/>
      <c r="I682" s="749">
        <v>2.75E-2</v>
      </c>
      <c r="J682" s="749">
        <v>2.75E-2</v>
      </c>
      <c r="K682" s="750" t="s">
        <v>1940</v>
      </c>
    </row>
    <row r="683" spans="2:11" ht="144">
      <c r="B683" s="743">
        <v>45772</v>
      </c>
      <c r="C683" s="744" t="s">
        <v>41</v>
      </c>
      <c r="D683" s="745">
        <v>0.83333333333333337</v>
      </c>
      <c r="E683" s="746" t="s">
        <v>1</v>
      </c>
      <c r="F683" s="747">
        <v>3</v>
      </c>
      <c r="G683" s="746" t="s">
        <v>1503</v>
      </c>
      <c r="H683" s="748"/>
      <c r="I683" s="749"/>
      <c r="J683" s="751" t="s">
        <v>1941</v>
      </c>
      <c r="K683" s="750" t="s">
        <v>1678</v>
      </c>
    </row>
    <row r="684" spans="2:11" ht="92">
      <c r="B684" s="743">
        <v>45772</v>
      </c>
      <c r="C684" s="744" t="s">
        <v>41</v>
      </c>
      <c r="D684" s="745">
        <v>0.94791666666666663</v>
      </c>
      <c r="E684" s="746" t="s">
        <v>1</v>
      </c>
      <c r="F684" s="747">
        <v>3</v>
      </c>
      <c r="G684" s="746" t="s">
        <v>1745</v>
      </c>
      <c r="H684" s="748"/>
      <c r="I684" s="749"/>
      <c r="J684" s="749"/>
      <c r="K684" s="750" t="s">
        <v>1942</v>
      </c>
    </row>
    <row r="685" spans="2:11" ht="40">
      <c r="B685" s="743">
        <v>45773</v>
      </c>
      <c r="C685" s="744" t="s">
        <v>1325</v>
      </c>
      <c r="D685" s="745" t="s">
        <v>1449</v>
      </c>
      <c r="E685" s="746" t="s">
        <v>1943</v>
      </c>
      <c r="F685" s="747">
        <v>3</v>
      </c>
      <c r="G685" s="746" t="s">
        <v>1944</v>
      </c>
      <c r="H685" s="748"/>
      <c r="I685" s="752"/>
      <c r="J685" s="749"/>
      <c r="K685" s="750" t="s">
        <v>1981</v>
      </c>
    </row>
    <row r="686" spans="2:11" ht="40">
      <c r="B686" s="743">
        <v>45773</v>
      </c>
      <c r="C686" s="744" t="s">
        <v>1325</v>
      </c>
      <c r="D686" s="745" t="s">
        <v>1449</v>
      </c>
      <c r="E686" s="746" t="s">
        <v>1928</v>
      </c>
      <c r="F686" s="747">
        <v>3</v>
      </c>
      <c r="G686" s="746" t="s">
        <v>1945</v>
      </c>
      <c r="H686" s="748"/>
      <c r="I686" s="752"/>
      <c r="J686" s="749"/>
      <c r="K686" s="750" t="s">
        <v>1981</v>
      </c>
    </row>
    <row r="687" spans="2:11" ht="144">
      <c r="B687" s="743">
        <v>45773</v>
      </c>
      <c r="C687" s="744" t="s">
        <v>1325</v>
      </c>
      <c r="D687" s="745">
        <v>0.73958333333333337</v>
      </c>
      <c r="E687" s="746" t="s">
        <v>22</v>
      </c>
      <c r="F687" s="747">
        <v>3</v>
      </c>
      <c r="G687" s="746" t="s">
        <v>1946</v>
      </c>
      <c r="H687" s="766"/>
      <c r="I687" s="767">
        <v>2.2499999999999999E-2</v>
      </c>
      <c r="J687" s="767">
        <v>2.5000000000000001E-2</v>
      </c>
      <c r="K687" s="768" t="s">
        <v>1947</v>
      </c>
    </row>
    <row r="688" spans="2:11" ht="131">
      <c r="B688" s="743">
        <v>45773</v>
      </c>
      <c r="C688" s="744" t="s">
        <v>1325</v>
      </c>
      <c r="D688" s="745">
        <v>0.73958333333333337</v>
      </c>
      <c r="E688" s="746" t="s">
        <v>22</v>
      </c>
      <c r="F688" s="747">
        <v>3</v>
      </c>
      <c r="G688" s="746" t="s">
        <v>1948</v>
      </c>
      <c r="H688" s="766"/>
      <c r="I688" s="767">
        <v>2.4E-2</v>
      </c>
      <c r="J688" s="767">
        <v>2.6499999999999999E-2</v>
      </c>
      <c r="K688" s="768" t="s">
        <v>1949</v>
      </c>
    </row>
    <row r="689" spans="1:11" ht="79">
      <c r="B689" s="743">
        <v>45773</v>
      </c>
      <c r="C689" s="744" t="s">
        <v>1325</v>
      </c>
      <c r="D689" s="745">
        <v>0.75</v>
      </c>
      <c r="E689" s="746" t="s">
        <v>1</v>
      </c>
      <c r="F689" s="747">
        <v>3</v>
      </c>
      <c r="G689" s="746" t="s">
        <v>1421</v>
      </c>
      <c r="H689" s="748"/>
      <c r="I689" s="749" t="s">
        <v>638</v>
      </c>
      <c r="J689" s="749" t="s">
        <v>1347</v>
      </c>
      <c r="K689" s="750" t="s">
        <v>1912</v>
      </c>
    </row>
    <row r="690" spans="1:11" ht="118">
      <c r="B690" s="743">
        <v>45773</v>
      </c>
      <c r="C690" s="744" t="s">
        <v>1325</v>
      </c>
      <c r="D690" s="745">
        <v>0.75</v>
      </c>
      <c r="E690" s="746" t="s">
        <v>1</v>
      </c>
      <c r="F690" s="747">
        <v>3</v>
      </c>
      <c r="G690" s="746" t="s">
        <v>1950</v>
      </c>
      <c r="H690" s="748"/>
      <c r="I690" s="759">
        <v>3.1</v>
      </c>
      <c r="J690" s="759">
        <v>12.5</v>
      </c>
      <c r="K690" s="750" t="s">
        <v>1951</v>
      </c>
    </row>
    <row r="691" spans="1:11" ht="131">
      <c r="B691" s="743">
        <v>45773</v>
      </c>
      <c r="C691" s="744" t="s">
        <v>1325</v>
      </c>
      <c r="D691" s="745">
        <v>0.76041666666666663</v>
      </c>
      <c r="E691" s="746" t="s">
        <v>22</v>
      </c>
      <c r="F691" s="747">
        <v>3</v>
      </c>
      <c r="G691" s="746" t="s">
        <v>1952</v>
      </c>
      <c r="H691" s="766"/>
      <c r="I691" s="767"/>
      <c r="J691" s="767"/>
      <c r="K691" s="768" t="s">
        <v>1953</v>
      </c>
    </row>
    <row r="692" spans="1:11" ht="53">
      <c r="B692" s="743">
        <v>45774</v>
      </c>
      <c r="C692" s="744" t="s">
        <v>39</v>
      </c>
      <c r="D692" s="745" t="s">
        <v>1449</v>
      </c>
      <c r="E692" s="746" t="s">
        <v>1300</v>
      </c>
      <c r="F692" s="747">
        <v>3</v>
      </c>
      <c r="G692" s="746" t="s">
        <v>1954</v>
      </c>
      <c r="H692" s="748"/>
      <c r="I692" s="749"/>
      <c r="J692" s="749"/>
      <c r="K692" s="750" t="s">
        <v>1955</v>
      </c>
    </row>
    <row r="693" spans="1:11">
      <c r="B693" s="743">
        <v>45784</v>
      </c>
      <c r="C693" s="744" t="s">
        <v>41</v>
      </c>
      <c r="D693" s="745">
        <v>0.97916666666666663</v>
      </c>
      <c r="E693" s="746" t="s">
        <v>1</v>
      </c>
      <c r="F693" s="746">
        <v>3</v>
      </c>
      <c r="G693" s="746" t="s">
        <v>127</v>
      </c>
      <c r="H693" s="748"/>
      <c r="I693" s="749">
        <v>4.3200000000000002E-2</v>
      </c>
      <c r="J693" s="749">
        <v>4.3700000000000003E-2</v>
      </c>
      <c r="K693" s="750" t="s">
        <v>562</v>
      </c>
    </row>
    <row r="694" spans="1:11">
      <c r="B694" s="89" t="s">
        <v>1956</v>
      </c>
      <c r="C694" s="89"/>
      <c r="D694" s="89"/>
      <c r="E694" s="89"/>
      <c r="F694" s="89"/>
      <c r="G694" s="89"/>
      <c r="H694" s="89"/>
      <c r="I694" s="754"/>
      <c r="J694" s="754"/>
      <c r="K694" s="755"/>
    </row>
    <row r="695" spans="1:11" ht="40">
      <c r="A695" s="569" t="s">
        <v>105</v>
      </c>
      <c r="B695" s="743">
        <v>45775</v>
      </c>
      <c r="C695" s="744" t="s">
        <v>43</v>
      </c>
      <c r="D695" s="745" t="s">
        <v>1449</v>
      </c>
      <c r="E695" s="746" t="s">
        <v>2009</v>
      </c>
      <c r="F695" s="747">
        <v>3</v>
      </c>
      <c r="G695" s="746" t="s">
        <v>2010</v>
      </c>
      <c r="H695" s="748"/>
      <c r="I695" s="749"/>
      <c r="J695" s="749"/>
      <c r="K695" s="750" t="s">
        <v>1963</v>
      </c>
    </row>
    <row r="696" spans="1:11" ht="40">
      <c r="B696" s="743">
        <v>45776</v>
      </c>
      <c r="C696" s="744" t="s">
        <v>42</v>
      </c>
      <c r="D696" s="745" t="s">
        <v>1449</v>
      </c>
      <c r="E696" s="746" t="s">
        <v>117</v>
      </c>
      <c r="F696" s="747">
        <v>3</v>
      </c>
      <c r="G696" s="746" t="s">
        <v>2011</v>
      </c>
      <c r="H696" s="748"/>
      <c r="I696" s="749"/>
      <c r="J696" s="752"/>
      <c r="K696" s="750" t="s">
        <v>1965</v>
      </c>
    </row>
    <row r="697" spans="1:11" ht="92">
      <c r="B697" s="743">
        <v>45776</v>
      </c>
      <c r="C697" s="744" t="s">
        <v>42</v>
      </c>
      <c r="D697" s="745">
        <v>0.8125</v>
      </c>
      <c r="E697" s="746" t="s">
        <v>1</v>
      </c>
      <c r="F697" s="747">
        <v>3</v>
      </c>
      <c r="G697" s="746" t="s">
        <v>2012</v>
      </c>
      <c r="H697" s="748"/>
      <c r="I697" s="749"/>
      <c r="J697" s="752">
        <v>92.9</v>
      </c>
      <c r="K697" s="750" t="s">
        <v>1620</v>
      </c>
    </row>
    <row r="698" spans="1:11" ht="144">
      <c r="B698" s="743">
        <v>45776</v>
      </c>
      <c r="C698" s="744" t="s">
        <v>42</v>
      </c>
      <c r="D698" s="745">
        <v>0.8125</v>
      </c>
      <c r="E698" s="746" t="s">
        <v>1</v>
      </c>
      <c r="F698" s="747">
        <v>3</v>
      </c>
      <c r="G698" s="746" t="s">
        <v>2013</v>
      </c>
      <c r="H698" s="748"/>
      <c r="I698" s="749"/>
      <c r="J698" s="752" t="s">
        <v>2014</v>
      </c>
      <c r="K698" s="750" t="s">
        <v>2015</v>
      </c>
    </row>
    <row r="699" spans="1:11" ht="144">
      <c r="B699" s="743">
        <v>45777</v>
      </c>
      <c r="C699" s="744" t="s">
        <v>41</v>
      </c>
      <c r="D699" s="745">
        <v>0.29166666666666669</v>
      </c>
      <c r="E699" s="746" t="s">
        <v>65</v>
      </c>
      <c r="F699" s="747">
        <v>3</v>
      </c>
      <c r="G699" s="746" t="s">
        <v>2016</v>
      </c>
      <c r="H699" s="748"/>
      <c r="I699" s="749"/>
      <c r="J699" s="752">
        <v>50.5</v>
      </c>
      <c r="K699" s="750" t="s">
        <v>2017</v>
      </c>
    </row>
    <row r="700" spans="1:11" ht="105">
      <c r="B700" s="743">
        <v>45777</v>
      </c>
      <c r="C700" s="744" t="s">
        <v>41</v>
      </c>
      <c r="D700" s="745">
        <v>0.5625</v>
      </c>
      <c r="E700" s="746" t="s">
        <v>22</v>
      </c>
      <c r="F700" s="747">
        <v>3</v>
      </c>
      <c r="G700" s="746" t="s">
        <v>2018</v>
      </c>
      <c r="H700" s="748"/>
      <c r="I700" s="749"/>
      <c r="J700" s="749">
        <v>-2E-3</v>
      </c>
      <c r="K700" s="750" t="s">
        <v>2019</v>
      </c>
    </row>
    <row r="701" spans="1:11" ht="118">
      <c r="B701" s="743">
        <v>45777</v>
      </c>
      <c r="C701" s="744" t="s">
        <v>41</v>
      </c>
      <c r="D701" s="745">
        <v>0.72916666666666663</v>
      </c>
      <c r="E701" s="746" t="s">
        <v>22</v>
      </c>
      <c r="F701" s="747">
        <v>3</v>
      </c>
      <c r="G701" s="746" t="s">
        <v>2020</v>
      </c>
      <c r="H701" s="748"/>
      <c r="I701" s="749"/>
      <c r="J701" s="749">
        <v>3.0000000000000001E-3</v>
      </c>
      <c r="K701" s="750" t="s">
        <v>2021</v>
      </c>
    </row>
    <row r="702" spans="1:11" ht="131">
      <c r="B702" s="743">
        <v>45777</v>
      </c>
      <c r="C702" s="744" t="s">
        <v>41</v>
      </c>
      <c r="D702" s="745">
        <v>0.73958333333333337</v>
      </c>
      <c r="E702" s="746" t="s">
        <v>1</v>
      </c>
      <c r="F702" s="747">
        <v>3</v>
      </c>
      <c r="G702" s="746" t="s">
        <v>2022</v>
      </c>
      <c r="H702" s="748"/>
      <c r="I702" s="749"/>
      <c r="J702" s="749" t="s">
        <v>292</v>
      </c>
      <c r="K702" s="750" t="s">
        <v>2023</v>
      </c>
    </row>
    <row r="703" spans="1:11" ht="105">
      <c r="B703" s="743">
        <v>45777</v>
      </c>
      <c r="C703" s="744" t="s">
        <v>41</v>
      </c>
      <c r="D703" s="745">
        <v>0.75</v>
      </c>
      <c r="E703" s="746" t="s">
        <v>1</v>
      </c>
      <c r="F703" s="747">
        <v>3</v>
      </c>
      <c r="G703" s="746" t="s">
        <v>2024</v>
      </c>
      <c r="H703" s="748"/>
      <c r="I703" s="749"/>
      <c r="J703" s="749">
        <v>2.4E-2</v>
      </c>
      <c r="K703" s="750" t="s">
        <v>1632</v>
      </c>
    </row>
    <row r="704" spans="1:11" ht="118">
      <c r="B704" s="743">
        <v>45777</v>
      </c>
      <c r="C704" s="744" t="s">
        <v>41</v>
      </c>
      <c r="D704" s="745">
        <v>0.80208333333333337</v>
      </c>
      <c r="E704" s="746" t="s">
        <v>1</v>
      </c>
      <c r="F704" s="747">
        <v>3</v>
      </c>
      <c r="G704" s="746" t="s">
        <v>2025</v>
      </c>
      <c r="H704" s="748"/>
      <c r="I704" s="749"/>
      <c r="J704" s="752">
        <v>47.6</v>
      </c>
      <c r="K704" s="750" t="s">
        <v>1640</v>
      </c>
    </row>
    <row r="705" spans="2:11" ht="131">
      <c r="B705" s="743">
        <v>45777</v>
      </c>
      <c r="C705" s="744" t="s">
        <v>41</v>
      </c>
      <c r="D705" s="745">
        <v>0.8125</v>
      </c>
      <c r="E705" s="746" t="s">
        <v>1</v>
      </c>
      <c r="F705" s="747">
        <v>3</v>
      </c>
      <c r="G705" s="746" t="s">
        <v>2026</v>
      </c>
      <c r="H705" s="748"/>
      <c r="I705" s="749"/>
      <c r="J705" s="749">
        <v>4.0000000000000001E-3</v>
      </c>
      <c r="K705" s="750" t="s">
        <v>2027</v>
      </c>
    </row>
    <row r="706" spans="2:11" ht="105">
      <c r="B706" s="743">
        <v>45777</v>
      </c>
      <c r="C706" s="744" t="s">
        <v>41</v>
      </c>
      <c r="D706" s="745">
        <v>0.8125</v>
      </c>
      <c r="E706" s="746" t="s">
        <v>1</v>
      </c>
      <c r="F706" s="747">
        <v>3</v>
      </c>
      <c r="G706" s="746" t="s">
        <v>2028</v>
      </c>
      <c r="H706" s="748"/>
      <c r="I706" s="749"/>
      <c r="J706" s="749">
        <v>2.8000000000000001E-2</v>
      </c>
      <c r="K706" s="750" t="s">
        <v>2029</v>
      </c>
    </row>
    <row r="707" spans="2:11" ht="131">
      <c r="B707" s="743">
        <v>45777</v>
      </c>
      <c r="C707" s="744" t="s">
        <v>41</v>
      </c>
      <c r="D707" s="745">
        <v>0.83333333333333337</v>
      </c>
      <c r="E707" s="746" t="s">
        <v>1</v>
      </c>
      <c r="F707" s="747">
        <v>3</v>
      </c>
      <c r="G707" s="746" t="s">
        <v>1503</v>
      </c>
      <c r="H707" s="748"/>
      <c r="I707" s="749"/>
      <c r="J707" s="749" t="s">
        <v>2030</v>
      </c>
      <c r="K707" s="750" t="s">
        <v>1505</v>
      </c>
    </row>
    <row r="708" spans="2:11" ht="40">
      <c r="B708" s="743">
        <v>45778</v>
      </c>
      <c r="C708" s="744" t="s">
        <v>1325</v>
      </c>
      <c r="D708" s="745">
        <v>6.25E-2</v>
      </c>
      <c r="E708" s="746" t="s">
        <v>1</v>
      </c>
      <c r="F708" s="747">
        <v>3</v>
      </c>
      <c r="G708" s="746" t="s">
        <v>2031</v>
      </c>
      <c r="H708" s="748"/>
      <c r="I708" s="752">
        <v>3.2</v>
      </c>
      <c r="J708" s="752">
        <v>3.23</v>
      </c>
      <c r="K708" s="750" t="s">
        <v>2032</v>
      </c>
    </row>
    <row r="709" spans="2:11" ht="53">
      <c r="B709" s="743">
        <v>45778</v>
      </c>
      <c r="C709" s="744" t="s">
        <v>1325</v>
      </c>
      <c r="D709" s="745">
        <v>8.3333333333333329E-2</v>
      </c>
      <c r="E709" s="746" t="s">
        <v>1</v>
      </c>
      <c r="F709" s="747">
        <v>3</v>
      </c>
      <c r="G709" s="746" t="s">
        <v>2033</v>
      </c>
      <c r="H709" s="748"/>
      <c r="I709" s="752">
        <v>5.21</v>
      </c>
      <c r="J709" s="752">
        <v>8.02</v>
      </c>
      <c r="K709" s="750" t="s">
        <v>2034</v>
      </c>
    </row>
    <row r="710" spans="2:11" ht="53">
      <c r="B710" s="743">
        <v>45778</v>
      </c>
      <c r="C710" s="744" t="s">
        <v>1325</v>
      </c>
      <c r="D710" s="745" t="s">
        <v>1449</v>
      </c>
      <c r="E710" s="746" t="s">
        <v>1300</v>
      </c>
      <c r="F710" s="747">
        <v>3</v>
      </c>
      <c r="G710" s="746" t="s">
        <v>2035</v>
      </c>
      <c r="H710" s="748"/>
      <c r="I710" s="749"/>
      <c r="J710" s="749"/>
      <c r="K710" s="750" t="s">
        <v>1955</v>
      </c>
    </row>
    <row r="711" spans="2:11" ht="79">
      <c r="B711" s="743">
        <v>45778</v>
      </c>
      <c r="C711" s="744" t="s">
        <v>1325</v>
      </c>
      <c r="D711" s="745">
        <v>0.35416666666666669</v>
      </c>
      <c r="E711" s="746" t="s">
        <v>117</v>
      </c>
      <c r="F711" s="747">
        <v>3</v>
      </c>
      <c r="G711" s="746" t="s">
        <v>1464</v>
      </c>
      <c r="H711" s="748"/>
      <c r="I711" s="749"/>
      <c r="J711" s="749">
        <v>5.0000000000000001E-3</v>
      </c>
      <c r="K711" s="750" t="s">
        <v>2036</v>
      </c>
    </row>
    <row r="712" spans="2:11" ht="92">
      <c r="B712" s="743">
        <v>45778</v>
      </c>
      <c r="C712" s="744" t="s">
        <v>1325</v>
      </c>
      <c r="D712" s="745">
        <v>0.75</v>
      </c>
      <c r="E712" s="746" t="s">
        <v>1</v>
      </c>
      <c r="F712" s="747">
        <v>3</v>
      </c>
      <c r="G712" s="746" t="s">
        <v>1421</v>
      </c>
      <c r="H712" s="748"/>
      <c r="I712" s="749"/>
      <c r="J712" s="749"/>
      <c r="K712" s="750" t="s">
        <v>2037</v>
      </c>
    </row>
    <row r="713" spans="2:11" ht="183">
      <c r="B713" s="743">
        <v>45778</v>
      </c>
      <c r="C713" s="744" t="s">
        <v>1325</v>
      </c>
      <c r="D713" s="745">
        <v>0.8125</v>
      </c>
      <c r="E713" s="746" t="s">
        <v>1</v>
      </c>
      <c r="F713" s="747">
        <v>3</v>
      </c>
      <c r="G713" s="746" t="s">
        <v>2038</v>
      </c>
      <c r="H713" s="748"/>
      <c r="I713" s="749"/>
      <c r="J713" s="752">
        <v>49</v>
      </c>
      <c r="K713" s="750" t="s">
        <v>2039</v>
      </c>
    </row>
    <row r="714" spans="2:11" ht="333">
      <c r="B714" s="743">
        <v>45778</v>
      </c>
      <c r="C714" s="744" t="s">
        <v>1325</v>
      </c>
      <c r="D714" s="745">
        <v>0.8125</v>
      </c>
      <c r="E714" s="746" t="s">
        <v>1</v>
      </c>
      <c r="F714" s="747">
        <v>3</v>
      </c>
      <c r="G714" s="746" t="s">
        <v>2040</v>
      </c>
      <c r="H714" s="748"/>
      <c r="I714" s="749"/>
      <c r="J714" s="752">
        <v>69.400000000000006</v>
      </c>
      <c r="K714" s="750" t="s">
        <v>2041</v>
      </c>
    </row>
    <row r="715" spans="2:11" ht="40">
      <c r="B715" s="743">
        <v>45779</v>
      </c>
      <c r="C715" s="744" t="s">
        <v>39</v>
      </c>
      <c r="D715" s="745" t="s">
        <v>1449</v>
      </c>
      <c r="E715" s="746" t="s">
        <v>65</v>
      </c>
      <c r="F715" s="747">
        <v>3</v>
      </c>
      <c r="G715" s="746" t="s">
        <v>2042</v>
      </c>
      <c r="H715" s="748"/>
      <c r="I715" s="749"/>
      <c r="J715" s="752"/>
      <c r="K715" s="750" t="s">
        <v>2043</v>
      </c>
    </row>
    <row r="716" spans="2:11" ht="53">
      <c r="B716" s="743">
        <v>45779</v>
      </c>
      <c r="C716" s="744" t="s">
        <v>39</v>
      </c>
      <c r="D716" s="745">
        <v>6.25E-2</v>
      </c>
      <c r="E716" s="746" t="s">
        <v>1</v>
      </c>
      <c r="F716" s="747">
        <v>3</v>
      </c>
      <c r="G716" s="746" t="s">
        <v>2044</v>
      </c>
      <c r="H716" s="748"/>
      <c r="I716" s="752">
        <v>1.35</v>
      </c>
      <c r="J716" s="752">
        <v>1.86</v>
      </c>
      <c r="K716" s="750" t="s">
        <v>2045</v>
      </c>
    </row>
    <row r="717" spans="2:11" ht="53">
      <c r="B717" s="743">
        <v>45779</v>
      </c>
      <c r="C717" s="744" t="s">
        <v>39</v>
      </c>
      <c r="D717" s="745">
        <v>8.3333333333333329E-2</v>
      </c>
      <c r="E717" s="746" t="s">
        <v>1</v>
      </c>
      <c r="F717" s="747">
        <v>3</v>
      </c>
      <c r="G717" s="746" t="s">
        <v>2046</v>
      </c>
      <c r="H717" s="748"/>
      <c r="I717" s="749">
        <v>1.6</v>
      </c>
      <c r="J717" s="752">
        <v>2.4</v>
      </c>
      <c r="K717" s="750" t="s">
        <v>2047</v>
      </c>
    </row>
    <row r="718" spans="2:11" ht="92">
      <c r="B718" s="743">
        <v>45779</v>
      </c>
      <c r="C718" s="744" t="s">
        <v>39</v>
      </c>
      <c r="D718" s="745">
        <v>0.60416666666666663</v>
      </c>
      <c r="E718" s="746" t="s">
        <v>22</v>
      </c>
      <c r="F718" s="747">
        <v>3</v>
      </c>
      <c r="G718" s="746" t="s">
        <v>2048</v>
      </c>
      <c r="H718" s="748"/>
      <c r="I718" s="749"/>
      <c r="J718" s="749">
        <v>2.1999999999999999E-2</v>
      </c>
      <c r="K718" s="750" t="s">
        <v>2049</v>
      </c>
    </row>
    <row r="719" spans="2:11" ht="105">
      <c r="B719" s="743">
        <v>45779</v>
      </c>
      <c r="C719" s="744" t="s">
        <v>39</v>
      </c>
      <c r="D719" s="745">
        <v>0.75</v>
      </c>
      <c r="E719" s="746" t="s">
        <v>1</v>
      </c>
      <c r="F719" s="747">
        <v>3</v>
      </c>
      <c r="G719" s="746" t="s">
        <v>2050</v>
      </c>
      <c r="H719" s="748"/>
      <c r="I719" s="749"/>
      <c r="J719" s="749">
        <v>3.0000000000000001E-3</v>
      </c>
      <c r="K719" s="750" t="s">
        <v>2051</v>
      </c>
    </row>
    <row r="720" spans="2:11" ht="105">
      <c r="B720" s="743">
        <v>45779</v>
      </c>
      <c r="C720" s="744" t="s">
        <v>39</v>
      </c>
      <c r="D720" s="745">
        <v>0.75</v>
      </c>
      <c r="E720" s="746" t="s">
        <v>1</v>
      </c>
      <c r="F720" s="747">
        <v>3</v>
      </c>
      <c r="G720" s="746" t="s">
        <v>2052</v>
      </c>
      <c r="H720" s="748"/>
      <c r="I720" s="749"/>
      <c r="J720" s="752" t="s">
        <v>579</v>
      </c>
      <c r="K720" s="750" t="s">
        <v>2053</v>
      </c>
    </row>
    <row r="721" spans="1:11" ht="105">
      <c r="B721" s="743">
        <v>45779</v>
      </c>
      <c r="C721" s="744" t="s">
        <v>39</v>
      </c>
      <c r="D721" s="745">
        <v>0.75</v>
      </c>
      <c r="E721" s="746" t="s">
        <v>1</v>
      </c>
      <c r="F721" s="747">
        <v>3</v>
      </c>
      <c r="G721" s="746" t="s">
        <v>2054</v>
      </c>
      <c r="H721" s="748"/>
      <c r="I721" s="749"/>
      <c r="J721" s="749">
        <v>4.2000000000000003E-2</v>
      </c>
      <c r="K721" s="750" t="s">
        <v>2055</v>
      </c>
    </row>
    <row r="722" spans="1:11">
      <c r="B722" s="743">
        <v>45784</v>
      </c>
      <c r="C722" s="744" t="s">
        <v>41</v>
      </c>
      <c r="D722" s="745">
        <v>0.97916666666666663</v>
      </c>
      <c r="E722" s="746" t="s">
        <v>1</v>
      </c>
      <c r="F722" s="746">
        <v>3</v>
      </c>
      <c r="G722" s="746" t="s">
        <v>127</v>
      </c>
      <c r="H722" s="748"/>
      <c r="I722" s="749">
        <v>4.36E-2</v>
      </c>
      <c r="J722" s="749">
        <v>4.3700000000000003E-2</v>
      </c>
      <c r="K722" s="750" t="s">
        <v>562</v>
      </c>
    </row>
    <row r="723" spans="1:11" ht="40">
      <c r="A723" s="569" t="s">
        <v>105</v>
      </c>
      <c r="B723" s="743">
        <v>45782</v>
      </c>
      <c r="C723" s="744" t="s">
        <v>43</v>
      </c>
      <c r="D723" s="745" t="s">
        <v>1449</v>
      </c>
      <c r="E723" s="746" t="s">
        <v>117</v>
      </c>
      <c r="F723" s="747">
        <v>3</v>
      </c>
      <c r="G723" s="746" t="s">
        <v>2068</v>
      </c>
      <c r="H723" s="748"/>
      <c r="I723" s="749"/>
      <c r="J723" s="749"/>
      <c r="K723" s="750" t="s">
        <v>1963</v>
      </c>
    </row>
    <row r="724" spans="1:11" ht="40">
      <c r="B724" s="743">
        <v>45782</v>
      </c>
      <c r="C724" s="744" t="s">
        <v>43</v>
      </c>
      <c r="D724" s="745" t="s">
        <v>1449</v>
      </c>
      <c r="E724" s="746" t="s">
        <v>1485</v>
      </c>
      <c r="F724" s="747">
        <v>3</v>
      </c>
      <c r="G724" s="746" t="s">
        <v>2069</v>
      </c>
      <c r="H724" s="748"/>
      <c r="I724" s="749"/>
      <c r="J724" s="749"/>
      <c r="K724" s="750" t="s">
        <v>1963</v>
      </c>
    </row>
    <row r="725" spans="1:11" ht="40">
      <c r="B725" s="743">
        <v>45782</v>
      </c>
      <c r="C725" s="744" t="s">
        <v>43</v>
      </c>
      <c r="D725" s="745" t="s">
        <v>1449</v>
      </c>
      <c r="E725" s="746" t="s">
        <v>65</v>
      </c>
      <c r="F725" s="747">
        <v>3</v>
      </c>
      <c r="G725" s="746" t="s">
        <v>2042</v>
      </c>
      <c r="H725" s="748"/>
      <c r="I725" s="749"/>
      <c r="J725" s="752"/>
      <c r="K725" s="750" t="s">
        <v>2043</v>
      </c>
    </row>
    <row r="726" spans="1:11" ht="40">
      <c r="B726" s="743">
        <v>45782</v>
      </c>
      <c r="C726" s="744" t="s">
        <v>43</v>
      </c>
      <c r="D726" s="745" t="s">
        <v>1449</v>
      </c>
      <c r="E726" s="746" t="s">
        <v>53</v>
      </c>
      <c r="F726" s="747">
        <v>3</v>
      </c>
      <c r="G726" s="746" t="s">
        <v>2070</v>
      </c>
      <c r="H726" s="748"/>
      <c r="I726" s="749"/>
      <c r="J726" s="752"/>
      <c r="K726" s="750" t="s">
        <v>2043</v>
      </c>
    </row>
    <row r="727" spans="1:11" ht="40">
      <c r="B727" s="743">
        <v>45782</v>
      </c>
      <c r="C727" s="744" t="s">
        <v>43</v>
      </c>
      <c r="D727" s="745" t="s">
        <v>1449</v>
      </c>
      <c r="E727" s="746" t="s">
        <v>1495</v>
      </c>
      <c r="F727" s="747">
        <v>3</v>
      </c>
      <c r="G727" s="746" t="s">
        <v>2071</v>
      </c>
      <c r="H727" s="748"/>
      <c r="I727" s="749"/>
      <c r="J727" s="752"/>
      <c r="K727" s="750" t="s">
        <v>2043</v>
      </c>
    </row>
    <row r="728" spans="1:11" ht="118">
      <c r="B728" s="743">
        <v>45782</v>
      </c>
      <c r="C728" s="744" t="s">
        <v>43</v>
      </c>
      <c r="D728" s="745">
        <v>0.80208333333333337</v>
      </c>
      <c r="E728" s="746" t="s">
        <v>1</v>
      </c>
      <c r="F728" s="747">
        <v>3</v>
      </c>
      <c r="G728" s="746" t="s">
        <v>2072</v>
      </c>
      <c r="H728" s="748"/>
      <c r="I728" s="752">
        <v>51.4</v>
      </c>
      <c r="J728" s="752">
        <v>54.4</v>
      </c>
      <c r="K728" s="750" t="s">
        <v>1969</v>
      </c>
    </row>
    <row r="729" spans="1:11" ht="209">
      <c r="B729" s="743">
        <v>45782</v>
      </c>
      <c r="C729" s="744" t="s">
        <v>43</v>
      </c>
      <c r="D729" s="745">
        <v>0.8125</v>
      </c>
      <c r="E729" s="746" t="s">
        <v>1</v>
      </c>
      <c r="F729" s="747">
        <v>3</v>
      </c>
      <c r="G729" s="746" t="s">
        <v>2073</v>
      </c>
      <c r="H729" s="748"/>
      <c r="I729" s="749"/>
      <c r="J729" s="752">
        <v>50.8</v>
      </c>
      <c r="K729" s="750" t="s">
        <v>2074</v>
      </c>
    </row>
    <row r="730" spans="1:11" ht="209">
      <c r="B730" s="743">
        <v>45782</v>
      </c>
      <c r="C730" s="744" t="s">
        <v>43</v>
      </c>
      <c r="D730" s="745">
        <v>0.8125</v>
      </c>
      <c r="E730" s="746" t="s">
        <v>1</v>
      </c>
      <c r="F730" s="747">
        <v>3</v>
      </c>
      <c r="G730" s="746" t="s">
        <v>2075</v>
      </c>
      <c r="H730" s="748"/>
      <c r="I730" s="749"/>
      <c r="J730" s="752">
        <v>60.9</v>
      </c>
      <c r="K730" s="750" t="s">
        <v>2076</v>
      </c>
    </row>
    <row r="731" spans="1:11" ht="40">
      <c r="B731" s="743">
        <v>45783</v>
      </c>
      <c r="C731" s="744" t="s">
        <v>42</v>
      </c>
      <c r="D731" s="745" t="s">
        <v>1449</v>
      </c>
      <c r="E731" s="746" t="s">
        <v>117</v>
      </c>
      <c r="F731" s="747">
        <v>3</v>
      </c>
      <c r="G731" s="746" t="s">
        <v>2077</v>
      </c>
      <c r="H731" s="748"/>
      <c r="I731" s="749"/>
      <c r="J731" s="749"/>
      <c r="K731" s="750" t="s">
        <v>2043</v>
      </c>
    </row>
    <row r="732" spans="1:11" ht="40">
      <c r="B732" s="743">
        <v>45783</v>
      </c>
      <c r="C732" s="744" t="s">
        <v>42</v>
      </c>
      <c r="D732" s="745" t="s">
        <v>1449</v>
      </c>
      <c r="E732" s="746" t="s">
        <v>1485</v>
      </c>
      <c r="F732" s="747">
        <v>3</v>
      </c>
      <c r="G732" s="746" t="s">
        <v>2078</v>
      </c>
      <c r="H732" s="748"/>
      <c r="I732" s="749"/>
      <c r="J732" s="749"/>
      <c r="K732" s="750" t="s">
        <v>2043</v>
      </c>
    </row>
    <row r="733" spans="1:11" ht="157">
      <c r="B733" s="743">
        <v>45783</v>
      </c>
      <c r="C733" s="744" t="s">
        <v>42</v>
      </c>
      <c r="D733" s="745">
        <v>0.9375</v>
      </c>
      <c r="E733" s="746" t="s">
        <v>1</v>
      </c>
      <c r="F733" s="747">
        <v>3</v>
      </c>
      <c r="G733" s="746" t="s">
        <v>1900</v>
      </c>
      <c r="H733" s="748"/>
      <c r="I733" s="749"/>
      <c r="J733" s="753">
        <v>4.4350000000000001E-2</v>
      </c>
      <c r="K733" s="750" t="s">
        <v>2079</v>
      </c>
    </row>
    <row r="734" spans="1:11" ht="131">
      <c r="B734" s="743">
        <v>45784</v>
      </c>
      <c r="C734" s="744" t="s">
        <v>41</v>
      </c>
      <c r="D734" s="745">
        <v>0.83333333333333337</v>
      </c>
      <c r="E734" s="746" t="s">
        <v>1</v>
      </c>
      <c r="F734" s="747">
        <v>3</v>
      </c>
      <c r="G734" s="746" t="s">
        <v>1503</v>
      </c>
      <c r="H734" s="748"/>
      <c r="I734" s="749"/>
      <c r="J734" s="751" t="s">
        <v>2080</v>
      </c>
      <c r="K734" s="750" t="s">
        <v>2081</v>
      </c>
    </row>
    <row r="735" spans="1:11" ht="105">
      <c r="B735" s="743">
        <v>45784</v>
      </c>
      <c r="C735" s="744" t="s">
        <v>41</v>
      </c>
      <c r="D735" s="745">
        <v>0.97916666666666663</v>
      </c>
      <c r="E735" s="746" t="s">
        <v>1</v>
      </c>
      <c r="F735" s="747">
        <v>3</v>
      </c>
      <c r="G735" s="746" t="s">
        <v>1506</v>
      </c>
      <c r="H735" s="748"/>
      <c r="I735" s="749"/>
      <c r="J735" s="749"/>
      <c r="K735" s="750" t="s">
        <v>2082</v>
      </c>
    </row>
    <row r="736" spans="1:11" ht="92">
      <c r="B736" s="743">
        <v>45784</v>
      </c>
      <c r="C736" s="744" t="s">
        <v>41</v>
      </c>
      <c r="D736" s="745">
        <v>0.97916666666666663</v>
      </c>
      <c r="E736" s="746" t="s">
        <v>1</v>
      </c>
      <c r="F736" s="747">
        <v>3</v>
      </c>
      <c r="G736" s="746" t="s">
        <v>1508</v>
      </c>
      <c r="H736" s="748"/>
      <c r="I736" s="749">
        <v>4.36E-2</v>
      </c>
      <c r="J736" s="749">
        <v>4.4999999999999998E-2</v>
      </c>
      <c r="K736" s="750" t="s">
        <v>2083</v>
      </c>
    </row>
    <row r="737" spans="1:11" ht="40">
      <c r="B737" s="743">
        <v>45785</v>
      </c>
      <c r="C737" s="744" t="s">
        <v>1325</v>
      </c>
      <c r="D737" s="745">
        <v>0</v>
      </c>
      <c r="E737" s="746" t="s">
        <v>1</v>
      </c>
      <c r="F737" s="747">
        <v>3</v>
      </c>
      <c r="G737" s="746" t="s">
        <v>1509</v>
      </c>
      <c r="H737" s="748"/>
      <c r="I737" s="749"/>
      <c r="J737" s="749"/>
      <c r="K737" s="750" t="s">
        <v>2084</v>
      </c>
    </row>
    <row r="738" spans="1:11" ht="92">
      <c r="B738" s="743">
        <v>45785</v>
      </c>
      <c r="C738" s="744" t="s">
        <v>1325</v>
      </c>
      <c r="D738" s="745">
        <v>0.6875</v>
      </c>
      <c r="E738" s="746" t="s">
        <v>53</v>
      </c>
      <c r="F738" s="747">
        <v>3</v>
      </c>
      <c r="G738" s="746" t="s">
        <v>2085</v>
      </c>
      <c r="H738" s="748"/>
      <c r="I738" s="749"/>
      <c r="J738" s="749">
        <v>4.4999999999999998E-2</v>
      </c>
      <c r="K738" s="750" t="s">
        <v>2086</v>
      </c>
    </row>
    <row r="739" spans="1:11" ht="92">
      <c r="B739" s="743">
        <v>45785</v>
      </c>
      <c r="C739" s="744" t="s">
        <v>1325</v>
      </c>
      <c r="D739" s="745">
        <v>0.75</v>
      </c>
      <c r="E739" s="746" t="s">
        <v>1</v>
      </c>
      <c r="F739" s="747">
        <v>3</v>
      </c>
      <c r="G739" s="746" t="s">
        <v>1421</v>
      </c>
      <c r="H739" s="748"/>
      <c r="I739" s="749"/>
      <c r="J739" s="749"/>
      <c r="K739" s="750" t="s">
        <v>2087</v>
      </c>
    </row>
    <row r="740" spans="1:11" ht="157">
      <c r="B740" s="743">
        <v>45785</v>
      </c>
      <c r="C740" s="744" t="s">
        <v>1325</v>
      </c>
      <c r="D740" s="745">
        <v>0.9375</v>
      </c>
      <c r="E740" s="746" t="s">
        <v>1</v>
      </c>
      <c r="F740" s="747">
        <v>3</v>
      </c>
      <c r="G740" s="746" t="s">
        <v>2088</v>
      </c>
      <c r="H740" s="748"/>
      <c r="I740" s="749"/>
      <c r="J740" s="753">
        <v>4.4350000000000001E-2</v>
      </c>
      <c r="K740" s="750" t="s">
        <v>2089</v>
      </c>
    </row>
    <row r="741" spans="1:11">
      <c r="B741" s="743">
        <v>45826</v>
      </c>
      <c r="C741" s="744" t="s">
        <v>41</v>
      </c>
      <c r="D741" s="745">
        <v>0.97916666666666663</v>
      </c>
      <c r="E741" s="746" t="s">
        <v>1</v>
      </c>
      <c r="F741" s="746">
        <v>3</v>
      </c>
      <c r="G741" s="746" t="s">
        <v>127</v>
      </c>
      <c r="H741" s="748"/>
      <c r="I741" s="749">
        <v>4.2099999999999999E-2</v>
      </c>
      <c r="J741" s="749">
        <v>4.36E-2</v>
      </c>
      <c r="K741" s="750" t="s">
        <v>562</v>
      </c>
    </row>
    <row r="742" spans="1:11">
      <c r="C742" s="89" t="s">
        <v>2090</v>
      </c>
      <c r="D742" s="89"/>
      <c r="E742" s="89"/>
      <c r="F742" s="89"/>
      <c r="G742" s="89"/>
      <c r="H742" s="89"/>
      <c r="I742" s="754"/>
      <c r="J742" s="754"/>
      <c r="K742" s="755"/>
    </row>
    <row r="743" spans="1:11" ht="40">
      <c r="A743" s="569" t="s">
        <v>429</v>
      </c>
      <c r="B743" s="743">
        <v>45789</v>
      </c>
      <c r="C743" s="744" t="s">
        <v>43</v>
      </c>
      <c r="D743" s="745" t="s">
        <v>1449</v>
      </c>
      <c r="E743" s="746" t="s">
        <v>1492</v>
      </c>
      <c r="F743" s="747">
        <v>3</v>
      </c>
      <c r="G743" s="746" t="s">
        <v>2101</v>
      </c>
      <c r="H743" s="748"/>
      <c r="I743" s="749"/>
      <c r="J743" s="749"/>
      <c r="K743" s="750" t="s">
        <v>1963</v>
      </c>
    </row>
    <row r="744" spans="1:11" ht="118">
      <c r="B744" s="743">
        <v>45790</v>
      </c>
      <c r="C744" s="744" t="s">
        <v>42</v>
      </c>
      <c r="D744" s="745">
        <v>0.75</v>
      </c>
      <c r="E744" s="746" t="s">
        <v>1</v>
      </c>
      <c r="F744" s="747">
        <v>3</v>
      </c>
      <c r="G744" s="746" t="s">
        <v>2102</v>
      </c>
      <c r="H744" s="748"/>
      <c r="I744" s="749"/>
      <c r="J744" s="749">
        <v>1E-3</v>
      </c>
      <c r="K744" s="750" t="s">
        <v>2103</v>
      </c>
    </row>
    <row r="745" spans="1:11" ht="92">
      <c r="B745" s="743">
        <v>45790</v>
      </c>
      <c r="C745" s="744" t="s">
        <v>42</v>
      </c>
      <c r="D745" s="745">
        <v>0.75</v>
      </c>
      <c r="E745" s="746" t="s">
        <v>1</v>
      </c>
      <c r="F745" s="747">
        <v>3</v>
      </c>
      <c r="G745" s="746" t="s">
        <v>2104</v>
      </c>
      <c r="H745" s="748"/>
      <c r="I745" s="749"/>
      <c r="J745" s="749">
        <v>-1E-3</v>
      </c>
      <c r="K745" s="750" t="s">
        <v>1911</v>
      </c>
    </row>
    <row r="746" spans="1:11" ht="92">
      <c r="B746" s="743">
        <v>45790</v>
      </c>
      <c r="C746" s="744" t="s">
        <v>42</v>
      </c>
      <c r="D746" s="745">
        <v>0.75</v>
      </c>
      <c r="E746" s="746" t="s">
        <v>1</v>
      </c>
      <c r="F746" s="747">
        <v>3</v>
      </c>
      <c r="G746" s="746" t="s">
        <v>2105</v>
      </c>
      <c r="H746" s="748"/>
      <c r="I746" s="749"/>
      <c r="J746" s="749">
        <v>2.4E-2</v>
      </c>
      <c r="K746" s="750" t="s">
        <v>1911</v>
      </c>
    </row>
    <row r="747" spans="1:11" ht="105">
      <c r="B747" s="743">
        <v>45791</v>
      </c>
      <c r="C747" s="744" t="s">
        <v>41</v>
      </c>
      <c r="D747" s="745">
        <v>0.47916666666666669</v>
      </c>
      <c r="E747" s="746" t="s">
        <v>22</v>
      </c>
      <c r="F747" s="747">
        <v>3</v>
      </c>
      <c r="G747" s="746" t="s">
        <v>2106</v>
      </c>
      <c r="H747" s="748"/>
      <c r="I747" s="749"/>
      <c r="J747" s="749">
        <v>4.0000000000000001E-3</v>
      </c>
      <c r="K747" s="750" t="s">
        <v>1635</v>
      </c>
    </row>
    <row r="748" spans="1:11" ht="131">
      <c r="B748" s="743">
        <v>45791</v>
      </c>
      <c r="C748" s="744" t="s">
        <v>41</v>
      </c>
      <c r="D748" s="745">
        <v>0.83333333333333337</v>
      </c>
      <c r="E748" s="746" t="s">
        <v>1</v>
      </c>
      <c r="F748" s="747">
        <v>3</v>
      </c>
      <c r="G748" s="746" t="s">
        <v>1503</v>
      </c>
      <c r="H748" s="748"/>
      <c r="I748" s="749"/>
      <c r="J748" s="751" t="s">
        <v>2107</v>
      </c>
      <c r="K748" s="750" t="s">
        <v>2108</v>
      </c>
    </row>
    <row r="749" spans="1:11" ht="92">
      <c r="B749" s="743">
        <v>45792</v>
      </c>
      <c r="C749" s="744" t="s">
        <v>1325</v>
      </c>
      <c r="D749" s="745">
        <v>0.47916666666666669</v>
      </c>
      <c r="E749" s="746" t="s">
        <v>53</v>
      </c>
      <c r="F749" s="747">
        <v>3</v>
      </c>
      <c r="G749" s="746" t="s">
        <v>2109</v>
      </c>
      <c r="H749" s="748"/>
      <c r="I749" s="749"/>
      <c r="J749" s="749">
        <v>1.4999999999999999E-2</v>
      </c>
      <c r="K749" s="750" t="s">
        <v>2110</v>
      </c>
    </row>
    <row r="750" spans="1:11" ht="79">
      <c r="B750" s="743">
        <v>45792</v>
      </c>
      <c r="C750" s="744" t="s">
        <v>1325</v>
      </c>
      <c r="D750" s="745">
        <v>0.47916666666666669</v>
      </c>
      <c r="E750" s="746" t="s">
        <v>53</v>
      </c>
      <c r="F750" s="747">
        <v>3</v>
      </c>
      <c r="G750" s="746" t="s">
        <v>2111</v>
      </c>
      <c r="H750" s="748"/>
      <c r="I750" s="749"/>
      <c r="J750" s="749">
        <v>5.0000000000000001E-3</v>
      </c>
      <c r="K750" s="750" t="s">
        <v>1916</v>
      </c>
    </row>
    <row r="751" spans="1:11" ht="105">
      <c r="B751" s="743">
        <v>45792</v>
      </c>
      <c r="C751" s="744" t="s">
        <v>1325</v>
      </c>
      <c r="D751" s="745">
        <v>0.47916666666666669</v>
      </c>
      <c r="E751" s="746" t="s">
        <v>53</v>
      </c>
      <c r="F751" s="747">
        <v>3</v>
      </c>
      <c r="G751" s="746" t="s">
        <v>2112</v>
      </c>
      <c r="H751" s="748"/>
      <c r="I751" s="749"/>
      <c r="J751" s="749">
        <v>1E-3</v>
      </c>
      <c r="K751" s="750" t="s">
        <v>1682</v>
      </c>
    </row>
    <row r="752" spans="1:11" ht="105">
      <c r="B752" s="743">
        <v>45792</v>
      </c>
      <c r="C752" s="744" t="s">
        <v>1325</v>
      </c>
      <c r="D752" s="745">
        <v>0.75</v>
      </c>
      <c r="E752" s="746" t="s">
        <v>1</v>
      </c>
      <c r="F752" s="747">
        <v>3</v>
      </c>
      <c r="G752" s="746" t="s">
        <v>2113</v>
      </c>
      <c r="H752" s="748"/>
      <c r="I752" s="749"/>
      <c r="J752" s="749">
        <v>6.0000000000000001E-3</v>
      </c>
      <c r="K752" s="750" t="s">
        <v>1937</v>
      </c>
    </row>
    <row r="753" spans="1:11" ht="105">
      <c r="B753" s="743">
        <v>45792</v>
      </c>
      <c r="C753" s="744" t="s">
        <v>1325</v>
      </c>
      <c r="D753" s="745">
        <v>0.75</v>
      </c>
      <c r="E753" s="746" t="s">
        <v>1</v>
      </c>
      <c r="F753" s="747">
        <v>3</v>
      </c>
      <c r="G753" s="746" t="s">
        <v>1421</v>
      </c>
      <c r="H753" s="748"/>
      <c r="I753" s="749"/>
      <c r="J753" s="749" t="s">
        <v>579</v>
      </c>
      <c r="K753" s="750" t="s">
        <v>1937</v>
      </c>
    </row>
    <row r="754" spans="1:11" ht="131">
      <c r="B754" s="743">
        <v>45792</v>
      </c>
      <c r="C754" s="744" t="s">
        <v>1325</v>
      </c>
      <c r="D754" s="745">
        <v>0.75</v>
      </c>
      <c r="E754" s="746" t="s">
        <v>1</v>
      </c>
      <c r="F754" s="747">
        <v>3</v>
      </c>
      <c r="G754" s="746" t="s">
        <v>2114</v>
      </c>
      <c r="H754" s="748"/>
      <c r="I754" s="749"/>
      <c r="J754" s="759">
        <v>-26.4</v>
      </c>
      <c r="K754" s="750" t="s">
        <v>2115</v>
      </c>
    </row>
    <row r="755" spans="1:11" ht="144">
      <c r="B755" s="743">
        <v>45792</v>
      </c>
      <c r="C755" s="744" t="s">
        <v>1325</v>
      </c>
      <c r="D755" s="745">
        <v>0.75</v>
      </c>
      <c r="E755" s="746" t="s">
        <v>1</v>
      </c>
      <c r="F755" s="747">
        <v>3</v>
      </c>
      <c r="G755" s="746" t="s">
        <v>2116</v>
      </c>
      <c r="H755" s="748"/>
      <c r="I755" s="749"/>
      <c r="J755" s="749">
        <v>-4.0000000000000001E-3</v>
      </c>
      <c r="K755" s="750" t="s">
        <v>1919</v>
      </c>
    </row>
    <row r="756" spans="1:11" ht="105">
      <c r="B756" s="743">
        <v>45792</v>
      </c>
      <c r="C756" s="744" t="s">
        <v>1325</v>
      </c>
      <c r="D756" s="745">
        <v>0.75</v>
      </c>
      <c r="E756" s="746" t="s">
        <v>1</v>
      </c>
      <c r="F756" s="747">
        <v>3</v>
      </c>
      <c r="G756" s="746" t="s">
        <v>2117</v>
      </c>
      <c r="H756" s="748"/>
      <c r="I756" s="749"/>
      <c r="J756" s="749">
        <v>1.4999999999999999E-2</v>
      </c>
      <c r="K756" s="750" t="s">
        <v>1939</v>
      </c>
    </row>
    <row r="757" spans="1:11" ht="79">
      <c r="B757" s="743">
        <v>45792</v>
      </c>
      <c r="C757" s="744" t="s">
        <v>1325</v>
      </c>
      <c r="D757" s="745">
        <v>0.75694444444444442</v>
      </c>
      <c r="E757" s="746" t="s">
        <v>1</v>
      </c>
      <c r="F757" s="747">
        <v>3</v>
      </c>
      <c r="G757" s="746" t="s">
        <v>1745</v>
      </c>
      <c r="H757" s="748"/>
      <c r="I757" s="749"/>
      <c r="J757" s="749"/>
      <c r="K757" s="750" t="s">
        <v>2118</v>
      </c>
    </row>
    <row r="758" spans="1:11" ht="118">
      <c r="B758" s="743">
        <v>45793</v>
      </c>
      <c r="C758" s="744" t="s">
        <v>39</v>
      </c>
      <c r="D758" s="745">
        <v>0.22222222222222221</v>
      </c>
      <c r="E758" s="746" t="s">
        <v>117</v>
      </c>
      <c r="F758" s="747">
        <v>3</v>
      </c>
      <c r="G758" s="746" t="s">
        <v>2119</v>
      </c>
      <c r="H758" s="748"/>
      <c r="I758" s="749"/>
      <c r="J758" s="749">
        <v>6.0000000000000001E-3</v>
      </c>
      <c r="K758" s="750" t="s">
        <v>2120</v>
      </c>
    </row>
    <row r="759" spans="1:11">
      <c r="B759" s="743">
        <v>45826</v>
      </c>
      <c r="C759" s="744" t="s">
        <v>41</v>
      </c>
      <c r="D759" s="745">
        <v>0.97916666666666663</v>
      </c>
      <c r="E759" s="746" t="s">
        <v>1</v>
      </c>
      <c r="F759" s="746">
        <v>3</v>
      </c>
      <c r="G759" s="746" t="s">
        <v>127</v>
      </c>
      <c r="H759" s="748"/>
      <c r="I759" s="749">
        <v>4.2099999999999999E-2</v>
      </c>
      <c r="J759" s="749">
        <v>4.36E-2</v>
      </c>
      <c r="K759" s="750" t="s">
        <v>562</v>
      </c>
    </row>
    <row r="760" spans="1:11">
      <c r="C760" s="89" t="s">
        <v>2121</v>
      </c>
      <c r="D760" s="89"/>
      <c r="E760" s="89"/>
      <c r="F760" s="89"/>
      <c r="G760" s="89"/>
      <c r="H760" s="89"/>
      <c r="I760" s="754"/>
      <c r="J760" s="754"/>
      <c r="K760" s="755"/>
    </row>
    <row r="761" spans="1:11" ht="40">
      <c r="A761" s="569" t="s">
        <v>105</v>
      </c>
      <c r="B761" s="800">
        <v>45796</v>
      </c>
      <c r="C761" s="744" t="s">
        <v>43</v>
      </c>
      <c r="D761" s="745" t="s">
        <v>1449</v>
      </c>
      <c r="E761" s="746" t="s">
        <v>89</v>
      </c>
      <c r="F761" s="747">
        <v>3</v>
      </c>
      <c r="G761" s="746" t="s">
        <v>2144</v>
      </c>
      <c r="H761" s="748"/>
      <c r="I761" s="749"/>
      <c r="J761" s="749"/>
      <c r="K761" s="750" t="s">
        <v>1963</v>
      </c>
    </row>
    <row r="762" spans="1:11" ht="92">
      <c r="B762" s="800">
        <v>45796</v>
      </c>
      <c r="C762" s="744" t="s">
        <v>43</v>
      </c>
      <c r="D762" s="745">
        <v>0.60416666666666663</v>
      </c>
      <c r="E762" s="746" t="s">
        <v>22</v>
      </c>
      <c r="F762" s="747">
        <v>3</v>
      </c>
      <c r="G762" s="746" t="s">
        <v>2122</v>
      </c>
      <c r="H762" s="748"/>
      <c r="I762" s="749"/>
      <c r="J762" s="749">
        <v>2.1999999999999999E-2</v>
      </c>
      <c r="K762" s="750" t="s">
        <v>1935</v>
      </c>
    </row>
    <row r="763" spans="1:11" ht="92">
      <c r="B763" s="800">
        <v>45797</v>
      </c>
      <c r="C763" s="744" t="s">
        <v>42</v>
      </c>
      <c r="D763" s="745">
        <v>0.41666666666666669</v>
      </c>
      <c r="E763" s="746" t="s">
        <v>357</v>
      </c>
      <c r="F763" s="747">
        <v>3</v>
      </c>
      <c r="G763" s="746" t="s">
        <v>2123</v>
      </c>
      <c r="H763" s="748"/>
      <c r="I763" s="749"/>
      <c r="J763" s="749">
        <v>4.1000000000000002E-2</v>
      </c>
      <c r="K763" s="750" t="s">
        <v>2124</v>
      </c>
    </row>
    <row r="764" spans="1:11" ht="105">
      <c r="B764" s="800">
        <v>45798</v>
      </c>
      <c r="C764" s="744" t="s">
        <v>41</v>
      </c>
      <c r="D764" s="745">
        <v>0.47916666666666669</v>
      </c>
      <c r="E764" s="746" t="s">
        <v>53</v>
      </c>
      <c r="F764" s="747">
        <v>3</v>
      </c>
      <c r="G764" s="746" t="s">
        <v>2125</v>
      </c>
      <c r="H764" s="748"/>
      <c r="I764" s="749"/>
      <c r="J764" s="749">
        <v>2.5999999999999999E-2</v>
      </c>
      <c r="K764" s="750" t="s">
        <v>1672</v>
      </c>
    </row>
    <row r="765" spans="1:11" ht="144">
      <c r="B765" s="800">
        <v>45798</v>
      </c>
      <c r="C765" s="744" t="s">
        <v>41</v>
      </c>
      <c r="D765" s="745">
        <v>0.83333333333333337</v>
      </c>
      <c r="E765" s="746" t="s">
        <v>1</v>
      </c>
      <c r="F765" s="747">
        <v>3</v>
      </c>
      <c r="G765" s="746" t="s">
        <v>1503</v>
      </c>
      <c r="H765" s="748"/>
      <c r="I765" s="749"/>
      <c r="J765" s="749" t="s">
        <v>2126</v>
      </c>
      <c r="K765" s="750" t="s">
        <v>1678</v>
      </c>
    </row>
    <row r="766" spans="1:11" ht="92">
      <c r="B766" s="800">
        <v>45799</v>
      </c>
      <c r="C766" s="744" t="s">
        <v>1325</v>
      </c>
      <c r="D766" s="745">
        <v>0.75</v>
      </c>
      <c r="E766" s="746" t="s">
        <v>1</v>
      </c>
      <c r="F766" s="747">
        <v>3</v>
      </c>
      <c r="G766" s="746" t="s">
        <v>1421</v>
      </c>
      <c r="H766" s="748"/>
      <c r="I766" s="749"/>
      <c r="J766" s="749"/>
      <c r="K766" s="750" t="s">
        <v>1460</v>
      </c>
    </row>
    <row r="767" spans="1:11" ht="144">
      <c r="B767" s="800">
        <v>45799</v>
      </c>
      <c r="C767" s="744" t="s">
        <v>1325</v>
      </c>
      <c r="D767" s="745">
        <v>0.80208333333333337</v>
      </c>
      <c r="E767" s="746" t="s">
        <v>1</v>
      </c>
      <c r="F767" s="747">
        <v>3</v>
      </c>
      <c r="G767" s="746" t="s">
        <v>2132</v>
      </c>
      <c r="H767" s="748"/>
      <c r="I767" s="749"/>
      <c r="J767" s="752">
        <v>50.2</v>
      </c>
      <c r="K767" s="750" t="s">
        <v>2133</v>
      </c>
    </row>
    <row r="768" spans="1:11" ht="118">
      <c r="B768" s="800">
        <v>45799</v>
      </c>
      <c r="C768" s="744" t="s">
        <v>1325</v>
      </c>
      <c r="D768" s="745">
        <v>0.80208333333333337</v>
      </c>
      <c r="E768" s="746" t="s">
        <v>1</v>
      </c>
      <c r="F768" s="747">
        <v>3</v>
      </c>
      <c r="G768" s="746" t="s">
        <v>2134</v>
      </c>
      <c r="H768" s="748"/>
      <c r="I768" s="749"/>
      <c r="J768" s="752">
        <v>50.8</v>
      </c>
      <c r="K768" s="750" t="s">
        <v>1969</v>
      </c>
    </row>
    <row r="769" spans="1:11" ht="118">
      <c r="B769" s="800">
        <v>45799</v>
      </c>
      <c r="C769" s="744" t="s">
        <v>1325</v>
      </c>
      <c r="D769" s="745">
        <v>0.8125</v>
      </c>
      <c r="E769" s="746" t="s">
        <v>1</v>
      </c>
      <c r="F769" s="747">
        <v>3</v>
      </c>
      <c r="G769" s="746" t="s">
        <v>2135</v>
      </c>
      <c r="H769" s="748"/>
      <c r="I769" s="749"/>
      <c r="J769" s="749" t="s">
        <v>2136</v>
      </c>
      <c r="K769" s="750" t="s">
        <v>1976</v>
      </c>
    </row>
    <row r="770" spans="1:11" ht="92">
      <c r="B770" s="800">
        <v>45800</v>
      </c>
      <c r="C770" s="744" t="s">
        <v>39</v>
      </c>
      <c r="D770" s="745">
        <v>0.47916666666666669</v>
      </c>
      <c r="E770" s="746" t="s">
        <v>22</v>
      </c>
      <c r="F770" s="747">
        <v>3</v>
      </c>
      <c r="G770" s="746" t="s">
        <v>2139</v>
      </c>
      <c r="H770" s="748"/>
      <c r="I770" s="749"/>
      <c r="J770" s="749">
        <v>2E-3</v>
      </c>
      <c r="K770" s="750" t="s">
        <v>1618</v>
      </c>
    </row>
    <row r="771" spans="1:11" ht="92">
      <c r="B771" s="800">
        <v>45800</v>
      </c>
      <c r="C771" s="744" t="s">
        <v>39</v>
      </c>
      <c r="D771" s="745">
        <v>0.8125</v>
      </c>
      <c r="E771" s="746" t="s">
        <v>1</v>
      </c>
      <c r="F771" s="747">
        <v>3</v>
      </c>
      <c r="G771" s="746" t="s">
        <v>2140</v>
      </c>
      <c r="H771" s="748"/>
      <c r="I771" s="749"/>
      <c r="J771" s="749" t="s">
        <v>2141</v>
      </c>
      <c r="K771" s="750" t="s">
        <v>1482</v>
      </c>
    </row>
    <row r="772" spans="1:11">
      <c r="B772" s="743">
        <v>45826</v>
      </c>
      <c r="C772" s="744" t="s">
        <v>41</v>
      </c>
      <c r="D772" s="745">
        <v>0.97916666666666663</v>
      </c>
      <c r="E772" s="746" t="s">
        <v>1</v>
      </c>
      <c r="F772" s="746">
        <v>3</v>
      </c>
      <c r="G772" s="746" t="s">
        <v>127</v>
      </c>
      <c r="H772" s="748"/>
      <c r="I772" s="749">
        <v>4.3499999999999997E-2</v>
      </c>
      <c r="J772" s="749">
        <v>4.36E-2</v>
      </c>
      <c r="K772" s="750" t="s">
        <v>562</v>
      </c>
    </row>
    <row r="773" spans="1:11">
      <c r="C773" s="89" t="s">
        <v>2145</v>
      </c>
      <c r="D773" s="89"/>
      <c r="E773" s="89"/>
      <c r="F773" s="89"/>
      <c r="G773" s="89"/>
      <c r="H773" s="89"/>
      <c r="I773" s="754"/>
      <c r="J773" s="754"/>
      <c r="K773" s="755"/>
    </row>
    <row r="774" spans="1:11" ht="40">
      <c r="A774" s="569" t="s">
        <v>105</v>
      </c>
      <c r="B774" s="743">
        <v>45803</v>
      </c>
      <c r="C774" s="801" t="s">
        <v>43</v>
      </c>
      <c r="D774" s="745" t="s">
        <v>1449</v>
      </c>
      <c r="E774" s="746" t="s">
        <v>2146</v>
      </c>
      <c r="F774" s="747">
        <v>3</v>
      </c>
      <c r="G774" s="746" t="s">
        <v>2070</v>
      </c>
      <c r="H774" s="748"/>
      <c r="I774" s="749"/>
      <c r="J774" s="749"/>
      <c r="K774" s="750" t="s">
        <v>1963</v>
      </c>
    </row>
    <row r="775" spans="1:11" ht="40">
      <c r="B775" s="743">
        <v>45803</v>
      </c>
      <c r="C775" s="801" t="s">
        <v>43</v>
      </c>
      <c r="D775" s="745" t="s">
        <v>1449</v>
      </c>
      <c r="E775" s="746" t="s">
        <v>1</v>
      </c>
      <c r="F775" s="747">
        <v>3</v>
      </c>
      <c r="G775" s="746" t="s">
        <v>2147</v>
      </c>
      <c r="H775" s="748"/>
      <c r="I775" s="749"/>
      <c r="J775" s="749"/>
      <c r="K775" s="750" t="s">
        <v>1963</v>
      </c>
    </row>
    <row r="776" spans="1:11" ht="66">
      <c r="B776" s="743">
        <v>45803</v>
      </c>
      <c r="C776" s="801" t="s">
        <v>43</v>
      </c>
      <c r="D776" s="745">
        <v>6.9444444444444441E-3</v>
      </c>
      <c r="E776" s="746" t="s">
        <v>1</v>
      </c>
      <c r="F776" s="747">
        <v>3</v>
      </c>
      <c r="G776" s="746" t="s">
        <v>2148</v>
      </c>
      <c r="H776" s="748"/>
      <c r="I776" s="749"/>
      <c r="J776" s="749"/>
      <c r="K776" s="750" t="s">
        <v>2149</v>
      </c>
    </row>
    <row r="777" spans="1:11" ht="92">
      <c r="B777" s="743">
        <v>45804</v>
      </c>
      <c r="C777" s="801" t="s">
        <v>42</v>
      </c>
      <c r="D777" s="745">
        <v>0.75</v>
      </c>
      <c r="E777" s="746" t="s">
        <v>1</v>
      </c>
      <c r="F777" s="747">
        <v>3</v>
      </c>
      <c r="G777" s="746" t="s">
        <v>2150</v>
      </c>
      <c r="H777" s="748"/>
      <c r="I777" s="749"/>
      <c r="J777" s="749">
        <v>9.1999999999999998E-2</v>
      </c>
      <c r="K777" s="750" t="s">
        <v>1631</v>
      </c>
    </row>
    <row r="778" spans="1:11" ht="105">
      <c r="B778" s="743">
        <v>45804</v>
      </c>
      <c r="C778" s="801" t="s">
        <v>42</v>
      </c>
      <c r="D778" s="745">
        <v>0.8125</v>
      </c>
      <c r="E778" s="746" t="s">
        <v>1</v>
      </c>
      <c r="F778" s="747">
        <v>3</v>
      </c>
      <c r="G778" s="746" t="s">
        <v>2151</v>
      </c>
      <c r="H778" s="748"/>
      <c r="I778" s="749"/>
      <c r="J778" s="752">
        <v>86</v>
      </c>
      <c r="K778" s="750" t="s">
        <v>2152</v>
      </c>
    </row>
    <row r="779" spans="1:11" ht="131">
      <c r="B779" s="743">
        <v>45805</v>
      </c>
      <c r="C779" s="801" t="s">
        <v>41</v>
      </c>
      <c r="D779" s="745">
        <v>0.3125</v>
      </c>
      <c r="E779" s="746" t="s">
        <v>49</v>
      </c>
      <c r="F779" s="747">
        <v>3</v>
      </c>
      <c r="G779" s="746" t="s">
        <v>1897</v>
      </c>
      <c r="H779" s="748"/>
      <c r="I779" s="749"/>
      <c r="J779" s="749">
        <v>3.5000000000000003E-2</v>
      </c>
      <c r="K779" s="750" t="s">
        <v>2153</v>
      </c>
    </row>
    <row r="780" spans="1:11" ht="92">
      <c r="B780" s="743">
        <v>45805</v>
      </c>
      <c r="C780" s="801" t="s">
        <v>41</v>
      </c>
      <c r="D780" s="745">
        <v>0.97916666666666663</v>
      </c>
      <c r="E780" s="746" t="s">
        <v>1</v>
      </c>
      <c r="F780" s="747">
        <v>3</v>
      </c>
      <c r="G780" s="746" t="s">
        <v>1902</v>
      </c>
      <c r="H780" s="748"/>
      <c r="I780" s="749"/>
      <c r="J780" s="749"/>
      <c r="K780" s="750" t="s">
        <v>2154</v>
      </c>
    </row>
    <row r="781" spans="1:11" ht="40">
      <c r="B781" s="743">
        <v>45806</v>
      </c>
      <c r="C781" s="801" t="s">
        <v>1325</v>
      </c>
      <c r="D781" s="745" t="s">
        <v>1449</v>
      </c>
      <c r="E781" s="746" t="s">
        <v>270</v>
      </c>
      <c r="F781" s="747">
        <v>3</v>
      </c>
      <c r="G781" s="746" t="s">
        <v>2155</v>
      </c>
      <c r="H781" s="748"/>
      <c r="I781" s="749"/>
      <c r="J781" s="749"/>
      <c r="K781" s="750" t="s">
        <v>1963</v>
      </c>
    </row>
    <row r="782" spans="1:11" ht="40">
      <c r="B782" s="743">
        <v>45806</v>
      </c>
      <c r="C782" s="801" t="s">
        <v>1325</v>
      </c>
      <c r="D782" s="745" t="s">
        <v>1449</v>
      </c>
      <c r="E782" s="746" t="s">
        <v>1928</v>
      </c>
      <c r="F782" s="747">
        <v>3</v>
      </c>
      <c r="G782" s="746" t="s">
        <v>2156</v>
      </c>
      <c r="H782" s="748"/>
      <c r="I782" s="749"/>
      <c r="J782" s="749"/>
      <c r="K782" s="750" t="s">
        <v>1963</v>
      </c>
    </row>
    <row r="783" spans="1:11" ht="66">
      <c r="B783" s="743">
        <v>45806</v>
      </c>
      <c r="C783" s="801" t="s">
        <v>1325</v>
      </c>
      <c r="D783" s="745">
        <v>6.25E-2</v>
      </c>
      <c r="E783" s="746" t="s">
        <v>1</v>
      </c>
      <c r="F783" s="747">
        <v>3</v>
      </c>
      <c r="G783" s="746" t="s">
        <v>2157</v>
      </c>
      <c r="H783" s="748"/>
      <c r="I783" s="752">
        <v>0.89</v>
      </c>
      <c r="J783" s="752">
        <v>0.57999999999999996</v>
      </c>
      <c r="K783" s="750" t="s">
        <v>2158</v>
      </c>
    </row>
    <row r="784" spans="1:11" ht="105">
      <c r="B784" s="743">
        <v>45806</v>
      </c>
      <c r="C784" s="801" t="s">
        <v>1325</v>
      </c>
      <c r="D784" s="745">
        <v>0.75</v>
      </c>
      <c r="E784" s="746" t="s">
        <v>1</v>
      </c>
      <c r="F784" s="747">
        <v>3</v>
      </c>
      <c r="G784" s="746" t="s">
        <v>2159</v>
      </c>
      <c r="H784" s="748"/>
      <c r="I784" s="749">
        <v>-3.0000000000000001E-3</v>
      </c>
      <c r="J784" s="749">
        <v>2.4E-2</v>
      </c>
      <c r="K784" s="750" t="s">
        <v>2160</v>
      </c>
    </row>
    <row r="785" spans="1:11" ht="79">
      <c r="B785" s="743">
        <v>45806</v>
      </c>
      <c r="C785" s="801" t="s">
        <v>1325</v>
      </c>
      <c r="D785" s="745">
        <v>0.75</v>
      </c>
      <c r="E785" s="746" t="s">
        <v>1</v>
      </c>
      <c r="F785" s="747">
        <v>3</v>
      </c>
      <c r="G785" s="746" t="s">
        <v>1459</v>
      </c>
      <c r="H785" s="748"/>
      <c r="I785" s="749"/>
      <c r="J785" s="749"/>
      <c r="K785" s="750" t="s">
        <v>2161</v>
      </c>
    </row>
    <row r="786" spans="1:11" ht="144">
      <c r="B786" s="743">
        <v>45806</v>
      </c>
      <c r="C786" s="801" t="s">
        <v>1325</v>
      </c>
      <c r="D786" s="745">
        <v>0.85416666666666663</v>
      </c>
      <c r="E786" s="746" t="s">
        <v>1</v>
      </c>
      <c r="F786" s="747">
        <v>3</v>
      </c>
      <c r="G786" s="746" t="s">
        <v>1461</v>
      </c>
      <c r="H786" s="748"/>
      <c r="I786" s="749"/>
      <c r="J786" s="749" t="s">
        <v>2162</v>
      </c>
      <c r="K786" s="750" t="s">
        <v>1678</v>
      </c>
    </row>
    <row r="787" spans="1:11" ht="118">
      <c r="B787" s="743">
        <v>45807</v>
      </c>
      <c r="C787" s="801" t="s">
        <v>39</v>
      </c>
      <c r="D787" s="745">
        <v>0.72916666666666663</v>
      </c>
      <c r="E787" s="746" t="s">
        <v>22</v>
      </c>
      <c r="F787" s="747">
        <v>3</v>
      </c>
      <c r="G787" s="746" t="s">
        <v>2163</v>
      </c>
      <c r="H787" s="748"/>
      <c r="I787" s="749"/>
      <c r="J787" s="749">
        <v>4.0000000000000001E-3</v>
      </c>
      <c r="K787" s="750" t="s">
        <v>2164</v>
      </c>
    </row>
    <row r="788" spans="1:11" ht="131">
      <c r="B788" s="743">
        <v>45807</v>
      </c>
      <c r="C788" s="801" t="s">
        <v>39</v>
      </c>
      <c r="D788" s="745">
        <v>0.75</v>
      </c>
      <c r="E788" s="746" t="s">
        <v>1</v>
      </c>
      <c r="F788" s="747">
        <v>3</v>
      </c>
      <c r="G788" s="746" t="s">
        <v>2165</v>
      </c>
      <c r="H788" s="748"/>
      <c r="I788" s="749"/>
      <c r="J788" s="749">
        <v>0</v>
      </c>
      <c r="K788" s="750" t="s">
        <v>2166</v>
      </c>
    </row>
    <row r="789" spans="1:11" ht="105">
      <c r="B789" s="743">
        <v>45807</v>
      </c>
      <c r="C789" s="801" t="s">
        <v>39</v>
      </c>
      <c r="D789" s="745">
        <v>0.75</v>
      </c>
      <c r="E789" s="746" t="s">
        <v>1</v>
      </c>
      <c r="F789" s="747">
        <v>3</v>
      </c>
      <c r="G789" s="746" t="s">
        <v>2167</v>
      </c>
      <c r="H789" s="748"/>
      <c r="I789" s="749"/>
      <c r="J789" s="749">
        <v>2.5999999999999999E-2</v>
      </c>
      <c r="K789" s="750" t="s">
        <v>2168</v>
      </c>
    </row>
    <row r="790" spans="1:11" ht="157">
      <c r="B790" s="743">
        <v>45807</v>
      </c>
      <c r="C790" s="801" t="s">
        <v>39</v>
      </c>
      <c r="D790" s="745">
        <v>0.80208333333333337</v>
      </c>
      <c r="E790" s="746" t="s">
        <v>1</v>
      </c>
      <c r="F790" s="747">
        <v>3</v>
      </c>
      <c r="G790" s="746" t="s">
        <v>2169</v>
      </c>
      <c r="H790" s="748"/>
      <c r="I790" s="749"/>
      <c r="J790" s="759">
        <v>44.6</v>
      </c>
      <c r="K790" s="750" t="s">
        <v>2170</v>
      </c>
    </row>
    <row r="791" spans="1:11" ht="40">
      <c r="B791" s="743">
        <v>45808</v>
      </c>
      <c r="C791" s="801" t="s">
        <v>38</v>
      </c>
      <c r="D791" s="745" t="s">
        <v>1449</v>
      </c>
      <c r="E791" s="746" t="s">
        <v>1495</v>
      </c>
      <c r="F791" s="747">
        <v>3</v>
      </c>
      <c r="G791" s="746" t="s">
        <v>2171</v>
      </c>
      <c r="H791" s="748"/>
      <c r="I791" s="749"/>
      <c r="J791" s="759"/>
      <c r="K791" s="750" t="s">
        <v>1963</v>
      </c>
    </row>
    <row r="792" spans="1:11" ht="157">
      <c r="B792" s="743">
        <v>45808</v>
      </c>
      <c r="C792" s="801" t="s">
        <v>38</v>
      </c>
      <c r="D792" s="745">
        <v>0.29166666666666669</v>
      </c>
      <c r="E792" s="746" t="s">
        <v>65</v>
      </c>
      <c r="F792" s="747">
        <v>3</v>
      </c>
      <c r="G792" s="746" t="s">
        <v>2172</v>
      </c>
      <c r="H792" s="748"/>
      <c r="I792" s="749"/>
      <c r="J792" s="759">
        <v>49</v>
      </c>
      <c r="K792" s="750" t="s">
        <v>2173</v>
      </c>
    </row>
    <row r="793" spans="1:11">
      <c r="B793" s="743">
        <v>45826</v>
      </c>
      <c r="C793" s="801" t="s">
        <v>41</v>
      </c>
      <c r="D793" s="745">
        <v>0.97916666666666663</v>
      </c>
      <c r="E793" s="746" t="s">
        <v>1</v>
      </c>
      <c r="F793" s="746">
        <v>3</v>
      </c>
      <c r="G793" s="746" t="s">
        <v>127</v>
      </c>
      <c r="H793" s="748"/>
      <c r="I793" s="749">
        <v>4.36E-2</v>
      </c>
      <c r="J793" s="749">
        <v>4.36E-2</v>
      </c>
      <c r="K793" s="750" t="s">
        <v>562</v>
      </c>
    </row>
    <row r="794" spans="1:11" ht="40">
      <c r="A794" s="569" t="s">
        <v>105</v>
      </c>
      <c r="B794" s="743">
        <v>45810</v>
      </c>
      <c r="C794" s="801" t="s">
        <v>43</v>
      </c>
      <c r="D794" s="745" t="s">
        <v>1449</v>
      </c>
      <c r="E794" s="746" t="s">
        <v>49</v>
      </c>
      <c r="F794" s="747">
        <v>3</v>
      </c>
      <c r="G794" s="746" t="s">
        <v>2185</v>
      </c>
      <c r="H794" s="748"/>
      <c r="I794" s="749"/>
      <c r="J794" s="749"/>
      <c r="K794" s="750" t="s">
        <v>1963</v>
      </c>
    </row>
    <row r="795" spans="1:11" ht="40">
      <c r="B795" s="743">
        <v>45810</v>
      </c>
      <c r="C795" s="801" t="s">
        <v>43</v>
      </c>
      <c r="D795" s="745" t="s">
        <v>1449</v>
      </c>
      <c r="E795" s="746" t="s">
        <v>65</v>
      </c>
      <c r="F795" s="747">
        <v>3</v>
      </c>
      <c r="G795" s="746" t="s">
        <v>2186</v>
      </c>
      <c r="H795" s="748"/>
      <c r="I795" s="749"/>
      <c r="J795" s="749"/>
      <c r="K795" s="750" t="s">
        <v>1963</v>
      </c>
    </row>
    <row r="796" spans="1:11" ht="131">
      <c r="B796" s="743">
        <v>45810</v>
      </c>
      <c r="C796" s="801" t="s">
        <v>43</v>
      </c>
      <c r="D796" s="745">
        <v>0.80208333333333337</v>
      </c>
      <c r="E796" s="746" t="s">
        <v>1</v>
      </c>
      <c r="F796" s="747">
        <v>3</v>
      </c>
      <c r="G796" s="746" t="s">
        <v>2187</v>
      </c>
      <c r="H796" s="748"/>
      <c r="I796" s="759">
        <v>52.3</v>
      </c>
      <c r="J796" s="759">
        <v>50.2</v>
      </c>
      <c r="K796" s="750" t="s">
        <v>1967</v>
      </c>
    </row>
    <row r="797" spans="1:11" ht="196">
      <c r="B797" s="743">
        <v>45810</v>
      </c>
      <c r="C797" s="801" t="s">
        <v>43</v>
      </c>
      <c r="D797" s="745">
        <v>0.8125</v>
      </c>
      <c r="E797" s="746" t="s">
        <v>1</v>
      </c>
      <c r="F797" s="747">
        <v>3</v>
      </c>
      <c r="G797" s="746" t="s">
        <v>2188</v>
      </c>
      <c r="H797" s="748"/>
      <c r="I797" s="759">
        <v>49.3</v>
      </c>
      <c r="J797" s="759">
        <v>48.7</v>
      </c>
      <c r="K797" s="750" t="s">
        <v>2189</v>
      </c>
    </row>
    <row r="798" spans="1:11" ht="357">
      <c r="B798" s="743">
        <v>45810</v>
      </c>
      <c r="C798" s="801" t="s">
        <v>43</v>
      </c>
      <c r="D798" s="745">
        <v>0.8125</v>
      </c>
      <c r="E798" s="746" t="s">
        <v>1</v>
      </c>
      <c r="F798" s="747">
        <v>3</v>
      </c>
      <c r="G798" s="746" t="s">
        <v>2190</v>
      </c>
      <c r="H798" s="748"/>
      <c r="I798" s="759">
        <v>70.2</v>
      </c>
      <c r="J798" s="759">
        <v>69.8</v>
      </c>
      <c r="K798" s="750" t="s">
        <v>2191</v>
      </c>
    </row>
    <row r="799" spans="1:11" ht="66">
      <c r="B799" s="743">
        <v>45810</v>
      </c>
      <c r="C799" s="801" t="s">
        <v>43</v>
      </c>
      <c r="D799" s="745">
        <v>0.9375</v>
      </c>
      <c r="E799" s="746" t="s">
        <v>1</v>
      </c>
      <c r="F799" s="747">
        <v>3</v>
      </c>
      <c r="G799" s="746" t="s">
        <v>1745</v>
      </c>
      <c r="H799" s="748"/>
      <c r="I799" s="759"/>
      <c r="J799" s="759"/>
      <c r="K799" s="750" t="s">
        <v>2149</v>
      </c>
    </row>
    <row r="800" spans="1:11" ht="40">
      <c r="B800" s="743">
        <v>45811</v>
      </c>
      <c r="C800" s="801" t="s">
        <v>42</v>
      </c>
      <c r="D800" s="745" t="s">
        <v>1449</v>
      </c>
      <c r="E800" s="746" t="s">
        <v>1485</v>
      </c>
      <c r="F800" s="747">
        <v>3</v>
      </c>
      <c r="G800" s="746" t="s">
        <v>2192</v>
      </c>
      <c r="H800" s="748"/>
      <c r="I800" s="759"/>
      <c r="J800" s="759"/>
      <c r="K800" s="750" t="s">
        <v>1963</v>
      </c>
    </row>
    <row r="801" spans="2:11" ht="92">
      <c r="B801" s="743">
        <v>45811</v>
      </c>
      <c r="C801" s="801" t="s">
        <v>42</v>
      </c>
      <c r="D801" s="745">
        <v>0.60416666666666663</v>
      </c>
      <c r="E801" s="746" t="s">
        <v>22</v>
      </c>
      <c r="F801" s="747">
        <v>3</v>
      </c>
      <c r="G801" s="746" t="s">
        <v>2193</v>
      </c>
      <c r="H801" s="748"/>
      <c r="I801" s="806">
        <v>0.02</v>
      </c>
      <c r="J801" s="806">
        <v>2.1999999999999999E-2</v>
      </c>
      <c r="K801" s="750" t="s">
        <v>1935</v>
      </c>
    </row>
    <row r="802" spans="2:11" ht="144">
      <c r="B802" s="743">
        <v>45811</v>
      </c>
      <c r="C802" s="801" t="s">
        <v>42</v>
      </c>
      <c r="D802" s="745">
        <v>0.8125</v>
      </c>
      <c r="E802" s="746" t="s">
        <v>1</v>
      </c>
      <c r="F802" s="747">
        <v>3</v>
      </c>
      <c r="G802" s="746" t="s">
        <v>2194</v>
      </c>
      <c r="H802" s="748"/>
      <c r="I802" s="759"/>
      <c r="J802" s="759" t="s">
        <v>2195</v>
      </c>
      <c r="K802" s="750" t="s">
        <v>2015</v>
      </c>
    </row>
    <row r="803" spans="2:11" ht="105">
      <c r="B803" s="743">
        <v>45812</v>
      </c>
      <c r="C803" s="801" t="s">
        <v>41</v>
      </c>
      <c r="D803" s="745">
        <v>0.73958333333333337</v>
      </c>
      <c r="E803" s="746" t="s">
        <v>1</v>
      </c>
      <c r="F803" s="747">
        <v>3</v>
      </c>
      <c r="G803" s="746" t="s">
        <v>2196</v>
      </c>
      <c r="H803" s="748"/>
      <c r="I803" s="759" t="s">
        <v>2197</v>
      </c>
      <c r="J803" s="759" t="s">
        <v>2198</v>
      </c>
      <c r="K803" s="750" t="s">
        <v>2199</v>
      </c>
    </row>
    <row r="804" spans="2:11" ht="118">
      <c r="B804" s="743">
        <v>45812</v>
      </c>
      <c r="C804" s="801" t="s">
        <v>41</v>
      </c>
      <c r="D804" s="745">
        <v>0.80208333333333337</v>
      </c>
      <c r="E804" s="746" t="s">
        <v>1</v>
      </c>
      <c r="F804" s="747">
        <v>3</v>
      </c>
      <c r="G804" s="746" t="s">
        <v>2200</v>
      </c>
      <c r="H804" s="748"/>
      <c r="I804" s="759">
        <v>52.3</v>
      </c>
      <c r="J804" s="759">
        <v>50.8</v>
      </c>
      <c r="K804" s="750" t="s">
        <v>1969</v>
      </c>
    </row>
    <row r="805" spans="2:11" ht="118">
      <c r="B805" s="743">
        <v>45812</v>
      </c>
      <c r="C805" s="801" t="s">
        <v>41</v>
      </c>
      <c r="D805" s="745">
        <v>0.80208333333333337</v>
      </c>
      <c r="E805" s="746" t="s">
        <v>89</v>
      </c>
      <c r="F805" s="747">
        <v>3</v>
      </c>
      <c r="G805" s="746" t="s">
        <v>1501</v>
      </c>
      <c r="H805" s="748"/>
      <c r="I805" s="807">
        <v>2.5000000000000001E-2</v>
      </c>
      <c r="J805" s="807">
        <v>2.75E-2</v>
      </c>
      <c r="K805" s="750" t="s">
        <v>2201</v>
      </c>
    </row>
    <row r="806" spans="2:11" ht="222">
      <c r="B806" s="743">
        <v>45812</v>
      </c>
      <c r="C806" s="801" t="s">
        <v>41</v>
      </c>
      <c r="D806" s="745">
        <v>0.8125</v>
      </c>
      <c r="E806" s="746" t="s">
        <v>1</v>
      </c>
      <c r="F806" s="747">
        <v>3</v>
      </c>
      <c r="G806" s="746" t="s">
        <v>2202</v>
      </c>
      <c r="H806" s="748"/>
      <c r="I806" s="759">
        <v>52</v>
      </c>
      <c r="J806" s="759">
        <v>51.6</v>
      </c>
      <c r="K806" s="750" t="s">
        <v>2203</v>
      </c>
    </row>
    <row r="807" spans="2:11" ht="222">
      <c r="B807" s="743">
        <v>45812</v>
      </c>
      <c r="C807" s="801" t="s">
        <v>41</v>
      </c>
      <c r="D807" s="745">
        <v>0.8125</v>
      </c>
      <c r="E807" s="746" t="s">
        <v>1</v>
      </c>
      <c r="F807" s="747">
        <v>3</v>
      </c>
      <c r="G807" s="746" t="s">
        <v>2204</v>
      </c>
      <c r="H807" s="748"/>
      <c r="I807" s="759"/>
      <c r="J807" s="759">
        <v>65.099999999999994</v>
      </c>
      <c r="K807" s="750" t="s">
        <v>2205</v>
      </c>
    </row>
    <row r="808" spans="2:11" ht="144">
      <c r="B808" s="743">
        <v>45812</v>
      </c>
      <c r="C808" s="801" t="s">
        <v>41</v>
      </c>
      <c r="D808" s="745">
        <v>0.83333333333333337</v>
      </c>
      <c r="E808" s="746" t="s">
        <v>1</v>
      </c>
      <c r="F808" s="747">
        <v>3</v>
      </c>
      <c r="G808" s="746" t="s">
        <v>1503</v>
      </c>
      <c r="H808" s="748"/>
      <c r="I808" s="759"/>
      <c r="J808" s="808" t="s">
        <v>2206</v>
      </c>
      <c r="K808" s="750" t="s">
        <v>1678</v>
      </c>
    </row>
    <row r="809" spans="2:11" ht="53">
      <c r="B809" s="743">
        <v>45813</v>
      </c>
      <c r="C809" s="801" t="s">
        <v>1325</v>
      </c>
      <c r="D809" s="745">
        <v>0.73958333333333337</v>
      </c>
      <c r="E809" s="746" t="s">
        <v>22</v>
      </c>
      <c r="F809" s="747">
        <v>3</v>
      </c>
      <c r="G809" s="746" t="s">
        <v>2207</v>
      </c>
      <c r="H809" s="748"/>
      <c r="I809" s="807">
        <v>0.02</v>
      </c>
      <c r="J809" s="807">
        <v>2.2499999999999999E-2</v>
      </c>
      <c r="K809" s="750" t="s">
        <v>2208</v>
      </c>
    </row>
    <row r="810" spans="2:11" ht="131">
      <c r="B810" s="743">
        <v>45813</v>
      </c>
      <c r="C810" s="801" t="s">
        <v>1325</v>
      </c>
      <c r="D810" s="745">
        <v>0.73958333333333337</v>
      </c>
      <c r="E810" s="746" t="s">
        <v>22</v>
      </c>
      <c r="F810" s="747">
        <v>3</v>
      </c>
      <c r="G810" s="746" t="s">
        <v>2209</v>
      </c>
      <c r="H810" s="748"/>
      <c r="I810" s="807">
        <v>2.1499999999999998E-2</v>
      </c>
      <c r="J810" s="807">
        <v>2.4E-2</v>
      </c>
      <c r="K810" s="750" t="s">
        <v>2210</v>
      </c>
    </row>
    <row r="811" spans="2:11" ht="92">
      <c r="B811" s="743">
        <v>45813</v>
      </c>
      <c r="C811" s="801" t="s">
        <v>1325</v>
      </c>
      <c r="D811" s="745">
        <v>0.75</v>
      </c>
      <c r="E811" s="746" t="s">
        <v>1</v>
      </c>
      <c r="F811" s="747">
        <v>3</v>
      </c>
      <c r="G811" s="746" t="s">
        <v>1421</v>
      </c>
      <c r="H811" s="748"/>
      <c r="I811" s="807" t="s">
        <v>223</v>
      </c>
      <c r="J811" s="807" t="s">
        <v>2211</v>
      </c>
      <c r="K811" s="750" t="s">
        <v>2212</v>
      </c>
    </row>
    <row r="812" spans="2:11" ht="131">
      <c r="B812" s="743">
        <v>45813</v>
      </c>
      <c r="C812" s="801" t="s">
        <v>1325</v>
      </c>
      <c r="D812" s="745">
        <v>0.76041666666666663</v>
      </c>
      <c r="E812" s="746" t="s">
        <v>22</v>
      </c>
      <c r="F812" s="747">
        <v>3</v>
      </c>
      <c r="G812" s="746" t="s">
        <v>1519</v>
      </c>
      <c r="H812" s="748"/>
      <c r="I812" s="759"/>
      <c r="J812" s="807"/>
      <c r="K812" s="750" t="s">
        <v>2213</v>
      </c>
    </row>
    <row r="813" spans="2:11" ht="40">
      <c r="B813" s="743">
        <v>45814</v>
      </c>
      <c r="C813" s="801" t="s">
        <v>39</v>
      </c>
      <c r="D813" s="745" t="s">
        <v>1449</v>
      </c>
      <c r="E813" s="746" t="s">
        <v>1485</v>
      </c>
      <c r="F813" s="747">
        <v>3</v>
      </c>
      <c r="G813" s="746" t="s">
        <v>2214</v>
      </c>
      <c r="H813" s="748"/>
      <c r="I813" s="759"/>
      <c r="J813" s="807"/>
      <c r="K813" s="750" t="s">
        <v>1963</v>
      </c>
    </row>
    <row r="814" spans="2:11" ht="40">
      <c r="B814" s="743">
        <v>45814</v>
      </c>
      <c r="C814" s="801" t="s">
        <v>39</v>
      </c>
      <c r="D814" s="745" t="s">
        <v>1449</v>
      </c>
      <c r="E814" s="746" t="s">
        <v>1492</v>
      </c>
      <c r="F814" s="747">
        <v>3</v>
      </c>
      <c r="G814" s="746" t="s">
        <v>2215</v>
      </c>
      <c r="H814" s="748"/>
      <c r="I814" s="759"/>
      <c r="J814" s="807"/>
      <c r="K814" s="750" t="s">
        <v>1963</v>
      </c>
    </row>
    <row r="815" spans="2:11" ht="105">
      <c r="B815" s="743">
        <v>45814</v>
      </c>
      <c r="C815" s="801" t="s">
        <v>39</v>
      </c>
      <c r="D815" s="745">
        <v>0.75</v>
      </c>
      <c r="E815" s="746" t="s">
        <v>1</v>
      </c>
      <c r="F815" s="747">
        <v>3</v>
      </c>
      <c r="G815" s="746" t="s">
        <v>2216</v>
      </c>
      <c r="H815" s="748"/>
      <c r="I815" s="807">
        <v>3.0000000000000001E-3</v>
      </c>
      <c r="J815" s="807">
        <v>2E-3</v>
      </c>
      <c r="K815" s="750" t="s">
        <v>2051</v>
      </c>
    </row>
    <row r="816" spans="2:11" ht="105">
      <c r="B816" s="743">
        <v>45814</v>
      </c>
      <c r="C816" s="801" t="s">
        <v>39</v>
      </c>
      <c r="D816" s="745">
        <v>0.75</v>
      </c>
      <c r="E816" s="746" t="s">
        <v>1</v>
      </c>
      <c r="F816" s="747">
        <v>3</v>
      </c>
      <c r="G816" s="746" t="s">
        <v>2217</v>
      </c>
      <c r="H816" s="748"/>
      <c r="I816" s="807" t="s">
        <v>2218</v>
      </c>
      <c r="J816" s="807" t="s">
        <v>2219</v>
      </c>
      <c r="K816" s="750" t="s">
        <v>2053</v>
      </c>
    </row>
    <row r="817" spans="1:11" ht="118">
      <c r="B817" s="743">
        <v>45814</v>
      </c>
      <c r="C817" s="801" t="s">
        <v>39</v>
      </c>
      <c r="D817" s="745">
        <v>0.75</v>
      </c>
      <c r="E817" s="746" t="s">
        <v>1</v>
      </c>
      <c r="F817" s="747">
        <v>3</v>
      </c>
      <c r="G817" s="746" t="s">
        <v>2220</v>
      </c>
      <c r="H817" s="748"/>
      <c r="I817" s="807">
        <v>4.2000000000000003E-2</v>
      </c>
      <c r="J817" s="807">
        <v>4.2000000000000003E-2</v>
      </c>
      <c r="K817" s="750" t="s">
        <v>2221</v>
      </c>
    </row>
    <row r="818" spans="1:11">
      <c r="B818" s="743">
        <v>45826</v>
      </c>
      <c r="C818" s="801" t="s">
        <v>41</v>
      </c>
      <c r="D818" s="745">
        <v>0.97916666666666663</v>
      </c>
      <c r="E818" s="746" t="s">
        <v>1</v>
      </c>
      <c r="F818" s="746">
        <v>3</v>
      </c>
      <c r="G818" s="746" t="s">
        <v>127</v>
      </c>
      <c r="H818" s="748"/>
      <c r="I818" s="749">
        <v>4.3700000000000003E-2</v>
      </c>
      <c r="J818" s="749">
        <v>4.36E-2</v>
      </c>
      <c r="K818" s="750" t="s">
        <v>562</v>
      </c>
    </row>
    <row r="819" spans="1:11">
      <c r="B819" s="89" t="s">
        <v>2222</v>
      </c>
      <c r="C819" s="89"/>
      <c r="D819" s="89"/>
      <c r="E819" s="89"/>
      <c r="F819" s="89"/>
      <c r="G819" s="89"/>
      <c r="H819" s="89"/>
      <c r="I819" s="754"/>
      <c r="J819" s="754"/>
      <c r="K819" s="755"/>
    </row>
    <row r="820" spans="1:11" ht="40">
      <c r="A820" s="569" t="s">
        <v>105</v>
      </c>
      <c r="B820" s="743">
        <v>45817</v>
      </c>
      <c r="C820" s="801" t="s">
        <v>43</v>
      </c>
      <c r="D820" s="745" t="s">
        <v>1449</v>
      </c>
      <c r="E820" s="746" t="s">
        <v>357</v>
      </c>
      <c r="F820" s="747">
        <v>3</v>
      </c>
      <c r="G820" s="746" t="s">
        <v>2246</v>
      </c>
      <c r="H820" s="748"/>
      <c r="I820" s="749"/>
      <c r="J820" s="749"/>
      <c r="K820" s="750" t="s">
        <v>1963</v>
      </c>
    </row>
    <row r="821" spans="1:11" ht="40">
      <c r="B821" s="743">
        <v>45817</v>
      </c>
      <c r="C821" s="801" t="s">
        <v>43</v>
      </c>
      <c r="D821" s="745" t="s">
        <v>1449</v>
      </c>
      <c r="E821" s="746" t="s">
        <v>270</v>
      </c>
      <c r="F821" s="747">
        <v>3</v>
      </c>
      <c r="G821" s="746" t="s">
        <v>2247</v>
      </c>
      <c r="H821" s="748"/>
      <c r="I821" s="749"/>
      <c r="J821" s="749"/>
      <c r="K821" s="750" t="s">
        <v>1963</v>
      </c>
    </row>
    <row r="822" spans="1:11" ht="40">
      <c r="B822" s="743">
        <v>45817</v>
      </c>
      <c r="C822" s="801" t="s">
        <v>43</v>
      </c>
      <c r="D822" s="745" t="s">
        <v>1449</v>
      </c>
      <c r="E822" s="746" t="s">
        <v>1928</v>
      </c>
      <c r="F822" s="747">
        <v>3</v>
      </c>
      <c r="G822" s="746" t="s">
        <v>2248</v>
      </c>
      <c r="H822" s="748"/>
      <c r="I822" s="759"/>
      <c r="J822" s="759"/>
      <c r="K822" s="750" t="s">
        <v>1963</v>
      </c>
    </row>
    <row r="823" spans="1:11" ht="92">
      <c r="B823" s="743">
        <v>45817</v>
      </c>
      <c r="C823" s="801" t="s">
        <v>43</v>
      </c>
      <c r="D823" s="745">
        <v>0.22222222222222221</v>
      </c>
      <c r="E823" s="746" t="s">
        <v>117</v>
      </c>
      <c r="F823" s="747">
        <v>3</v>
      </c>
      <c r="G823" s="746" t="s">
        <v>2119</v>
      </c>
      <c r="H823" s="748"/>
      <c r="I823" s="807">
        <v>-2E-3</v>
      </c>
      <c r="J823" s="807">
        <v>6.0000000000000001E-3</v>
      </c>
      <c r="K823" s="750" t="s">
        <v>2249</v>
      </c>
    </row>
    <row r="824" spans="1:11" ht="118">
      <c r="B824" s="743">
        <v>45819</v>
      </c>
      <c r="C824" s="801" t="s">
        <v>41</v>
      </c>
      <c r="D824" s="745">
        <v>0.75</v>
      </c>
      <c r="E824" s="746" t="s">
        <v>1</v>
      </c>
      <c r="F824" s="747">
        <v>3</v>
      </c>
      <c r="G824" s="746" t="s">
        <v>2250</v>
      </c>
      <c r="H824" s="748"/>
      <c r="I824" s="807"/>
      <c r="J824" s="807">
        <v>2E-3</v>
      </c>
      <c r="K824" s="750" t="s">
        <v>1907</v>
      </c>
    </row>
    <row r="825" spans="1:11" ht="92">
      <c r="B825" s="743">
        <v>45819</v>
      </c>
      <c r="C825" s="801" t="s">
        <v>41</v>
      </c>
      <c r="D825" s="745">
        <v>0.75</v>
      </c>
      <c r="E825" s="746" t="s">
        <v>1</v>
      </c>
      <c r="F825" s="747">
        <v>3</v>
      </c>
      <c r="G825" s="746" t="s">
        <v>2251</v>
      </c>
      <c r="H825" s="748"/>
      <c r="I825" s="807"/>
      <c r="J825" s="807">
        <v>2E-3</v>
      </c>
      <c r="K825" s="750" t="s">
        <v>1911</v>
      </c>
    </row>
    <row r="826" spans="1:11" ht="92">
      <c r="B826" s="743">
        <v>45819</v>
      </c>
      <c r="C826" s="801" t="s">
        <v>41</v>
      </c>
      <c r="D826" s="745">
        <v>0.75</v>
      </c>
      <c r="E826" s="746" t="s">
        <v>1</v>
      </c>
      <c r="F826" s="747">
        <v>3</v>
      </c>
      <c r="G826" s="746" t="s">
        <v>2252</v>
      </c>
      <c r="H826" s="748"/>
      <c r="I826" s="807"/>
      <c r="J826" s="807">
        <v>2.3E-2</v>
      </c>
      <c r="K826" s="750" t="s">
        <v>1911</v>
      </c>
    </row>
    <row r="827" spans="1:11" ht="144">
      <c r="B827" s="743">
        <v>45819</v>
      </c>
      <c r="C827" s="801" t="s">
        <v>41</v>
      </c>
      <c r="D827" s="745">
        <v>0.83333333333333337</v>
      </c>
      <c r="E827" s="746" t="s">
        <v>1</v>
      </c>
      <c r="F827" s="747">
        <v>3</v>
      </c>
      <c r="G827" s="746" t="s">
        <v>1503</v>
      </c>
      <c r="H827" s="748"/>
      <c r="I827" s="806"/>
      <c r="J827" s="959" t="s">
        <v>2253</v>
      </c>
      <c r="K827" s="750" t="s">
        <v>2254</v>
      </c>
    </row>
    <row r="828" spans="1:11" ht="144">
      <c r="B828" s="743">
        <v>45819</v>
      </c>
      <c r="C828" s="801" t="s">
        <v>41</v>
      </c>
      <c r="D828" s="745">
        <v>0.9375</v>
      </c>
      <c r="E828" s="746" t="s">
        <v>1</v>
      </c>
      <c r="F828" s="747">
        <v>3</v>
      </c>
      <c r="G828" s="746" t="s">
        <v>1900</v>
      </c>
      <c r="H828" s="748"/>
      <c r="I828" s="806"/>
      <c r="J828" s="806">
        <v>4.342E-2</v>
      </c>
      <c r="K828" s="750" t="s">
        <v>2254</v>
      </c>
    </row>
    <row r="829" spans="1:11" ht="79">
      <c r="B829" s="743">
        <v>45820</v>
      </c>
      <c r="C829" s="801" t="s">
        <v>1325</v>
      </c>
      <c r="D829" s="745">
        <v>0.47916666666666669</v>
      </c>
      <c r="E829" s="746" t="s">
        <v>53</v>
      </c>
      <c r="F829" s="747">
        <v>3</v>
      </c>
      <c r="G829" s="746" t="s">
        <v>2255</v>
      </c>
      <c r="H829" s="748"/>
      <c r="I829" s="807"/>
      <c r="J829" s="807">
        <v>2E-3</v>
      </c>
      <c r="K829" s="750" t="s">
        <v>1916</v>
      </c>
    </row>
    <row r="830" spans="1:11" ht="92">
      <c r="B830" s="743">
        <v>45820</v>
      </c>
      <c r="C830" s="801" t="s">
        <v>1325</v>
      </c>
      <c r="D830" s="745">
        <v>0.75</v>
      </c>
      <c r="E830" s="746" t="s">
        <v>1</v>
      </c>
      <c r="F830" s="747">
        <v>3</v>
      </c>
      <c r="G830" s="746" t="s">
        <v>1421</v>
      </c>
      <c r="H830" s="748"/>
      <c r="I830" s="807"/>
      <c r="J830" s="807"/>
      <c r="K830" s="750" t="s">
        <v>1460</v>
      </c>
    </row>
    <row r="831" spans="1:11" ht="144">
      <c r="B831" s="743">
        <v>45820</v>
      </c>
      <c r="C831" s="801" t="s">
        <v>1325</v>
      </c>
      <c r="D831" s="745">
        <v>0.75</v>
      </c>
      <c r="E831" s="746" t="s">
        <v>1</v>
      </c>
      <c r="F831" s="747">
        <v>3</v>
      </c>
      <c r="G831" s="746" t="s">
        <v>2256</v>
      </c>
      <c r="H831" s="748"/>
      <c r="I831" s="807"/>
      <c r="J831" s="807">
        <v>-5.0000000000000001E-3</v>
      </c>
      <c r="K831" s="750" t="s">
        <v>2257</v>
      </c>
    </row>
    <row r="832" spans="1:11" ht="157">
      <c r="B832" s="743">
        <v>45820</v>
      </c>
      <c r="C832" s="801" t="s">
        <v>1325</v>
      </c>
      <c r="D832" s="745">
        <v>0.9375</v>
      </c>
      <c r="E832" s="746" t="s">
        <v>1</v>
      </c>
      <c r="F832" s="747">
        <v>3</v>
      </c>
      <c r="G832" s="746" t="s">
        <v>2088</v>
      </c>
      <c r="H832" s="748"/>
      <c r="I832" s="807"/>
      <c r="J832" s="807">
        <v>4.8189999999999997E-2</v>
      </c>
      <c r="K832" s="750" t="s">
        <v>2258</v>
      </c>
    </row>
    <row r="833" spans="1:11" ht="131">
      <c r="B833" s="743">
        <v>45821</v>
      </c>
      <c r="C833" s="801" t="s">
        <v>39</v>
      </c>
      <c r="D833" s="745">
        <v>0.47916666666666669</v>
      </c>
      <c r="E833" s="746" t="s">
        <v>22</v>
      </c>
      <c r="F833" s="747">
        <v>3</v>
      </c>
      <c r="G833" s="746" t="s">
        <v>2259</v>
      </c>
      <c r="H833" s="748"/>
      <c r="I833" s="807">
        <v>1E-3</v>
      </c>
      <c r="J833" s="807">
        <v>4.0000000000000001E-3</v>
      </c>
      <c r="K833" s="750" t="s">
        <v>2260</v>
      </c>
    </row>
    <row r="834" spans="1:11">
      <c r="B834" s="743">
        <v>45826</v>
      </c>
      <c r="C834" s="801" t="s">
        <v>41</v>
      </c>
      <c r="D834" s="745">
        <v>0.97916666666666663</v>
      </c>
      <c r="E834" s="746" t="s">
        <v>1</v>
      </c>
      <c r="F834" s="746">
        <v>3</v>
      </c>
      <c r="G834" s="746" t="s">
        <v>127</v>
      </c>
      <c r="H834" s="748"/>
      <c r="I834" s="749">
        <v>4.3700000000000003E-2</v>
      </c>
      <c r="J834" s="749">
        <v>4.3799999999999999E-2</v>
      </c>
      <c r="K834" s="750" t="s">
        <v>562</v>
      </c>
    </row>
    <row r="835" spans="1:11">
      <c r="B835" s="89" t="s">
        <v>2261</v>
      </c>
      <c r="C835" s="89"/>
      <c r="D835" s="89"/>
      <c r="E835" s="89"/>
      <c r="F835" s="89"/>
      <c r="G835" s="89"/>
      <c r="H835" s="89"/>
      <c r="I835" s="754"/>
      <c r="J835" s="754"/>
      <c r="K835" s="755"/>
    </row>
    <row r="836" spans="1:11" ht="40">
      <c r="A836" s="569" t="s">
        <v>105</v>
      </c>
      <c r="B836" s="743">
        <v>45824</v>
      </c>
      <c r="C836" s="801" t="s">
        <v>43</v>
      </c>
      <c r="D836" s="745" t="s">
        <v>1449</v>
      </c>
      <c r="E836" s="746" t="s">
        <v>2009</v>
      </c>
      <c r="F836" s="747">
        <v>3</v>
      </c>
      <c r="G836" s="746" t="s">
        <v>2262</v>
      </c>
      <c r="H836" s="748"/>
      <c r="I836" s="749"/>
      <c r="J836" s="749"/>
      <c r="K836" s="750" t="s">
        <v>1963</v>
      </c>
    </row>
    <row r="837" spans="1:11" ht="79">
      <c r="B837" s="743">
        <v>45825</v>
      </c>
      <c r="C837" s="801" t="s">
        <v>42</v>
      </c>
      <c r="D837" s="745">
        <v>0.35416666666666669</v>
      </c>
      <c r="E837" s="746" t="s">
        <v>117</v>
      </c>
      <c r="F837" s="747">
        <v>3</v>
      </c>
      <c r="G837" s="746" t="s">
        <v>2263</v>
      </c>
      <c r="H837" s="748"/>
      <c r="I837" s="749"/>
      <c r="J837" s="749">
        <v>5.0000000000000001E-3</v>
      </c>
      <c r="K837" s="750" t="s">
        <v>2264</v>
      </c>
    </row>
    <row r="838" spans="1:11" ht="92">
      <c r="B838" s="743">
        <v>45825</v>
      </c>
      <c r="C838" s="801" t="s">
        <v>42</v>
      </c>
      <c r="D838" s="745">
        <v>0.75</v>
      </c>
      <c r="E838" s="746" t="s">
        <v>1</v>
      </c>
      <c r="F838" s="747">
        <v>3</v>
      </c>
      <c r="G838" s="746" t="s">
        <v>2265</v>
      </c>
      <c r="H838" s="748"/>
      <c r="I838" s="749">
        <v>3.0000000000000001E-3</v>
      </c>
      <c r="J838" s="749">
        <v>1E-3</v>
      </c>
      <c r="K838" s="750" t="s">
        <v>2266</v>
      </c>
    </row>
    <row r="839" spans="1:11" ht="92">
      <c r="B839" s="743">
        <v>45825</v>
      </c>
      <c r="C839" s="801" t="s">
        <v>42</v>
      </c>
      <c r="D839" s="745">
        <v>0.75</v>
      </c>
      <c r="E839" s="746" t="s">
        <v>1</v>
      </c>
      <c r="F839" s="747">
        <v>3</v>
      </c>
      <c r="G839" s="746" t="s">
        <v>2267</v>
      </c>
      <c r="H839" s="748"/>
      <c r="I839" s="749">
        <v>1E-3</v>
      </c>
      <c r="J839" s="749">
        <v>1E-3</v>
      </c>
      <c r="K839" s="750" t="s">
        <v>2268</v>
      </c>
    </row>
    <row r="840" spans="1:11" ht="92">
      <c r="B840" s="743">
        <v>45826</v>
      </c>
      <c r="C840" s="801" t="s">
        <v>41</v>
      </c>
      <c r="D840" s="745">
        <v>0.47916666666666669</v>
      </c>
      <c r="E840" s="746" t="s">
        <v>53</v>
      </c>
      <c r="F840" s="747">
        <v>3</v>
      </c>
      <c r="G840" s="746" t="s">
        <v>2269</v>
      </c>
      <c r="H840" s="748"/>
      <c r="I840" s="749"/>
      <c r="J840" s="749">
        <v>3.5000000000000003E-2</v>
      </c>
      <c r="K840" s="750" t="s">
        <v>2270</v>
      </c>
    </row>
    <row r="841" spans="1:11" ht="105">
      <c r="B841" s="743">
        <v>45826</v>
      </c>
      <c r="C841" s="801" t="s">
        <v>41</v>
      </c>
      <c r="D841" s="745">
        <v>0.60416666666666663</v>
      </c>
      <c r="E841" s="746" t="s">
        <v>22</v>
      </c>
      <c r="F841" s="747">
        <v>3</v>
      </c>
      <c r="G841" s="746" t="s">
        <v>2271</v>
      </c>
      <c r="H841" s="748"/>
      <c r="I841" s="749">
        <v>1.9E-2</v>
      </c>
      <c r="J841" s="749">
        <v>1.9E-2</v>
      </c>
      <c r="K841" s="750" t="s">
        <v>2272</v>
      </c>
    </row>
    <row r="842" spans="1:11" ht="92">
      <c r="B842" s="743">
        <v>45826</v>
      </c>
      <c r="C842" s="801" t="s">
        <v>41</v>
      </c>
      <c r="D842" s="745">
        <v>0.75</v>
      </c>
      <c r="E842" s="746" t="s">
        <v>1</v>
      </c>
      <c r="F842" s="747">
        <v>3</v>
      </c>
      <c r="G842" s="746" t="s">
        <v>1421</v>
      </c>
      <c r="H842" s="748"/>
      <c r="I842" s="749"/>
      <c r="J842" s="749" t="s">
        <v>2273</v>
      </c>
      <c r="K842" s="750" t="s">
        <v>1460</v>
      </c>
    </row>
    <row r="843" spans="1:11" ht="144">
      <c r="B843" s="743">
        <v>45826</v>
      </c>
      <c r="C843" s="801" t="s">
        <v>41</v>
      </c>
      <c r="D843" s="745">
        <v>0.83333333333333337</v>
      </c>
      <c r="E843" s="746" t="s">
        <v>1</v>
      </c>
      <c r="F843" s="747">
        <v>3</v>
      </c>
      <c r="G843" s="746" t="s">
        <v>1503</v>
      </c>
      <c r="H843" s="748"/>
      <c r="I843" s="749"/>
      <c r="J843" s="751" t="s">
        <v>2274</v>
      </c>
      <c r="K843" s="750" t="s">
        <v>1678</v>
      </c>
    </row>
    <row r="844" spans="1:11" ht="66">
      <c r="B844" s="743">
        <v>45826</v>
      </c>
      <c r="C844" s="801" t="s">
        <v>41</v>
      </c>
      <c r="D844" s="745">
        <v>0.97916666666666663</v>
      </c>
      <c r="E844" s="746" t="s">
        <v>1</v>
      </c>
      <c r="F844" s="747">
        <v>3</v>
      </c>
      <c r="G844" s="746" t="s">
        <v>2275</v>
      </c>
      <c r="H844" s="748"/>
      <c r="I844" s="749"/>
      <c r="J844" s="751"/>
      <c r="K844" s="750" t="s">
        <v>2276</v>
      </c>
    </row>
    <row r="845" spans="1:11" ht="105">
      <c r="B845" s="743">
        <v>45826</v>
      </c>
      <c r="C845" s="801" t="s">
        <v>41</v>
      </c>
      <c r="D845" s="745">
        <v>0.97916666666666663</v>
      </c>
      <c r="E845" s="746" t="s">
        <v>1</v>
      </c>
      <c r="F845" s="747">
        <v>3</v>
      </c>
      <c r="G845" s="746" t="s">
        <v>1508</v>
      </c>
      <c r="H845" s="748"/>
      <c r="I845" s="749">
        <v>4.3700000000000003E-2</v>
      </c>
      <c r="J845" s="749">
        <v>4.3799999999999999E-2</v>
      </c>
      <c r="K845" s="750" t="s">
        <v>2277</v>
      </c>
    </row>
    <row r="846" spans="1:11" ht="118">
      <c r="B846" s="743">
        <v>45826</v>
      </c>
      <c r="C846" s="801" t="s">
        <v>41</v>
      </c>
      <c r="D846" s="745">
        <v>0.97916666666666663</v>
      </c>
      <c r="E846" s="746" t="s">
        <v>1</v>
      </c>
      <c r="F846" s="747" t="s">
        <v>2278</v>
      </c>
      <c r="G846" s="746" t="s">
        <v>1508</v>
      </c>
      <c r="H846" s="748"/>
      <c r="I846" s="749"/>
      <c r="J846" s="749">
        <v>4.4999999999999998E-2</v>
      </c>
      <c r="K846" s="750" t="s">
        <v>2279</v>
      </c>
    </row>
    <row r="847" spans="1:11">
      <c r="B847" s="743">
        <v>45827</v>
      </c>
      <c r="C847" s="801" t="s">
        <v>1325</v>
      </c>
      <c r="D847" s="745" t="s">
        <v>1449</v>
      </c>
      <c r="E847" s="746" t="s">
        <v>2280</v>
      </c>
      <c r="F847" s="747">
        <v>3</v>
      </c>
      <c r="G847" s="746" t="s">
        <v>2281</v>
      </c>
      <c r="H847" s="748"/>
      <c r="I847" s="749"/>
      <c r="J847" s="749"/>
      <c r="K847" s="750" t="s">
        <v>562</v>
      </c>
    </row>
    <row r="848" spans="1:11">
      <c r="B848" s="743">
        <v>45827</v>
      </c>
      <c r="C848" s="801" t="s">
        <v>1325</v>
      </c>
      <c r="D848" s="745" t="s">
        <v>1449</v>
      </c>
      <c r="E848" s="746" t="s">
        <v>1</v>
      </c>
      <c r="F848" s="747">
        <v>3</v>
      </c>
      <c r="G848" s="746" t="s">
        <v>2282</v>
      </c>
      <c r="H848" s="748"/>
      <c r="I848" s="749"/>
      <c r="J848" s="749"/>
      <c r="K848" s="750" t="s">
        <v>562</v>
      </c>
    </row>
    <row r="849" spans="1:11" ht="92">
      <c r="B849" s="743">
        <v>45827</v>
      </c>
      <c r="C849" s="801" t="s">
        <v>1325</v>
      </c>
      <c r="D849" s="745">
        <v>0</v>
      </c>
      <c r="E849" s="746" t="s">
        <v>1</v>
      </c>
      <c r="F849" s="747">
        <v>3</v>
      </c>
      <c r="G849" s="746" t="s">
        <v>1509</v>
      </c>
      <c r="H849" s="748"/>
      <c r="I849" s="749"/>
      <c r="J849" s="749"/>
      <c r="K849" s="750" t="s">
        <v>2283</v>
      </c>
    </row>
    <row r="850" spans="1:11" ht="92">
      <c r="B850" s="743">
        <v>45827</v>
      </c>
      <c r="C850" s="801" t="s">
        <v>1325</v>
      </c>
      <c r="D850" s="745">
        <v>0.54166666666666663</v>
      </c>
      <c r="E850" s="746" t="s">
        <v>270</v>
      </c>
      <c r="F850" s="747">
        <v>3</v>
      </c>
      <c r="G850" s="746" t="s">
        <v>2284</v>
      </c>
      <c r="H850" s="748"/>
      <c r="I850" s="749"/>
      <c r="J850" s="749">
        <v>2.5000000000000001E-3</v>
      </c>
      <c r="K850" s="750" t="s">
        <v>2283</v>
      </c>
    </row>
    <row r="851" spans="1:11" ht="105">
      <c r="B851" s="743">
        <v>45827</v>
      </c>
      <c r="C851" s="801" t="s">
        <v>1325</v>
      </c>
      <c r="D851" s="745">
        <v>0.6875</v>
      </c>
      <c r="E851" s="746" t="s">
        <v>53</v>
      </c>
      <c r="F851" s="747">
        <v>3</v>
      </c>
      <c r="G851" s="746" t="s">
        <v>2285</v>
      </c>
      <c r="H851" s="748"/>
      <c r="I851" s="749">
        <v>4.2500000000000003E-2</v>
      </c>
      <c r="J851" s="749">
        <v>4.2500000000000003E-2</v>
      </c>
      <c r="K851" s="750" t="s">
        <v>2286</v>
      </c>
    </row>
    <row r="852" spans="1:11" ht="92">
      <c r="B852" s="743">
        <v>45827</v>
      </c>
      <c r="C852" s="801" t="s">
        <v>1325</v>
      </c>
      <c r="D852" s="745">
        <v>0.75</v>
      </c>
      <c r="E852" s="746" t="s">
        <v>1</v>
      </c>
      <c r="F852" s="747">
        <v>3</v>
      </c>
      <c r="G852" s="746" t="s">
        <v>1421</v>
      </c>
      <c r="H852" s="748"/>
      <c r="I852" s="749"/>
      <c r="J852" s="749" t="s">
        <v>2273</v>
      </c>
      <c r="K852" s="750" t="s">
        <v>1460</v>
      </c>
    </row>
    <row r="853" spans="1:11" ht="92">
      <c r="B853" s="743">
        <v>45828</v>
      </c>
      <c r="C853" s="801" t="s">
        <v>39</v>
      </c>
      <c r="D853" s="745" t="s">
        <v>1449</v>
      </c>
      <c r="E853" s="746" t="s">
        <v>49</v>
      </c>
      <c r="F853" s="747">
        <v>3</v>
      </c>
      <c r="G853" s="746" t="s">
        <v>2287</v>
      </c>
      <c r="H853" s="748"/>
      <c r="I853" s="749"/>
      <c r="J853" s="749"/>
      <c r="K853" s="750" t="s">
        <v>1460</v>
      </c>
    </row>
    <row r="854" spans="1:11" ht="118">
      <c r="B854" s="743">
        <v>45828</v>
      </c>
      <c r="C854" s="801" t="s">
        <v>39</v>
      </c>
      <c r="D854" s="745">
        <v>0.75</v>
      </c>
      <c r="E854" s="746" t="s">
        <v>1</v>
      </c>
      <c r="F854" s="747">
        <v>3</v>
      </c>
      <c r="G854" s="746" t="s">
        <v>2288</v>
      </c>
      <c r="H854" s="748"/>
      <c r="I854" s="749"/>
      <c r="J854" s="752">
        <v>-4</v>
      </c>
      <c r="K854" s="750" t="s">
        <v>2289</v>
      </c>
    </row>
    <row r="855" spans="1:11">
      <c r="B855" s="743">
        <v>45868</v>
      </c>
      <c r="C855" s="801" t="s">
        <v>41</v>
      </c>
      <c r="D855" s="745">
        <v>0.97916666666666663</v>
      </c>
      <c r="E855" s="746" t="s">
        <v>1</v>
      </c>
      <c r="F855" s="747">
        <v>3</v>
      </c>
      <c r="G855" s="746" t="s">
        <v>127</v>
      </c>
      <c r="H855" s="748"/>
      <c r="I855" s="749">
        <v>4.3200000000000002E-2</v>
      </c>
      <c r="J855" s="749">
        <v>4.36E-2</v>
      </c>
      <c r="K855" s="750" t="s">
        <v>562</v>
      </c>
    </row>
    <row r="856" spans="1:11">
      <c r="B856" s="960" t="s">
        <v>2290</v>
      </c>
      <c r="C856" s="960"/>
      <c r="D856" s="960"/>
      <c r="E856" s="960"/>
      <c r="F856" s="960"/>
      <c r="G856" s="960"/>
      <c r="H856" s="960"/>
      <c r="I856" s="961"/>
      <c r="J856" s="961"/>
      <c r="K856" s="962"/>
    </row>
    <row r="857" spans="1:11" ht="48" customHeight="1">
      <c r="A857" s="569" t="s">
        <v>105</v>
      </c>
      <c r="B857" s="743" t="s">
        <v>2304</v>
      </c>
      <c r="C857" s="801" t="s">
        <v>2305</v>
      </c>
      <c r="D857" s="745" t="s">
        <v>2306</v>
      </c>
      <c r="E857" s="746" t="s">
        <v>1</v>
      </c>
      <c r="F857" s="747">
        <v>3</v>
      </c>
      <c r="G857" s="746" t="s">
        <v>2307</v>
      </c>
      <c r="H857" s="1597">
        <v>52</v>
      </c>
      <c r="I857" s="1597">
        <v>51.1</v>
      </c>
      <c r="J857" s="1597">
        <v>52</v>
      </c>
      <c r="K857" s="750"/>
    </row>
    <row r="858" spans="1:11">
      <c r="B858" s="743" t="s">
        <v>2304</v>
      </c>
      <c r="C858" s="801" t="s">
        <v>2305</v>
      </c>
      <c r="D858" s="745" t="s">
        <v>2308</v>
      </c>
      <c r="E858" s="746" t="s">
        <v>1</v>
      </c>
      <c r="F858" s="747">
        <v>3</v>
      </c>
      <c r="G858" s="746" t="s">
        <v>2309</v>
      </c>
      <c r="H858" s="1597">
        <v>53.1</v>
      </c>
      <c r="I858" s="752">
        <v>52.9</v>
      </c>
      <c r="J858" s="752">
        <v>53.7</v>
      </c>
      <c r="K858" s="750"/>
    </row>
    <row r="859" spans="1:11">
      <c r="B859" s="743" t="s">
        <v>2304</v>
      </c>
      <c r="C859" s="801" t="s">
        <v>2305</v>
      </c>
      <c r="D859" s="745" t="s">
        <v>2308</v>
      </c>
      <c r="E859" s="746" t="s">
        <v>1</v>
      </c>
      <c r="F859" s="747">
        <v>3</v>
      </c>
      <c r="G859" s="746" t="s">
        <v>2310</v>
      </c>
      <c r="H859" s="1597" t="s">
        <v>2327</v>
      </c>
      <c r="I859" s="1597" t="s">
        <v>351</v>
      </c>
      <c r="J859" s="1597" t="s">
        <v>77</v>
      </c>
      <c r="K859" s="750"/>
    </row>
    <row r="860" spans="1:11">
      <c r="B860" s="743" t="s">
        <v>2311</v>
      </c>
      <c r="C860" s="801" t="s">
        <v>41</v>
      </c>
      <c r="D860" s="745" t="s">
        <v>2312</v>
      </c>
      <c r="E860" s="746" t="s">
        <v>1</v>
      </c>
      <c r="F860" s="747">
        <v>3</v>
      </c>
      <c r="G860" s="746" t="s">
        <v>2313</v>
      </c>
      <c r="H860" s="1597">
        <v>93</v>
      </c>
      <c r="I860" s="1597">
        <v>99.4</v>
      </c>
      <c r="J860" s="1597">
        <v>98.4</v>
      </c>
      <c r="K860" s="750"/>
    </row>
    <row r="861" spans="1:11">
      <c r="B861" s="743" t="s">
        <v>2311</v>
      </c>
      <c r="C861" s="801" t="s">
        <v>41</v>
      </c>
      <c r="D861" s="745" t="s">
        <v>2306</v>
      </c>
      <c r="E861" s="746" t="s">
        <v>1</v>
      </c>
      <c r="F861" s="747">
        <v>3</v>
      </c>
      <c r="G861" s="746" t="s">
        <v>2314</v>
      </c>
      <c r="H861" s="1597"/>
      <c r="I861" s="752"/>
      <c r="J861" s="752"/>
      <c r="K861" s="750"/>
    </row>
    <row r="862" spans="1:11">
      <c r="B862" s="743" t="s">
        <v>2311</v>
      </c>
      <c r="C862" s="801" t="s">
        <v>41</v>
      </c>
      <c r="D862" s="745" t="s">
        <v>2308</v>
      </c>
      <c r="E862" s="746" t="s">
        <v>1</v>
      </c>
      <c r="F862" s="747">
        <v>3</v>
      </c>
      <c r="G862" s="746" t="s">
        <v>2315</v>
      </c>
      <c r="H862" s="1597" t="s">
        <v>2328</v>
      </c>
      <c r="I862" s="1597" t="s">
        <v>2329</v>
      </c>
      <c r="J862" s="1597" t="s">
        <v>2330</v>
      </c>
      <c r="K862" s="750"/>
    </row>
    <row r="863" spans="1:11">
      <c r="B863" s="743" t="s">
        <v>2311</v>
      </c>
      <c r="C863" s="801" t="s">
        <v>41</v>
      </c>
      <c r="D863" s="745" t="s">
        <v>2316</v>
      </c>
      <c r="E863" s="746" t="s">
        <v>1</v>
      </c>
      <c r="F863" s="747">
        <v>3</v>
      </c>
      <c r="G863" s="746" t="s">
        <v>2317</v>
      </c>
      <c r="H863" s="1599" t="s">
        <v>2331</v>
      </c>
      <c r="I863" s="1599" t="s">
        <v>2332</v>
      </c>
      <c r="J863" s="1598"/>
      <c r="K863" s="750"/>
    </row>
    <row r="864" spans="1:11">
      <c r="B864" s="743" t="s">
        <v>2318</v>
      </c>
      <c r="C864" s="801" t="s">
        <v>40</v>
      </c>
      <c r="D864" s="745" t="s">
        <v>2319</v>
      </c>
      <c r="E864" s="746" t="s">
        <v>1</v>
      </c>
      <c r="F864" s="747">
        <v>3</v>
      </c>
      <c r="G864" s="746" t="s">
        <v>2320</v>
      </c>
      <c r="H864" s="748">
        <v>0.16400000000000001</v>
      </c>
      <c r="I864" s="748">
        <v>8.5999999999999993E-2</v>
      </c>
      <c r="J864" s="748">
        <v>-6.6000000000000003E-2</v>
      </c>
      <c r="K864" s="750"/>
    </row>
    <row r="865" spans="2:11">
      <c r="B865" s="743" t="s">
        <v>2318</v>
      </c>
      <c r="C865" s="801" t="s">
        <v>40</v>
      </c>
      <c r="D865" s="745" t="s">
        <v>2319</v>
      </c>
      <c r="E865" s="746" t="s">
        <v>1</v>
      </c>
      <c r="F865" s="747">
        <v>3</v>
      </c>
      <c r="G865" s="746" t="s">
        <v>2321</v>
      </c>
      <c r="H865" s="748">
        <v>-5.0000000000000001E-3</v>
      </c>
      <c r="I865" s="748">
        <v>-2E-3</v>
      </c>
      <c r="J865" s="748">
        <v>2.4E-2</v>
      </c>
      <c r="K865" s="750"/>
    </row>
    <row r="866" spans="2:11">
      <c r="B866" s="743" t="s">
        <v>2318</v>
      </c>
      <c r="C866" s="801" t="s">
        <v>40</v>
      </c>
      <c r="D866" s="745" t="s">
        <v>2319</v>
      </c>
      <c r="E866" s="746" t="s">
        <v>1</v>
      </c>
      <c r="F866" s="747">
        <v>3</v>
      </c>
      <c r="G866" s="746" t="s">
        <v>1309</v>
      </c>
      <c r="H866" s="1597" t="s">
        <v>210</v>
      </c>
      <c r="I866" s="1597" t="s">
        <v>2333</v>
      </c>
      <c r="J866" s="1597" t="s">
        <v>2334</v>
      </c>
      <c r="K866" s="750"/>
    </row>
    <row r="867" spans="2:11">
      <c r="B867" s="743" t="s">
        <v>2318</v>
      </c>
      <c r="C867" s="801" t="s">
        <v>40</v>
      </c>
      <c r="D867" s="745" t="s">
        <v>2319</v>
      </c>
      <c r="E867" s="746" t="s">
        <v>1</v>
      </c>
      <c r="F867" s="747">
        <v>3</v>
      </c>
      <c r="G867" s="746" t="s">
        <v>2325</v>
      </c>
      <c r="H867" s="748">
        <v>2.7E-2</v>
      </c>
      <c r="I867" s="748">
        <v>2.5999999999999999E-2</v>
      </c>
      <c r="J867" s="748">
        <v>2.5999999999999999E-2</v>
      </c>
      <c r="K867" s="750"/>
    </row>
    <row r="868" spans="2:11" ht="73" customHeight="1">
      <c r="B868" s="743" t="s">
        <v>2323</v>
      </c>
      <c r="C868" s="801" t="s">
        <v>39</v>
      </c>
      <c r="D868" s="745" t="s">
        <v>2324</v>
      </c>
      <c r="E868" s="746" t="s">
        <v>53</v>
      </c>
      <c r="F868" s="747">
        <v>3</v>
      </c>
      <c r="G868" s="746" t="s">
        <v>2322</v>
      </c>
      <c r="H868" s="748">
        <v>2E-3</v>
      </c>
      <c r="I868" s="748">
        <v>1E-3</v>
      </c>
      <c r="J868" s="748">
        <v>1E-3</v>
      </c>
      <c r="K868" s="750"/>
    </row>
    <row r="869" spans="2:11">
      <c r="B869" s="743">
        <v>45868</v>
      </c>
      <c r="C869" s="801" t="s">
        <v>41</v>
      </c>
      <c r="D869" s="745">
        <v>0.97916666666666663</v>
      </c>
      <c r="E869" s="746" t="s">
        <v>1</v>
      </c>
      <c r="F869" s="747">
        <v>3</v>
      </c>
      <c r="G869" s="746" t="s">
        <v>127</v>
      </c>
      <c r="H869" s="748"/>
      <c r="I869" s="749">
        <v>4.3200000000000002E-2</v>
      </c>
      <c r="J869" s="749">
        <v>4.36E-2</v>
      </c>
      <c r="K869" s="750" t="s">
        <v>562</v>
      </c>
    </row>
    <row r="870" spans="2:11">
      <c r="B870" s="960" t="s">
        <v>2326</v>
      </c>
    </row>
    <row r="874" spans="2:11" ht="73" customHeight="1"/>
    <row r="875" spans="2:11" ht="48" customHeight="1"/>
    <row r="886" ht="73" customHeight="1"/>
    <row r="887" ht="48" customHeight="1"/>
    <row r="898" ht="73" customHeight="1"/>
    <row r="899" ht="48" customHeight="1"/>
    <row r="910" ht="73" customHeight="1"/>
    <row r="911" ht="48" customHeight="1"/>
    <row r="922" ht="73" customHeight="1"/>
    <row r="923" ht="48" customHeight="1"/>
    <row r="925" ht="49" customHeight="1"/>
    <row r="934" ht="73" customHeight="1"/>
    <row r="935" ht="48" customHeight="1"/>
    <row r="946" ht="73" customHeight="1"/>
    <row r="947" ht="48" customHeight="1"/>
    <row r="958" ht="73" customHeight="1"/>
    <row r="970" ht="73" customHeight="1"/>
    <row r="982" ht="73" customHeight="1"/>
    <row r="983" ht="48" customHeight="1"/>
  </sheetData>
  <hyperlinks>
    <hyperlink ref="I339" r:id="rId1" display="22@K" xr:uid="{95A1989F-BA41-F64B-97BB-A7B4057924DD}"/>
  </hyperlinks>
  <pageMargins left="0.7" right="0.7" top="0.75" bottom="0.75" header="0.3" footer="0.3"/>
  <ignoredErrors>
    <ignoredError sqref="B10:C46 B50:C63 B104 B95" formula="1"/>
    <ignoredError sqref="B857:B868 B869:B870" twoDigitTextYear="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F75D50-CEEB-F249-BC32-2945D20B476D}">
  <dimension ref="A1:AK5929"/>
  <sheetViews>
    <sheetView showGridLines="0" topLeftCell="A5915" zoomScale="88" workbookViewId="0">
      <selection activeCell="D5918" sqref="A5918:XFD5929"/>
    </sheetView>
  </sheetViews>
  <sheetFormatPr baseColWidth="10" defaultRowHeight="19" outlineLevelRow="1"/>
  <cols>
    <col min="1" max="1" width="1" customWidth="1"/>
    <col min="2" max="2" width="0.83203125" customWidth="1"/>
    <col min="3" max="3" width="1.1640625" customWidth="1"/>
    <col min="4" max="4" width="1" customWidth="1"/>
    <col min="5" max="5" width="23.33203125" style="622" bestFit="1" customWidth="1"/>
    <col min="6" max="8" width="21.5" style="622" customWidth="1"/>
    <col min="9" max="9" width="28" style="374" customWidth="1"/>
    <col min="10" max="10" width="35" style="374" customWidth="1"/>
    <col min="11" max="11" width="29.33203125" style="374" customWidth="1"/>
    <col min="12" max="12" width="12.83203125" bestFit="1" customWidth="1"/>
    <col min="13" max="13" width="24.5" bestFit="1" customWidth="1"/>
  </cols>
  <sheetData>
    <row r="1" spans="3:13" ht="25" thickBot="1">
      <c r="C1" s="90"/>
      <c r="D1" s="88" t="s">
        <v>105</v>
      </c>
      <c r="E1" s="571" t="s">
        <v>30</v>
      </c>
      <c r="F1" s="1147" t="s">
        <v>383</v>
      </c>
      <c r="G1" s="1148"/>
      <c r="H1" s="1149"/>
      <c r="I1" s="1131" t="s">
        <v>633</v>
      </c>
      <c r="J1" s="1129"/>
      <c r="K1" s="1130"/>
      <c r="L1" s="104" t="s">
        <v>430</v>
      </c>
      <c r="M1" s="105" t="s">
        <v>431</v>
      </c>
    </row>
    <row r="2" spans="3:13">
      <c r="C2" s="90"/>
      <c r="D2" s="162"/>
      <c r="E2" s="572" t="s">
        <v>432</v>
      </c>
      <c r="F2" s="1150"/>
      <c r="G2" s="1151"/>
      <c r="H2" s="1152"/>
      <c r="I2" s="995" t="s">
        <v>384</v>
      </c>
      <c r="J2" s="996"/>
      <c r="K2" s="997"/>
      <c r="L2" s="99"/>
      <c r="M2" s="100"/>
    </row>
    <row r="3" spans="3:13">
      <c r="C3" s="90"/>
      <c r="D3" s="162"/>
      <c r="E3" s="573" t="s">
        <v>433</v>
      </c>
      <c r="F3" s="1169">
        <v>49.5</v>
      </c>
      <c r="G3" s="1170"/>
      <c r="H3" s="1171"/>
      <c r="I3" s="995"/>
      <c r="J3" s="996"/>
      <c r="K3" s="997"/>
      <c r="L3" s="99"/>
      <c r="M3" s="100"/>
    </row>
    <row r="4" spans="3:13" ht="20" thickBot="1">
      <c r="C4" s="90"/>
      <c r="D4" s="162"/>
      <c r="E4" s="573" t="s">
        <v>434</v>
      </c>
      <c r="F4" s="1169">
        <v>49.1</v>
      </c>
      <c r="G4" s="1170"/>
      <c r="H4" s="1171"/>
      <c r="I4" s="995"/>
      <c r="J4" s="996"/>
      <c r="K4" s="997"/>
      <c r="L4" s="99"/>
      <c r="M4" s="100"/>
    </row>
    <row r="5" spans="3:13" ht="20" thickBot="1">
      <c r="C5" s="90"/>
      <c r="D5" s="162"/>
      <c r="E5" s="574" t="s">
        <v>435</v>
      </c>
      <c r="F5" s="1160">
        <v>6.25E-2</v>
      </c>
      <c r="G5" s="1161"/>
      <c r="H5" s="1162"/>
      <c r="I5" s="995"/>
      <c r="J5" s="996"/>
      <c r="K5" s="997"/>
      <c r="L5" s="106">
        <f>F5+TIME(5,30,0)</f>
        <v>0.29166666666666663</v>
      </c>
      <c r="M5" s="107">
        <f>L5-TIME(2,30,0)</f>
        <v>0.18749999999999994</v>
      </c>
    </row>
    <row r="6" spans="3:13" ht="20" thickBot="1">
      <c r="C6" s="90"/>
      <c r="D6" s="162"/>
      <c r="E6" s="575" t="s">
        <v>436</v>
      </c>
      <c r="F6" s="264" t="s">
        <v>29</v>
      </c>
      <c r="G6" s="264" t="s">
        <v>28</v>
      </c>
      <c r="H6" s="265" t="s">
        <v>27</v>
      </c>
      <c r="I6" s="995"/>
      <c r="J6" s="996"/>
      <c r="K6" s="997"/>
      <c r="L6" s="99"/>
      <c r="M6" s="100"/>
    </row>
    <row r="7" spans="3:13">
      <c r="C7" s="90"/>
      <c r="D7" s="162"/>
      <c r="E7" s="576" t="s">
        <v>437</v>
      </c>
      <c r="F7" s="577">
        <v>49.1</v>
      </c>
      <c r="G7" s="577" t="s">
        <v>438</v>
      </c>
      <c r="H7" s="578">
        <v>49.4</v>
      </c>
      <c r="I7" s="995"/>
      <c r="J7" s="996"/>
      <c r="K7" s="997"/>
      <c r="L7" s="99"/>
      <c r="M7" s="100"/>
    </row>
    <row r="8" spans="3:13">
      <c r="C8" s="90"/>
      <c r="D8" s="162"/>
      <c r="E8" s="576" t="s">
        <v>439</v>
      </c>
      <c r="F8" s="577">
        <v>49.4</v>
      </c>
      <c r="G8" s="577" t="s">
        <v>440</v>
      </c>
      <c r="H8" s="578">
        <v>49.5</v>
      </c>
      <c r="I8" s="995"/>
      <c r="J8" s="996"/>
      <c r="K8" s="997"/>
      <c r="L8" s="99"/>
      <c r="M8" s="100"/>
    </row>
    <row r="9" spans="3:13">
      <c r="C9" s="90"/>
      <c r="D9" s="162"/>
      <c r="E9" s="576" t="s">
        <v>441</v>
      </c>
      <c r="F9" s="577">
        <v>49.5</v>
      </c>
      <c r="G9" s="577" t="s">
        <v>438</v>
      </c>
      <c r="H9" s="578">
        <v>49.5</v>
      </c>
      <c r="I9" s="995"/>
      <c r="J9" s="996"/>
      <c r="K9" s="997"/>
      <c r="L9" s="101"/>
      <c r="M9" s="100"/>
    </row>
    <row r="10" spans="3:13">
      <c r="C10" s="90"/>
      <c r="D10" s="162"/>
      <c r="E10" s="576" t="s">
        <v>442</v>
      </c>
      <c r="F10" s="577">
        <v>49.5</v>
      </c>
      <c r="G10" s="577" t="s">
        <v>443</v>
      </c>
      <c r="H10" s="578">
        <v>50.4</v>
      </c>
      <c r="I10" s="995"/>
      <c r="J10" s="996"/>
      <c r="K10" s="997"/>
      <c r="L10" s="99"/>
      <c r="M10" s="100"/>
    </row>
    <row r="11" spans="3:13">
      <c r="C11" s="90"/>
      <c r="D11" s="162"/>
      <c r="E11" s="576" t="s">
        <v>444</v>
      </c>
      <c r="F11" s="577">
        <v>50.4</v>
      </c>
      <c r="G11" s="577" t="s">
        <v>445</v>
      </c>
      <c r="H11" s="578">
        <v>50.8</v>
      </c>
      <c r="I11" s="995"/>
      <c r="J11" s="996"/>
      <c r="K11" s="997"/>
      <c r="L11" s="99"/>
      <c r="M11" s="100"/>
    </row>
    <row r="12" spans="3:13" ht="20" thickBot="1">
      <c r="C12" s="90"/>
      <c r="D12" s="162"/>
      <c r="E12" s="579" t="s">
        <v>446</v>
      </c>
      <c r="F12" s="580">
        <v>50.8</v>
      </c>
      <c r="G12" s="580" t="s">
        <v>447</v>
      </c>
      <c r="H12" s="581">
        <v>49.1</v>
      </c>
      <c r="I12" s="998"/>
      <c r="J12" s="999"/>
      <c r="K12" s="1000"/>
      <c r="L12" s="102"/>
      <c r="M12" s="103"/>
    </row>
    <row r="13" spans="3:13">
      <c r="C13" s="90"/>
      <c r="D13" s="88" t="s">
        <v>105</v>
      </c>
      <c r="E13" s="582" t="s">
        <v>30</v>
      </c>
      <c r="F13" s="1184" t="s">
        <v>385</v>
      </c>
      <c r="G13" s="1185"/>
      <c r="H13" s="1186"/>
      <c r="I13" s="1021" t="s">
        <v>386</v>
      </c>
      <c r="J13" s="1015"/>
      <c r="K13" s="1016"/>
      <c r="L13" s="90"/>
      <c r="M13" s="90"/>
    </row>
    <row r="14" spans="3:13">
      <c r="C14" s="90"/>
      <c r="D14" s="162"/>
      <c r="E14" s="573" t="s">
        <v>432</v>
      </c>
      <c r="F14" s="1187"/>
      <c r="G14" s="1188"/>
      <c r="H14" s="1189"/>
      <c r="I14" s="995"/>
      <c r="J14" s="996"/>
      <c r="K14" s="997"/>
      <c r="L14" s="90"/>
      <c r="M14" s="90"/>
    </row>
    <row r="15" spans="3:13">
      <c r="C15" s="90"/>
      <c r="D15" s="162"/>
      <c r="E15" s="573" t="s">
        <v>433</v>
      </c>
      <c r="F15" s="1190">
        <v>8.9999999999999993E-3</v>
      </c>
      <c r="G15" s="1191"/>
      <c r="H15" s="1192"/>
      <c r="I15" s="995"/>
      <c r="J15" s="996"/>
      <c r="K15" s="997"/>
      <c r="L15" s="90"/>
      <c r="M15" s="90"/>
    </row>
    <row r="16" spans="3:13">
      <c r="C16" s="90"/>
      <c r="D16" s="162"/>
      <c r="E16" s="573" t="s">
        <v>434</v>
      </c>
      <c r="F16" s="1190">
        <v>8.9999999999999993E-3</v>
      </c>
      <c r="G16" s="1191"/>
      <c r="H16" s="1192"/>
      <c r="I16" s="995"/>
      <c r="J16" s="996"/>
      <c r="K16" s="997"/>
      <c r="L16" s="90"/>
      <c r="M16" s="90"/>
    </row>
    <row r="17" spans="3:13" ht="20" thickBot="1">
      <c r="C17" s="90"/>
      <c r="D17" s="162"/>
      <c r="E17" s="574" t="s">
        <v>435</v>
      </c>
      <c r="F17" s="1160">
        <v>0.25</v>
      </c>
      <c r="G17" s="1161"/>
      <c r="H17" s="1162"/>
      <c r="I17" s="995"/>
      <c r="J17" s="996"/>
      <c r="K17" s="997"/>
      <c r="L17" s="91">
        <f>F17+TIME(5,30,0)</f>
        <v>0.47916666666666663</v>
      </c>
      <c r="M17" s="91">
        <f>L17-TIME(2,30,0)</f>
        <v>0.37499999999999994</v>
      </c>
    </row>
    <row r="18" spans="3:13" ht="20" thickBot="1">
      <c r="C18" s="90"/>
      <c r="D18" s="162"/>
      <c r="E18" s="575" t="s">
        <v>436</v>
      </c>
      <c r="F18" s="264" t="s">
        <v>29</v>
      </c>
      <c r="G18" s="264" t="s">
        <v>28</v>
      </c>
      <c r="H18" s="265" t="s">
        <v>27</v>
      </c>
      <c r="I18" s="995"/>
      <c r="J18" s="996"/>
      <c r="K18" s="997"/>
      <c r="L18" s="90"/>
      <c r="M18" s="90"/>
    </row>
    <row r="19" spans="3:13">
      <c r="C19" s="90"/>
      <c r="D19" s="162"/>
      <c r="E19" s="576" t="s">
        <v>448</v>
      </c>
      <c r="F19" s="316">
        <v>6.0000000000000001E-3</v>
      </c>
      <c r="G19" s="316" t="s">
        <v>449</v>
      </c>
      <c r="H19" s="583">
        <v>7.0000000000000001E-3</v>
      </c>
      <c r="I19" s="995"/>
      <c r="J19" s="996"/>
      <c r="K19" s="997"/>
      <c r="L19" s="90"/>
      <c r="M19" s="90"/>
    </row>
    <row r="20" spans="3:13">
      <c r="C20" s="90"/>
      <c r="D20" s="162"/>
      <c r="E20" s="576" t="s">
        <v>450</v>
      </c>
      <c r="F20" s="316">
        <v>7.0000000000000001E-3</v>
      </c>
      <c r="G20" s="316" t="s">
        <v>449</v>
      </c>
      <c r="H20" s="583">
        <v>-3.0000000000000001E-3</v>
      </c>
      <c r="I20" s="995"/>
      <c r="J20" s="996"/>
      <c r="K20" s="997"/>
      <c r="L20" s="90"/>
      <c r="M20" s="90"/>
    </row>
    <row r="21" spans="3:13">
      <c r="C21" s="90"/>
      <c r="D21" s="162"/>
      <c r="E21" s="576" t="s">
        <v>451</v>
      </c>
      <c r="F21" s="316">
        <v>6.0000000000000001E-3</v>
      </c>
      <c r="G21" s="316" t="s">
        <v>452</v>
      </c>
      <c r="H21" s="583">
        <v>-3.0000000000000001E-3</v>
      </c>
      <c r="I21" s="995"/>
      <c r="J21" s="996"/>
      <c r="K21" s="997"/>
      <c r="L21" s="90"/>
      <c r="M21" s="90"/>
    </row>
    <row r="22" spans="3:13">
      <c r="C22" s="90"/>
      <c r="D22" s="162"/>
      <c r="E22" s="576" t="s">
        <v>453</v>
      </c>
      <c r="F22" s="316">
        <v>-3.0000000000000001E-3</v>
      </c>
      <c r="G22" s="316" t="s">
        <v>454</v>
      </c>
      <c r="H22" s="583">
        <v>-1E-3</v>
      </c>
      <c r="I22" s="995"/>
      <c r="J22" s="996"/>
      <c r="K22" s="997"/>
      <c r="L22" s="90"/>
      <c r="M22" s="90"/>
    </row>
    <row r="23" spans="3:13">
      <c r="C23" s="90"/>
      <c r="D23" s="162"/>
      <c r="E23" s="576" t="s">
        <v>455</v>
      </c>
      <c r="F23" s="316">
        <v>-3.0000000000000001E-3</v>
      </c>
      <c r="G23" s="316" t="s">
        <v>456</v>
      </c>
      <c r="H23" s="583">
        <v>-1E-3</v>
      </c>
      <c r="I23" s="995"/>
      <c r="J23" s="996"/>
      <c r="K23" s="997"/>
      <c r="L23" s="90"/>
      <c r="M23" s="90"/>
    </row>
    <row r="24" spans="3:13" ht="20" thickBot="1">
      <c r="C24" s="90"/>
      <c r="D24" s="162"/>
      <c r="E24" s="579" t="s">
        <v>457</v>
      </c>
      <c r="F24" s="584">
        <v>-1E-3</v>
      </c>
      <c r="G24" s="584" t="s">
        <v>458</v>
      </c>
      <c r="H24" s="585">
        <v>0</v>
      </c>
      <c r="I24" s="998"/>
      <c r="J24" s="999"/>
      <c r="K24" s="1000"/>
      <c r="L24" s="90"/>
      <c r="M24" s="90"/>
    </row>
    <row r="25" spans="3:13">
      <c r="C25" s="90"/>
      <c r="D25" s="88" t="s">
        <v>105</v>
      </c>
      <c r="E25" s="582" t="s">
        <v>30</v>
      </c>
      <c r="F25" s="1184" t="s">
        <v>387</v>
      </c>
      <c r="G25" s="1185"/>
      <c r="H25" s="1186"/>
      <c r="I25" s="1021" t="s">
        <v>386</v>
      </c>
      <c r="J25" s="1015"/>
      <c r="K25" s="1016"/>
      <c r="L25" s="90"/>
      <c r="M25" s="90"/>
    </row>
    <row r="26" spans="3:13">
      <c r="C26" s="90"/>
      <c r="D26" s="162"/>
      <c r="E26" s="573" t="s">
        <v>432</v>
      </c>
      <c r="F26" s="1187"/>
      <c r="G26" s="1188"/>
      <c r="H26" s="1189"/>
      <c r="I26" s="995"/>
      <c r="J26" s="996"/>
      <c r="K26" s="997"/>
      <c r="L26" s="90"/>
      <c r="M26" s="90"/>
    </row>
    <row r="27" spans="3:13">
      <c r="C27" s="90"/>
      <c r="D27" s="162"/>
      <c r="E27" s="573" t="s">
        <v>433</v>
      </c>
      <c r="F27" s="1190">
        <v>6.0000000000000001E-3</v>
      </c>
      <c r="G27" s="1191"/>
      <c r="H27" s="1192"/>
      <c r="I27" s="995"/>
      <c r="J27" s="996"/>
      <c r="K27" s="997"/>
      <c r="L27" s="90"/>
      <c r="M27" s="90"/>
    </row>
    <row r="28" spans="3:13">
      <c r="C28" s="90"/>
      <c r="D28" s="162"/>
      <c r="E28" s="573" t="s">
        <v>434</v>
      </c>
      <c r="F28" s="1190">
        <v>6.0000000000000001E-3</v>
      </c>
      <c r="G28" s="1191"/>
      <c r="H28" s="1192"/>
      <c r="I28" s="995"/>
      <c r="J28" s="996"/>
      <c r="K28" s="997"/>
      <c r="L28" s="91"/>
      <c r="M28" s="90"/>
    </row>
    <row r="29" spans="3:13" ht="20" thickBot="1">
      <c r="C29" s="90"/>
      <c r="D29" s="162"/>
      <c r="E29" s="574" t="s">
        <v>435</v>
      </c>
      <c r="F29" s="1160">
        <v>0.25</v>
      </c>
      <c r="G29" s="1161"/>
      <c r="H29" s="1162"/>
      <c r="I29" s="995"/>
      <c r="J29" s="996"/>
      <c r="K29" s="997"/>
      <c r="L29" s="91">
        <f>F29+TIME(5,30,0)</f>
        <v>0.47916666666666663</v>
      </c>
      <c r="M29" s="91">
        <f>L29-TIME(2,30,0)</f>
        <v>0.37499999999999994</v>
      </c>
    </row>
    <row r="30" spans="3:13" ht="20" thickBot="1">
      <c r="C30" s="90"/>
      <c r="D30" s="162"/>
      <c r="E30" s="575" t="s">
        <v>436</v>
      </c>
      <c r="F30" s="264" t="s">
        <v>29</v>
      </c>
      <c r="G30" s="264" t="s">
        <v>28</v>
      </c>
      <c r="H30" s="265" t="s">
        <v>27</v>
      </c>
      <c r="I30" s="995"/>
      <c r="J30" s="996"/>
      <c r="K30" s="997"/>
      <c r="L30" s="90"/>
      <c r="M30" s="90"/>
    </row>
    <row r="31" spans="3:13">
      <c r="C31" s="90"/>
      <c r="D31" s="162"/>
      <c r="E31" s="576" t="s">
        <v>448</v>
      </c>
      <c r="F31" s="316">
        <v>8.9999999999999993E-3</v>
      </c>
      <c r="G31" s="316" t="s">
        <v>459</v>
      </c>
      <c r="H31" s="583">
        <v>3.0000000000000001E-3</v>
      </c>
      <c r="I31" s="995"/>
      <c r="J31" s="996"/>
      <c r="K31" s="997"/>
      <c r="L31" s="90"/>
      <c r="M31" s="90"/>
    </row>
    <row r="32" spans="3:13">
      <c r="C32" s="90"/>
      <c r="D32" s="162"/>
      <c r="E32" s="576" t="s">
        <v>450</v>
      </c>
      <c r="F32" s="316">
        <v>3.0000000000000001E-3</v>
      </c>
      <c r="G32" s="316" t="s">
        <v>460</v>
      </c>
      <c r="H32" s="583">
        <v>-2E-3</v>
      </c>
      <c r="I32" s="995"/>
      <c r="J32" s="996"/>
      <c r="K32" s="997"/>
      <c r="L32" s="90"/>
      <c r="M32" s="90"/>
    </row>
    <row r="33" spans="3:13">
      <c r="C33" s="90"/>
      <c r="D33" s="162"/>
      <c r="E33" s="576" t="s">
        <v>451</v>
      </c>
      <c r="F33" s="316">
        <v>2E-3</v>
      </c>
      <c r="G33" s="316" t="s">
        <v>458</v>
      </c>
      <c r="H33" s="583">
        <v>-2E-3</v>
      </c>
      <c r="I33" s="995"/>
      <c r="J33" s="996"/>
      <c r="K33" s="997"/>
      <c r="L33" s="90"/>
      <c r="M33" s="90"/>
    </row>
    <row r="34" spans="3:13">
      <c r="C34" s="90"/>
      <c r="D34" s="162"/>
      <c r="E34" s="576" t="s">
        <v>453</v>
      </c>
      <c r="F34" s="316">
        <v>-2E-3</v>
      </c>
      <c r="G34" s="316" t="s">
        <v>461</v>
      </c>
      <c r="H34" s="583">
        <v>3.0000000000000001E-3</v>
      </c>
      <c r="I34" s="995"/>
      <c r="J34" s="996"/>
      <c r="K34" s="997"/>
      <c r="L34" s="90"/>
      <c r="M34" s="90"/>
    </row>
    <row r="35" spans="3:13">
      <c r="C35" s="90"/>
      <c r="D35" s="162"/>
      <c r="E35" s="576" t="s">
        <v>455</v>
      </c>
      <c r="F35" s="316">
        <v>-2E-3</v>
      </c>
      <c r="G35" s="316" t="s">
        <v>462</v>
      </c>
      <c r="H35" s="583">
        <v>2E-3</v>
      </c>
      <c r="I35" s="995"/>
      <c r="J35" s="996"/>
      <c r="K35" s="997"/>
      <c r="L35" s="90"/>
      <c r="M35" s="90"/>
    </row>
    <row r="36" spans="3:13" ht="20" thickBot="1">
      <c r="C36" s="90"/>
      <c r="D36" s="162"/>
      <c r="E36" s="579" t="s">
        <v>457</v>
      </c>
      <c r="F36" s="584">
        <v>3.0000000000000001E-3</v>
      </c>
      <c r="G36" s="584" t="s">
        <v>449</v>
      </c>
      <c r="H36" s="585">
        <v>3.0000000000000001E-3</v>
      </c>
      <c r="I36" s="998"/>
      <c r="J36" s="999"/>
      <c r="K36" s="1000"/>
      <c r="L36" s="90"/>
      <c r="M36" s="90"/>
    </row>
    <row r="37" spans="3:13">
      <c r="C37" s="90"/>
      <c r="D37" s="88" t="s">
        <v>105</v>
      </c>
      <c r="E37" s="582" t="s">
        <v>30</v>
      </c>
      <c r="F37" s="1184" t="s">
        <v>463</v>
      </c>
      <c r="G37" s="1185"/>
      <c r="H37" s="1186"/>
      <c r="I37" s="1021" t="s">
        <v>389</v>
      </c>
      <c r="J37" s="1015"/>
      <c r="K37" s="1016"/>
      <c r="L37" s="90"/>
      <c r="M37" s="90"/>
    </row>
    <row r="38" spans="3:13">
      <c r="C38" s="90"/>
      <c r="D38" s="162"/>
      <c r="E38" s="573" t="s">
        <v>432</v>
      </c>
      <c r="F38" s="1187"/>
      <c r="G38" s="1188"/>
      <c r="H38" s="1189"/>
      <c r="I38" s="995"/>
      <c r="J38" s="996"/>
      <c r="K38" s="997"/>
      <c r="L38" s="90"/>
      <c r="M38" s="90"/>
    </row>
    <row r="39" spans="3:13">
      <c r="C39" s="90"/>
      <c r="D39" s="162"/>
      <c r="E39" s="573" t="s">
        <v>433</v>
      </c>
      <c r="F39" s="1190">
        <v>1E-3</v>
      </c>
      <c r="G39" s="1191"/>
      <c r="H39" s="1192"/>
      <c r="I39" s="995"/>
      <c r="J39" s="996"/>
      <c r="K39" s="997"/>
      <c r="L39" s="90"/>
      <c r="M39" s="90"/>
    </row>
    <row r="40" spans="3:13">
      <c r="C40" s="90"/>
      <c r="D40" s="162"/>
      <c r="E40" s="573" t="s">
        <v>434</v>
      </c>
      <c r="F40" s="1190">
        <v>-1E-3</v>
      </c>
      <c r="G40" s="1191"/>
      <c r="H40" s="1192"/>
      <c r="I40" s="995"/>
      <c r="J40" s="996"/>
      <c r="K40" s="997"/>
      <c r="L40" s="91"/>
      <c r="M40" s="90"/>
    </row>
    <row r="41" spans="3:13" ht="20" thickBot="1">
      <c r="C41" s="90"/>
      <c r="D41" s="162"/>
      <c r="E41" s="574" t="s">
        <v>435</v>
      </c>
      <c r="F41" s="1160">
        <v>0.5</v>
      </c>
      <c r="G41" s="1161"/>
      <c r="H41" s="1162"/>
      <c r="I41" s="995"/>
      <c r="J41" s="996"/>
      <c r="K41" s="997"/>
      <c r="L41" s="91">
        <f>F41+TIME(5,30,0)</f>
        <v>0.72916666666666663</v>
      </c>
      <c r="M41" s="91">
        <f>L41-TIME(2,30,0)</f>
        <v>0.625</v>
      </c>
    </row>
    <row r="42" spans="3:13" ht="20" thickBot="1">
      <c r="C42" s="90"/>
      <c r="D42" s="162"/>
      <c r="E42" s="575" t="s">
        <v>436</v>
      </c>
      <c r="F42" s="264" t="s">
        <v>29</v>
      </c>
      <c r="G42" s="264" t="s">
        <v>28</v>
      </c>
      <c r="H42" s="265" t="s">
        <v>27</v>
      </c>
      <c r="I42" s="995"/>
      <c r="J42" s="996"/>
      <c r="K42" s="997"/>
      <c r="L42" s="90"/>
      <c r="M42" s="90"/>
    </row>
    <row r="43" spans="3:13">
      <c r="C43" s="90"/>
      <c r="D43" s="162"/>
      <c r="E43" s="576" t="s">
        <v>464</v>
      </c>
      <c r="F43" s="316">
        <v>-1E-3</v>
      </c>
      <c r="G43" s="316" t="s">
        <v>456</v>
      </c>
      <c r="H43" s="583">
        <v>3.0000000000000001E-3</v>
      </c>
      <c r="I43" s="995"/>
      <c r="J43" s="996"/>
      <c r="K43" s="997"/>
      <c r="L43" s="90"/>
      <c r="M43" s="90"/>
    </row>
    <row r="44" spans="3:13">
      <c r="C44" s="90"/>
      <c r="D44" s="162"/>
      <c r="E44" s="576" t="s">
        <v>465</v>
      </c>
      <c r="F44" s="316">
        <v>-1E-3</v>
      </c>
      <c r="G44" s="316" t="s">
        <v>458</v>
      </c>
      <c r="H44" s="583">
        <v>3.0000000000000001E-3</v>
      </c>
      <c r="I44" s="995"/>
      <c r="J44" s="996"/>
      <c r="K44" s="997"/>
      <c r="L44" s="90"/>
      <c r="M44" s="90"/>
    </row>
    <row r="45" spans="3:13">
      <c r="C45" s="90"/>
      <c r="D45" s="162"/>
      <c r="E45" s="576" t="s">
        <v>466</v>
      </c>
      <c r="F45" s="316">
        <v>3.0000000000000001E-3</v>
      </c>
      <c r="G45" s="316" t="s">
        <v>467</v>
      </c>
      <c r="H45" s="583">
        <v>1E-3</v>
      </c>
      <c r="I45" s="995"/>
      <c r="J45" s="996"/>
      <c r="K45" s="997"/>
      <c r="L45" s="90"/>
      <c r="M45" s="90"/>
    </row>
    <row r="46" spans="3:13">
      <c r="C46" s="90"/>
      <c r="D46" s="162"/>
      <c r="E46" s="576" t="s">
        <v>468</v>
      </c>
      <c r="F46" s="316">
        <v>3.0000000000000001E-3</v>
      </c>
      <c r="G46" s="316" t="s">
        <v>467</v>
      </c>
      <c r="H46" s="583">
        <v>1E-3</v>
      </c>
      <c r="I46" s="995"/>
      <c r="J46" s="996"/>
      <c r="K46" s="997"/>
      <c r="L46" s="90"/>
      <c r="M46" s="90"/>
    </row>
    <row r="47" spans="3:13">
      <c r="C47" s="90"/>
      <c r="D47" s="162"/>
      <c r="E47" s="576" t="s">
        <v>469</v>
      </c>
      <c r="F47" s="316">
        <v>1E-3</v>
      </c>
      <c r="G47" s="316" t="s">
        <v>462</v>
      </c>
      <c r="H47" s="583">
        <v>1E-3</v>
      </c>
      <c r="I47" s="995"/>
      <c r="J47" s="996"/>
      <c r="K47" s="997"/>
      <c r="L47" s="90"/>
      <c r="M47" s="90"/>
    </row>
    <row r="48" spans="3:13" ht="20" thickBot="1">
      <c r="C48" s="90"/>
      <c r="D48" s="162"/>
      <c r="E48" s="579" t="s">
        <v>470</v>
      </c>
      <c r="F48" s="584">
        <v>1E-3</v>
      </c>
      <c r="G48" s="584" t="s">
        <v>460</v>
      </c>
      <c r="H48" s="585">
        <v>1E-3</v>
      </c>
      <c r="I48" s="998"/>
      <c r="J48" s="999"/>
      <c r="K48" s="1000"/>
      <c r="L48" s="90"/>
      <c r="M48" s="90"/>
    </row>
    <row r="49" spans="3:13">
      <c r="C49" s="90"/>
      <c r="D49" s="88" t="s">
        <v>105</v>
      </c>
      <c r="E49" s="582" t="s">
        <v>30</v>
      </c>
      <c r="F49" s="1184" t="s">
        <v>390</v>
      </c>
      <c r="G49" s="1185"/>
      <c r="H49" s="1186"/>
      <c r="I49" s="1021" t="s">
        <v>471</v>
      </c>
      <c r="J49" s="1015"/>
      <c r="K49" s="1016"/>
      <c r="L49" s="90"/>
      <c r="M49" s="90"/>
    </row>
    <row r="50" spans="3:13">
      <c r="C50" s="90"/>
      <c r="D50" s="162"/>
      <c r="E50" s="573" t="s">
        <v>432</v>
      </c>
      <c r="F50" s="1187"/>
      <c r="G50" s="1188"/>
      <c r="H50" s="1189"/>
      <c r="I50" s="995"/>
      <c r="J50" s="996"/>
      <c r="K50" s="997"/>
      <c r="L50" s="90"/>
      <c r="M50" s="90"/>
    </row>
    <row r="51" spans="3:13">
      <c r="C51" s="90"/>
      <c r="D51" s="162"/>
      <c r="E51" s="573" t="s">
        <v>433</v>
      </c>
      <c r="F51" s="1190"/>
      <c r="G51" s="1191"/>
      <c r="H51" s="1192"/>
      <c r="I51" s="995"/>
      <c r="J51" s="996"/>
      <c r="K51" s="997"/>
      <c r="L51" s="90"/>
      <c r="M51" s="90"/>
    </row>
    <row r="52" spans="3:13">
      <c r="C52" s="90"/>
      <c r="D52" s="162"/>
      <c r="E52" s="573" t="s">
        <v>434</v>
      </c>
      <c r="F52" s="1169">
        <v>46.1</v>
      </c>
      <c r="G52" s="1170"/>
      <c r="H52" s="1171"/>
      <c r="I52" s="995"/>
      <c r="J52" s="996"/>
      <c r="K52" s="997"/>
      <c r="L52" s="91"/>
      <c r="M52" s="90"/>
    </row>
    <row r="53" spans="3:13" ht="20" thickBot="1">
      <c r="C53" s="90"/>
      <c r="D53" s="162"/>
      <c r="E53" s="574" t="s">
        <v>435</v>
      </c>
      <c r="F53" s="1160">
        <v>0.57291666666666663</v>
      </c>
      <c r="G53" s="1161"/>
      <c r="H53" s="1162"/>
      <c r="I53" s="995"/>
      <c r="J53" s="996"/>
      <c r="K53" s="997"/>
      <c r="L53" s="91">
        <f>F53+TIME(5,30,0)</f>
        <v>0.80208333333333326</v>
      </c>
      <c r="M53" s="91">
        <f>L53-TIME(2,30,0)</f>
        <v>0.69791666666666663</v>
      </c>
    </row>
    <row r="54" spans="3:13" ht="20" thickBot="1">
      <c r="C54" s="90"/>
      <c r="D54" s="162"/>
      <c r="E54" s="575" t="s">
        <v>436</v>
      </c>
      <c r="F54" s="264" t="s">
        <v>29</v>
      </c>
      <c r="G54" s="264" t="s">
        <v>28</v>
      </c>
      <c r="H54" s="265" t="s">
        <v>27</v>
      </c>
      <c r="I54" s="995"/>
      <c r="J54" s="996"/>
      <c r="K54" s="997"/>
      <c r="L54" s="90"/>
      <c r="M54" s="90"/>
    </row>
    <row r="55" spans="3:13">
      <c r="C55" s="90"/>
      <c r="D55" s="162"/>
      <c r="E55" s="576" t="s">
        <v>472</v>
      </c>
      <c r="F55" s="577">
        <v>46.1</v>
      </c>
      <c r="G55" s="577" t="s">
        <v>473</v>
      </c>
      <c r="H55" s="578">
        <v>45.3</v>
      </c>
      <c r="I55" s="995"/>
      <c r="J55" s="996"/>
      <c r="K55" s="997"/>
      <c r="L55" s="90"/>
      <c r="M55" s="90"/>
    </row>
    <row r="56" spans="3:13">
      <c r="C56" s="90"/>
      <c r="D56" s="162"/>
      <c r="E56" s="576" t="s">
        <v>439</v>
      </c>
      <c r="F56" s="577">
        <v>45.3</v>
      </c>
      <c r="G56" s="577" t="s">
        <v>474</v>
      </c>
      <c r="H56" s="578">
        <v>47.4</v>
      </c>
      <c r="I56" s="995"/>
      <c r="J56" s="996"/>
      <c r="K56" s="997"/>
      <c r="L56" s="90"/>
      <c r="M56" s="90"/>
    </row>
    <row r="57" spans="3:13">
      <c r="C57" s="90"/>
      <c r="D57" s="162"/>
      <c r="E57" s="576" t="s">
        <v>450</v>
      </c>
      <c r="F57" s="577">
        <v>47.4</v>
      </c>
      <c r="G57" s="577" t="s">
        <v>475</v>
      </c>
      <c r="H57" s="578">
        <v>35.4</v>
      </c>
      <c r="I57" s="995"/>
      <c r="J57" s="996"/>
      <c r="K57" s="997"/>
      <c r="L57" s="90"/>
      <c r="M57" s="90"/>
    </row>
    <row r="58" spans="3:13">
      <c r="C58" s="90"/>
      <c r="D58" s="162"/>
      <c r="E58" s="576" t="s">
        <v>442</v>
      </c>
      <c r="F58" s="577">
        <v>35.4</v>
      </c>
      <c r="G58" s="577" t="s">
        <v>476</v>
      </c>
      <c r="H58" s="578">
        <v>37.9</v>
      </c>
      <c r="I58" s="995"/>
      <c r="J58" s="996"/>
      <c r="K58" s="997"/>
      <c r="L58" s="90"/>
      <c r="M58" s="90"/>
    </row>
    <row r="59" spans="3:13">
      <c r="C59" s="90"/>
      <c r="D59" s="162"/>
      <c r="E59" s="576" t="s">
        <v>444</v>
      </c>
      <c r="F59" s="577">
        <v>37.9</v>
      </c>
      <c r="G59" s="577" t="s">
        <v>477</v>
      </c>
      <c r="H59" s="578">
        <v>41.4</v>
      </c>
      <c r="I59" s="995"/>
      <c r="J59" s="996"/>
      <c r="K59" s="997"/>
      <c r="L59" s="90"/>
      <c r="M59" s="90"/>
    </row>
    <row r="60" spans="3:13" ht="20" thickBot="1">
      <c r="C60" s="90"/>
      <c r="D60" s="162"/>
      <c r="E60" s="579" t="s">
        <v>453</v>
      </c>
      <c r="F60" s="580">
        <v>41.4</v>
      </c>
      <c r="G60" s="580" t="s">
        <v>478</v>
      </c>
      <c r="H60" s="581">
        <v>44</v>
      </c>
      <c r="I60" s="998"/>
      <c r="J60" s="999"/>
      <c r="K60" s="1000"/>
      <c r="L60" s="90"/>
      <c r="M60" s="90"/>
    </row>
    <row r="61" spans="3:13">
      <c r="C61" s="90"/>
      <c r="D61" s="88" t="s">
        <v>105</v>
      </c>
      <c r="E61" s="582" t="s">
        <v>30</v>
      </c>
      <c r="F61" s="1184" t="s">
        <v>20</v>
      </c>
      <c r="G61" s="1185"/>
      <c r="H61" s="1186"/>
      <c r="I61" s="1021" t="s">
        <v>392</v>
      </c>
      <c r="J61" s="1015"/>
      <c r="K61" s="1016"/>
      <c r="L61" s="90"/>
      <c r="M61" s="90"/>
    </row>
    <row r="62" spans="3:13">
      <c r="C62" s="90"/>
      <c r="D62" s="162"/>
      <c r="E62" s="573" t="s">
        <v>432</v>
      </c>
      <c r="F62" s="1187"/>
      <c r="G62" s="1188"/>
      <c r="H62" s="1189"/>
      <c r="I62" s="995"/>
      <c r="J62" s="996"/>
      <c r="K62" s="997"/>
      <c r="L62" s="90"/>
      <c r="M62" s="90"/>
    </row>
    <row r="63" spans="3:13">
      <c r="C63" s="90"/>
      <c r="D63" s="162"/>
      <c r="E63" s="573" t="s">
        <v>433</v>
      </c>
      <c r="F63" s="1190"/>
      <c r="G63" s="1191"/>
      <c r="H63" s="1192"/>
      <c r="I63" s="995"/>
      <c r="J63" s="996"/>
      <c r="K63" s="997"/>
      <c r="L63" s="90"/>
      <c r="M63" s="90"/>
    </row>
    <row r="64" spans="3:13">
      <c r="C64" s="90"/>
      <c r="D64" s="162"/>
      <c r="E64" s="573" t="s">
        <v>434</v>
      </c>
      <c r="F64" s="1190"/>
      <c r="G64" s="1191"/>
      <c r="H64" s="1192"/>
      <c r="I64" s="995"/>
      <c r="J64" s="996"/>
      <c r="K64" s="997"/>
      <c r="L64" s="91"/>
      <c r="M64" s="90"/>
    </row>
    <row r="65" spans="3:13" ht="20" thickBot="1">
      <c r="C65" s="90"/>
      <c r="D65" s="162"/>
      <c r="E65" s="574" t="s">
        <v>435</v>
      </c>
      <c r="F65" s="1160">
        <v>0.70833333333333337</v>
      </c>
      <c r="G65" s="1161"/>
      <c r="H65" s="1162"/>
      <c r="I65" s="995"/>
      <c r="J65" s="996"/>
      <c r="K65" s="997"/>
      <c r="L65" s="91">
        <f>F65+TIME(5,30,0)</f>
        <v>0.9375</v>
      </c>
      <c r="M65" s="91">
        <f>L65-TIME(2,30,0)</f>
        <v>0.83333333333333337</v>
      </c>
    </row>
    <row r="66" spans="3:13" ht="20" thickBot="1">
      <c r="C66" s="90"/>
      <c r="D66" s="162"/>
      <c r="E66" s="575" t="s">
        <v>436</v>
      </c>
      <c r="F66" s="264" t="s">
        <v>29</v>
      </c>
      <c r="G66" s="264" t="s">
        <v>28</v>
      </c>
      <c r="H66" s="265" t="s">
        <v>27</v>
      </c>
      <c r="I66" s="995"/>
      <c r="J66" s="996"/>
      <c r="K66" s="997"/>
      <c r="L66" s="90"/>
      <c r="M66" s="90"/>
    </row>
    <row r="67" spans="3:13">
      <c r="C67" s="90"/>
      <c r="D67" s="162"/>
      <c r="E67" s="576" t="s">
        <v>479</v>
      </c>
      <c r="F67" s="316"/>
      <c r="G67" s="316"/>
      <c r="H67" s="583"/>
      <c r="I67" s="995"/>
      <c r="J67" s="996"/>
      <c r="K67" s="997"/>
      <c r="L67" s="90"/>
      <c r="M67" s="90"/>
    </row>
    <row r="68" spans="3:13">
      <c r="C68" s="90"/>
      <c r="D68" s="162"/>
      <c r="E68" s="576" t="s">
        <v>480</v>
      </c>
      <c r="F68" s="316"/>
      <c r="G68" s="316"/>
      <c r="H68" s="583"/>
      <c r="I68" s="995"/>
      <c r="J68" s="996"/>
      <c r="K68" s="997"/>
      <c r="L68" s="90"/>
      <c r="M68" s="90"/>
    </row>
    <row r="69" spans="3:13">
      <c r="C69" s="90"/>
      <c r="D69" s="162"/>
      <c r="E69" s="576" t="s">
        <v>481</v>
      </c>
      <c r="F69" s="316"/>
      <c r="G69" s="316"/>
      <c r="H69" s="583"/>
      <c r="I69" s="995"/>
      <c r="J69" s="996"/>
      <c r="K69" s="997"/>
      <c r="L69" s="90"/>
      <c r="M69" s="90"/>
    </row>
    <row r="70" spans="3:13">
      <c r="C70" s="90"/>
      <c r="D70" s="162"/>
      <c r="E70" s="576" t="s">
        <v>482</v>
      </c>
      <c r="F70" s="316"/>
      <c r="G70" s="316"/>
      <c r="H70" s="583"/>
      <c r="I70" s="995"/>
      <c r="J70" s="996"/>
      <c r="K70" s="997"/>
      <c r="L70" s="90"/>
      <c r="M70" s="90"/>
    </row>
    <row r="71" spans="3:13">
      <c r="C71" s="90"/>
      <c r="D71" s="162"/>
      <c r="E71" s="576" t="s">
        <v>483</v>
      </c>
      <c r="F71" s="316"/>
      <c r="G71" s="316"/>
      <c r="H71" s="583"/>
      <c r="I71" s="995"/>
      <c r="J71" s="996"/>
      <c r="K71" s="997"/>
      <c r="L71" s="90"/>
      <c r="M71" s="90"/>
    </row>
    <row r="72" spans="3:13" ht="20" thickBot="1">
      <c r="C72" s="90"/>
      <c r="D72" s="162"/>
      <c r="E72" s="579" t="s">
        <v>484</v>
      </c>
      <c r="F72" s="584"/>
      <c r="G72" s="584"/>
      <c r="H72" s="585"/>
      <c r="I72" s="998"/>
      <c r="J72" s="999"/>
      <c r="K72" s="1000"/>
      <c r="L72" s="90"/>
      <c r="M72" s="90"/>
    </row>
    <row r="73" spans="3:13">
      <c r="C73" s="90"/>
      <c r="D73" s="88" t="s">
        <v>105</v>
      </c>
      <c r="E73" s="582" t="s">
        <v>30</v>
      </c>
      <c r="F73" s="1184" t="s">
        <v>485</v>
      </c>
      <c r="G73" s="1185"/>
      <c r="H73" s="1186"/>
      <c r="I73" s="1021" t="s">
        <v>486</v>
      </c>
      <c r="J73" s="1015"/>
      <c r="K73" s="1016"/>
      <c r="L73" s="90"/>
      <c r="M73" s="90"/>
    </row>
    <row r="74" spans="3:13">
      <c r="C74" s="90"/>
      <c r="D74" s="162"/>
      <c r="E74" s="573" t="s">
        <v>432</v>
      </c>
      <c r="F74" s="1187"/>
      <c r="G74" s="1188"/>
      <c r="H74" s="1189"/>
      <c r="I74" s="995"/>
      <c r="J74" s="996"/>
      <c r="K74" s="997"/>
      <c r="L74" s="90"/>
      <c r="M74" s="90"/>
    </row>
    <row r="75" spans="3:13">
      <c r="C75" s="90"/>
      <c r="D75" s="162"/>
      <c r="E75" s="573" t="s">
        <v>433</v>
      </c>
      <c r="F75" s="1169"/>
      <c r="G75" s="1170"/>
      <c r="H75" s="1171"/>
      <c r="I75" s="995"/>
      <c r="J75" s="996"/>
      <c r="K75" s="997"/>
      <c r="L75" s="90"/>
      <c r="M75" s="90"/>
    </row>
    <row r="76" spans="3:13">
      <c r="C76" s="90"/>
      <c r="D76" s="162"/>
      <c r="E76" s="573" t="s">
        <v>434</v>
      </c>
      <c r="F76" s="1178">
        <v>2.1999999999999999E-2</v>
      </c>
      <c r="G76" s="1179"/>
      <c r="H76" s="1180"/>
      <c r="I76" s="995"/>
      <c r="J76" s="996"/>
      <c r="K76" s="997"/>
      <c r="L76" s="91"/>
      <c r="M76" s="90"/>
    </row>
    <row r="77" spans="3:13" ht="20" thickBot="1">
      <c r="C77" s="90"/>
      <c r="D77" s="162"/>
      <c r="E77" s="574" t="s">
        <v>487</v>
      </c>
      <c r="F77" s="1160">
        <v>0.375</v>
      </c>
      <c r="G77" s="1161"/>
      <c r="H77" s="1162"/>
      <c r="I77" s="995"/>
      <c r="J77" s="996"/>
      <c r="K77" s="997"/>
      <c r="L77" s="91">
        <f>F77+TIME(5,30,0)</f>
        <v>0.60416666666666663</v>
      </c>
      <c r="M77" s="91">
        <f>L77-TIME(2,30,0)</f>
        <v>0.49999999999999994</v>
      </c>
    </row>
    <row r="78" spans="3:13" ht="20" thickBot="1">
      <c r="C78" s="90"/>
      <c r="D78" s="162"/>
      <c r="E78" s="575" t="s">
        <v>488</v>
      </c>
      <c r="F78" s="264" t="s">
        <v>29</v>
      </c>
      <c r="G78" s="264" t="s">
        <v>28</v>
      </c>
      <c r="H78" s="265" t="s">
        <v>27</v>
      </c>
      <c r="I78" s="995"/>
      <c r="J78" s="996"/>
      <c r="K78" s="997"/>
      <c r="L78" s="90"/>
      <c r="M78" s="90"/>
    </row>
    <row r="79" spans="3:13">
      <c r="C79" s="90"/>
      <c r="D79" s="162"/>
      <c r="E79" s="576" t="s">
        <v>489</v>
      </c>
      <c r="F79" s="316">
        <v>2.1999999999999999E-2</v>
      </c>
      <c r="G79" s="316" t="s">
        <v>490</v>
      </c>
      <c r="H79" s="583">
        <v>2.5999999999999999E-2</v>
      </c>
      <c r="I79" s="995"/>
      <c r="J79" s="996"/>
      <c r="K79" s="997"/>
      <c r="L79" s="90"/>
      <c r="M79" s="90"/>
    </row>
    <row r="80" spans="3:13">
      <c r="C80" s="90"/>
      <c r="D80" s="162"/>
      <c r="E80" s="576" t="s">
        <v>491</v>
      </c>
      <c r="F80" s="316">
        <v>2.1999999999999999E-2</v>
      </c>
      <c r="G80" s="316" t="s">
        <v>490</v>
      </c>
      <c r="H80" s="583">
        <v>2.5999999999999999E-2</v>
      </c>
      <c r="I80" s="995"/>
      <c r="J80" s="996"/>
      <c r="K80" s="997"/>
      <c r="L80" s="90"/>
      <c r="M80" s="90"/>
    </row>
    <row r="81" spans="3:13">
      <c r="C81" s="90"/>
      <c r="D81" s="162"/>
      <c r="E81" s="576" t="s">
        <v>492</v>
      </c>
      <c r="F81" s="316">
        <v>2.5999999999999999E-2</v>
      </c>
      <c r="G81" s="316" t="s">
        <v>493</v>
      </c>
      <c r="H81" s="583">
        <v>2.5000000000000001E-2</v>
      </c>
      <c r="I81" s="995"/>
      <c r="J81" s="996"/>
      <c r="K81" s="997"/>
      <c r="L81" s="90"/>
      <c r="M81" s="90"/>
    </row>
    <row r="82" spans="3:13">
      <c r="C82" s="90"/>
      <c r="D82" s="162"/>
      <c r="E82" s="576" t="s">
        <v>494</v>
      </c>
      <c r="F82" s="316">
        <v>2.5999999999999999E-2</v>
      </c>
      <c r="G82" s="316" t="s">
        <v>495</v>
      </c>
      <c r="H82" s="583">
        <v>2.5000000000000001E-2</v>
      </c>
      <c r="I82" s="995"/>
      <c r="J82" s="996"/>
      <c r="K82" s="997"/>
      <c r="L82" s="90"/>
      <c r="M82" s="90"/>
    </row>
    <row r="83" spans="3:13">
      <c r="C83" s="90"/>
      <c r="D83" s="162"/>
      <c r="E83" s="576" t="s">
        <v>496</v>
      </c>
      <c r="F83" s="316">
        <v>2.5000000000000001E-2</v>
      </c>
      <c r="G83" s="316" t="s">
        <v>495</v>
      </c>
      <c r="H83" s="583">
        <v>2.5999999999999999E-2</v>
      </c>
      <c r="I83" s="995"/>
      <c r="J83" s="996"/>
      <c r="K83" s="997"/>
      <c r="L83" s="90"/>
      <c r="M83" s="90"/>
    </row>
    <row r="84" spans="3:13" ht="20" thickBot="1">
      <c r="C84" s="90"/>
      <c r="D84" s="162"/>
      <c r="E84" s="579" t="s">
        <v>497</v>
      </c>
      <c r="F84" s="584">
        <v>2.5000000000000001E-2</v>
      </c>
      <c r="G84" s="584" t="s">
        <v>495</v>
      </c>
      <c r="H84" s="585">
        <v>2.5999999999999999E-2</v>
      </c>
      <c r="I84" s="998"/>
      <c r="J84" s="999"/>
      <c r="K84" s="1000"/>
      <c r="L84" s="90"/>
      <c r="M84" s="90"/>
    </row>
    <row r="85" spans="3:13">
      <c r="C85" s="90"/>
      <c r="D85" s="88" t="s">
        <v>105</v>
      </c>
      <c r="E85" s="582" t="s">
        <v>30</v>
      </c>
      <c r="F85" s="1184" t="s">
        <v>498</v>
      </c>
      <c r="G85" s="1185"/>
      <c r="H85" s="1186"/>
      <c r="I85" s="1021" t="s">
        <v>396</v>
      </c>
      <c r="J85" s="1015"/>
      <c r="K85" s="1016"/>
      <c r="L85" s="90"/>
      <c r="M85" s="90"/>
    </row>
    <row r="86" spans="3:13">
      <c r="C86" s="90"/>
      <c r="D86" s="162"/>
      <c r="E86" s="573" t="s">
        <v>432</v>
      </c>
      <c r="F86" s="1187"/>
      <c r="G86" s="1188"/>
      <c r="H86" s="1189"/>
      <c r="I86" s="995"/>
      <c r="J86" s="996"/>
      <c r="K86" s="997"/>
      <c r="L86" s="90"/>
      <c r="M86" s="90"/>
    </row>
    <row r="87" spans="3:13">
      <c r="C87" s="90"/>
      <c r="D87" s="162"/>
      <c r="E87" s="573" t="s">
        <v>433</v>
      </c>
      <c r="F87" s="1169">
        <v>47</v>
      </c>
      <c r="G87" s="1170"/>
      <c r="H87" s="1171"/>
      <c r="I87" s="995"/>
      <c r="J87" s="996"/>
      <c r="K87" s="997"/>
      <c r="L87" s="90"/>
      <c r="M87" s="90"/>
    </row>
    <row r="88" spans="3:13">
      <c r="C88" s="90"/>
      <c r="D88" s="162"/>
      <c r="E88" s="573" t="s">
        <v>434</v>
      </c>
      <c r="F88" s="1169">
        <v>47</v>
      </c>
      <c r="G88" s="1170"/>
      <c r="H88" s="1171"/>
      <c r="I88" s="995"/>
      <c r="J88" s="996"/>
      <c r="K88" s="997"/>
      <c r="L88" s="91"/>
      <c r="M88" s="90"/>
    </row>
    <row r="89" spans="3:13" ht="20" thickBot="1">
      <c r="C89" s="90"/>
      <c r="D89" s="162"/>
      <c r="E89" s="574" t="s">
        <v>435</v>
      </c>
      <c r="F89" s="1160">
        <v>0.57291666666666663</v>
      </c>
      <c r="G89" s="1161"/>
      <c r="H89" s="1162"/>
      <c r="I89" s="995"/>
      <c r="J89" s="996"/>
      <c r="K89" s="997"/>
      <c r="L89" s="91">
        <f>F89+TIME(5,30,0)</f>
        <v>0.80208333333333326</v>
      </c>
      <c r="M89" s="91">
        <f>L89-TIME(2,30,0)</f>
        <v>0.69791666666666663</v>
      </c>
    </row>
    <row r="90" spans="3:13" ht="20" thickBot="1">
      <c r="C90" s="90"/>
      <c r="D90" s="162"/>
      <c r="E90" s="575" t="s">
        <v>436</v>
      </c>
      <c r="F90" s="264" t="s">
        <v>29</v>
      </c>
      <c r="G90" s="264" t="s">
        <v>28</v>
      </c>
      <c r="H90" s="265" t="s">
        <v>27</v>
      </c>
      <c r="I90" s="995"/>
      <c r="J90" s="996"/>
      <c r="K90" s="997"/>
      <c r="L90" s="90"/>
      <c r="M90" s="90"/>
    </row>
    <row r="91" spans="3:13">
      <c r="C91" s="90"/>
      <c r="D91" s="162"/>
      <c r="E91" s="576" t="s">
        <v>499</v>
      </c>
      <c r="F91" s="323">
        <v>47</v>
      </c>
      <c r="G91" s="323" t="s">
        <v>500</v>
      </c>
      <c r="H91" s="586">
        <v>47.9</v>
      </c>
      <c r="I91" s="995"/>
      <c r="J91" s="996"/>
      <c r="K91" s="997"/>
      <c r="L91" s="90"/>
      <c r="M91" s="90"/>
    </row>
    <row r="92" spans="3:13">
      <c r="C92" s="90"/>
      <c r="D92" s="162"/>
      <c r="E92" s="576" t="s">
        <v>501</v>
      </c>
      <c r="F92" s="323">
        <v>47.9</v>
      </c>
      <c r="G92" s="323" t="s">
        <v>502</v>
      </c>
      <c r="H92" s="586">
        <v>49.6</v>
      </c>
      <c r="I92" s="995"/>
      <c r="J92" s="996"/>
      <c r="K92" s="997"/>
      <c r="L92" s="90"/>
      <c r="M92" s="90"/>
    </row>
    <row r="93" spans="3:13">
      <c r="C93" s="90"/>
      <c r="D93" s="162"/>
      <c r="E93" s="576" t="s">
        <v>503</v>
      </c>
      <c r="F93" s="323">
        <v>48</v>
      </c>
      <c r="G93" s="323" t="s">
        <v>438</v>
      </c>
      <c r="H93" s="586">
        <v>49.6</v>
      </c>
      <c r="I93" s="995"/>
      <c r="J93" s="996"/>
      <c r="K93" s="997"/>
      <c r="L93" s="90"/>
      <c r="M93" s="90"/>
    </row>
    <row r="94" spans="3:13">
      <c r="C94" s="90"/>
      <c r="D94" s="162"/>
      <c r="E94" s="576" t="s">
        <v>504</v>
      </c>
      <c r="F94" s="323">
        <v>49.6</v>
      </c>
      <c r="G94" s="323" t="s">
        <v>438</v>
      </c>
      <c r="H94" s="586">
        <v>51.6</v>
      </c>
      <c r="I94" s="995"/>
      <c r="J94" s="996"/>
      <c r="K94" s="997"/>
      <c r="L94" s="90"/>
      <c r="M94" s="90"/>
    </row>
    <row r="95" spans="3:13">
      <c r="C95" s="90"/>
      <c r="D95" s="162"/>
      <c r="E95" s="576" t="s">
        <v>505</v>
      </c>
      <c r="F95" s="323">
        <v>49.5</v>
      </c>
      <c r="G95" s="323" t="s">
        <v>506</v>
      </c>
      <c r="H95" s="586">
        <v>51.6</v>
      </c>
      <c r="I95" s="995"/>
      <c r="J95" s="996"/>
      <c r="K95" s="997"/>
      <c r="L95" s="90"/>
      <c r="M95" s="90"/>
    </row>
    <row r="96" spans="3:13" ht="20" thickBot="1">
      <c r="C96" s="90"/>
      <c r="D96" s="162"/>
      <c r="E96" s="579" t="s">
        <v>507</v>
      </c>
      <c r="F96" s="587">
        <v>51.6</v>
      </c>
      <c r="G96" s="587" t="s">
        <v>506</v>
      </c>
      <c r="H96" s="588">
        <v>51.3</v>
      </c>
      <c r="I96" s="998"/>
      <c r="J96" s="999"/>
      <c r="K96" s="1000"/>
      <c r="L96" s="90"/>
      <c r="M96" s="90"/>
    </row>
    <row r="97" spans="3:13">
      <c r="C97" s="90"/>
      <c r="D97" s="88" t="s">
        <v>105</v>
      </c>
      <c r="E97" s="582" t="s">
        <v>30</v>
      </c>
      <c r="F97" s="1184" t="s">
        <v>508</v>
      </c>
      <c r="G97" s="1185"/>
      <c r="H97" s="1186"/>
      <c r="I97" s="1021" t="s">
        <v>398</v>
      </c>
      <c r="J97" s="1015"/>
      <c r="K97" s="1016"/>
      <c r="L97" s="90"/>
      <c r="M97" s="90"/>
    </row>
    <row r="98" spans="3:13">
      <c r="C98" s="90"/>
      <c r="D98" s="162"/>
      <c r="E98" s="573" t="s">
        <v>432</v>
      </c>
      <c r="F98" s="1187"/>
      <c r="G98" s="1188"/>
      <c r="H98" s="1189"/>
      <c r="I98" s="995"/>
      <c r="J98" s="996"/>
      <c r="K98" s="997"/>
      <c r="L98" s="90"/>
      <c r="M98" s="90"/>
    </row>
    <row r="99" spans="3:13">
      <c r="C99" s="90"/>
      <c r="D99" s="162"/>
      <c r="E99" s="573" t="s">
        <v>433</v>
      </c>
      <c r="F99" s="1169">
        <v>47.6</v>
      </c>
      <c r="G99" s="1170"/>
      <c r="H99" s="1171"/>
      <c r="I99" s="995"/>
      <c r="J99" s="996"/>
      <c r="K99" s="997"/>
      <c r="L99" s="90"/>
      <c r="M99" s="90"/>
    </row>
    <row r="100" spans="3:13">
      <c r="C100" s="90"/>
      <c r="D100" s="162"/>
      <c r="E100" s="573" t="s">
        <v>434</v>
      </c>
      <c r="F100" s="1169">
        <v>47.2</v>
      </c>
      <c r="G100" s="1170"/>
      <c r="H100" s="1171"/>
      <c r="I100" s="995"/>
      <c r="J100" s="996"/>
      <c r="K100" s="997"/>
      <c r="L100" s="91"/>
      <c r="M100" s="90"/>
    </row>
    <row r="101" spans="3:13" ht="20" thickBot="1">
      <c r="C101" s="90"/>
      <c r="D101" s="162"/>
      <c r="E101" s="574" t="s">
        <v>435</v>
      </c>
      <c r="F101" s="1160">
        <v>0.58333333333333337</v>
      </c>
      <c r="G101" s="1161"/>
      <c r="H101" s="1162"/>
      <c r="I101" s="995"/>
      <c r="J101" s="996"/>
      <c r="K101" s="997"/>
      <c r="L101" s="91">
        <f>F101+TIME(5,30,0)</f>
        <v>0.8125</v>
      </c>
      <c r="M101" s="91">
        <f>L101-TIME(2,30,0)</f>
        <v>0.70833333333333337</v>
      </c>
    </row>
    <row r="102" spans="3:13" ht="20" thickBot="1">
      <c r="C102" s="90"/>
      <c r="D102" s="162"/>
      <c r="E102" s="575" t="s">
        <v>436</v>
      </c>
      <c r="F102" s="264" t="s">
        <v>29</v>
      </c>
      <c r="G102" s="264" t="s">
        <v>28</v>
      </c>
      <c r="H102" s="265" t="s">
        <v>27</v>
      </c>
      <c r="I102" s="995"/>
      <c r="J102" s="996"/>
      <c r="K102" s="997"/>
      <c r="L102" s="90"/>
      <c r="M102" s="90"/>
    </row>
    <row r="103" spans="3:13">
      <c r="C103" s="90"/>
      <c r="D103" s="162"/>
      <c r="E103" s="576" t="s">
        <v>501</v>
      </c>
      <c r="F103" s="577">
        <v>47.2</v>
      </c>
      <c r="G103" s="577" t="s">
        <v>509</v>
      </c>
      <c r="H103" s="578">
        <v>46.8</v>
      </c>
      <c r="I103" s="995"/>
      <c r="J103" s="996"/>
      <c r="K103" s="997"/>
      <c r="L103" s="90"/>
      <c r="M103" s="90"/>
    </row>
    <row r="104" spans="3:13">
      <c r="C104" s="90"/>
      <c r="D104" s="162"/>
      <c r="E104" s="576" t="s">
        <v>504</v>
      </c>
      <c r="F104" s="577">
        <v>46.8</v>
      </c>
      <c r="G104" s="577" t="s">
        <v>510</v>
      </c>
      <c r="H104" s="578">
        <v>48.5</v>
      </c>
      <c r="I104" s="995"/>
      <c r="J104" s="996"/>
      <c r="K104" s="997"/>
      <c r="L104" s="90"/>
      <c r="M104" s="90"/>
    </row>
    <row r="105" spans="3:13">
      <c r="C105" s="90"/>
      <c r="D105" s="162"/>
      <c r="E105" s="576" t="s">
        <v>507</v>
      </c>
      <c r="F105" s="577">
        <v>48.5</v>
      </c>
      <c r="G105" s="577" t="s">
        <v>511</v>
      </c>
      <c r="H105" s="578">
        <v>48.7</v>
      </c>
      <c r="I105" s="995"/>
      <c r="J105" s="996"/>
      <c r="K105" s="997"/>
      <c r="L105" s="90"/>
      <c r="M105" s="90"/>
    </row>
    <row r="106" spans="3:13">
      <c r="C106" s="90"/>
      <c r="D106" s="162"/>
      <c r="E106" s="576" t="s">
        <v>512</v>
      </c>
      <c r="F106" s="577">
        <v>48.7</v>
      </c>
      <c r="G106" s="577" t="s">
        <v>513</v>
      </c>
      <c r="H106" s="578">
        <v>49.2</v>
      </c>
      <c r="I106" s="995"/>
      <c r="J106" s="996"/>
      <c r="K106" s="997"/>
      <c r="L106" s="90"/>
      <c r="M106" s="90"/>
    </row>
    <row r="107" spans="3:13">
      <c r="C107" s="90"/>
      <c r="D107" s="162"/>
      <c r="E107" s="576" t="s">
        <v>514</v>
      </c>
      <c r="F107" s="577">
        <v>49.2</v>
      </c>
      <c r="G107" s="577" t="s">
        <v>515</v>
      </c>
      <c r="H107" s="578">
        <v>50.3</v>
      </c>
      <c r="I107" s="995"/>
      <c r="J107" s="996"/>
      <c r="K107" s="997"/>
      <c r="L107" s="90"/>
      <c r="M107" s="90"/>
    </row>
    <row r="108" spans="3:13" ht="20" thickBot="1">
      <c r="C108" s="90"/>
      <c r="D108" s="162"/>
      <c r="E108" s="579" t="s">
        <v>516</v>
      </c>
      <c r="F108" s="580">
        <v>50.3</v>
      </c>
      <c r="G108" s="580" t="s">
        <v>517</v>
      </c>
      <c r="H108" s="581">
        <v>47.8</v>
      </c>
      <c r="I108" s="998"/>
      <c r="J108" s="999"/>
      <c r="K108" s="1000"/>
      <c r="L108" s="90"/>
      <c r="M108" s="90"/>
    </row>
    <row r="109" spans="3:13">
      <c r="C109" s="90"/>
      <c r="D109" s="88" t="s">
        <v>105</v>
      </c>
      <c r="E109" s="582" t="s">
        <v>30</v>
      </c>
      <c r="F109" s="1184" t="s">
        <v>518</v>
      </c>
      <c r="G109" s="1185"/>
      <c r="H109" s="1186"/>
      <c r="I109" s="1021" t="s">
        <v>400</v>
      </c>
      <c r="J109" s="1015"/>
      <c r="K109" s="1016"/>
      <c r="L109" s="90"/>
      <c r="M109" s="90"/>
    </row>
    <row r="110" spans="3:13">
      <c r="C110" s="90"/>
      <c r="D110" s="162"/>
      <c r="E110" s="573" t="s">
        <v>432</v>
      </c>
      <c r="F110" s="1187"/>
      <c r="G110" s="1188"/>
      <c r="H110" s="1189"/>
      <c r="I110" s="995"/>
      <c r="J110" s="996"/>
      <c r="K110" s="997"/>
      <c r="L110" s="90"/>
      <c r="M110" s="90"/>
    </row>
    <row r="111" spans="3:13">
      <c r="C111" s="90"/>
      <c r="D111" s="162"/>
      <c r="E111" s="573" t="s">
        <v>433</v>
      </c>
      <c r="F111" s="1169">
        <v>53.7</v>
      </c>
      <c r="G111" s="1170"/>
      <c r="H111" s="1171"/>
      <c r="I111" s="995"/>
      <c r="J111" s="996"/>
      <c r="K111" s="997"/>
      <c r="L111" s="90"/>
      <c r="M111" s="90"/>
    </row>
    <row r="112" spans="3:13">
      <c r="C112" s="90"/>
      <c r="D112" s="162"/>
      <c r="E112" s="573" t="s">
        <v>434</v>
      </c>
      <c r="F112" s="1169">
        <v>54</v>
      </c>
      <c r="G112" s="1170"/>
      <c r="H112" s="1171"/>
      <c r="I112" s="995"/>
      <c r="J112" s="996"/>
      <c r="K112" s="997"/>
      <c r="L112" s="91"/>
      <c r="M112" s="90"/>
    </row>
    <row r="113" spans="3:13" ht="20" thickBot="1">
      <c r="C113" s="90"/>
      <c r="D113" s="162"/>
      <c r="E113" s="574" t="s">
        <v>435</v>
      </c>
      <c r="F113" s="1160">
        <v>0.58333333333333337</v>
      </c>
      <c r="G113" s="1161"/>
      <c r="H113" s="1162"/>
      <c r="I113" s="995"/>
      <c r="J113" s="996"/>
      <c r="K113" s="997"/>
      <c r="L113" s="91">
        <f>F113+TIME(5,30,0)</f>
        <v>0.8125</v>
      </c>
      <c r="M113" s="91">
        <f>L113-TIME(2,30,0)</f>
        <v>0.70833333333333337</v>
      </c>
    </row>
    <row r="114" spans="3:13" ht="20" thickBot="1">
      <c r="C114" s="90"/>
      <c r="D114" s="162"/>
      <c r="E114" s="575" t="s">
        <v>436</v>
      </c>
      <c r="F114" s="264" t="s">
        <v>29</v>
      </c>
      <c r="G114" s="264" t="s">
        <v>28</v>
      </c>
      <c r="H114" s="265" t="s">
        <v>27</v>
      </c>
      <c r="I114" s="995"/>
      <c r="J114" s="996"/>
      <c r="K114" s="997"/>
      <c r="L114" s="90"/>
      <c r="M114" s="90"/>
    </row>
    <row r="115" spans="3:13">
      <c r="C115" s="90"/>
      <c r="D115" s="162"/>
      <c r="E115" s="576" t="s">
        <v>501</v>
      </c>
      <c r="F115" s="323">
        <v>54</v>
      </c>
      <c r="G115" s="323" t="s">
        <v>519</v>
      </c>
      <c r="H115" s="586">
        <v>52.9</v>
      </c>
      <c r="I115" s="995"/>
      <c r="J115" s="996"/>
      <c r="K115" s="997"/>
      <c r="L115" s="90"/>
      <c r="M115" s="90"/>
    </row>
    <row r="116" spans="3:13">
      <c r="C116" s="90"/>
      <c r="D116" s="162"/>
      <c r="E116" s="576" t="s">
        <v>504</v>
      </c>
      <c r="F116" s="323">
        <v>52.9</v>
      </c>
      <c r="G116" s="323" t="s">
        <v>520</v>
      </c>
      <c r="H116" s="586">
        <v>52.1</v>
      </c>
      <c r="I116" s="995"/>
      <c r="J116" s="996"/>
      <c r="K116" s="997"/>
      <c r="L116" s="90"/>
      <c r="M116" s="90"/>
    </row>
    <row r="117" spans="3:13">
      <c r="C117" s="90"/>
      <c r="D117" s="162"/>
      <c r="E117" s="576" t="s">
        <v>507</v>
      </c>
      <c r="F117" s="323">
        <v>52.1</v>
      </c>
      <c r="G117" s="323" t="s">
        <v>521</v>
      </c>
      <c r="H117" s="586">
        <v>57</v>
      </c>
      <c r="I117" s="995"/>
      <c r="J117" s="996"/>
      <c r="K117" s="997"/>
      <c r="L117" s="90"/>
      <c r="M117" s="90"/>
    </row>
    <row r="118" spans="3:13">
      <c r="C118" s="90"/>
      <c r="D118" s="162"/>
      <c r="E118" s="576" t="s">
        <v>512</v>
      </c>
      <c r="F118" s="323">
        <v>57</v>
      </c>
      <c r="G118" s="323" t="s">
        <v>522</v>
      </c>
      <c r="H118" s="586">
        <v>60.9</v>
      </c>
      <c r="I118" s="995"/>
      <c r="J118" s="996"/>
      <c r="K118" s="997"/>
      <c r="L118" s="90"/>
      <c r="M118" s="90"/>
    </row>
    <row r="119" spans="3:13">
      <c r="C119" s="90"/>
      <c r="D119" s="162"/>
      <c r="E119" s="576" t="s">
        <v>514</v>
      </c>
      <c r="F119" s="323">
        <v>60.9</v>
      </c>
      <c r="G119" s="323" t="s">
        <v>523</v>
      </c>
      <c r="H119" s="586">
        <v>55.8</v>
      </c>
      <c r="I119" s="995"/>
      <c r="J119" s="996"/>
      <c r="K119" s="997"/>
      <c r="L119" s="90"/>
      <c r="M119" s="90"/>
    </row>
    <row r="120" spans="3:13" ht="20" thickBot="1">
      <c r="C120" s="90"/>
      <c r="D120" s="162"/>
      <c r="E120" s="579" t="s">
        <v>516</v>
      </c>
      <c r="F120" s="587">
        <v>55.8</v>
      </c>
      <c r="G120" s="587" t="s">
        <v>524</v>
      </c>
      <c r="H120" s="588">
        <v>52.5</v>
      </c>
      <c r="I120" s="998"/>
      <c r="J120" s="999"/>
      <c r="K120" s="1000"/>
      <c r="L120" s="90"/>
      <c r="M120" s="90"/>
    </row>
    <row r="121" spans="3:13">
      <c r="C121" s="90"/>
      <c r="D121" s="88" t="s">
        <v>105</v>
      </c>
      <c r="E121" s="582" t="s">
        <v>30</v>
      </c>
      <c r="F121" s="1184" t="s">
        <v>525</v>
      </c>
      <c r="G121" s="1185"/>
      <c r="H121" s="1186"/>
      <c r="I121" s="1021" t="s">
        <v>404</v>
      </c>
      <c r="J121" s="1015"/>
      <c r="K121" s="1016"/>
      <c r="L121" s="90"/>
      <c r="M121" s="90"/>
    </row>
    <row r="122" spans="3:13">
      <c r="C122" s="90"/>
      <c r="D122" s="162"/>
      <c r="E122" s="573" t="s">
        <v>432</v>
      </c>
      <c r="F122" s="1187"/>
      <c r="G122" s="1188"/>
      <c r="H122" s="1189"/>
      <c r="I122" s="995"/>
      <c r="J122" s="996"/>
      <c r="K122" s="997"/>
      <c r="L122" s="90"/>
      <c r="M122" s="90"/>
    </row>
    <row r="123" spans="3:13">
      <c r="C123" s="90"/>
      <c r="D123" s="162"/>
      <c r="E123" s="573" t="s">
        <v>433</v>
      </c>
      <c r="F123" s="1169" t="s">
        <v>402</v>
      </c>
      <c r="G123" s="1170"/>
      <c r="H123" s="1171"/>
      <c r="I123" s="995"/>
      <c r="J123" s="996"/>
      <c r="K123" s="997"/>
      <c r="L123" s="90"/>
      <c r="M123" s="90"/>
    </row>
    <row r="124" spans="3:13">
      <c r="C124" s="90"/>
      <c r="D124" s="162"/>
      <c r="E124" s="573" t="s">
        <v>434</v>
      </c>
      <c r="F124" s="1169" t="s">
        <v>403</v>
      </c>
      <c r="G124" s="1170"/>
      <c r="H124" s="1171"/>
      <c r="I124" s="995"/>
      <c r="J124" s="996"/>
      <c r="K124" s="997"/>
      <c r="L124" s="91"/>
      <c r="M124" s="90"/>
    </row>
    <row r="125" spans="3:13" ht="20" thickBot="1">
      <c r="C125" s="90"/>
      <c r="D125" s="162"/>
      <c r="E125" s="574" t="s">
        <v>435</v>
      </c>
      <c r="F125" s="1160">
        <v>0.58333333333333337</v>
      </c>
      <c r="G125" s="1161"/>
      <c r="H125" s="1162"/>
      <c r="I125" s="995"/>
      <c r="J125" s="996"/>
      <c r="K125" s="997"/>
      <c r="L125" s="91">
        <f>F125+TIME(5,30,0)</f>
        <v>0.8125</v>
      </c>
      <c r="M125" s="91">
        <f>L125-TIME(2,30,0)</f>
        <v>0.70833333333333337</v>
      </c>
    </row>
    <row r="126" spans="3:13" ht="20" thickBot="1">
      <c r="C126" s="90"/>
      <c r="D126" s="162"/>
      <c r="E126" s="575" t="s">
        <v>436</v>
      </c>
      <c r="F126" s="264" t="s">
        <v>29</v>
      </c>
      <c r="G126" s="264" t="s">
        <v>28</v>
      </c>
      <c r="H126" s="265" t="s">
        <v>27</v>
      </c>
      <c r="I126" s="995"/>
      <c r="J126" s="996"/>
      <c r="K126" s="997"/>
      <c r="L126" s="90"/>
      <c r="M126" s="90"/>
    </row>
    <row r="127" spans="3:13">
      <c r="C127" s="90"/>
      <c r="D127" s="162"/>
      <c r="E127" s="576" t="s">
        <v>526</v>
      </c>
      <c r="F127" s="577" t="s">
        <v>403</v>
      </c>
      <c r="G127" s="577" t="s">
        <v>527</v>
      </c>
      <c r="H127" s="578" t="s">
        <v>528</v>
      </c>
      <c r="I127" s="995"/>
      <c r="J127" s="996"/>
      <c r="K127" s="997"/>
      <c r="L127" s="90"/>
      <c r="M127" s="90"/>
    </row>
    <row r="128" spans="3:13">
      <c r="C128" s="90"/>
      <c r="D128" s="162"/>
      <c r="E128" s="576" t="s">
        <v>529</v>
      </c>
      <c r="F128" s="577" t="s">
        <v>279</v>
      </c>
      <c r="G128" s="577" t="s">
        <v>530</v>
      </c>
      <c r="H128" s="578" t="s">
        <v>531</v>
      </c>
      <c r="I128" s="995"/>
      <c r="J128" s="996"/>
      <c r="K128" s="997"/>
      <c r="L128" s="90"/>
      <c r="M128" s="90"/>
    </row>
    <row r="129" spans="3:13">
      <c r="C129" s="90"/>
      <c r="D129" s="162"/>
      <c r="E129" s="576" t="s">
        <v>482</v>
      </c>
      <c r="F129" s="577" t="s">
        <v>111</v>
      </c>
      <c r="G129" s="577" t="s">
        <v>532</v>
      </c>
      <c r="H129" s="578" t="s">
        <v>533</v>
      </c>
      <c r="I129" s="995"/>
      <c r="J129" s="996"/>
      <c r="K129" s="997"/>
      <c r="L129" s="90"/>
      <c r="M129" s="90"/>
    </row>
    <row r="130" spans="3:13">
      <c r="C130" s="90"/>
      <c r="D130" s="162"/>
      <c r="E130" s="576" t="s">
        <v>534</v>
      </c>
      <c r="F130" s="577" t="s">
        <v>18</v>
      </c>
      <c r="G130" s="577" t="s">
        <v>535</v>
      </c>
      <c r="H130" s="578" t="s">
        <v>536</v>
      </c>
      <c r="I130" s="995"/>
      <c r="J130" s="996"/>
      <c r="K130" s="997"/>
      <c r="L130" s="90"/>
      <c r="M130" s="90"/>
    </row>
    <row r="131" spans="3:13">
      <c r="C131" s="90"/>
      <c r="D131" s="162"/>
      <c r="E131" s="576" t="s">
        <v>514</v>
      </c>
      <c r="F131" s="577" t="s">
        <v>537</v>
      </c>
      <c r="G131" s="577" t="s">
        <v>538</v>
      </c>
      <c r="H131" s="578" t="s">
        <v>539</v>
      </c>
      <c r="I131" s="995"/>
      <c r="J131" s="996"/>
      <c r="K131" s="997"/>
      <c r="L131" s="90"/>
      <c r="M131" s="90"/>
    </row>
    <row r="132" spans="3:13" ht="20" thickBot="1">
      <c r="C132" s="90"/>
      <c r="D132" s="162"/>
      <c r="E132" s="579" t="s">
        <v>540</v>
      </c>
      <c r="F132" s="580" t="s">
        <v>541</v>
      </c>
      <c r="G132" s="580" t="s">
        <v>542</v>
      </c>
      <c r="H132" s="581" t="s">
        <v>543</v>
      </c>
      <c r="I132" s="998"/>
      <c r="J132" s="999"/>
      <c r="K132" s="1000"/>
      <c r="L132" s="90"/>
      <c r="M132" s="90"/>
    </row>
    <row r="133" spans="3:13">
      <c r="C133" s="90"/>
      <c r="D133" s="88" t="s">
        <v>105</v>
      </c>
      <c r="E133" s="582" t="s">
        <v>30</v>
      </c>
      <c r="F133" s="1184" t="s">
        <v>544</v>
      </c>
      <c r="G133" s="1185"/>
      <c r="H133" s="1186"/>
      <c r="I133" s="1021" t="s">
        <v>408</v>
      </c>
      <c r="J133" s="1015"/>
      <c r="K133" s="1016"/>
      <c r="L133" s="90"/>
      <c r="M133" s="90"/>
    </row>
    <row r="134" spans="3:13">
      <c r="C134" s="90"/>
      <c r="D134" s="162"/>
      <c r="E134" s="573" t="s">
        <v>432</v>
      </c>
      <c r="F134" s="1187"/>
      <c r="G134" s="1188"/>
      <c r="H134" s="1189"/>
      <c r="I134" s="995"/>
      <c r="J134" s="996"/>
      <c r="K134" s="997"/>
      <c r="L134" s="90"/>
      <c r="M134" s="90"/>
    </row>
    <row r="135" spans="3:13">
      <c r="C135" s="90"/>
      <c r="D135" s="162"/>
      <c r="E135" s="573" t="s">
        <v>433</v>
      </c>
      <c r="F135" s="1169" t="s">
        <v>406</v>
      </c>
      <c r="G135" s="1170"/>
      <c r="H135" s="1171"/>
      <c r="I135" s="995"/>
      <c r="J135" s="996"/>
      <c r="K135" s="997"/>
      <c r="L135" s="90"/>
      <c r="M135" s="90"/>
    </row>
    <row r="136" spans="3:13">
      <c r="C136" s="90"/>
      <c r="D136" s="162"/>
      <c r="E136" s="573" t="s">
        <v>434</v>
      </c>
      <c r="F136" s="1169" t="s">
        <v>407</v>
      </c>
      <c r="G136" s="1170"/>
      <c r="H136" s="1171"/>
      <c r="I136" s="995"/>
      <c r="J136" s="996"/>
      <c r="K136" s="997"/>
      <c r="L136" s="91"/>
      <c r="M136" s="90"/>
    </row>
    <row r="137" spans="3:13" ht="20" thickBot="1">
      <c r="C137" s="90"/>
      <c r="D137" s="162"/>
      <c r="E137" s="574" t="s">
        <v>435</v>
      </c>
      <c r="F137" s="1160">
        <v>0.51041666666666663</v>
      </c>
      <c r="G137" s="1161"/>
      <c r="H137" s="1162"/>
      <c r="I137" s="995"/>
      <c r="J137" s="996"/>
      <c r="K137" s="997"/>
      <c r="L137" s="91">
        <f>F137+TIME(5,30,0)</f>
        <v>0.73958333333333326</v>
      </c>
      <c r="M137" s="91">
        <f>L137-TIME(2,30,0)</f>
        <v>0.63541666666666663</v>
      </c>
    </row>
    <row r="138" spans="3:13" ht="20" thickBot="1">
      <c r="C138" s="90"/>
      <c r="D138" s="162"/>
      <c r="E138" s="575" t="s">
        <v>436</v>
      </c>
      <c r="F138" s="264" t="s">
        <v>29</v>
      </c>
      <c r="G138" s="264" t="s">
        <v>28</v>
      </c>
      <c r="H138" s="265" t="s">
        <v>27</v>
      </c>
      <c r="I138" s="995"/>
      <c r="J138" s="996"/>
      <c r="K138" s="997"/>
      <c r="L138" s="90"/>
      <c r="M138" s="90"/>
    </row>
    <row r="139" spans="3:13">
      <c r="C139" s="90"/>
      <c r="D139" s="162"/>
      <c r="E139" s="576" t="s">
        <v>545</v>
      </c>
      <c r="F139" s="577" t="s">
        <v>407</v>
      </c>
      <c r="G139" s="577" t="s">
        <v>546</v>
      </c>
      <c r="H139" s="578" t="s">
        <v>547</v>
      </c>
      <c r="I139" s="995"/>
      <c r="J139" s="996"/>
      <c r="K139" s="997"/>
      <c r="L139" s="90"/>
      <c r="M139" s="90"/>
    </row>
    <row r="140" spans="3:13">
      <c r="C140" s="90"/>
      <c r="D140" s="162"/>
      <c r="E140" s="576" t="s">
        <v>439</v>
      </c>
      <c r="F140" s="577" t="s">
        <v>282</v>
      </c>
      <c r="G140" s="577" t="s">
        <v>548</v>
      </c>
      <c r="H140" s="578" t="s">
        <v>292</v>
      </c>
      <c r="I140" s="995"/>
      <c r="J140" s="996"/>
      <c r="K140" s="997"/>
      <c r="L140" s="90"/>
      <c r="M140" s="90"/>
    </row>
    <row r="141" spans="3:13">
      <c r="C141" s="90"/>
      <c r="D141" s="162"/>
      <c r="E141" s="576" t="s">
        <v>549</v>
      </c>
      <c r="F141" s="577" t="s">
        <v>122</v>
      </c>
      <c r="G141" s="577" t="s">
        <v>550</v>
      </c>
      <c r="H141" s="578" t="s">
        <v>551</v>
      </c>
      <c r="I141" s="995"/>
      <c r="J141" s="996"/>
      <c r="K141" s="997"/>
      <c r="L141" s="90"/>
      <c r="M141" s="90"/>
    </row>
    <row r="142" spans="3:13">
      <c r="C142" s="90"/>
      <c r="D142" s="162"/>
      <c r="E142" s="576" t="s">
        <v>552</v>
      </c>
      <c r="F142" s="577" t="s">
        <v>15</v>
      </c>
      <c r="G142" s="577" t="s">
        <v>553</v>
      </c>
      <c r="H142" s="578" t="s">
        <v>554</v>
      </c>
      <c r="I142" s="995"/>
      <c r="J142" s="996"/>
      <c r="K142" s="997"/>
      <c r="L142" s="90"/>
      <c r="M142" s="90"/>
    </row>
    <row r="143" spans="3:13">
      <c r="C143" s="90"/>
      <c r="D143" s="162"/>
      <c r="E143" s="576" t="s">
        <v>514</v>
      </c>
      <c r="F143" s="577" t="s">
        <v>555</v>
      </c>
      <c r="G143" s="577" t="s">
        <v>556</v>
      </c>
      <c r="H143" s="578" t="s">
        <v>557</v>
      </c>
      <c r="I143" s="995"/>
      <c r="J143" s="996"/>
      <c r="K143" s="997"/>
      <c r="L143" s="90"/>
      <c r="M143" s="90"/>
    </row>
    <row r="144" spans="3:13" ht="20" thickBot="1">
      <c r="C144" s="90"/>
      <c r="D144" s="162"/>
      <c r="E144" s="579" t="s">
        <v>558</v>
      </c>
      <c r="F144" s="580" t="s">
        <v>559</v>
      </c>
      <c r="G144" s="580" t="s">
        <v>560</v>
      </c>
      <c r="H144" s="581" t="s">
        <v>292</v>
      </c>
      <c r="I144" s="998"/>
      <c r="J144" s="999"/>
      <c r="K144" s="1000"/>
      <c r="L144" s="90"/>
      <c r="M144" s="90"/>
    </row>
    <row r="145" spans="3:13">
      <c r="C145" s="90"/>
      <c r="D145" s="88" t="s">
        <v>105</v>
      </c>
      <c r="E145" s="582" t="s">
        <v>30</v>
      </c>
      <c r="F145" s="1184" t="s">
        <v>561</v>
      </c>
      <c r="G145" s="1185"/>
      <c r="H145" s="1186"/>
      <c r="I145" s="1021" t="s">
        <v>562</v>
      </c>
      <c r="J145" s="1015"/>
      <c r="K145" s="1016"/>
      <c r="L145" s="90"/>
      <c r="M145" s="90"/>
    </row>
    <row r="146" spans="3:13">
      <c r="C146" s="90"/>
      <c r="D146" s="162"/>
      <c r="E146" s="573" t="s">
        <v>432</v>
      </c>
      <c r="F146" s="1187"/>
      <c r="G146" s="1188"/>
      <c r="H146" s="1189"/>
      <c r="I146" s="995"/>
      <c r="J146" s="996"/>
      <c r="K146" s="997"/>
      <c r="L146" s="90"/>
      <c r="M146" s="90"/>
    </row>
    <row r="147" spans="3:13">
      <c r="C147" s="90"/>
      <c r="D147" s="162"/>
      <c r="E147" s="573" t="s">
        <v>433</v>
      </c>
      <c r="F147" s="1169"/>
      <c r="G147" s="1170"/>
      <c r="H147" s="1171"/>
      <c r="I147" s="995"/>
      <c r="J147" s="996"/>
      <c r="K147" s="997"/>
      <c r="L147" s="90"/>
      <c r="M147" s="90"/>
    </row>
    <row r="148" spans="3:13">
      <c r="C148" s="90"/>
      <c r="D148" s="162"/>
      <c r="E148" s="573" t="s">
        <v>434</v>
      </c>
      <c r="F148" s="1169" t="s">
        <v>380</v>
      </c>
      <c r="G148" s="1170"/>
      <c r="H148" s="1171"/>
      <c r="I148" s="995"/>
      <c r="J148" s="996"/>
      <c r="K148" s="997"/>
      <c r="L148" s="91"/>
      <c r="M148" s="90"/>
    </row>
    <row r="149" spans="3:13" ht="20" thickBot="1">
      <c r="C149" s="90"/>
      <c r="D149" s="162"/>
      <c r="E149" s="574" t="s">
        <v>435</v>
      </c>
      <c r="F149" s="1160">
        <v>0.60416666666666663</v>
      </c>
      <c r="G149" s="1161"/>
      <c r="H149" s="1162"/>
      <c r="I149" s="995"/>
      <c r="J149" s="996"/>
      <c r="K149" s="997"/>
      <c r="L149" s="91">
        <f>F149+TIME(5,30,0)</f>
        <v>0.83333333333333326</v>
      </c>
      <c r="M149" s="91">
        <f>L149-TIME(2,30,0)</f>
        <v>0.72916666666666663</v>
      </c>
    </row>
    <row r="150" spans="3:13" ht="20" thickBot="1">
      <c r="C150" s="90"/>
      <c r="D150" s="162"/>
      <c r="E150" s="575" t="s">
        <v>436</v>
      </c>
      <c r="F150" s="264" t="s">
        <v>29</v>
      </c>
      <c r="G150" s="264" t="s">
        <v>28</v>
      </c>
      <c r="H150" s="265" t="s">
        <v>27</v>
      </c>
      <c r="I150" s="995"/>
      <c r="J150" s="996"/>
      <c r="K150" s="997"/>
      <c r="L150" s="90"/>
      <c r="M150" s="90"/>
    </row>
    <row r="151" spans="3:13">
      <c r="C151" s="90"/>
      <c r="D151" s="162"/>
      <c r="E151" s="576" t="s">
        <v>563</v>
      </c>
      <c r="F151" s="577" t="s">
        <v>380</v>
      </c>
      <c r="G151" s="577" t="s">
        <v>564</v>
      </c>
      <c r="H151" s="578" t="s">
        <v>337</v>
      </c>
      <c r="I151" s="995"/>
      <c r="J151" s="996"/>
      <c r="K151" s="997"/>
      <c r="L151" s="90"/>
      <c r="M151" s="90"/>
    </row>
    <row r="152" spans="3:13">
      <c r="C152" s="90"/>
      <c r="D152" s="162"/>
      <c r="E152" s="576" t="s">
        <v>489</v>
      </c>
      <c r="F152" s="577" t="s">
        <v>337</v>
      </c>
      <c r="G152" s="577" t="s">
        <v>565</v>
      </c>
      <c r="H152" s="578" t="s">
        <v>339</v>
      </c>
      <c r="I152" s="995"/>
      <c r="J152" s="996"/>
      <c r="K152" s="997"/>
      <c r="L152" s="90"/>
      <c r="M152" s="90"/>
    </row>
    <row r="153" spans="3:13">
      <c r="C153" s="90"/>
      <c r="D153" s="162"/>
      <c r="E153" s="576" t="s">
        <v>566</v>
      </c>
      <c r="F153" s="577" t="s">
        <v>339</v>
      </c>
      <c r="G153" s="577" t="s">
        <v>567</v>
      </c>
      <c r="H153" s="578" t="s">
        <v>312</v>
      </c>
      <c r="I153" s="995"/>
      <c r="J153" s="996"/>
      <c r="K153" s="997"/>
      <c r="L153" s="90"/>
      <c r="M153" s="90"/>
    </row>
    <row r="154" spans="3:13">
      <c r="C154" s="90"/>
      <c r="D154" s="162"/>
      <c r="E154" s="576" t="s">
        <v>545</v>
      </c>
      <c r="F154" s="577" t="s">
        <v>312</v>
      </c>
      <c r="G154" s="577" t="s">
        <v>568</v>
      </c>
      <c r="H154" s="578" t="s">
        <v>267</v>
      </c>
      <c r="I154" s="995"/>
      <c r="J154" s="996"/>
      <c r="K154" s="997"/>
      <c r="L154" s="90"/>
      <c r="M154" s="90"/>
    </row>
    <row r="155" spans="3:13">
      <c r="C155" s="90"/>
      <c r="D155" s="162"/>
      <c r="E155" s="576" t="s">
        <v>569</v>
      </c>
      <c r="F155" s="577" t="s">
        <v>267</v>
      </c>
      <c r="G155" s="577" t="s">
        <v>570</v>
      </c>
      <c r="H155" s="578" t="s">
        <v>218</v>
      </c>
      <c r="I155" s="995"/>
      <c r="J155" s="996"/>
      <c r="K155" s="997"/>
      <c r="L155" s="90"/>
      <c r="M155" s="90"/>
    </row>
    <row r="156" spans="3:13" ht="20" thickBot="1">
      <c r="C156" s="90"/>
      <c r="D156" s="162"/>
      <c r="E156" s="579" t="s">
        <v>571</v>
      </c>
      <c r="F156" s="580" t="s">
        <v>218</v>
      </c>
      <c r="G156" s="580" t="s">
        <v>572</v>
      </c>
      <c r="H156" s="581" t="s">
        <v>220</v>
      </c>
      <c r="I156" s="998"/>
      <c r="J156" s="999"/>
      <c r="K156" s="1000"/>
      <c r="L156" s="90"/>
      <c r="M156" s="90"/>
    </row>
    <row r="157" spans="3:13">
      <c r="C157" s="90"/>
      <c r="D157" s="88" t="s">
        <v>105</v>
      </c>
      <c r="E157" s="582" t="s">
        <v>30</v>
      </c>
      <c r="F157" s="1184" t="s">
        <v>573</v>
      </c>
      <c r="G157" s="1185"/>
      <c r="H157" s="1186"/>
      <c r="I157" s="1021" t="s">
        <v>414</v>
      </c>
      <c r="J157" s="1015"/>
      <c r="K157" s="1016"/>
      <c r="L157" s="90"/>
      <c r="M157" s="90"/>
    </row>
    <row r="158" spans="3:13">
      <c r="C158" s="90"/>
      <c r="D158" s="162"/>
      <c r="E158" s="573" t="s">
        <v>432</v>
      </c>
      <c r="F158" s="1187"/>
      <c r="G158" s="1188"/>
      <c r="H158" s="1189"/>
      <c r="I158" s="995"/>
      <c r="J158" s="996"/>
      <c r="K158" s="997"/>
      <c r="L158" s="90"/>
      <c r="M158" s="90"/>
    </row>
    <row r="159" spans="3:13">
      <c r="C159" s="90"/>
      <c r="D159" s="162"/>
      <c r="E159" s="573" t="s">
        <v>433</v>
      </c>
      <c r="F159" s="1169" t="s">
        <v>413</v>
      </c>
      <c r="G159" s="1170"/>
      <c r="H159" s="1171"/>
      <c r="I159" s="995"/>
      <c r="J159" s="996"/>
      <c r="K159" s="997"/>
      <c r="L159" s="90"/>
      <c r="M159" s="90"/>
    </row>
    <row r="160" spans="3:13">
      <c r="C160" s="90"/>
      <c r="D160" s="162"/>
      <c r="E160" s="573" t="s">
        <v>434</v>
      </c>
      <c r="F160" s="1169" t="s">
        <v>382</v>
      </c>
      <c r="G160" s="1170"/>
      <c r="H160" s="1171"/>
      <c r="I160" s="995"/>
      <c r="J160" s="996"/>
      <c r="K160" s="997"/>
      <c r="L160" s="90"/>
      <c r="M160" s="90"/>
    </row>
    <row r="161" spans="3:13" ht="20" thickBot="1">
      <c r="C161" s="90"/>
      <c r="D161" s="162"/>
      <c r="E161" s="574" t="s">
        <v>435</v>
      </c>
      <c r="F161" s="1160">
        <v>0.52083333333333337</v>
      </c>
      <c r="G161" s="1161"/>
      <c r="H161" s="1162"/>
      <c r="I161" s="995"/>
      <c r="J161" s="996"/>
      <c r="K161" s="997"/>
      <c r="L161" s="91">
        <f>F161+TIME(5,30,0)</f>
        <v>0.75</v>
      </c>
      <c r="M161" s="91">
        <f>L161-TIME(2,30,0)</f>
        <v>0.64583333333333337</v>
      </c>
    </row>
    <row r="162" spans="3:13" ht="20" thickBot="1">
      <c r="C162" s="90"/>
      <c r="D162" s="162"/>
      <c r="E162" s="575" t="s">
        <v>436</v>
      </c>
      <c r="F162" s="264" t="s">
        <v>29</v>
      </c>
      <c r="G162" s="264" t="s">
        <v>28</v>
      </c>
      <c r="H162" s="265" t="s">
        <v>27</v>
      </c>
      <c r="I162" s="995"/>
      <c r="J162" s="996"/>
      <c r="K162" s="997"/>
      <c r="L162" s="90"/>
      <c r="M162" s="90"/>
    </row>
    <row r="163" spans="3:13">
      <c r="C163" s="90"/>
      <c r="D163" s="162"/>
      <c r="E163" s="576" t="s">
        <v>479</v>
      </c>
      <c r="F163" s="577" t="s">
        <v>382</v>
      </c>
      <c r="G163" s="577" t="s">
        <v>574</v>
      </c>
      <c r="H163" s="578" t="s">
        <v>72</v>
      </c>
      <c r="I163" s="995"/>
      <c r="J163" s="996"/>
      <c r="K163" s="997"/>
      <c r="L163" s="90"/>
      <c r="M163" s="90"/>
    </row>
    <row r="164" spans="3:13">
      <c r="C164" s="90"/>
      <c r="D164" s="162"/>
      <c r="E164" s="576" t="s">
        <v>575</v>
      </c>
      <c r="F164" s="577" t="s">
        <v>345</v>
      </c>
      <c r="G164" s="577" t="s">
        <v>576</v>
      </c>
      <c r="H164" s="578" t="s">
        <v>268</v>
      </c>
      <c r="I164" s="995"/>
      <c r="J164" s="996"/>
      <c r="K164" s="997"/>
      <c r="L164" s="90"/>
      <c r="M164" s="90"/>
    </row>
    <row r="165" spans="3:13">
      <c r="C165" s="90"/>
      <c r="D165" s="162"/>
      <c r="E165" s="576" t="s">
        <v>577</v>
      </c>
      <c r="F165" s="577" t="s">
        <v>330</v>
      </c>
      <c r="G165" s="577" t="s">
        <v>578</v>
      </c>
      <c r="H165" s="578" t="s">
        <v>579</v>
      </c>
      <c r="I165" s="995"/>
      <c r="J165" s="996"/>
      <c r="K165" s="997"/>
      <c r="L165" s="90"/>
      <c r="M165" s="90"/>
    </row>
    <row r="166" spans="3:13">
      <c r="C166" s="90"/>
      <c r="D166" s="162"/>
      <c r="E166" s="576" t="s">
        <v>545</v>
      </c>
      <c r="F166" s="577" t="s">
        <v>209</v>
      </c>
      <c r="G166" s="577" t="s">
        <v>580</v>
      </c>
      <c r="H166" s="578" t="s">
        <v>223</v>
      </c>
      <c r="I166" s="995"/>
      <c r="J166" s="996"/>
      <c r="K166" s="997"/>
      <c r="L166" s="90"/>
      <c r="M166" s="90"/>
    </row>
    <row r="167" spans="3:13">
      <c r="C167" s="90"/>
      <c r="D167" s="162"/>
      <c r="E167" s="576" t="s">
        <v>581</v>
      </c>
      <c r="F167" s="577" t="s">
        <v>268</v>
      </c>
      <c r="G167" s="577" t="s">
        <v>582</v>
      </c>
      <c r="H167" s="578" t="s">
        <v>13</v>
      </c>
      <c r="I167" s="995"/>
      <c r="J167" s="996"/>
      <c r="K167" s="997"/>
      <c r="L167" s="90"/>
      <c r="M167" s="90"/>
    </row>
    <row r="168" spans="3:13" ht="20" thickBot="1">
      <c r="C168" s="90"/>
      <c r="D168" s="162"/>
      <c r="E168" s="579" t="s">
        <v>583</v>
      </c>
      <c r="F168" s="580" t="s">
        <v>223</v>
      </c>
      <c r="G168" s="580" t="s">
        <v>582</v>
      </c>
      <c r="H168" s="581" t="s">
        <v>579</v>
      </c>
      <c r="I168" s="998"/>
      <c r="J168" s="999"/>
      <c r="K168" s="1000"/>
      <c r="L168" s="90"/>
      <c r="M168" s="90"/>
    </row>
    <row r="169" spans="3:13">
      <c r="C169" s="90"/>
      <c r="D169" s="88" t="s">
        <v>105</v>
      </c>
      <c r="E169" s="582" t="s">
        <v>30</v>
      </c>
      <c r="F169" s="1184" t="s">
        <v>584</v>
      </c>
      <c r="G169" s="1185"/>
      <c r="H169" s="1186"/>
      <c r="I169" s="1021" t="s">
        <v>416</v>
      </c>
      <c r="J169" s="1015"/>
      <c r="K169" s="1016"/>
      <c r="L169" s="90"/>
      <c r="M169" s="90"/>
    </row>
    <row r="170" spans="3:13">
      <c r="C170" s="90"/>
      <c r="D170" s="162"/>
      <c r="E170" s="573" t="s">
        <v>432</v>
      </c>
      <c r="F170" s="1187"/>
      <c r="G170" s="1188"/>
      <c r="H170" s="1189"/>
      <c r="I170" s="995"/>
      <c r="J170" s="996"/>
      <c r="K170" s="997"/>
      <c r="L170" s="90"/>
      <c r="M170" s="90"/>
    </row>
    <row r="171" spans="3:13">
      <c r="C171" s="90"/>
      <c r="D171" s="162"/>
      <c r="E171" s="573" t="s">
        <v>433</v>
      </c>
      <c r="F171" s="1169">
        <v>55.4</v>
      </c>
      <c r="G171" s="1170"/>
      <c r="H171" s="1171"/>
      <c r="I171" s="995"/>
      <c r="J171" s="996"/>
      <c r="K171" s="997"/>
      <c r="L171" s="90"/>
      <c r="M171" s="90"/>
    </row>
    <row r="172" spans="3:13">
      <c r="C172" s="90"/>
      <c r="D172" s="162"/>
      <c r="E172" s="573" t="s">
        <v>434</v>
      </c>
      <c r="F172" s="1169">
        <v>55.4</v>
      </c>
      <c r="G172" s="1170"/>
      <c r="H172" s="1171"/>
      <c r="I172" s="995"/>
      <c r="J172" s="996"/>
      <c r="K172" s="997"/>
      <c r="L172" s="90"/>
      <c r="M172" s="90"/>
    </row>
    <row r="173" spans="3:13" ht="20" thickBot="1">
      <c r="C173" s="90"/>
      <c r="D173" s="162"/>
      <c r="E173" s="574" t="s">
        <v>435</v>
      </c>
      <c r="F173" s="1160">
        <v>0.57291666666666663</v>
      </c>
      <c r="G173" s="1161"/>
      <c r="H173" s="1162"/>
      <c r="I173" s="995"/>
      <c r="J173" s="996"/>
      <c r="K173" s="997"/>
      <c r="L173" s="91">
        <f>F173+TIME(5,30,0)</f>
        <v>0.80208333333333326</v>
      </c>
      <c r="M173" s="91">
        <f>L173-TIME(2,30,0)</f>
        <v>0.69791666666666663</v>
      </c>
    </row>
    <row r="174" spans="3:13" ht="20" thickBot="1">
      <c r="C174" s="90"/>
      <c r="D174" s="162"/>
      <c r="E174" s="575" t="s">
        <v>436</v>
      </c>
      <c r="F174" s="264" t="s">
        <v>29</v>
      </c>
      <c r="G174" s="264" t="s">
        <v>28</v>
      </c>
      <c r="H174" s="265" t="s">
        <v>27</v>
      </c>
      <c r="I174" s="995"/>
      <c r="J174" s="996"/>
      <c r="K174" s="997"/>
      <c r="L174" s="90"/>
      <c r="M174" s="90"/>
    </row>
    <row r="175" spans="3:13">
      <c r="C175" s="90"/>
      <c r="D175" s="162"/>
      <c r="E175" s="576" t="s">
        <v>499</v>
      </c>
      <c r="F175" s="577">
        <v>55.4</v>
      </c>
      <c r="G175" s="577" t="s">
        <v>585</v>
      </c>
      <c r="H175" s="578">
        <v>55.7</v>
      </c>
      <c r="I175" s="995"/>
      <c r="J175" s="996"/>
      <c r="K175" s="997"/>
      <c r="L175" s="90"/>
      <c r="M175" s="90"/>
    </row>
    <row r="176" spans="3:13">
      <c r="C176" s="90"/>
      <c r="D176" s="162"/>
      <c r="E176" s="576" t="s">
        <v>545</v>
      </c>
      <c r="F176" s="577">
        <v>55.7</v>
      </c>
      <c r="G176" s="577" t="s">
        <v>586</v>
      </c>
      <c r="H176" s="578">
        <v>55</v>
      </c>
      <c r="I176" s="995"/>
      <c r="J176" s="996"/>
      <c r="K176" s="997"/>
      <c r="L176" s="90"/>
      <c r="M176" s="90"/>
    </row>
    <row r="177" spans="3:13">
      <c r="C177" s="90"/>
      <c r="D177" s="162"/>
      <c r="E177" s="576" t="s">
        <v>503</v>
      </c>
      <c r="F177" s="577">
        <v>55.2</v>
      </c>
      <c r="G177" s="577" t="s">
        <v>587</v>
      </c>
      <c r="H177" s="578">
        <v>55</v>
      </c>
      <c r="I177" s="995"/>
      <c r="J177" s="996"/>
      <c r="K177" s="997"/>
      <c r="L177" s="90"/>
      <c r="M177" s="90"/>
    </row>
    <row r="178" spans="3:13">
      <c r="C178" s="90"/>
      <c r="D178" s="162"/>
      <c r="E178" s="576" t="s">
        <v>588</v>
      </c>
      <c r="F178" s="577">
        <v>55</v>
      </c>
      <c r="G178" s="577" t="s">
        <v>589</v>
      </c>
      <c r="H178" s="578">
        <v>55.3</v>
      </c>
      <c r="I178" s="995"/>
      <c r="J178" s="996"/>
      <c r="K178" s="997"/>
      <c r="L178" s="90"/>
      <c r="M178" s="90"/>
    </row>
    <row r="179" spans="3:13">
      <c r="C179" s="90"/>
      <c r="D179" s="162"/>
      <c r="E179" s="576" t="s">
        <v>505</v>
      </c>
      <c r="F179" s="577">
        <v>56</v>
      </c>
      <c r="G179" s="577" t="s">
        <v>590</v>
      </c>
      <c r="H179" s="578">
        <v>55.3</v>
      </c>
      <c r="I179" s="995"/>
      <c r="J179" s="996"/>
      <c r="K179" s="997"/>
      <c r="L179" s="90"/>
      <c r="M179" s="90"/>
    </row>
    <row r="180" spans="3:13" ht="20" thickBot="1">
      <c r="C180" s="90"/>
      <c r="D180" s="162"/>
      <c r="E180" s="579" t="s">
        <v>549</v>
      </c>
      <c r="F180" s="580">
        <v>55.3</v>
      </c>
      <c r="G180" s="580" t="s">
        <v>591</v>
      </c>
      <c r="H180" s="581">
        <v>54.8</v>
      </c>
      <c r="I180" s="998"/>
      <c r="J180" s="999"/>
      <c r="K180" s="1000"/>
      <c r="L180" s="90"/>
      <c r="M180" s="90"/>
    </row>
    <row r="181" spans="3:13">
      <c r="C181" s="90"/>
      <c r="D181" s="88" t="s">
        <v>105</v>
      </c>
      <c r="E181" s="582" t="s">
        <v>30</v>
      </c>
      <c r="F181" s="1184" t="s">
        <v>592</v>
      </c>
      <c r="G181" s="1185"/>
      <c r="H181" s="1186"/>
      <c r="I181" s="1021" t="s">
        <v>593</v>
      </c>
      <c r="J181" s="1015"/>
      <c r="K181" s="1016"/>
      <c r="L181" s="90"/>
      <c r="M181" s="90"/>
    </row>
    <row r="182" spans="3:13">
      <c r="C182" s="90"/>
      <c r="D182" s="162"/>
      <c r="E182" s="573" t="s">
        <v>432</v>
      </c>
      <c r="F182" s="1187"/>
      <c r="G182" s="1188"/>
      <c r="H182" s="1189"/>
      <c r="I182" s="995"/>
      <c r="J182" s="996"/>
      <c r="K182" s="997"/>
      <c r="L182" s="90"/>
      <c r="M182" s="90"/>
    </row>
    <row r="183" spans="3:13">
      <c r="C183" s="90"/>
      <c r="D183" s="162"/>
      <c r="E183" s="573" t="s">
        <v>433</v>
      </c>
      <c r="F183" s="1169">
        <v>51.6</v>
      </c>
      <c r="G183" s="1170"/>
      <c r="H183" s="1171"/>
      <c r="I183" s="995"/>
      <c r="J183" s="996"/>
      <c r="K183" s="997"/>
      <c r="L183" s="90"/>
      <c r="M183" s="90"/>
    </row>
    <row r="184" spans="3:13">
      <c r="C184" s="90"/>
      <c r="D184" s="162"/>
      <c r="E184" s="573" t="s">
        <v>434</v>
      </c>
      <c r="F184" s="1169">
        <v>51.5</v>
      </c>
      <c r="G184" s="1170"/>
      <c r="H184" s="1171"/>
      <c r="I184" s="995"/>
      <c r="J184" s="996"/>
      <c r="K184" s="997"/>
      <c r="L184" s="90"/>
      <c r="M184" s="90"/>
    </row>
    <row r="185" spans="3:13" ht="20" thickBot="1">
      <c r="C185" s="90"/>
      <c r="D185" s="162"/>
      <c r="E185" s="574" t="s">
        <v>435</v>
      </c>
      <c r="F185" s="1160">
        <v>0.58333333333333337</v>
      </c>
      <c r="G185" s="1161"/>
      <c r="H185" s="1162"/>
      <c r="I185" s="995"/>
      <c r="J185" s="996"/>
      <c r="K185" s="997"/>
      <c r="L185" s="91">
        <f>L173</f>
        <v>0.80208333333333326</v>
      </c>
      <c r="M185" s="91">
        <f>L185-TIME(2,30,0)</f>
        <v>0.69791666666666663</v>
      </c>
    </row>
    <row r="186" spans="3:13" ht="20" thickBot="1">
      <c r="C186" s="90"/>
      <c r="D186" s="162"/>
      <c r="E186" s="575" t="s">
        <v>436</v>
      </c>
      <c r="F186" s="264" t="s">
        <v>29</v>
      </c>
      <c r="G186" s="264" t="s">
        <v>28</v>
      </c>
      <c r="H186" s="265" t="s">
        <v>27</v>
      </c>
      <c r="I186" s="995"/>
      <c r="J186" s="996"/>
      <c r="K186" s="997"/>
      <c r="L186" s="90"/>
      <c r="M186" s="90"/>
    </row>
    <row r="187" spans="3:13">
      <c r="C187" s="90"/>
      <c r="D187" s="162"/>
      <c r="E187" s="576" t="s">
        <v>545</v>
      </c>
      <c r="F187" s="577">
        <v>51.5</v>
      </c>
      <c r="G187" s="577" t="s">
        <v>594</v>
      </c>
      <c r="H187" s="578">
        <v>51.4</v>
      </c>
      <c r="I187" s="995"/>
      <c r="J187" s="996"/>
      <c r="K187" s="997"/>
      <c r="L187" s="90"/>
      <c r="M187" s="90"/>
    </row>
    <row r="188" spans="3:13">
      <c r="C188" s="90"/>
      <c r="D188" s="162"/>
      <c r="E188" s="576" t="s">
        <v>588</v>
      </c>
      <c r="F188" s="577">
        <v>51.4</v>
      </c>
      <c r="G188" s="577" t="s">
        <v>595</v>
      </c>
      <c r="H188" s="578">
        <v>48.8</v>
      </c>
      <c r="I188" s="995"/>
      <c r="J188" s="996"/>
      <c r="K188" s="997"/>
      <c r="L188" s="90"/>
      <c r="M188" s="90"/>
    </row>
    <row r="189" spans="3:13">
      <c r="C189" s="90"/>
      <c r="D189" s="162"/>
      <c r="E189" s="576" t="s">
        <v>549</v>
      </c>
      <c r="F189" s="577">
        <v>48.8</v>
      </c>
      <c r="G189" s="577" t="s">
        <v>596</v>
      </c>
      <c r="H189" s="578">
        <v>53.8</v>
      </c>
      <c r="I189" s="995"/>
      <c r="J189" s="996"/>
      <c r="K189" s="997"/>
      <c r="L189" s="90"/>
      <c r="M189" s="90"/>
    </row>
    <row r="190" spans="3:13">
      <c r="C190" s="90"/>
      <c r="D190" s="162"/>
      <c r="E190" s="576" t="s">
        <v>552</v>
      </c>
      <c r="F190" s="577">
        <v>53.8</v>
      </c>
      <c r="G190" s="577" t="s">
        <v>597</v>
      </c>
      <c r="H190" s="578">
        <v>49.4</v>
      </c>
      <c r="I190" s="995"/>
      <c r="J190" s="996"/>
      <c r="K190" s="997"/>
      <c r="L190" s="90"/>
      <c r="M190" s="90"/>
    </row>
    <row r="191" spans="3:13">
      <c r="C191" s="90"/>
      <c r="D191" s="162"/>
      <c r="E191" s="576" t="s">
        <v>598</v>
      </c>
      <c r="F191" s="577">
        <v>49.4</v>
      </c>
      <c r="G191" s="577" t="s">
        <v>599</v>
      </c>
      <c r="H191" s="578">
        <v>51.4</v>
      </c>
      <c r="I191" s="995"/>
      <c r="J191" s="996"/>
      <c r="K191" s="997"/>
      <c r="L191" s="90"/>
      <c r="M191" s="90"/>
    </row>
    <row r="192" spans="3:13" ht="20" thickBot="1">
      <c r="C192" s="90"/>
      <c r="D192" s="162"/>
      <c r="E192" s="579" t="s">
        <v>558</v>
      </c>
      <c r="F192" s="580">
        <v>51.4</v>
      </c>
      <c r="G192" s="580" t="s">
        <v>600</v>
      </c>
      <c r="H192" s="581">
        <v>52.6</v>
      </c>
      <c r="I192" s="998"/>
      <c r="J192" s="999"/>
      <c r="K192" s="1000"/>
      <c r="L192" s="90"/>
      <c r="M192" s="90"/>
    </row>
    <row r="193" spans="3:13">
      <c r="C193" s="90"/>
      <c r="D193" s="88" t="s">
        <v>105</v>
      </c>
      <c r="E193" s="582" t="s">
        <v>30</v>
      </c>
      <c r="F193" s="1184" t="s">
        <v>601</v>
      </c>
      <c r="G193" s="1185"/>
      <c r="H193" s="1186"/>
      <c r="I193" s="1021" t="s">
        <v>420</v>
      </c>
      <c r="J193" s="1015"/>
      <c r="K193" s="1016"/>
      <c r="L193" s="90"/>
      <c r="M193" s="90"/>
    </row>
    <row r="194" spans="3:13">
      <c r="C194" s="90"/>
      <c r="D194" s="162"/>
      <c r="E194" s="573" t="s">
        <v>432</v>
      </c>
      <c r="F194" s="1187"/>
      <c r="G194" s="1188"/>
      <c r="H194" s="1189"/>
      <c r="I194" s="995"/>
      <c r="J194" s="996"/>
      <c r="K194" s="997"/>
      <c r="L194" s="90"/>
      <c r="M194" s="90"/>
    </row>
    <row r="195" spans="3:13">
      <c r="C195" s="90"/>
      <c r="D195" s="162"/>
      <c r="E195" s="573" t="s">
        <v>433</v>
      </c>
      <c r="F195" s="1169"/>
      <c r="G195" s="1170"/>
      <c r="H195" s="1171"/>
      <c r="I195" s="995"/>
      <c r="J195" s="996"/>
      <c r="K195" s="997"/>
      <c r="L195" s="90"/>
      <c r="M195" s="90"/>
    </row>
    <row r="196" spans="3:13">
      <c r="C196" s="90"/>
      <c r="D196" s="162"/>
      <c r="E196" s="573" t="s">
        <v>434</v>
      </c>
      <c r="F196" s="1169">
        <v>57.3</v>
      </c>
      <c r="G196" s="1170"/>
      <c r="H196" s="1171"/>
      <c r="I196" s="995"/>
      <c r="J196" s="996"/>
      <c r="K196" s="997"/>
      <c r="L196" s="90"/>
      <c r="M196" s="90"/>
    </row>
    <row r="197" spans="3:13" ht="20" thickBot="1">
      <c r="C197" s="90"/>
      <c r="D197" s="162"/>
      <c r="E197" s="574" t="s">
        <v>435</v>
      </c>
      <c r="F197" s="1160">
        <v>0.58333333333333337</v>
      </c>
      <c r="G197" s="1161"/>
      <c r="H197" s="1162"/>
      <c r="I197" s="995"/>
      <c r="J197" s="996"/>
      <c r="K197" s="997"/>
      <c r="L197" s="91">
        <f>F197+TIME(5,30,0)</f>
        <v>0.8125</v>
      </c>
      <c r="M197" s="91">
        <f>L197-TIME(2,30,0)</f>
        <v>0.70833333333333337</v>
      </c>
    </row>
    <row r="198" spans="3:13" ht="20" thickBot="1">
      <c r="C198" s="90"/>
      <c r="D198" s="162"/>
      <c r="E198" s="575" t="s">
        <v>436</v>
      </c>
      <c r="F198" s="264" t="s">
        <v>29</v>
      </c>
      <c r="G198" s="264" t="s">
        <v>28</v>
      </c>
      <c r="H198" s="265" t="s">
        <v>27</v>
      </c>
      <c r="I198" s="995"/>
      <c r="J198" s="996"/>
      <c r="K198" s="997"/>
      <c r="L198" s="90"/>
      <c r="M198" s="90"/>
    </row>
    <row r="199" spans="3:13">
      <c r="C199" s="90"/>
      <c r="D199" s="162"/>
      <c r="E199" s="576" t="s">
        <v>545</v>
      </c>
      <c r="F199" s="577">
        <v>57.3</v>
      </c>
      <c r="G199" s="577" t="s">
        <v>589</v>
      </c>
      <c r="H199" s="578">
        <v>57</v>
      </c>
      <c r="I199" s="995"/>
      <c r="J199" s="996"/>
      <c r="K199" s="997"/>
      <c r="L199" s="90"/>
      <c r="M199" s="90"/>
    </row>
    <row r="200" spans="3:13">
      <c r="C200" s="90"/>
      <c r="D200" s="162"/>
      <c r="E200" s="576" t="s">
        <v>588</v>
      </c>
      <c r="F200" s="577">
        <v>57</v>
      </c>
      <c r="G200" s="577" t="s">
        <v>589</v>
      </c>
      <c r="H200" s="578">
        <v>56.3</v>
      </c>
      <c r="I200" s="995"/>
      <c r="J200" s="996"/>
      <c r="K200" s="997"/>
      <c r="L200" s="90"/>
      <c r="M200" s="90"/>
    </row>
    <row r="201" spans="3:13">
      <c r="C201" s="90"/>
      <c r="D201" s="162"/>
      <c r="E201" s="576" t="s">
        <v>549</v>
      </c>
      <c r="F201" s="577">
        <v>56.3</v>
      </c>
      <c r="G201" s="577" t="s">
        <v>602</v>
      </c>
      <c r="H201" s="578">
        <v>58.1</v>
      </c>
      <c r="I201" s="995"/>
      <c r="J201" s="996"/>
      <c r="K201" s="997"/>
      <c r="L201" s="90"/>
      <c r="M201" s="90"/>
    </row>
    <row r="202" spans="3:13">
      <c r="C202" s="90"/>
      <c r="D202" s="162"/>
      <c r="E202" s="576" t="s">
        <v>552</v>
      </c>
      <c r="F202" s="577">
        <v>58.1</v>
      </c>
      <c r="G202" s="577" t="s">
        <v>603</v>
      </c>
      <c r="H202" s="578">
        <v>59.2</v>
      </c>
      <c r="I202" s="995"/>
      <c r="J202" s="996"/>
      <c r="K202" s="997"/>
      <c r="L202" s="90"/>
      <c r="M202" s="90"/>
    </row>
    <row r="203" spans="3:13">
      <c r="C203" s="90"/>
      <c r="D203" s="162"/>
      <c r="E203" s="576" t="s">
        <v>598</v>
      </c>
      <c r="F203" s="577">
        <v>59.2</v>
      </c>
      <c r="G203" s="577" t="s">
        <v>604</v>
      </c>
      <c r="H203" s="578">
        <v>53.4</v>
      </c>
      <c r="I203" s="995"/>
      <c r="J203" s="996"/>
      <c r="K203" s="997"/>
      <c r="L203" s="90"/>
      <c r="M203" s="90"/>
    </row>
    <row r="204" spans="3:13" ht="20" thickBot="1">
      <c r="C204" s="90"/>
      <c r="D204" s="162"/>
      <c r="E204" s="579" t="s">
        <v>558</v>
      </c>
      <c r="F204" s="580">
        <v>53.4</v>
      </c>
      <c r="G204" s="580" t="s">
        <v>605</v>
      </c>
      <c r="H204" s="581">
        <v>58.6</v>
      </c>
      <c r="I204" s="998"/>
      <c r="J204" s="999"/>
      <c r="K204" s="1000"/>
      <c r="L204" s="90"/>
      <c r="M204" s="90"/>
    </row>
    <row r="205" spans="3:13">
      <c r="C205" s="90"/>
      <c r="D205" s="88" t="s">
        <v>105</v>
      </c>
      <c r="E205" s="582" t="s">
        <v>30</v>
      </c>
      <c r="F205" s="1184" t="s">
        <v>606</v>
      </c>
      <c r="G205" s="1185"/>
      <c r="H205" s="1186"/>
      <c r="I205" s="1021" t="s">
        <v>422</v>
      </c>
      <c r="J205" s="1015"/>
      <c r="K205" s="1016"/>
      <c r="L205" s="90"/>
      <c r="M205" s="90"/>
    </row>
    <row r="206" spans="3:13">
      <c r="C206" s="90"/>
      <c r="D206" s="162"/>
      <c r="E206" s="573" t="s">
        <v>432</v>
      </c>
      <c r="F206" s="1187"/>
      <c r="G206" s="1188"/>
      <c r="H206" s="1189"/>
      <c r="I206" s="995"/>
      <c r="J206" s="996"/>
      <c r="K206" s="997"/>
      <c r="L206" s="90"/>
      <c r="M206" s="90"/>
    </row>
    <row r="207" spans="3:13">
      <c r="C207" s="90"/>
      <c r="D207" s="162"/>
      <c r="E207" s="573" t="s">
        <v>433</v>
      </c>
      <c r="F207" s="1169"/>
      <c r="G207" s="1170"/>
      <c r="H207" s="1171"/>
      <c r="I207" s="995"/>
      <c r="J207" s="996"/>
      <c r="K207" s="997"/>
      <c r="L207" s="90"/>
      <c r="M207" s="90"/>
    </row>
    <row r="208" spans="3:13">
      <c r="C208" s="90"/>
      <c r="D208" s="162"/>
      <c r="E208" s="573" t="s">
        <v>434</v>
      </c>
      <c r="F208" s="1163">
        <v>4.0000000000000001E-3</v>
      </c>
      <c r="G208" s="1164"/>
      <c r="H208" s="1165"/>
      <c r="I208" s="995"/>
      <c r="J208" s="996"/>
      <c r="K208" s="997"/>
      <c r="L208" s="90"/>
      <c r="M208" s="90"/>
    </row>
    <row r="209" spans="3:13" ht="20" thickBot="1">
      <c r="C209" s="90"/>
      <c r="D209" s="162"/>
      <c r="E209" s="574" t="s">
        <v>435</v>
      </c>
      <c r="F209" s="1160">
        <v>0.52083333333333337</v>
      </c>
      <c r="G209" s="1161"/>
      <c r="H209" s="1162"/>
      <c r="I209" s="995"/>
      <c r="J209" s="996"/>
      <c r="K209" s="997"/>
      <c r="L209" s="91">
        <f>F209+TIME(5,30,0)</f>
        <v>0.75</v>
      </c>
      <c r="M209" s="91">
        <f>L209-TIME(2,30,0)</f>
        <v>0.64583333333333337</v>
      </c>
    </row>
    <row r="210" spans="3:13" ht="20" thickBot="1">
      <c r="C210" s="90"/>
      <c r="D210" s="162"/>
      <c r="E210" s="575" t="s">
        <v>436</v>
      </c>
      <c r="F210" s="264" t="s">
        <v>29</v>
      </c>
      <c r="G210" s="264" t="s">
        <v>28</v>
      </c>
      <c r="H210" s="265" t="s">
        <v>27</v>
      </c>
      <c r="I210" s="995"/>
      <c r="J210" s="996"/>
      <c r="K210" s="997"/>
      <c r="L210" s="90"/>
      <c r="M210" s="90"/>
    </row>
    <row r="211" spans="3:13">
      <c r="C211" s="90"/>
      <c r="D211" s="162"/>
      <c r="E211" s="576" t="s">
        <v>607</v>
      </c>
      <c r="F211" s="266">
        <v>4.0000000000000001E-3</v>
      </c>
      <c r="G211" s="266" t="s">
        <v>467</v>
      </c>
      <c r="H211" s="589">
        <v>-1E-3</v>
      </c>
      <c r="I211" s="995"/>
      <c r="J211" s="996"/>
      <c r="K211" s="997"/>
      <c r="L211" s="90"/>
      <c r="M211" s="90"/>
    </row>
    <row r="212" spans="3:13">
      <c r="C212" s="90"/>
      <c r="D212" s="162"/>
      <c r="E212" s="576" t="s">
        <v>608</v>
      </c>
      <c r="F212" s="266">
        <v>2E-3</v>
      </c>
      <c r="G212" s="266" t="s">
        <v>467</v>
      </c>
      <c r="H212" s="589">
        <v>3.0000000000000001E-3</v>
      </c>
      <c r="I212" s="995"/>
      <c r="J212" s="996"/>
      <c r="K212" s="997"/>
      <c r="L212" s="90"/>
      <c r="M212" s="90"/>
    </row>
    <row r="213" spans="3:13">
      <c r="C213" s="90"/>
      <c r="D213" s="162"/>
      <c r="E213" s="576" t="s">
        <v>609</v>
      </c>
      <c r="F213" s="266">
        <v>3.0000000000000001E-3</v>
      </c>
      <c r="G213" s="266" t="s">
        <v>467</v>
      </c>
      <c r="H213" s="589">
        <v>4.0000000000000001E-3</v>
      </c>
      <c r="I213" s="995"/>
      <c r="J213" s="996"/>
      <c r="K213" s="997"/>
      <c r="L213" s="90"/>
      <c r="M213" s="90"/>
    </row>
    <row r="214" spans="3:13">
      <c r="C214" s="90"/>
      <c r="D214" s="162"/>
      <c r="E214" s="576" t="s">
        <v>610</v>
      </c>
      <c r="F214" s="266">
        <v>4.0000000000000001E-3</v>
      </c>
      <c r="G214" s="266" t="s">
        <v>467</v>
      </c>
      <c r="H214" s="589">
        <v>2E-3</v>
      </c>
      <c r="I214" s="995"/>
      <c r="J214" s="996"/>
      <c r="K214" s="997"/>
      <c r="L214" s="90"/>
      <c r="M214" s="90"/>
    </row>
    <row r="215" spans="3:13">
      <c r="C215" s="90"/>
      <c r="D215" s="162"/>
      <c r="E215" s="576" t="s">
        <v>598</v>
      </c>
      <c r="F215" s="266">
        <v>2E-3</v>
      </c>
      <c r="G215" s="266" t="s">
        <v>467</v>
      </c>
      <c r="H215" s="589">
        <v>3.0000000000000001E-3</v>
      </c>
      <c r="I215" s="995"/>
      <c r="J215" s="996"/>
      <c r="K215" s="997"/>
      <c r="L215" s="90"/>
      <c r="M215" s="90"/>
    </row>
    <row r="216" spans="3:13" ht="20" thickBot="1">
      <c r="C216" s="90"/>
      <c r="D216" s="162"/>
      <c r="E216" s="579" t="s">
        <v>611</v>
      </c>
      <c r="F216" s="590">
        <v>3.0000000000000001E-3</v>
      </c>
      <c r="G216" s="590" t="s">
        <v>467</v>
      </c>
      <c r="H216" s="591">
        <v>2E-3</v>
      </c>
      <c r="I216" s="998"/>
      <c r="J216" s="999"/>
      <c r="K216" s="1000"/>
      <c r="L216" s="90"/>
      <c r="M216" s="90"/>
    </row>
    <row r="217" spans="3:13">
      <c r="C217" s="90"/>
      <c r="D217" s="88" t="s">
        <v>105</v>
      </c>
      <c r="E217" s="582" t="s">
        <v>30</v>
      </c>
      <c r="F217" s="1184" t="s">
        <v>612</v>
      </c>
      <c r="G217" s="1185"/>
      <c r="H217" s="1186"/>
      <c r="I217" s="1021" t="s">
        <v>613</v>
      </c>
      <c r="J217" s="1015"/>
      <c r="K217" s="1016"/>
      <c r="L217" s="90"/>
      <c r="M217" s="90"/>
    </row>
    <row r="218" spans="3:13">
      <c r="C218" s="90"/>
      <c r="D218" s="162"/>
      <c r="E218" s="573" t="s">
        <v>432</v>
      </c>
      <c r="F218" s="1187"/>
      <c r="G218" s="1188"/>
      <c r="H218" s="1189"/>
      <c r="I218" s="995"/>
      <c r="J218" s="996"/>
      <c r="K218" s="997"/>
      <c r="L218" s="90"/>
      <c r="M218" s="90"/>
    </row>
    <row r="219" spans="3:13">
      <c r="C219" s="90"/>
      <c r="D219" s="162"/>
      <c r="E219" s="573" t="s">
        <v>433</v>
      </c>
      <c r="F219" s="1169" t="s">
        <v>424</v>
      </c>
      <c r="G219" s="1170"/>
      <c r="H219" s="1171"/>
      <c r="I219" s="995"/>
      <c r="J219" s="996"/>
      <c r="K219" s="997"/>
      <c r="L219" s="90"/>
      <c r="M219" s="90"/>
    </row>
    <row r="220" spans="3:13">
      <c r="C220" s="90"/>
      <c r="D220" s="162"/>
      <c r="E220" s="573" t="s">
        <v>434</v>
      </c>
      <c r="F220" s="1169" t="s">
        <v>425</v>
      </c>
      <c r="G220" s="1170"/>
      <c r="H220" s="1171"/>
      <c r="I220" s="995"/>
      <c r="J220" s="996"/>
      <c r="K220" s="997"/>
      <c r="L220" s="90"/>
      <c r="M220" s="90"/>
    </row>
    <row r="221" spans="3:13" ht="20" thickBot="1">
      <c r="C221" s="90"/>
      <c r="D221" s="162"/>
      <c r="E221" s="574" t="s">
        <v>435</v>
      </c>
      <c r="F221" s="1160">
        <v>0.52083333333333337</v>
      </c>
      <c r="G221" s="1161"/>
      <c r="H221" s="1162"/>
      <c r="I221" s="995"/>
      <c r="J221" s="996"/>
      <c r="K221" s="997"/>
      <c r="L221" s="91">
        <f>F221+TIME(5,30,0)</f>
        <v>0.75</v>
      </c>
      <c r="M221" s="91">
        <f>L221-TIME(2,30,0)</f>
        <v>0.64583333333333337</v>
      </c>
    </row>
    <row r="222" spans="3:13" ht="20" thickBot="1">
      <c r="C222" s="90"/>
      <c r="D222" s="162"/>
      <c r="E222" s="575" t="s">
        <v>436</v>
      </c>
      <c r="F222" s="264" t="s">
        <v>29</v>
      </c>
      <c r="G222" s="264" t="s">
        <v>28</v>
      </c>
      <c r="H222" s="265" t="s">
        <v>27</v>
      </c>
      <c r="I222" s="995"/>
      <c r="J222" s="996"/>
      <c r="K222" s="997"/>
      <c r="L222" s="90"/>
      <c r="M222" s="90"/>
    </row>
    <row r="223" spans="3:13">
      <c r="C223" s="90"/>
      <c r="D223" s="162"/>
      <c r="E223" s="576" t="s">
        <v>607</v>
      </c>
      <c r="F223" s="577" t="s">
        <v>425</v>
      </c>
      <c r="G223" s="577" t="s">
        <v>614</v>
      </c>
      <c r="H223" s="578" t="s">
        <v>615</v>
      </c>
      <c r="I223" s="995"/>
      <c r="J223" s="996"/>
      <c r="K223" s="997"/>
      <c r="L223" s="90"/>
      <c r="M223" s="90"/>
    </row>
    <row r="224" spans="3:13">
      <c r="C224" s="90"/>
      <c r="D224" s="162"/>
      <c r="E224" s="576" t="s">
        <v>608</v>
      </c>
      <c r="F224" s="577" t="s">
        <v>293</v>
      </c>
      <c r="G224" s="577" t="s">
        <v>616</v>
      </c>
      <c r="H224" s="578" t="s">
        <v>617</v>
      </c>
      <c r="I224" s="995"/>
      <c r="J224" s="996"/>
      <c r="K224" s="997"/>
      <c r="L224" s="90"/>
      <c r="M224" s="90"/>
    </row>
    <row r="225" spans="3:13">
      <c r="C225" s="90"/>
      <c r="D225" s="162"/>
      <c r="E225" s="576" t="s">
        <v>609</v>
      </c>
      <c r="F225" s="577" t="s">
        <v>149</v>
      </c>
      <c r="G225" s="577" t="s">
        <v>618</v>
      </c>
      <c r="H225" s="578" t="s">
        <v>382</v>
      </c>
      <c r="I225" s="995"/>
      <c r="J225" s="996"/>
      <c r="K225" s="997"/>
      <c r="L225" s="90"/>
      <c r="M225" s="90"/>
    </row>
    <row r="226" spans="3:13">
      <c r="C226" s="90"/>
      <c r="D226" s="162"/>
      <c r="E226" s="576" t="s">
        <v>610</v>
      </c>
      <c r="F226" s="577" t="s">
        <v>3</v>
      </c>
      <c r="G226" s="577" t="s">
        <v>619</v>
      </c>
      <c r="H226" s="578" t="s">
        <v>620</v>
      </c>
      <c r="I226" s="995"/>
      <c r="J226" s="996"/>
      <c r="K226" s="997"/>
      <c r="L226" s="90"/>
      <c r="M226" s="90"/>
    </row>
    <row r="227" spans="3:13">
      <c r="C227" s="90"/>
      <c r="D227" s="162"/>
      <c r="E227" s="576" t="s">
        <v>598</v>
      </c>
      <c r="F227" s="577" t="s">
        <v>621</v>
      </c>
      <c r="G227" s="577" t="s">
        <v>622</v>
      </c>
      <c r="H227" s="578" t="s">
        <v>623</v>
      </c>
      <c r="I227" s="995"/>
      <c r="J227" s="996"/>
      <c r="K227" s="997"/>
      <c r="L227" s="90"/>
      <c r="M227" s="90"/>
    </row>
    <row r="228" spans="3:13" ht="20" thickBot="1">
      <c r="C228" s="90"/>
      <c r="D228" s="162"/>
      <c r="E228" s="579" t="s">
        <v>611</v>
      </c>
      <c r="F228" s="580" t="s">
        <v>624</v>
      </c>
      <c r="G228" s="580" t="s">
        <v>625</v>
      </c>
      <c r="H228" s="581" t="s">
        <v>626</v>
      </c>
      <c r="I228" s="998"/>
      <c r="J228" s="999"/>
      <c r="K228" s="1000"/>
      <c r="L228" s="90"/>
      <c r="M228" s="90"/>
    </row>
    <row r="229" spans="3:13">
      <c r="C229" s="90"/>
      <c r="D229" s="88" t="s">
        <v>105</v>
      </c>
      <c r="E229" s="582" t="s">
        <v>30</v>
      </c>
      <c r="F229" s="1184" t="s">
        <v>627</v>
      </c>
      <c r="G229" s="1185"/>
      <c r="H229" s="1186"/>
      <c r="I229" s="1021" t="s">
        <v>427</v>
      </c>
      <c r="J229" s="1015"/>
      <c r="K229" s="1016"/>
      <c r="L229" s="90"/>
      <c r="M229" s="90"/>
    </row>
    <row r="230" spans="3:13">
      <c r="C230" s="90"/>
      <c r="D230" s="90"/>
      <c r="E230" s="573" t="s">
        <v>432</v>
      </c>
      <c r="F230" s="1187"/>
      <c r="G230" s="1188"/>
      <c r="H230" s="1189"/>
      <c r="I230" s="995"/>
      <c r="J230" s="996"/>
      <c r="K230" s="997"/>
      <c r="L230" s="90"/>
      <c r="M230" s="90"/>
    </row>
    <row r="231" spans="3:13">
      <c r="C231" s="90"/>
      <c r="D231" s="90"/>
      <c r="E231" s="573" t="s">
        <v>433</v>
      </c>
      <c r="F231" s="1169">
        <v>4.2000000000000003E-2</v>
      </c>
      <c r="G231" s="1170"/>
      <c r="H231" s="1171"/>
      <c r="I231" s="995"/>
      <c r="J231" s="996"/>
      <c r="K231" s="997"/>
      <c r="L231" s="90"/>
      <c r="M231" s="90"/>
    </row>
    <row r="232" spans="3:13">
      <c r="C232" s="90"/>
      <c r="D232" s="90"/>
      <c r="E232" s="573" t="s">
        <v>434</v>
      </c>
      <c r="F232" s="1163">
        <v>4.2000000000000003E-2</v>
      </c>
      <c r="G232" s="1164"/>
      <c r="H232" s="1165"/>
      <c r="I232" s="995"/>
      <c r="J232" s="996"/>
      <c r="K232" s="997"/>
      <c r="L232" s="90"/>
      <c r="M232" s="90"/>
    </row>
    <row r="233" spans="3:13" ht="20" thickBot="1">
      <c r="C233" s="90"/>
      <c r="D233" s="90"/>
      <c r="E233" s="574" t="s">
        <v>435</v>
      </c>
      <c r="F233" s="1160">
        <v>0.52083333333333337</v>
      </c>
      <c r="G233" s="1161"/>
      <c r="H233" s="1162"/>
      <c r="I233" s="995"/>
      <c r="J233" s="996"/>
      <c r="K233" s="997"/>
      <c r="L233" s="91">
        <f>F233+TIME(5,30,0)</f>
        <v>0.75</v>
      </c>
      <c r="M233" s="91">
        <f>L233-TIME(2,30,0)</f>
        <v>0.64583333333333337</v>
      </c>
    </row>
    <row r="234" spans="3:13" ht="20" thickBot="1">
      <c r="C234" s="90"/>
      <c r="D234" s="90"/>
      <c r="E234" s="575" t="s">
        <v>436</v>
      </c>
      <c r="F234" s="264" t="s">
        <v>29</v>
      </c>
      <c r="G234" s="264" t="s">
        <v>28</v>
      </c>
      <c r="H234" s="265" t="s">
        <v>27</v>
      </c>
      <c r="I234" s="995"/>
      <c r="J234" s="996"/>
      <c r="K234" s="997"/>
      <c r="L234" s="90"/>
      <c r="M234" s="90"/>
    </row>
    <row r="235" spans="3:13">
      <c r="C235" s="90"/>
      <c r="D235" s="90"/>
      <c r="E235" s="576" t="s">
        <v>607</v>
      </c>
      <c r="F235" s="266">
        <v>4.2000000000000003E-2</v>
      </c>
      <c r="G235" s="266" t="s">
        <v>628</v>
      </c>
      <c r="H235" s="589">
        <v>4.2999999999999997E-2</v>
      </c>
      <c r="I235" s="995"/>
      <c r="J235" s="996"/>
      <c r="K235" s="997"/>
      <c r="L235" s="90"/>
      <c r="M235" s="90"/>
    </row>
    <row r="236" spans="3:13">
      <c r="C236" s="90"/>
      <c r="D236" s="90"/>
      <c r="E236" s="576" t="s">
        <v>608</v>
      </c>
      <c r="F236" s="266">
        <v>4.2999999999999997E-2</v>
      </c>
      <c r="G236" s="266" t="s">
        <v>629</v>
      </c>
      <c r="H236" s="589">
        <v>4.1000000000000002E-2</v>
      </c>
      <c r="I236" s="995"/>
      <c r="J236" s="996"/>
      <c r="K236" s="997"/>
      <c r="L236" s="90"/>
      <c r="M236" s="90"/>
    </row>
    <row r="237" spans="3:13">
      <c r="C237" s="90"/>
      <c r="D237" s="90"/>
      <c r="E237" s="576" t="s">
        <v>609</v>
      </c>
      <c r="F237" s="266">
        <v>4.1000000000000002E-2</v>
      </c>
      <c r="G237" s="266" t="s">
        <v>630</v>
      </c>
      <c r="H237" s="589">
        <v>0.04</v>
      </c>
      <c r="I237" s="995"/>
      <c r="J237" s="996"/>
      <c r="K237" s="997"/>
      <c r="L237" s="90"/>
      <c r="M237" s="90"/>
    </row>
    <row r="238" spans="3:13">
      <c r="C238" s="90"/>
      <c r="D238" s="90"/>
      <c r="E238" s="576" t="s">
        <v>610</v>
      </c>
      <c r="F238" s="266">
        <v>0.04</v>
      </c>
      <c r="G238" s="266" t="s">
        <v>631</v>
      </c>
      <c r="H238" s="589">
        <v>3.9E-2</v>
      </c>
      <c r="I238" s="995"/>
      <c r="J238" s="996"/>
      <c r="K238" s="997"/>
      <c r="L238" s="90"/>
      <c r="M238" s="90"/>
    </row>
    <row r="239" spans="3:13">
      <c r="C239" s="90"/>
      <c r="D239" s="90"/>
      <c r="E239" s="576" t="s">
        <v>598</v>
      </c>
      <c r="F239" s="266">
        <v>3.9E-2</v>
      </c>
      <c r="G239" s="266" t="s">
        <v>632</v>
      </c>
      <c r="H239" s="589">
        <v>3.7999999999999999E-2</v>
      </c>
      <c r="I239" s="995"/>
      <c r="J239" s="996"/>
      <c r="K239" s="997"/>
      <c r="L239" s="90"/>
      <c r="M239" s="90"/>
    </row>
    <row r="240" spans="3:13" ht="20" thickBot="1">
      <c r="C240" s="90"/>
      <c r="D240" s="90"/>
      <c r="E240" s="579" t="s">
        <v>611</v>
      </c>
      <c r="F240" s="590">
        <v>3.7999999999999999E-2</v>
      </c>
      <c r="G240" s="590" t="s">
        <v>631</v>
      </c>
      <c r="H240" s="591">
        <v>3.9E-2</v>
      </c>
      <c r="I240" s="998"/>
      <c r="J240" s="999"/>
      <c r="K240" s="1000"/>
      <c r="L240" s="90"/>
      <c r="M240" s="90"/>
    </row>
    <row r="241" spans="3:13" ht="25" thickBot="1">
      <c r="C241" s="90"/>
      <c r="D241" s="88" t="s">
        <v>105</v>
      </c>
      <c r="E241" s="571" t="s">
        <v>30</v>
      </c>
      <c r="F241" s="1147" t="s">
        <v>50</v>
      </c>
      <c r="G241" s="1148"/>
      <c r="H241" s="1149"/>
      <c r="I241" s="1131" t="s">
        <v>633</v>
      </c>
      <c r="J241" s="1129"/>
      <c r="K241" s="1130"/>
      <c r="L241" s="104" t="s">
        <v>430</v>
      </c>
      <c r="M241" s="105" t="s">
        <v>431</v>
      </c>
    </row>
    <row r="242" spans="3:13">
      <c r="C242" s="90"/>
      <c r="D242" s="162"/>
      <c r="E242" s="572" t="s">
        <v>432</v>
      </c>
      <c r="F242" s="1150"/>
      <c r="G242" s="1151"/>
      <c r="H242" s="1152"/>
      <c r="I242" s="995" t="s">
        <v>642</v>
      </c>
      <c r="J242" s="996"/>
      <c r="K242" s="997"/>
      <c r="L242" s="99"/>
      <c r="M242" s="100"/>
    </row>
    <row r="243" spans="3:13">
      <c r="C243" s="90"/>
      <c r="D243" s="162"/>
      <c r="E243" s="573" t="s">
        <v>433</v>
      </c>
      <c r="F243" s="1163">
        <v>4.7500000000000001E-2</v>
      </c>
      <c r="G243" s="1164"/>
      <c r="H243" s="1165"/>
      <c r="I243" s="995"/>
      <c r="J243" s="996"/>
      <c r="K243" s="997"/>
      <c r="L243" s="99"/>
      <c r="M243" s="100"/>
    </row>
    <row r="244" spans="3:13" ht="20" thickBot="1">
      <c r="C244" s="90"/>
      <c r="D244" s="162"/>
      <c r="E244" s="573" t="s">
        <v>434</v>
      </c>
      <c r="F244" s="1163">
        <v>5.2499999999999998E-2</v>
      </c>
      <c r="G244" s="1164"/>
      <c r="H244" s="1165"/>
      <c r="I244" s="995"/>
      <c r="J244" s="996"/>
      <c r="K244" s="997"/>
      <c r="L244" s="99"/>
      <c r="M244" s="100"/>
    </row>
    <row r="245" spans="3:13" ht="20" thickBot="1">
      <c r="C245" s="90"/>
      <c r="D245" s="162"/>
      <c r="E245" s="574" t="s">
        <v>435</v>
      </c>
      <c r="F245" s="1160">
        <v>4.1666666666666657E-2</v>
      </c>
      <c r="G245" s="1161"/>
      <c r="H245" s="1162"/>
      <c r="I245" s="995"/>
      <c r="J245" s="996"/>
      <c r="K245" s="997"/>
      <c r="L245" s="106">
        <v>0.27083333333333331</v>
      </c>
      <c r="M245" s="107">
        <v>0.16666666666666663</v>
      </c>
    </row>
    <row r="246" spans="3:13" ht="20" thickBot="1">
      <c r="C246" s="90"/>
      <c r="D246" s="162"/>
      <c r="E246" s="575" t="s">
        <v>436</v>
      </c>
      <c r="F246" s="264" t="s">
        <v>29</v>
      </c>
      <c r="G246" s="264" t="s">
        <v>28</v>
      </c>
      <c r="H246" s="265" t="s">
        <v>27</v>
      </c>
      <c r="I246" s="995"/>
      <c r="J246" s="996"/>
      <c r="K246" s="997"/>
      <c r="L246" s="99"/>
      <c r="M246" s="100"/>
    </row>
    <row r="247" spans="3:13" ht="18">
      <c r="C247" s="90"/>
      <c r="D247" s="162"/>
      <c r="E247" s="576">
        <v>45518</v>
      </c>
      <c r="F247" s="266">
        <v>5.2499999999999998E-2</v>
      </c>
      <c r="G247" s="266">
        <v>5.5E-2</v>
      </c>
      <c r="H247" s="266">
        <v>5.5E-2</v>
      </c>
      <c r="I247" s="995"/>
      <c r="J247" s="996"/>
      <c r="K247" s="997"/>
      <c r="L247" s="99"/>
      <c r="M247" s="100"/>
    </row>
    <row r="248" spans="3:13" ht="18">
      <c r="C248" s="90"/>
      <c r="D248" s="162"/>
      <c r="E248" s="576">
        <v>45483</v>
      </c>
      <c r="F248" s="266">
        <v>5.5E-2</v>
      </c>
      <c r="G248" s="266">
        <v>5.5E-2</v>
      </c>
      <c r="H248" s="266">
        <v>5.5E-2</v>
      </c>
      <c r="I248" s="995"/>
      <c r="J248" s="996"/>
      <c r="K248" s="997"/>
      <c r="L248" s="99"/>
      <c r="M248" s="100"/>
    </row>
    <row r="249" spans="3:13" ht="18">
      <c r="C249" s="90"/>
      <c r="D249" s="162"/>
      <c r="E249" s="576">
        <v>45434</v>
      </c>
      <c r="F249" s="266">
        <v>5.5E-2</v>
      </c>
      <c r="G249" s="266">
        <v>5.5E-2</v>
      </c>
      <c r="H249" s="266">
        <v>5.5E-2</v>
      </c>
      <c r="I249" s="995"/>
      <c r="J249" s="996"/>
      <c r="K249" s="997"/>
      <c r="L249" s="101"/>
      <c r="M249" s="100"/>
    </row>
    <row r="250" spans="3:13" ht="18">
      <c r="C250" s="90"/>
      <c r="D250" s="162"/>
      <c r="E250" s="576">
        <v>45392</v>
      </c>
      <c r="F250" s="266">
        <v>5.5E-2</v>
      </c>
      <c r="G250" s="266">
        <v>5.5E-2</v>
      </c>
      <c r="H250" s="266">
        <v>5.5E-2</v>
      </c>
      <c r="I250" s="995"/>
      <c r="J250" s="996"/>
      <c r="K250" s="997"/>
      <c r="L250" s="99"/>
      <c r="M250" s="100"/>
    </row>
    <row r="251" spans="3:13" ht="18">
      <c r="C251" s="90"/>
      <c r="D251" s="162"/>
      <c r="E251" s="576">
        <v>45350</v>
      </c>
      <c r="F251" s="266">
        <v>5.5E-2</v>
      </c>
      <c r="G251" s="266">
        <v>5.5E-2</v>
      </c>
      <c r="H251" s="266">
        <v>5.5E-2</v>
      </c>
      <c r="I251" s="995"/>
      <c r="J251" s="996"/>
      <c r="K251" s="997"/>
      <c r="L251" s="99"/>
      <c r="M251" s="100"/>
    </row>
    <row r="252" spans="3:13" thickBot="1">
      <c r="C252" s="90"/>
      <c r="D252" s="162"/>
      <c r="E252" s="576">
        <v>45259</v>
      </c>
      <c r="F252" s="266">
        <v>5.5E-2</v>
      </c>
      <c r="G252" s="266">
        <v>5.5E-2</v>
      </c>
      <c r="H252" s="266">
        <v>5.5E-2</v>
      </c>
      <c r="I252" s="998"/>
      <c r="J252" s="999"/>
      <c r="K252" s="1000"/>
      <c r="L252" s="102"/>
      <c r="M252" s="103"/>
    </row>
    <row r="253" spans="3:13" ht="25" thickBot="1">
      <c r="C253" s="90"/>
      <c r="D253" s="88" t="s">
        <v>105</v>
      </c>
      <c r="E253" s="571" t="s">
        <v>30</v>
      </c>
      <c r="F253" s="1147" t="s">
        <v>9</v>
      </c>
      <c r="G253" s="1148"/>
      <c r="H253" s="1149"/>
      <c r="I253" s="1131" t="s">
        <v>633</v>
      </c>
      <c r="J253" s="1129"/>
      <c r="K253" s="1130"/>
      <c r="L253" s="104" t="s">
        <v>430</v>
      </c>
      <c r="M253" s="105" t="s">
        <v>431</v>
      </c>
    </row>
    <row r="254" spans="3:13">
      <c r="C254" s="90"/>
      <c r="D254" s="162"/>
      <c r="E254" s="572" t="s">
        <v>432</v>
      </c>
      <c r="F254" s="1150"/>
      <c r="G254" s="1151"/>
      <c r="H254" s="1152"/>
      <c r="I254" s="995" t="s">
        <v>643</v>
      </c>
      <c r="J254" s="996"/>
      <c r="K254" s="997"/>
      <c r="L254" s="99"/>
      <c r="M254" s="100"/>
    </row>
    <row r="255" spans="3:13">
      <c r="C255" s="90"/>
      <c r="D255" s="162"/>
      <c r="E255" s="573" t="s">
        <v>433</v>
      </c>
      <c r="F255" s="1169">
        <v>0</v>
      </c>
      <c r="G255" s="1170"/>
      <c r="H255" s="1171"/>
      <c r="I255" s="995"/>
      <c r="J255" s="996"/>
      <c r="K255" s="997"/>
      <c r="L255" s="99"/>
      <c r="M255" s="100"/>
    </row>
    <row r="256" spans="3:13" ht="20" thickBot="1">
      <c r="C256" s="90"/>
      <c r="D256" s="162"/>
      <c r="E256" s="573" t="s">
        <v>434</v>
      </c>
      <c r="F256" s="1169" t="s">
        <v>637</v>
      </c>
      <c r="G256" s="1170"/>
      <c r="H256" s="1171"/>
      <c r="I256" s="995"/>
      <c r="J256" s="996"/>
      <c r="K256" s="997"/>
      <c r="L256" s="99"/>
      <c r="M256" s="100"/>
    </row>
    <row r="257" spans="3:13" ht="20" thickBot="1">
      <c r="C257" s="90"/>
      <c r="D257" s="162"/>
      <c r="E257" s="574" t="s">
        <v>435</v>
      </c>
      <c r="F257" s="1160">
        <v>0.60416666666666674</v>
      </c>
      <c r="G257" s="1161"/>
      <c r="H257" s="1162"/>
      <c r="I257" s="995"/>
      <c r="J257" s="996"/>
      <c r="K257" s="997"/>
      <c r="L257" s="106">
        <v>0.83333333333333337</v>
      </c>
      <c r="M257" s="107">
        <v>0.72916666666666674</v>
      </c>
    </row>
    <row r="258" spans="3:13" ht="20" thickBot="1">
      <c r="C258" s="90"/>
      <c r="D258" s="162"/>
      <c r="E258" s="575" t="s">
        <v>436</v>
      </c>
      <c r="F258" s="264" t="s">
        <v>29</v>
      </c>
      <c r="G258" s="264" t="s">
        <v>28</v>
      </c>
      <c r="H258" s="265" t="s">
        <v>27</v>
      </c>
      <c r="I258" s="995"/>
      <c r="J258" s="996"/>
      <c r="K258" s="997"/>
      <c r="L258" s="99"/>
      <c r="M258" s="100"/>
    </row>
    <row r="259" spans="3:13">
      <c r="C259" s="90"/>
      <c r="D259" s="162"/>
      <c r="E259" s="576">
        <v>45567</v>
      </c>
      <c r="F259" s="577" t="s">
        <v>637</v>
      </c>
      <c r="G259" s="577" t="s">
        <v>636</v>
      </c>
      <c r="H259" s="578" t="s">
        <v>380</v>
      </c>
      <c r="I259" s="995"/>
      <c r="J259" s="996"/>
      <c r="K259" s="997"/>
      <c r="L259" s="99"/>
      <c r="M259" s="100"/>
    </row>
    <row r="260" spans="3:13">
      <c r="C260" s="90"/>
      <c r="D260" s="162"/>
      <c r="E260" s="576">
        <v>45560</v>
      </c>
      <c r="F260" s="577" t="s">
        <v>380</v>
      </c>
      <c r="G260" s="577" t="s">
        <v>564</v>
      </c>
      <c r="H260" s="578" t="s">
        <v>337</v>
      </c>
      <c r="I260" s="995"/>
      <c r="J260" s="996"/>
      <c r="K260" s="997"/>
      <c r="L260" s="99"/>
      <c r="M260" s="100"/>
    </row>
    <row r="261" spans="3:13">
      <c r="C261" s="90"/>
      <c r="D261" s="162"/>
      <c r="E261" s="576">
        <v>45553</v>
      </c>
      <c r="F261" s="577" t="s">
        <v>337</v>
      </c>
      <c r="G261" s="577" t="s">
        <v>565</v>
      </c>
      <c r="H261" s="578" t="s">
        <v>339</v>
      </c>
      <c r="I261" s="995"/>
      <c r="J261" s="996"/>
      <c r="K261" s="997"/>
      <c r="L261" s="101"/>
      <c r="M261" s="100"/>
    </row>
    <row r="262" spans="3:13">
      <c r="C262" s="90"/>
      <c r="D262" s="162"/>
      <c r="E262" s="576">
        <v>45546</v>
      </c>
      <c r="F262" s="577" t="s">
        <v>339</v>
      </c>
      <c r="G262" s="577" t="s">
        <v>567</v>
      </c>
      <c r="H262" s="578" t="s">
        <v>312</v>
      </c>
      <c r="I262" s="995"/>
      <c r="J262" s="996"/>
      <c r="K262" s="997"/>
      <c r="L262" s="99"/>
      <c r="M262" s="100"/>
    </row>
    <row r="263" spans="3:13">
      <c r="C263" s="90"/>
      <c r="D263" s="162"/>
      <c r="E263" s="576">
        <v>45540</v>
      </c>
      <c r="F263" s="577" t="s">
        <v>312</v>
      </c>
      <c r="G263" s="577" t="s">
        <v>568</v>
      </c>
      <c r="H263" s="578" t="s">
        <v>267</v>
      </c>
      <c r="I263" s="995"/>
      <c r="J263" s="996"/>
      <c r="K263" s="997"/>
      <c r="L263" s="99"/>
      <c r="M263" s="100"/>
    </row>
    <row r="264" spans="3:13" ht="20" thickBot="1">
      <c r="C264" s="90"/>
      <c r="D264" s="162"/>
      <c r="E264" s="576">
        <v>45532</v>
      </c>
      <c r="F264" s="577" t="s">
        <v>267</v>
      </c>
      <c r="G264" s="577" t="s">
        <v>570</v>
      </c>
      <c r="H264" s="578" t="s">
        <v>218</v>
      </c>
      <c r="I264" s="998"/>
      <c r="J264" s="999"/>
      <c r="K264" s="1000"/>
      <c r="L264" s="102"/>
      <c r="M264" s="103"/>
    </row>
    <row r="265" spans="3:13" ht="25" thickBot="1">
      <c r="C265" s="90"/>
      <c r="D265" s="88" t="s">
        <v>105</v>
      </c>
      <c r="E265" s="571" t="s">
        <v>30</v>
      </c>
      <c r="F265" s="1147" t="s">
        <v>644</v>
      </c>
      <c r="G265" s="1148"/>
      <c r="H265" s="1149"/>
      <c r="I265" s="1131" t="s">
        <v>633</v>
      </c>
      <c r="J265" s="1129"/>
      <c r="K265" s="1130"/>
      <c r="L265" s="104" t="s">
        <v>430</v>
      </c>
      <c r="M265" s="105" t="s">
        <v>431</v>
      </c>
    </row>
    <row r="266" spans="3:13">
      <c r="C266" s="90"/>
      <c r="D266" s="162"/>
      <c r="E266" s="572" t="s">
        <v>432</v>
      </c>
      <c r="F266" s="1150"/>
      <c r="G266" s="1151"/>
      <c r="H266" s="1152"/>
      <c r="I266" s="995" t="s">
        <v>645</v>
      </c>
      <c r="J266" s="996"/>
      <c r="K266" s="997"/>
      <c r="L266" s="99"/>
      <c r="M266" s="100"/>
    </row>
    <row r="267" spans="3:13">
      <c r="C267" s="90"/>
      <c r="D267" s="162"/>
      <c r="E267" s="573" t="s">
        <v>433</v>
      </c>
      <c r="F267" s="1169">
        <v>0</v>
      </c>
      <c r="G267" s="1170"/>
      <c r="H267" s="1171"/>
      <c r="I267" s="995"/>
      <c r="J267" s="996"/>
      <c r="K267" s="997"/>
      <c r="L267" s="99"/>
      <c r="M267" s="100"/>
    </row>
    <row r="268" spans="3:13" ht="20" thickBot="1">
      <c r="C268" s="90"/>
      <c r="D268" s="162"/>
      <c r="E268" s="573" t="s">
        <v>434</v>
      </c>
      <c r="F268" s="1166">
        <v>3.6479999999999999E-2</v>
      </c>
      <c r="G268" s="1167"/>
      <c r="H268" s="1168"/>
      <c r="I268" s="995"/>
      <c r="J268" s="996"/>
      <c r="K268" s="997"/>
      <c r="L268" s="99"/>
      <c r="M268" s="100"/>
    </row>
    <row r="269" spans="3:13" ht="20" thickBot="1">
      <c r="C269" s="90"/>
      <c r="D269" s="162"/>
      <c r="E269" s="574" t="s">
        <v>435</v>
      </c>
      <c r="F269" s="1160">
        <v>0.70833333333333337</v>
      </c>
      <c r="G269" s="1161"/>
      <c r="H269" s="1162"/>
      <c r="I269" s="995"/>
      <c r="J269" s="996"/>
      <c r="K269" s="997"/>
      <c r="L269" s="106">
        <v>0.9375</v>
      </c>
      <c r="M269" s="107">
        <v>0.83333333333333337</v>
      </c>
    </row>
    <row r="270" spans="3:13" ht="20" thickBot="1">
      <c r="C270" s="90"/>
      <c r="D270" s="162"/>
      <c r="E270" s="575" t="s">
        <v>436</v>
      </c>
      <c r="F270" s="264" t="s">
        <v>29</v>
      </c>
      <c r="G270" s="264" t="s">
        <v>28</v>
      </c>
      <c r="H270" s="265" t="s">
        <v>27</v>
      </c>
      <c r="I270" s="995"/>
      <c r="J270" s="996"/>
      <c r="K270" s="997"/>
      <c r="L270" s="99"/>
      <c r="M270" s="100"/>
    </row>
    <row r="271" spans="3:13" ht="18">
      <c r="C271" s="90"/>
      <c r="D271" s="162"/>
      <c r="E271" s="576">
        <v>45546</v>
      </c>
      <c r="F271" s="592">
        <v>3.6479999999999999E-2</v>
      </c>
      <c r="G271" s="266"/>
      <c r="H271" s="592">
        <v>3.9600000000000003E-2</v>
      </c>
      <c r="I271" s="995"/>
      <c r="J271" s="996"/>
      <c r="K271" s="997"/>
      <c r="L271" s="99"/>
      <c r="M271" s="100"/>
    </row>
    <row r="272" spans="3:13" ht="18">
      <c r="C272" s="90"/>
      <c r="D272" s="162"/>
      <c r="E272" s="576">
        <v>45511</v>
      </c>
      <c r="F272" s="592">
        <v>3.9600000000000003E-2</v>
      </c>
      <c r="G272" s="266"/>
      <c r="H272" s="592">
        <v>4.2759999999999999E-2</v>
      </c>
      <c r="I272" s="995"/>
      <c r="J272" s="996"/>
      <c r="K272" s="997"/>
      <c r="L272" s="99"/>
      <c r="M272" s="100"/>
    </row>
    <row r="273" spans="3:13" ht="18">
      <c r="C273" s="90"/>
      <c r="D273" s="162"/>
      <c r="E273" s="576">
        <v>45483</v>
      </c>
      <c r="F273" s="592">
        <v>4.2759999999999999E-2</v>
      </c>
      <c r="G273" s="266"/>
      <c r="H273" s="592">
        <v>4.4380000000000003E-2</v>
      </c>
      <c r="I273" s="995"/>
      <c r="J273" s="996"/>
      <c r="K273" s="997"/>
      <c r="L273" s="101"/>
      <c r="M273" s="100"/>
    </row>
    <row r="274" spans="3:13" ht="18">
      <c r="C274" s="90"/>
      <c r="D274" s="162"/>
      <c r="E274" s="576">
        <v>45454</v>
      </c>
      <c r="F274" s="592">
        <v>4.4380000000000003E-2</v>
      </c>
      <c r="G274" s="266"/>
      <c r="H274" s="592">
        <v>4.4830000000000002E-2</v>
      </c>
      <c r="I274" s="995"/>
      <c r="J274" s="996"/>
      <c r="K274" s="997"/>
      <c r="L274" s="99"/>
      <c r="M274" s="100"/>
    </row>
    <row r="275" spans="3:13" ht="18">
      <c r="C275" s="90"/>
      <c r="D275" s="162"/>
      <c r="E275" s="576">
        <v>45420</v>
      </c>
      <c r="F275" s="592">
        <v>4.4830000000000002E-2</v>
      </c>
      <c r="G275" s="266"/>
      <c r="H275" s="592">
        <v>4.5600000000000002E-2</v>
      </c>
      <c r="I275" s="995"/>
      <c r="J275" s="996"/>
      <c r="K275" s="997"/>
      <c r="L275" s="99"/>
      <c r="M275" s="100"/>
    </row>
    <row r="276" spans="3:13" thickBot="1">
      <c r="C276" s="90"/>
      <c r="D276" s="162"/>
      <c r="E276" s="576">
        <v>45392</v>
      </c>
      <c r="F276" s="592">
        <v>4.5600000000000002E-2</v>
      </c>
      <c r="G276" s="266"/>
      <c r="H276" s="592">
        <v>4.1660000000000003E-2</v>
      </c>
      <c r="I276" s="998"/>
      <c r="J276" s="999"/>
      <c r="K276" s="1000"/>
      <c r="L276" s="102"/>
      <c r="M276" s="103"/>
    </row>
    <row r="277" spans="3:13" ht="25" thickBot="1">
      <c r="C277" s="90"/>
      <c r="D277" s="88" t="s">
        <v>105</v>
      </c>
      <c r="E277" s="571" t="s">
        <v>30</v>
      </c>
      <c r="F277" s="1147" t="s">
        <v>7</v>
      </c>
      <c r="G277" s="1148"/>
      <c r="H277" s="1149"/>
      <c r="I277" s="1131" t="s">
        <v>633</v>
      </c>
      <c r="J277" s="1129"/>
      <c r="K277" s="1130"/>
      <c r="L277" s="104" t="s">
        <v>430</v>
      </c>
      <c r="M277" s="105" t="s">
        <v>431</v>
      </c>
    </row>
    <row r="278" spans="3:13">
      <c r="C278" s="90"/>
      <c r="D278" s="162"/>
      <c r="E278" s="572" t="s">
        <v>432</v>
      </c>
      <c r="F278" s="1150"/>
      <c r="G278" s="1151"/>
      <c r="H278" s="1152"/>
      <c r="I278" s="995" t="s">
        <v>646</v>
      </c>
      <c r="J278" s="996"/>
      <c r="K278" s="997"/>
      <c r="L278" s="99"/>
      <c r="M278" s="100"/>
    </row>
    <row r="279" spans="3:13">
      <c r="C279" s="90"/>
      <c r="D279" s="162"/>
      <c r="E279" s="573" t="s">
        <v>433</v>
      </c>
      <c r="F279" s="1169">
        <v>0</v>
      </c>
      <c r="G279" s="1170"/>
      <c r="H279" s="1171"/>
      <c r="I279" s="995"/>
      <c r="J279" s="996"/>
      <c r="K279" s="997"/>
      <c r="L279" s="99"/>
      <c r="M279" s="100"/>
    </row>
    <row r="280" spans="3:13" ht="20" thickBot="1">
      <c r="C280" s="90"/>
      <c r="D280" s="162"/>
      <c r="E280" s="573" t="s">
        <v>434</v>
      </c>
      <c r="F280" s="1153">
        <v>0</v>
      </c>
      <c r="G280" s="1154"/>
      <c r="H280" s="1155"/>
      <c r="I280" s="995"/>
      <c r="J280" s="996"/>
      <c r="K280" s="997"/>
      <c r="L280" s="99"/>
      <c r="M280" s="100"/>
    </row>
    <row r="281" spans="3:13" ht="20" thickBot="1">
      <c r="C281" s="90"/>
      <c r="D281" s="162"/>
      <c r="E281" s="574" t="s">
        <v>435</v>
      </c>
      <c r="F281" s="1160">
        <v>0.75</v>
      </c>
      <c r="G281" s="1161"/>
      <c r="H281" s="1162"/>
      <c r="I281" s="995"/>
      <c r="J281" s="996"/>
      <c r="K281" s="997"/>
      <c r="L281" s="106">
        <v>0.97916666666666663</v>
      </c>
      <c r="M281" s="107">
        <v>0.875</v>
      </c>
    </row>
    <row r="282" spans="3:13" ht="20" thickBot="1">
      <c r="C282" s="90"/>
      <c r="D282" s="162"/>
      <c r="E282" s="575" t="s">
        <v>436</v>
      </c>
      <c r="F282" s="264" t="s">
        <v>29</v>
      </c>
      <c r="G282" s="264" t="s">
        <v>28</v>
      </c>
      <c r="H282" s="265" t="s">
        <v>27</v>
      </c>
      <c r="I282" s="995"/>
      <c r="J282" s="996"/>
      <c r="K282" s="997"/>
      <c r="L282" s="99"/>
      <c r="M282" s="100"/>
    </row>
    <row r="283" spans="3:13" ht="18">
      <c r="C283" s="90"/>
      <c r="D283" s="162"/>
      <c r="E283" s="576">
        <v>45525</v>
      </c>
      <c r="F283" s="592"/>
      <c r="G283" s="266"/>
      <c r="H283" s="592"/>
      <c r="I283" s="995"/>
      <c r="J283" s="996"/>
      <c r="K283" s="997"/>
      <c r="L283" s="99"/>
      <c r="M283" s="100"/>
    </row>
    <row r="284" spans="3:13" ht="18">
      <c r="C284" s="90"/>
      <c r="D284" s="162"/>
      <c r="E284" s="576">
        <v>45476</v>
      </c>
      <c r="F284" s="592"/>
      <c r="G284" s="266"/>
      <c r="H284" s="592"/>
      <c r="I284" s="995"/>
      <c r="J284" s="996"/>
      <c r="K284" s="997"/>
      <c r="L284" s="99"/>
      <c r="M284" s="100"/>
    </row>
    <row r="285" spans="3:13" ht="18">
      <c r="C285" s="90"/>
      <c r="D285" s="162"/>
      <c r="E285" s="576">
        <v>45434</v>
      </c>
      <c r="F285" s="592"/>
      <c r="G285" s="266"/>
      <c r="H285" s="592"/>
      <c r="I285" s="995"/>
      <c r="J285" s="996"/>
      <c r="K285" s="997"/>
      <c r="L285" s="101"/>
      <c r="M285" s="100"/>
    </row>
    <row r="286" spans="3:13" ht="18">
      <c r="C286" s="90"/>
      <c r="D286" s="162"/>
      <c r="E286" s="576">
        <v>45392</v>
      </c>
      <c r="F286" s="592"/>
      <c r="G286" s="266"/>
      <c r="H286" s="592"/>
      <c r="I286" s="995"/>
      <c r="J286" s="996"/>
      <c r="K286" s="997"/>
      <c r="L286" s="99"/>
      <c r="M286" s="100"/>
    </row>
    <row r="287" spans="3:13" ht="18">
      <c r="C287" s="90"/>
      <c r="D287" s="162"/>
      <c r="E287" s="576">
        <v>45343</v>
      </c>
      <c r="F287" s="592"/>
      <c r="G287" s="266"/>
      <c r="H287" s="592"/>
      <c r="I287" s="995"/>
      <c r="J287" s="996"/>
      <c r="K287" s="997"/>
      <c r="L287" s="99"/>
      <c r="M287" s="100"/>
    </row>
    <row r="288" spans="3:13" thickBot="1">
      <c r="C288" s="90"/>
      <c r="D288" s="162"/>
      <c r="E288" s="576">
        <v>45294</v>
      </c>
      <c r="F288" s="592"/>
      <c r="G288" s="266"/>
      <c r="H288" s="592"/>
      <c r="I288" s="998"/>
      <c r="J288" s="999"/>
      <c r="K288" s="1000"/>
      <c r="L288" s="102"/>
      <c r="M288" s="103"/>
    </row>
    <row r="289" spans="3:13" ht="25" thickBot="1">
      <c r="C289" s="90"/>
      <c r="D289" s="88" t="s">
        <v>105</v>
      </c>
      <c r="E289" s="571" t="s">
        <v>30</v>
      </c>
      <c r="F289" s="1147" t="s">
        <v>647</v>
      </c>
      <c r="G289" s="1148"/>
      <c r="H289" s="1149"/>
      <c r="I289" s="1131" t="s">
        <v>633</v>
      </c>
      <c r="J289" s="1129"/>
      <c r="K289" s="1130"/>
      <c r="L289" s="104" t="s">
        <v>430</v>
      </c>
      <c r="M289" s="105" t="s">
        <v>431</v>
      </c>
    </row>
    <row r="290" spans="3:13">
      <c r="C290" s="90"/>
      <c r="D290" s="162"/>
      <c r="E290" s="572" t="s">
        <v>432</v>
      </c>
      <c r="F290" s="1150"/>
      <c r="G290" s="1151"/>
      <c r="H290" s="1152"/>
      <c r="I290" s="995" t="s">
        <v>648</v>
      </c>
      <c r="J290" s="996"/>
      <c r="K290" s="997"/>
      <c r="L290" s="99"/>
      <c r="M290" s="100"/>
    </row>
    <row r="291" spans="3:13">
      <c r="C291" s="90"/>
      <c r="D291" s="162"/>
      <c r="E291" s="573" t="s">
        <v>433</v>
      </c>
      <c r="F291" s="1178">
        <v>2E-3</v>
      </c>
      <c r="G291" s="1179"/>
      <c r="H291" s="1180"/>
      <c r="I291" s="995"/>
      <c r="J291" s="996"/>
      <c r="K291" s="997"/>
      <c r="L291" s="99"/>
      <c r="M291" s="100"/>
    </row>
    <row r="292" spans="3:13" ht="20" thickBot="1">
      <c r="C292" s="90"/>
      <c r="D292" s="162"/>
      <c r="E292" s="573" t="s">
        <v>434</v>
      </c>
      <c r="F292" s="1178">
        <v>3.0000000000000001E-3</v>
      </c>
      <c r="G292" s="1179"/>
      <c r="H292" s="1180"/>
      <c r="I292" s="995"/>
      <c r="J292" s="996"/>
      <c r="K292" s="997"/>
      <c r="L292" s="99"/>
      <c r="M292" s="100"/>
    </row>
    <row r="293" spans="3:13" ht="20" thickBot="1">
      <c r="C293" s="90"/>
      <c r="D293" s="162"/>
      <c r="E293" s="574" t="s">
        <v>435</v>
      </c>
      <c r="F293" s="1160">
        <v>0.52083333333333337</v>
      </c>
      <c r="G293" s="1161"/>
      <c r="H293" s="1162"/>
      <c r="I293" s="995"/>
      <c r="J293" s="996"/>
      <c r="K293" s="997"/>
      <c r="L293" s="106">
        <v>0.75</v>
      </c>
      <c r="M293" s="107">
        <v>0.64583333333333337</v>
      </c>
    </row>
    <row r="294" spans="3:13" ht="20" thickBot="1">
      <c r="C294" s="90"/>
      <c r="D294" s="162"/>
      <c r="E294" s="575" t="s">
        <v>436</v>
      </c>
      <c r="F294" s="264" t="s">
        <v>29</v>
      </c>
      <c r="G294" s="264" t="s">
        <v>28</v>
      </c>
      <c r="H294" s="265" t="s">
        <v>27</v>
      </c>
      <c r="I294" s="995"/>
      <c r="J294" s="996"/>
      <c r="K294" s="997"/>
      <c r="L294" s="99"/>
      <c r="M294" s="100"/>
    </row>
    <row r="295" spans="3:13" ht="18">
      <c r="C295" s="90"/>
      <c r="D295" s="162"/>
      <c r="E295" s="576">
        <v>45546</v>
      </c>
      <c r="F295" s="592">
        <v>3.0000000000000001E-3</v>
      </c>
      <c r="G295" s="592">
        <v>2E-3</v>
      </c>
      <c r="H295" s="592">
        <v>2E-3</v>
      </c>
      <c r="I295" s="995"/>
      <c r="J295" s="996"/>
      <c r="K295" s="997"/>
      <c r="L295" s="99"/>
      <c r="M295" s="100"/>
    </row>
    <row r="296" spans="3:13" ht="18">
      <c r="C296" s="90"/>
      <c r="D296" s="162"/>
      <c r="E296" s="576">
        <v>45518</v>
      </c>
      <c r="F296" s="592">
        <v>2E-3</v>
      </c>
      <c r="G296" s="592">
        <v>2E-3</v>
      </c>
      <c r="H296" s="592">
        <v>1E-3</v>
      </c>
      <c r="I296" s="995"/>
      <c r="J296" s="996"/>
      <c r="K296" s="997"/>
      <c r="L296" s="99"/>
      <c r="M296" s="100"/>
    </row>
    <row r="297" spans="3:13" ht="18">
      <c r="C297" s="90"/>
      <c r="D297" s="162"/>
      <c r="E297" s="576">
        <v>45484</v>
      </c>
      <c r="F297" s="592">
        <v>1E-3</v>
      </c>
      <c r="G297" s="592">
        <v>2E-3</v>
      </c>
      <c r="H297" s="592">
        <v>2E-3</v>
      </c>
      <c r="I297" s="995"/>
      <c r="J297" s="996"/>
      <c r="K297" s="997"/>
      <c r="L297" s="101"/>
      <c r="M297" s="100"/>
    </row>
    <row r="298" spans="3:13" ht="18">
      <c r="C298" s="90"/>
      <c r="D298" s="162"/>
      <c r="E298" s="576">
        <v>45455</v>
      </c>
      <c r="F298" s="592">
        <v>2E-3</v>
      </c>
      <c r="G298" s="592">
        <v>3.0000000000000001E-3</v>
      </c>
      <c r="H298" s="592">
        <v>3.0000000000000001E-3</v>
      </c>
      <c r="I298" s="995"/>
      <c r="J298" s="996"/>
      <c r="K298" s="997"/>
      <c r="L298" s="99"/>
      <c r="M298" s="100"/>
    </row>
    <row r="299" spans="3:13" ht="18">
      <c r="C299" s="90"/>
      <c r="D299" s="162"/>
      <c r="E299" s="576">
        <v>45427</v>
      </c>
      <c r="F299" s="592">
        <v>3.0000000000000001E-3</v>
      </c>
      <c r="G299" s="592">
        <v>3.0000000000000001E-3</v>
      </c>
      <c r="H299" s="592">
        <v>4.0000000000000001E-3</v>
      </c>
      <c r="I299" s="995"/>
      <c r="J299" s="996"/>
      <c r="K299" s="997"/>
      <c r="L299" s="99"/>
      <c r="M299" s="100"/>
    </row>
    <row r="300" spans="3:13" thickBot="1">
      <c r="C300" s="90"/>
      <c r="D300" s="162"/>
      <c r="E300" s="576">
        <v>45392</v>
      </c>
      <c r="F300" s="592">
        <v>4.0000000000000001E-3</v>
      </c>
      <c r="G300" s="592">
        <v>3.0000000000000001E-3</v>
      </c>
      <c r="H300" s="592">
        <v>4.0000000000000001E-3</v>
      </c>
      <c r="I300" s="998"/>
      <c r="J300" s="999"/>
      <c r="K300" s="1000"/>
      <c r="L300" s="102"/>
      <c r="M300" s="103"/>
    </row>
    <row r="301" spans="3:13" ht="25" thickBot="1">
      <c r="C301" s="90"/>
      <c r="D301" s="88" t="s">
        <v>105</v>
      </c>
      <c r="E301" s="571" t="s">
        <v>30</v>
      </c>
      <c r="F301" s="1147" t="s">
        <v>649</v>
      </c>
      <c r="G301" s="1148"/>
      <c r="H301" s="1149"/>
      <c r="I301" s="1131" t="s">
        <v>633</v>
      </c>
      <c r="J301" s="1129"/>
      <c r="K301" s="1130"/>
      <c r="L301" s="104" t="s">
        <v>430</v>
      </c>
      <c r="M301" s="105" t="s">
        <v>431</v>
      </c>
    </row>
    <row r="302" spans="3:13">
      <c r="C302" s="90"/>
      <c r="D302" s="162"/>
      <c r="E302" s="572" t="s">
        <v>432</v>
      </c>
      <c r="F302" s="1150"/>
      <c r="G302" s="1151"/>
      <c r="H302" s="1152"/>
      <c r="I302" s="995" t="s">
        <v>650</v>
      </c>
      <c r="J302" s="996"/>
      <c r="K302" s="997"/>
      <c r="L302" s="99"/>
      <c r="M302" s="100"/>
    </row>
    <row r="303" spans="3:13">
      <c r="C303" s="90"/>
      <c r="D303" s="162"/>
      <c r="E303" s="573" t="s">
        <v>433</v>
      </c>
      <c r="F303" s="1178">
        <v>2.3E-2</v>
      </c>
      <c r="G303" s="1179"/>
      <c r="H303" s="1180"/>
      <c r="I303" s="995"/>
      <c r="J303" s="996"/>
      <c r="K303" s="997"/>
      <c r="L303" s="99"/>
      <c r="M303" s="100"/>
    </row>
    <row r="304" spans="3:13" ht="20" thickBot="1">
      <c r="C304" s="90"/>
      <c r="D304" s="162"/>
      <c r="E304" s="573" t="s">
        <v>434</v>
      </c>
      <c r="F304" s="1178">
        <v>2.5000000000000001E-2</v>
      </c>
      <c r="G304" s="1179"/>
      <c r="H304" s="1180"/>
      <c r="I304" s="995"/>
      <c r="J304" s="996"/>
      <c r="K304" s="997"/>
      <c r="L304" s="99"/>
      <c r="M304" s="100"/>
    </row>
    <row r="305" spans="3:13" ht="20" thickBot="1">
      <c r="C305" s="90"/>
      <c r="D305" s="162"/>
      <c r="E305" s="574" t="s">
        <v>435</v>
      </c>
      <c r="F305" s="1160">
        <v>0.52083333333333337</v>
      </c>
      <c r="G305" s="1161"/>
      <c r="H305" s="1162"/>
      <c r="I305" s="995"/>
      <c r="J305" s="996"/>
      <c r="K305" s="997"/>
      <c r="L305" s="106">
        <v>0.75</v>
      </c>
      <c r="M305" s="107">
        <v>0.64583333333333337</v>
      </c>
    </row>
    <row r="306" spans="3:13" ht="20" thickBot="1">
      <c r="C306" s="90"/>
      <c r="D306" s="162"/>
      <c r="E306" s="575" t="s">
        <v>436</v>
      </c>
      <c r="F306" s="264" t="s">
        <v>29</v>
      </c>
      <c r="G306" s="264" t="s">
        <v>28</v>
      </c>
      <c r="H306" s="265" t="s">
        <v>27</v>
      </c>
      <c r="I306" s="995"/>
      <c r="J306" s="996"/>
      <c r="K306" s="997"/>
      <c r="L306" s="99"/>
      <c r="M306" s="100"/>
    </row>
    <row r="307" spans="3:13" ht="18">
      <c r="C307" s="90"/>
      <c r="D307" s="162"/>
      <c r="E307" s="576">
        <v>45546</v>
      </c>
      <c r="F307" s="592">
        <v>2.5000000000000001E-2</v>
      </c>
      <c r="G307" s="592">
        <v>2.5000000000000001E-2</v>
      </c>
      <c r="H307" s="592">
        <v>2.9000000000000001E-2</v>
      </c>
      <c r="I307" s="995"/>
      <c r="J307" s="996"/>
      <c r="K307" s="997"/>
      <c r="L307" s="99"/>
      <c r="M307" s="100"/>
    </row>
    <row r="308" spans="3:13" ht="18">
      <c r="C308" s="90"/>
      <c r="D308" s="162"/>
      <c r="E308" s="576">
        <v>45518</v>
      </c>
      <c r="F308" s="592">
        <v>2.9000000000000001E-2</v>
      </c>
      <c r="G308" s="592">
        <v>0.03</v>
      </c>
      <c r="H308" s="592">
        <v>0.03</v>
      </c>
      <c r="I308" s="995"/>
      <c r="J308" s="996"/>
      <c r="K308" s="997"/>
      <c r="L308" s="99"/>
      <c r="M308" s="100"/>
    </row>
    <row r="309" spans="3:13" ht="18">
      <c r="C309" s="90"/>
      <c r="D309" s="162"/>
      <c r="E309" s="576">
        <v>45484</v>
      </c>
      <c r="F309" s="592">
        <v>0.03</v>
      </c>
      <c r="G309" s="592">
        <v>3.1E-2</v>
      </c>
      <c r="H309" s="592">
        <v>3.3000000000000002E-2</v>
      </c>
      <c r="I309" s="995"/>
      <c r="J309" s="996"/>
      <c r="K309" s="997"/>
      <c r="L309" s="101"/>
      <c r="M309" s="100"/>
    </row>
    <row r="310" spans="3:13" ht="18">
      <c r="C310" s="90"/>
      <c r="D310" s="162"/>
      <c r="E310" s="576">
        <v>45455</v>
      </c>
      <c r="F310" s="592">
        <v>3.3000000000000002E-2</v>
      </c>
      <c r="G310" s="592">
        <v>3.4000000000000002E-2</v>
      </c>
      <c r="H310" s="592">
        <v>3.4000000000000002E-2</v>
      </c>
      <c r="I310" s="995"/>
      <c r="J310" s="996"/>
      <c r="K310" s="997"/>
      <c r="L310" s="99"/>
      <c r="M310" s="100"/>
    </row>
    <row r="311" spans="3:13" ht="18">
      <c r="C311" s="90"/>
      <c r="D311" s="162"/>
      <c r="E311" s="576">
        <v>45427</v>
      </c>
      <c r="F311" s="592">
        <v>3.4000000000000002E-2</v>
      </c>
      <c r="G311" s="592">
        <v>3.4000000000000002E-2</v>
      </c>
      <c r="H311" s="592">
        <v>3.5000000000000003E-2</v>
      </c>
      <c r="I311" s="995"/>
      <c r="J311" s="996"/>
      <c r="K311" s="997"/>
      <c r="L311" s="99"/>
      <c r="M311" s="100"/>
    </row>
    <row r="312" spans="3:13" thickBot="1">
      <c r="C312" s="90"/>
      <c r="D312" s="162"/>
      <c r="E312" s="576">
        <v>45392</v>
      </c>
      <c r="F312" s="592">
        <v>3.5000000000000003E-2</v>
      </c>
      <c r="G312" s="592">
        <v>3.4000000000000002E-2</v>
      </c>
      <c r="H312" s="592">
        <v>3.2000000000000001E-2</v>
      </c>
      <c r="I312" s="998"/>
      <c r="J312" s="999"/>
      <c r="K312" s="1000"/>
      <c r="L312" s="102"/>
      <c r="M312" s="103"/>
    </row>
    <row r="313" spans="3:13" ht="25" thickBot="1">
      <c r="C313" s="90"/>
      <c r="D313" s="88" t="s">
        <v>105</v>
      </c>
      <c r="E313" s="571" t="s">
        <v>30</v>
      </c>
      <c r="F313" s="1147" t="s">
        <v>411</v>
      </c>
      <c r="G313" s="1148"/>
      <c r="H313" s="1149"/>
      <c r="I313" s="1131" t="s">
        <v>633</v>
      </c>
      <c r="J313" s="1129"/>
      <c r="K313" s="1130"/>
      <c r="L313" s="104" t="s">
        <v>430</v>
      </c>
      <c r="M313" s="105" t="s">
        <v>431</v>
      </c>
    </row>
    <row r="314" spans="3:13">
      <c r="C314" s="90"/>
      <c r="D314" s="162"/>
      <c r="E314" s="572" t="s">
        <v>432</v>
      </c>
      <c r="F314" s="1150"/>
      <c r="G314" s="1151"/>
      <c r="H314" s="1152"/>
      <c r="I314" s="995" t="s">
        <v>648</v>
      </c>
      <c r="J314" s="996"/>
      <c r="K314" s="997"/>
      <c r="L314" s="99"/>
      <c r="M314" s="100"/>
    </row>
    <row r="315" spans="3:13">
      <c r="C315" s="90"/>
      <c r="D315" s="162"/>
      <c r="E315" s="573" t="s">
        <v>433</v>
      </c>
      <c r="F315" s="1178">
        <v>1E-3</v>
      </c>
      <c r="G315" s="1179"/>
      <c r="H315" s="1180"/>
      <c r="I315" s="995"/>
      <c r="J315" s="996"/>
      <c r="K315" s="997"/>
      <c r="L315" s="99"/>
      <c r="M315" s="100"/>
    </row>
    <row r="316" spans="3:13" ht="20" thickBot="1">
      <c r="C316" s="90"/>
      <c r="D316" s="162"/>
      <c r="E316" s="573" t="s">
        <v>434</v>
      </c>
      <c r="F316" s="1178">
        <v>2E-3</v>
      </c>
      <c r="G316" s="1179"/>
      <c r="H316" s="1180"/>
      <c r="I316" s="995"/>
      <c r="J316" s="996"/>
      <c r="K316" s="997"/>
      <c r="L316" s="99"/>
      <c r="M316" s="100"/>
    </row>
    <row r="317" spans="3:13" ht="20" thickBot="1">
      <c r="C317" s="90"/>
      <c r="D317" s="162"/>
      <c r="E317" s="574" t="s">
        <v>435</v>
      </c>
      <c r="F317" s="1160">
        <v>0.52083333333333337</v>
      </c>
      <c r="G317" s="1161"/>
      <c r="H317" s="1162"/>
      <c r="I317" s="995"/>
      <c r="J317" s="996"/>
      <c r="K317" s="997"/>
      <c r="L317" s="106">
        <v>0.75</v>
      </c>
      <c r="M317" s="107">
        <v>0.64583333333333337</v>
      </c>
    </row>
    <row r="318" spans="3:13" ht="20" thickBot="1">
      <c r="C318" s="90"/>
      <c r="D318" s="162"/>
      <c r="E318" s="575" t="s">
        <v>436</v>
      </c>
      <c r="F318" s="264" t="s">
        <v>29</v>
      </c>
      <c r="G318" s="264" t="s">
        <v>28</v>
      </c>
      <c r="H318" s="265" t="s">
        <v>27</v>
      </c>
      <c r="I318" s="995"/>
      <c r="J318" s="996"/>
      <c r="K318" s="997"/>
      <c r="L318" s="99"/>
      <c r="M318" s="100"/>
    </row>
    <row r="319" spans="3:13" ht="18">
      <c r="C319" s="90"/>
      <c r="D319" s="162"/>
      <c r="E319" s="576">
        <v>45546</v>
      </c>
      <c r="F319" s="592">
        <v>2E-3</v>
      </c>
      <c r="G319" s="592">
        <v>2E-3</v>
      </c>
      <c r="H319" s="592">
        <v>2E-3</v>
      </c>
      <c r="I319" s="995"/>
      <c r="J319" s="996"/>
      <c r="K319" s="997"/>
      <c r="L319" s="99"/>
      <c r="M319" s="100"/>
    </row>
    <row r="320" spans="3:13" ht="18">
      <c r="C320" s="90"/>
      <c r="D320" s="162"/>
      <c r="E320" s="576">
        <v>45518</v>
      </c>
      <c r="F320" s="592">
        <v>2E-3</v>
      </c>
      <c r="G320" s="592">
        <v>2E-3</v>
      </c>
      <c r="H320" s="592">
        <v>-1E-3</v>
      </c>
      <c r="I320" s="995"/>
      <c r="J320" s="996"/>
      <c r="K320" s="997"/>
      <c r="L320" s="99"/>
      <c r="M320" s="100"/>
    </row>
    <row r="321" spans="3:13" ht="18">
      <c r="C321" s="90"/>
      <c r="D321" s="162"/>
      <c r="E321" s="576">
        <v>45484</v>
      </c>
      <c r="F321" s="592">
        <v>-1E-3</v>
      </c>
      <c r="G321" s="592">
        <v>1E-3</v>
      </c>
      <c r="H321" s="592">
        <v>0</v>
      </c>
      <c r="I321" s="995"/>
      <c r="J321" s="996"/>
      <c r="K321" s="997"/>
      <c r="L321" s="101"/>
      <c r="M321" s="100"/>
    </row>
    <row r="322" spans="3:13" ht="18">
      <c r="C322" s="90"/>
      <c r="D322" s="162"/>
      <c r="E322" s="576">
        <v>45455</v>
      </c>
      <c r="F322" s="592">
        <v>0</v>
      </c>
      <c r="G322" s="592">
        <v>1E-3</v>
      </c>
      <c r="H322" s="592">
        <v>3.0000000000000001E-3</v>
      </c>
      <c r="I322" s="995"/>
      <c r="J322" s="996"/>
      <c r="K322" s="997"/>
      <c r="L322" s="99"/>
      <c r="M322" s="100"/>
    </row>
    <row r="323" spans="3:13" ht="18">
      <c r="C323" s="90"/>
      <c r="D323" s="162"/>
      <c r="E323" s="576">
        <v>45427</v>
      </c>
      <c r="F323" s="592">
        <v>3.0000000000000001E-3</v>
      </c>
      <c r="G323" s="592">
        <v>4.0000000000000001E-3</v>
      </c>
      <c r="H323" s="592">
        <v>4.0000000000000001E-3</v>
      </c>
      <c r="I323" s="995"/>
      <c r="J323" s="996"/>
      <c r="K323" s="997"/>
      <c r="L323" s="99"/>
      <c r="M323" s="100"/>
    </row>
    <row r="324" spans="3:13" thickBot="1">
      <c r="C324" s="90"/>
      <c r="D324" s="162"/>
      <c r="E324" s="576">
        <v>45392</v>
      </c>
      <c r="F324" s="592">
        <v>4.0000000000000001E-3</v>
      </c>
      <c r="G324" s="592">
        <v>3.0000000000000001E-3</v>
      </c>
      <c r="H324" s="592">
        <v>4.0000000000000001E-3</v>
      </c>
      <c r="I324" s="998"/>
      <c r="J324" s="999"/>
      <c r="K324" s="1000"/>
      <c r="L324" s="102"/>
      <c r="M324" s="103"/>
    </row>
    <row r="325" spans="3:13" ht="24" thickBot="1">
      <c r="C325" s="90"/>
      <c r="D325" s="88" t="s">
        <v>105</v>
      </c>
      <c r="E325" s="571" t="s">
        <v>30</v>
      </c>
      <c r="F325" s="1147" t="s">
        <v>573</v>
      </c>
      <c r="G325" s="1148"/>
      <c r="H325" s="1149"/>
      <c r="I325" s="1131" t="s">
        <v>651</v>
      </c>
      <c r="J325" s="1129"/>
      <c r="K325" s="1130"/>
      <c r="L325" s="104"/>
      <c r="M325" s="105"/>
    </row>
    <row r="326" spans="3:13">
      <c r="C326" s="90"/>
      <c r="D326" s="162"/>
      <c r="E326" s="572" t="s">
        <v>432</v>
      </c>
      <c r="F326" s="1150"/>
      <c r="G326" s="1151"/>
      <c r="H326" s="1152"/>
      <c r="I326" s="995" t="s">
        <v>651</v>
      </c>
      <c r="J326" s="996"/>
      <c r="K326" s="997"/>
      <c r="L326" s="99"/>
      <c r="M326" s="100"/>
    </row>
    <row r="327" spans="3:13">
      <c r="C327" s="90"/>
      <c r="D327" s="162"/>
      <c r="E327" s="573" t="s">
        <v>433</v>
      </c>
      <c r="F327" s="1178"/>
      <c r="G327" s="1179"/>
      <c r="H327" s="1180"/>
      <c r="I327" s="995"/>
      <c r="J327" s="996"/>
      <c r="K327" s="997"/>
      <c r="L327" s="99"/>
      <c r="M327" s="100"/>
    </row>
    <row r="328" spans="3:13" ht="20" thickBot="1">
      <c r="C328" s="90"/>
      <c r="D328" s="162"/>
      <c r="E328" s="573" t="s">
        <v>434</v>
      </c>
      <c r="F328" s="1178" t="s">
        <v>638</v>
      </c>
      <c r="G328" s="1179"/>
      <c r="H328" s="1180"/>
      <c r="I328" s="995"/>
      <c r="J328" s="996"/>
      <c r="K328" s="997"/>
      <c r="L328" s="99"/>
      <c r="M328" s="100"/>
    </row>
    <row r="329" spans="3:13" ht="20" thickBot="1">
      <c r="C329" s="90"/>
      <c r="D329" s="162"/>
      <c r="E329" s="574" t="s">
        <v>435</v>
      </c>
      <c r="F329" s="1160">
        <v>0.52083333333333337</v>
      </c>
      <c r="G329" s="1161"/>
      <c r="H329" s="1162"/>
      <c r="I329" s="995"/>
      <c r="J329" s="996"/>
      <c r="K329" s="997"/>
      <c r="L329" s="106">
        <v>0.75</v>
      </c>
      <c r="M329" s="107">
        <v>0.64583333333333337</v>
      </c>
    </row>
    <row r="330" spans="3:13" ht="20" thickBot="1">
      <c r="C330" s="90"/>
      <c r="D330" s="162"/>
      <c r="E330" s="575" t="s">
        <v>436</v>
      </c>
      <c r="F330" s="264" t="s">
        <v>29</v>
      </c>
      <c r="G330" s="264" t="s">
        <v>28</v>
      </c>
      <c r="H330" s="265" t="s">
        <v>27</v>
      </c>
      <c r="I330" s="995"/>
      <c r="J330" s="996"/>
      <c r="K330" s="997"/>
      <c r="L330" s="99"/>
      <c r="M330" s="100"/>
    </row>
    <row r="331" spans="3:13">
      <c r="C331" s="90"/>
      <c r="D331" s="162"/>
      <c r="E331" s="576">
        <v>45568</v>
      </c>
      <c r="F331" s="592" t="s">
        <v>638</v>
      </c>
      <c r="G331" s="592" t="s">
        <v>72</v>
      </c>
      <c r="H331" s="592" t="s">
        <v>345</v>
      </c>
      <c r="I331" s="995"/>
      <c r="J331" s="996"/>
      <c r="K331" s="997"/>
      <c r="L331" s="99"/>
      <c r="M331" s="100"/>
    </row>
    <row r="332" spans="3:13">
      <c r="C332" s="90"/>
      <c r="D332" s="162"/>
      <c r="E332" s="576">
        <v>45561</v>
      </c>
      <c r="F332" s="592" t="s">
        <v>382</v>
      </c>
      <c r="G332" s="592" t="s">
        <v>574</v>
      </c>
      <c r="H332" s="592" t="s">
        <v>72</v>
      </c>
      <c r="I332" s="995"/>
      <c r="J332" s="996"/>
      <c r="K332" s="997"/>
      <c r="L332" s="99"/>
      <c r="M332" s="100"/>
    </row>
    <row r="333" spans="3:13">
      <c r="C333" s="90"/>
      <c r="D333" s="162"/>
      <c r="E333" s="576">
        <v>45554</v>
      </c>
      <c r="F333" s="592" t="s">
        <v>345</v>
      </c>
      <c r="G333" s="592" t="s">
        <v>576</v>
      </c>
      <c r="H333" s="592" t="s">
        <v>268</v>
      </c>
      <c r="I333" s="995"/>
      <c r="J333" s="996"/>
      <c r="K333" s="997"/>
      <c r="L333" s="101"/>
      <c r="M333" s="100"/>
    </row>
    <row r="334" spans="3:13">
      <c r="C334" s="90"/>
      <c r="D334" s="162"/>
      <c r="E334" s="576">
        <v>45547</v>
      </c>
      <c r="F334" s="592" t="s">
        <v>330</v>
      </c>
      <c r="G334" s="592" t="s">
        <v>578</v>
      </c>
      <c r="H334" s="592" t="s">
        <v>579</v>
      </c>
      <c r="I334" s="995"/>
      <c r="J334" s="996"/>
      <c r="K334" s="997"/>
      <c r="L334" s="99"/>
      <c r="M334" s="100"/>
    </row>
    <row r="335" spans="3:13">
      <c r="C335" s="90"/>
      <c r="D335" s="162"/>
      <c r="E335" s="576">
        <v>45540</v>
      </c>
      <c r="F335" s="592" t="s">
        <v>209</v>
      </c>
      <c r="G335" s="592" t="s">
        <v>580</v>
      </c>
      <c r="H335" s="592" t="s">
        <v>223</v>
      </c>
      <c r="I335" s="995"/>
      <c r="J335" s="996"/>
      <c r="K335" s="997"/>
      <c r="L335" s="99"/>
      <c r="M335" s="100"/>
    </row>
    <row r="336" spans="3:13" ht="20" thickBot="1">
      <c r="C336" s="90"/>
      <c r="D336" s="162"/>
      <c r="E336" s="576">
        <v>45564</v>
      </c>
      <c r="F336" s="592" t="s">
        <v>268</v>
      </c>
      <c r="G336" s="592" t="s">
        <v>582</v>
      </c>
      <c r="H336" s="592" t="s">
        <v>13</v>
      </c>
      <c r="I336" s="998"/>
      <c r="J336" s="999"/>
      <c r="K336" s="1000"/>
      <c r="L336" s="102"/>
      <c r="M336" s="103"/>
    </row>
    <row r="337" spans="3:13" ht="25" thickBot="1">
      <c r="C337" s="90"/>
      <c r="D337" s="88" t="s">
        <v>105</v>
      </c>
      <c r="E337" s="571" t="s">
        <v>30</v>
      </c>
      <c r="F337" s="1147" t="s">
        <v>174</v>
      </c>
      <c r="G337" s="1148"/>
      <c r="H337" s="1149"/>
      <c r="I337" s="1131" t="s">
        <v>633</v>
      </c>
      <c r="J337" s="1129"/>
      <c r="K337" s="1130"/>
      <c r="L337" s="104" t="s">
        <v>430</v>
      </c>
      <c r="M337" s="105" t="s">
        <v>431</v>
      </c>
    </row>
    <row r="338" spans="3:13">
      <c r="C338" s="90"/>
      <c r="D338" s="162"/>
      <c r="E338" s="572" t="s">
        <v>432</v>
      </c>
      <c r="F338" s="1150"/>
      <c r="G338" s="1151"/>
      <c r="H338" s="1152"/>
      <c r="I338" s="995" t="s">
        <v>652</v>
      </c>
      <c r="J338" s="996"/>
      <c r="K338" s="997"/>
      <c r="L338" s="99"/>
      <c r="M338" s="100"/>
    </row>
    <row r="339" spans="3:13">
      <c r="C339" s="90"/>
      <c r="D339" s="162"/>
      <c r="E339" s="573" t="s">
        <v>433</v>
      </c>
      <c r="F339" s="1169">
        <v>0</v>
      </c>
      <c r="G339" s="1170"/>
      <c r="H339" s="1171"/>
      <c r="I339" s="995"/>
      <c r="J339" s="996"/>
      <c r="K339" s="997"/>
      <c r="L339" s="99"/>
      <c r="M339" s="100"/>
    </row>
    <row r="340" spans="3:13" ht="20" thickBot="1">
      <c r="C340" s="90"/>
      <c r="D340" s="162"/>
      <c r="E340" s="573" t="s">
        <v>434</v>
      </c>
      <c r="F340" s="1166">
        <v>4.0149999999999998E-2</v>
      </c>
      <c r="G340" s="1167"/>
      <c r="H340" s="1168"/>
      <c r="I340" s="995"/>
      <c r="J340" s="996"/>
      <c r="K340" s="997"/>
      <c r="L340" s="99"/>
      <c r="M340" s="100"/>
    </row>
    <row r="341" spans="3:13" ht="20" thickBot="1">
      <c r="C341" s="90"/>
      <c r="D341" s="162"/>
      <c r="E341" s="574" t="s">
        <v>435</v>
      </c>
      <c r="F341" s="1160">
        <v>0.70833333333333337</v>
      </c>
      <c r="G341" s="1161"/>
      <c r="H341" s="1162"/>
      <c r="I341" s="995"/>
      <c r="J341" s="996"/>
      <c r="K341" s="997"/>
      <c r="L341" s="106">
        <v>0.9375</v>
      </c>
      <c r="M341" s="107">
        <v>0.83333333333333337</v>
      </c>
    </row>
    <row r="342" spans="3:13" ht="20" thickBot="1">
      <c r="C342" s="90"/>
      <c r="D342" s="162"/>
      <c r="E342" s="575" t="s">
        <v>436</v>
      </c>
      <c r="F342" s="264" t="s">
        <v>29</v>
      </c>
      <c r="G342" s="264" t="s">
        <v>28</v>
      </c>
      <c r="H342" s="265" t="s">
        <v>27</v>
      </c>
      <c r="I342" s="995"/>
      <c r="J342" s="996"/>
      <c r="K342" s="997"/>
      <c r="L342" s="99"/>
      <c r="M342" s="100"/>
    </row>
    <row r="343" spans="3:13" ht="18">
      <c r="C343" s="90"/>
      <c r="D343" s="162"/>
      <c r="E343" s="576">
        <v>45547</v>
      </c>
      <c r="F343" s="592">
        <v>4.0149999999999998E-2</v>
      </c>
      <c r="G343" s="266"/>
      <c r="H343" s="592">
        <v>4.3139999999999998E-2</v>
      </c>
      <c r="I343" s="995"/>
      <c r="J343" s="996"/>
      <c r="K343" s="997"/>
      <c r="L343" s="99"/>
      <c r="M343" s="100"/>
    </row>
    <row r="344" spans="3:13" ht="18">
      <c r="C344" s="90"/>
      <c r="D344" s="162"/>
      <c r="E344" s="576">
        <v>45512</v>
      </c>
      <c r="F344" s="592">
        <v>4.3139999999999998E-2</v>
      </c>
      <c r="G344" s="266"/>
      <c r="H344" s="592">
        <v>4.4049999999999999E-2</v>
      </c>
      <c r="I344" s="995"/>
      <c r="J344" s="996"/>
      <c r="K344" s="997"/>
      <c r="L344" s="99"/>
      <c r="M344" s="100"/>
    </row>
    <row r="345" spans="3:13" ht="18">
      <c r="C345" s="90"/>
      <c r="D345" s="162"/>
      <c r="E345" s="576">
        <v>45484</v>
      </c>
      <c r="F345" s="592">
        <v>4.4049999999999999E-2</v>
      </c>
      <c r="G345" s="266"/>
      <c r="H345" s="592">
        <v>4.403E-2</v>
      </c>
      <c r="I345" s="995"/>
      <c r="J345" s="996"/>
      <c r="K345" s="997"/>
      <c r="L345" s="101"/>
      <c r="M345" s="100"/>
    </row>
    <row r="346" spans="3:13" ht="18">
      <c r="C346" s="90"/>
      <c r="D346" s="162"/>
      <c r="E346" s="576">
        <v>45456</v>
      </c>
      <c r="F346" s="592">
        <v>4.403E-2</v>
      </c>
      <c r="G346" s="266"/>
      <c r="H346" s="592">
        <v>4.6350000000000002E-2</v>
      </c>
      <c r="I346" s="995"/>
      <c r="J346" s="996"/>
      <c r="K346" s="997"/>
      <c r="L346" s="99"/>
      <c r="M346" s="100"/>
    </row>
    <row r="347" spans="3:13" ht="18">
      <c r="C347" s="90"/>
      <c r="D347" s="162"/>
      <c r="E347" s="576">
        <v>45421</v>
      </c>
      <c r="F347" s="592">
        <v>4.6350000000000002E-2</v>
      </c>
      <c r="G347" s="266"/>
      <c r="H347" s="592">
        <v>4.6710000000000002E-2</v>
      </c>
      <c r="I347" s="995"/>
      <c r="J347" s="996"/>
      <c r="K347" s="997"/>
      <c r="L347" s="99"/>
      <c r="M347" s="100"/>
    </row>
    <row r="348" spans="3:13" thickBot="1">
      <c r="C348" s="90"/>
      <c r="D348" s="162"/>
      <c r="E348" s="576">
        <v>45393</v>
      </c>
      <c r="F348" s="592">
        <v>4.6710000000000002E-2</v>
      </c>
      <c r="G348" s="266"/>
      <c r="H348" s="592">
        <v>4.3310000000000001E-2</v>
      </c>
      <c r="I348" s="998"/>
      <c r="J348" s="999"/>
      <c r="K348" s="1000"/>
      <c r="L348" s="102"/>
      <c r="M348" s="103"/>
    </row>
    <row r="349" spans="3:13" ht="25" thickBot="1">
      <c r="C349" s="90"/>
      <c r="D349" s="88" t="s">
        <v>105</v>
      </c>
      <c r="E349" s="571" t="s">
        <v>30</v>
      </c>
      <c r="F349" s="1147" t="s">
        <v>653</v>
      </c>
      <c r="G349" s="1148"/>
      <c r="H349" s="1149"/>
      <c r="I349" s="1131" t="s">
        <v>633</v>
      </c>
      <c r="J349" s="1129"/>
      <c r="K349" s="1130"/>
      <c r="L349" s="104" t="s">
        <v>430</v>
      </c>
      <c r="M349" s="105" t="s">
        <v>431</v>
      </c>
    </row>
    <row r="350" spans="3:13">
      <c r="C350" s="90"/>
      <c r="D350" s="162"/>
      <c r="E350" s="572" t="s">
        <v>432</v>
      </c>
      <c r="F350" s="1150"/>
      <c r="G350" s="1151"/>
      <c r="H350" s="1152"/>
      <c r="I350" s="995" t="s">
        <v>654</v>
      </c>
      <c r="J350" s="996"/>
      <c r="K350" s="997"/>
      <c r="L350" s="99"/>
      <c r="M350" s="100"/>
    </row>
    <row r="351" spans="3:13">
      <c r="C351" s="90"/>
      <c r="D351" s="162"/>
      <c r="E351" s="573" t="s">
        <v>433</v>
      </c>
      <c r="F351" s="1169">
        <v>0</v>
      </c>
      <c r="G351" s="1170"/>
      <c r="H351" s="1171"/>
      <c r="I351" s="995"/>
      <c r="J351" s="996"/>
      <c r="K351" s="997"/>
      <c r="L351" s="99"/>
      <c r="M351" s="100"/>
    </row>
    <row r="352" spans="3:13" ht="20" thickBot="1">
      <c r="C352" s="90"/>
      <c r="D352" s="162"/>
      <c r="E352" s="573" t="s">
        <v>434</v>
      </c>
      <c r="F352" s="1166">
        <v>0</v>
      </c>
      <c r="G352" s="1167"/>
      <c r="H352" s="1168"/>
      <c r="I352" s="995"/>
      <c r="J352" s="996"/>
      <c r="K352" s="997"/>
      <c r="L352" s="99"/>
      <c r="M352" s="100"/>
    </row>
    <row r="353" spans="3:13" ht="20" thickBot="1">
      <c r="C353" s="90"/>
      <c r="D353" s="162"/>
      <c r="E353" s="574" t="s">
        <v>435</v>
      </c>
      <c r="F353" s="1160">
        <v>0.25</v>
      </c>
      <c r="G353" s="1161"/>
      <c r="H353" s="1162"/>
      <c r="I353" s="995"/>
      <c r="J353" s="996"/>
      <c r="K353" s="997"/>
      <c r="L353" s="106">
        <v>0.47916666666666669</v>
      </c>
      <c r="M353" s="107">
        <v>0.375</v>
      </c>
    </row>
    <row r="354" spans="3:13" ht="20" thickBot="1">
      <c r="C354" s="90"/>
      <c r="D354" s="162"/>
      <c r="E354" s="575" t="s">
        <v>436</v>
      </c>
      <c r="F354" s="264" t="s">
        <v>29</v>
      </c>
      <c r="G354" s="264" t="s">
        <v>28</v>
      </c>
      <c r="H354" s="265" t="s">
        <v>27</v>
      </c>
      <c r="I354" s="995"/>
      <c r="J354" s="996"/>
      <c r="K354" s="997"/>
      <c r="L354" s="99"/>
      <c r="M354" s="100"/>
    </row>
    <row r="355" spans="3:13" ht="18">
      <c r="C355" s="90"/>
      <c r="D355" s="162"/>
      <c r="E355" s="576">
        <v>45546</v>
      </c>
      <c r="F355" s="592">
        <v>0</v>
      </c>
      <c r="G355" s="592">
        <v>2E-3</v>
      </c>
      <c r="H355" s="592">
        <v>0</v>
      </c>
      <c r="I355" s="995"/>
      <c r="J355" s="996"/>
      <c r="K355" s="997"/>
      <c r="L355" s="99"/>
      <c r="M355" s="100"/>
    </row>
    <row r="356" spans="3:13" ht="18">
      <c r="C356" s="90"/>
      <c r="D356" s="162"/>
      <c r="E356" s="576">
        <v>45519</v>
      </c>
      <c r="F356" s="592">
        <v>0</v>
      </c>
      <c r="G356" s="592">
        <v>0</v>
      </c>
      <c r="H356" s="592">
        <v>4.0000000000000001E-3</v>
      </c>
      <c r="I356" s="995"/>
      <c r="J356" s="996"/>
      <c r="K356" s="997"/>
      <c r="L356" s="99"/>
      <c r="M356" s="100"/>
    </row>
    <row r="357" spans="3:13" ht="18">
      <c r="C357" s="90"/>
      <c r="D357" s="162"/>
      <c r="E357" s="576">
        <v>45484</v>
      </c>
      <c r="F357" s="592">
        <v>4.0000000000000001E-3</v>
      </c>
      <c r="G357" s="592">
        <v>2E-3</v>
      </c>
      <c r="H357" s="592">
        <v>0</v>
      </c>
      <c r="I357" s="995"/>
      <c r="J357" s="996"/>
      <c r="K357" s="997"/>
      <c r="L357" s="101"/>
      <c r="M357" s="100"/>
    </row>
    <row r="358" spans="3:13" ht="18">
      <c r="C358" s="90"/>
      <c r="D358" s="162"/>
      <c r="E358" s="576">
        <v>45455</v>
      </c>
      <c r="F358" s="592">
        <v>0</v>
      </c>
      <c r="G358" s="592">
        <v>0</v>
      </c>
      <c r="H358" s="592">
        <v>4.0000000000000001E-3</v>
      </c>
      <c r="I358" s="995"/>
      <c r="J358" s="996"/>
      <c r="K358" s="997"/>
      <c r="L358" s="99"/>
      <c r="M358" s="100"/>
    </row>
    <row r="359" spans="3:13" ht="18">
      <c r="C359" s="90"/>
      <c r="D359" s="162"/>
      <c r="E359" s="576">
        <v>45422</v>
      </c>
      <c r="F359" s="592">
        <v>4.0000000000000001E-3</v>
      </c>
      <c r="G359" s="592">
        <v>1E-3</v>
      </c>
      <c r="H359" s="592">
        <v>2E-3</v>
      </c>
      <c r="I359" s="995"/>
      <c r="J359" s="996"/>
      <c r="K359" s="997"/>
      <c r="L359" s="99"/>
      <c r="M359" s="100"/>
    </row>
    <row r="360" spans="3:13" thickBot="1">
      <c r="C360" s="90"/>
      <c r="D360" s="162"/>
      <c r="E360" s="576">
        <v>45394</v>
      </c>
      <c r="F360" s="592">
        <v>1E-3</v>
      </c>
      <c r="G360" s="592">
        <v>1E-3</v>
      </c>
      <c r="H360" s="592">
        <v>3.0000000000000001E-3</v>
      </c>
      <c r="I360" s="998"/>
      <c r="J360" s="999"/>
      <c r="K360" s="1000"/>
      <c r="L360" s="102"/>
      <c r="M360" s="103"/>
    </row>
    <row r="361" spans="3:13" ht="25" thickBot="1">
      <c r="C361" s="90"/>
      <c r="D361" s="88" t="s">
        <v>105</v>
      </c>
      <c r="E361" s="571" t="s">
        <v>30</v>
      </c>
      <c r="F361" s="1147" t="s">
        <v>388</v>
      </c>
      <c r="G361" s="1148"/>
      <c r="H361" s="1149"/>
      <c r="I361" s="1131" t="s">
        <v>633</v>
      </c>
      <c r="J361" s="1129"/>
      <c r="K361" s="1130"/>
      <c r="L361" s="104" t="s">
        <v>430</v>
      </c>
      <c r="M361" s="105" t="s">
        <v>431</v>
      </c>
    </row>
    <row r="362" spans="3:13">
      <c r="C362" s="90"/>
      <c r="D362" s="162"/>
      <c r="E362" s="572" t="s">
        <v>432</v>
      </c>
      <c r="F362" s="1150"/>
      <c r="G362" s="1151"/>
      <c r="H362" s="1152"/>
      <c r="I362" s="995" t="s">
        <v>389</v>
      </c>
      <c r="J362" s="996"/>
      <c r="K362" s="997"/>
      <c r="L362" s="99"/>
      <c r="M362" s="100"/>
    </row>
    <row r="363" spans="3:13">
      <c r="C363" s="90"/>
      <c r="D363" s="162"/>
      <c r="E363" s="573" t="s">
        <v>433</v>
      </c>
      <c r="F363" s="1166">
        <v>0</v>
      </c>
      <c r="G363" s="1167"/>
      <c r="H363" s="1168"/>
      <c r="I363" s="995"/>
      <c r="J363" s="996"/>
      <c r="K363" s="997"/>
      <c r="L363" s="99"/>
      <c r="M363" s="100"/>
    </row>
    <row r="364" spans="3:13" ht="20" thickBot="1">
      <c r="C364" s="90"/>
      <c r="D364" s="162"/>
      <c r="E364" s="573" t="s">
        <v>434</v>
      </c>
      <c r="F364" s="1166">
        <v>-1E-3</v>
      </c>
      <c r="G364" s="1167"/>
      <c r="H364" s="1168"/>
      <c r="I364" s="995"/>
      <c r="J364" s="996"/>
      <c r="K364" s="997"/>
      <c r="L364" s="99"/>
      <c r="M364" s="100"/>
    </row>
    <row r="365" spans="3:13" ht="20" thickBot="1">
      <c r="C365" s="90"/>
      <c r="D365" s="162"/>
      <c r="E365" s="574" t="s">
        <v>435</v>
      </c>
      <c r="F365" s="1160">
        <v>0.25</v>
      </c>
      <c r="G365" s="1161"/>
      <c r="H365" s="1162"/>
      <c r="I365" s="995"/>
      <c r="J365" s="996"/>
      <c r="K365" s="997"/>
      <c r="L365" s="106">
        <v>0.47916666666666669</v>
      </c>
      <c r="M365" s="107">
        <v>0.375</v>
      </c>
    </row>
    <row r="366" spans="3:13" ht="20" thickBot="1">
      <c r="C366" s="90"/>
      <c r="D366" s="162"/>
      <c r="E366" s="575" t="s">
        <v>436</v>
      </c>
      <c r="F366" s="264" t="s">
        <v>29</v>
      </c>
      <c r="G366" s="264" t="s">
        <v>28</v>
      </c>
      <c r="H366" s="265" t="s">
        <v>27</v>
      </c>
      <c r="I366" s="995"/>
      <c r="J366" s="996"/>
      <c r="K366" s="997"/>
      <c r="L366" s="99"/>
      <c r="M366" s="100"/>
    </row>
    <row r="367" spans="3:13" ht="18">
      <c r="C367" s="90"/>
      <c r="D367" s="162"/>
      <c r="E367" s="576">
        <v>45565</v>
      </c>
      <c r="F367" s="592">
        <v>0</v>
      </c>
      <c r="G367" s="592">
        <v>1E-3</v>
      </c>
      <c r="H367" s="592">
        <v>-1E-3</v>
      </c>
      <c r="I367" s="995"/>
      <c r="J367" s="996"/>
      <c r="K367" s="997"/>
      <c r="L367" s="99"/>
      <c r="M367" s="100"/>
    </row>
    <row r="368" spans="3:13" ht="18">
      <c r="C368" s="90"/>
      <c r="D368" s="162"/>
      <c r="E368" s="576">
        <v>45545</v>
      </c>
      <c r="F368" s="592">
        <v>-1E-3</v>
      </c>
      <c r="G368" s="592">
        <v>-1E-3</v>
      </c>
      <c r="H368" s="592">
        <v>3.0000000000000001E-3</v>
      </c>
      <c r="I368" s="995"/>
      <c r="J368" s="996"/>
      <c r="K368" s="997"/>
      <c r="L368" s="99"/>
      <c r="M368" s="100"/>
    </row>
    <row r="369" spans="3:13" ht="18">
      <c r="C369" s="90"/>
      <c r="D369" s="162"/>
      <c r="E369" s="576">
        <v>45533</v>
      </c>
      <c r="F369" s="592">
        <v>-1E-3</v>
      </c>
      <c r="G369" s="592">
        <v>0</v>
      </c>
      <c r="H369" s="592">
        <v>3.0000000000000001E-3</v>
      </c>
      <c r="I369" s="995"/>
      <c r="J369" s="996"/>
      <c r="K369" s="997"/>
      <c r="L369" s="101"/>
      <c r="M369" s="100"/>
    </row>
    <row r="370" spans="3:13" ht="18">
      <c r="C370" s="90"/>
      <c r="D370" s="162"/>
      <c r="E370" s="576">
        <v>45513</v>
      </c>
      <c r="F370" s="592">
        <v>3.0000000000000001E-3</v>
      </c>
      <c r="G370" s="592">
        <v>3.0000000000000001E-3</v>
      </c>
      <c r="H370" s="592">
        <v>1E-3</v>
      </c>
      <c r="I370" s="995"/>
      <c r="J370" s="996"/>
      <c r="K370" s="997"/>
      <c r="L370" s="99"/>
      <c r="M370" s="100"/>
    </row>
    <row r="371" spans="3:13" ht="18">
      <c r="C371" s="90"/>
      <c r="D371" s="162"/>
      <c r="E371" s="576">
        <v>45503</v>
      </c>
      <c r="F371" s="592">
        <v>3.0000000000000001E-3</v>
      </c>
      <c r="G371" s="592">
        <v>3.0000000000000001E-3</v>
      </c>
      <c r="H371" s="592">
        <v>1E-3</v>
      </c>
      <c r="I371" s="995"/>
      <c r="J371" s="996"/>
      <c r="K371" s="997"/>
      <c r="L371" s="99"/>
      <c r="M371" s="100"/>
    </row>
    <row r="372" spans="3:13" thickBot="1">
      <c r="C372" s="90"/>
      <c r="D372" s="162"/>
      <c r="E372" s="576">
        <v>45484</v>
      </c>
      <c r="F372" s="592">
        <v>1E-3</v>
      </c>
      <c r="G372" s="592">
        <v>1E-3</v>
      </c>
      <c r="H372" s="592">
        <v>1E-3</v>
      </c>
      <c r="I372" s="998"/>
      <c r="J372" s="999"/>
      <c r="K372" s="1000"/>
      <c r="L372" s="102"/>
      <c r="M372" s="103"/>
    </row>
    <row r="373" spans="3:13" ht="25" thickBot="1">
      <c r="C373" s="90"/>
      <c r="D373" s="88" t="s">
        <v>105</v>
      </c>
      <c r="E373" s="571" t="s">
        <v>30</v>
      </c>
      <c r="F373" s="1147" t="s">
        <v>655</v>
      </c>
      <c r="G373" s="1148"/>
      <c r="H373" s="1149"/>
      <c r="I373" s="1131" t="s">
        <v>633</v>
      </c>
      <c r="J373" s="1129"/>
      <c r="K373" s="1130"/>
      <c r="L373" s="104" t="s">
        <v>430</v>
      </c>
      <c r="M373" s="105" t="s">
        <v>431</v>
      </c>
    </row>
    <row r="374" spans="3:13">
      <c r="C374" s="90"/>
      <c r="D374" s="162"/>
      <c r="E374" s="572" t="s">
        <v>432</v>
      </c>
      <c r="F374" s="1150"/>
      <c r="G374" s="1151"/>
      <c r="H374" s="1152"/>
      <c r="I374" s="995" t="s">
        <v>656</v>
      </c>
      <c r="J374" s="996"/>
      <c r="K374" s="997"/>
      <c r="L374" s="99"/>
      <c r="M374" s="100"/>
    </row>
    <row r="375" spans="3:13">
      <c r="C375" s="90"/>
      <c r="D375" s="162"/>
      <c r="E375" s="573" t="s">
        <v>433</v>
      </c>
      <c r="F375" s="1166">
        <v>1E-3</v>
      </c>
      <c r="G375" s="1167"/>
      <c r="H375" s="1168"/>
      <c r="I375" s="995"/>
      <c r="J375" s="996"/>
      <c r="K375" s="997"/>
      <c r="L375" s="99"/>
      <c r="M375" s="100"/>
    </row>
    <row r="376" spans="3:13" ht="20" thickBot="1">
      <c r="C376" s="90"/>
      <c r="D376" s="162"/>
      <c r="E376" s="573" t="s">
        <v>434</v>
      </c>
      <c r="F376" s="1166">
        <v>2E-3</v>
      </c>
      <c r="G376" s="1167"/>
      <c r="H376" s="1168"/>
      <c r="I376" s="995"/>
      <c r="J376" s="996"/>
      <c r="K376" s="997"/>
      <c r="L376" s="99"/>
      <c r="M376" s="100"/>
    </row>
    <row r="377" spans="3:13" ht="20" thickBot="1">
      <c r="C377" s="90"/>
      <c r="D377" s="162"/>
      <c r="E377" s="574" t="s">
        <v>435</v>
      </c>
      <c r="F377" s="1160">
        <v>0.52083333333333337</v>
      </c>
      <c r="G377" s="1161"/>
      <c r="H377" s="1162"/>
      <c r="I377" s="995"/>
      <c r="J377" s="996"/>
      <c r="K377" s="997"/>
      <c r="L377" s="106">
        <v>0.75</v>
      </c>
      <c r="M377" s="107">
        <v>0.64583333333333337</v>
      </c>
    </row>
    <row r="378" spans="3:13" ht="20" thickBot="1">
      <c r="C378" s="90"/>
      <c r="D378" s="162"/>
      <c r="E378" s="575" t="s">
        <v>436</v>
      </c>
      <c r="F378" s="264" t="s">
        <v>29</v>
      </c>
      <c r="G378" s="264" t="s">
        <v>28</v>
      </c>
      <c r="H378" s="265" t="s">
        <v>27</v>
      </c>
      <c r="I378" s="995"/>
      <c r="J378" s="996"/>
      <c r="K378" s="997"/>
      <c r="L378" s="99"/>
      <c r="M378" s="100"/>
    </row>
    <row r="379" spans="3:13" ht="18">
      <c r="C379" s="90"/>
      <c r="D379" s="162"/>
      <c r="E379" s="576">
        <v>45547</v>
      </c>
      <c r="F379" s="592">
        <v>2E-3</v>
      </c>
      <c r="G379" s="592">
        <v>1E-3</v>
      </c>
      <c r="H379" s="592">
        <v>0</v>
      </c>
      <c r="I379" s="995"/>
      <c r="J379" s="996"/>
      <c r="K379" s="997"/>
      <c r="L379" s="99"/>
      <c r="M379" s="100"/>
    </row>
    <row r="380" spans="3:13" ht="18">
      <c r="C380" s="90"/>
      <c r="D380" s="162"/>
      <c r="E380" s="576">
        <v>45517</v>
      </c>
      <c r="F380" s="592">
        <v>1E-3</v>
      </c>
      <c r="G380" s="592">
        <v>2E-3</v>
      </c>
      <c r="H380" s="592">
        <v>2E-3</v>
      </c>
      <c r="I380" s="995"/>
      <c r="J380" s="996"/>
      <c r="K380" s="997"/>
      <c r="L380" s="99"/>
      <c r="M380" s="100"/>
    </row>
    <row r="381" spans="3:13" ht="18">
      <c r="C381" s="90"/>
      <c r="D381" s="162"/>
      <c r="E381" s="576">
        <v>45485</v>
      </c>
      <c r="F381" s="592">
        <v>2E-3</v>
      </c>
      <c r="G381" s="592">
        <v>1E-3</v>
      </c>
      <c r="H381" s="592">
        <v>0</v>
      </c>
      <c r="I381" s="995"/>
      <c r="J381" s="996"/>
      <c r="K381" s="997"/>
      <c r="L381" s="101"/>
      <c r="M381" s="100"/>
    </row>
    <row r="382" spans="3:13" ht="18">
      <c r="C382" s="90"/>
      <c r="D382" s="162"/>
      <c r="E382" s="576">
        <v>45456</v>
      </c>
      <c r="F382" s="592">
        <v>-2E-3</v>
      </c>
      <c r="G382" s="592">
        <v>1E-3</v>
      </c>
      <c r="H382" s="592">
        <v>5.0000000000000001E-3</v>
      </c>
      <c r="I382" s="995"/>
      <c r="J382" s="996"/>
      <c r="K382" s="997"/>
      <c r="L382" s="99"/>
      <c r="M382" s="100"/>
    </row>
    <row r="383" spans="3:13" ht="18">
      <c r="C383" s="90"/>
      <c r="D383" s="162"/>
      <c r="E383" s="576">
        <v>45426</v>
      </c>
      <c r="F383" s="592">
        <v>5.0000000000000001E-3</v>
      </c>
      <c r="G383" s="592">
        <v>3.0000000000000001E-3</v>
      </c>
      <c r="H383" s="592">
        <v>-1E-3</v>
      </c>
      <c r="I383" s="995"/>
      <c r="J383" s="996"/>
      <c r="K383" s="997"/>
      <c r="L383" s="99"/>
      <c r="M383" s="100"/>
    </row>
    <row r="384" spans="3:13" thickBot="1">
      <c r="C384" s="90"/>
      <c r="D384" s="162"/>
      <c r="E384" s="576">
        <v>45393</v>
      </c>
      <c r="F384" s="592">
        <v>2E-3</v>
      </c>
      <c r="G384" s="592">
        <v>3.0000000000000001E-3</v>
      </c>
      <c r="H384" s="592">
        <v>6.0000000000000001E-3</v>
      </c>
      <c r="I384" s="998"/>
      <c r="J384" s="999"/>
      <c r="K384" s="1000"/>
      <c r="L384" s="102"/>
      <c r="M384" s="103"/>
    </row>
    <row r="385" spans="3:13" ht="25" thickBot="1">
      <c r="C385" s="90"/>
      <c r="D385" s="88" t="s">
        <v>105</v>
      </c>
      <c r="E385" s="571" t="s">
        <v>30</v>
      </c>
      <c r="F385" s="1147" t="s">
        <v>657</v>
      </c>
      <c r="G385" s="1148"/>
      <c r="H385" s="1149"/>
      <c r="I385" s="1131" t="s">
        <v>633</v>
      </c>
      <c r="J385" s="1129"/>
      <c r="K385" s="1130"/>
      <c r="L385" s="104" t="s">
        <v>430</v>
      </c>
      <c r="M385" s="105" t="s">
        <v>431</v>
      </c>
    </row>
    <row r="386" spans="3:13">
      <c r="C386" s="90"/>
      <c r="D386" s="162"/>
      <c r="E386" s="572" t="s">
        <v>432</v>
      </c>
      <c r="F386" s="1150"/>
      <c r="G386" s="1151"/>
      <c r="H386" s="1152"/>
      <c r="I386" s="995" t="s">
        <v>658</v>
      </c>
      <c r="J386" s="996"/>
      <c r="K386" s="997"/>
      <c r="L386" s="99"/>
      <c r="M386" s="100"/>
    </row>
    <row r="387" spans="3:13">
      <c r="C387" s="90"/>
      <c r="D387" s="162"/>
      <c r="E387" s="573" t="s">
        <v>433</v>
      </c>
      <c r="F387" s="1166"/>
      <c r="G387" s="1167"/>
      <c r="H387" s="1168"/>
      <c r="I387" s="995"/>
      <c r="J387" s="996"/>
      <c r="K387" s="997"/>
      <c r="L387" s="99"/>
      <c r="M387" s="100"/>
    </row>
    <row r="388" spans="3:13" ht="20" thickBot="1">
      <c r="C388" s="90"/>
      <c r="D388" s="162"/>
      <c r="E388" s="573" t="s">
        <v>434</v>
      </c>
      <c r="F388" s="1166">
        <v>2.7E-2</v>
      </c>
      <c r="G388" s="1167"/>
      <c r="H388" s="1168"/>
      <c r="I388" s="995"/>
      <c r="J388" s="996"/>
      <c r="K388" s="997"/>
      <c r="L388" s="99"/>
      <c r="M388" s="100"/>
    </row>
    <row r="389" spans="3:13" ht="20" thickBot="1">
      <c r="C389" s="90"/>
      <c r="D389" s="162"/>
      <c r="E389" s="574" t="s">
        <v>435</v>
      </c>
      <c r="F389" s="1160">
        <v>0.58333333333333337</v>
      </c>
      <c r="G389" s="1161"/>
      <c r="H389" s="1162"/>
      <c r="I389" s="995"/>
      <c r="J389" s="996"/>
      <c r="K389" s="997"/>
      <c r="L389" s="106">
        <v>0.8125</v>
      </c>
      <c r="M389" s="107">
        <v>0.70833333333333337</v>
      </c>
    </row>
    <row r="390" spans="3:13" ht="20" thickBot="1">
      <c r="C390" s="90"/>
      <c r="D390" s="162"/>
      <c r="E390" s="575" t="s">
        <v>436</v>
      </c>
      <c r="F390" s="264" t="s">
        <v>29</v>
      </c>
      <c r="G390" s="264" t="s">
        <v>28</v>
      </c>
      <c r="H390" s="265" t="s">
        <v>27</v>
      </c>
      <c r="I390" s="995"/>
      <c r="J390" s="996"/>
      <c r="K390" s="997"/>
      <c r="L390" s="99"/>
      <c r="M390" s="100"/>
    </row>
    <row r="391" spans="3:13">
      <c r="C391" s="90"/>
      <c r="D391" s="162"/>
      <c r="E391" s="576">
        <v>45562</v>
      </c>
      <c r="F391" s="592">
        <v>2.7E-2</v>
      </c>
      <c r="G391" s="592" t="s">
        <v>665</v>
      </c>
      <c r="H391" s="592">
        <v>2.7E-2</v>
      </c>
      <c r="I391" s="995"/>
      <c r="J391" s="996"/>
      <c r="K391" s="997"/>
      <c r="L391" s="99"/>
      <c r="M391" s="100"/>
    </row>
    <row r="392" spans="3:13">
      <c r="C392" s="90"/>
      <c r="D392" s="162"/>
      <c r="E392" s="576">
        <v>45548</v>
      </c>
      <c r="F392" s="592">
        <v>2.7E-2</v>
      </c>
      <c r="G392" s="592" t="s">
        <v>666</v>
      </c>
      <c r="H392" s="592">
        <v>2.8000000000000001E-2</v>
      </c>
      <c r="I392" s="995"/>
      <c r="J392" s="996"/>
      <c r="K392" s="997"/>
      <c r="L392" s="99"/>
      <c r="M392" s="100"/>
    </row>
    <row r="393" spans="3:13">
      <c r="C393" s="90"/>
      <c r="D393" s="162"/>
      <c r="E393" s="576">
        <v>45534</v>
      </c>
      <c r="F393" s="592">
        <v>2.8000000000000001E-2</v>
      </c>
      <c r="G393" s="592" t="s">
        <v>667</v>
      </c>
      <c r="H393" s="592">
        <v>2.9000000000000001E-2</v>
      </c>
      <c r="I393" s="995"/>
      <c r="J393" s="996"/>
      <c r="K393" s="997"/>
      <c r="L393" s="101"/>
      <c r="M393" s="100"/>
    </row>
    <row r="394" spans="3:13">
      <c r="C394" s="90"/>
      <c r="D394" s="162"/>
      <c r="E394" s="576">
        <v>45520</v>
      </c>
      <c r="F394" s="592">
        <v>2.9000000000000001E-2</v>
      </c>
      <c r="G394" s="592" t="s">
        <v>666</v>
      </c>
      <c r="H394" s="592">
        <v>2.9000000000000001E-2</v>
      </c>
      <c r="I394" s="995"/>
      <c r="J394" s="996"/>
      <c r="K394" s="997"/>
      <c r="L394" s="99"/>
      <c r="M394" s="100"/>
    </row>
    <row r="395" spans="3:13">
      <c r="C395" s="90"/>
      <c r="D395" s="162"/>
      <c r="E395" s="576">
        <v>45530</v>
      </c>
      <c r="F395" s="592">
        <v>2.9000000000000001E-2</v>
      </c>
      <c r="G395" s="592" t="s">
        <v>667</v>
      </c>
      <c r="H395" s="592">
        <v>0.03</v>
      </c>
      <c r="I395" s="995"/>
      <c r="J395" s="996"/>
      <c r="K395" s="997"/>
      <c r="L395" s="99"/>
      <c r="M395" s="100"/>
    </row>
    <row r="396" spans="3:13" ht="20" thickBot="1">
      <c r="C396" s="90"/>
      <c r="D396" s="162"/>
      <c r="E396" s="576">
        <v>45485</v>
      </c>
      <c r="F396" s="592">
        <v>2.9000000000000001E-2</v>
      </c>
      <c r="G396" s="592" t="s">
        <v>667</v>
      </c>
      <c r="H396" s="592">
        <v>0.03</v>
      </c>
      <c r="I396" s="998"/>
      <c r="J396" s="999"/>
      <c r="K396" s="1000"/>
      <c r="L396" s="102"/>
      <c r="M396" s="103"/>
    </row>
    <row r="397" spans="3:13" ht="25" thickBot="1">
      <c r="C397" s="90"/>
      <c r="D397" s="88" t="s">
        <v>105</v>
      </c>
      <c r="E397" s="571" t="s">
        <v>30</v>
      </c>
      <c r="F397" s="1147" t="s">
        <v>659</v>
      </c>
      <c r="G397" s="1148"/>
      <c r="H397" s="1149"/>
      <c r="I397" s="1131" t="s">
        <v>633</v>
      </c>
      <c r="J397" s="1129"/>
      <c r="K397" s="1130"/>
      <c r="L397" s="104" t="s">
        <v>430</v>
      </c>
      <c r="M397" s="105" t="s">
        <v>431</v>
      </c>
    </row>
    <row r="398" spans="3:13">
      <c r="C398" s="90"/>
      <c r="D398" s="162"/>
      <c r="E398" s="572" t="s">
        <v>432</v>
      </c>
      <c r="F398" s="1150"/>
      <c r="G398" s="1151"/>
      <c r="H398" s="1152"/>
      <c r="I398" s="995" t="s">
        <v>660</v>
      </c>
      <c r="J398" s="996"/>
      <c r="K398" s="997"/>
      <c r="L398" s="99"/>
      <c r="M398" s="100"/>
    </row>
    <row r="399" spans="3:13">
      <c r="C399" s="90"/>
      <c r="D399" s="162"/>
      <c r="E399" s="573" t="s">
        <v>433</v>
      </c>
      <c r="F399" s="1166"/>
      <c r="G399" s="1167"/>
      <c r="H399" s="1168"/>
      <c r="I399" s="995"/>
      <c r="J399" s="996"/>
      <c r="K399" s="997"/>
      <c r="L399" s="99"/>
      <c r="M399" s="100"/>
    </row>
    <row r="400" spans="3:13" ht="20" thickBot="1">
      <c r="C400" s="90"/>
      <c r="D400" s="162"/>
      <c r="E400" s="573" t="s">
        <v>434</v>
      </c>
      <c r="F400" s="1166">
        <v>3.1E-2</v>
      </c>
      <c r="G400" s="1167"/>
      <c r="H400" s="1168"/>
      <c r="I400" s="995"/>
      <c r="J400" s="996"/>
      <c r="K400" s="997"/>
      <c r="L400" s="99"/>
      <c r="M400" s="100"/>
    </row>
    <row r="401" spans="3:13" ht="20" thickBot="1">
      <c r="C401" s="90"/>
      <c r="D401" s="162"/>
      <c r="E401" s="574" t="s">
        <v>435</v>
      </c>
      <c r="F401" s="1160">
        <v>0.58333333333333337</v>
      </c>
      <c r="G401" s="1161"/>
      <c r="H401" s="1162"/>
      <c r="I401" s="995"/>
      <c r="J401" s="996"/>
      <c r="K401" s="997"/>
      <c r="L401" s="106">
        <v>0.8125</v>
      </c>
      <c r="M401" s="107">
        <v>0.70833333333333337</v>
      </c>
    </row>
    <row r="402" spans="3:13" ht="20" thickBot="1">
      <c r="C402" s="90"/>
      <c r="D402" s="162"/>
      <c r="E402" s="575" t="s">
        <v>436</v>
      </c>
      <c r="F402" s="264" t="s">
        <v>29</v>
      </c>
      <c r="G402" s="264" t="s">
        <v>28</v>
      </c>
      <c r="H402" s="265" t="s">
        <v>27</v>
      </c>
      <c r="I402" s="995"/>
      <c r="J402" s="996"/>
      <c r="K402" s="997"/>
      <c r="L402" s="99"/>
      <c r="M402" s="100"/>
    </row>
    <row r="403" spans="3:13">
      <c r="C403" s="90"/>
      <c r="D403" s="162"/>
      <c r="E403" s="576">
        <v>45562</v>
      </c>
      <c r="F403" s="592">
        <v>3.1E-2</v>
      </c>
      <c r="G403" s="592" t="s">
        <v>668</v>
      </c>
      <c r="H403" s="592">
        <v>3.1E-2</v>
      </c>
      <c r="I403" s="995"/>
      <c r="J403" s="996"/>
      <c r="K403" s="997"/>
      <c r="L403" s="99"/>
      <c r="M403" s="100"/>
    </row>
    <row r="404" spans="3:13">
      <c r="C404" s="90"/>
      <c r="D404" s="162"/>
      <c r="E404" s="576">
        <v>45548</v>
      </c>
      <c r="F404" s="592">
        <v>3.1E-2</v>
      </c>
      <c r="G404" s="592" t="s">
        <v>669</v>
      </c>
      <c r="H404" s="592">
        <v>0.03</v>
      </c>
      <c r="I404" s="995"/>
      <c r="J404" s="996"/>
      <c r="K404" s="997"/>
      <c r="L404" s="99"/>
      <c r="M404" s="100"/>
    </row>
    <row r="405" spans="3:13">
      <c r="C405" s="90"/>
      <c r="D405" s="162"/>
      <c r="E405" s="576">
        <v>45534</v>
      </c>
      <c r="F405" s="592">
        <v>0.03</v>
      </c>
      <c r="G405" s="592" t="s">
        <v>669</v>
      </c>
      <c r="H405" s="592">
        <v>0.03</v>
      </c>
      <c r="I405" s="995"/>
      <c r="J405" s="996"/>
      <c r="K405" s="997"/>
      <c r="L405" s="101"/>
      <c r="M405" s="100"/>
    </row>
    <row r="406" spans="3:13">
      <c r="C406" s="90"/>
      <c r="D406" s="162"/>
      <c r="E406" s="576">
        <v>45520</v>
      </c>
      <c r="F406" s="592">
        <v>0.03</v>
      </c>
      <c r="G406" s="592" t="s">
        <v>667</v>
      </c>
      <c r="H406" s="592">
        <v>0.03</v>
      </c>
      <c r="I406" s="995"/>
      <c r="J406" s="996"/>
      <c r="K406" s="997"/>
      <c r="L406" s="99"/>
      <c r="M406" s="100"/>
    </row>
    <row r="407" spans="3:13">
      <c r="C407" s="90"/>
      <c r="D407" s="162"/>
      <c r="E407" s="576">
        <v>45530</v>
      </c>
      <c r="F407" s="592">
        <v>0.03</v>
      </c>
      <c r="G407" s="592" t="s">
        <v>667</v>
      </c>
      <c r="H407" s="592">
        <v>0.03</v>
      </c>
      <c r="I407" s="995"/>
      <c r="J407" s="996"/>
      <c r="K407" s="997"/>
      <c r="L407" s="99"/>
      <c r="M407" s="100"/>
    </row>
    <row r="408" spans="3:13" ht="20" thickBot="1">
      <c r="C408" s="90"/>
      <c r="D408" s="162"/>
      <c r="E408" s="576">
        <v>45485</v>
      </c>
      <c r="F408" s="592">
        <v>2.9000000000000001E-2</v>
      </c>
      <c r="G408" s="592" t="s">
        <v>669</v>
      </c>
      <c r="H408" s="592">
        <v>0.03</v>
      </c>
      <c r="I408" s="998"/>
      <c r="J408" s="999"/>
      <c r="K408" s="1000"/>
      <c r="L408" s="102"/>
      <c r="M408" s="103"/>
    </row>
    <row r="409" spans="3:13" ht="25" thickBot="1">
      <c r="C409" s="90"/>
      <c r="D409" s="88" t="s">
        <v>105</v>
      </c>
      <c r="E409" s="571" t="s">
        <v>30</v>
      </c>
      <c r="F409" s="1147" t="s">
        <v>661</v>
      </c>
      <c r="G409" s="1148"/>
      <c r="H409" s="1149"/>
      <c r="I409" s="1131" t="s">
        <v>633</v>
      </c>
      <c r="J409" s="1129"/>
      <c r="K409" s="1130"/>
      <c r="L409" s="104" t="s">
        <v>430</v>
      </c>
      <c r="M409" s="105" t="s">
        <v>431</v>
      </c>
    </row>
    <row r="410" spans="3:13">
      <c r="C410" s="90"/>
      <c r="D410" s="162"/>
      <c r="E410" s="572" t="s">
        <v>432</v>
      </c>
      <c r="F410" s="1150"/>
      <c r="G410" s="1151"/>
      <c r="H410" s="1152"/>
      <c r="I410" s="995" t="s">
        <v>662</v>
      </c>
      <c r="J410" s="996"/>
      <c r="K410" s="997"/>
      <c r="L410" s="99"/>
      <c r="M410" s="100"/>
    </row>
    <row r="411" spans="3:13">
      <c r="C411" s="90"/>
      <c r="D411" s="162"/>
      <c r="E411" s="573" t="s">
        <v>433</v>
      </c>
      <c r="F411" s="1153">
        <v>75</v>
      </c>
      <c r="G411" s="1154"/>
      <c r="H411" s="1155"/>
      <c r="I411" s="995"/>
      <c r="J411" s="996"/>
      <c r="K411" s="997"/>
      <c r="L411" s="99"/>
      <c r="M411" s="100"/>
    </row>
    <row r="412" spans="3:13" ht="20" thickBot="1">
      <c r="C412" s="90"/>
      <c r="D412" s="162"/>
      <c r="E412" s="573" t="s">
        <v>434</v>
      </c>
      <c r="F412" s="1153">
        <v>74.400000000000006</v>
      </c>
      <c r="G412" s="1154"/>
      <c r="H412" s="1155"/>
      <c r="I412" s="995"/>
      <c r="J412" s="996"/>
      <c r="K412" s="997"/>
      <c r="L412" s="99"/>
      <c r="M412" s="100"/>
    </row>
    <row r="413" spans="3:13" ht="20" thickBot="1">
      <c r="C413" s="90"/>
      <c r="D413" s="162"/>
      <c r="E413" s="574" t="s">
        <v>435</v>
      </c>
      <c r="F413" s="1160">
        <v>0.58333333333333337</v>
      </c>
      <c r="G413" s="1161"/>
      <c r="H413" s="1162"/>
      <c r="I413" s="995"/>
      <c r="J413" s="996"/>
      <c r="K413" s="997"/>
      <c r="L413" s="106">
        <v>0.8125</v>
      </c>
      <c r="M413" s="107">
        <v>0.70833333333333337</v>
      </c>
    </row>
    <row r="414" spans="3:13" ht="20" thickBot="1">
      <c r="C414" s="90"/>
      <c r="D414" s="162"/>
      <c r="E414" s="575" t="s">
        <v>436</v>
      </c>
      <c r="F414" s="264" t="s">
        <v>29</v>
      </c>
      <c r="G414" s="264" t="s">
        <v>28</v>
      </c>
      <c r="H414" s="265" t="s">
        <v>27</v>
      </c>
      <c r="I414" s="995"/>
      <c r="J414" s="996"/>
      <c r="K414" s="997"/>
      <c r="L414" s="99"/>
      <c r="M414" s="100"/>
    </row>
    <row r="415" spans="3:13">
      <c r="C415" s="90"/>
      <c r="D415" s="162"/>
      <c r="E415" s="576">
        <v>45562</v>
      </c>
      <c r="F415" s="577">
        <v>74.400000000000006</v>
      </c>
      <c r="G415" s="577" t="s">
        <v>670</v>
      </c>
      <c r="H415" s="577">
        <v>73</v>
      </c>
      <c r="I415" s="995"/>
      <c r="J415" s="996"/>
      <c r="K415" s="997"/>
      <c r="L415" s="99"/>
      <c r="M415" s="100"/>
    </row>
    <row r="416" spans="3:13">
      <c r="C416" s="90"/>
      <c r="D416" s="162"/>
      <c r="E416" s="576">
        <v>45548</v>
      </c>
      <c r="F416" s="577">
        <v>73</v>
      </c>
      <c r="G416" s="577" t="s">
        <v>671</v>
      </c>
      <c r="H416" s="577">
        <v>72.099999999999994</v>
      </c>
      <c r="I416" s="995"/>
      <c r="J416" s="996"/>
      <c r="K416" s="997"/>
      <c r="L416" s="99"/>
      <c r="M416" s="100"/>
    </row>
    <row r="417" spans="3:13">
      <c r="C417" s="90"/>
      <c r="D417" s="162"/>
      <c r="E417" s="576">
        <v>45534</v>
      </c>
      <c r="F417" s="577">
        <v>72.099999999999994</v>
      </c>
      <c r="G417" s="577" t="s">
        <v>672</v>
      </c>
      <c r="H417" s="577">
        <v>68.8</v>
      </c>
      <c r="I417" s="995"/>
      <c r="J417" s="996"/>
      <c r="K417" s="997"/>
      <c r="L417" s="101"/>
      <c r="M417" s="100"/>
    </row>
    <row r="418" spans="3:13">
      <c r="C418" s="90"/>
      <c r="D418" s="162"/>
      <c r="E418" s="576">
        <v>45520</v>
      </c>
      <c r="F418" s="577">
        <v>72.099999999999994</v>
      </c>
      <c r="G418" s="577" t="s">
        <v>673</v>
      </c>
      <c r="H418" s="577">
        <v>68.8</v>
      </c>
      <c r="I418" s="995"/>
      <c r="J418" s="996"/>
      <c r="K418" s="997"/>
      <c r="L418" s="99"/>
      <c r="M418" s="100"/>
    </row>
    <row r="419" spans="3:13">
      <c r="C419" s="90"/>
      <c r="D419" s="162"/>
      <c r="E419" s="576">
        <v>45530</v>
      </c>
      <c r="F419" s="577">
        <v>68.8</v>
      </c>
      <c r="G419" s="577" t="s">
        <v>674</v>
      </c>
      <c r="H419" s="577">
        <v>69.599999999999994</v>
      </c>
      <c r="I419" s="995"/>
      <c r="J419" s="996"/>
      <c r="K419" s="997"/>
      <c r="L419" s="99"/>
      <c r="M419" s="100"/>
    </row>
    <row r="420" spans="3:13" ht="20" thickBot="1">
      <c r="C420" s="90"/>
      <c r="D420" s="162"/>
      <c r="E420" s="576">
        <v>45485</v>
      </c>
      <c r="F420" s="577">
        <v>67.2</v>
      </c>
      <c r="G420" s="577" t="s">
        <v>675</v>
      </c>
      <c r="H420" s="577">
        <v>69.599999999999994</v>
      </c>
      <c r="I420" s="998"/>
      <c r="J420" s="999"/>
      <c r="K420" s="1000"/>
      <c r="L420" s="102"/>
      <c r="M420" s="103"/>
    </row>
    <row r="421" spans="3:13" ht="24" thickBot="1">
      <c r="C421" s="90"/>
      <c r="D421" s="88"/>
      <c r="E421" s="571"/>
      <c r="F421" s="1147"/>
      <c r="G421" s="1148"/>
      <c r="H421" s="1149"/>
      <c r="I421" s="1131"/>
      <c r="J421" s="1129"/>
      <c r="K421" s="1130"/>
      <c r="L421" s="104"/>
      <c r="M421" s="105"/>
    </row>
    <row r="422" spans="3:13" ht="25" thickBot="1">
      <c r="C422" s="209" t="s">
        <v>105</v>
      </c>
      <c r="D422" s="209" t="s">
        <v>105</v>
      </c>
      <c r="E422" s="571" t="s">
        <v>30</v>
      </c>
      <c r="F422" s="1147" t="s">
        <v>90</v>
      </c>
      <c r="G422" s="1148"/>
      <c r="H422" s="1149"/>
      <c r="I422" s="1131" t="s">
        <v>633</v>
      </c>
      <c r="J422" s="1129"/>
      <c r="K422" s="1130"/>
      <c r="L422" s="104" t="s">
        <v>430</v>
      </c>
      <c r="M422" s="105" t="s">
        <v>431</v>
      </c>
    </row>
    <row r="423" spans="3:13">
      <c r="C423" s="90"/>
      <c r="D423" s="90"/>
      <c r="E423" s="572" t="s">
        <v>432</v>
      </c>
      <c r="F423" s="1150"/>
      <c r="G423" s="1151"/>
      <c r="H423" s="1152"/>
      <c r="I423" s="995" t="s">
        <v>705</v>
      </c>
      <c r="J423" s="996"/>
      <c r="K423" s="997"/>
      <c r="L423" s="99"/>
      <c r="M423" s="100"/>
    </row>
    <row r="424" spans="3:13">
      <c r="C424" s="90"/>
      <c r="D424" s="90"/>
      <c r="E424" s="573" t="s">
        <v>433</v>
      </c>
      <c r="F424" s="1163">
        <v>3.7499999999999999E-2</v>
      </c>
      <c r="G424" s="1164"/>
      <c r="H424" s="1165"/>
      <c r="I424" s="995"/>
      <c r="J424" s="996"/>
      <c r="K424" s="997"/>
      <c r="L424" s="99"/>
      <c r="M424" s="100"/>
    </row>
    <row r="425" spans="3:13" ht="20" thickBot="1">
      <c r="C425" s="90"/>
      <c r="D425" s="90"/>
      <c r="E425" s="573" t="s">
        <v>434</v>
      </c>
      <c r="F425" s="1163">
        <v>4.2500000000000003E-2</v>
      </c>
      <c r="G425" s="1164"/>
      <c r="H425" s="1165"/>
      <c r="I425" s="995"/>
      <c r="J425" s="996"/>
      <c r="K425" s="997"/>
      <c r="L425" s="99"/>
      <c r="M425" s="100"/>
    </row>
    <row r="426" spans="3:13" ht="20" thickBot="1">
      <c r="C426" s="90"/>
      <c r="D426" s="90"/>
      <c r="E426" s="574" t="s">
        <v>435</v>
      </c>
      <c r="F426" s="1160">
        <v>0.57291666666666674</v>
      </c>
      <c r="G426" s="1161"/>
      <c r="H426" s="1162"/>
      <c r="I426" s="995"/>
      <c r="J426" s="996"/>
      <c r="K426" s="997"/>
      <c r="L426" s="106">
        <v>0.80208333333333337</v>
      </c>
      <c r="M426" s="107">
        <v>0.69791666666666674</v>
      </c>
    </row>
    <row r="427" spans="3:13" ht="20" thickBot="1">
      <c r="C427" s="90"/>
      <c r="D427" s="90"/>
      <c r="E427" s="575" t="s">
        <v>436</v>
      </c>
      <c r="F427" s="264" t="s">
        <v>29</v>
      </c>
      <c r="G427" s="264" t="s">
        <v>28</v>
      </c>
      <c r="H427" s="265" t="s">
        <v>27</v>
      </c>
      <c r="I427" s="995"/>
      <c r="J427" s="996"/>
      <c r="K427" s="997"/>
      <c r="L427" s="99"/>
      <c r="M427" s="100"/>
    </row>
    <row r="428" spans="3:13">
      <c r="C428" s="90"/>
      <c r="D428" s="90"/>
      <c r="E428" s="576" t="s">
        <v>526</v>
      </c>
      <c r="F428" s="316">
        <v>4.2500000000000003E-2</v>
      </c>
      <c r="G428" s="316" t="s">
        <v>723</v>
      </c>
      <c r="H428" s="316">
        <v>4.4999999999999998E-2</v>
      </c>
      <c r="I428" s="995"/>
      <c r="J428" s="996"/>
      <c r="K428" s="997"/>
      <c r="L428" s="99"/>
      <c r="M428" s="100"/>
    </row>
    <row r="429" spans="3:13">
      <c r="C429" s="90"/>
      <c r="D429" s="90"/>
      <c r="E429" s="576" t="s">
        <v>724</v>
      </c>
      <c r="F429" s="316">
        <v>4.4999999999999998E-2</v>
      </c>
      <c r="G429" s="316" t="s">
        <v>725</v>
      </c>
      <c r="H429" s="316">
        <v>4.7500000000000001E-2</v>
      </c>
      <c r="I429" s="995"/>
      <c r="J429" s="996"/>
      <c r="K429" s="997"/>
      <c r="L429" s="99"/>
      <c r="M429" s="100"/>
    </row>
    <row r="430" spans="3:13">
      <c r="C430" s="90"/>
      <c r="D430" s="90"/>
      <c r="E430" s="576" t="s">
        <v>552</v>
      </c>
      <c r="F430" s="316">
        <v>4.7500000000000001E-2</v>
      </c>
      <c r="G430" s="316" t="s">
        <v>726</v>
      </c>
      <c r="H430" s="316">
        <v>0.05</v>
      </c>
      <c r="I430" s="995"/>
      <c r="J430" s="996"/>
      <c r="K430" s="997"/>
      <c r="L430" s="101"/>
      <c r="M430" s="100"/>
    </row>
    <row r="431" spans="3:13">
      <c r="C431" s="90"/>
      <c r="D431" s="90"/>
      <c r="E431" s="576" t="s">
        <v>727</v>
      </c>
      <c r="F431" s="316">
        <v>0.05</v>
      </c>
      <c r="G431" s="316" t="s">
        <v>728</v>
      </c>
      <c r="H431" s="316">
        <v>0.05</v>
      </c>
      <c r="I431" s="995"/>
      <c r="J431" s="996"/>
      <c r="K431" s="997"/>
      <c r="L431" s="99"/>
      <c r="M431" s="100"/>
    </row>
    <row r="432" spans="3:13">
      <c r="C432" s="90"/>
      <c r="D432" s="90"/>
      <c r="E432" s="576" t="s">
        <v>729</v>
      </c>
      <c r="F432" s="316">
        <v>0.05</v>
      </c>
      <c r="G432" s="316" t="s">
        <v>728</v>
      </c>
      <c r="H432" s="316">
        <v>0.05</v>
      </c>
      <c r="I432" s="995"/>
      <c r="J432" s="996"/>
      <c r="K432" s="997"/>
      <c r="L432" s="99"/>
      <c r="M432" s="100"/>
    </row>
    <row r="433" spans="3:13" ht="20" thickBot="1">
      <c r="C433" s="90"/>
      <c r="D433" s="90"/>
      <c r="E433" s="576" t="s">
        <v>730</v>
      </c>
      <c r="F433" s="316">
        <v>0.05</v>
      </c>
      <c r="G433" s="316" t="s">
        <v>728</v>
      </c>
      <c r="H433" s="316">
        <v>0.05</v>
      </c>
      <c r="I433" s="998"/>
      <c r="J433" s="999"/>
      <c r="K433" s="1000"/>
      <c r="L433" s="102"/>
      <c r="M433" s="103"/>
    </row>
    <row r="434" spans="3:13" ht="25" thickBot="1">
      <c r="C434" s="90"/>
      <c r="D434" s="90"/>
      <c r="E434" s="571" t="s">
        <v>30</v>
      </c>
      <c r="F434" s="1147" t="s">
        <v>706</v>
      </c>
      <c r="G434" s="1148"/>
      <c r="H434" s="1149"/>
      <c r="I434" s="1131" t="s">
        <v>633</v>
      </c>
      <c r="J434" s="1129"/>
      <c r="K434" s="1130"/>
      <c r="L434" s="104" t="s">
        <v>430</v>
      </c>
      <c r="M434" s="105" t="s">
        <v>431</v>
      </c>
    </row>
    <row r="435" spans="3:13">
      <c r="C435" s="90"/>
      <c r="D435" s="90"/>
      <c r="E435" s="572" t="s">
        <v>432</v>
      </c>
      <c r="F435" s="1150"/>
      <c r="G435" s="1151"/>
      <c r="H435" s="1152"/>
      <c r="I435" s="995" t="s">
        <v>708</v>
      </c>
      <c r="J435" s="996"/>
      <c r="K435" s="997"/>
      <c r="L435" s="99"/>
      <c r="M435" s="100"/>
    </row>
    <row r="436" spans="3:13">
      <c r="C436" s="90"/>
      <c r="D436" s="90"/>
      <c r="E436" s="573" t="s">
        <v>433</v>
      </c>
      <c r="F436" s="1163" t="s">
        <v>707</v>
      </c>
      <c r="G436" s="1164"/>
      <c r="H436" s="1165"/>
      <c r="I436" s="995"/>
      <c r="J436" s="996"/>
      <c r="K436" s="997"/>
      <c r="L436" s="99"/>
      <c r="M436" s="100"/>
    </row>
    <row r="437" spans="3:13" ht="20" thickBot="1">
      <c r="C437" s="90"/>
      <c r="D437" s="90"/>
      <c r="E437" s="573" t="s">
        <v>434</v>
      </c>
      <c r="F437" s="1163" t="s">
        <v>349</v>
      </c>
      <c r="G437" s="1164"/>
      <c r="H437" s="1165"/>
      <c r="I437" s="995"/>
      <c r="J437" s="996"/>
      <c r="K437" s="997"/>
      <c r="L437" s="99"/>
      <c r="M437" s="100"/>
    </row>
    <row r="438" spans="3:13" ht="20" thickBot="1">
      <c r="C438" s="90"/>
      <c r="D438" s="90"/>
      <c r="E438" s="574" t="s">
        <v>435</v>
      </c>
      <c r="F438" s="1160">
        <v>0.58333333333333337</v>
      </c>
      <c r="G438" s="1161"/>
      <c r="H438" s="1162"/>
      <c r="I438" s="995"/>
      <c r="J438" s="996"/>
      <c r="K438" s="997"/>
      <c r="L438" s="106">
        <v>0.8125</v>
      </c>
      <c r="M438" s="107">
        <v>0.70833333333333337</v>
      </c>
    </row>
    <row r="439" spans="3:13" ht="20" thickBot="1">
      <c r="C439" s="90"/>
      <c r="D439" s="90"/>
      <c r="E439" s="575" t="s">
        <v>436</v>
      </c>
      <c r="F439" s="264" t="s">
        <v>29</v>
      </c>
      <c r="G439" s="264" t="s">
        <v>28</v>
      </c>
      <c r="H439" s="265" t="s">
        <v>27</v>
      </c>
      <c r="I439" s="995"/>
      <c r="J439" s="996"/>
      <c r="K439" s="997"/>
      <c r="L439" s="99"/>
      <c r="M439" s="100"/>
    </row>
    <row r="440" spans="3:13">
      <c r="C440" s="90"/>
      <c r="D440" s="90"/>
      <c r="E440" s="576" t="s">
        <v>575</v>
      </c>
      <c r="F440" s="316" t="s">
        <v>349</v>
      </c>
      <c r="G440" s="316" t="s">
        <v>735</v>
      </c>
      <c r="H440" s="316" t="s">
        <v>351</v>
      </c>
      <c r="I440" s="995"/>
      <c r="J440" s="996"/>
      <c r="K440" s="997"/>
      <c r="L440" s="99"/>
      <c r="M440" s="100"/>
    </row>
    <row r="441" spans="3:13">
      <c r="C441" s="90"/>
      <c r="D441" s="90"/>
      <c r="E441" s="576" t="s">
        <v>583</v>
      </c>
      <c r="F441" s="316" t="s">
        <v>736</v>
      </c>
      <c r="G441" s="316" t="s">
        <v>737</v>
      </c>
      <c r="H441" s="316" t="s">
        <v>738</v>
      </c>
      <c r="I441" s="995"/>
      <c r="J441" s="996"/>
      <c r="K441" s="997"/>
      <c r="L441" s="99"/>
      <c r="M441" s="100"/>
    </row>
    <row r="442" spans="3:13">
      <c r="C442" s="90"/>
      <c r="D442" s="90"/>
      <c r="E442" s="576" t="s">
        <v>739</v>
      </c>
      <c r="F442" s="316" t="s">
        <v>740</v>
      </c>
      <c r="G442" s="316" t="s">
        <v>741</v>
      </c>
      <c r="H442" s="316" t="s">
        <v>78</v>
      </c>
      <c r="I442" s="995"/>
      <c r="J442" s="996"/>
      <c r="K442" s="997"/>
      <c r="L442" s="101"/>
      <c r="M442" s="100"/>
    </row>
    <row r="443" spans="3:13">
      <c r="C443" s="90"/>
      <c r="D443" s="90"/>
      <c r="E443" s="576" t="s">
        <v>742</v>
      </c>
      <c r="F443" s="316" t="s">
        <v>78</v>
      </c>
      <c r="G443" s="316" t="s">
        <v>743</v>
      </c>
      <c r="H443" s="316" t="s">
        <v>744</v>
      </c>
      <c r="I443" s="995"/>
      <c r="J443" s="996"/>
      <c r="K443" s="997"/>
      <c r="L443" s="99"/>
      <c r="M443" s="100"/>
    </row>
    <row r="444" spans="3:13">
      <c r="C444" s="90"/>
      <c r="D444" s="90"/>
      <c r="E444" s="576" t="s">
        <v>745</v>
      </c>
      <c r="F444" s="316" t="s">
        <v>744</v>
      </c>
      <c r="G444" s="316" t="s">
        <v>746</v>
      </c>
      <c r="H444" s="316" t="s">
        <v>747</v>
      </c>
      <c r="I444" s="995"/>
      <c r="J444" s="996"/>
      <c r="K444" s="997"/>
      <c r="L444" s="99"/>
      <c r="M444" s="100"/>
    </row>
    <row r="445" spans="3:13" ht="20" thickBot="1">
      <c r="C445" s="90"/>
      <c r="D445" s="90"/>
      <c r="E445" s="576" t="s">
        <v>748</v>
      </c>
      <c r="F445" s="316" t="s">
        <v>749</v>
      </c>
      <c r="G445" s="316" t="s">
        <v>750</v>
      </c>
      <c r="H445" s="316" t="s">
        <v>751</v>
      </c>
      <c r="I445" s="998"/>
      <c r="J445" s="999"/>
      <c r="K445" s="1000"/>
      <c r="L445" s="102"/>
      <c r="M445" s="103"/>
    </row>
    <row r="446" spans="3:13" ht="25" thickBot="1">
      <c r="C446" s="90"/>
      <c r="D446" s="88" t="s">
        <v>105</v>
      </c>
      <c r="E446" s="571" t="s">
        <v>30</v>
      </c>
      <c r="F446" s="1147" t="s">
        <v>9</v>
      </c>
      <c r="G446" s="1148"/>
      <c r="H446" s="1149"/>
      <c r="I446" s="1131" t="s">
        <v>633</v>
      </c>
      <c r="J446" s="1129"/>
      <c r="K446" s="1130"/>
      <c r="L446" s="104" t="s">
        <v>430</v>
      </c>
      <c r="M446" s="105" t="s">
        <v>431</v>
      </c>
    </row>
    <row r="447" spans="3:13">
      <c r="C447" s="90"/>
      <c r="D447" s="162"/>
      <c r="E447" s="572" t="s">
        <v>432</v>
      </c>
      <c r="F447" s="1150"/>
      <c r="G447" s="1151"/>
      <c r="H447" s="1152"/>
      <c r="I447" s="995" t="s">
        <v>701</v>
      </c>
      <c r="J447" s="996"/>
      <c r="K447" s="997"/>
      <c r="L447" s="99"/>
      <c r="M447" s="100"/>
    </row>
    <row r="448" spans="3:13">
      <c r="C448" s="90"/>
      <c r="D448" s="162"/>
      <c r="E448" s="573" t="s">
        <v>433</v>
      </c>
      <c r="F448" s="1163"/>
      <c r="G448" s="1164"/>
      <c r="H448" s="1165"/>
      <c r="I448" s="995"/>
      <c r="J448" s="996"/>
      <c r="K448" s="997"/>
      <c r="L448" s="99"/>
      <c r="M448" s="100"/>
    </row>
    <row r="449" spans="3:13" ht="20" thickBot="1">
      <c r="C449" s="90"/>
      <c r="D449" s="162"/>
      <c r="E449" s="573" t="s">
        <v>434</v>
      </c>
      <c r="F449" s="1163" t="s">
        <v>699</v>
      </c>
      <c r="G449" s="1164"/>
      <c r="H449" s="1165"/>
      <c r="I449" s="995"/>
      <c r="J449" s="996"/>
      <c r="K449" s="997"/>
      <c r="L449" s="99"/>
      <c r="M449" s="100"/>
    </row>
    <row r="450" spans="3:13" ht="20" thickBot="1">
      <c r="C450" s="90"/>
      <c r="D450" s="162"/>
      <c r="E450" s="574" t="s">
        <v>435</v>
      </c>
      <c r="F450" s="1160">
        <v>0.60416666666666674</v>
      </c>
      <c r="G450" s="1161"/>
      <c r="H450" s="1162"/>
      <c r="I450" s="995"/>
      <c r="J450" s="996"/>
      <c r="K450" s="997"/>
      <c r="L450" s="106">
        <v>0.83333333333333337</v>
      </c>
      <c r="M450" s="107">
        <v>0.72916666666666674</v>
      </c>
    </row>
    <row r="451" spans="3:13" ht="20" thickBot="1">
      <c r="C451" s="90"/>
      <c r="D451" s="162"/>
      <c r="E451" s="575" t="s">
        <v>436</v>
      </c>
      <c r="F451" s="264" t="s">
        <v>29</v>
      </c>
      <c r="G451" s="264" t="s">
        <v>28</v>
      </c>
      <c r="H451" s="265" t="s">
        <v>27</v>
      </c>
      <c r="I451" s="995"/>
      <c r="J451" s="996"/>
      <c r="K451" s="997"/>
      <c r="L451" s="99"/>
      <c r="M451" s="100"/>
    </row>
    <row r="452" spans="3:13">
      <c r="C452" s="90"/>
      <c r="D452" s="162"/>
      <c r="E452" s="576">
        <v>45582</v>
      </c>
      <c r="F452" s="592" t="s">
        <v>699</v>
      </c>
      <c r="G452" s="592" t="s">
        <v>731</v>
      </c>
      <c r="H452" s="592" t="s">
        <v>677</v>
      </c>
      <c r="I452" s="995"/>
      <c r="J452" s="996"/>
      <c r="K452" s="997"/>
      <c r="L452" s="99"/>
      <c r="M452" s="100"/>
    </row>
    <row r="453" spans="3:13">
      <c r="C453" s="90"/>
      <c r="D453" s="162"/>
      <c r="E453" s="576">
        <v>45574</v>
      </c>
      <c r="F453" s="592" t="s">
        <v>677</v>
      </c>
      <c r="G453" s="592" t="s">
        <v>732</v>
      </c>
      <c r="H453" s="592" t="s">
        <v>637</v>
      </c>
      <c r="I453" s="995"/>
      <c r="J453" s="996"/>
      <c r="K453" s="997"/>
      <c r="L453" s="99"/>
      <c r="M453" s="100"/>
    </row>
    <row r="454" spans="3:13">
      <c r="C454" s="90"/>
      <c r="D454" s="162"/>
      <c r="E454" s="576">
        <v>45567</v>
      </c>
      <c r="F454" s="592" t="s">
        <v>637</v>
      </c>
      <c r="G454" s="592" t="s">
        <v>733</v>
      </c>
      <c r="H454" s="592" t="s">
        <v>380</v>
      </c>
      <c r="I454" s="995"/>
      <c r="J454" s="996"/>
      <c r="K454" s="997"/>
      <c r="L454" s="101"/>
      <c r="M454" s="100"/>
    </row>
    <row r="455" spans="3:13">
      <c r="C455" s="90"/>
      <c r="D455" s="162"/>
      <c r="E455" s="576">
        <v>45560</v>
      </c>
      <c r="F455" s="592" t="s">
        <v>380</v>
      </c>
      <c r="G455" s="592" t="s">
        <v>564</v>
      </c>
      <c r="H455" s="592" t="s">
        <v>337</v>
      </c>
      <c r="I455" s="995"/>
      <c r="J455" s="996"/>
      <c r="K455" s="997"/>
      <c r="L455" s="99"/>
      <c r="M455" s="100"/>
    </row>
    <row r="456" spans="3:13">
      <c r="C456" s="90"/>
      <c r="D456" s="162"/>
      <c r="E456" s="576">
        <v>45553</v>
      </c>
      <c r="F456" s="592" t="s">
        <v>337</v>
      </c>
      <c r="G456" s="592" t="s">
        <v>565</v>
      </c>
      <c r="H456" s="592" t="s">
        <v>339</v>
      </c>
      <c r="I456" s="995"/>
      <c r="J456" s="996"/>
      <c r="K456" s="997"/>
      <c r="L456" s="99"/>
      <c r="M456" s="100"/>
    </row>
    <row r="457" spans="3:13" ht="20" thickBot="1">
      <c r="C457" s="90"/>
      <c r="D457" s="162"/>
      <c r="E457" s="576">
        <v>45546</v>
      </c>
      <c r="F457" s="592" t="s">
        <v>339</v>
      </c>
      <c r="G457" s="592" t="s">
        <v>567</v>
      </c>
      <c r="H457" s="592" t="s">
        <v>312</v>
      </c>
      <c r="I457" s="998"/>
      <c r="J457" s="999"/>
      <c r="K457" s="1000"/>
      <c r="L457" s="102"/>
      <c r="M457" s="103"/>
    </row>
    <row r="458" spans="3:13" ht="25" thickBot="1">
      <c r="C458" s="90"/>
      <c r="D458" s="88" t="s">
        <v>105</v>
      </c>
      <c r="E458" s="571" t="s">
        <v>30</v>
      </c>
      <c r="F458" s="1147" t="s">
        <v>709</v>
      </c>
      <c r="G458" s="1148"/>
      <c r="H458" s="1149"/>
      <c r="I458" s="1131" t="s">
        <v>633</v>
      </c>
      <c r="J458" s="1129"/>
      <c r="K458" s="1130"/>
      <c r="L458" s="104" t="s">
        <v>430</v>
      </c>
      <c r="M458" s="105" t="s">
        <v>431</v>
      </c>
    </row>
    <row r="459" spans="3:13">
      <c r="C459" s="90"/>
      <c r="D459" s="162"/>
      <c r="E459" s="572" t="s">
        <v>432</v>
      </c>
      <c r="F459" s="1150"/>
      <c r="G459" s="1151"/>
      <c r="H459" s="1152"/>
      <c r="I459" s="995">
        <v>0</v>
      </c>
      <c r="J459" s="996"/>
      <c r="K459" s="997"/>
      <c r="L459" s="99"/>
      <c r="M459" s="100"/>
    </row>
    <row r="460" spans="3:13">
      <c r="C460" s="90"/>
      <c r="D460" s="162"/>
      <c r="E460" s="573" t="s">
        <v>433</v>
      </c>
      <c r="F460" s="1153">
        <v>0.6</v>
      </c>
      <c r="G460" s="1154"/>
      <c r="H460" s="1155"/>
      <c r="I460" s="995"/>
      <c r="J460" s="996"/>
      <c r="K460" s="997"/>
      <c r="L460" s="99"/>
      <c r="M460" s="100"/>
    </row>
    <row r="461" spans="3:13" ht="20" thickBot="1">
      <c r="C461" s="90"/>
      <c r="D461" s="162"/>
      <c r="E461" s="573" t="s">
        <v>434</v>
      </c>
      <c r="F461" s="1153">
        <v>0.66</v>
      </c>
      <c r="G461" s="1154"/>
      <c r="H461" s="1155"/>
      <c r="I461" s="995"/>
      <c r="J461" s="996"/>
      <c r="K461" s="997"/>
      <c r="L461" s="99"/>
      <c r="M461" s="100"/>
    </row>
    <row r="462" spans="3:13" ht="20" thickBot="1">
      <c r="C462" s="90"/>
      <c r="D462" s="162"/>
      <c r="E462" s="574" t="s">
        <v>435</v>
      </c>
      <c r="F462" s="1160">
        <v>0.87500000000000011</v>
      </c>
      <c r="G462" s="1161"/>
      <c r="H462" s="1162"/>
      <c r="I462" s="995"/>
      <c r="J462" s="996"/>
      <c r="K462" s="997"/>
      <c r="L462" s="106">
        <v>1.1041666666666667</v>
      </c>
      <c r="M462" s="107">
        <v>1</v>
      </c>
    </row>
    <row r="463" spans="3:13" ht="20" thickBot="1">
      <c r="C463" s="90"/>
      <c r="D463" s="162"/>
      <c r="E463" s="575" t="s">
        <v>436</v>
      </c>
      <c r="F463" s="264" t="s">
        <v>29</v>
      </c>
      <c r="G463" s="264" t="s">
        <v>28</v>
      </c>
      <c r="H463" s="265" t="s">
        <v>27</v>
      </c>
      <c r="I463" s="995"/>
      <c r="J463" s="996"/>
      <c r="K463" s="997"/>
      <c r="L463" s="99"/>
      <c r="M463" s="100"/>
    </row>
    <row r="464" spans="3:13" ht="18">
      <c r="C464" s="90"/>
      <c r="D464" s="162"/>
      <c r="E464" s="576">
        <v>45496</v>
      </c>
      <c r="F464" s="577">
        <v>0.52</v>
      </c>
      <c r="G464" s="577">
        <v>0.61</v>
      </c>
      <c r="H464" s="577">
        <v>0.91</v>
      </c>
      <c r="I464" s="995"/>
      <c r="J464" s="996"/>
      <c r="K464" s="997"/>
      <c r="L464" s="99"/>
      <c r="M464" s="100"/>
    </row>
    <row r="465" spans="3:13" ht="18">
      <c r="C465" s="90"/>
      <c r="D465" s="162"/>
      <c r="E465" s="576">
        <v>45405</v>
      </c>
      <c r="F465" s="577">
        <v>0.45</v>
      </c>
      <c r="G465" s="577">
        <v>0.49</v>
      </c>
      <c r="H465" s="577">
        <v>0.85</v>
      </c>
      <c r="I465" s="995"/>
      <c r="J465" s="996"/>
      <c r="K465" s="997"/>
      <c r="L465" s="99"/>
      <c r="M465" s="100"/>
    </row>
    <row r="466" spans="3:13" ht="18">
      <c r="C466" s="90"/>
      <c r="D466" s="162"/>
      <c r="E466" s="576">
        <v>45315</v>
      </c>
      <c r="F466" s="577">
        <v>0.71</v>
      </c>
      <c r="G466" s="577">
        <v>0.73</v>
      </c>
      <c r="H466" s="577">
        <v>1.19</v>
      </c>
      <c r="I466" s="995"/>
      <c r="J466" s="996"/>
      <c r="K466" s="997"/>
      <c r="L466" s="101"/>
      <c r="M466" s="100"/>
    </row>
    <row r="467" spans="3:13" ht="18">
      <c r="C467" s="90"/>
      <c r="D467" s="162"/>
      <c r="E467" s="576">
        <v>45217</v>
      </c>
      <c r="F467" s="577">
        <v>0.66</v>
      </c>
      <c r="G467" s="577">
        <v>0.73</v>
      </c>
      <c r="H467" s="577">
        <v>1.05</v>
      </c>
      <c r="I467" s="995"/>
      <c r="J467" s="996"/>
      <c r="K467" s="997"/>
      <c r="L467" s="99"/>
      <c r="M467" s="100"/>
    </row>
    <row r="468" spans="3:13" ht="18">
      <c r="C468" s="90"/>
      <c r="D468" s="162"/>
      <c r="E468" s="576">
        <v>45126</v>
      </c>
      <c r="F468" s="577">
        <v>0.91</v>
      </c>
      <c r="G468" s="577">
        <v>0.79</v>
      </c>
      <c r="H468" s="577">
        <v>0.75700000000000001</v>
      </c>
      <c r="I468" s="995"/>
      <c r="J468" s="996"/>
      <c r="K468" s="997"/>
      <c r="L468" s="99"/>
      <c r="M468" s="100"/>
    </row>
    <row r="469" spans="3:13" thickBot="1">
      <c r="C469" s="90"/>
      <c r="D469" s="162"/>
      <c r="E469" s="576">
        <v>45035</v>
      </c>
      <c r="F469" s="577">
        <v>0.85</v>
      </c>
      <c r="G469" s="577">
        <v>0.85</v>
      </c>
      <c r="H469" s="577">
        <v>1.073</v>
      </c>
      <c r="I469" s="998"/>
      <c r="J469" s="999"/>
      <c r="K469" s="1000"/>
      <c r="L469" s="102"/>
      <c r="M469" s="103"/>
    </row>
    <row r="470" spans="3:13" ht="25" thickBot="1">
      <c r="C470" s="90"/>
      <c r="D470" s="88" t="s">
        <v>105</v>
      </c>
      <c r="E470" s="571" t="s">
        <v>30</v>
      </c>
      <c r="F470" s="1147" t="s">
        <v>711</v>
      </c>
      <c r="G470" s="1148"/>
      <c r="H470" s="1149"/>
      <c r="I470" s="1128" t="s">
        <v>633</v>
      </c>
      <c r="J470" s="1129"/>
      <c r="K470" s="1130"/>
      <c r="L470" s="104" t="s">
        <v>430</v>
      </c>
      <c r="M470" s="105" t="s">
        <v>431</v>
      </c>
    </row>
    <row r="471" spans="3:13">
      <c r="C471" s="90"/>
      <c r="D471" s="162"/>
      <c r="E471" s="572" t="s">
        <v>432</v>
      </c>
      <c r="F471" s="1150"/>
      <c r="G471" s="1151"/>
      <c r="H471" s="1152"/>
      <c r="I471" s="995" t="s">
        <v>712</v>
      </c>
      <c r="J471" s="996"/>
      <c r="K471" s="997"/>
      <c r="L471" s="99"/>
      <c r="M471" s="100"/>
    </row>
    <row r="472" spans="3:13">
      <c r="C472" s="90"/>
      <c r="D472" s="162"/>
      <c r="E472" s="573" t="s">
        <v>433</v>
      </c>
      <c r="F472" s="1169">
        <v>0</v>
      </c>
      <c r="G472" s="1170"/>
      <c r="H472" s="1171"/>
      <c r="I472" s="995"/>
      <c r="J472" s="996"/>
      <c r="K472" s="997"/>
      <c r="L472" s="99"/>
      <c r="M472" s="100"/>
    </row>
    <row r="473" spans="3:13" ht="20" thickBot="1">
      <c r="C473" s="90"/>
      <c r="D473" s="162"/>
      <c r="E473" s="573" t="s">
        <v>434</v>
      </c>
      <c r="F473" s="1169">
        <v>52.6</v>
      </c>
      <c r="G473" s="1170"/>
      <c r="H473" s="1171"/>
      <c r="I473" s="995"/>
      <c r="J473" s="996"/>
      <c r="K473" s="997"/>
      <c r="L473" s="99"/>
      <c r="M473" s="100"/>
    </row>
    <row r="474" spans="3:13" ht="20" thickBot="1">
      <c r="C474" s="90"/>
      <c r="D474" s="162"/>
      <c r="E474" s="574" t="s">
        <v>435</v>
      </c>
      <c r="F474" s="1160">
        <v>0.35416666666666674</v>
      </c>
      <c r="G474" s="1161"/>
      <c r="H474" s="1162"/>
      <c r="I474" s="995"/>
      <c r="J474" s="996"/>
      <c r="K474" s="997"/>
      <c r="L474" s="106">
        <v>0.58333333333333337</v>
      </c>
      <c r="M474" s="107">
        <v>0.47916666666666669</v>
      </c>
    </row>
    <row r="475" spans="3:13" ht="20" thickBot="1">
      <c r="C475" s="90"/>
      <c r="D475" s="162"/>
      <c r="E475" s="575" t="s">
        <v>436</v>
      </c>
      <c r="F475" s="264" t="s">
        <v>29</v>
      </c>
      <c r="G475" s="264" t="s">
        <v>28</v>
      </c>
      <c r="H475" s="265" t="s">
        <v>27</v>
      </c>
      <c r="I475" s="995"/>
      <c r="J475" s="996"/>
      <c r="K475" s="997"/>
      <c r="L475" s="99"/>
      <c r="M475" s="100"/>
    </row>
    <row r="476" spans="3:13">
      <c r="C476" s="90"/>
      <c r="D476" s="162"/>
      <c r="E476" s="576" t="s">
        <v>752</v>
      </c>
      <c r="F476" s="323">
        <v>52.6</v>
      </c>
      <c r="G476" s="323" t="s">
        <v>753</v>
      </c>
      <c r="H476" s="323">
        <v>53.8</v>
      </c>
      <c r="I476" s="995"/>
      <c r="J476" s="996"/>
      <c r="K476" s="997"/>
      <c r="L476" s="99"/>
      <c r="M476" s="100"/>
    </row>
    <row r="477" spans="3:13">
      <c r="C477" s="90"/>
      <c r="D477" s="162"/>
      <c r="E477" s="576" t="s">
        <v>499</v>
      </c>
      <c r="F477" s="323">
        <v>52.9</v>
      </c>
      <c r="G477" s="323" t="s">
        <v>754</v>
      </c>
      <c r="H477" s="323">
        <v>53.8</v>
      </c>
      <c r="I477" s="995"/>
      <c r="J477" s="996"/>
      <c r="K477" s="997"/>
      <c r="L477" s="99"/>
      <c r="M477" s="100"/>
    </row>
    <row r="478" spans="3:13">
      <c r="C478" s="90"/>
      <c r="D478" s="162"/>
      <c r="E478" s="576" t="s">
        <v>526</v>
      </c>
      <c r="F478" s="323">
        <v>53.8</v>
      </c>
      <c r="G478" s="323" t="s">
        <v>755</v>
      </c>
      <c r="H478" s="323">
        <v>52.8</v>
      </c>
      <c r="I478" s="995"/>
      <c r="J478" s="996"/>
      <c r="K478" s="997"/>
      <c r="L478" s="101"/>
      <c r="M478" s="100"/>
    </row>
    <row r="479" spans="3:13">
      <c r="C479" s="90"/>
      <c r="D479" s="162"/>
      <c r="E479" s="576" t="s">
        <v>503</v>
      </c>
      <c r="F479" s="323">
        <v>53.4</v>
      </c>
      <c r="G479" s="323" t="s">
        <v>753</v>
      </c>
      <c r="H479" s="323">
        <v>52.8</v>
      </c>
      <c r="I479" s="995"/>
      <c r="J479" s="996"/>
      <c r="K479" s="997"/>
      <c r="L479" s="99"/>
      <c r="M479" s="100"/>
    </row>
    <row r="480" spans="3:13">
      <c r="C480" s="90"/>
      <c r="D480" s="162"/>
      <c r="E480" s="576" t="s">
        <v>588</v>
      </c>
      <c r="F480" s="323">
        <v>52.8</v>
      </c>
      <c r="G480" s="323" t="s">
        <v>756</v>
      </c>
      <c r="H480" s="323">
        <v>52.3</v>
      </c>
      <c r="I480" s="995"/>
      <c r="J480" s="996"/>
      <c r="K480" s="997"/>
      <c r="L480" s="99"/>
      <c r="M480" s="100"/>
    </row>
    <row r="481" spans="3:13" ht="20" thickBot="1">
      <c r="C481" s="90"/>
      <c r="D481" s="162"/>
      <c r="E481" s="576" t="s">
        <v>505</v>
      </c>
      <c r="F481" s="323">
        <v>52.7</v>
      </c>
      <c r="G481" s="323" t="s">
        <v>596</v>
      </c>
      <c r="H481" s="323">
        <v>52.3</v>
      </c>
      <c r="I481" s="998"/>
      <c r="J481" s="999"/>
      <c r="K481" s="1000"/>
      <c r="L481" s="102"/>
      <c r="M481" s="103"/>
    </row>
    <row r="482" spans="3:13" ht="25" thickBot="1">
      <c r="C482" s="90"/>
      <c r="D482" s="88" t="s">
        <v>105</v>
      </c>
      <c r="E482" s="571" t="s">
        <v>30</v>
      </c>
      <c r="F482" s="1147" t="s">
        <v>14</v>
      </c>
      <c r="G482" s="1148"/>
      <c r="H482" s="1149"/>
      <c r="I482" s="1128" t="s">
        <v>633</v>
      </c>
      <c r="J482" s="1129"/>
      <c r="K482" s="1130"/>
      <c r="L482" s="104" t="s">
        <v>430</v>
      </c>
      <c r="M482" s="105" t="s">
        <v>431</v>
      </c>
    </row>
    <row r="483" spans="3:13">
      <c r="C483" s="90"/>
      <c r="D483" s="162"/>
      <c r="E483" s="572" t="s">
        <v>432</v>
      </c>
      <c r="F483" s="1181"/>
      <c r="G483" s="1182"/>
      <c r="H483" s="1183"/>
      <c r="I483" s="995" t="s">
        <v>693</v>
      </c>
      <c r="J483" s="996"/>
      <c r="K483" s="997"/>
      <c r="L483" s="99"/>
      <c r="M483" s="100"/>
    </row>
    <row r="484" spans="3:13">
      <c r="C484" s="90"/>
      <c r="D484" s="162"/>
      <c r="E484" s="573" t="s">
        <v>433</v>
      </c>
      <c r="F484" s="1163" t="s">
        <v>99</v>
      </c>
      <c r="G484" s="1164"/>
      <c r="H484" s="1165"/>
      <c r="I484" s="995"/>
      <c r="J484" s="996"/>
      <c r="K484" s="997"/>
      <c r="L484" s="99"/>
      <c r="M484" s="100"/>
    </row>
    <row r="485" spans="3:13" ht="20" thickBot="1">
      <c r="C485" s="90"/>
      <c r="D485" s="162"/>
      <c r="E485" s="573" t="s">
        <v>434</v>
      </c>
      <c r="F485" s="1163" t="s">
        <v>171</v>
      </c>
      <c r="G485" s="1164"/>
      <c r="H485" s="1165"/>
      <c r="I485" s="995"/>
      <c r="J485" s="996"/>
      <c r="K485" s="997"/>
      <c r="L485" s="99"/>
      <c r="M485" s="100"/>
    </row>
    <row r="486" spans="3:13" ht="20" thickBot="1">
      <c r="C486" s="90"/>
      <c r="D486" s="162"/>
      <c r="E486" s="574" t="s">
        <v>435</v>
      </c>
      <c r="F486" s="1160">
        <v>0.52083333333333337</v>
      </c>
      <c r="G486" s="1161"/>
      <c r="H486" s="1162"/>
      <c r="I486" s="995"/>
      <c r="J486" s="996"/>
      <c r="K486" s="997"/>
      <c r="L486" s="106">
        <v>0.75</v>
      </c>
      <c r="M486" s="107">
        <v>0.64583333333333337</v>
      </c>
    </row>
    <row r="487" spans="3:13" ht="20" thickBot="1">
      <c r="C487" s="90"/>
      <c r="D487" s="162"/>
      <c r="E487" s="575" t="s">
        <v>436</v>
      </c>
      <c r="F487" s="264" t="s">
        <v>29</v>
      </c>
      <c r="G487" s="264" t="s">
        <v>28</v>
      </c>
      <c r="H487" s="265" t="s">
        <v>27</v>
      </c>
      <c r="I487" s="995"/>
      <c r="J487" s="996"/>
      <c r="K487" s="997"/>
      <c r="L487" s="99"/>
      <c r="M487" s="100"/>
    </row>
    <row r="488" spans="3:13">
      <c r="C488" s="90"/>
      <c r="D488" s="162"/>
      <c r="E488" s="576">
        <v>45582</v>
      </c>
      <c r="F488" s="592" t="s">
        <v>171</v>
      </c>
      <c r="G488" s="592" t="s">
        <v>171</v>
      </c>
      <c r="H488" s="592" t="s">
        <v>692</v>
      </c>
      <c r="I488" s="995"/>
      <c r="J488" s="996"/>
      <c r="K488" s="997"/>
      <c r="L488" s="99"/>
      <c r="M488" s="100"/>
    </row>
    <row r="489" spans="3:13">
      <c r="C489" s="90"/>
      <c r="D489" s="162"/>
      <c r="E489" s="576">
        <v>45575</v>
      </c>
      <c r="F489" s="592" t="s">
        <v>678</v>
      </c>
      <c r="G489" s="592" t="s">
        <v>580</v>
      </c>
      <c r="H489" s="592" t="s">
        <v>638</v>
      </c>
      <c r="I489" s="995"/>
      <c r="J489" s="996"/>
      <c r="K489" s="997"/>
      <c r="L489" s="99"/>
      <c r="M489" s="100"/>
    </row>
    <row r="490" spans="3:13">
      <c r="C490" s="90"/>
      <c r="D490" s="162"/>
      <c r="E490" s="576">
        <v>45568</v>
      </c>
      <c r="F490" s="592" t="s">
        <v>638</v>
      </c>
      <c r="G490" s="592" t="s">
        <v>734</v>
      </c>
      <c r="H490" s="592" t="s">
        <v>345</v>
      </c>
      <c r="I490" s="995"/>
      <c r="J490" s="996"/>
      <c r="K490" s="997"/>
      <c r="L490" s="101"/>
      <c r="M490" s="100"/>
    </row>
    <row r="491" spans="3:13">
      <c r="C491" s="90"/>
      <c r="D491" s="162"/>
      <c r="E491" s="576">
        <v>45561</v>
      </c>
      <c r="F491" s="592" t="s">
        <v>382</v>
      </c>
      <c r="G491" s="592" t="s">
        <v>574</v>
      </c>
      <c r="H491" s="592" t="s">
        <v>72</v>
      </c>
      <c r="I491" s="995"/>
      <c r="J491" s="996"/>
      <c r="K491" s="997"/>
      <c r="L491" s="99"/>
      <c r="M491" s="100"/>
    </row>
    <row r="492" spans="3:13">
      <c r="C492" s="90"/>
      <c r="D492" s="162"/>
      <c r="E492" s="576">
        <v>45554</v>
      </c>
      <c r="F492" s="592" t="s">
        <v>345</v>
      </c>
      <c r="G492" s="592" t="s">
        <v>576</v>
      </c>
      <c r="H492" s="592" t="s">
        <v>268</v>
      </c>
      <c r="I492" s="995"/>
      <c r="J492" s="996"/>
      <c r="K492" s="997"/>
      <c r="L492" s="99"/>
      <c r="M492" s="100"/>
    </row>
    <row r="493" spans="3:13" ht="20" thickBot="1">
      <c r="C493" s="90"/>
      <c r="D493" s="162"/>
      <c r="E493" s="576">
        <v>45547</v>
      </c>
      <c r="F493" s="592" t="s">
        <v>330</v>
      </c>
      <c r="G493" s="592" t="s">
        <v>578</v>
      </c>
      <c r="H493" s="592" t="s">
        <v>579</v>
      </c>
      <c r="I493" s="998"/>
      <c r="J493" s="999"/>
      <c r="K493" s="1000"/>
      <c r="L493" s="102"/>
      <c r="M493" s="103"/>
    </row>
    <row r="494" spans="3:13" ht="25" thickBot="1">
      <c r="C494" s="90"/>
      <c r="D494" s="88" t="s">
        <v>105</v>
      </c>
      <c r="E494" s="571" t="s">
        <v>30</v>
      </c>
      <c r="F494" s="1147" t="s">
        <v>713</v>
      </c>
      <c r="G494" s="1148"/>
      <c r="H494" s="1149"/>
      <c r="I494" s="1131" t="s">
        <v>633</v>
      </c>
      <c r="J494" s="1129"/>
      <c r="K494" s="1130"/>
      <c r="L494" s="104" t="s">
        <v>430</v>
      </c>
      <c r="M494" s="105" t="s">
        <v>431</v>
      </c>
    </row>
    <row r="495" spans="3:13">
      <c r="C495" s="90"/>
      <c r="D495" s="162"/>
      <c r="E495" s="572" t="s">
        <v>432</v>
      </c>
      <c r="F495" s="1150"/>
      <c r="G495" s="1151"/>
      <c r="H495" s="1152"/>
      <c r="I495" s="995" t="s">
        <v>714</v>
      </c>
      <c r="J495" s="996"/>
      <c r="K495" s="997"/>
      <c r="L495" s="99"/>
      <c r="M495" s="100"/>
    </row>
    <row r="496" spans="3:13">
      <c r="C496" s="90"/>
      <c r="D496" s="162"/>
      <c r="E496" s="573" t="s">
        <v>433</v>
      </c>
      <c r="F496" s="1169">
        <v>47.5</v>
      </c>
      <c r="G496" s="1170"/>
      <c r="H496" s="1171"/>
      <c r="I496" s="995"/>
      <c r="J496" s="996"/>
      <c r="K496" s="997"/>
      <c r="L496" s="99"/>
      <c r="M496" s="100"/>
    </row>
    <row r="497" spans="3:13" ht="20" thickBot="1">
      <c r="C497" s="90"/>
      <c r="D497" s="162"/>
      <c r="E497" s="573" t="s">
        <v>434</v>
      </c>
      <c r="F497" s="1169">
        <v>47.3</v>
      </c>
      <c r="G497" s="1170"/>
      <c r="H497" s="1171"/>
      <c r="I497" s="995"/>
      <c r="J497" s="996"/>
      <c r="K497" s="997"/>
      <c r="L497" s="99"/>
      <c r="M497" s="100"/>
    </row>
    <row r="498" spans="3:13" ht="20" thickBot="1">
      <c r="C498" s="90"/>
      <c r="D498" s="162"/>
      <c r="E498" s="574" t="s">
        <v>435</v>
      </c>
      <c r="F498" s="1160">
        <v>0.57291666666666674</v>
      </c>
      <c r="G498" s="1161"/>
      <c r="H498" s="1162"/>
      <c r="I498" s="995"/>
      <c r="J498" s="996"/>
      <c r="K498" s="997"/>
      <c r="L498" s="106">
        <v>0.80208333333333337</v>
      </c>
      <c r="M498" s="107">
        <v>0.69791666666666674</v>
      </c>
    </row>
    <row r="499" spans="3:13" ht="20" thickBot="1">
      <c r="C499" s="90"/>
      <c r="D499" s="162"/>
      <c r="E499" s="575" t="s">
        <v>436</v>
      </c>
      <c r="F499" s="264" t="s">
        <v>29</v>
      </c>
      <c r="G499" s="264" t="s">
        <v>28</v>
      </c>
      <c r="H499" s="265" t="s">
        <v>27</v>
      </c>
      <c r="I499" s="995"/>
      <c r="J499" s="996"/>
      <c r="K499" s="997"/>
      <c r="L499" s="99"/>
      <c r="M499" s="100"/>
    </row>
    <row r="500" spans="3:13">
      <c r="C500" s="90"/>
      <c r="D500" s="162"/>
      <c r="E500" s="576" t="s">
        <v>757</v>
      </c>
      <c r="F500" s="323">
        <v>47.3</v>
      </c>
      <c r="G500" s="323" t="s">
        <v>758</v>
      </c>
      <c r="H500" s="323">
        <v>47.9</v>
      </c>
      <c r="I500" s="995"/>
      <c r="J500" s="996"/>
      <c r="K500" s="997"/>
      <c r="L500" s="99"/>
      <c r="M500" s="100"/>
    </row>
    <row r="501" spans="3:13">
      <c r="C501" s="90"/>
      <c r="D501" s="162"/>
      <c r="E501" s="576" t="s">
        <v>499</v>
      </c>
      <c r="F501" s="323">
        <v>47</v>
      </c>
      <c r="G501" s="323" t="s">
        <v>500</v>
      </c>
      <c r="H501" s="323">
        <v>47.9</v>
      </c>
      <c r="I501" s="995"/>
      <c r="J501" s="996"/>
      <c r="K501" s="997"/>
      <c r="L501" s="99"/>
      <c r="M501" s="100"/>
    </row>
    <row r="502" spans="3:13">
      <c r="C502" s="90"/>
      <c r="D502" s="162"/>
      <c r="E502" s="576" t="s">
        <v>501</v>
      </c>
      <c r="F502" s="323">
        <v>47.9</v>
      </c>
      <c r="G502" s="323" t="s">
        <v>502</v>
      </c>
      <c r="H502" s="323">
        <v>49.6</v>
      </c>
      <c r="I502" s="995"/>
      <c r="J502" s="996"/>
      <c r="K502" s="997"/>
      <c r="L502" s="101"/>
      <c r="M502" s="100"/>
    </row>
    <row r="503" spans="3:13">
      <c r="C503" s="90"/>
      <c r="D503" s="162"/>
      <c r="E503" s="576" t="s">
        <v>503</v>
      </c>
      <c r="F503" s="323">
        <v>48</v>
      </c>
      <c r="G503" s="323" t="s">
        <v>438</v>
      </c>
      <c r="H503" s="323">
        <v>49.6</v>
      </c>
      <c r="I503" s="995"/>
      <c r="J503" s="996"/>
      <c r="K503" s="997"/>
      <c r="L503" s="99"/>
      <c r="M503" s="100"/>
    </row>
    <row r="504" spans="3:13">
      <c r="C504" s="90"/>
      <c r="D504" s="162"/>
      <c r="E504" s="576" t="s">
        <v>504</v>
      </c>
      <c r="F504" s="323">
        <v>49.6</v>
      </c>
      <c r="G504" s="323" t="s">
        <v>438</v>
      </c>
      <c r="H504" s="323">
        <v>51.6</v>
      </c>
      <c r="I504" s="995"/>
      <c r="J504" s="996"/>
      <c r="K504" s="997"/>
      <c r="L504" s="99"/>
      <c r="M504" s="100"/>
    </row>
    <row r="505" spans="3:13" ht="20" thickBot="1">
      <c r="C505" s="90"/>
      <c r="D505" s="162"/>
      <c r="E505" s="576" t="s">
        <v>505</v>
      </c>
      <c r="F505" s="323">
        <v>49.5</v>
      </c>
      <c r="G505" s="323" t="s">
        <v>506</v>
      </c>
      <c r="H505" s="323">
        <v>51.6</v>
      </c>
      <c r="I505" s="998"/>
      <c r="J505" s="999"/>
      <c r="K505" s="1000"/>
      <c r="L505" s="102"/>
      <c r="M505" s="103"/>
    </row>
    <row r="506" spans="3:13" ht="25" thickBot="1">
      <c r="C506" s="90"/>
      <c r="D506" s="88" t="s">
        <v>105</v>
      </c>
      <c r="E506" s="571" t="s">
        <v>30</v>
      </c>
      <c r="F506" s="1147" t="s">
        <v>715</v>
      </c>
      <c r="G506" s="1148"/>
      <c r="H506" s="1149"/>
      <c r="I506" s="1131" t="s">
        <v>633</v>
      </c>
      <c r="J506" s="1129"/>
      <c r="K506" s="1130"/>
      <c r="L506" s="104" t="s">
        <v>430</v>
      </c>
      <c r="M506" s="105" t="s">
        <v>431</v>
      </c>
    </row>
    <row r="507" spans="3:13">
      <c r="C507" s="90"/>
      <c r="D507" s="162"/>
      <c r="E507" s="572" t="s">
        <v>432</v>
      </c>
      <c r="F507" s="1150"/>
      <c r="G507" s="1151"/>
      <c r="H507" s="1152"/>
      <c r="I507" s="995" t="s">
        <v>716</v>
      </c>
      <c r="J507" s="996"/>
      <c r="K507" s="997"/>
      <c r="L507" s="99"/>
      <c r="M507" s="100"/>
    </row>
    <row r="508" spans="3:13">
      <c r="C508" s="90"/>
      <c r="D508" s="162"/>
      <c r="E508" s="573" t="s">
        <v>433</v>
      </c>
      <c r="F508" s="1169">
        <v>55</v>
      </c>
      <c r="G508" s="1170"/>
      <c r="H508" s="1171"/>
      <c r="I508" s="995"/>
      <c r="J508" s="996"/>
      <c r="K508" s="997"/>
      <c r="L508" s="99"/>
      <c r="M508" s="100"/>
    </row>
    <row r="509" spans="3:13" ht="20" thickBot="1">
      <c r="C509" s="90"/>
      <c r="D509" s="162"/>
      <c r="E509" s="573" t="s">
        <v>434</v>
      </c>
      <c r="F509" s="1169">
        <v>55.2</v>
      </c>
      <c r="G509" s="1170"/>
      <c r="H509" s="1171"/>
      <c r="I509" s="995"/>
      <c r="J509" s="996"/>
      <c r="K509" s="997"/>
      <c r="L509" s="99"/>
      <c r="M509" s="100"/>
    </row>
    <row r="510" spans="3:13" ht="20" thickBot="1">
      <c r="C510" s="90"/>
      <c r="D510" s="162"/>
      <c r="E510" s="574" t="s">
        <v>435</v>
      </c>
      <c r="F510" s="1160">
        <v>0.57291666666666674</v>
      </c>
      <c r="G510" s="1161"/>
      <c r="H510" s="1162"/>
      <c r="I510" s="995"/>
      <c r="J510" s="996"/>
      <c r="K510" s="997"/>
      <c r="L510" s="106">
        <v>0.80208333333333337</v>
      </c>
      <c r="M510" s="107">
        <v>0.69791666666666674</v>
      </c>
    </row>
    <row r="511" spans="3:13" ht="20" thickBot="1">
      <c r="C511" s="90"/>
      <c r="D511" s="162"/>
      <c r="E511" s="575" t="s">
        <v>436</v>
      </c>
      <c r="F511" s="264" t="s">
        <v>29</v>
      </c>
      <c r="G511" s="264" t="s">
        <v>28</v>
      </c>
      <c r="H511" s="265" t="s">
        <v>27</v>
      </c>
      <c r="I511" s="995"/>
      <c r="J511" s="996"/>
      <c r="K511" s="997"/>
      <c r="L511" s="99"/>
      <c r="M511" s="100"/>
    </row>
    <row r="512" spans="3:13">
      <c r="C512" s="90"/>
      <c r="D512" s="162"/>
      <c r="E512" s="576" t="s">
        <v>752</v>
      </c>
      <c r="F512" s="323">
        <v>55.2</v>
      </c>
      <c r="G512" s="323" t="s">
        <v>759</v>
      </c>
      <c r="H512" s="323">
        <v>55.7</v>
      </c>
      <c r="I512" s="995"/>
      <c r="J512" s="996"/>
      <c r="K512" s="997"/>
      <c r="L512" s="99"/>
      <c r="M512" s="100"/>
    </row>
    <row r="513" spans="3:13">
      <c r="C513" s="90"/>
      <c r="D513" s="162"/>
      <c r="E513" s="576" t="s">
        <v>499</v>
      </c>
      <c r="F513" s="323">
        <v>55.4</v>
      </c>
      <c r="G513" s="323" t="s">
        <v>585</v>
      </c>
      <c r="H513" s="323">
        <v>55.7</v>
      </c>
      <c r="I513" s="995"/>
      <c r="J513" s="996"/>
      <c r="K513" s="997"/>
      <c r="L513" s="99"/>
      <c r="M513" s="100"/>
    </row>
    <row r="514" spans="3:13">
      <c r="C514" s="90"/>
      <c r="D514" s="162"/>
      <c r="E514" s="576" t="s">
        <v>545</v>
      </c>
      <c r="F514" s="323">
        <v>55.7</v>
      </c>
      <c r="G514" s="323" t="s">
        <v>586</v>
      </c>
      <c r="H514" s="323">
        <v>55</v>
      </c>
      <c r="I514" s="995"/>
      <c r="J514" s="996"/>
      <c r="K514" s="997"/>
      <c r="L514" s="101"/>
      <c r="M514" s="100"/>
    </row>
    <row r="515" spans="3:13">
      <c r="C515" s="90"/>
      <c r="D515" s="162"/>
      <c r="E515" s="576" t="s">
        <v>503</v>
      </c>
      <c r="F515" s="323">
        <v>55.2</v>
      </c>
      <c r="G515" s="323" t="s">
        <v>587</v>
      </c>
      <c r="H515" s="323">
        <v>55</v>
      </c>
      <c r="I515" s="995"/>
      <c r="J515" s="996"/>
      <c r="K515" s="997"/>
      <c r="L515" s="99"/>
      <c r="M515" s="100"/>
    </row>
    <row r="516" spans="3:13">
      <c r="C516" s="90"/>
      <c r="D516" s="162"/>
      <c r="E516" s="576" t="s">
        <v>588</v>
      </c>
      <c r="F516" s="323">
        <v>55</v>
      </c>
      <c r="G516" s="323" t="s">
        <v>589</v>
      </c>
      <c r="H516" s="323">
        <v>55.3</v>
      </c>
      <c r="I516" s="995"/>
      <c r="J516" s="996"/>
      <c r="K516" s="997"/>
      <c r="L516" s="99"/>
      <c r="M516" s="100"/>
    </row>
    <row r="517" spans="3:13" ht="20" thickBot="1">
      <c r="C517" s="90"/>
      <c r="D517" s="162"/>
      <c r="E517" s="576" t="s">
        <v>505</v>
      </c>
      <c r="F517" s="323">
        <v>56</v>
      </c>
      <c r="G517" s="323" t="s">
        <v>590</v>
      </c>
      <c r="H517" s="323">
        <v>55.3</v>
      </c>
      <c r="I517" s="998"/>
      <c r="J517" s="999"/>
      <c r="K517" s="1000"/>
      <c r="L517" s="102"/>
      <c r="M517" s="103"/>
    </row>
    <row r="518" spans="3:13" ht="25" thickBot="1">
      <c r="C518" s="90"/>
      <c r="D518" s="88" t="s">
        <v>105</v>
      </c>
      <c r="E518" s="571" t="s">
        <v>30</v>
      </c>
      <c r="F518" s="1147" t="s">
        <v>717</v>
      </c>
      <c r="G518" s="1148"/>
      <c r="H518" s="1149"/>
      <c r="I518" s="1131" t="s">
        <v>633</v>
      </c>
      <c r="J518" s="1129"/>
      <c r="K518" s="1130"/>
      <c r="L518" s="104" t="s">
        <v>430</v>
      </c>
      <c r="M518" s="105" t="s">
        <v>431</v>
      </c>
    </row>
    <row r="519" spans="3:13">
      <c r="C519" s="90"/>
      <c r="D519" s="162"/>
      <c r="E519" s="572" t="s">
        <v>432</v>
      </c>
      <c r="F519" s="1150"/>
      <c r="G519" s="1151"/>
      <c r="H519" s="1152"/>
      <c r="I519" s="995" t="s">
        <v>719</v>
      </c>
      <c r="J519" s="996"/>
      <c r="K519" s="997"/>
      <c r="L519" s="99"/>
      <c r="M519" s="100"/>
    </row>
    <row r="520" spans="3:13">
      <c r="C520" s="90"/>
      <c r="D520" s="162"/>
      <c r="E520" s="573" t="s">
        <v>433</v>
      </c>
      <c r="F520" s="1178" t="s">
        <v>718</v>
      </c>
      <c r="G520" s="1179"/>
      <c r="H520" s="1180"/>
      <c r="I520" s="995"/>
      <c r="J520" s="996"/>
      <c r="K520" s="997"/>
      <c r="L520" s="99"/>
      <c r="M520" s="100"/>
    </row>
    <row r="521" spans="3:13" ht="20" thickBot="1">
      <c r="C521" s="90"/>
      <c r="D521" s="162"/>
      <c r="E521" s="573" t="s">
        <v>434</v>
      </c>
      <c r="F521" s="1178" t="s">
        <v>378</v>
      </c>
      <c r="G521" s="1179"/>
      <c r="H521" s="1180"/>
      <c r="I521" s="995"/>
      <c r="J521" s="996"/>
      <c r="K521" s="997"/>
      <c r="L521" s="99"/>
      <c r="M521" s="100"/>
    </row>
    <row r="522" spans="3:13" ht="20" thickBot="1">
      <c r="C522" s="90"/>
      <c r="D522" s="162"/>
      <c r="E522" s="574" t="s">
        <v>435</v>
      </c>
      <c r="F522" s="1160">
        <v>0.58333333333333337</v>
      </c>
      <c r="G522" s="1161"/>
      <c r="H522" s="1162"/>
      <c r="I522" s="995"/>
      <c r="J522" s="996"/>
      <c r="K522" s="997"/>
      <c r="L522" s="106">
        <v>0.8125</v>
      </c>
      <c r="M522" s="107">
        <v>0.70833333333333337</v>
      </c>
    </row>
    <row r="523" spans="3:13" ht="20" thickBot="1">
      <c r="C523" s="90"/>
      <c r="D523" s="162"/>
      <c r="E523" s="575" t="s">
        <v>436</v>
      </c>
      <c r="F523" s="264" t="s">
        <v>29</v>
      </c>
      <c r="G523" s="264" t="s">
        <v>28</v>
      </c>
      <c r="H523" s="265" t="s">
        <v>27</v>
      </c>
      <c r="I523" s="995"/>
      <c r="J523" s="996"/>
      <c r="K523" s="997"/>
      <c r="L523" s="99"/>
      <c r="M523" s="100"/>
    </row>
    <row r="524" spans="3:13">
      <c r="C524" s="90"/>
      <c r="D524" s="162"/>
      <c r="E524" s="576" t="s">
        <v>563</v>
      </c>
      <c r="F524" s="316" t="s">
        <v>378</v>
      </c>
      <c r="G524" s="316" t="s">
        <v>760</v>
      </c>
      <c r="H524" s="316" t="s">
        <v>761</v>
      </c>
      <c r="I524" s="995"/>
      <c r="J524" s="996"/>
      <c r="K524" s="997"/>
      <c r="L524" s="99"/>
      <c r="M524" s="100"/>
    </row>
    <row r="525" spans="3:13">
      <c r="C525" s="90"/>
      <c r="D525" s="162"/>
      <c r="E525" s="576" t="s">
        <v>480</v>
      </c>
      <c r="F525" s="316" t="s">
        <v>239</v>
      </c>
      <c r="G525" s="316" t="s">
        <v>762</v>
      </c>
      <c r="H525" s="316" t="s">
        <v>763</v>
      </c>
      <c r="I525" s="995"/>
      <c r="J525" s="996"/>
      <c r="K525" s="997"/>
      <c r="L525" s="99"/>
      <c r="M525" s="100"/>
    </row>
    <row r="526" spans="3:13">
      <c r="C526" s="90"/>
      <c r="D526" s="162"/>
      <c r="E526" s="576" t="s">
        <v>724</v>
      </c>
      <c r="F526" s="316" t="s">
        <v>241</v>
      </c>
      <c r="G526" s="316" t="s">
        <v>764</v>
      </c>
      <c r="H526" s="316" t="s">
        <v>765</v>
      </c>
      <c r="I526" s="995"/>
      <c r="J526" s="996"/>
      <c r="K526" s="997"/>
      <c r="L526" s="101"/>
      <c r="M526" s="100"/>
    </row>
    <row r="527" spans="3:13">
      <c r="C527" s="90"/>
      <c r="D527" s="162"/>
      <c r="E527" s="576" t="s">
        <v>766</v>
      </c>
      <c r="F527" s="316" t="s">
        <v>94</v>
      </c>
      <c r="G527" s="316" t="s">
        <v>767</v>
      </c>
      <c r="H527" s="316" t="s">
        <v>768</v>
      </c>
      <c r="I527" s="995"/>
      <c r="J527" s="996"/>
      <c r="K527" s="997"/>
      <c r="L527" s="99"/>
      <c r="M527" s="100"/>
    </row>
    <row r="528" spans="3:13">
      <c r="C528" s="90"/>
      <c r="D528" s="162"/>
      <c r="E528" s="576" t="s">
        <v>769</v>
      </c>
      <c r="F528" s="316" t="s">
        <v>770</v>
      </c>
      <c r="G528" s="316" t="s">
        <v>771</v>
      </c>
      <c r="H528" s="316" t="s">
        <v>772</v>
      </c>
      <c r="I528" s="995"/>
      <c r="J528" s="996"/>
      <c r="K528" s="997"/>
      <c r="L528" s="99"/>
      <c r="M528" s="100"/>
    </row>
    <row r="529" spans="3:13" ht="20" thickBot="1">
      <c r="C529" s="90"/>
      <c r="D529" s="162"/>
      <c r="E529" s="576" t="s">
        <v>773</v>
      </c>
      <c r="F529" s="316" t="s">
        <v>774</v>
      </c>
      <c r="G529" s="316" t="s">
        <v>775</v>
      </c>
      <c r="H529" s="316" t="s">
        <v>776</v>
      </c>
      <c r="I529" s="998"/>
      <c r="J529" s="999"/>
      <c r="K529" s="1000"/>
      <c r="L529" s="102"/>
      <c r="M529" s="103"/>
    </row>
    <row r="530" spans="3:13" ht="25" thickBot="1">
      <c r="C530" s="90"/>
      <c r="D530" s="88" t="s">
        <v>105</v>
      </c>
      <c r="E530" s="571" t="s">
        <v>30</v>
      </c>
      <c r="F530" s="1147" t="s">
        <v>720</v>
      </c>
      <c r="G530" s="1148"/>
      <c r="H530" s="1149"/>
      <c r="I530" s="1131" t="s">
        <v>633</v>
      </c>
      <c r="J530" s="1129"/>
      <c r="K530" s="1130"/>
      <c r="L530" s="104" t="s">
        <v>430</v>
      </c>
      <c r="M530" s="105" t="s">
        <v>431</v>
      </c>
    </row>
    <row r="531" spans="3:13">
      <c r="C531" s="90"/>
      <c r="D531" s="162"/>
      <c r="E531" s="572" t="s">
        <v>432</v>
      </c>
      <c r="F531" s="1150"/>
      <c r="G531" s="1151"/>
      <c r="H531" s="1152"/>
      <c r="I531" s="995" t="s">
        <v>721</v>
      </c>
      <c r="J531" s="996"/>
      <c r="K531" s="997"/>
      <c r="L531" s="99"/>
      <c r="M531" s="100"/>
    </row>
    <row r="532" spans="3:13">
      <c r="C532" s="90"/>
      <c r="D532" s="162"/>
      <c r="E532" s="573" t="s">
        <v>433</v>
      </c>
      <c r="F532" s="1178">
        <v>-1.0999999999999999E-2</v>
      </c>
      <c r="G532" s="1179"/>
      <c r="H532" s="1180"/>
      <c r="I532" s="995"/>
      <c r="J532" s="996"/>
      <c r="K532" s="997"/>
      <c r="L532" s="99"/>
      <c r="M532" s="100"/>
    </row>
    <row r="533" spans="3:13" ht="20" thickBot="1">
      <c r="C533" s="90"/>
      <c r="D533" s="162"/>
      <c r="E533" s="573" t="s">
        <v>434</v>
      </c>
      <c r="F533" s="1178">
        <v>0</v>
      </c>
      <c r="G533" s="1179"/>
      <c r="H533" s="1180"/>
      <c r="I533" s="995"/>
      <c r="J533" s="996"/>
      <c r="K533" s="997"/>
      <c r="L533" s="99"/>
      <c r="M533" s="100"/>
    </row>
    <row r="534" spans="3:13" ht="20" thickBot="1">
      <c r="C534" s="90"/>
      <c r="D534" s="162"/>
      <c r="E534" s="574" t="s">
        <v>435</v>
      </c>
      <c r="F534" s="1160">
        <v>0.52083333333333337</v>
      </c>
      <c r="G534" s="1161"/>
      <c r="H534" s="1162"/>
      <c r="I534" s="995"/>
      <c r="J534" s="996"/>
      <c r="K534" s="997"/>
      <c r="L534" s="106">
        <v>0.75</v>
      </c>
      <c r="M534" s="107">
        <v>0.64583333333333337</v>
      </c>
    </row>
    <row r="535" spans="3:13" ht="20" thickBot="1">
      <c r="C535" s="90"/>
      <c r="D535" s="162"/>
      <c r="E535" s="575" t="s">
        <v>436</v>
      </c>
      <c r="F535" s="264" t="s">
        <v>29</v>
      </c>
      <c r="G535" s="264" t="s">
        <v>28</v>
      </c>
      <c r="H535" s="265" t="s">
        <v>27</v>
      </c>
      <c r="I535" s="995"/>
      <c r="J535" s="996"/>
      <c r="K535" s="997"/>
      <c r="L535" s="99"/>
      <c r="M535" s="100"/>
    </row>
    <row r="536" spans="3:13">
      <c r="C536" s="90"/>
      <c r="D536" s="162"/>
      <c r="E536" s="576" t="s">
        <v>777</v>
      </c>
      <c r="F536" s="316">
        <v>0</v>
      </c>
      <c r="G536" s="316" t="s">
        <v>778</v>
      </c>
      <c r="H536" s="316">
        <v>9.9000000000000005E-2</v>
      </c>
      <c r="I536" s="995"/>
      <c r="J536" s="996"/>
      <c r="K536" s="997"/>
      <c r="L536" s="99"/>
      <c r="M536" s="100"/>
    </row>
    <row r="537" spans="3:13">
      <c r="C537" s="90"/>
      <c r="D537" s="162"/>
      <c r="E537" s="576" t="s">
        <v>779</v>
      </c>
      <c r="F537" s="316">
        <v>9.9000000000000005E-2</v>
      </c>
      <c r="G537" s="316" t="s">
        <v>630</v>
      </c>
      <c r="H537" s="316">
        <v>-6.9000000000000006E-2</v>
      </c>
      <c r="I537" s="995"/>
      <c r="J537" s="996"/>
      <c r="K537" s="997"/>
      <c r="L537" s="99"/>
      <c r="M537" s="100"/>
    </row>
    <row r="538" spans="3:13">
      <c r="C538" s="90"/>
      <c r="D538" s="162"/>
      <c r="E538" s="576" t="s">
        <v>780</v>
      </c>
      <c r="F538" s="316">
        <v>-6.6000000000000003E-2</v>
      </c>
      <c r="G538" s="316" t="s">
        <v>467</v>
      </c>
      <c r="H538" s="316">
        <v>1E-3</v>
      </c>
      <c r="I538" s="995"/>
      <c r="J538" s="996"/>
      <c r="K538" s="997"/>
      <c r="L538" s="101"/>
      <c r="M538" s="100"/>
    </row>
    <row r="539" spans="3:13">
      <c r="C539" s="90"/>
      <c r="D539" s="162"/>
      <c r="E539" s="576" t="s">
        <v>781</v>
      </c>
      <c r="F539" s="316">
        <v>1E-3</v>
      </c>
      <c r="G539" s="316" t="s">
        <v>782</v>
      </c>
      <c r="H539" s="316">
        <v>2E-3</v>
      </c>
      <c r="I539" s="995"/>
      <c r="J539" s="996"/>
      <c r="K539" s="997"/>
      <c r="L539" s="99"/>
      <c r="M539" s="100"/>
    </row>
    <row r="540" spans="3:13">
      <c r="C540" s="90"/>
      <c r="D540" s="162"/>
      <c r="E540" s="576" t="s">
        <v>783</v>
      </c>
      <c r="F540" s="316">
        <v>7.0000000000000001E-3</v>
      </c>
      <c r="G540" s="316" t="s">
        <v>784</v>
      </c>
      <c r="H540" s="316">
        <v>8.0000000000000002E-3</v>
      </c>
      <c r="I540" s="995"/>
      <c r="J540" s="996"/>
      <c r="K540" s="997"/>
      <c r="L540" s="99"/>
      <c r="M540" s="100"/>
    </row>
    <row r="541" spans="3:13" ht="20" thickBot="1">
      <c r="C541" s="90"/>
      <c r="D541" s="162"/>
      <c r="E541" s="576" t="s">
        <v>785</v>
      </c>
      <c r="F541" s="316">
        <v>2.5999999999999999E-2</v>
      </c>
      <c r="G541" s="316" t="s">
        <v>495</v>
      </c>
      <c r="H541" s="316">
        <v>7.0000000000000001E-3</v>
      </c>
      <c r="I541" s="998"/>
      <c r="J541" s="999"/>
      <c r="K541" s="1000"/>
      <c r="L541" s="102"/>
      <c r="M541" s="103"/>
    </row>
    <row r="542" spans="3:13" ht="25" thickBot="1">
      <c r="C542" s="90"/>
      <c r="D542" s="88" t="s">
        <v>105</v>
      </c>
      <c r="E542" s="571" t="s">
        <v>30</v>
      </c>
      <c r="F542" s="1147" t="s">
        <v>786</v>
      </c>
      <c r="G542" s="1148"/>
      <c r="H542" s="1149"/>
      <c r="I542" s="1131" t="s">
        <v>633</v>
      </c>
      <c r="J542" s="1129"/>
      <c r="K542" s="1130"/>
      <c r="L542" s="104" t="s">
        <v>430</v>
      </c>
      <c r="M542" s="105" t="s">
        <v>431</v>
      </c>
    </row>
    <row r="543" spans="3:13">
      <c r="C543" s="90"/>
      <c r="D543" s="162"/>
      <c r="E543" s="572" t="s">
        <v>432</v>
      </c>
      <c r="F543" s="1150"/>
      <c r="G543" s="1151"/>
      <c r="H543" s="1152"/>
      <c r="I543" s="995">
        <v>0</v>
      </c>
      <c r="J543" s="996"/>
      <c r="K543" s="997"/>
      <c r="L543" s="99"/>
      <c r="M543" s="100"/>
    </row>
    <row r="544" spans="3:13">
      <c r="C544" s="90"/>
      <c r="D544" s="162"/>
      <c r="E544" s="573" t="s">
        <v>433</v>
      </c>
      <c r="F544" s="1178" t="s">
        <v>787</v>
      </c>
      <c r="G544" s="1179"/>
      <c r="H544" s="1180"/>
      <c r="I544" s="995"/>
      <c r="J544" s="996"/>
      <c r="K544" s="997"/>
      <c r="L544" s="99"/>
      <c r="M544" s="100"/>
    </row>
    <row r="545" spans="3:13" ht="20" thickBot="1">
      <c r="C545" s="90"/>
      <c r="D545" s="162"/>
      <c r="E545" s="573" t="s">
        <v>434</v>
      </c>
      <c r="F545" s="1178" t="s">
        <v>788</v>
      </c>
      <c r="G545" s="1179"/>
      <c r="H545" s="1180"/>
      <c r="I545" s="995"/>
      <c r="J545" s="996"/>
      <c r="K545" s="997"/>
      <c r="L545" s="99"/>
      <c r="M545" s="100"/>
    </row>
    <row r="546" spans="3:13" ht="20" thickBot="1">
      <c r="C546" s="90"/>
      <c r="D546" s="162"/>
      <c r="E546" s="574" t="s">
        <v>435</v>
      </c>
      <c r="F546" s="1156">
        <v>0.97916666666666663</v>
      </c>
      <c r="G546" s="1157"/>
      <c r="H546" s="1158"/>
      <c r="I546" s="995"/>
      <c r="J546" s="996"/>
      <c r="K546" s="997"/>
      <c r="L546" s="106">
        <v>0.20833333333333334</v>
      </c>
      <c r="M546" s="107">
        <v>0.10416666666666667</v>
      </c>
    </row>
    <row r="547" spans="3:13" ht="20" thickBot="1">
      <c r="C547" s="90"/>
      <c r="D547" s="162"/>
      <c r="E547" s="575" t="s">
        <v>436</v>
      </c>
      <c r="F547" s="264" t="s">
        <v>29</v>
      </c>
      <c r="G547" s="264" t="s">
        <v>28</v>
      </c>
      <c r="H547" s="265" t="s">
        <v>27</v>
      </c>
      <c r="I547" s="995"/>
      <c r="J547" s="996"/>
      <c r="K547" s="997"/>
      <c r="L547" s="99"/>
      <c r="M547" s="100"/>
    </row>
    <row r="548" spans="3:13">
      <c r="C548" s="90"/>
      <c r="D548" s="162"/>
      <c r="E548" s="593">
        <v>45560</v>
      </c>
      <c r="F548" s="316">
        <v>0.02</v>
      </c>
      <c r="G548" s="316" t="s">
        <v>788</v>
      </c>
      <c r="H548" s="316">
        <v>2.4E-2</v>
      </c>
      <c r="I548" s="995"/>
      <c r="J548" s="996"/>
      <c r="K548" s="997"/>
      <c r="L548" s="99"/>
      <c r="M548" s="100"/>
    </row>
    <row r="549" spans="3:13">
      <c r="C549" s="90"/>
      <c r="D549" s="162"/>
      <c r="E549" s="593">
        <v>45529</v>
      </c>
      <c r="F549" s="316">
        <v>2.4E-2</v>
      </c>
      <c r="G549" s="316" t="s">
        <v>490</v>
      </c>
      <c r="H549" s="316">
        <v>2.1999999999999999E-2</v>
      </c>
      <c r="I549" s="995"/>
      <c r="J549" s="996"/>
      <c r="K549" s="997"/>
      <c r="L549" s="99"/>
      <c r="M549" s="100"/>
    </row>
    <row r="550" spans="3:13">
      <c r="C550" s="90"/>
      <c r="D550" s="162"/>
      <c r="E550" s="593">
        <v>45497</v>
      </c>
      <c r="F550" s="316">
        <v>2.1999999999999999E-2</v>
      </c>
      <c r="G550" s="316" t="s">
        <v>490</v>
      </c>
      <c r="H550" s="316">
        <v>2.1000000000000001E-2</v>
      </c>
      <c r="I550" s="995"/>
      <c r="J550" s="996"/>
      <c r="K550" s="997"/>
      <c r="L550" s="101"/>
      <c r="M550" s="100"/>
    </row>
    <row r="551" spans="3:13">
      <c r="C551" s="90"/>
      <c r="D551" s="162"/>
      <c r="E551" s="593">
        <v>45469</v>
      </c>
      <c r="F551" s="316">
        <v>2.1000000000000001E-2</v>
      </c>
      <c r="G551" s="316" t="s">
        <v>788</v>
      </c>
      <c r="H551" s="316">
        <v>1.9E-2</v>
      </c>
      <c r="I551" s="995"/>
      <c r="J551" s="996"/>
      <c r="K551" s="997"/>
      <c r="L551" s="99"/>
      <c r="M551" s="100"/>
    </row>
    <row r="552" spans="3:13">
      <c r="C552" s="90"/>
      <c r="D552" s="162"/>
      <c r="E552" s="593">
        <v>45441</v>
      </c>
      <c r="F552" s="316">
        <v>1.9E-2</v>
      </c>
      <c r="G552" s="316" t="s">
        <v>789</v>
      </c>
      <c r="H552" s="316">
        <v>1.6E-2</v>
      </c>
      <c r="I552" s="995"/>
      <c r="J552" s="996"/>
      <c r="K552" s="997"/>
      <c r="L552" s="99"/>
      <c r="M552" s="100"/>
    </row>
    <row r="553" spans="3:13" ht="20" thickBot="1">
      <c r="C553" s="90"/>
      <c r="D553" s="162"/>
      <c r="E553" s="594">
        <v>45406</v>
      </c>
      <c r="F553" s="318">
        <v>1.6E-2</v>
      </c>
      <c r="G553" s="318" t="s">
        <v>490</v>
      </c>
      <c r="H553" s="318">
        <v>2.4E-2</v>
      </c>
      <c r="I553" s="998"/>
      <c r="J553" s="999"/>
      <c r="K553" s="1000"/>
      <c r="L553" s="102"/>
      <c r="M553" s="103"/>
    </row>
    <row r="554" spans="3:13" ht="25" thickBot="1">
      <c r="C554" s="90"/>
      <c r="D554" s="90" t="s">
        <v>105</v>
      </c>
      <c r="E554" s="571" t="s">
        <v>30</v>
      </c>
      <c r="F554" s="1147" t="s">
        <v>817</v>
      </c>
      <c r="G554" s="1148"/>
      <c r="H554" s="1149"/>
      <c r="I554" s="1131" t="s">
        <v>633</v>
      </c>
      <c r="J554" s="1129"/>
      <c r="K554" s="1130"/>
      <c r="L554" s="158" t="s">
        <v>430</v>
      </c>
      <c r="M554" s="105" t="s">
        <v>431</v>
      </c>
    </row>
    <row r="555" spans="3:13">
      <c r="C555" s="90"/>
      <c r="D555" s="90"/>
      <c r="E555" s="572" t="s">
        <v>432</v>
      </c>
      <c r="F555" s="1150"/>
      <c r="G555" s="1151"/>
      <c r="H555" s="1152"/>
      <c r="I555" s="995" t="s">
        <v>818</v>
      </c>
      <c r="J555" s="996"/>
      <c r="K555" s="997"/>
      <c r="L555" s="99"/>
      <c r="M555" s="100"/>
    </row>
    <row r="556" spans="3:13">
      <c r="C556" s="90"/>
      <c r="D556" s="90"/>
      <c r="E556" s="573" t="s">
        <v>433</v>
      </c>
      <c r="F556" s="1153">
        <v>99.2</v>
      </c>
      <c r="G556" s="1154"/>
      <c r="H556" s="1155"/>
      <c r="I556" s="995"/>
      <c r="J556" s="996"/>
      <c r="K556" s="997"/>
      <c r="L556" s="99"/>
      <c r="M556" s="100"/>
    </row>
    <row r="557" spans="3:13" ht="20" thickBot="1">
      <c r="C557" s="90"/>
      <c r="D557" s="90"/>
      <c r="E557" s="573" t="s">
        <v>434</v>
      </c>
      <c r="F557" s="1153">
        <v>98.7</v>
      </c>
      <c r="G557" s="1154"/>
      <c r="H557" s="1155"/>
      <c r="I557" s="995"/>
      <c r="J557" s="996"/>
      <c r="K557" s="997"/>
      <c r="L557" s="99"/>
      <c r="M557" s="100"/>
    </row>
    <row r="558" spans="3:13" ht="20" thickBot="1">
      <c r="C558" s="90"/>
      <c r="D558" s="90"/>
      <c r="E558" s="574" t="s">
        <v>435</v>
      </c>
      <c r="F558" s="1160">
        <v>0.58333333333333337</v>
      </c>
      <c r="G558" s="1161"/>
      <c r="H558" s="1162"/>
      <c r="I558" s="995"/>
      <c r="J558" s="996"/>
      <c r="K558" s="997"/>
      <c r="L558" s="106">
        <v>0.8125</v>
      </c>
      <c r="M558" s="107">
        <v>0.70833333333333337</v>
      </c>
    </row>
    <row r="559" spans="3:13" ht="20" thickBot="1">
      <c r="C559" s="90"/>
      <c r="D559" s="90"/>
      <c r="E559" s="575" t="s">
        <v>436</v>
      </c>
      <c r="F559" s="264" t="s">
        <v>29</v>
      </c>
      <c r="G559" s="264" t="s">
        <v>28</v>
      </c>
      <c r="H559" s="265" t="s">
        <v>27</v>
      </c>
      <c r="I559" s="995"/>
      <c r="J559" s="996"/>
      <c r="K559" s="997"/>
      <c r="L559" s="99"/>
      <c r="M559" s="100"/>
    </row>
    <row r="560" spans="3:13">
      <c r="C560" s="90"/>
      <c r="D560" s="90"/>
      <c r="E560" s="576">
        <v>45559</v>
      </c>
      <c r="F560" s="577">
        <v>98.7</v>
      </c>
      <c r="G560" s="577" t="s">
        <v>874</v>
      </c>
      <c r="H560" s="577">
        <v>105.6</v>
      </c>
      <c r="I560" s="995"/>
      <c r="J560" s="996"/>
      <c r="K560" s="997"/>
      <c r="L560" s="99"/>
      <c r="M560" s="100"/>
    </row>
    <row r="561" spans="3:13">
      <c r="C561" s="90"/>
      <c r="D561" s="90"/>
      <c r="E561" s="576">
        <v>45531</v>
      </c>
      <c r="F561" s="577">
        <v>103.3</v>
      </c>
      <c r="G561" s="577" t="s">
        <v>875</v>
      </c>
      <c r="H561" s="577">
        <v>101.9</v>
      </c>
      <c r="I561" s="995"/>
      <c r="J561" s="996"/>
      <c r="K561" s="997"/>
      <c r="L561" s="99"/>
      <c r="M561" s="100"/>
    </row>
    <row r="562" spans="3:13">
      <c r="C562" s="90"/>
      <c r="D562" s="90"/>
      <c r="E562" s="576">
        <v>45503</v>
      </c>
      <c r="F562" s="577">
        <v>100.3</v>
      </c>
      <c r="G562" s="577" t="s">
        <v>876</v>
      </c>
      <c r="H562" s="577">
        <v>97.8</v>
      </c>
      <c r="I562" s="995"/>
      <c r="J562" s="996"/>
      <c r="K562" s="997"/>
      <c r="L562" s="101"/>
      <c r="M562" s="100"/>
    </row>
    <row r="563" spans="3:13">
      <c r="C563" s="90"/>
      <c r="D563" s="90"/>
      <c r="E563" s="576">
        <v>45468</v>
      </c>
      <c r="F563" s="577">
        <v>100.4</v>
      </c>
      <c r="G563" s="577" t="s">
        <v>877</v>
      </c>
      <c r="H563" s="577">
        <v>101.3</v>
      </c>
      <c r="I563" s="995"/>
      <c r="J563" s="996"/>
      <c r="K563" s="997"/>
      <c r="L563" s="99"/>
      <c r="M563" s="100"/>
    </row>
    <row r="564" spans="3:13">
      <c r="C564" s="90"/>
      <c r="D564" s="90"/>
      <c r="E564" s="576">
        <v>45440</v>
      </c>
      <c r="F564" s="577">
        <v>102</v>
      </c>
      <c r="G564" s="577" t="s">
        <v>878</v>
      </c>
      <c r="H564" s="577">
        <v>97.5</v>
      </c>
      <c r="I564" s="995"/>
      <c r="J564" s="996"/>
      <c r="K564" s="997"/>
      <c r="L564" s="99"/>
      <c r="M564" s="100"/>
    </row>
    <row r="565" spans="3:13" ht="20" thickBot="1">
      <c r="C565" s="90"/>
      <c r="D565" s="90"/>
      <c r="E565" s="576">
        <v>45412</v>
      </c>
      <c r="F565" s="577">
        <v>97</v>
      </c>
      <c r="G565" s="577" t="s">
        <v>879</v>
      </c>
      <c r="H565" s="577">
        <v>103.1</v>
      </c>
      <c r="I565" s="998"/>
      <c r="J565" s="999"/>
      <c r="K565" s="1000"/>
      <c r="L565" s="102"/>
      <c r="M565" s="103"/>
    </row>
    <row r="566" spans="3:13" ht="25" thickBot="1">
      <c r="C566" s="90"/>
      <c r="D566" s="90" t="s">
        <v>105</v>
      </c>
      <c r="E566" s="571" t="s">
        <v>30</v>
      </c>
      <c r="F566" s="1147" t="s">
        <v>819</v>
      </c>
      <c r="G566" s="1148"/>
      <c r="H566" s="1149"/>
      <c r="I566" s="1131" t="s">
        <v>633</v>
      </c>
      <c r="J566" s="1129"/>
      <c r="K566" s="1130"/>
      <c r="L566" s="158" t="s">
        <v>430</v>
      </c>
      <c r="M566" s="105" t="s">
        <v>431</v>
      </c>
    </row>
    <row r="567" spans="3:13">
      <c r="C567" s="90"/>
      <c r="D567" s="90"/>
      <c r="E567" s="572" t="s">
        <v>432</v>
      </c>
      <c r="F567" s="1150"/>
      <c r="G567" s="1151"/>
      <c r="H567" s="1152"/>
      <c r="I567" s="995" t="s">
        <v>821</v>
      </c>
      <c r="J567" s="996"/>
      <c r="K567" s="997"/>
      <c r="L567" s="99"/>
      <c r="M567" s="100"/>
    </row>
    <row r="568" spans="3:13">
      <c r="C568" s="90"/>
      <c r="D568" s="90"/>
      <c r="E568" s="573" t="s">
        <v>433</v>
      </c>
      <c r="F568" s="1163" t="s">
        <v>820</v>
      </c>
      <c r="G568" s="1164"/>
      <c r="H568" s="1165"/>
      <c r="I568" s="995"/>
      <c r="J568" s="996"/>
      <c r="K568" s="997"/>
      <c r="L568" s="99"/>
      <c r="M568" s="100"/>
    </row>
    <row r="569" spans="3:13" ht="20" thickBot="1">
      <c r="C569" s="90"/>
      <c r="D569" s="90"/>
      <c r="E569" s="573" t="s">
        <v>434</v>
      </c>
      <c r="F569" s="1163" t="s">
        <v>634</v>
      </c>
      <c r="G569" s="1164"/>
      <c r="H569" s="1165"/>
      <c r="I569" s="995"/>
      <c r="J569" s="996"/>
      <c r="K569" s="997"/>
      <c r="L569" s="99"/>
      <c r="M569" s="100"/>
    </row>
    <row r="570" spans="3:13" ht="20" thickBot="1">
      <c r="C570" s="90"/>
      <c r="D570" s="90"/>
      <c r="E570" s="574" t="s">
        <v>435</v>
      </c>
      <c r="F570" s="1160">
        <v>0.58333333333333337</v>
      </c>
      <c r="G570" s="1161"/>
      <c r="H570" s="1162"/>
      <c r="I570" s="995"/>
      <c r="J570" s="996"/>
      <c r="K570" s="997"/>
      <c r="L570" s="106">
        <v>0.8125</v>
      </c>
      <c r="M570" s="107">
        <v>0.70833333333333337</v>
      </c>
    </row>
    <row r="571" spans="3:13" ht="20" thickBot="1">
      <c r="C571" s="90"/>
      <c r="D571" s="90"/>
      <c r="E571" s="575" t="s">
        <v>436</v>
      </c>
      <c r="F571" s="264" t="s">
        <v>29</v>
      </c>
      <c r="G571" s="264" t="s">
        <v>28</v>
      </c>
      <c r="H571" s="265" t="s">
        <v>27</v>
      </c>
      <c r="I571" s="995"/>
      <c r="J571" s="996"/>
      <c r="K571" s="997"/>
      <c r="L571" s="99"/>
      <c r="M571" s="100"/>
    </row>
    <row r="572" spans="3:13">
      <c r="C572" s="90"/>
      <c r="D572" s="90"/>
      <c r="E572" s="576">
        <v>45566</v>
      </c>
      <c r="F572" s="316" t="s">
        <v>634</v>
      </c>
      <c r="G572" s="316" t="s">
        <v>880</v>
      </c>
      <c r="H572" s="316" t="s">
        <v>881</v>
      </c>
      <c r="I572" s="995"/>
      <c r="J572" s="996"/>
      <c r="K572" s="997"/>
      <c r="L572" s="99"/>
      <c r="M572" s="100"/>
    </row>
    <row r="573" spans="3:13">
      <c r="C573" s="90"/>
      <c r="D573" s="90"/>
      <c r="E573" s="576">
        <v>45539</v>
      </c>
      <c r="F573" s="316" t="s">
        <v>403</v>
      </c>
      <c r="G573" s="316" t="s">
        <v>527</v>
      </c>
      <c r="H573" s="316" t="s">
        <v>528</v>
      </c>
      <c r="I573" s="995"/>
      <c r="J573" s="996"/>
      <c r="K573" s="997"/>
      <c r="L573" s="99"/>
      <c r="M573" s="100"/>
    </row>
    <row r="574" spans="3:13">
      <c r="C574" s="90"/>
      <c r="D574" s="90"/>
      <c r="E574" s="576">
        <v>45503</v>
      </c>
      <c r="F574" s="316" t="s">
        <v>279</v>
      </c>
      <c r="G574" s="316" t="s">
        <v>530</v>
      </c>
      <c r="H574" s="316" t="s">
        <v>531</v>
      </c>
      <c r="I574" s="995"/>
      <c r="J574" s="996"/>
      <c r="K574" s="997"/>
      <c r="L574" s="101"/>
      <c r="M574" s="100"/>
    </row>
    <row r="575" spans="3:13">
      <c r="C575" s="90"/>
      <c r="D575" s="90"/>
      <c r="E575" s="576">
        <v>45475</v>
      </c>
      <c r="F575" s="316" t="s">
        <v>111</v>
      </c>
      <c r="G575" s="316" t="s">
        <v>532</v>
      </c>
      <c r="H575" s="316" t="s">
        <v>533</v>
      </c>
      <c r="I575" s="995"/>
      <c r="J575" s="996"/>
      <c r="K575" s="997"/>
      <c r="L575" s="99"/>
      <c r="M575" s="100"/>
    </row>
    <row r="576" spans="3:13">
      <c r="C576" s="90"/>
      <c r="D576" s="90"/>
      <c r="E576" s="576">
        <v>45447</v>
      </c>
      <c r="F576" s="316" t="s">
        <v>18</v>
      </c>
      <c r="G576" s="316" t="s">
        <v>535</v>
      </c>
      <c r="H576" s="316" t="s">
        <v>536</v>
      </c>
      <c r="I576" s="995"/>
      <c r="J576" s="996"/>
      <c r="K576" s="997"/>
      <c r="L576" s="99"/>
      <c r="M576" s="100"/>
    </row>
    <row r="577" spans="3:13" ht="20" thickBot="1">
      <c r="C577" s="90"/>
      <c r="D577" s="90"/>
      <c r="E577" s="576">
        <v>45413</v>
      </c>
      <c r="F577" s="316" t="s">
        <v>537</v>
      </c>
      <c r="G577" s="316" t="s">
        <v>538</v>
      </c>
      <c r="H577" s="316" t="s">
        <v>539</v>
      </c>
      <c r="I577" s="998"/>
      <c r="J577" s="999"/>
      <c r="K577" s="1000"/>
      <c r="L577" s="102"/>
      <c r="M577" s="103"/>
    </row>
    <row r="578" spans="3:13" ht="25" thickBot="1">
      <c r="C578" s="90"/>
      <c r="D578" s="90" t="s">
        <v>105</v>
      </c>
      <c r="E578" s="571" t="s">
        <v>30</v>
      </c>
      <c r="F578" s="1147" t="s">
        <v>824</v>
      </c>
      <c r="G578" s="1148"/>
      <c r="H578" s="1149"/>
      <c r="I578" s="1131" t="s">
        <v>633</v>
      </c>
      <c r="J578" s="1129"/>
      <c r="K578" s="1130"/>
      <c r="L578" s="158" t="s">
        <v>430</v>
      </c>
      <c r="M578" s="105" t="s">
        <v>431</v>
      </c>
    </row>
    <row r="579" spans="3:13">
      <c r="C579" s="90"/>
      <c r="D579" s="90"/>
      <c r="E579" s="572" t="s">
        <v>432</v>
      </c>
      <c r="F579" s="1150"/>
      <c r="G579" s="1151"/>
      <c r="H579" s="1152"/>
      <c r="I579" s="1032" t="s">
        <v>825</v>
      </c>
      <c r="J579" s="1033"/>
      <c r="K579" s="1034"/>
      <c r="L579" s="99"/>
      <c r="M579" s="100"/>
    </row>
    <row r="580" spans="3:13">
      <c r="C580" s="90"/>
      <c r="D580" s="90"/>
      <c r="E580" s="573" t="s">
        <v>433</v>
      </c>
      <c r="F580" s="1163">
        <v>2.3E-2</v>
      </c>
      <c r="G580" s="1164"/>
      <c r="H580" s="1165"/>
      <c r="I580" s="1032"/>
      <c r="J580" s="1033"/>
      <c r="K580" s="1034"/>
      <c r="L580" s="99"/>
      <c r="M580" s="100"/>
    </row>
    <row r="581" spans="3:13" ht="20" thickBot="1">
      <c r="C581" s="90"/>
      <c r="D581" s="90"/>
      <c r="E581" s="573" t="s">
        <v>434</v>
      </c>
      <c r="F581" s="1163">
        <v>3.7999999999999999E-2</v>
      </c>
      <c r="G581" s="1164"/>
      <c r="H581" s="1165"/>
      <c r="I581" s="1032"/>
      <c r="J581" s="1033"/>
      <c r="K581" s="1034"/>
      <c r="L581" s="99"/>
      <c r="M581" s="100"/>
    </row>
    <row r="582" spans="3:13" ht="20" thickBot="1">
      <c r="C582" s="90"/>
      <c r="D582" s="90"/>
      <c r="E582" s="574" t="s">
        <v>435</v>
      </c>
      <c r="F582" s="1160">
        <v>2.0833333333333343E-2</v>
      </c>
      <c r="G582" s="1161"/>
      <c r="H582" s="1162"/>
      <c r="I582" s="1032"/>
      <c r="J582" s="1033"/>
      <c r="K582" s="1034"/>
      <c r="L582" s="106">
        <v>0.25</v>
      </c>
      <c r="M582" s="107">
        <v>0.14583333333333331</v>
      </c>
    </row>
    <row r="583" spans="3:13" ht="20" thickBot="1">
      <c r="C583" s="90"/>
      <c r="D583" s="90"/>
      <c r="E583" s="575" t="s">
        <v>436</v>
      </c>
      <c r="F583" s="264" t="s">
        <v>29</v>
      </c>
      <c r="G583" s="264" t="s">
        <v>28</v>
      </c>
      <c r="H583" s="265" t="s">
        <v>27</v>
      </c>
      <c r="I583" s="1032"/>
      <c r="J583" s="1033"/>
      <c r="K583" s="1034"/>
      <c r="L583" s="99"/>
      <c r="M583" s="100"/>
    </row>
    <row r="584" spans="3:13">
      <c r="C584" s="90"/>
      <c r="D584" s="90">
        <v>1</v>
      </c>
      <c r="E584" s="576">
        <v>45504</v>
      </c>
      <c r="F584" s="595">
        <v>3.7999999999999999E-2</v>
      </c>
      <c r="G584" s="595" t="s">
        <v>632</v>
      </c>
      <c r="H584" s="595">
        <v>3.5999999999999997E-2</v>
      </c>
      <c r="I584" s="1032"/>
      <c r="J584" s="1033"/>
      <c r="K584" s="1034"/>
      <c r="L584" s="99"/>
      <c r="M584" s="100"/>
    </row>
    <row r="585" spans="3:13">
      <c r="C585" s="90"/>
      <c r="D585" s="90"/>
      <c r="E585" s="576">
        <v>45406</v>
      </c>
      <c r="F585" s="595">
        <v>3.5999999999999997E-2</v>
      </c>
      <c r="G585" s="595" t="s">
        <v>882</v>
      </c>
      <c r="H585" s="595">
        <v>4.1000000000000002E-2</v>
      </c>
      <c r="I585" s="1032"/>
      <c r="J585" s="1033"/>
      <c r="K585" s="1034"/>
      <c r="L585" s="99"/>
      <c r="M585" s="100"/>
    </row>
    <row r="586" spans="3:13">
      <c r="C586" s="90"/>
      <c r="D586" s="90">
        <v>1</v>
      </c>
      <c r="E586" s="576">
        <v>45322</v>
      </c>
      <c r="F586" s="595">
        <v>4.1000000000000002E-2</v>
      </c>
      <c r="G586" s="595" t="s">
        <v>883</v>
      </c>
      <c r="H586" s="595">
        <v>5.3999999999999999E-2</v>
      </c>
      <c r="I586" s="1032"/>
      <c r="J586" s="1033"/>
      <c r="K586" s="1034"/>
      <c r="L586" s="101"/>
      <c r="M586" s="100"/>
    </row>
    <row r="587" spans="3:13">
      <c r="C587" s="90"/>
      <c r="D587" s="90">
        <v>1</v>
      </c>
      <c r="E587" s="576">
        <v>45224</v>
      </c>
      <c r="F587" s="595">
        <v>5.3999999999999999E-2</v>
      </c>
      <c r="G587" s="595" t="s">
        <v>884</v>
      </c>
      <c r="H587" s="595">
        <v>0.06</v>
      </c>
      <c r="I587" s="1032"/>
      <c r="J587" s="1033"/>
      <c r="K587" s="1034"/>
      <c r="L587" s="99"/>
      <c r="M587" s="100"/>
    </row>
    <row r="588" spans="3:13">
      <c r="C588" s="90"/>
      <c r="D588" s="90">
        <v>1</v>
      </c>
      <c r="E588" s="576">
        <v>45133</v>
      </c>
      <c r="F588" s="595">
        <v>0.06</v>
      </c>
      <c r="G588" s="595" t="s">
        <v>885</v>
      </c>
      <c r="H588" s="595">
        <v>7.0000000000000007E-2</v>
      </c>
      <c r="I588" s="1032"/>
      <c r="J588" s="1033"/>
      <c r="K588" s="1034"/>
      <c r="L588" s="99"/>
      <c r="M588" s="100"/>
    </row>
    <row r="589" spans="3:13" ht="20" thickBot="1">
      <c r="C589" s="90"/>
      <c r="D589" s="90">
        <v>1</v>
      </c>
      <c r="E589" s="576">
        <v>45042</v>
      </c>
      <c r="F589" s="595">
        <v>7.0000000000000007E-2</v>
      </c>
      <c r="G589" s="595" t="s">
        <v>886</v>
      </c>
      <c r="H589" s="595">
        <v>7.8E-2</v>
      </c>
      <c r="I589" s="1035"/>
      <c r="J589" s="1036"/>
      <c r="K589" s="1037"/>
      <c r="L589" s="102"/>
      <c r="M589" s="103"/>
    </row>
    <row r="590" spans="3:13" ht="25" thickBot="1">
      <c r="C590" s="90"/>
      <c r="D590" s="88" t="s">
        <v>105</v>
      </c>
      <c r="E590" s="571" t="s">
        <v>30</v>
      </c>
      <c r="F590" s="1147" t="s">
        <v>826</v>
      </c>
      <c r="G590" s="1148"/>
      <c r="H590" s="1149"/>
      <c r="I590" s="1131" t="s">
        <v>633</v>
      </c>
      <c r="J590" s="1129"/>
      <c r="K590" s="1130"/>
      <c r="L590" s="158" t="s">
        <v>430</v>
      </c>
      <c r="M590" s="105" t="s">
        <v>431</v>
      </c>
    </row>
    <row r="591" spans="3:13">
      <c r="C591" s="90"/>
      <c r="D591" s="162"/>
      <c r="E591" s="572" t="s">
        <v>432</v>
      </c>
      <c r="F591" s="1150"/>
      <c r="G591" s="1151"/>
      <c r="H591" s="1152"/>
      <c r="I591" s="995" t="s">
        <v>827</v>
      </c>
      <c r="J591" s="996"/>
      <c r="K591" s="997"/>
      <c r="L591" s="99"/>
      <c r="M591" s="100"/>
    </row>
    <row r="592" spans="3:13">
      <c r="C592" s="90"/>
      <c r="D592" s="162"/>
      <c r="E592" s="573" t="s">
        <v>433</v>
      </c>
      <c r="F592" s="1163"/>
      <c r="G592" s="1164"/>
      <c r="H592" s="1165"/>
      <c r="I592" s="995"/>
      <c r="J592" s="996"/>
      <c r="K592" s="997"/>
      <c r="L592" s="99"/>
      <c r="M592" s="100"/>
    </row>
    <row r="593" spans="3:13" ht="20" thickBot="1">
      <c r="C593" s="90"/>
      <c r="D593" s="162"/>
      <c r="E593" s="573" t="s">
        <v>434</v>
      </c>
      <c r="F593" s="1163">
        <v>-1E-3</v>
      </c>
      <c r="G593" s="1164"/>
      <c r="H593" s="1165"/>
      <c r="I593" s="995"/>
      <c r="J593" s="996"/>
      <c r="K593" s="997"/>
      <c r="L593" s="99"/>
      <c r="M593" s="100"/>
    </row>
    <row r="594" spans="3:13" ht="20" thickBot="1">
      <c r="C594" s="90"/>
      <c r="D594" s="162"/>
      <c r="E594" s="574" t="s">
        <v>435</v>
      </c>
      <c r="F594" s="1160">
        <v>0.375</v>
      </c>
      <c r="G594" s="1161"/>
      <c r="H594" s="1162"/>
      <c r="I594" s="995"/>
      <c r="J594" s="996"/>
      <c r="K594" s="997"/>
      <c r="L594" s="106">
        <v>0.60416666666666663</v>
      </c>
      <c r="M594" s="107">
        <v>0.49999999999999994</v>
      </c>
    </row>
    <row r="595" spans="3:13" ht="20" thickBot="1">
      <c r="C595" s="90"/>
      <c r="D595" s="162"/>
      <c r="E595" s="575" t="s">
        <v>436</v>
      </c>
      <c r="F595" s="264" t="s">
        <v>29</v>
      </c>
      <c r="G595" s="264" t="s">
        <v>28</v>
      </c>
      <c r="H595" s="265" t="s">
        <v>27</v>
      </c>
      <c r="I595" s="995"/>
      <c r="J595" s="996"/>
      <c r="K595" s="997"/>
      <c r="L595" s="99"/>
      <c r="M595" s="100"/>
    </row>
    <row r="596" spans="3:13">
      <c r="C596" s="90"/>
      <c r="D596" s="162"/>
      <c r="E596" s="576">
        <v>45531</v>
      </c>
      <c r="F596" s="316">
        <v>-1E-3</v>
      </c>
      <c r="G596" s="316" t="s">
        <v>456</v>
      </c>
      <c r="H596" s="316">
        <v>2E-3</v>
      </c>
      <c r="I596" s="995"/>
      <c r="J596" s="996"/>
      <c r="K596" s="997"/>
      <c r="L596" s="99"/>
      <c r="M596" s="100"/>
    </row>
    <row r="597" spans="3:13">
      <c r="C597" s="90"/>
      <c r="D597" s="162"/>
      <c r="E597" s="576">
        <v>45503</v>
      </c>
      <c r="F597" s="316">
        <v>-1E-3</v>
      </c>
      <c r="G597" s="316" t="s">
        <v>462</v>
      </c>
      <c r="H597" s="316">
        <v>2E-3</v>
      </c>
      <c r="I597" s="995"/>
      <c r="J597" s="996"/>
      <c r="K597" s="997"/>
      <c r="L597" s="99"/>
      <c r="M597" s="100"/>
    </row>
    <row r="598" spans="3:13">
      <c r="C598" s="90"/>
      <c r="D598" s="162"/>
      <c r="E598" s="576">
        <v>45436</v>
      </c>
      <c r="F598" s="316">
        <v>2E-3</v>
      </c>
      <c r="G598" s="316" t="s">
        <v>460</v>
      </c>
      <c r="H598" s="316">
        <v>-3.0000000000000001E-3</v>
      </c>
      <c r="I598" s="995"/>
      <c r="J598" s="996"/>
      <c r="K598" s="997"/>
      <c r="L598" s="101"/>
      <c r="M598" s="100"/>
    </row>
    <row r="599" spans="3:13">
      <c r="C599" s="90"/>
      <c r="D599" s="162"/>
      <c r="E599" s="576">
        <v>45412</v>
      </c>
      <c r="F599" s="316">
        <v>2E-3</v>
      </c>
      <c r="G599" s="316" t="s">
        <v>462</v>
      </c>
      <c r="H599" s="316">
        <v>-5.0000000000000001E-3</v>
      </c>
      <c r="I599" s="995"/>
      <c r="J599" s="996"/>
      <c r="K599" s="997"/>
      <c r="L599" s="99"/>
      <c r="M599" s="100"/>
    </row>
    <row r="600" spans="3:13">
      <c r="C600" s="90"/>
      <c r="D600" s="162"/>
      <c r="E600" s="576">
        <v>45345</v>
      </c>
      <c r="F600" s="316">
        <v>-3.0000000000000001E-3</v>
      </c>
      <c r="G600" s="316" t="s">
        <v>454</v>
      </c>
      <c r="H600" s="316">
        <v>-1E-3</v>
      </c>
      <c r="I600" s="995"/>
      <c r="J600" s="996"/>
      <c r="K600" s="997"/>
      <c r="L600" s="99"/>
      <c r="M600" s="100"/>
    </row>
    <row r="601" spans="3:13" ht="20" thickBot="1">
      <c r="C601" s="90"/>
      <c r="D601" s="162"/>
      <c r="E601" s="576">
        <v>45321</v>
      </c>
      <c r="F601" s="316">
        <v>-3.0000000000000001E-3</v>
      </c>
      <c r="G601" s="316" t="s">
        <v>454</v>
      </c>
      <c r="H601" s="316">
        <v>-1E-3</v>
      </c>
      <c r="I601" s="998"/>
      <c r="J601" s="999"/>
      <c r="K601" s="1000"/>
      <c r="L601" s="102"/>
      <c r="M601" s="103"/>
    </row>
    <row r="602" spans="3:13" ht="25" thickBot="1">
      <c r="C602" s="90"/>
      <c r="D602" s="88" t="s">
        <v>105</v>
      </c>
      <c r="E602" s="571" t="s">
        <v>30</v>
      </c>
      <c r="F602" s="1147" t="s">
        <v>828</v>
      </c>
      <c r="G602" s="1148"/>
      <c r="H602" s="1149"/>
      <c r="I602" s="1131" t="s">
        <v>633</v>
      </c>
      <c r="J602" s="1129"/>
      <c r="K602" s="1130"/>
      <c r="L602" s="158" t="s">
        <v>430</v>
      </c>
      <c r="M602" s="105" t="s">
        <v>431</v>
      </c>
    </row>
    <row r="603" spans="3:13">
      <c r="C603" s="90"/>
      <c r="D603" s="162"/>
      <c r="E603" s="572" t="s">
        <v>432</v>
      </c>
      <c r="F603" s="1150"/>
      <c r="G603" s="1151"/>
      <c r="H603" s="1152"/>
      <c r="I603" s="1032" t="s">
        <v>829</v>
      </c>
      <c r="J603" s="1033"/>
      <c r="K603" s="1034"/>
      <c r="L603" s="99"/>
      <c r="M603" s="100"/>
    </row>
    <row r="604" spans="3:13">
      <c r="C604" s="90"/>
      <c r="D604" s="162"/>
      <c r="E604" s="573" t="s">
        <v>433</v>
      </c>
      <c r="F604" s="1163">
        <v>8.0000000000000002E-3</v>
      </c>
      <c r="G604" s="1164"/>
      <c r="H604" s="1165"/>
      <c r="I604" s="1032"/>
      <c r="J604" s="1033"/>
      <c r="K604" s="1034"/>
      <c r="L604" s="99"/>
      <c r="M604" s="100"/>
    </row>
    <row r="605" spans="3:13" ht="20" thickBot="1">
      <c r="C605" s="90"/>
      <c r="D605" s="162"/>
      <c r="E605" s="573" t="s">
        <v>434</v>
      </c>
      <c r="F605" s="1163">
        <v>6.0000000000000001E-3</v>
      </c>
      <c r="G605" s="1164"/>
      <c r="H605" s="1165"/>
      <c r="I605" s="1032"/>
      <c r="J605" s="1033"/>
      <c r="K605" s="1034"/>
      <c r="L605" s="99"/>
      <c r="M605" s="100"/>
    </row>
    <row r="606" spans="3:13" ht="20" thickBot="1">
      <c r="C606" s="90"/>
      <c r="D606" s="162"/>
      <c r="E606" s="574" t="s">
        <v>435</v>
      </c>
      <c r="F606" s="1160">
        <v>0.41666666666666674</v>
      </c>
      <c r="G606" s="1161"/>
      <c r="H606" s="1162"/>
      <c r="I606" s="1032"/>
      <c r="J606" s="1033"/>
      <c r="K606" s="1034"/>
      <c r="L606" s="106">
        <v>0.64583333333333337</v>
      </c>
      <c r="M606" s="107">
        <v>0.54166666666666674</v>
      </c>
    </row>
    <row r="607" spans="3:13" ht="20" thickBot="1">
      <c r="C607" s="90"/>
      <c r="D607" s="162"/>
      <c r="E607" s="575" t="s">
        <v>436</v>
      </c>
      <c r="F607" s="264" t="s">
        <v>29</v>
      </c>
      <c r="G607" s="264" t="s">
        <v>28</v>
      </c>
      <c r="H607" s="265" t="s">
        <v>27</v>
      </c>
      <c r="I607" s="1032"/>
      <c r="J607" s="1033"/>
      <c r="K607" s="1034"/>
      <c r="L607" s="99"/>
      <c r="M607" s="100"/>
    </row>
    <row r="608" spans="3:13">
      <c r="C608" s="90"/>
      <c r="D608" s="162"/>
      <c r="E608" s="576">
        <v>45541</v>
      </c>
      <c r="F608" s="595">
        <v>6.0000000000000001E-3</v>
      </c>
      <c r="G608" s="595" t="s">
        <v>449</v>
      </c>
      <c r="H608" s="595">
        <v>4.0000000000000001E-3</v>
      </c>
      <c r="I608" s="1032"/>
      <c r="J608" s="1033"/>
      <c r="K608" s="1034"/>
      <c r="L608" s="99"/>
      <c r="M608" s="100"/>
    </row>
    <row r="609" spans="3:13">
      <c r="C609" s="90"/>
      <c r="D609" s="162"/>
      <c r="E609" s="576">
        <v>45518</v>
      </c>
      <c r="F609" s="595">
        <v>6.0000000000000001E-3</v>
      </c>
      <c r="G609" s="595" t="s">
        <v>449</v>
      </c>
      <c r="H609" s="595">
        <v>4.0000000000000001E-3</v>
      </c>
      <c r="I609" s="1032"/>
      <c r="J609" s="1033"/>
      <c r="K609" s="1034"/>
      <c r="L609" s="99"/>
      <c r="M609" s="100"/>
    </row>
    <row r="610" spans="3:13">
      <c r="C610" s="90"/>
      <c r="D610" s="162"/>
      <c r="E610" s="576">
        <v>45503</v>
      </c>
      <c r="F610" s="595">
        <v>6.0000000000000001E-3</v>
      </c>
      <c r="G610" s="595" t="s">
        <v>449</v>
      </c>
      <c r="H610" s="595">
        <v>4.0000000000000001E-3</v>
      </c>
      <c r="I610" s="1032"/>
      <c r="J610" s="1033"/>
      <c r="K610" s="1034"/>
      <c r="L610" s="101"/>
      <c r="M610" s="100"/>
    </row>
    <row r="611" spans="3:13">
      <c r="C611" s="90"/>
      <c r="D611" s="162"/>
      <c r="E611" s="576">
        <v>45450</v>
      </c>
      <c r="F611" s="595">
        <v>4.0000000000000001E-3</v>
      </c>
      <c r="G611" s="595" t="s">
        <v>452</v>
      </c>
      <c r="H611" s="595">
        <v>2E-3</v>
      </c>
      <c r="I611" s="1032"/>
      <c r="J611" s="1033"/>
      <c r="K611" s="1034"/>
      <c r="L611" s="99"/>
      <c r="M611" s="100"/>
    </row>
    <row r="612" spans="3:13">
      <c r="C612" s="90"/>
      <c r="D612" s="162"/>
      <c r="E612" s="576">
        <v>45427</v>
      </c>
      <c r="F612" s="595">
        <v>4.0000000000000001E-3</v>
      </c>
      <c r="G612" s="595" t="s">
        <v>452</v>
      </c>
      <c r="H612" s="595">
        <v>1E-3</v>
      </c>
      <c r="I612" s="1032"/>
      <c r="J612" s="1033"/>
      <c r="K612" s="1034"/>
      <c r="L612" s="99"/>
      <c r="M612" s="100"/>
    </row>
    <row r="613" spans="3:13" ht="20" thickBot="1">
      <c r="C613" s="90"/>
      <c r="D613" s="162"/>
      <c r="E613" s="576">
        <v>45412</v>
      </c>
      <c r="F613" s="595">
        <v>4.0000000000000001E-3</v>
      </c>
      <c r="G613" s="595" t="s">
        <v>460</v>
      </c>
      <c r="H613" s="595">
        <v>1E-3</v>
      </c>
      <c r="I613" s="1035"/>
      <c r="J613" s="1036"/>
      <c r="K613" s="1037"/>
      <c r="L613" s="102"/>
      <c r="M613" s="103"/>
    </row>
    <row r="614" spans="3:13" ht="25" thickBot="1">
      <c r="C614" s="90"/>
      <c r="D614" s="88" t="s">
        <v>105</v>
      </c>
      <c r="E614" s="571" t="s">
        <v>30</v>
      </c>
      <c r="F614" s="1147" t="s">
        <v>830</v>
      </c>
      <c r="G614" s="1148"/>
      <c r="H614" s="1149"/>
      <c r="I614" s="1131" t="s">
        <v>633</v>
      </c>
      <c r="J614" s="1129"/>
      <c r="K614" s="1130"/>
      <c r="L614" s="158" t="s">
        <v>430</v>
      </c>
      <c r="M614" s="105" t="s">
        <v>431</v>
      </c>
    </row>
    <row r="615" spans="3:13">
      <c r="C615" s="90"/>
      <c r="D615" s="162"/>
      <c r="E615" s="572" t="s">
        <v>432</v>
      </c>
      <c r="F615" s="1150"/>
      <c r="G615" s="1151"/>
      <c r="H615" s="1152"/>
      <c r="I615" s="995" t="s">
        <v>831</v>
      </c>
      <c r="J615" s="996"/>
      <c r="K615" s="997"/>
      <c r="L615" s="99"/>
      <c r="M615" s="100"/>
    </row>
    <row r="616" spans="3:13">
      <c r="C616" s="90"/>
      <c r="D616" s="162"/>
      <c r="E616" s="573" t="s">
        <v>433</v>
      </c>
      <c r="F616" s="1153">
        <v>0</v>
      </c>
      <c r="G616" s="1154"/>
      <c r="H616" s="1155"/>
      <c r="I616" s="995"/>
      <c r="J616" s="996"/>
      <c r="K616" s="997"/>
      <c r="L616" s="99"/>
      <c r="M616" s="100"/>
    </row>
    <row r="617" spans="3:13" ht="20" thickBot="1">
      <c r="C617" s="90"/>
      <c r="D617" s="162"/>
      <c r="E617" s="573" t="s">
        <v>434</v>
      </c>
      <c r="F617" s="1153">
        <v>0</v>
      </c>
      <c r="G617" s="1154"/>
      <c r="H617" s="1155"/>
      <c r="I617" s="995"/>
      <c r="J617" s="996"/>
      <c r="K617" s="997"/>
      <c r="L617" s="99"/>
      <c r="M617" s="100"/>
    </row>
    <row r="618" spans="3:13" ht="20" thickBot="1">
      <c r="C618" s="90"/>
      <c r="D618" s="162"/>
      <c r="E618" s="574" t="s">
        <v>435</v>
      </c>
      <c r="F618" s="1160">
        <v>0.41666666666666674</v>
      </c>
      <c r="G618" s="1161"/>
      <c r="H618" s="1162"/>
      <c r="I618" s="995"/>
      <c r="J618" s="996"/>
      <c r="K618" s="997"/>
      <c r="L618" s="106">
        <v>0.64583333333333337</v>
      </c>
      <c r="M618" s="107">
        <v>0.54166666666666674</v>
      </c>
    </row>
    <row r="619" spans="3:13" ht="20" thickBot="1">
      <c r="C619" s="90"/>
      <c r="D619" s="162"/>
      <c r="E619" s="575" t="s">
        <v>436</v>
      </c>
      <c r="F619" s="264" t="s">
        <v>29</v>
      </c>
      <c r="G619" s="264" t="s">
        <v>28</v>
      </c>
      <c r="H619" s="265" t="s">
        <v>27</v>
      </c>
      <c r="I619" s="995"/>
      <c r="J619" s="996"/>
      <c r="K619" s="997"/>
      <c r="L619" s="99"/>
      <c r="M619" s="100"/>
    </row>
    <row r="620" spans="3:13">
      <c r="C620" s="90"/>
      <c r="D620" s="162"/>
      <c r="E620" s="576">
        <v>45252</v>
      </c>
      <c r="F620" s="577">
        <v>0</v>
      </c>
      <c r="G620" s="577" t="s">
        <v>754</v>
      </c>
      <c r="H620" s="577">
        <v>0</v>
      </c>
      <c r="I620" s="995"/>
      <c r="J620" s="996"/>
      <c r="K620" s="997"/>
      <c r="L620" s="99"/>
      <c r="M620" s="100"/>
    </row>
    <row r="621" spans="3:13">
      <c r="C621" s="90"/>
      <c r="D621" s="162"/>
      <c r="E621" s="576">
        <v>44882</v>
      </c>
      <c r="F621" s="577">
        <v>0</v>
      </c>
      <c r="G621" s="577" t="s">
        <v>754</v>
      </c>
      <c r="H621" s="577">
        <v>0</v>
      </c>
      <c r="I621" s="995"/>
      <c r="J621" s="996"/>
      <c r="K621" s="997"/>
      <c r="L621" s="99"/>
      <c r="M621" s="100"/>
    </row>
    <row r="622" spans="3:13">
      <c r="C622" s="90"/>
      <c r="D622" s="162"/>
      <c r="E622" s="576">
        <v>44496</v>
      </c>
      <c r="F622" s="577">
        <v>0</v>
      </c>
      <c r="G622" s="577" t="s">
        <v>754</v>
      </c>
      <c r="H622" s="577">
        <v>0</v>
      </c>
      <c r="I622" s="995"/>
      <c r="J622" s="996"/>
      <c r="K622" s="997"/>
      <c r="L622" s="101"/>
      <c r="M622" s="100"/>
    </row>
    <row r="623" spans="3:13">
      <c r="C623" s="90"/>
      <c r="D623" s="162"/>
      <c r="E623" s="576">
        <v>44160</v>
      </c>
      <c r="F623" s="577">
        <v>0</v>
      </c>
      <c r="G623" s="577" t="s">
        <v>754</v>
      </c>
      <c r="H623" s="577">
        <v>0</v>
      </c>
      <c r="I623" s="995"/>
      <c r="J623" s="996"/>
      <c r="K623" s="997"/>
      <c r="L623" s="99"/>
      <c r="M623" s="100"/>
    </row>
    <row r="624" spans="3:13">
      <c r="C624" s="90"/>
      <c r="D624" s="162"/>
      <c r="E624" s="576">
        <v>44159</v>
      </c>
      <c r="F624" s="577">
        <v>0</v>
      </c>
      <c r="G624" s="577" t="s">
        <v>754</v>
      </c>
      <c r="H624" s="577">
        <v>0</v>
      </c>
      <c r="I624" s="995"/>
      <c r="J624" s="996"/>
      <c r="K624" s="997"/>
      <c r="L624" s="99"/>
      <c r="M624" s="100"/>
    </row>
    <row r="625" spans="3:13" ht="20" thickBot="1">
      <c r="C625" s="90"/>
      <c r="D625" s="162"/>
      <c r="E625" s="576">
        <v>43901</v>
      </c>
      <c r="F625" s="577">
        <v>0</v>
      </c>
      <c r="G625" s="577" t="s">
        <v>754</v>
      </c>
      <c r="H625" s="577">
        <v>0</v>
      </c>
      <c r="I625" s="998"/>
      <c r="J625" s="999"/>
      <c r="K625" s="1000"/>
      <c r="L625" s="102"/>
      <c r="M625" s="103"/>
    </row>
    <row r="626" spans="3:13" ht="25" thickBot="1">
      <c r="C626" s="90"/>
      <c r="D626" s="88" t="s">
        <v>105</v>
      </c>
      <c r="E626" s="571" t="s">
        <v>30</v>
      </c>
      <c r="F626" s="1147" t="s">
        <v>832</v>
      </c>
      <c r="G626" s="1148"/>
      <c r="H626" s="1149"/>
      <c r="I626" s="1128" t="s">
        <v>633</v>
      </c>
      <c r="J626" s="1129"/>
      <c r="K626" s="1130"/>
      <c r="L626" s="158" t="s">
        <v>430</v>
      </c>
      <c r="M626" s="105" t="s">
        <v>431</v>
      </c>
    </row>
    <row r="627" spans="3:13">
      <c r="C627" s="90"/>
      <c r="D627" s="162"/>
      <c r="E627" s="572" t="s">
        <v>432</v>
      </c>
      <c r="F627" s="1150"/>
      <c r="G627" s="1151"/>
      <c r="H627" s="1152"/>
      <c r="I627" s="995" t="s">
        <v>834</v>
      </c>
      <c r="J627" s="996"/>
      <c r="K627" s="997"/>
      <c r="L627" s="99"/>
      <c r="M627" s="100"/>
    </row>
    <row r="628" spans="3:13">
      <c r="C628" s="90"/>
      <c r="D628" s="162"/>
      <c r="E628" s="573" t="s">
        <v>433</v>
      </c>
      <c r="F628" s="1169" t="s">
        <v>833</v>
      </c>
      <c r="G628" s="1170"/>
      <c r="H628" s="1171"/>
      <c r="I628" s="995"/>
      <c r="J628" s="996"/>
      <c r="K628" s="997"/>
      <c r="L628" s="99"/>
      <c r="M628" s="100"/>
    </row>
    <row r="629" spans="3:13" ht="20" thickBot="1">
      <c r="C629" s="90"/>
      <c r="D629" s="162"/>
      <c r="E629" s="573" t="s">
        <v>434</v>
      </c>
      <c r="F629" s="1169" t="s">
        <v>635</v>
      </c>
      <c r="G629" s="1170"/>
      <c r="H629" s="1171"/>
      <c r="I629" s="995"/>
      <c r="J629" s="996"/>
      <c r="K629" s="997"/>
      <c r="L629" s="99"/>
      <c r="M629" s="100"/>
    </row>
    <row r="630" spans="3:13" ht="20" thickBot="1">
      <c r="C630" s="90"/>
      <c r="D630" s="162"/>
      <c r="E630" s="574" t="s">
        <v>435</v>
      </c>
      <c r="F630" s="1160">
        <v>0.51041666666666674</v>
      </c>
      <c r="G630" s="1161"/>
      <c r="H630" s="1162"/>
      <c r="I630" s="995"/>
      <c r="J630" s="996"/>
      <c r="K630" s="997"/>
      <c r="L630" s="106">
        <v>0.73958333333333337</v>
      </c>
      <c r="M630" s="107">
        <v>0.63541666666666674</v>
      </c>
    </row>
    <row r="631" spans="3:13" ht="20" thickBot="1">
      <c r="C631" s="90"/>
      <c r="D631" s="162"/>
      <c r="E631" s="575" t="s">
        <v>436</v>
      </c>
      <c r="F631" s="264" t="s">
        <v>29</v>
      </c>
      <c r="G631" s="264" t="s">
        <v>28</v>
      </c>
      <c r="H631" s="265" t="s">
        <v>27</v>
      </c>
      <c r="I631" s="995"/>
      <c r="J631" s="996"/>
      <c r="K631" s="997"/>
      <c r="L631" s="99"/>
      <c r="M631" s="100"/>
    </row>
    <row r="632" spans="3:13">
      <c r="C632" s="90"/>
      <c r="D632" s="162"/>
      <c r="E632" s="576">
        <v>45567</v>
      </c>
      <c r="F632" s="323" t="s">
        <v>635</v>
      </c>
      <c r="G632" s="323" t="s">
        <v>887</v>
      </c>
      <c r="H632" s="323" t="s">
        <v>888</v>
      </c>
      <c r="I632" s="995"/>
      <c r="J632" s="996"/>
      <c r="K632" s="997"/>
      <c r="L632" s="99"/>
      <c r="M632" s="100"/>
    </row>
    <row r="633" spans="3:13">
      <c r="C633" s="90"/>
      <c r="D633" s="162"/>
      <c r="E633" s="576">
        <v>45540</v>
      </c>
      <c r="F633" s="323" t="s">
        <v>407</v>
      </c>
      <c r="G633" s="323" t="s">
        <v>546</v>
      </c>
      <c r="H633" s="323" t="s">
        <v>547</v>
      </c>
      <c r="I633" s="995"/>
      <c r="J633" s="996"/>
      <c r="K633" s="997"/>
      <c r="L633" s="99"/>
      <c r="M633" s="100"/>
    </row>
    <row r="634" spans="3:13">
      <c r="C634" s="90"/>
      <c r="D634" s="162"/>
      <c r="E634" s="576">
        <v>45504</v>
      </c>
      <c r="F634" s="323" t="s">
        <v>282</v>
      </c>
      <c r="G634" s="323" t="s">
        <v>548</v>
      </c>
      <c r="H634" s="323" t="s">
        <v>292</v>
      </c>
      <c r="I634" s="995"/>
      <c r="J634" s="996"/>
      <c r="K634" s="997"/>
      <c r="L634" s="101"/>
      <c r="M634" s="100"/>
    </row>
    <row r="635" spans="3:13">
      <c r="C635" s="90"/>
      <c r="D635" s="162"/>
      <c r="E635" s="576">
        <v>45476</v>
      </c>
      <c r="F635" s="323" t="s">
        <v>122</v>
      </c>
      <c r="G635" s="323" t="s">
        <v>550</v>
      </c>
      <c r="H635" s="323" t="s">
        <v>551</v>
      </c>
      <c r="I635" s="995"/>
      <c r="J635" s="996"/>
      <c r="K635" s="997"/>
      <c r="L635" s="99"/>
      <c r="M635" s="100"/>
    </row>
    <row r="636" spans="3:13">
      <c r="C636" s="90"/>
      <c r="D636" s="162"/>
      <c r="E636" s="576">
        <v>45448</v>
      </c>
      <c r="F636" s="323" t="s">
        <v>15</v>
      </c>
      <c r="G636" s="323" t="s">
        <v>553</v>
      </c>
      <c r="H636" s="323" t="s">
        <v>554</v>
      </c>
      <c r="I636" s="995"/>
      <c r="J636" s="996"/>
      <c r="K636" s="997"/>
      <c r="L636" s="99"/>
      <c r="M636" s="100"/>
    </row>
    <row r="637" spans="3:13" ht="20" thickBot="1">
      <c r="C637" s="90"/>
      <c r="D637" s="162"/>
      <c r="E637" s="576">
        <v>45413</v>
      </c>
      <c r="F637" s="323" t="s">
        <v>555</v>
      </c>
      <c r="G637" s="323" t="s">
        <v>556</v>
      </c>
      <c r="H637" s="323" t="s">
        <v>557</v>
      </c>
      <c r="I637" s="998"/>
      <c r="J637" s="999"/>
      <c r="K637" s="1000"/>
      <c r="L637" s="102"/>
      <c r="M637" s="103"/>
    </row>
    <row r="638" spans="3:13" ht="25" thickBot="1">
      <c r="C638" s="90"/>
      <c r="D638" s="88" t="s">
        <v>105</v>
      </c>
      <c r="E638" s="571" t="s">
        <v>30</v>
      </c>
      <c r="F638" s="1147" t="s">
        <v>835</v>
      </c>
      <c r="G638" s="1148"/>
      <c r="H638" s="1149"/>
      <c r="I638" s="1128" t="s">
        <v>633</v>
      </c>
      <c r="J638" s="1129"/>
      <c r="K638" s="1130"/>
      <c r="L638" s="158" t="s">
        <v>430</v>
      </c>
      <c r="M638" s="105" t="s">
        <v>431</v>
      </c>
    </row>
    <row r="639" spans="3:13">
      <c r="C639" s="90"/>
      <c r="D639" s="162"/>
      <c r="E639" s="572" t="s">
        <v>432</v>
      </c>
      <c r="F639" s="1181"/>
      <c r="G639" s="1182"/>
      <c r="H639" s="1183"/>
      <c r="I639" s="995" t="s">
        <v>836</v>
      </c>
      <c r="J639" s="996"/>
      <c r="K639" s="997"/>
      <c r="L639" s="99"/>
      <c r="M639" s="100"/>
    </row>
    <row r="640" spans="3:13">
      <c r="C640" s="90"/>
      <c r="D640" s="162"/>
      <c r="E640" s="573" t="s">
        <v>433</v>
      </c>
      <c r="F640" s="1163">
        <v>0.03</v>
      </c>
      <c r="G640" s="1164"/>
      <c r="H640" s="1165"/>
      <c r="I640" s="995"/>
      <c r="J640" s="996"/>
      <c r="K640" s="997"/>
      <c r="L640" s="99"/>
      <c r="M640" s="100"/>
    </row>
    <row r="641" spans="3:13" ht="20" thickBot="1">
      <c r="C641" s="90"/>
      <c r="D641" s="162"/>
      <c r="E641" s="573" t="s">
        <v>434</v>
      </c>
      <c r="F641" s="1163">
        <v>0.03</v>
      </c>
      <c r="G641" s="1164"/>
      <c r="H641" s="1165"/>
      <c r="I641" s="995"/>
      <c r="J641" s="996"/>
      <c r="K641" s="997"/>
      <c r="L641" s="99"/>
      <c r="M641" s="100"/>
    </row>
    <row r="642" spans="3:13" ht="20" thickBot="1">
      <c r="C642" s="90"/>
      <c r="D642" s="162"/>
      <c r="E642" s="574" t="s">
        <v>435</v>
      </c>
      <c r="F642" s="1160">
        <v>0.52083333333333337</v>
      </c>
      <c r="G642" s="1161"/>
      <c r="H642" s="1162"/>
      <c r="I642" s="995"/>
      <c r="J642" s="996"/>
      <c r="K642" s="997"/>
      <c r="L642" s="106">
        <v>0.75</v>
      </c>
      <c r="M642" s="107">
        <v>0.64583333333333337</v>
      </c>
    </row>
    <row r="643" spans="3:13" ht="20" thickBot="1">
      <c r="C643" s="90"/>
      <c r="D643" s="162"/>
      <c r="E643" s="575" t="s">
        <v>436</v>
      </c>
      <c r="F643" s="264" t="s">
        <v>29</v>
      </c>
      <c r="G643" s="264" t="s">
        <v>28</v>
      </c>
      <c r="H643" s="265" t="s">
        <v>27</v>
      </c>
      <c r="I643" s="995"/>
      <c r="J643" s="996"/>
      <c r="K643" s="997"/>
      <c r="L643" s="99"/>
      <c r="M643" s="100"/>
    </row>
    <row r="644" spans="3:13">
      <c r="C644" s="90"/>
      <c r="D644" s="162"/>
      <c r="E644" s="576">
        <v>45561</v>
      </c>
      <c r="F644" s="316">
        <v>0.03</v>
      </c>
      <c r="G644" s="316" t="s">
        <v>669</v>
      </c>
      <c r="H644" s="316">
        <v>1.6E-2</v>
      </c>
      <c r="I644" s="995"/>
      <c r="J644" s="996"/>
      <c r="K644" s="997"/>
      <c r="L644" s="99"/>
      <c r="M644" s="100"/>
    </row>
    <row r="645" spans="3:13">
      <c r="C645" s="90"/>
      <c r="D645" s="162"/>
      <c r="E645" s="576">
        <v>45533</v>
      </c>
      <c r="F645" s="316">
        <v>0.03</v>
      </c>
      <c r="G645" s="316" t="s">
        <v>666</v>
      </c>
      <c r="H645" s="316">
        <v>1.4E-2</v>
      </c>
      <c r="I645" s="995"/>
      <c r="J645" s="996"/>
      <c r="K645" s="997"/>
      <c r="L645" s="99"/>
      <c r="M645" s="100"/>
    </row>
    <row r="646" spans="3:13">
      <c r="C646" s="90"/>
      <c r="D646" s="162"/>
      <c r="E646" s="576">
        <v>45498</v>
      </c>
      <c r="F646" s="316">
        <v>2.8000000000000001E-2</v>
      </c>
      <c r="G646" s="316" t="s">
        <v>788</v>
      </c>
      <c r="H646" s="316">
        <v>1.4E-2</v>
      </c>
      <c r="I646" s="995"/>
      <c r="J646" s="996"/>
      <c r="K646" s="997"/>
      <c r="L646" s="101"/>
      <c r="M646" s="100"/>
    </row>
    <row r="647" spans="3:13">
      <c r="C647" s="90"/>
      <c r="D647" s="162"/>
      <c r="E647" s="576">
        <v>45470</v>
      </c>
      <c r="F647" s="316">
        <v>1.4E-2</v>
      </c>
      <c r="G647" s="316" t="s">
        <v>889</v>
      </c>
      <c r="H647" s="316">
        <v>3.4000000000000002E-2</v>
      </c>
      <c r="I647" s="995"/>
      <c r="J647" s="996"/>
      <c r="K647" s="997"/>
      <c r="L647" s="99"/>
      <c r="M647" s="100"/>
    </row>
    <row r="648" spans="3:13">
      <c r="C648" s="90"/>
      <c r="D648" s="162"/>
      <c r="E648" s="576">
        <v>45442</v>
      </c>
      <c r="F648" s="316">
        <v>1.2999999999999999E-2</v>
      </c>
      <c r="G648" s="316" t="s">
        <v>890</v>
      </c>
      <c r="H648" s="316">
        <v>3.4000000000000002E-2</v>
      </c>
      <c r="I648" s="995"/>
      <c r="J648" s="996"/>
      <c r="K648" s="997"/>
      <c r="L648" s="99"/>
      <c r="M648" s="100"/>
    </row>
    <row r="649" spans="3:13" ht="20" thickBot="1">
      <c r="C649" s="90"/>
      <c r="D649" s="162"/>
      <c r="E649" s="576">
        <v>45407</v>
      </c>
      <c r="F649" s="316">
        <v>1.6E-2</v>
      </c>
      <c r="G649" s="316" t="s">
        <v>495</v>
      </c>
      <c r="H649" s="316">
        <v>3.4000000000000002E-2</v>
      </c>
      <c r="I649" s="998"/>
      <c r="J649" s="999"/>
      <c r="K649" s="1000"/>
      <c r="L649" s="102"/>
      <c r="M649" s="103"/>
    </row>
    <row r="650" spans="3:13" ht="25" thickBot="1">
      <c r="C650" s="90"/>
      <c r="D650" s="88" t="s">
        <v>105</v>
      </c>
      <c r="E650" s="571" t="s">
        <v>30</v>
      </c>
      <c r="F650" s="1147" t="s">
        <v>837</v>
      </c>
      <c r="G650" s="1148"/>
      <c r="H650" s="1149"/>
      <c r="I650" s="1131" t="s">
        <v>633</v>
      </c>
      <c r="J650" s="1129"/>
      <c r="K650" s="1130"/>
      <c r="L650" s="158" t="s">
        <v>430</v>
      </c>
      <c r="M650" s="105" t="s">
        <v>431</v>
      </c>
    </row>
    <row r="651" spans="3:13">
      <c r="C651" s="90"/>
      <c r="D651" s="162"/>
      <c r="E651" s="572" t="s">
        <v>432</v>
      </c>
      <c r="F651" s="1150"/>
      <c r="G651" s="1151"/>
      <c r="H651" s="1152"/>
      <c r="I651" s="995" t="s">
        <v>838</v>
      </c>
      <c r="J651" s="996"/>
      <c r="K651" s="997"/>
      <c r="L651" s="99"/>
      <c r="M651" s="100"/>
    </row>
    <row r="652" spans="3:13">
      <c r="C652" s="90"/>
      <c r="D652" s="162"/>
      <c r="E652" s="573" t="s">
        <v>433</v>
      </c>
      <c r="F652" s="1178">
        <v>2E-3</v>
      </c>
      <c r="G652" s="1179"/>
      <c r="H652" s="1180"/>
      <c r="I652" s="995"/>
      <c r="J652" s="996"/>
      <c r="K652" s="997"/>
      <c r="L652" s="99"/>
      <c r="M652" s="100"/>
    </row>
    <row r="653" spans="3:13" ht="20" thickBot="1">
      <c r="C653" s="90"/>
      <c r="D653" s="162"/>
      <c r="E653" s="573" t="s">
        <v>434</v>
      </c>
      <c r="F653" s="1178">
        <v>0</v>
      </c>
      <c r="G653" s="1179"/>
      <c r="H653" s="1180"/>
      <c r="I653" s="995"/>
      <c r="J653" s="996"/>
      <c r="K653" s="997"/>
      <c r="L653" s="99"/>
      <c r="M653" s="100"/>
    </row>
    <row r="654" spans="3:13" ht="20" thickBot="1">
      <c r="C654" s="90"/>
      <c r="D654" s="162"/>
      <c r="E654" s="574" t="s">
        <v>435</v>
      </c>
      <c r="F654" s="1160">
        <v>0.54166666666666674</v>
      </c>
      <c r="G654" s="1161"/>
      <c r="H654" s="1162"/>
      <c r="I654" s="995"/>
      <c r="J654" s="996"/>
      <c r="K654" s="997"/>
      <c r="L654" s="106">
        <v>0.77083333333333337</v>
      </c>
      <c r="M654" s="107">
        <v>0.66666666666666674</v>
      </c>
    </row>
    <row r="655" spans="3:13" ht="20" thickBot="1">
      <c r="C655" s="90"/>
      <c r="D655" s="162"/>
      <c r="E655" s="575" t="s">
        <v>436</v>
      </c>
      <c r="F655" s="264" t="s">
        <v>29</v>
      </c>
      <c r="G655" s="264" t="s">
        <v>28</v>
      </c>
      <c r="H655" s="265" t="s">
        <v>27</v>
      </c>
      <c r="I655" s="995"/>
      <c r="J655" s="996"/>
      <c r="K655" s="997"/>
      <c r="L655" s="99"/>
      <c r="M655" s="100"/>
    </row>
    <row r="656" spans="3:13">
      <c r="C656" s="90"/>
      <c r="D656" s="162"/>
      <c r="E656" s="576">
        <v>45576</v>
      </c>
      <c r="F656" s="316">
        <v>0</v>
      </c>
      <c r="G656" s="316" t="s">
        <v>458</v>
      </c>
      <c r="H656" s="316">
        <v>-1E-3</v>
      </c>
      <c r="I656" s="995"/>
      <c r="J656" s="996"/>
      <c r="K656" s="997"/>
      <c r="L656" s="99"/>
      <c r="M656" s="100"/>
    </row>
    <row r="657" spans="3:13">
      <c r="C657" s="90"/>
      <c r="D657" s="162"/>
      <c r="E657" s="576">
        <v>45565</v>
      </c>
      <c r="F657" s="316">
        <v>0</v>
      </c>
      <c r="G657" s="316" t="s">
        <v>462</v>
      </c>
      <c r="H657" s="316">
        <v>-1E-3</v>
      </c>
      <c r="I657" s="995"/>
      <c r="J657" s="996"/>
      <c r="K657" s="997"/>
      <c r="L657" s="99"/>
      <c r="M657" s="100"/>
    </row>
    <row r="658" spans="3:13">
      <c r="C658" s="90"/>
      <c r="D658" s="162"/>
      <c r="E658" s="576">
        <v>45545</v>
      </c>
      <c r="F658" s="316">
        <v>-1E-3</v>
      </c>
      <c r="G658" s="316" t="s">
        <v>456</v>
      </c>
      <c r="H658" s="316">
        <v>3.0000000000000001E-3</v>
      </c>
      <c r="I658" s="995"/>
      <c r="J658" s="996"/>
      <c r="K658" s="997"/>
      <c r="L658" s="101"/>
      <c r="M658" s="100"/>
    </row>
    <row r="659" spans="3:13">
      <c r="C659" s="90"/>
      <c r="D659" s="162"/>
      <c r="E659" s="576">
        <v>45533</v>
      </c>
      <c r="F659" s="316">
        <v>-1E-3</v>
      </c>
      <c r="G659" s="316" t="s">
        <v>458</v>
      </c>
      <c r="H659" s="316">
        <v>3.0000000000000001E-3</v>
      </c>
      <c r="I659" s="995"/>
      <c r="J659" s="996"/>
      <c r="K659" s="997"/>
      <c r="L659" s="99"/>
      <c r="M659" s="100"/>
    </row>
    <row r="660" spans="3:13">
      <c r="C660" s="90"/>
      <c r="D660" s="162"/>
      <c r="E660" s="576">
        <v>45513</v>
      </c>
      <c r="F660" s="316">
        <v>3.0000000000000001E-3</v>
      </c>
      <c r="G660" s="316" t="s">
        <v>467</v>
      </c>
      <c r="H660" s="316">
        <v>1E-3</v>
      </c>
      <c r="I660" s="995"/>
      <c r="J660" s="996"/>
      <c r="K660" s="997"/>
      <c r="L660" s="99"/>
      <c r="M660" s="100"/>
    </row>
    <row r="661" spans="3:13" ht="20" thickBot="1">
      <c r="C661" s="90"/>
      <c r="D661" s="162"/>
      <c r="E661" s="576">
        <v>45503</v>
      </c>
      <c r="F661" s="316">
        <v>3.0000000000000001E-3</v>
      </c>
      <c r="G661" s="316" t="s">
        <v>467</v>
      </c>
      <c r="H661" s="316">
        <v>1E-3</v>
      </c>
      <c r="I661" s="998"/>
      <c r="J661" s="999"/>
      <c r="K661" s="1000"/>
      <c r="L661" s="102"/>
      <c r="M661" s="103"/>
    </row>
    <row r="662" spans="3:13" ht="25" thickBot="1">
      <c r="C662" s="90"/>
      <c r="D662" s="88" t="s">
        <v>105</v>
      </c>
      <c r="E662" s="571" t="s">
        <v>30</v>
      </c>
      <c r="F662" s="1147" t="s">
        <v>9</v>
      </c>
      <c r="G662" s="1148"/>
      <c r="H662" s="1149"/>
      <c r="I662" s="1131" t="s">
        <v>633</v>
      </c>
      <c r="J662" s="1129"/>
      <c r="K662" s="1130"/>
      <c r="L662" s="158" t="s">
        <v>430</v>
      </c>
      <c r="M662" s="105" t="s">
        <v>431</v>
      </c>
    </row>
    <row r="663" spans="3:13">
      <c r="C663" s="90"/>
      <c r="D663" s="162"/>
      <c r="E663" s="572" t="s">
        <v>432</v>
      </c>
      <c r="F663" s="1150"/>
      <c r="G663" s="1151"/>
      <c r="H663" s="1152"/>
      <c r="I663" s="995" t="s">
        <v>840</v>
      </c>
      <c r="J663" s="996"/>
      <c r="K663" s="997"/>
      <c r="L663" s="99"/>
      <c r="M663" s="100"/>
    </row>
    <row r="664" spans="3:13">
      <c r="C664" s="90"/>
      <c r="D664" s="162"/>
      <c r="E664" s="573" t="s">
        <v>433</v>
      </c>
      <c r="F664" s="1169">
        <v>0</v>
      </c>
      <c r="G664" s="1170"/>
      <c r="H664" s="1171"/>
      <c r="I664" s="995"/>
      <c r="J664" s="996"/>
      <c r="K664" s="997"/>
      <c r="L664" s="99"/>
      <c r="M664" s="100"/>
    </row>
    <row r="665" spans="3:13" ht="20" thickBot="1">
      <c r="C665" s="90"/>
      <c r="D665" s="162"/>
      <c r="E665" s="573" t="s">
        <v>434</v>
      </c>
      <c r="F665" s="1169" t="s">
        <v>839</v>
      </c>
      <c r="G665" s="1170"/>
      <c r="H665" s="1171"/>
      <c r="I665" s="995"/>
      <c r="J665" s="996"/>
      <c r="K665" s="997"/>
      <c r="L665" s="99"/>
      <c r="M665" s="100"/>
    </row>
    <row r="666" spans="3:13" ht="20" thickBot="1">
      <c r="C666" s="90"/>
      <c r="D666" s="162"/>
      <c r="E666" s="574" t="s">
        <v>435</v>
      </c>
      <c r="F666" s="1160">
        <v>0.60416666666666674</v>
      </c>
      <c r="G666" s="1161"/>
      <c r="H666" s="1162"/>
      <c r="I666" s="995"/>
      <c r="J666" s="996"/>
      <c r="K666" s="997"/>
      <c r="L666" s="106">
        <v>0.83333333333333337</v>
      </c>
      <c r="M666" s="107">
        <v>0.72916666666666674</v>
      </c>
    </row>
    <row r="667" spans="3:13" ht="20" thickBot="1">
      <c r="C667" s="90"/>
      <c r="D667" s="162"/>
      <c r="E667" s="575" t="s">
        <v>436</v>
      </c>
      <c r="F667" s="264" t="s">
        <v>29</v>
      </c>
      <c r="G667" s="264" t="s">
        <v>28</v>
      </c>
      <c r="H667" s="265" t="s">
        <v>27</v>
      </c>
      <c r="I667" s="995"/>
      <c r="J667" s="996"/>
      <c r="K667" s="997"/>
      <c r="L667" s="99"/>
      <c r="M667" s="100"/>
    </row>
    <row r="668" spans="3:13">
      <c r="C668" s="90"/>
      <c r="D668" s="162"/>
      <c r="E668" s="576">
        <v>45588</v>
      </c>
      <c r="F668" s="323" t="s">
        <v>839</v>
      </c>
      <c r="G668" s="323" t="s">
        <v>891</v>
      </c>
      <c r="H668" s="323" t="s">
        <v>699</v>
      </c>
      <c r="I668" s="995"/>
      <c r="J668" s="996"/>
      <c r="K668" s="997"/>
      <c r="L668" s="99"/>
      <c r="M668" s="100"/>
    </row>
    <row r="669" spans="3:13">
      <c r="C669" s="90"/>
      <c r="D669" s="162"/>
      <c r="E669" s="576">
        <v>45582</v>
      </c>
      <c r="F669" s="323" t="s">
        <v>699</v>
      </c>
      <c r="G669" s="323" t="s">
        <v>731</v>
      </c>
      <c r="H669" s="323" t="s">
        <v>677</v>
      </c>
      <c r="I669" s="995"/>
      <c r="J669" s="996"/>
      <c r="K669" s="997"/>
      <c r="L669" s="99"/>
      <c r="M669" s="100"/>
    </row>
    <row r="670" spans="3:13">
      <c r="C670" s="90"/>
      <c r="D670" s="162"/>
      <c r="E670" s="576">
        <v>45574</v>
      </c>
      <c r="F670" s="323" t="s">
        <v>677</v>
      </c>
      <c r="G670" s="323" t="s">
        <v>732</v>
      </c>
      <c r="H670" s="323" t="s">
        <v>637</v>
      </c>
      <c r="I670" s="995"/>
      <c r="J670" s="996"/>
      <c r="K670" s="997"/>
      <c r="L670" s="101"/>
      <c r="M670" s="100"/>
    </row>
    <row r="671" spans="3:13">
      <c r="C671" s="90"/>
      <c r="D671" s="162"/>
      <c r="E671" s="576">
        <v>45567</v>
      </c>
      <c r="F671" s="323" t="s">
        <v>637</v>
      </c>
      <c r="G671" s="323" t="s">
        <v>733</v>
      </c>
      <c r="H671" s="323" t="s">
        <v>380</v>
      </c>
      <c r="I671" s="995"/>
      <c r="J671" s="996"/>
      <c r="K671" s="997"/>
      <c r="L671" s="99"/>
      <c r="M671" s="100"/>
    </row>
    <row r="672" spans="3:13">
      <c r="C672" s="90"/>
      <c r="D672" s="162"/>
      <c r="E672" s="576">
        <v>45560</v>
      </c>
      <c r="F672" s="323" t="s">
        <v>380</v>
      </c>
      <c r="G672" s="323" t="s">
        <v>564</v>
      </c>
      <c r="H672" s="323" t="s">
        <v>337</v>
      </c>
      <c r="I672" s="995"/>
      <c r="J672" s="996"/>
      <c r="K672" s="997"/>
      <c r="L672" s="99"/>
      <c r="M672" s="100"/>
    </row>
    <row r="673" spans="3:13" ht="20" thickBot="1">
      <c r="C673" s="90"/>
      <c r="D673" s="162"/>
      <c r="E673" s="576">
        <v>45553</v>
      </c>
      <c r="F673" s="323" t="s">
        <v>337</v>
      </c>
      <c r="G673" s="323" t="s">
        <v>565</v>
      </c>
      <c r="H673" s="323" t="s">
        <v>339</v>
      </c>
      <c r="I673" s="998"/>
      <c r="J673" s="999"/>
      <c r="K673" s="1000"/>
      <c r="L673" s="102"/>
      <c r="M673" s="103"/>
    </row>
    <row r="674" spans="3:13" ht="25" thickBot="1">
      <c r="C674" s="90"/>
      <c r="D674" s="88" t="s">
        <v>105</v>
      </c>
      <c r="E674" s="571" t="s">
        <v>30</v>
      </c>
      <c r="F674" s="1147" t="s">
        <v>842</v>
      </c>
      <c r="G674" s="1148"/>
      <c r="H674" s="1149"/>
      <c r="I674" s="1131" t="s">
        <v>633</v>
      </c>
      <c r="J674" s="1129"/>
      <c r="K674" s="1130"/>
      <c r="L674" s="158" t="s">
        <v>430</v>
      </c>
      <c r="M674" s="105" t="s">
        <v>431</v>
      </c>
    </row>
    <row r="675" spans="3:13">
      <c r="C675" s="90"/>
      <c r="D675" s="162"/>
      <c r="E675" s="572" t="s">
        <v>432</v>
      </c>
      <c r="F675" s="1150"/>
      <c r="G675" s="1151"/>
      <c r="H675" s="1152"/>
      <c r="I675" s="995" t="s">
        <v>843</v>
      </c>
      <c r="J675" s="996"/>
      <c r="K675" s="997"/>
      <c r="L675" s="99"/>
      <c r="M675" s="100"/>
    </row>
    <row r="676" spans="3:13">
      <c r="C676" s="90"/>
      <c r="D676" s="162"/>
      <c r="E676" s="573" t="s">
        <v>433</v>
      </c>
      <c r="F676" s="1153">
        <v>50</v>
      </c>
      <c r="G676" s="1154"/>
      <c r="H676" s="1155"/>
      <c r="I676" s="995"/>
      <c r="J676" s="996"/>
      <c r="K676" s="997"/>
      <c r="L676" s="99"/>
      <c r="M676" s="100"/>
    </row>
    <row r="677" spans="3:13" ht="20" thickBot="1">
      <c r="C677" s="90"/>
      <c r="D677" s="162"/>
      <c r="E677" s="573" t="s">
        <v>434</v>
      </c>
      <c r="F677" s="1153">
        <v>49.8</v>
      </c>
      <c r="G677" s="1154"/>
      <c r="H677" s="1155"/>
      <c r="I677" s="995"/>
      <c r="J677" s="996"/>
      <c r="K677" s="997"/>
      <c r="L677" s="99"/>
      <c r="M677" s="100"/>
    </row>
    <row r="678" spans="3:13" ht="20" thickBot="1">
      <c r="C678" s="90"/>
      <c r="D678" s="162"/>
      <c r="E678" s="574" t="s">
        <v>435</v>
      </c>
      <c r="F678" s="1160">
        <v>6.2500000000000028E-2</v>
      </c>
      <c r="G678" s="1161"/>
      <c r="H678" s="1162"/>
      <c r="I678" s="995"/>
      <c r="J678" s="996"/>
      <c r="K678" s="997"/>
      <c r="L678" s="106">
        <v>0.29166666666666669</v>
      </c>
      <c r="M678" s="107">
        <v>0.1875</v>
      </c>
    </row>
    <row r="679" spans="3:13" ht="20" thickBot="1">
      <c r="C679" s="90"/>
      <c r="D679" s="162"/>
      <c r="E679" s="575" t="s">
        <v>436</v>
      </c>
      <c r="F679" s="264" t="s">
        <v>29</v>
      </c>
      <c r="G679" s="264" t="s">
        <v>28</v>
      </c>
      <c r="H679" s="265" t="s">
        <v>27</v>
      </c>
      <c r="I679" s="995"/>
      <c r="J679" s="996"/>
      <c r="K679" s="997"/>
      <c r="L679" s="99"/>
      <c r="M679" s="100"/>
    </row>
    <row r="680" spans="3:13">
      <c r="C680" s="90"/>
      <c r="D680" s="162"/>
      <c r="E680" s="576">
        <v>45565</v>
      </c>
      <c r="F680" s="323">
        <v>49.8</v>
      </c>
      <c r="G680" s="323" t="s">
        <v>440</v>
      </c>
      <c r="H680" s="323">
        <v>49.1</v>
      </c>
      <c r="I680" s="995"/>
      <c r="J680" s="996"/>
      <c r="K680" s="997"/>
      <c r="L680" s="99"/>
      <c r="M680" s="100"/>
    </row>
    <row r="681" spans="3:13">
      <c r="C681" s="90"/>
      <c r="D681" s="162"/>
      <c r="E681" s="576">
        <v>45535</v>
      </c>
      <c r="F681" s="323">
        <v>49.1</v>
      </c>
      <c r="G681" s="323" t="s">
        <v>438</v>
      </c>
      <c r="H681" s="323">
        <v>49.4</v>
      </c>
      <c r="I681" s="995"/>
      <c r="J681" s="996"/>
      <c r="K681" s="997"/>
      <c r="L681" s="99"/>
      <c r="M681" s="100"/>
    </row>
    <row r="682" spans="3:13">
      <c r="C682" s="90"/>
      <c r="D682" s="162"/>
      <c r="E682" s="576">
        <v>45504</v>
      </c>
      <c r="F682" s="323">
        <v>49.4</v>
      </c>
      <c r="G682" s="323" t="s">
        <v>440</v>
      </c>
      <c r="H682" s="323">
        <v>49.5</v>
      </c>
      <c r="I682" s="995"/>
      <c r="J682" s="996"/>
      <c r="K682" s="997"/>
      <c r="L682" s="101"/>
      <c r="M682" s="100"/>
    </row>
    <row r="683" spans="3:13">
      <c r="C683" s="90"/>
      <c r="D683" s="162"/>
      <c r="E683" s="576">
        <v>45473</v>
      </c>
      <c r="F683" s="323">
        <v>49.5</v>
      </c>
      <c r="G683" s="323" t="s">
        <v>438</v>
      </c>
      <c r="H683" s="323">
        <v>49.5</v>
      </c>
      <c r="I683" s="995"/>
      <c r="J683" s="996"/>
      <c r="K683" s="997"/>
      <c r="L683" s="99"/>
      <c r="M683" s="100"/>
    </row>
    <row r="684" spans="3:13">
      <c r="C684" s="90"/>
      <c r="D684" s="162"/>
      <c r="E684" s="576">
        <v>45443</v>
      </c>
      <c r="F684" s="323">
        <v>49.5</v>
      </c>
      <c r="G684" s="323" t="s">
        <v>443</v>
      </c>
      <c r="H684" s="323">
        <v>50.4</v>
      </c>
      <c r="I684" s="995"/>
      <c r="J684" s="996"/>
      <c r="K684" s="997"/>
      <c r="L684" s="99"/>
      <c r="M684" s="100"/>
    </row>
    <row r="685" spans="3:13" ht="20" thickBot="1">
      <c r="C685" s="90"/>
      <c r="D685" s="162"/>
      <c r="E685" s="576">
        <v>45412</v>
      </c>
      <c r="F685" s="323">
        <v>50.4</v>
      </c>
      <c r="G685" s="323" t="s">
        <v>445</v>
      </c>
      <c r="H685" s="323">
        <v>50.8</v>
      </c>
      <c r="I685" s="998"/>
      <c r="J685" s="999"/>
      <c r="K685" s="1000"/>
      <c r="L685" s="102"/>
      <c r="M685" s="103"/>
    </row>
    <row r="686" spans="3:13" ht="25" thickBot="1">
      <c r="C686" s="90"/>
      <c r="D686" s="88" t="s">
        <v>105</v>
      </c>
      <c r="E686" s="571" t="s">
        <v>30</v>
      </c>
      <c r="F686" s="1147" t="s">
        <v>118</v>
      </c>
      <c r="G686" s="1148"/>
      <c r="H686" s="1149"/>
      <c r="I686" s="1131" t="s">
        <v>633</v>
      </c>
      <c r="J686" s="1129"/>
      <c r="K686" s="1130"/>
      <c r="L686" s="158" t="s">
        <v>430</v>
      </c>
      <c r="M686" s="105" t="s">
        <v>431</v>
      </c>
    </row>
    <row r="687" spans="3:13">
      <c r="C687" s="90"/>
      <c r="D687" s="162"/>
      <c r="E687" s="572" t="s">
        <v>432</v>
      </c>
      <c r="F687" s="1150"/>
      <c r="G687" s="1151"/>
      <c r="H687" s="1152"/>
      <c r="I687" s="995" t="s">
        <v>844</v>
      </c>
      <c r="J687" s="996"/>
      <c r="K687" s="997"/>
      <c r="L687" s="99"/>
      <c r="M687" s="100"/>
    </row>
    <row r="688" spans="3:13">
      <c r="C688" s="90"/>
      <c r="D688" s="162"/>
      <c r="E688" s="573" t="s">
        <v>433</v>
      </c>
      <c r="F688" s="1163">
        <v>2.5000000000000001E-3</v>
      </c>
      <c r="G688" s="1164"/>
      <c r="H688" s="1165"/>
      <c r="I688" s="995"/>
      <c r="J688" s="996"/>
      <c r="K688" s="997"/>
      <c r="L688" s="99"/>
      <c r="M688" s="100"/>
    </row>
    <row r="689" spans="3:13" ht="20" thickBot="1">
      <c r="C689" s="90"/>
      <c r="D689" s="162"/>
      <c r="E689" s="573" t="s">
        <v>434</v>
      </c>
      <c r="F689" s="1163">
        <v>2.5000000000000001E-3</v>
      </c>
      <c r="G689" s="1164"/>
      <c r="H689" s="1165"/>
      <c r="I689" s="995"/>
      <c r="J689" s="996"/>
      <c r="K689" s="997"/>
      <c r="L689" s="99"/>
      <c r="M689" s="100"/>
    </row>
    <row r="690" spans="3:13" ht="20" thickBot="1">
      <c r="C690" s="90"/>
      <c r="D690" s="162"/>
      <c r="E690" s="574" t="s">
        <v>435</v>
      </c>
      <c r="F690" s="1160">
        <v>0.12500000000000003</v>
      </c>
      <c r="G690" s="1161"/>
      <c r="H690" s="1162"/>
      <c r="I690" s="995"/>
      <c r="J690" s="996"/>
      <c r="K690" s="997"/>
      <c r="L690" s="106">
        <v>0.35416666666666669</v>
      </c>
      <c r="M690" s="107">
        <v>0.25</v>
      </c>
    </row>
    <row r="691" spans="3:13" ht="20" thickBot="1">
      <c r="C691" s="90"/>
      <c r="D691" s="162"/>
      <c r="E691" s="575" t="s">
        <v>436</v>
      </c>
      <c r="F691" s="264" t="s">
        <v>29</v>
      </c>
      <c r="G691" s="264" t="s">
        <v>28</v>
      </c>
      <c r="H691" s="265" t="s">
        <v>27</v>
      </c>
      <c r="I691" s="995"/>
      <c r="J691" s="996"/>
      <c r="K691" s="997"/>
      <c r="L691" s="99"/>
      <c r="M691" s="100"/>
    </row>
    <row r="692" spans="3:13">
      <c r="C692" s="90"/>
      <c r="D692" s="162"/>
      <c r="E692" s="576">
        <v>45555</v>
      </c>
      <c r="F692" s="266">
        <v>2.5000000000000001E-3</v>
      </c>
      <c r="G692" s="266" t="s">
        <v>892</v>
      </c>
      <c r="H692" s="266">
        <v>2.5000000000000001E-3</v>
      </c>
      <c r="I692" s="995"/>
      <c r="J692" s="996"/>
      <c r="K692" s="997"/>
      <c r="L692" s="99"/>
      <c r="M692" s="100"/>
    </row>
    <row r="693" spans="3:13">
      <c r="C693" s="90"/>
      <c r="D693" s="162"/>
      <c r="E693" s="576">
        <v>45504</v>
      </c>
      <c r="F693" s="266">
        <v>2.5000000000000001E-3</v>
      </c>
      <c r="G693" s="266" t="s">
        <v>893</v>
      </c>
      <c r="H693" s="266">
        <v>1E-3</v>
      </c>
      <c r="I693" s="995"/>
      <c r="J693" s="996"/>
      <c r="K693" s="997"/>
      <c r="L693" s="99"/>
      <c r="M693" s="100"/>
    </row>
    <row r="694" spans="3:13">
      <c r="C694" s="90"/>
      <c r="D694" s="162"/>
      <c r="E694" s="576">
        <v>45457</v>
      </c>
      <c r="F694" s="266">
        <v>1E-3</v>
      </c>
      <c r="G694" s="266" t="s">
        <v>893</v>
      </c>
      <c r="H694" s="266">
        <v>1E-3</v>
      </c>
      <c r="I694" s="995"/>
      <c r="J694" s="996"/>
      <c r="K694" s="997"/>
      <c r="L694" s="101"/>
      <c r="M694" s="100"/>
    </row>
    <row r="695" spans="3:13">
      <c r="C695" s="90"/>
      <c r="D695" s="162"/>
      <c r="E695" s="576">
        <v>45408</v>
      </c>
      <c r="F695" s="266">
        <v>1E-3</v>
      </c>
      <c r="G695" s="266" t="s">
        <v>893</v>
      </c>
      <c r="H695" s="266">
        <v>1E-3</v>
      </c>
      <c r="I695" s="995"/>
      <c r="J695" s="996"/>
      <c r="K695" s="997"/>
      <c r="L695" s="99"/>
      <c r="M695" s="100"/>
    </row>
    <row r="696" spans="3:13">
      <c r="C696" s="90"/>
      <c r="D696" s="162"/>
      <c r="E696" s="576">
        <v>45370</v>
      </c>
      <c r="F696" s="266">
        <v>1E-3</v>
      </c>
      <c r="G696" s="266" t="s">
        <v>893</v>
      </c>
      <c r="H696" s="266">
        <v>-1E-3</v>
      </c>
      <c r="I696" s="995"/>
      <c r="J696" s="996"/>
      <c r="K696" s="997"/>
      <c r="L696" s="99"/>
      <c r="M696" s="100"/>
    </row>
    <row r="697" spans="3:13" ht="20" thickBot="1">
      <c r="C697" s="90"/>
      <c r="D697" s="162"/>
      <c r="E697" s="576">
        <v>45314</v>
      </c>
      <c r="F697" s="266">
        <v>-1E-3</v>
      </c>
      <c r="G697" s="266" t="s">
        <v>894</v>
      </c>
      <c r="H697" s="266">
        <v>-1E-3</v>
      </c>
      <c r="I697" s="998"/>
      <c r="J697" s="999"/>
      <c r="K697" s="1000"/>
      <c r="L697" s="102"/>
      <c r="M697" s="103"/>
    </row>
    <row r="698" spans="3:13" ht="25" thickBot="1">
      <c r="C698" s="90"/>
      <c r="D698" s="88" t="s">
        <v>105</v>
      </c>
      <c r="E698" s="575" t="s">
        <v>30</v>
      </c>
      <c r="F698" s="1172" t="s">
        <v>845</v>
      </c>
      <c r="G698" s="1173"/>
      <c r="H698" s="1174"/>
      <c r="I698" s="1131" t="s">
        <v>633</v>
      </c>
      <c r="J698" s="1129"/>
      <c r="K698" s="1130"/>
      <c r="L698" s="158" t="s">
        <v>430</v>
      </c>
      <c r="M698" s="105" t="s">
        <v>431</v>
      </c>
    </row>
    <row r="699" spans="3:13">
      <c r="C699" s="90"/>
      <c r="D699" s="162"/>
      <c r="E699" s="572" t="s">
        <v>432</v>
      </c>
      <c r="F699" s="1150"/>
      <c r="G699" s="1151"/>
      <c r="H699" s="1152"/>
      <c r="I699" s="995" t="s">
        <v>846</v>
      </c>
      <c r="J699" s="996"/>
      <c r="K699" s="997"/>
      <c r="L699" s="99"/>
      <c r="M699" s="100"/>
    </row>
    <row r="700" spans="3:13">
      <c r="C700" s="90"/>
      <c r="D700" s="162"/>
      <c r="E700" s="573" t="s">
        <v>433</v>
      </c>
      <c r="F700" s="1175">
        <v>1.9E-2</v>
      </c>
      <c r="G700" s="1176"/>
      <c r="H700" s="1177"/>
      <c r="I700" s="995"/>
      <c r="J700" s="996"/>
      <c r="K700" s="997"/>
      <c r="L700" s="99"/>
      <c r="M700" s="100"/>
    </row>
    <row r="701" spans="3:13" ht="20" thickBot="1">
      <c r="C701" s="90"/>
      <c r="D701" s="162"/>
      <c r="E701" s="573" t="s">
        <v>434</v>
      </c>
      <c r="F701" s="1175">
        <v>1.7000000000000001E-2</v>
      </c>
      <c r="G701" s="1176"/>
      <c r="H701" s="1177"/>
      <c r="I701" s="995"/>
      <c r="J701" s="996"/>
      <c r="K701" s="997"/>
      <c r="L701" s="99"/>
      <c r="M701" s="100"/>
    </row>
    <row r="702" spans="3:13" ht="20" thickBot="1">
      <c r="C702" s="90"/>
      <c r="D702" s="162"/>
      <c r="E702" s="574" t="s">
        <v>435</v>
      </c>
      <c r="F702" s="1160">
        <v>0.41666666666666674</v>
      </c>
      <c r="G702" s="1161"/>
      <c r="H702" s="1162"/>
      <c r="I702" s="995"/>
      <c r="J702" s="996"/>
      <c r="K702" s="997"/>
      <c r="L702" s="106">
        <v>0.64583333333333337</v>
      </c>
      <c r="M702" s="107">
        <v>0.54166666666666674</v>
      </c>
    </row>
    <row r="703" spans="3:13" ht="20" thickBot="1">
      <c r="C703" s="90"/>
      <c r="D703" s="162"/>
      <c r="E703" s="575" t="s">
        <v>436</v>
      </c>
      <c r="F703" s="264" t="s">
        <v>29</v>
      </c>
      <c r="G703" s="264" t="s">
        <v>28</v>
      </c>
      <c r="H703" s="265" t="s">
        <v>27</v>
      </c>
      <c r="I703" s="995"/>
      <c r="J703" s="996"/>
      <c r="K703" s="997"/>
      <c r="L703" s="99"/>
      <c r="M703" s="100"/>
    </row>
    <row r="704" spans="3:13">
      <c r="C704" s="90"/>
      <c r="D704" s="162"/>
      <c r="E704" s="576">
        <v>45582</v>
      </c>
      <c r="F704" s="595">
        <v>1.7000000000000001E-2</v>
      </c>
      <c r="G704" s="595" t="s">
        <v>895</v>
      </c>
      <c r="H704" s="595">
        <v>2.1999999999999999E-2</v>
      </c>
      <c r="I704" s="995"/>
      <c r="J704" s="996"/>
      <c r="K704" s="997"/>
      <c r="L704" s="99"/>
      <c r="M704" s="100"/>
    </row>
    <row r="705" spans="3:13">
      <c r="C705" s="90"/>
      <c r="D705" s="162"/>
      <c r="E705" s="576">
        <v>45566</v>
      </c>
      <c r="F705" s="595">
        <v>1.7999999999999999E-2</v>
      </c>
      <c r="G705" s="595" t="s">
        <v>895</v>
      </c>
      <c r="H705" s="595">
        <v>2.1999999999999999E-2</v>
      </c>
      <c r="I705" s="995"/>
      <c r="J705" s="996"/>
      <c r="K705" s="997"/>
      <c r="L705" s="99"/>
      <c r="M705" s="100"/>
    </row>
    <row r="706" spans="3:13">
      <c r="C706" s="90"/>
      <c r="D706" s="162"/>
      <c r="E706" s="576">
        <v>45553</v>
      </c>
      <c r="F706" s="595">
        <v>2.1999999999999999E-2</v>
      </c>
      <c r="G706" s="595" t="s">
        <v>490</v>
      </c>
      <c r="H706" s="595">
        <v>2.5999999999999999E-2</v>
      </c>
      <c r="I706" s="995"/>
      <c r="J706" s="996"/>
      <c r="K706" s="997"/>
      <c r="L706" s="101"/>
      <c r="M706" s="100"/>
    </row>
    <row r="707" spans="3:13">
      <c r="C707" s="90"/>
      <c r="D707" s="162"/>
      <c r="E707" s="576">
        <v>45534</v>
      </c>
      <c r="F707" s="595">
        <v>2.1999999999999999E-2</v>
      </c>
      <c r="G707" s="595" t="s">
        <v>490</v>
      </c>
      <c r="H707" s="595">
        <v>2.5999999999999999E-2</v>
      </c>
      <c r="I707" s="995"/>
      <c r="J707" s="996"/>
      <c r="K707" s="997"/>
      <c r="L707" s="99"/>
      <c r="M707" s="100"/>
    </row>
    <row r="708" spans="3:13">
      <c r="C708" s="90"/>
      <c r="D708" s="162"/>
      <c r="E708" s="576">
        <v>45524</v>
      </c>
      <c r="F708" s="595">
        <v>2.5999999999999999E-2</v>
      </c>
      <c r="G708" s="595" t="s">
        <v>493</v>
      </c>
      <c r="H708" s="595">
        <v>2.5000000000000001E-2</v>
      </c>
      <c r="I708" s="995"/>
      <c r="J708" s="996"/>
      <c r="K708" s="997"/>
      <c r="L708" s="99"/>
      <c r="M708" s="100"/>
    </row>
    <row r="709" spans="3:13" ht="20" thickBot="1">
      <c r="C709" s="90"/>
      <c r="D709" s="162"/>
      <c r="E709" s="576">
        <v>45504</v>
      </c>
      <c r="F709" s="595">
        <v>2.5999999999999999E-2</v>
      </c>
      <c r="G709" s="595" t="s">
        <v>495</v>
      </c>
      <c r="H709" s="595">
        <v>2.5000000000000001E-2</v>
      </c>
      <c r="I709" s="998"/>
      <c r="J709" s="999"/>
      <c r="K709" s="1000"/>
      <c r="L709" s="102"/>
      <c r="M709" s="103"/>
    </row>
    <row r="710" spans="3:13" ht="24" thickBot="1">
      <c r="C710" s="90"/>
      <c r="D710" s="88" t="s">
        <v>105</v>
      </c>
      <c r="E710" s="571" t="s">
        <v>30</v>
      </c>
      <c r="F710" s="1147" t="s">
        <v>847</v>
      </c>
      <c r="G710" s="1148"/>
      <c r="H710" s="1149"/>
      <c r="I710" s="1131" t="s">
        <v>633</v>
      </c>
      <c r="J710" s="1129"/>
      <c r="K710" s="1130"/>
      <c r="L710" s="158"/>
      <c r="M710" s="105"/>
    </row>
    <row r="711" spans="3:13">
      <c r="C711" s="90"/>
      <c r="D711" s="162"/>
      <c r="E711" s="572" t="s">
        <v>432</v>
      </c>
      <c r="F711" s="1150"/>
      <c r="G711" s="1151"/>
      <c r="H711" s="1152"/>
      <c r="I711" s="995" t="s">
        <v>848</v>
      </c>
      <c r="J711" s="996"/>
      <c r="K711" s="997"/>
      <c r="L711" s="99"/>
      <c r="M711" s="100"/>
    </row>
    <row r="712" spans="3:13">
      <c r="C712" s="90"/>
      <c r="D712" s="162"/>
      <c r="E712" s="573" t="s">
        <v>433</v>
      </c>
      <c r="F712" s="1178">
        <v>0</v>
      </c>
      <c r="G712" s="1179"/>
      <c r="H712" s="1180"/>
      <c r="I712" s="995"/>
      <c r="J712" s="996"/>
      <c r="K712" s="997"/>
      <c r="L712" s="99"/>
      <c r="M712" s="100"/>
    </row>
    <row r="713" spans="3:13" ht="20" thickBot="1">
      <c r="C713" s="90"/>
      <c r="D713" s="162"/>
      <c r="E713" s="573" t="s">
        <v>434</v>
      </c>
      <c r="F713" s="1178">
        <v>2.7E-2</v>
      </c>
      <c r="G713" s="1179"/>
      <c r="H713" s="1180"/>
      <c r="I713" s="995"/>
      <c r="J713" s="996"/>
      <c r="K713" s="997"/>
      <c r="L713" s="99"/>
      <c r="M713" s="100"/>
    </row>
    <row r="714" spans="3:13" ht="20" thickBot="1">
      <c r="C714" s="90"/>
      <c r="D714" s="162"/>
      <c r="E714" s="574" t="s">
        <v>435</v>
      </c>
      <c r="F714" s="1160">
        <v>0.52083333333333337</v>
      </c>
      <c r="G714" s="1161"/>
      <c r="H714" s="1162"/>
      <c r="I714" s="995"/>
      <c r="J714" s="996"/>
      <c r="K714" s="997"/>
      <c r="L714" s="106">
        <v>0.75</v>
      </c>
      <c r="M714" s="107">
        <v>0.64583333333333337</v>
      </c>
    </row>
    <row r="715" spans="3:13" ht="20" thickBot="1">
      <c r="C715" s="90"/>
      <c r="D715" s="162"/>
      <c r="E715" s="575" t="s">
        <v>436</v>
      </c>
      <c r="F715" s="264" t="s">
        <v>29</v>
      </c>
      <c r="G715" s="264" t="s">
        <v>28</v>
      </c>
      <c r="H715" s="265" t="s">
        <v>27</v>
      </c>
      <c r="I715" s="995"/>
      <c r="J715" s="996"/>
      <c r="K715" s="997"/>
      <c r="L715" s="99"/>
      <c r="M715" s="100"/>
    </row>
    <row r="716" spans="3:13">
      <c r="C716" s="90"/>
      <c r="D716" s="162"/>
      <c r="E716" s="576">
        <v>45562</v>
      </c>
      <c r="F716" s="316">
        <v>2.7E-2</v>
      </c>
      <c r="G716" s="316" t="s">
        <v>665</v>
      </c>
      <c r="H716" s="316">
        <v>2.5999999999999999E-2</v>
      </c>
      <c r="I716" s="995"/>
      <c r="J716" s="996"/>
      <c r="K716" s="997"/>
      <c r="L716" s="99"/>
      <c r="M716" s="100"/>
    </row>
    <row r="717" spans="3:13">
      <c r="C717" s="90"/>
      <c r="D717" s="162"/>
      <c r="E717" s="576">
        <v>45534</v>
      </c>
      <c r="F717" s="316">
        <v>2.5999999999999999E-2</v>
      </c>
      <c r="G717" s="316" t="s">
        <v>665</v>
      </c>
      <c r="H717" s="316">
        <v>2.5999999999999999E-2</v>
      </c>
      <c r="I717" s="995"/>
      <c r="J717" s="996"/>
      <c r="K717" s="997"/>
      <c r="L717" s="99"/>
      <c r="M717" s="100"/>
    </row>
    <row r="718" spans="3:13">
      <c r="C718" s="90"/>
      <c r="D718" s="162"/>
      <c r="E718" s="576">
        <v>45499</v>
      </c>
      <c r="F718" s="316">
        <v>2.5999999999999999E-2</v>
      </c>
      <c r="G718" s="316" t="s">
        <v>495</v>
      </c>
      <c r="H718" s="316">
        <v>2.5999999999999999E-2</v>
      </c>
      <c r="I718" s="995"/>
      <c r="J718" s="996"/>
      <c r="K718" s="997"/>
      <c r="L718" s="101"/>
      <c r="M718" s="100"/>
    </row>
    <row r="719" spans="3:13">
      <c r="C719" s="90"/>
      <c r="D719" s="162"/>
      <c r="E719" s="576">
        <v>45471</v>
      </c>
      <c r="F719" s="316">
        <v>2.5999999999999999E-2</v>
      </c>
      <c r="G719" s="316" t="s">
        <v>493</v>
      </c>
      <c r="H719" s="316">
        <v>2.8000000000000001E-2</v>
      </c>
      <c r="I719" s="995"/>
      <c r="J719" s="996"/>
      <c r="K719" s="997"/>
      <c r="L719" s="99"/>
      <c r="M719" s="100"/>
    </row>
    <row r="720" spans="3:13">
      <c r="C720" s="90"/>
      <c r="D720" s="162"/>
      <c r="E720" s="576">
        <v>45443</v>
      </c>
      <c r="F720" s="316">
        <v>2.8000000000000001E-2</v>
      </c>
      <c r="G720" s="316" t="s">
        <v>666</v>
      </c>
      <c r="H720" s="316">
        <v>2.8000000000000001E-2</v>
      </c>
      <c r="I720" s="995"/>
      <c r="J720" s="996"/>
      <c r="K720" s="997"/>
      <c r="L720" s="99"/>
      <c r="M720" s="100"/>
    </row>
    <row r="721" spans="3:13" ht="20" thickBot="1">
      <c r="C721" s="90"/>
      <c r="D721" s="162"/>
      <c r="E721" s="576">
        <v>45408</v>
      </c>
      <c r="F721" s="316">
        <v>2.8000000000000001E-2</v>
      </c>
      <c r="G721" s="316" t="s">
        <v>493</v>
      </c>
      <c r="H721" s="316">
        <v>2.8000000000000001E-2</v>
      </c>
      <c r="I721" s="998"/>
      <c r="J721" s="999"/>
      <c r="K721" s="1000"/>
      <c r="L721" s="102"/>
      <c r="M721" s="103"/>
    </row>
    <row r="722" spans="3:13" ht="25" thickBot="1">
      <c r="C722" s="90"/>
      <c r="D722" s="88" t="s">
        <v>105</v>
      </c>
      <c r="E722" s="571" t="s">
        <v>30</v>
      </c>
      <c r="F722" s="1147" t="s">
        <v>849</v>
      </c>
      <c r="G722" s="1148"/>
      <c r="H722" s="1149"/>
      <c r="I722" s="1131" t="s">
        <v>633</v>
      </c>
      <c r="J722" s="1129"/>
      <c r="K722" s="1130"/>
      <c r="L722" s="158" t="s">
        <v>430</v>
      </c>
      <c r="M722" s="105" t="s">
        <v>431</v>
      </c>
    </row>
    <row r="723" spans="3:13">
      <c r="C723" s="90"/>
      <c r="D723" s="162"/>
      <c r="E723" s="572" t="s">
        <v>432</v>
      </c>
      <c r="F723" s="1150"/>
      <c r="G723" s="1151"/>
      <c r="H723" s="1152"/>
      <c r="I723" s="995" t="s">
        <v>850</v>
      </c>
      <c r="J723" s="996"/>
      <c r="K723" s="997"/>
      <c r="L723" s="99"/>
      <c r="M723" s="100"/>
    </row>
    <row r="724" spans="3:13">
      <c r="C724" s="90"/>
      <c r="D724" s="162"/>
      <c r="E724" s="573" t="s">
        <v>433</v>
      </c>
      <c r="F724" s="1163">
        <v>3.0000000000000001E-3</v>
      </c>
      <c r="G724" s="1164"/>
      <c r="H724" s="1165"/>
      <c r="I724" s="995"/>
      <c r="J724" s="996"/>
      <c r="K724" s="997"/>
      <c r="L724" s="99"/>
      <c r="M724" s="100"/>
    </row>
    <row r="725" spans="3:13" ht="20" thickBot="1">
      <c r="C725" s="90"/>
      <c r="D725" s="162"/>
      <c r="E725" s="573" t="s">
        <v>434</v>
      </c>
      <c r="F725" s="1163">
        <v>1E-3</v>
      </c>
      <c r="G725" s="1164"/>
      <c r="H725" s="1165"/>
      <c r="I725" s="995"/>
      <c r="J725" s="996"/>
      <c r="K725" s="997"/>
      <c r="L725" s="99"/>
      <c r="M725" s="100"/>
    </row>
    <row r="726" spans="3:13" ht="20" thickBot="1">
      <c r="C726" s="90"/>
      <c r="D726" s="162"/>
      <c r="E726" s="574" t="s">
        <v>435</v>
      </c>
      <c r="F726" s="1160">
        <v>0.52083333333333337</v>
      </c>
      <c r="G726" s="1161"/>
      <c r="H726" s="1162"/>
      <c r="I726" s="995"/>
      <c r="J726" s="996"/>
      <c r="K726" s="997"/>
      <c r="L726" s="106">
        <v>0.75</v>
      </c>
      <c r="M726" s="107">
        <v>0.64583333333333337</v>
      </c>
    </row>
    <row r="727" spans="3:13" ht="20" thickBot="1">
      <c r="C727" s="90"/>
      <c r="D727" s="162"/>
      <c r="E727" s="575" t="s">
        <v>436</v>
      </c>
      <c r="F727" s="264" t="s">
        <v>29</v>
      </c>
      <c r="G727" s="264" t="s">
        <v>28</v>
      </c>
      <c r="H727" s="265" t="s">
        <v>27</v>
      </c>
      <c r="I727" s="995"/>
      <c r="J727" s="996"/>
      <c r="K727" s="997"/>
      <c r="L727" s="99"/>
      <c r="M727" s="100"/>
    </row>
    <row r="728" spans="3:13">
      <c r="C728" s="90"/>
      <c r="D728" s="162"/>
      <c r="E728" s="576">
        <v>45562</v>
      </c>
      <c r="F728" s="316">
        <v>1E-3</v>
      </c>
      <c r="G728" s="316" t="s">
        <v>460</v>
      </c>
      <c r="H728" s="316">
        <v>2E-3</v>
      </c>
      <c r="I728" s="995"/>
      <c r="J728" s="996"/>
      <c r="K728" s="997"/>
      <c r="L728" s="99"/>
      <c r="M728" s="100"/>
    </row>
    <row r="729" spans="3:13">
      <c r="C729" s="90"/>
      <c r="D729" s="162"/>
      <c r="E729" s="576">
        <v>45534</v>
      </c>
      <c r="F729" s="316">
        <v>2E-3</v>
      </c>
      <c r="G729" s="316" t="s">
        <v>460</v>
      </c>
      <c r="H729" s="316">
        <v>2E-3</v>
      </c>
      <c r="I729" s="995"/>
      <c r="J729" s="996"/>
      <c r="K729" s="997"/>
      <c r="L729" s="99"/>
      <c r="M729" s="100"/>
    </row>
    <row r="730" spans="3:13">
      <c r="C730" s="90"/>
      <c r="D730" s="162"/>
      <c r="E730" s="576">
        <v>45499</v>
      </c>
      <c r="F730" s="316">
        <v>2E-3</v>
      </c>
      <c r="G730" s="316" t="s">
        <v>460</v>
      </c>
      <c r="H730" s="316">
        <v>1E-3</v>
      </c>
      <c r="I730" s="995"/>
      <c r="J730" s="996"/>
      <c r="K730" s="997"/>
      <c r="L730" s="101"/>
      <c r="M730" s="100"/>
    </row>
    <row r="731" spans="3:13">
      <c r="C731" s="90"/>
      <c r="D731" s="162"/>
      <c r="E731" s="576">
        <v>45471</v>
      </c>
      <c r="F731" s="316">
        <v>1E-3</v>
      </c>
      <c r="G731" s="316" t="s">
        <v>462</v>
      </c>
      <c r="H731" s="316">
        <v>3.0000000000000001E-3</v>
      </c>
      <c r="I731" s="995"/>
      <c r="J731" s="996"/>
      <c r="K731" s="997"/>
      <c r="L731" s="99"/>
      <c r="M731" s="100"/>
    </row>
    <row r="732" spans="3:13">
      <c r="C732" s="90"/>
      <c r="D732" s="162"/>
      <c r="E732" s="576">
        <v>45443</v>
      </c>
      <c r="F732" s="316">
        <v>2E-3</v>
      </c>
      <c r="G732" s="316" t="s">
        <v>467</v>
      </c>
      <c r="H732" s="316">
        <v>3.0000000000000001E-3</v>
      </c>
      <c r="I732" s="995"/>
      <c r="J732" s="996"/>
      <c r="K732" s="997"/>
      <c r="L732" s="99"/>
      <c r="M732" s="100"/>
    </row>
    <row r="733" spans="3:13" ht="20" thickBot="1">
      <c r="C733" s="90"/>
      <c r="D733" s="162"/>
      <c r="E733" s="576">
        <v>45408</v>
      </c>
      <c r="F733" s="316">
        <v>3.0000000000000001E-3</v>
      </c>
      <c r="G733" s="316" t="s">
        <v>467</v>
      </c>
      <c r="H733" s="316">
        <v>3.0000000000000001E-3</v>
      </c>
      <c r="I733" s="998"/>
      <c r="J733" s="999"/>
      <c r="K733" s="1000"/>
      <c r="L733" s="102"/>
      <c r="M733" s="103"/>
    </row>
    <row r="734" spans="3:13" ht="25" thickBot="1">
      <c r="C734" s="90"/>
      <c r="D734" s="88" t="s">
        <v>105</v>
      </c>
      <c r="E734" s="571" t="s">
        <v>30</v>
      </c>
      <c r="F734" s="1147" t="s">
        <v>14</v>
      </c>
      <c r="G734" s="1148"/>
      <c r="H734" s="1149"/>
      <c r="I734" s="1131" t="s">
        <v>633</v>
      </c>
      <c r="J734" s="1129"/>
      <c r="K734" s="1130"/>
      <c r="L734" s="158" t="s">
        <v>430</v>
      </c>
      <c r="M734" s="105" t="s">
        <v>431</v>
      </c>
    </row>
    <row r="735" spans="3:13">
      <c r="C735" s="90"/>
      <c r="D735" s="162"/>
      <c r="E735" s="572" t="s">
        <v>432</v>
      </c>
      <c r="F735" s="1150"/>
      <c r="G735" s="1151"/>
      <c r="H735" s="1152"/>
      <c r="I735" s="995" t="s">
        <v>851</v>
      </c>
      <c r="J735" s="996"/>
      <c r="K735" s="997"/>
      <c r="L735" s="99"/>
      <c r="M735" s="100"/>
    </row>
    <row r="736" spans="3:13">
      <c r="C736" s="90"/>
      <c r="D736" s="162"/>
      <c r="E736" s="573" t="s">
        <v>433</v>
      </c>
      <c r="F736" s="1169" t="s">
        <v>268</v>
      </c>
      <c r="G736" s="1170"/>
      <c r="H736" s="1171"/>
      <c r="I736" s="995"/>
      <c r="J736" s="996"/>
      <c r="K736" s="997"/>
      <c r="L736" s="99"/>
      <c r="M736" s="100"/>
    </row>
    <row r="737" spans="3:13" ht="20" thickBot="1">
      <c r="C737" s="90"/>
      <c r="D737" s="162"/>
      <c r="E737" s="573" t="s">
        <v>434</v>
      </c>
      <c r="F737" s="1166" t="s">
        <v>209</v>
      </c>
      <c r="G737" s="1167"/>
      <c r="H737" s="1168"/>
      <c r="I737" s="995"/>
      <c r="J737" s="996"/>
      <c r="K737" s="997"/>
      <c r="L737" s="99"/>
      <c r="M737" s="100"/>
    </row>
    <row r="738" spans="3:13" ht="20" thickBot="1">
      <c r="C738" s="90"/>
      <c r="D738" s="162"/>
      <c r="E738" s="574" t="s">
        <v>435</v>
      </c>
      <c r="F738" s="1160">
        <v>0.52083333333333337</v>
      </c>
      <c r="G738" s="1161"/>
      <c r="H738" s="1162"/>
      <c r="I738" s="995"/>
      <c r="J738" s="996"/>
      <c r="K738" s="997"/>
      <c r="L738" s="106">
        <v>0.75</v>
      </c>
      <c r="M738" s="107">
        <v>0.64583333333333337</v>
      </c>
    </row>
    <row r="739" spans="3:13" ht="20" thickBot="1">
      <c r="C739" s="90"/>
      <c r="D739" s="162"/>
      <c r="E739" s="575" t="s">
        <v>436</v>
      </c>
      <c r="F739" s="264" t="s">
        <v>29</v>
      </c>
      <c r="G739" s="264" t="s">
        <v>28</v>
      </c>
      <c r="H739" s="265" t="s">
        <v>27</v>
      </c>
      <c r="I739" s="995"/>
      <c r="J739" s="996"/>
      <c r="K739" s="997"/>
      <c r="L739" s="99"/>
      <c r="M739" s="100"/>
    </row>
    <row r="740" spans="3:13">
      <c r="C740" s="90"/>
      <c r="D740" s="162"/>
      <c r="E740" s="576">
        <v>45589</v>
      </c>
      <c r="F740" s="592" t="s">
        <v>209</v>
      </c>
      <c r="G740" s="592" t="s">
        <v>896</v>
      </c>
      <c r="H740" s="592" t="s">
        <v>897</v>
      </c>
      <c r="I740" s="995"/>
      <c r="J740" s="996"/>
      <c r="K740" s="997"/>
      <c r="L740" s="99"/>
      <c r="M740" s="100"/>
    </row>
    <row r="741" spans="3:13">
      <c r="C741" s="90"/>
      <c r="D741" s="162"/>
      <c r="E741" s="576">
        <v>45582</v>
      </c>
      <c r="F741" s="592" t="s">
        <v>171</v>
      </c>
      <c r="G741" s="592" t="s">
        <v>898</v>
      </c>
      <c r="H741" s="592" t="s">
        <v>692</v>
      </c>
      <c r="I741" s="995"/>
      <c r="J741" s="996"/>
      <c r="K741" s="997"/>
      <c r="L741" s="99"/>
      <c r="M741" s="100"/>
    </row>
    <row r="742" spans="3:13">
      <c r="C742" s="90"/>
      <c r="D742" s="162"/>
      <c r="E742" s="576">
        <v>45575</v>
      </c>
      <c r="F742" s="592" t="s">
        <v>678</v>
      </c>
      <c r="G742" s="592" t="s">
        <v>580</v>
      </c>
      <c r="H742" s="592" t="s">
        <v>638</v>
      </c>
      <c r="I742" s="995"/>
      <c r="J742" s="996"/>
      <c r="K742" s="997"/>
      <c r="L742" s="101"/>
      <c r="M742" s="100"/>
    </row>
    <row r="743" spans="3:13">
      <c r="C743" s="90"/>
      <c r="D743" s="162"/>
      <c r="E743" s="576">
        <v>45568</v>
      </c>
      <c r="F743" s="592" t="s">
        <v>638</v>
      </c>
      <c r="G743" s="592" t="s">
        <v>734</v>
      </c>
      <c r="H743" s="592" t="s">
        <v>345</v>
      </c>
      <c r="I743" s="995"/>
      <c r="J743" s="996"/>
      <c r="K743" s="997"/>
      <c r="L743" s="99"/>
      <c r="M743" s="100"/>
    </row>
    <row r="744" spans="3:13">
      <c r="C744" s="90"/>
      <c r="D744" s="162"/>
      <c r="E744" s="576">
        <v>45561</v>
      </c>
      <c r="F744" s="592" t="s">
        <v>382</v>
      </c>
      <c r="G744" s="592" t="s">
        <v>574</v>
      </c>
      <c r="H744" s="592" t="s">
        <v>72</v>
      </c>
      <c r="I744" s="995"/>
      <c r="J744" s="996"/>
      <c r="K744" s="997"/>
      <c r="L744" s="99"/>
      <c r="M744" s="100"/>
    </row>
    <row r="745" spans="3:13" ht="20" thickBot="1">
      <c r="C745" s="90"/>
      <c r="D745" s="162"/>
      <c r="E745" s="576">
        <v>45554</v>
      </c>
      <c r="F745" s="592" t="s">
        <v>345</v>
      </c>
      <c r="G745" s="592" t="s">
        <v>576</v>
      </c>
      <c r="H745" s="592" t="s">
        <v>268</v>
      </c>
      <c r="I745" s="998"/>
      <c r="J745" s="999"/>
      <c r="K745" s="1000"/>
      <c r="L745" s="102"/>
      <c r="M745" s="103"/>
    </row>
    <row r="746" spans="3:13" ht="25" thickBot="1">
      <c r="C746" s="90"/>
      <c r="D746" s="88" t="s">
        <v>105</v>
      </c>
      <c r="E746" s="571" t="s">
        <v>30</v>
      </c>
      <c r="F746" s="1147" t="s">
        <v>852</v>
      </c>
      <c r="G746" s="1148"/>
      <c r="H746" s="1149"/>
      <c r="I746" s="1131" t="s">
        <v>633</v>
      </c>
      <c r="J746" s="1129"/>
      <c r="K746" s="1130"/>
      <c r="L746" s="158" t="s">
        <v>430</v>
      </c>
      <c r="M746" s="105" t="s">
        <v>431</v>
      </c>
    </row>
    <row r="747" spans="3:13">
      <c r="C747" s="90"/>
      <c r="D747" s="162"/>
      <c r="E747" s="572" t="s">
        <v>432</v>
      </c>
      <c r="F747" s="1150"/>
      <c r="G747" s="1151"/>
      <c r="H747" s="1152"/>
      <c r="I747" s="995" t="s">
        <v>853</v>
      </c>
      <c r="J747" s="996"/>
      <c r="K747" s="997"/>
      <c r="L747" s="99"/>
      <c r="M747" s="100"/>
    </row>
    <row r="748" spans="3:13">
      <c r="C748" s="90"/>
      <c r="D748" s="162"/>
      <c r="E748" s="573" t="s">
        <v>433</v>
      </c>
      <c r="F748" s="1153">
        <v>47.1</v>
      </c>
      <c r="G748" s="1154"/>
      <c r="H748" s="1155"/>
      <c r="I748" s="995"/>
      <c r="J748" s="996"/>
      <c r="K748" s="997"/>
      <c r="L748" s="99"/>
      <c r="M748" s="100"/>
    </row>
    <row r="749" spans="3:13" ht="20" thickBot="1">
      <c r="C749" s="90"/>
      <c r="D749" s="162"/>
      <c r="E749" s="573" t="s">
        <v>434</v>
      </c>
      <c r="F749" s="1153">
        <v>46.6</v>
      </c>
      <c r="G749" s="1154"/>
      <c r="H749" s="1155"/>
      <c r="I749" s="995"/>
      <c r="J749" s="996"/>
      <c r="K749" s="997"/>
      <c r="L749" s="99"/>
      <c r="M749" s="100"/>
    </row>
    <row r="750" spans="3:13" ht="20" thickBot="1">
      <c r="C750" s="90"/>
      <c r="D750" s="162"/>
      <c r="E750" s="574" t="s">
        <v>435</v>
      </c>
      <c r="F750" s="1160">
        <v>0.57291666666666674</v>
      </c>
      <c r="G750" s="1161"/>
      <c r="H750" s="1162"/>
      <c r="I750" s="995"/>
      <c r="J750" s="996"/>
      <c r="K750" s="997"/>
      <c r="L750" s="106">
        <v>0.80208333333333337</v>
      </c>
      <c r="M750" s="107">
        <v>0.69791666666666674</v>
      </c>
    </row>
    <row r="751" spans="3:13" ht="20" thickBot="1">
      <c r="C751" s="90"/>
      <c r="D751" s="162"/>
      <c r="E751" s="575" t="s">
        <v>436</v>
      </c>
      <c r="F751" s="264" t="s">
        <v>29</v>
      </c>
      <c r="G751" s="264" t="s">
        <v>28</v>
      </c>
      <c r="H751" s="265" t="s">
        <v>27</v>
      </c>
      <c r="I751" s="995"/>
      <c r="J751" s="996"/>
      <c r="K751" s="997"/>
      <c r="L751" s="99"/>
      <c r="M751" s="100"/>
    </row>
    <row r="752" spans="3:13">
      <c r="C752" s="90"/>
      <c r="D752" s="162"/>
      <c r="E752" s="576">
        <v>45565</v>
      </c>
      <c r="F752" s="323">
        <v>46.6</v>
      </c>
      <c r="G752" s="323" t="s">
        <v>899</v>
      </c>
      <c r="H752" s="323">
        <v>46.1</v>
      </c>
      <c r="I752" s="995"/>
      <c r="J752" s="996"/>
      <c r="K752" s="997"/>
      <c r="L752" s="99"/>
      <c r="M752" s="100"/>
    </row>
    <row r="753" spans="3:13">
      <c r="C753" s="90"/>
      <c r="D753" s="162"/>
      <c r="E753" s="576">
        <v>45534</v>
      </c>
      <c r="F753" s="323">
        <v>46.1</v>
      </c>
      <c r="G753" s="323" t="s">
        <v>473</v>
      </c>
      <c r="H753" s="323">
        <v>45.3</v>
      </c>
      <c r="I753" s="995"/>
      <c r="J753" s="996"/>
      <c r="K753" s="997"/>
      <c r="L753" s="99"/>
      <c r="M753" s="100"/>
    </row>
    <row r="754" spans="3:13">
      <c r="C754" s="90"/>
      <c r="D754" s="162"/>
      <c r="E754" s="576">
        <v>45504</v>
      </c>
      <c r="F754" s="323">
        <v>45.3</v>
      </c>
      <c r="G754" s="323" t="s">
        <v>474</v>
      </c>
      <c r="H754" s="323">
        <v>47.4</v>
      </c>
      <c r="I754" s="995"/>
      <c r="J754" s="996"/>
      <c r="K754" s="997"/>
      <c r="L754" s="101"/>
      <c r="M754" s="100"/>
    </row>
    <row r="755" spans="3:13">
      <c r="C755" s="90"/>
      <c r="D755" s="162"/>
      <c r="E755" s="576">
        <v>45471</v>
      </c>
      <c r="F755" s="323">
        <v>47.4</v>
      </c>
      <c r="G755" s="323" t="s">
        <v>475</v>
      </c>
      <c r="H755" s="323">
        <v>35.4</v>
      </c>
      <c r="I755" s="995"/>
      <c r="J755" s="996"/>
      <c r="K755" s="997"/>
      <c r="L755" s="99"/>
      <c r="M755" s="100"/>
    </row>
    <row r="756" spans="3:13">
      <c r="C756" s="90"/>
      <c r="D756" s="162"/>
      <c r="E756" s="576">
        <v>45443</v>
      </c>
      <c r="F756" s="323">
        <v>35.4</v>
      </c>
      <c r="G756" s="323" t="s">
        <v>476</v>
      </c>
      <c r="H756" s="323">
        <v>37.9</v>
      </c>
      <c r="I756" s="995"/>
      <c r="J756" s="996"/>
      <c r="K756" s="997"/>
      <c r="L756" s="99"/>
      <c r="M756" s="100"/>
    </row>
    <row r="757" spans="3:13" ht="20" thickBot="1">
      <c r="C757" s="90"/>
      <c r="D757" s="162"/>
      <c r="E757" s="576">
        <v>45412</v>
      </c>
      <c r="F757" s="323">
        <v>37.9</v>
      </c>
      <c r="G757" s="323" t="s">
        <v>477</v>
      </c>
      <c r="H757" s="323">
        <v>41.4</v>
      </c>
      <c r="I757" s="998"/>
      <c r="J757" s="999"/>
      <c r="K757" s="1000"/>
      <c r="L757" s="102"/>
      <c r="M757" s="103"/>
    </row>
    <row r="758" spans="3:13" ht="25" thickBot="1">
      <c r="C758" s="90"/>
      <c r="D758" s="88" t="s">
        <v>105</v>
      </c>
      <c r="E758" s="571" t="s">
        <v>30</v>
      </c>
      <c r="F758" s="1147" t="s">
        <v>856</v>
      </c>
      <c r="G758" s="1148"/>
      <c r="H758" s="1149"/>
      <c r="I758" s="1131" t="s">
        <v>633</v>
      </c>
      <c r="J758" s="1129"/>
      <c r="K758" s="1130"/>
      <c r="L758" s="158" t="s">
        <v>430</v>
      </c>
      <c r="M758" s="105" t="s">
        <v>431</v>
      </c>
    </row>
    <row r="759" spans="3:13">
      <c r="C759" s="90"/>
      <c r="D759" s="162"/>
      <c r="E759" s="572" t="s">
        <v>432</v>
      </c>
      <c r="F759" s="1150"/>
      <c r="G759" s="1151"/>
      <c r="H759" s="1152"/>
      <c r="I759" s="1032" t="s">
        <v>857</v>
      </c>
      <c r="J759" s="1033"/>
      <c r="K759" s="1034"/>
      <c r="L759" s="99"/>
      <c r="M759" s="100"/>
    </row>
    <row r="760" spans="3:13">
      <c r="C760" s="90"/>
      <c r="D760" s="162"/>
      <c r="E760" s="573" t="s">
        <v>433</v>
      </c>
      <c r="F760" s="1153">
        <v>1.59</v>
      </c>
      <c r="G760" s="1154"/>
      <c r="H760" s="1155"/>
      <c r="I760" s="1032"/>
      <c r="J760" s="1033"/>
      <c r="K760" s="1034"/>
      <c r="L760" s="99"/>
      <c r="M760" s="100"/>
    </row>
    <row r="761" spans="3:13" ht="20" thickBot="1">
      <c r="C761" s="90"/>
      <c r="D761" s="162"/>
      <c r="E761" s="573" t="s">
        <v>434</v>
      </c>
      <c r="F761" s="1153">
        <v>1.4</v>
      </c>
      <c r="G761" s="1154"/>
      <c r="H761" s="1155"/>
      <c r="I761" s="1032"/>
      <c r="J761" s="1033"/>
      <c r="K761" s="1034"/>
      <c r="L761" s="99"/>
      <c r="M761" s="100"/>
    </row>
    <row r="762" spans="3:13" ht="20" thickBot="1">
      <c r="C762" s="90"/>
      <c r="D762" s="162"/>
      <c r="E762" s="574" t="s">
        <v>435</v>
      </c>
      <c r="F762" s="1156">
        <v>0.95833333333333337</v>
      </c>
      <c r="G762" s="1157"/>
      <c r="H762" s="1158"/>
      <c r="I762" s="1032"/>
      <c r="J762" s="1033"/>
      <c r="K762" s="1034"/>
      <c r="L762" s="106">
        <v>6.25E-2</v>
      </c>
      <c r="M762" s="107">
        <v>0.95833333333333337</v>
      </c>
    </row>
    <row r="763" spans="3:13" ht="20" thickBot="1">
      <c r="C763" s="90"/>
      <c r="D763" s="162"/>
      <c r="E763" s="575" t="s">
        <v>436</v>
      </c>
      <c r="F763" s="264" t="s">
        <v>29</v>
      </c>
      <c r="G763" s="264" t="s">
        <v>28</v>
      </c>
      <c r="H763" s="265" t="s">
        <v>27</v>
      </c>
      <c r="I763" s="1032"/>
      <c r="J763" s="1033"/>
      <c r="K763" s="1034"/>
      <c r="L763" s="99"/>
      <c r="M763" s="100"/>
    </row>
    <row r="764" spans="3:13" ht="18">
      <c r="C764" s="90"/>
      <c r="D764" s="162"/>
      <c r="E764" s="593">
        <v>45505</v>
      </c>
      <c r="F764" s="577">
        <v>1.4</v>
      </c>
      <c r="G764" s="577">
        <v>1.34</v>
      </c>
      <c r="H764" s="577">
        <v>1.53</v>
      </c>
      <c r="I764" s="1032"/>
      <c r="J764" s="1033"/>
      <c r="K764" s="1034"/>
      <c r="L764" s="99"/>
      <c r="M764" s="100"/>
    </row>
    <row r="765" spans="3:13" ht="18">
      <c r="C765" s="90"/>
      <c r="D765" s="162"/>
      <c r="E765" s="593">
        <v>45414</v>
      </c>
      <c r="F765" s="577">
        <v>1.53</v>
      </c>
      <c r="G765" s="577">
        <v>1.51</v>
      </c>
      <c r="H765" s="577">
        <v>2.1800000000000002</v>
      </c>
      <c r="I765" s="1032"/>
      <c r="J765" s="1033"/>
      <c r="K765" s="1034"/>
      <c r="L765" s="99"/>
      <c r="M765" s="100"/>
    </row>
    <row r="766" spans="3:13" ht="18">
      <c r="C766" s="90"/>
      <c r="D766" s="162"/>
      <c r="E766" s="593">
        <v>45323</v>
      </c>
      <c r="F766" s="577">
        <v>2.1800000000000002</v>
      </c>
      <c r="G766" s="577">
        <v>2.09</v>
      </c>
      <c r="H766" s="577">
        <v>1.46</v>
      </c>
      <c r="I766" s="1032"/>
      <c r="J766" s="1033"/>
      <c r="K766" s="1034"/>
      <c r="L766" s="101"/>
      <c r="M766" s="100"/>
    </row>
    <row r="767" spans="3:13" ht="18">
      <c r="C767" s="90"/>
      <c r="D767" s="162"/>
      <c r="E767" s="593">
        <v>45232</v>
      </c>
      <c r="F767" s="577">
        <v>1.46</v>
      </c>
      <c r="G767" s="577">
        <v>1.39</v>
      </c>
      <c r="H767" s="577">
        <v>1.26</v>
      </c>
      <c r="I767" s="1032"/>
      <c r="J767" s="1033"/>
      <c r="K767" s="1034"/>
      <c r="L767" s="99"/>
      <c r="M767" s="100"/>
    </row>
    <row r="768" spans="3:13" ht="18">
      <c r="C768" s="90"/>
      <c r="D768" s="162"/>
      <c r="E768" s="593">
        <v>45141</v>
      </c>
      <c r="F768" s="577">
        <v>1.26</v>
      </c>
      <c r="G768" s="577">
        <v>1.19</v>
      </c>
      <c r="H768" s="577">
        <v>1.52</v>
      </c>
      <c r="I768" s="1032"/>
      <c r="J768" s="1033"/>
      <c r="K768" s="1034"/>
      <c r="L768" s="99"/>
      <c r="M768" s="100"/>
    </row>
    <row r="769" spans="3:13" thickBot="1">
      <c r="C769" s="90"/>
      <c r="D769" s="162"/>
      <c r="E769" s="593">
        <v>45050</v>
      </c>
      <c r="F769" s="577">
        <v>1.52</v>
      </c>
      <c r="G769" s="577">
        <v>1.44</v>
      </c>
      <c r="H769" s="577">
        <v>1.88</v>
      </c>
      <c r="I769" s="1035"/>
      <c r="J769" s="1036"/>
      <c r="K769" s="1037"/>
      <c r="L769" s="102"/>
      <c r="M769" s="103"/>
    </row>
    <row r="770" spans="3:13" ht="25" thickBot="1">
      <c r="C770" s="90"/>
      <c r="D770" s="88" t="s">
        <v>105</v>
      </c>
      <c r="E770" s="571" t="s">
        <v>30</v>
      </c>
      <c r="F770" s="1147" t="s">
        <v>858</v>
      </c>
      <c r="G770" s="1148"/>
      <c r="H770" s="1149"/>
      <c r="I770" s="1131" t="s">
        <v>633</v>
      </c>
      <c r="J770" s="1129"/>
      <c r="K770" s="1130"/>
      <c r="L770" s="158" t="s">
        <v>430</v>
      </c>
      <c r="M770" s="105" t="s">
        <v>431</v>
      </c>
    </row>
    <row r="771" spans="3:13">
      <c r="C771" s="90"/>
      <c r="D771" s="162"/>
      <c r="E771" s="572" t="s">
        <v>432</v>
      </c>
      <c r="F771" s="1150"/>
      <c r="G771" s="1151"/>
      <c r="H771" s="1152"/>
      <c r="I771" s="995" t="s">
        <v>859</v>
      </c>
      <c r="J771" s="996"/>
      <c r="K771" s="997"/>
      <c r="L771" s="99"/>
      <c r="M771" s="100"/>
    </row>
    <row r="772" spans="3:13">
      <c r="C772" s="90"/>
      <c r="D772" s="162"/>
      <c r="E772" s="573" t="s">
        <v>433</v>
      </c>
      <c r="F772" s="1166">
        <v>3.0000000000000001E-3</v>
      </c>
      <c r="G772" s="1167"/>
      <c r="H772" s="1168"/>
      <c r="I772" s="995"/>
      <c r="J772" s="996"/>
      <c r="K772" s="997"/>
      <c r="L772" s="99"/>
      <c r="M772" s="100"/>
    </row>
    <row r="773" spans="3:13" ht="20" thickBot="1">
      <c r="C773" s="90"/>
      <c r="D773" s="162"/>
      <c r="E773" s="573" t="s">
        <v>434</v>
      </c>
      <c r="F773" s="1166">
        <v>4.0000000000000001E-3</v>
      </c>
      <c r="G773" s="1167"/>
      <c r="H773" s="1168"/>
      <c r="I773" s="995"/>
      <c r="J773" s="996"/>
      <c r="K773" s="997"/>
      <c r="L773" s="99"/>
      <c r="M773" s="100"/>
    </row>
    <row r="774" spans="3:13" ht="20" thickBot="1">
      <c r="C774" s="90"/>
      <c r="D774" s="162"/>
      <c r="E774" s="574" t="s">
        <v>435</v>
      </c>
      <c r="F774" s="1160">
        <v>0.52083333333333337</v>
      </c>
      <c r="G774" s="1161"/>
      <c r="H774" s="1162"/>
      <c r="I774" s="995"/>
      <c r="J774" s="996"/>
      <c r="K774" s="997"/>
      <c r="L774" s="106">
        <v>0.75</v>
      </c>
      <c r="M774" s="107">
        <v>0.64583333333333337</v>
      </c>
    </row>
    <row r="775" spans="3:13" ht="20" thickBot="1">
      <c r="C775" s="90"/>
      <c r="D775" s="162"/>
      <c r="E775" s="575" t="s">
        <v>436</v>
      </c>
      <c r="F775" s="264" t="s">
        <v>29</v>
      </c>
      <c r="G775" s="264" t="s">
        <v>28</v>
      </c>
      <c r="H775" s="265" t="s">
        <v>27</v>
      </c>
      <c r="I775" s="995"/>
      <c r="J775" s="996"/>
      <c r="K775" s="997"/>
      <c r="L775" s="99"/>
      <c r="M775" s="100"/>
    </row>
    <row r="776" spans="3:13">
      <c r="C776" s="90"/>
      <c r="D776" s="162"/>
      <c r="E776" s="576">
        <v>45569</v>
      </c>
      <c r="F776" s="316">
        <v>4.0000000000000001E-3</v>
      </c>
      <c r="G776" s="316" t="s">
        <v>467</v>
      </c>
      <c r="H776" s="316">
        <v>5.0000000000000001E-3</v>
      </c>
      <c r="I776" s="995"/>
      <c r="J776" s="996"/>
      <c r="K776" s="997"/>
      <c r="L776" s="99"/>
      <c r="M776" s="100"/>
    </row>
    <row r="777" spans="3:13">
      <c r="C777" s="90"/>
      <c r="D777" s="162"/>
      <c r="E777" s="576">
        <v>45541</v>
      </c>
      <c r="F777" s="316">
        <v>4.0000000000000001E-3</v>
      </c>
      <c r="G777" s="316" t="s">
        <v>467</v>
      </c>
      <c r="H777" s="316">
        <v>-1E-3</v>
      </c>
      <c r="I777" s="995"/>
      <c r="J777" s="996"/>
      <c r="K777" s="997"/>
      <c r="L777" s="99"/>
      <c r="M777" s="100"/>
    </row>
    <row r="778" spans="3:13">
      <c r="C778" s="90"/>
      <c r="D778" s="162"/>
      <c r="E778" s="576">
        <v>45506</v>
      </c>
      <c r="F778" s="316">
        <v>2E-3</v>
      </c>
      <c r="G778" s="316" t="s">
        <v>467</v>
      </c>
      <c r="H778" s="316">
        <v>3.0000000000000001E-3</v>
      </c>
      <c r="I778" s="995"/>
      <c r="J778" s="996"/>
      <c r="K778" s="997"/>
      <c r="L778" s="101"/>
      <c r="M778" s="100"/>
    </row>
    <row r="779" spans="3:13">
      <c r="C779" s="90"/>
      <c r="D779" s="162"/>
      <c r="E779" s="576">
        <v>45478</v>
      </c>
      <c r="F779" s="316">
        <v>3.0000000000000001E-3</v>
      </c>
      <c r="G779" s="316" t="s">
        <v>467</v>
      </c>
      <c r="H779" s="316">
        <v>4.0000000000000001E-3</v>
      </c>
      <c r="I779" s="995"/>
      <c r="J779" s="996"/>
      <c r="K779" s="997"/>
      <c r="L779" s="99"/>
      <c r="M779" s="100"/>
    </row>
    <row r="780" spans="3:13">
      <c r="C780" s="90"/>
      <c r="D780" s="162"/>
      <c r="E780" s="576">
        <v>45450</v>
      </c>
      <c r="F780" s="316">
        <v>4.0000000000000001E-3</v>
      </c>
      <c r="G780" s="316" t="s">
        <v>467</v>
      </c>
      <c r="H780" s="316">
        <v>2E-3</v>
      </c>
      <c r="I780" s="995"/>
      <c r="J780" s="996"/>
      <c r="K780" s="997"/>
      <c r="L780" s="99"/>
      <c r="M780" s="100"/>
    </row>
    <row r="781" spans="3:13" ht="20" thickBot="1">
      <c r="C781" s="90"/>
      <c r="D781" s="162"/>
      <c r="E781" s="576">
        <v>45415</v>
      </c>
      <c r="F781" s="316">
        <v>2E-3</v>
      </c>
      <c r="G781" s="316" t="s">
        <v>467</v>
      </c>
      <c r="H781" s="316">
        <v>3.0000000000000001E-3</v>
      </c>
      <c r="I781" s="998"/>
      <c r="J781" s="999"/>
      <c r="K781" s="1000"/>
      <c r="L781" s="102"/>
      <c r="M781" s="103"/>
    </row>
    <row r="782" spans="3:13" ht="25" thickBot="1">
      <c r="C782" s="90"/>
      <c r="D782" s="88" t="s">
        <v>105</v>
      </c>
      <c r="E782" s="571" t="s">
        <v>30</v>
      </c>
      <c r="F782" s="1147" t="s">
        <v>860</v>
      </c>
      <c r="G782" s="1148"/>
      <c r="H782" s="1149"/>
      <c r="I782" s="1131" t="s">
        <v>633</v>
      </c>
      <c r="J782" s="1129"/>
      <c r="K782" s="1130"/>
      <c r="L782" s="158" t="s">
        <v>430</v>
      </c>
      <c r="M782" s="105" t="s">
        <v>431</v>
      </c>
    </row>
    <row r="783" spans="3:13">
      <c r="C783" s="90"/>
      <c r="D783" s="162"/>
      <c r="E783" s="572" t="s">
        <v>432</v>
      </c>
      <c r="F783" s="1150"/>
      <c r="G783" s="1151"/>
      <c r="H783" s="1152"/>
      <c r="I783" s="995" t="s">
        <v>859</v>
      </c>
      <c r="J783" s="996"/>
      <c r="K783" s="997"/>
      <c r="L783" s="99"/>
      <c r="M783" s="100"/>
    </row>
    <row r="784" spans="3:13">
      <c r="C784" s="90"/>
      <c r="D784" s="162"/>
      <c r="E784" s="573" t="s">
        <v>433</v>
      </c>
      <c r="F784" s="1166" t="s">
        <v>547</v>
      </c>
      <c r="G784" s="1167"/>
      <c r="H784" s="1168"/>
      <c r="I784" s="995"/>
      <c r="J784" s="996"/>
      <c r="K784" s="997"/>
      <c r="L784" s="99"/>
      <c r="M784" s="100"/>
    </row>
    <row r="785" spans="3:13" ht="20" thickBot="1">
      <c r="C785" s="90"/>
      <c r="D785" s="162"/>
      <c r="E785" s="573" t="s">
        <v>434</v>
      </c>
      <c r="F785" s="1166" t="s">
        <v>641</v>
      </c>
      <c r="G785" s="1167"/>
      <c r="H785" s="1168"/>
      <c r="I785" s="995"/>
      <c r="J785" s="996"/>
      <c r="K785" s="997"/>
      <c r="L785" s="99"/>
      <c r="M785" s="100"/>
    </row>
    <row r="786" spans="3:13" ht="20" thickBot="1">
      <c r="C786" s="90"/>
      <c r="D786" s="162"/>
      <c r="E786" s="574" t="s">
        <v>435</v>
      </c>
      <c r="F786" s="1160">
        <v>0.52083333333333337</v>
      </c>
      <c r="G786" s="1161"/>
      <c r="H786" s="1162"/>
      <c r="I786" s="995"/>
      <c r="J786" s="996"/>
      <c r="K786" s="997"/>
      <c r="L786" s="106">
        <v>0.75</v>
      </c>
      <c r="M786" s="107">
        <v>0.64583333333333337</v>
      </c>
    </row>
    <row r="787" spans="3:13" ht="20" thickBot="1">
      <c r="C787" s="90"/>
      <c r="D787" s="162"/>
      <c r="E787" s="575" t="s">
        <v>436</v>
      </c>
      <c r="F787" s="264" t="s">
        <v>29</v>
      </c>
      <c r="G787" s="264" t="s">
        <v>28</v>
      </c>
      <c r="H787" s="265" t="s">
        <v>27</v>
      </c>
      <c r="I787" s="995"/>
      <c r="J787" s="996"/>
      <c r="K787" s="997"/>
      <c r="L787" s="99"/>
      <c r="M787" s="100"/>
    </row>
    <row r="788" spans="3:13">
      <c r="C788" s="90"/>
      <c r="D788" s="162"/>
      <c r="E788" s="576">
        <v>45569</v>
      </c>
      <c r="F788" s="316" t="s">
        <v>641</v>
      </c>
      <c r="G788" s="316" t="s">
        <v>548</v>
      </c>
      <c r="H788" s="316" t="s">
        <v>900</v>
      </c>
      <c r="I788" s="995"/>
      <c r="J788" s="996"/>
      <c r="K788" s="997"/>
      <c r="L788" s="99"/>
      <c r="M788" s="100"/>
    </row>
    <row r="789" spans="3:13">
      <c r="C789" s="90"/>
      <c r="D789" s="162"/>
      <c r="E789" s="576">
        <v>45541</v>
      </c>
      <c r="F789" s="316" t="s">
        <v>425</v>
      </c>
      <c r="G789" s="316" t="s">
        <v>614</v>
      </c>
      <c r="H789" s="316" t="s">
        <v>615</v>
      </c>
      <c r="I789" s="995"/>
      <c r="J789" s="996"/>
      <c r="K789" s="997"/>
      <c r="L789" s="99"/>
      <c r="M789" s="100"/>
    </row>
    <row r="790" spans="3:13">
      <c r="C790" s="90"/>
      <c r="D790" s="162"/>
      <c r="E790" s="576">
        <v>45506</v>
      </c>
      <c r="F790" s="316" t="s">
        <v>293</v>
      </c>
      <c r="G790" s="316" t="s">
        <v>616</v>
      </c>
      <c r="H790" s="316" t="s">
        <v>617</v>
      </c>
      <c r="I790" s="995"/>
      <c r="J790" s="996"/>
      <c r="K790" s="997"/>
      <c r="L790" s="101"/>
      <c r="M790" s="100"/>
    </row>
    <row r="791" spans="3:13">
      <c r="C791" s="90"/>
      <c r="D791" s="162"/>
      <c r="E791" s="576">
        <v>45478</v>
      </c>
      <c r="F791" s="316" t="s">
        <v>149</v>
      </c>
      <c r="G791" s="316" t="s">
        <v>618</v>
      </c>
      <c r="H791" s="316" t="s">
        <v>382</v>
      </c>
      <c r="I791" s="995"/>
      <c r="J791" s="996"/>
      <c r="K791" s="997"/>
      <c r="L791" s="99"/>
      <c r="M791" s="100"/>
    </row>
    <row r="792" spans="3:13">
      <c r="C792" s="90"/>
      <c r="D792" s="162"/>
      <c r="E792" s="576">
        <v>45450</v>
      </c>
      <c r="F792" s="316" t="s">
        <v>3</v>
      </c>
      <c r="G792" s="316" t="s">
        <v>619</v>
      </c>
      <c r="H792" s="316" t="s">
        <v>620</v>
      </c>
      <c r="I792" s="995"/>
      <c r="J792" s="996"/>
      <c r="K792" s="997"/>
      <c r="L792" s="99"/>
      <c r="M792" s="100"/>
    </row>
    <row r="793" spans="3:13" ht="20" thickBot="1">
      <c r="C793" s="90"/>
      <c r="D793" s="162"/>
      <c r="E793" s="576">
        <v>45415</v>
      </c>
      <c r="F793" s="316" t="s">
        <v>621</v>
      </c>
      <c r="G793" s="316" t="s">
        <v>622</v>
      </c>
      <c r="H793" s="316" t="s">
        <v>623</v>
      </c>
      <c r="I793" s="998"/>
      <c r="J793" s="999"/>
      <c r="K793" s="1000"/>
      <c r="L793" s="102"/>
      <c r="M793" s="103"/>
    </row>
    <row r="794" spans="3:13" ht="25" thickBot="1">
      <c r="C794" s="90"/>
      <c r="D794" s="88" t="s">
        <v>105</v>
      </c>
      <c r="E794" s="571" t="s">
        <v>30</v>
      </c>
      <c r="F794" s="1147" t="s">
        <v>861</v>
      </c>
      <c r="G794" s="1148"/>
      <c r="H794" s="1149"/>
      <c r="I794" s="1131" t="s">
        <v>633</v>
      </c>
      <c r="J794" s="1129"/>
      <c r="K794" s="1130"/>
      <c r="L794" s="158" t="s">
        <v>430</v>
      </c>
      <c r="M794" s="105" t="s">
        <v>431</v>
      </c>
    </row>
    <row r="795" spans="3:13">
      <c r="C795" s="90"/>
      <c r="D795" s="162"/>
      <c r="E795" s="572" t="s">
        <v>432</v>
      </c>
      <c r="F795" s="1150"/>
      <c r="G795" s="1151"/>
      <c r="H795" s="1152"/>
      <c r="I795" s="995" t="s">
        <v>859</v>
      </c>
      <c r="J795" s="996"/>
      <c r="K795" s="997"/>
      <c r="L795" s="99"/>
      <c r="M795" s="100"/>
    </row>
    <row r="796" spans="3:13">
      <c r="C796" s="90"/>
      <c r="D796" s="162"/>
      <c r="E796" s="573" t="s">
        <v>433</v>
      </c>
      <c r="F796" s="1159">
        <v>4.1000000000000002E-2</v>
      </c>
      <c r="G796" s="1154"/>
      <c r="H796" s="1155"/>
      <c r="I796" s="995"/>
      <c r="J796" s="996"/>
      <c r="K796" s="997"/>
      <c r="L796" s="99"/>
      <c r="M796" s="100"/>
    </row>
    <row r="797" spans="3:13" ht="20" thickBot="1">
      <c r="C797" s="90"/>
      <c r="D797" s="162"/>
      <c r="E797" s="573" t="s">
        <v>434</v>
      </c>
      <c r="F797" s="1159">
        <v>4.1000000000000002E-2</v>
      </c>
      <c r="G797" s="1154"/>
      <c r="H797" s="1155"/>
      <c r="I797" s="995"/>
      <c r="J797" s="996"/>
      <c r="K797" s="997"/>
      <c r="L797" s="99"/>
      <c r="M797" s="100"/>
    </row>
    <row r="798" spans="3:13" ht="20" thickBot="1">
      <c r="C798" s="90"/>
      <c r="D798" s="162"/>
      <c r="E798" s="574" t="s">
        <v>435</v>
      </c>
      <c r="F798" s="1160">
        <v>0.52083333333333337</v>
      </c>
      <c r="G798" s="1161"/>
      <c r="H798" s="1162"/>
      <c r="I798" s="995"/>
      <c r="J798" s="996"/>
      <c r="K798" s="997"/>
      <c r="L798" s="106">
        <v>0.75</v>
      </c>
      <c r="M798" s="107">
        <v>0.64583333333333337</v>
      </c>
    </row>
    <row r="799" spans="3:13" ht="20" thickBot="1">
      <c r="C799" s="90"/>
      <c r="D799" s="162"/>
      <c r="E799" s="575" t="s">
        <v>436</v>
      </c>
      <c r="F799" s="264" t="s">
        <v>29</v>
      </c>
      <c r="G799" s="264" t="s">
        <v>28</v>
      </c>
      <c r="H799" s="265" t="s">
        <v>27</v>
      </c>
      <c r="I799" s="995"/>
      <c r="J799" s="996"/>
      <c r="K799" s="997"/>
      <c r="L799" s="99"/>
      <c r="M799" s="100"/>
    </row>
    <row r="800" spans="3:13">
      <c r="C800" s="90"/>
      <c r="D800" s="162"/>
      <c r="E800" s="576">
        <v>45569</v>
      </c>
      <c r="F800" s="316">
        <v>4.1000000000000002E-2</v>
      </c>
      <c r="G800" s="316" t="s">
        <v>628</v>
      </c>
      <c r="H800" s="316">
        <v>4.2000000000000003E-2</v>
      </c>
      <c r="I800" s="995"/>
      <c r="J800" s="996"/>
      <c r="K800" s="997"/>
      <c r="L800" s="99"/>
      <c r="M800" s="100"/>
    </row>
    <row r="801" spans="3:13">
      <c r="C801" s="90"/>
      <c r="D801" s="162"/>
      <c r="E801" s="576">
        <v>45541</v>
      </c>
      <c r="F801" s="316">
        <v>4.2000000000000003E-2</v>
      </c>
      <c r="G801" s="316" t="s">
        <v>628</v>
      </c>
      <c r="H801" s="316">
        <v>4.2999999999999997E-2</v>
      </c>
      <c r="I801" s="995"/>
      <c r="J801" s="996"/>
      <c r="K801" s="997"/>
      <c r="L801" s="99"/>
      <c r="M801" s="100"/>
    </row>
    <row r="802" spans="3:13">
      <c r="C802" s="90"/>
      <c r="D802" s="162"/>
      <c r="E802" s="576">
        <v>45506</v>
      </c>
      <c r="F802" s="316">
        <v>4.2999999999999997E-2</v>
      </c>
      <c r="G802" s="316" t="s">
        <v>629</v>
      </c>
      <c r="H802" s="316">
        <v>4.1000000000000002E-2</v>
      </c>
      <c r="I802" s="995"/>
      <c r="J802" s="996"/>
      <c r="K802" s="997"/>
      <c r="L802" s="101"/>
      <c r="M802" s="100"/>
    </row>
    <row r="803" spans="3:13">
      <c r="C803" s="90"/>
      <c r="D803" s="162"/>
      <c r="E803" s="576">
        <v>45478</v>
      </c>
      <c r="F803" s="316">
        <v>4.1000000000000002E-2</v>
      </c>
      <c r="G803" s="316" t="s">
        <v>630</v>
      </c>
      <c r="H803" s="316">
        <v>0.04</v>
      </c>
      <c r="I803" s="995"/>
      <c r="J803" s="996"/>
      <c r="K803" s="997"/>
      <c r="L803" s="99"/>
      <c r="M803" s="100"/>
    </row>
    <row r="804" spans="3:13">
      <c r="C804" s="90"/>
      <c r="D804" s="162"/>
      <c r="E804" s="576">
        <v>45450</v>
      </c>
      <c r="F804" s="316">
        <v>0.04</v>
      </c>
      <c r="G804" s="316" t="s">
        <v>631</v>
      </c>
      <c r="H804" s="316">
        <v>3.9E-2</v>
      </c>
      <c r="I804" s="995"/>
      <c r="J804" s="996"/>
      <c r="K804" s="997"/>
      <c r="L804" s="99"/>
      <c r="M804" s="100"/>
    </row>
    <row r="805" spans="3:13" ht="20" thickBot="1">
      <c r="C805" s="90"/>
      <c r="D805" s="162"/>
      <c r="E805" s="576">
        <v>45415</v>
      </c>
      <c r="F805" s="316">
        <v>3.9E-2</v>
      </c>
      <c r="G805" s="316" t="s">
        <v>632</v>
      </c>
      <c r="H805" s="316">
        <v>3.7999999999999999E-2</v>
      </c>
      <c r="I805" s="998"/>
      <c r="J805" s="999"/>
      <c r="K805" s="1000"/>
      <c r="L805" s="102"/>
      <c r="M805" s="103"/>
    </row>
    <row r="806" spans="3:13" ht="25" thickBot="1">
      <c r="C806" s="90"/>
      <c r="D806" s="88" t="s">
        <v>105</v>
      </c>
      <c r="E806" s="571" t="s">
        <v>30</v>
      </c>
      <c r="F806" s="1147" t="s">
        <v>862</v>
      </c>
      <c r="G806" s="1148"/>
      <c r="H806" s="1149"/>
      <c r="I806" s="1131" t="s">
        <v>633</v>
      </c>
      <c r="J806" s="1129"/>
      <c r="K806" s="1130"/>
      <c r="L806" s="158" t="s">
        <v>430</v>
      </c>
      <c r="M806" s="105" t="s">
        <v>431</v>
      </c>
    </row>
    <row r="807" spans="3:13">
      <c r="C807" s="90"/>
      <c r="D807" s="162"/>
      <c r="E807" s="572" t="s">
        <v>432</v>
      </c>
      <c r="F807" s="1150"/>
      <c r="G807" s="1151"/>
      <c r="H807" s="1152"/>
      <c r="I807" s="995" t="s">
        <v>863</v>
      </c>
      <c r="J807" s="996"/>
      <c r="K807" s="997"/>
      <c r="L807" s="99"/>
      <c r="M807" s="100"/>
    </row>
    <row r="808" spans="3:13">
      <c r="C808" s="90"/>
      <c r="D808" s="162"/>
      <c r="E808" s="573" t="s">
        <v>433</v>
      </c>
      <c r="F808" s="1153">
        <v>47.5</v>
      </c>
      <c r="G808" s="1154"/>
      <c r="H808" s="1155"/>
      <c r="I808" s="995"/>
      <c r="J808" s="996"/>
      <c r="K808" s="997"/>
      <c r="L808" s="99"/>
      <c r="M808" s="100"/>
    </row>
    <row r="809" spans="3:13" ht="20" thickBot="1">
      <c r="C809" s="90"/>
      <c r="D809" s="162"/>
      <c r="E809" s="573" t="s">
        <v>434</v>
      </c>
      <c r="F809" s="1153">
        <v>47.2</v>
      </c>
      <c r="G809" s="1154"/>
      <c r="H809" s="1155"/>
      <c r="I809" s="995"/>
      <c r="J809" s="996"/>
      <c r="K809" s="997"/>
      <c r="L809" s="99"/>
      <c r="M809" s="100"/>
    </row>
    <row r="810" spans="3:13" ht="20" thickBot="1">
      <c r="C810" s="90"/>
      <c r="D810" s="162"/>
      <c r="E810" s="574" t="s">
        <v>435</v>
      </c>
      <c r="F810" s="1160">
        <v>0.58333333333333337</v>
      </c>
      <c r="G810" s="1161"/>
      <c r="H810" s="1162"/>
      <c r="I810" s="995"/>
      <c r="J810" s="996"/>
      <c r="K810" s="997"/>
      <c r="L810" s="106">
        <v>0.8125</v>
      </c>
      <c r="M810" s="107">
        <v>0.70833333333333337</v>
      </c>
    </row>
    <row r="811" spans="3:13" ht="20" thickBot="1">
      <c r="C811" s="90"/>
      <c r="D811" s="162"/>
      <c r="E811" s="575" t="s">
        <v>436</v>
      </c>
      <c r="F811" s="264" t="s">
        <v>29</v>
      </c>
      <c r="G811" s="264" t="s">
        <v>28</v>
      </c>
      <c r="H811" s="265" t="s">
        <v>27</v>
      </c>
      <c r="I811" s="995"/>
      <c r="J811" s="996"/>
      <c r="K811" s="997"/>
      <c r="L811" s="99"/>
      <c r="M811" s="100"/>
    </row>
    <row r="812" spans="3:13">
      <c r="C812" s="90"/>
      <c r="D812" s="162"/>
      <c r="E812" s="576">
        <v>45566</v>
      </c>
      <c r="F812" s="323">
        <v>47.2</v>
      </c>
      <c r="G812" s="323" t="s">
        <v>901</v>
      </c>
      <c r="H812" s="323">
        <v>47.2</v>
      </c>
      <c r="I812" s="995"/>
      <c r="J812" s="996"/>
      <c r="K812" s="997"/>
      <c r="L812" s="99"/>
      <c r="M812" s="100"/>
    </row>
    <row r="813" spans="3:13">
      <c r="C813" s="90"/>
      <c r="D813" s="162"/>
      <c r="E813" s="576">
        <v>45538</v>
      </c>
      <c r="F813" s="323">
        <v>47.2</v>
      </c>
      <c r="G813" s="323" t="s">
        <v>509</v>
      </c>
      <c r="H813" s="323">
        <v>46.8</v>
      </c>
      <c r="I813" s="995"/>
      <c r="J813" s="996"/>
      <c r="K813" s="997"/>
      <c r="L813" s="99"/>
      <c r="M813" s="100"/>
    </row>
    <row r="814" spans="3:13">
      <c r="C814" s="90"/>
      <c r="D814" s="162"/>
      <c r="E814" s="576">
        <v>45505</v>
      </c>
      <c r="F814" s="323">
        <v>46.8</v>
      </c>
      <c r="G814" s="323" t="s">
        <v>510</v>
      </c>
      <c r="H814" s="323">
        <v>48.5</v>
      </c>
      <c r="I814" s="995"/>
      <c r="J814" s="996"/>
      <c r="K814" s="997"/>
      <c r="L814" s="101"/>
      <c r="M814" s="100"/>
    </row>
    <row r="815" spans="3:13">
      <c r="C815" s="90"/>
      <c r="D815" s="162"/>
      <c r="E815" s="576">
        <v>45474</v>
      </c>
      <c r="F815" s="323">
        <v>48.5</v>
      </c>
      <c r="G815" s="323" t="s">
        <v>511</v>
      </c>
      <c r="H815" s="323">
        <v>48.7</v>
      </c>
      <c r="I815" s="995"/>
      <c r="J815" s="996"/>
      <c r="K815" s="997"/>
      <c r="L815" s="99"/>
      <c r="M815" s="100"/>
    </row>
    <row r="816" spans="3:13">
      <c r="C816" s="90"/>
      <c r="D816" s="162"/>
      <c r="E816" s="576">
        <v>45446</v>
      </c>
      <c r="F816" s="323">
        <v>48.7</v>
      </c>
      <c r="G816" s="323" t="s">
        <v>513</v>
      </c>
      <c r="H816" s="323">
        <v>49.2</v>
      </c>
      <c r="I816" s="995"/>
      <c r="J816" s="996"/>
      <c r="K816" s="997"/>
      <c r="L816" s="99"/>
      <c r="M816" s="100"/>
    </row>
    <row r="817" spans="3:13" ht="20" thickBot="1">
      <c r="C817" s="90"/>
      <c r="D817" s="162"/>
      <c r="E817" s="576">
        <v>45413</v>
      </c>
      <c r="F817" s="323">
        <v>49.2</v>
      </c>
      <c r="G817" s="323" t="s">
        <v>515</v>
      </c>
      <c r="H817" s="323">
        <v>50.3</v>
      </c>
      <c r="I817" s="998"/>
      <c r="J817" s="999"/>
      <c r="K817" s="1000"/>
      <c r="L817" s="102"/>
      <c r="M817" s="103"/>
    </row>
    <row r="818" spans="3:13" ht="25" thickBot="1">
      <c r="C818" s="90"/>
      <c r="D818" s="88" t="s">
        <v>105</v>
      </c>
      <c r="E818" s="571" t="s">
        <v>30</v>
      </c>
      <c r="F818" s="1147" t="s">
        <v>864</v>
      </c>
      <c r="G818" s="1148"/>
      <c r="H818" s="1149"/>
      <c r="I818" s="1131" t="s">
        <v>633</v>
      </c>
      <c r="J818" s="1129"/>
      <c r="K818" s="1130"/>
      <c r="L818" s="158" t="s">
        <v>430</v>
      </c>
      <c r="M818" s="105" t="s">
        <v>431</v>
      </c>
    </row>
    <row r="819" spans="3:13">
      <c r="C819" s="90"/>
      <c r="D819" s="162"/>
      <c r="E819" s="572" t="s">
        <v>432</v>
      </c>
      <c r="F819" s="1150"/>
      <c r="G819" s="1151"/>
      <c r="H819" s="1152"/>
      <c r="I819" s="995" t="s">
        <v>865</v>
      </c>
      <c r="J819" s="996"/>
      <c r="K819" s="997"/>
      <c r="L819" s="99"/>
      <c r="M819" s="100"/>
    </row>
    <row r="820" spans="3:13">
      <c r="C820" s="90"/>
      <c r="D820" s="162"/>
      <c r="E820" s="573" t="s">
        <v>433</v>
      </c>
      <c r="F820" s="1153">
        <v>48.9</v>
      </c>
      <c r="G820" s="1154"/>
      <c r="H820" s="1155"/>
      <c r="I820" s="995"/>
      <c r="J820" s="996"/>
      <c r="K820" s="997"/>
      <c r="L820" s="99"/>
      <c r="M820" s="100"/>
    </row>
    <row r="821" spans="3:13" ht="20" thickBot="1">
      <c r="C821" s="90"/>
      <c r="D821" s="162"/>
      <c r="E821" s="573" t="s">
        <v>434</v>
      </c>
      <c r="F821" s="1153">
        <v>48.3</v>
      </c>
      <c r="G821" s="1154"/>
      <c r="H821" s="1155"/>
      <c r="I821" s="995"/>
      <c r="J821" s="996"/>
      <c r="K821" s="997"/>
      <c r="L821" s="99"/>
      <c r="M821" s="100"/>
    </row>
    <row r="822" spans="3:13" ht="20" thickBot="1">
      <c r="C822" s="90"/>
      <c r="D822" s="162"/>
      <c r="E822" s="574" t="s">
        <v>435</v>
      </c>
      <c r="F822" s="1160">
        <v>0.58333333333333337</v>
      </c>
      <c r="G822" s="1161"/>
      <c r="H822" s="1162"/>
      <c r="I822" s="995"/>
      <c r="J822" s="996"/>
      <c r="K822" s="997"/>
      <c r="L822" s="106">
        <v>0.8125</v>
      </c>
      <c r="M822" s="107">
        <v>0.70833333333333337</v>
      </c>
    </row>
    <row r="823" spans="3:13" ht="20" thickBot="1">
      <c r="C823" s="90"/>
      <c r="D823" s="162"/>
      <c r="E823" s="575" t="s">
        <v>436</v>
      </c>
      <c r="F823" s="264" t="s">
        <v>29</v>
      </c>
      <c r="G823" s="264" t="s">
        <v>28</v>
      </c>
      <c r="H823" s="265" t="s">
        <v>27</v>
      </c>
      <c r="I823" s="995"/>
      <c r="J823" s="996"/>
      <c r="K823" s="997"/>
      <c r="L823" s="99"/>
      <c r="M823" s="100"/>
    </row>
    <row r="824" spans="3:13">
      <c r="C824" s="90"/>
      <c r="D824" s="162"/>
      <c r="E824" s="576">
        <v>45566</v>
      </c>
      <c r="F824" s="323">
        <v>48.3</v>
      </c>
      <c r="G824" s="323" t="s">
        <v>902</v>
      </c>
      <c r="H824" s="323">
        <v>54</v>
      </c>
      <c r="I824" s="995"/>
      <c r="J824" s="996"/>
      <c r="K824" s="997"/>
      <c r="L824" s="99"/>
      <c r="M824" s="100"/>
    </row>
    <row r="825" spans="3:13">
      <c r="C825" s="90"/>
      <c r="D825" s="162"/>
      <c r="E825" s="576">
        <v>45538</v>
      </c>
      <c r="F825" s="323">
        <v>54</v>
      </c>
      <c r="G825" s="323" t="s">
        <v>519</v>
      </c>
      <c r="H825" s="323">
        <v>52.9</v>
      </c>
      <c r="I825" s="995"/>
      <c r="J825" s="996"/>
      <c r="K825" s="997"/>
      <c r="L825" s="99"/>
      <c r="M825" s="100"/>
    </row>
    <row r="826" spans="3:13">
      <c r="C826" s="90"/>
      <c r="D826" s="162"/>
      <c r="E826" s="576">
        <v>45505</v>
      </c>
      <c r="F826" s="323">
        <v>52.9</v>
      </c>
      <c r="G826" s="323" t="s">
        <v>520</v>
      </c>
      <c r="H826" s="323">
        <v>52.1</v>
      </c>
      <c r="I826" s="995"/>
      <c r="J826" s="996"/>
      <c r="K826" s="997"/>
      <c r="L826" s="101"/>
      <c r="M826" s="100"/>
    </row>
    <row r="827" spans="3:13">
      <c r="C827" s="90"/>
      <c r="D827" s="162"/>
      <c r="E827" s="576">
        <v>45474</v>
      </c>
      <c r="F827" s="323">
        <v>52.1</v>
      </c>
      <c r="G827" s="323" t="s">
        <v>521</v>
      </c>
      <c r="H827" s="323">
        <v>57</v>
      </c>
      <c r="I827" s="995"/>
      <c r="J827" s="996"/>
      <c r="K827" s="997"/>
      <c r="L827" s="99"/>
      <c r="M827" s="100"/>
    </row>
    <row r="828" spans="3:13">
      <c r="C828" s="90"/>
      <c r="D828" s="162"/>
      <c r="E828" s="576">
        <v>45446</v>
      </c>
      <c r="F828" s="323">
        <v>57</v>
      </c>
      <c r="G828" s="323" t="s">
        <v>522</v>
      </c>
      <c r="H828" s="323">
        <v>60.9</v>
      </c>
      <c r="I828" s="995"/>
      <c r="J828" s="996"/>
      <c r="K828" s="997"/>
      <c r="L828" s="99"/>
      <c r="M828" s="100"/>
    </row>
    <row r="829" spans="3:13" ht="20" thickBot="1">
      <c r="C829" s="90"/>
      <c r="D829" s="162"/>
      <c r="E829" s="576">
        <v>45413</v>
      </c>
      <c r="F829" s="323">
        <v>60.9</v>
      </c>
      <c r="G829" s="323" t="s">
        <v>523</v>
      </c>
      <c r="H829" s="323">
        <v>55.8</v>
      </c>
      <c r="I829" s="998"/>
      <c r="J829" s="999"/>
      <c r="K829" s="1000"/>
      <c r="L829" s="102"/>
      <c r="M829" s="103"/>
    </row>
    <row r="830" spans="3:13" ht="25" thickBot="1">
      <c r="C830" s="90"/>
      <c r="D830" s="88" t="s">
        <v>105</v>
      </c>
      <c r="E830" s="571" t="s">
        <v>30</v>
      </c>
      <c r="F830" s="1147" t="s">
        <v>866</v>
      </c>
      <c r="G830" s="1148"/>
      <c r="H830" s="1149"/>
      <c r="I830" s="1131" t="s">
        <v>633</v>
      </c>
      <c r="J830" s="1129"/>
      <c r="K830" s="1130"/>
      <c r="L830" s="158" t="s">
        <v>430</v>
      </c>
      <c r="M830" s="105" t="s">
        <v>431</v>
      </c>
    </row>
    <row r="831" spans="3:13">
      <c r="C831" s="90"/>
      <c r="D831" s="162"/>
      <c r="E831" s="572" t="s">
        <v>432</v>
      </c>
      <c r="F831" s="1150"/>
      <c r="G831" s="1151"/>
      <c r="H831" s="1152"/>
      <c r="I831" s="995" t="s">
        <v>867</v>
      </c>
      <c r="J831" s="996"/>
      <c r="K831" s="997"/>
      <c r="L831" s="99"/>
      <c r="M831" s="100"/>
    </row>
    <row r="832" spans="3:13">
      <c r="C832" s="90"/>
      <c r="D832" s="162"/>
      <c r="E832" s="573" t="s">
        <v>433</v>
      </c>
      <c r="F832" s="1153">
        <v>47.9</v>
      </c>
      <c r="G832" s="1154"/>
      <c r="H832" s="1155"/>
      <c r="I832" s="995"/>
      <c r="J832" s="996"/>
      <c r="K832" s="997"/>
      <c r="L832" s="99"/>
      <c r="M832" s="100"/>
    </row>
    <row r="833" spans="3:13" ht="20" thickBot="1">
      <c r="C833" s="90"/>
      <c r="D833" s="162"/>
      <c r="E833" s="573" t="s">
        <v>434</v>
      </c>
      <c r="F833" s="1153">
        <v>47.3</v>
      </c>
      <c r="G833" s="1154"/>
      <c r="H833" s="1155"/>
      <c r="I833" s="995"/>
      <c r="J833" s="996"/>
      <c r="K833" s="997"/>
      <c r="L833" s="99"/>
      <c r="M833" s="100"/>
    </row>
    <row r="834" spans="3:13" ht="20" thickBot="1">
      <c r="C834" s="90"/>
      <c r="D834" s="162"/>
      <c r="E834" s="574" t="s">
        <v>435</v>
      </c>
      <c r="F834" s="1160">
        <v>0.61458333333333337</v>
      </c>
      <c r="G834" s="1161"/>
      <c r="H834" s="1162"/>
      <c r="I834" s="995"/>
      <c r="J834" s="996"/>
      <c r="K834" s="997"/>
      <c r="L834" s="106">
        <v>0.84375</v>
      </c>
      <c r="M834" s="107">
        <v>0.73958333333333337</v>
      </c>
    </row>
    <row r="835" spans="3:13" ht="20" thickBot="1">
      <c r="C835" s="90"/>
      <c r="D835" s="162"/>
      <c r="E835" s="575" t="s">
        <v>436</v>
      </c>
      <c r="F835" s="264" t="s">
        <v>29</v>
      </c>
      <c r="G835" s="264" t="s">
        <v>28</v>
      </c>
      <c r="H835" s="265" t="s">
        <v>27</v>
      </c>
      <c r="I835" s="995"/>
      <c r="J835" s="996"/>
      <c r="K835" s="997"/>
      <c r="L835" s="99"/>
      <c r="M835" s="100"/>
    </row>
    <row r="836" spans="3:13">
      <c r="C836" s="90"/>
      <c r="D836" s="162"/>
      <c r="E836" s="576">
        <v>45589</v>
      </c>
      <c r="F836" s="323">
        <v>47.8</v>
      </c>
      <c r="G836" s="323" t="s">
        <v>509</v>
      </c>
      <c r="H836" s="323">
        <v>47.3</v>
      </c>
      <c r="I836" s="995"/>
      <c r="J836" s="996"/>
      <c r="K836" s="997"/>
      <c r="L836" s="99"/>
      <c r="M836" s="100"/>
    </row>
    <row r="837" spans="3:13">
      <c r="C837" s="90"/>
      <c r="D837" s="162"/>
      <c r="E837" s="576">
        <v>45566</v>
      </c>
      <c r="F837" s="323">
        <v>47.3</v>
      </c>
      <c r="G837" s="323" t="s">
        <v>758</v>
      </c>
      <c r="H837" s="323">
        <v>47.9</v>
      </c>
      <c r="I837" s="995"/>
      <c r="J837" s="996"/>
      <c r="K837" s="997"/>
      <c r="L837" s="99"/>
      <c r="M837" s="100"/>
    </row>
    <row r="838" spans="3:13">
      <c r="C838" s="90"/>
      <c r="D838" s="162"/>
      <c r="E838" s="576">
        <v>45558</v>
      </c>
      <c r="F838" s="323">
        <v>47</v>
      </c>
      <c r="G838" s="323" t="s">
        <v>500</v>
      </c>
      <c r="H838" s="323">
        <v>47.9</v>
      </c>
      <c r="I838" s="995"/>
      <c r="J838" s="996"/>
      <c r="K838" s="997"/>
      <c r="L838" s="101"/>
      <c r="M838" s="100"/>
    </row>
    <row r="839" spans="3:13">
      <c r="C839" s="90"/>
      <c r="D839" s="162"/>
      <c r="E839" s="576">
        <v>45538</v>
      </c>
      <c r="F839" s="323">
        <v>47.9</v>
      </c>
      <c r="G839" s="323" t="s">
        <v>502</v>
      </c>
      <c r="H839" s="323">
        <v>49.6</v>
      </c>
      <c r="I839" s="995"/>
      <c r="J839" s="996"/>
      <c r="K839" s="997"/>
      <c r="L839" s="99"/>
      <c r="M839" s="100"/>
    </row>
    <row r="840" spans="3:13">
      <c r="C840" s="90"/>
      <c r="D840" s="162"/>
      <c r="E840" s="576">
        <v>45526</v>
      </c>
      <c r="F840" s="323">
        <v>48</v>
      </c>
      <c r="G840" s="323" t="s">
        <v>438</v>
      </c>
      <c r="H840" s="323">
        <v>49.6</v>
      </c>
      <c r="I840" s="995"/>
      <c r="J840" s="996"/>
      <c r="K840" s="997"/>
      <c r="L840" s="99"/>
      <c r="M840" s="100"/>
    </row>
    <row r="841" spans="3:13" ht="20" thickBot="1">
      <c r="C841" s="90"/>
      <c r="D841" s="162"/>
      <c r="E841" s="596">
        <v>45505</v>
      </c>
      <c r="F841" s="325">
        <v>49.6</v>
      </c>
      <c r="G841" s="325" t="s">
        <v>438</v>
      </c>
      <c r="H841" s="325">
        <v>51.6</v>
      </c>
      <c r="I841" s="998"/>
      <c r="J841" s="999"/>
      <c r="K841" s="1000"/>
      <c r="L841" s="102"/>
      <c r="M841" s="103"/>
    </row>
    <row r="842" spans="3:13" ht="25" thickBot="1">
      <c r="C842" s="90"/>
      <c r="D842" s="88" t="s">
        <v>105</v>
      </c>
      <c r="E842" s="571" t="s">
        <v>30</v>
      </c>
      <c r="F842" s="1147" t="s">
        <v>868</v>
      </c>
      <c r="G842" s="1148"/>
      <c r="H842" s="1149"/>
      <c r="I842" s="1131" t="s">
        <v>633</v>
      </c>
      <c r="J842" s="1129"/>
      <c r="K842" s="1130"/>
      <c r="L842" s="158" t="s">
        <v>430</v>
      </c>
      <c r="M842" s="105" t="s">
        <v>431</v>
      </c>
    </row>
    <row r="843" spans="3:13" ht="20" thickBot="1">
      <c r="C843" s="90"/>
      <c r="D843" s="162"/>
      <c r="E843" s="572" t="s">
        <v>432</v>
      </c>
      <c r="F843" s="1150"/>
      <c r="G843" s="1151"/>
      <c r="H843" s="1152"/>
      <c r="I843" s="995" t="s">
        <v>857</v>
      </c>
      <c r="J843" s="996"/>
      <c r="K843" s="997"/>
      <c r="L843" s="99"/>
      <c r="M843" s="100"/>
    </row>
    <row r="844" spans="3:13">
      <c r="C844" s="90"/>
      <c r="D844" s="162"/>
      <c r="E844" s="573" t="s">
        <v>433</v>
      </c>
      <c r="F844" s="1153">
        <v>1.59</v>
      </c>
      <c r="G844" s="1154"/>
      <c r="H844" s="1155"/>
      <c r="I844" s="995"/>
      <c r="J844" s="996"/>
      <c r="K844" s="997"/>
      <c r="L844" s="99"/>
      <c r="M844" s="100"/>
    </row>
    <row r="845" spans="3:13" ht="20" thickBot="1">
      <c r="C845" s="90"/>
      <c r="D845" s="162"/>
      <c r="E845" s="573" t="s">
        <v>434</v>
      </c>
      <c r="F845" s="1153">
        <v>1.4</v>
      </c>
      <c r="G845" s="1154"/>
      <c r="H845" s="1155"/>
      <c r="I845" s="995"/>
      <c r="J845" s="996"/>
      <c r="K845" s="997"/>
      <c r="L845" s="99"/>
      <c r="M845" s="100"/>
    </row>
    <row r="846" spans="3:13" ht="20" thickBot="1">
      <c r="C846" s="90"/>
      <c r="D846" s="162"/>
      <c r="E846" s="574" t="s">
        <v>435</v>
      </c>
      <c r="F846" s="1156">
        <v>0.95833333333333337</v>
      </c>
      <c r="G846" s="1157"/>
      <c r="H846" s="1158"/>
      <c r="I846" s="995"/>
      <c r="J846" s="996"/>
      <c r="K846" s="997"/>
      <c r="L846" s="106">
        <v>6.25E-2</v>
      </c>
      <c r="M846" s="107">
        <v>0.95833333333333337</v>
      </c>
    </row>
    <row r="847" spans="3:13" ht="20" thickBot="1">
      <c r="C847" s="90"/>
      <c r="D847" s="162"/>
      <c r="E847" s="575" t="s">
        <v>436</v>
      </c>
      <c r="F847" s="264" t="s">
        <v>29</v>
      </c>
      <c r="G847" s="264" t="s">
        <v>28</v>
      </c>
      <c r="H847" s="265" t="s">
        <v>27</v>
      </c>
      <c r="I847" s="995"/>
      <c r="J847" s="996"/>
      <c r="K847" s="997"/>
      <c r="L847" s="99"/>
      <c r="M847" s="100"/>
    </row>
    <row r="848" spans="3:13" ht="18">
      <c r="C848" s="90"/>
      <c r="D848" s="162"/>
      <c r="E848" s="576">
        <v>45505</v>
      </c>
      <c r="F848" s="577">
        <v>1.4</v>
      </c>
      <c r="G848" s="577">
        <v>1.34</v>
      </c>
      <c r="H848" s="577">
        <v>1.53</v>
      </c>
      <c r="I848" s="995"/>
      <c r="J848" s="996"/>
      <c r="K848" s="997"/>
      <c r="L848" s="99"/>
      <c r="M848" s="100"/>
    </row>
    <row r="849" spans="3:13" ht="18">
      <c r="C849" s="90"/>
      <c r="D849" s="162"/>
      <c r="E849" s="576">
        <v>45414</v>
      </c>
      <c r="F849" s="577">
        <v>1.53</v>
      </c>
      <c r="G849" s="577">
        <v>1.51</v>
      </c>
      <c r="H849" s="577">
        <v>1.45</v>
      </c>
      <c r="I849" s="995"/>
      <c r="J849" s="996"/>
      <c r="K849" s="997"/>
      <c r="L849" s="99"/>
      <c r="M849" s="100"/>
    </row>
    <row r="850" spans="3:13" ht="18">
      <c r="C850" s="90"/>
      <c r="D850" s="162"/>
      <c r="E850" s="576">
        <v>45323</v>
      </c>
      <c r="F850" s="577">
        <v>1.45</v>
      </c>
      <c r="G850" s="577">
        <v>1.28</v>
      </c>
      <c r="H850" s="577">
        <v>1.46</v>
      </c>
      <c r="I850" s="995"/>
      <c r="J850" s="996"/>
      <c r="K850" s="997"/>
      <c r="L850" s="101"/>
      <c r="M850" s="100"/>
    </row>
    <row r="851" spans="3:13" ht="18">
      <c r="C851" s="90"/>
      <c r="D851" s="162"/>
      <c r="E851" s="576">
        <v>45232</v>
      </c>
      <c r="F851" s="577">
        <v>1.46</v>
      </c>
      <c r="G851" s="577">
        <v>1.39</v>
      </c>
      <c r="H851" s="577">
        <v>1.26</v>
      </c>
      <c r="I851" s="995"/>
      <c r="J851" s="996"/>
      <c r="K851" s="997"/>
      <c r="L851" s="99"/>
      <c r="M851" s="100"/>
    </row>
    <row r="852" spans="3:13" ht="18">
      <c r="C852" s="90"/>
      <c r="D852" s="162"/>
      <c r="E852" s="576">
        <v>45141</v>
      </c>
      <c r="F852" s="577">
        <v>1.26</v>
      </c>
      <c r="G852" s="577">
        <v>1.19</v>
      </c>
      <c r="H852" s="577">
        <v>1.52</v>
      </c>
      <c r="I852" s="995"/>
      <c r="J852" s="996"/>
      <c r="K852" s="997"/>
      <c r="L852" s="99"/>
      <c r="M852" s="100"/>
    </row>
    <row r="853" spans="3:13" thickBot="1">
      <c r="C853" s="90"/>
      <c r="D853" s="162"/>
      <c r="E853" s="596">
        <v>45050</v>
      </c>
      <c r="F853" s="597">
        <v>1.52</v>
      </c>
      <c r="G853" s="597">
        <v>1.44</v>
      </c>
      <c r="H853" s="597">
        <v>1.88</v>
      </c>
      <c r="I853" s="998"/>
      <c r="J853" s="999"/>
      <c r="K853" s="1000"/>
      <c r="L853" s="102"/>
      <c r="M853" s="103"/>
    </row>
    <row r="854" spans="3:13" ht="25" thickBot="1">
      <c r="C854" s="90"/>
      <c r="D854" s="88" t="s">
        <v>105</v>
      </c>
      <c r="E854" s="571" t="s">
        <v>30</v>
      </c>
      <c r="F854" s="1147" t="s">
        <v>869</v>
      </c>
      <c r="G854" s="1148"/>
      <c r="H854" s="1149"/>
      <c r="I854" s="1131" t="s">
        <v>633</v>
      </c>
      <c r="J854" s="1129"/>
      <c r="K854" s="1130"/>
      <c r="L854" s="158" t="s">
        <v>430</v>
      </c>
      <c r="M854" s="105" t="s">
        <v>431</v>
      </c>
    </row>
    <row r="855" spans="3:13">
      <c r="C855" s="90"/>
      <c r="D855" s="162"/>
      <c r="E855" s="572" t="s">
        <v>432</v>
      </c>
      <c r="F855" s="1150"/>
      <c r="G855" s="1151"/>
      <c r="H855" s="1152"/>
      <c r="I855" s="995" t="s">
        <v>855</v>
      </c>
      <c r="J855" s="996"/>
      <c r="K855" s="997"/>
      <c r="L855" s="99"/>
      <c r="M855" s="100"/>
    </row>
    <row r="856" spans="3:13">
      <c r="C856" s="90"/>
      <c r="D856" s="162"/>
      <c r="E856" s="573" t="s">
        <v>433</v>
      </c>
      <c r="F856" s="1153">
        <v>0.92</v>
      </c>
      <c r="G856" s="1154"/>
      <c r="H856" s="1155"/>
      <c r="I856" s="995"/>
      <c r="J856" s="996"/>
      <c r="K856" s="997"/>
      <c r="L856" s="99"/>
      <c r="M856" s="100"/>
    </row>
    <row r="857" spans="3:13" ht="20" thickBot="1">
      <c r="C857" s="90"/>
      <c r="D857" s="162"/>
      <c r="E857" s="573" t="s">
        <v>434</v>
      </c>
      <c r="F857" s="1153">
        <v>0.7</v>
      </c>
      <c r="G857" s="1154"/>
      <c r="H857" s="1155"/>
      <c r="I857" s="995"/>
      <c r="J857" s="996"/>
      <c r="K857" s="997"/>
      <c r="L857" s="99"/>
      <c r="M857" s="100"/>
    </row>
    <row r="858" spans="3:13" ht="20" thickBot="1">
      <c r="C858" s="90"/>
      <c r="D858" s="162"/>
      <c r="E858" s="574" t="s">
        <v>435</v>
      </c>
      <c r="F858" s="1156">
        <v>0.95833333333333337</v>
      </c>
      <c r="G858" s="1157"/>
      <c r="H858" s="1158"/>
      <c r="I858" s="995"/>
      <c r="J858" s="996"/>
      <c r="K858" s="997"/>
      <c r="L858" s="106">
        <v>6.25E-2</v>
      </c>
      <c r="M858" s="106">
        <v>0.95833333333333337</v>
      </c>
    </row>
    <row r="859" spans="3:13" ht="20" thickBot="1">
      <c r="C859" s="90"/>
      <c r="D859" s="162"/>
      <c r="E859" s="575" t="s">
        <v>436</v>
      </c>
      <c r="F859" s="264" t="s">
        <v>29</v>
      </c>
      <c r="G859" s="264" t="s">
        <v>28</v>
      </c>
      <c r="H859" s="265" t="s">
        <v>27</v>
      </c>
      <c r="I859" s="995"/>
      <c r="J859" s="996"/>
      <c r="K859" s="997"/>
      <c r="L859" s="99"/>
      <c r="M859" s="100"/>
    </row>
    <row r="860" spans="3:13" ht="18">
      <c r="C860" s="90"/>
      <c r="D860" s="162"/>
      <c r="E860" s="576">
        <v>45503</v>
      </c>
      <c r="F860" s="577">
        <v>0.5</v>
      </c>
      <c r="G860" s="577">
        <v>0.47</v>
      </c>
      <c r="H860" s="577">
        <v>0.57999999999999996</v>
      </c>
      <c r="I860" s="995"/>
      <c r="J860" s="996"/>
      <c r="K860" s="997"/>
      <c r="L860" s="99"/>
      <c r="M860" s="100"/>
    </row>
    <row r="861" spans="3:13" ht="18">
      <c r="C861" s="90"/>
      <c r="D861" s="162"/>
      <c r="E861" s="576">
        <v>45412</v>
      </c>
      <c r="F861" s="577">
        <v>0.43</v>
      </c>
      <c r="G861" s="577">
        <v>0.41</v>
      </c>
      <c r="H861" s="577">
        <v>0.6</v>
      </c>
      <c r="I861" s="995"/>
      <c r="J861" s="996"/>
      <c r="K861" s="997"/>
      <c r="L861" s="99"/>
      <c r="M861" s="100"/>
    </row>
    <row r="862" spans="3:13" ht="18">
      <c r="C862" s="90"/>
      <c r="D862" s="162"/>
      <c r="E862" s="576">
        <v>45321</v>
      </c>
      <c r="F862" s="577">
        <v>0.59</v>
      </c>
      <c r="G862" s="577">
        <v>0.57999999999999996</v>
      </c>
      <c r="H862" s="577">
        <v>0.69</v>
      </c>
      <c r="I862" s="995"/>
      <c r="J862" s="996"/>
      <c r="K862" s="997"/>
      <c r="L862" s="101"/>
      <c r="M862" s="100"/>
    </row>
    <row r="863" spans="3:13" ht="18">
      <c r="C863" s="90"/>
      <c r="D863" s="162"/>
      <c r="E863" s="576">
        <v>45230</v>
      </c>
      <c r="F863" s="577">
        <v>0.53</v>
      </c>
      <c r="G863" s="577">
        <v>0.49</v>
      </c>
      <c r="H863" s="577">
        <v>0.67</v>
      </c>
      <c r="I863" s="995"/>
      <c r="J863" s="996"/>
      <c r="K863" s="997"/>
      <c r="L863" s="99"/>
      <c r="M863" s="100"/>
    </row>
    <row r="864" spans="3:13" ht="18">
      <c r="C864" s="90"/>
      <c r="D864" s="162"/>
      <c r="E864" s="576">
        <v>45139</v>
      </c>
      <c r="F864" s="577">
        <v>0.4</v>
      </c>
      <c r="G864" s="577">
        <v>0.4</v>
      </c>
      <c r="H864" s="577">
        <v>1.05</v>
      </c>
      <c r="I864" s="995"/>
      <c r="J864" s="996"/>
      <c r="K864" s="997"/>
      <c r="L864" s="99"/>
      <c r="M864" s="100"/>
    </row>
    <row r="865" spans="3:13" thickBot="1">
      <c r="C865" s="90"/>
      <c r="D865" s="162"/>
      <c r="E865" s="596">
        <v>45048</v>
      </c>
      <c r="F865" s="597">
        <v>0.43</v>
      </c>
      <c r="G865" s="597">
        <v>0.42</v>
      </c>
      <c r="H865" s="597">
        <v>1.1299999999999999</v>
      </c>
      <c r="I865" s="998"/>
      <c r="J865" s="999"/>
      <c r="K865" s="1000"/>
      <c r="L865" s="102"/>
      <c r="M865" s="103"/>
    </row>
    <row r="866" spans="3:13" ht="25" thickBot="1">
      <c r="C866" s="90"/>
      <c r="D866" s="88" t="s">
        <v>105</v>
      </c>
      <c r="E866" s="571" t="s">
        <v>30</v>
      </c>
      <c r="F866" s="1147" t="s">
        <v>870</v>
      </c>
      <c r="G866" s="1148"/>
      <c r="H866" s="1149"/>
      <c r="I866" s="1131" t="s">
        <v>633</v>
      </c>
      <c r="J866" s="1129"/>
      <c r="K866" s="1130"/>
      <c r="L866" s="158" t="s">
        <v>430</v>
      </c>
      <c r="M866" s="105" t="s">
        <v>431</v>
      </c>
    </row>
    <row r="867" spans="3:13">
      <c r="C867" s="90"/>
      <c r="D867" s="162"/>
      <c r="E867" s="572" t="s">
        <v>432</v>
      </c>
      <c r="F867" s="1150"/>
      <c r="G867" s="1151"/>
      <c r="H867" s="1152"/>
      <c r="I867" s="995" t="s">
        <v>855</v>
      </c>
      <c r="J867" s="996"/>
      <c r="K867" s="997"/>
      <c r="L867" s="99"/>
      <c r="M867" s="100"/>
    </row>
    <row r="868" spans="3:13">
      <c r="C868" s="90"/>
      <c r="D868" s="162"/>
      <c r="E868" s="573" t="s">
        <v>433</v>
      </c>
      <c r="F868" s="1153">
        <v>1.84</v>
      </c>
      <c r="G868" s="1154"/>
      <c r="H868" s="1155"/>
      <c r="I868" s="995"/>
      <c r="J868" s="996"/>
      <c r="K868" s="997"/>
      <c r="L868" s="99"/>
      <c r="M868" s="100"/>
    </row>
    <row r="869" spans="3:13" ht="20" thickBot="1">
      <c r="C869" s="90"/>
      <c r="D869" s="162"/>
      <c r="E869" s="573" t="s">
        <v>434</v>
      </c>
      <c r="F869" s="1153">
        <v>1.55</v>
      </c>
      <c r="G869" s="1154"/>
      <c r="H869" s="1155"/>
      <c r="I869" s="995"/>
      <c r="J869" s="996"/>
      <c r="K869" s="997"/>
      <c r="L869" s="99"/>
      <c r="M869" s="100"/>
    </row>
    <row r="870" spans="3:13" ht="20" thickBot="1">
      <c r="C870" s="90"/>
      <c r="D870" s="162"/>
      <c r="E870" s="574" t="s">
        <v>435</v>
      </c>
      <c r="F870" s="1156">
        <v>0.95833333333333337</v>
      </c>
      <c r="G870" s="1157"/>
      <c r="H870" s="1158"/>
      <c r="I870" s="995"/>
      <c r="J870" s="996"/>
      <c r="K870" s="997"/>
      <c r="L870" s="106">
        <v>6.25E-2</v>
      </c>
      <c r="M870" s="106">
        <v>0.95833333333333337</v>
      </c>
    </row>
    <row r="871" spans="3:13" ht="20" thickBot="1">
      <c r="C871" s="90"/>
      <c r="D871" s="162"/>
      <c r="E871" s="575" t="s">
        <v>436</v>
      </c>
      <c r="F871" s="264" t="s">
        <v>29</v>
      </c>
      <c r="G871" s="264" t="s">
        <v>28</v>
      </c>
      <c r="H871" s="265" t="s">
        <v>27</v>
      </c>
      <c r="I871" s="995"/>
      <c r="J871" s="996"/>
      <c r="K871" s="997"/>
      <c r="L871" s="99"/>
      <c r="M871" s="100"/>
    </row>
    <row r="872" spans="3:13" ht="18">
      <c r="C872" s="90"/>
      <c r="D872" s="162"/>
      <c r="E872" s="576">
        <v>45496</v>
      </c>
      <c r="F872" s="577">
        <v>1.89</v>
      </c>
      <c r="G872" s="577">
        <v>1.85</v>
      </c>
      <c r="H872" s="577">
        <v>1.44</v>
      </c>
      <c r="I872" s="995"/>
      <c r="J872" s="996"/>
      <c r="K872" s="997"/>
      <c r="L872" s="99"/>
      <c r="M872" s="100"/>
    </row>
    <row r="873" spans="3:13" ht="18">
      <c r="C873" s="90"/>
      <c r="D873" s="162"/>
      <c r="E873" s="576">
        <v>45407</v>
      </c>
      <c r="F873" s="577">
        <v>1.89</v>
      </c>
      <c r="G873" s="577">
        <v>1.49</v>
      </c>
      <c r="H873" s="577">
        <v>1.17</v>
      </c>
      <c r="I873" s="995"/>
      <c r="J873" s="996"/>
      <c r="K873" s="997"/>
      <c r="L873" s="99"/>
      <c r="M873" s="100"/>
    </row>
    <row r="874" spans="3:13" ht="18">
      <c r="C874" s="90"/>
      <c r="D874" s="162"/>
      <c r="E874" s="576">
        <v>45321</v>
      </c>
      <c r="F874" s="577">
        <v>1.64</v>
      </c>
      <c r="G874" s="577">
        <v>1.6</v>
      </c>
      <c r="H874" s="577">
        <v>1.05</v>
      </c>
      <c r="I874" s="995"/>
      <c r="J874" s="996"/>
      <c r="K874" s="997"/>
      <c r="L874" s="101"/>
      <c r="M874" s="100"/>
    </row>
    <row r="875" spans="3:13" ht="18">
      <c r="C875" s="90"/>
      <c r="D875" s="162"/>
      <c r="E875" s="576">
        <v>45223</v>
      </c>
      <c r="F875" s="577">
        <v>1.55</v>
      </c>
      <c r="G875" s="577">
        <v>1.45</v>
      </c>
      <c r="H875" s="577">
        <v>1.06</v>
      </c>
      <c r="I875" s="995"/>
      <c r="J875" s="996"/>
      <c r="K875" s="997"/>
      <c r="L875" s="99"/>
      <c r="M875" s="100"/>
    </row>
    <row r="876" spans="3:13" ht="18">
      <c r="C876" s="90"/>
      <c r="D876" s="162"/>
      <c r="E876" s="576">
        <v>45132</v>
      </c>
      <c r="F876" s="577">
        <v>1.44</v>
      </c>
      <c r="G876" s="577">
        <v>1.32</v>
      </c>
      <c r="H876" s="577">
        <v>1.21</v>
      </c>
      <c r="I876" s="995"/>
      <c r="J876" s="996"/>
      <c r="K876" s="997"/>
      <c r="L876" s="99"/>
      <c r="M876" s="100"/>
    </row>
    <row r="877" spans="3:13" thickBot="1">
      <c r="C877" s="90"/>
      <c r="D877" s="162"/>
      <c r="E877" s="596">
        <v>45041</v>
      </c>
      <c r="F877" s="597">
        <v>1.17</v>
      </c>
      <c r="G877" s="597">
        <v>1.06</v>
      </c>
      <c r="H877" s="597">
        <v>1.23</v>
      </c>
      <c r="I877" s="998"/>
      <c r="J877" s="999"/>
      <c r="K877" s="1000"/>
      <c r="L877" s="102"/>
      <c r="M877" s="103"/>
    </row>
    <row r="878" spans="3:13" ht="25" thickBot="1">
      <c r="C878" s="90"/>
      <c r="D878" s="88" t="s">
        <v>105</v>
      </c>
      <c r="E878" s="571" t="s">
        <v>30</v>
      </c>
      <c r="F878" s="1147" t="s">
        <v>871</v>
      </c>
      <c r="G878" s="1148"/>
      <c r="H878" s="1149"/>
      <c r="I878" s="1131" t="s">
        <v>633</v>
      </c>
      <c r="J878" s="1129"/>
      <c r="K878" s="1130"/>
      <c r="L878" s="158" t="s">
        <v>430</v>
      </c>
      <c r="M878" s="105" t="s">
        <v>431</v>
      </c>
    </row>
    <row r="879" spans="3:13">
      <c r="C879" s="90"/>
      <c r="D879" s="162"/>
      <c r="E879" s="572" t="s">
        <v>432</v>
      </c>
      <c r="F879" s="1150"/>
      <c r="G879" s="1151"/>
      <c r="H879" s="1152"/>
      <c r="I879" s="995" t="s">
        <v>855</v>
      </c>
      <c r="J879" s="996"/>
      <c r="K879" s="997"/>
      <c r="L879" s="99"/>
      <c r="M879" s="100"/>
    </row>
    <row r="880" spans="3:13">
      <c r="C880" s="90"/>
      <c r="D880" s="162"/>
      <c r="E880" s="573" t="s">
        <v>433</v>
      </c>
      <c r="F880" s="1153">
        <v>3.1</v>
      </c>
      <c r="G880" s="1154"/>
      <c r="H880" s="1155"/>
      <c r="I880" s="995"/>
      <c r="J880" s="996"/>
      <c r="K880" s="997"/>
      <c r="L880" s="99"/>
      <c r="M880" s="100"/>
    </row>
    <row r="881" spans="3:13" ht="20" thickBot="1">
      <c r="C881" s="90"/>
      <c r="D881" s="162"/>
      <c r="E881" s="573" t="s">
        <v>434</v>
      </c>
      <c r="F881" s="1153">
        <v>2.99</v>
      </c>
      <c r="G881" s="1154"/>
      <c r="H881" s="1155"/>
      <c r="I881" s="995"/>
      <c r="J881" s="996"/>
      <c r="K881" s="997"/>
      <c r="L881" s="99"/>
      <c r="M881" s="100"/>
    </row>
    <row r="882" spans="3:13" ht="20" thickBot="1">
      <c r="C882" s="90"/>
      <c r="D882" s="162"/>
      <c r="E882" s="574" t="s">
        <v>435</v>
      </c>
      <c r="F882" s="1156">
        <v>0.95833333333333337</v>
      </c>
      <c r="G882" s="1157"/>
      <c r="H882" s="1158"/>
      <c r="I882" s="995"/>
      <c r="J882" s="996"/>
      <c r="K882" s="997"/>
      <c r="L882" s="106">
        <v>6.25E-2</v>
      </c>
      <c r="M882" s="106">
        <v>0.95833333333333337</v>
      </c>
    </row>
    <row r="883" spans="3:13" ht="20" thickBot="1">
      <c r="C883" s="90"/>
      <c r="D883" s="162"/>
      <c r="E883" s="575" t="s">
        <v>436</v>
      </c>
      <c r="F883" s="264" t="s">
        <v>29</v>
      </c>
      <c r="G883" s="264" t="s">
        <v>28</v>
      </c>
      <c r="H883" s="265" t="s">
        <v>27</v>
      </c>
      <c r="I883" s="995"/>
      <c r="J883" s="996"/>
      <c r="K883" s="997"/>
      <c r="L883" s="99"/>
      <c r="M883" s="100"/>
    </row>
    <row r="884" spans="3:13" ht="18">
      <c r="C884" s="90"/>
      <c r="D884" s="162"/>
      <c r="E884" s="576">
        <v>45503</v>
      </c>
      <c r="F884" s="577">
        <v>2.95</v>
      </c>
      <c r="G884" s="577">
        <v>2.94</v>
      </c>
      <c r="H884" s="577">
        <v>2.69</v>
      </c>
      <c r="I884" s="995"/>
      <c r="J884" s="996"/>
      <c r="K884" s="997"/>
      <c r="L884" s="99"/>
      <c r="M884" s="100"/>
    </row>
    <row r="885" spans="3:13" ht="18">
      <c r="C885" s="90"/>
      <c r="D885" s="162"/>
      <c r="E885" s="576">
        <v>45407</v>
      </c>
      <c r="F885" s="577">
        <v>2.94</v>
      </c>
      <c r="G885" s="577">
        <v>2.94</v>
      </c>
      <c r="H885" s="577">
        <v>2.4500000000000002</v>
      </c>
      <c r="I885" s="995"/>
      <c r="J885" s="996"/>
      <c r="K885" s="997"/>
      <c r="L885" s="99"/>
      <c r="M885" s="100"/>
    </row>
    <row r="886" spans="3:13" ht="18">
      <c r="C886" s="90"/>
      <c r="D886" s="162"/>
      <c r="E886" s="576">
        <v>45321</v>
      </c>
      <c r="F886" s="577">
        <v>2.93</v>
      </c>
      <c r="G886" s="577">
        <v>2.78</v>
      </c>
      <c r="H886" s="577">
        <v>2.3199999999999998</v>
      </c>
      <c r="I886" s="995"/>
      <c r="J886" s="996"/>
      <c r="K886" s="997"/>
      <c r="L886" s="101"/>
      <c r="M886" s="100"/>
    </row>
    <row r="887" spans="3:13" ht="18">
      <c r="C887" s="90"/>
      <c r="D887" s="162"/>
      <c r="E887" s="576">
        <v>45223</v>
      </c>
      <c r="F887" s="577">
        <v>2.99</v>
      </c>
      <c r="G887" s="577">
        <v>2.65</v>
      </c>
      <c r="H887" s="577">
        <v>2.35</v>
      </c>
      <c r="I887" s="995"/>
      <c r="J887" s="996"/>
      <c r="K887" s="997"/>
      <c r="L887" s="99"/>
      <c r="M887" s="100"/>
    </row>
    <row r="888" spans="3:13" ht="18">
      <c r="C888" s="90"/>
      <c r="D888" s="162"/>
      <c r="E888" s="576">
        <v>45132</v>
      </c>
      <c r="F888" s="577">
        <v>2.69</v>
      </c>
      <c r="G888" s="577">
        <v>2.5499999999999998</v>
      </c>
      <c r="H888" s="577">
        <v>2.23</v>
      </c>
      <c r="I888" s="995"/>
      <c r="J888" s="996"/>
      <c r="K888" s="997"/>
      <c r="L888" s="99"/>
      <c r="M888" s="100"/>
    </row>
    <row r="889" spans="3:13" thickBot="1">
      <c r="C889" s="90"/>
      <c r="D889" s="162"/>
      <c r="E889" s="596">
        <v>45041</v>
      </c>
      <c r="F889" s="597">
        <v>2.4500000000000002</v>
      </c>
      <c r="G889" s="597">
        <v>2.2400000000000002</v>
      </c>
      <c r="H889" s="597">
        <v>2.2200000000000002</v>
      </c>
      <c r="I889" s="998"/>
      <c r="J889" s="999"/>
      <c r="K889" s="1000"/>
      <c r="L889" s="102"/>
      <c r="M889" s="103"/>
    </row>
    <row r="890" spans="3:13" ht="25" thickBot="1">
      <c r="C890" s="90"/>
      <c r="D890" s="88" t="s">
        <v>105</v>
      </c>
      <c r="E890" s="571" t="s">
        <v>30</v>
      </c>
      <c r="F890" s="1147" t="s">
        <v>872</v>
      </c>
      <c r="G890" s="1148"/>
      <c r="H890" s="1149"/>
      <c r="I890" s="1131" t="s">
        <v>633</v>
      </c>
      <c r="J890" s="1129"/>
      <c r="K890" s="1130"/>
      <c r="L890" s="158" t="s">
        <v>430</v>
      </c>
      <c r="M890" s="105" t="s">
        <v>431</v>
      </c>
    </row>
    <row r="891" spans="3:13">
      <c r="C891" s="90"/>
      <c r="D891" s="162"/>
      <c r="E891" s="572" t="s">
        <v>432</v>
      </c>
      <c r="F891" s="1150"/>
      <c r="G891" s="1151"/>
      <c r="H891" s="1152"/>
      <c r="I891" s="995" t="s">
        <v>855</v>
      </c>
      <c r="J891" s="996"/>
      <c r="K891" s="997"/>
      <c r="L891" s="99"/>
      <c r="M891" s="100"/>
    </row>
    <row r="892" spans="3:13">
      <c r="C892" s="90"/>
      <c r="D892" s="162"/>
      <c r="E892" s="573" t="s">
        <v>433</v>
      </c>
      <c r="F892" s="1153">
        <v>5.21</v>
      </c>
      <c r="G892" s="1154"/>
      <c r="H892" s="1155"/>
      <c r="I892" s="995"/>
      <c r="J892" s="996"/>
      <c r="K892" s="997"/>
      <c r="L892" s="99"/>
      <c r="M892" s="100"/>
    </row>
    <row r="893" spans="3:13" ht="20" thickBot="1">
      <c r="C893" s="90"/>
      <c r="D893" s="162"/>
      <c r="E893" s="573" t="s">
        <v>434</v>
      </c>
      <c r="F893" s="1153">
        <v>4.3899999999999997</v>
      </c>
      <c r="G893" s="1154"/>
      <c r="H893" s="1155"/>
      <c r="I893" s="995"/>
      <c r="J893" s="996"/>
      <c r="K893" s="997"/>
      <c r="L893" s="99"/>
      <c r="M893" s="100"/>
    </row>
    <row r="894" spans="3:13" ht="20" thickBot="1">
      <c r="C894" s="90"/>
      <c r="D894" s="162"/>
      <c r="E894" s="574" t="s">
        <v>435</v>
      </c>
      <c r="F894" s="1156">
        <v>0.95833333333333337</v>
      </c>
      <c r="G894" s="1157"/>
      <c r="H894" s="1158"/>
      <c r="I894" s="995"/>
      <c r="J894" s="996"/>
      <c r="K894" s="997"/>
      <c r="L894" s="106">
        <v>6.25E-2</v>
      </c>
      <c r="M894" s="106">
        <v>0.95833333333333337</v>
      </c>
    </row>
    <row r="895" spans="3:13" ht="20" thickBot="1">
      <c r="C895" s="90"/>
      <c r="D895" s="162"/>
      <c r="E895" s="575" t="s">
        <v>436</v>
      </c>
      <c r="F895" s="264" t="s">
        <v>29</v>
      </c>
      <c r="G895" s="264" t="s">
        <v>28</v>
      </c>
      <c r="H895" s="265" t="s">
        <v>27</v>
      </c>
      <c r="I895" s="995"/>
      <c r="J895" s="996"/>
      <c r="K895" s="997"/>
      <c r="L895" s="99"/>
      <c r="M895" s="100"/>
    </row>
    <row r="896" spans="3:13" ht="18">
      <c r="C896" s="90"/>
      <c r="D896" s="162"/>
      <c r="E896" s="576">
        <v>45504</v>
      </c>
      <c r="F896" s="577">
        <v>5.16</v>
      </c>
      <c r="G896" s="577">
        <v>4.72</v>
      </c>
      <c r="H896" s="577">
        <v>2.98</v>
      </c>
      <c r="I896" s="995"/>
      <c r="J896" s="996"/>
      <c r="K896" s="997"/>
      <c r="L896" s="99"/>
      <c r="M896" s="100"/>
    </row>
    <row r="897" spans="3:13" ht="18">
      <c r="C897" s="90"/>
      <c r="D897" s="162"/>
      <c r="E897" s="576">
        <v>45406</v>
      </c>
      <c r="F897" s="577">
        <v>4.71</v>
      </c>
      <c r="G897" s="577">
        <v>4.32</v>
      </c>
      <c r="H897" s="577">
        <v>2.2000000000000002</v>
      </c>
      <c r="I897" s="995"/>
      <c r="J897" s="996"/>
      <c r="K897" s="997"/>
      <c r="L897" s="99"/>
      <c r="M897" s="100"/>
    </row>
    <row r="898" spans="3:13" ht="18">
      <c r="C898" s="90"/>
      <c r="D898" s="162"/>
      <c r="E898" s="576">
        <v>45323</v>
      </c>
      <c r="F898" s="577">
        <v>5.33</v>
      </c>
      <c r="G898" s="577">
        <v>4.96</v>
      </c>
      <c r="H898" s="577">
        <v>1.76</v>
      </c>
      <c r="I898" s="995"/>
      <c r="J898" s="996"/>
      <c r="K898" s="997"/>
      <c r="L898" s="101"/>
      <c r="M898" s="100"/>
    </row>
    <row r="899" spans="3:13" ht="18">
      <c r="C899" s="90"/>
      <c r="D899" s="162"/>
      <c r="E899" s="576">
        <v>45224</v>
      </c>
      <c r="F899" s="577">
        <v>4.3899999999999997</v>
      </c>
      <c r="G899" s="577">
        <v>3.64</v>
      </c>
      <c r="H899" s="577">
        <v>1.64</v>
      </c>
      <c r="I899" s="995"/>
      <c r="J899" s="996"/>
      <c r="K899" s="997"/>
      <c r="L899" s="99"/>
      <c r="M899" s="100"/>
    </row>
    <row r="900" spans="3:13" ht="18">
      <c r="C900" s="90"/>
      <c r="D900" s="162"/>
      <c r="E900" s="576">
        <v>45133</v>
      </c>
      <c r="F900" s="577">
        <v>2.98</v>
      </c>
      <c r="G900" s="577">
        <v>2.91</v>
      </c>
      <c r="H900" s="577">
        <v>2.46</v>
      </c>
      <c r="I900" s="995"/>
      <c r="J900" s="996"/>
      <c r="K900" s="997"/>
      <c r="L900" s="99"/>
      <c r="M900" s="100"/>
    </row>
    <row r="901" spans="3:13" thickBot="1">
      <c r="C901" s="90"/>
      <c r="D901" s="162"/>
      <c r="E901" s="596">
        <v>45042</v>
      </c>
      <c r="F901" s="597">
        <v>2.2000000000000002</v>
      </c>
      <c r="G901" s="597">
        <v>2.02</v>
      </c>
      <c r="H901" s="597">
        <v>2.72</v>
      </c>
      <c r="I901" s="998"/>
      <c r="J901" s="999"/>
      <c r="K901" s="1000"/>
      <c r="L901" s="102"/>
      <c r="M901" s="103"/>
    </row>
    <row r="902" spans="3:13" ht="25" thickBot="1">
      <c r="C902" s="90"/>
      <c r="D902" s="88" t="s">
        <v>105</v>
      </c>
      <c r="E902" s="571" t="s">
        <v>30</v>
      </c>
      <c r="F902" s="1147" t="s">
        <v>854</v>
      </c>
      <c r="G902" s="1148"/>
      <c r="H902" s="1149"/>
      <c r="I902" s="1131" t="s">
        <v>633</v>
      </c>
      <c r="J902" s="1129"/>
      <c r="K902" s="1130"/>
      <c r="L902" s="158" t="s">
        <v>430</v>
      </c>
      <c r="M902" s="105" t="s">
        <v>431</v>
      </c>
    </row>
    <row r="903" spans="3:13">
      <c r="C903" s="90"/>
      <c r="D903" s="162"/>
      <c r="E903" s="572" t="s">
        <v>432</v>
      </c>
      <c r="F903" s="1150"/>
      <c r="G903" s="1151"/>
      <c r="H903" s="1152"/>
      <c r="I903" s="995" t="s">
        <v>855</v>
      </c>
      <c r="J903" s="996"/>
      <c r="K903" s="997"/>
      <c r="L903" s="99"/>
      <c r="M903" s="100"/>
    </row>
    <row r="904" spans="3:13">
      <c r="C904" s="90"/>
      <c r="D904" s="162"/>
      <c r="E904" s="573" t="s">
        <v>433</v>
      </c>
      <c r="F904" s="1153">
        <v>1.1399999999999999</v>
      </c>
      <c r="G904" s="1154"/>
      <c r="H904" s="1155"/>
      <c r="I904" s="995"/>
      <c r="J904" s="996"/>
      <c r="K904" s="997"/>
      <c r="L904" s="99"/>
      <c r="M904" s="100"/>
    </row>
    <row r="905" spans="3:13" ht="20" thickBot="1">
      <c r="C905" s="90"/>
      <c r="D905" s="162"/>
      <c r="E905" s="573" t="s">
        <v>434</v>
      </c>
      <c r="F905" s="1153"/>
      <c r="G905" s="1154"/>
      <c r="H905" s="1155"/>
      <c r="I905" s="995"/>
      <c r="J905" s="996"/>
      <c r="K905" s="997"/>
      <c r="L905" s="99"/>
      <c r="M905" s="100"/>
    </row>
    <row r="906" spans="3:13" ht="20" thickBot="1">
      <c r="C906" s="90"/>
      <c r="D906" s="162"/>
      <c r="E906" s="574" t="s">
        <v>435</v>
      </c>
      <c r="F906" s="1156">
        <v>0.95833333333333337</v>
      </c>
      <c r="G906" s="1157"/>
      <c r="H906" s="1158"/>
      <c r="I906" s="995"/>
      <c r="J906" s="996"/>
      <c r="K906" s="997"/>
      <c r="L906" s="106">
        <v>6.25E-2</v>
      </c>
      <c r="M906" s="106">
        <v>0.95833333333333337</v>
      </c>
    </row>
    <row r="907" spans="3:13" ht="20" thickBot="1">
      <c r="C907" s="90"/>
      <c r="D907" s="162"/>
      <c r="E907" s="575" t="s">
        <v>436</v>
      </c>
      <c r="F907" s="264" t="s">
        <v>29</v>
      </c>
      <c r="G907" s="264" t="s">
        <v>28</v>
      </c>
      <c r="H907" s="265" t="s">
        <v>27</v>
      </c>
      <c r="I907" s="995"/>
      <c r="J907" s="996"/>
      <c r="K907" s="997"/>
      <c r="L907" s="99"/>
      <c r="M907" s="100"/>
    </row>
    <row r="908" spans="3:13" ht="18">
      <c r="C908" s="90"/>
      <c r="D908" s="162"/>
      <c r="E908" s="576">
        <v>45506</v>
      </c>
      <c r="F908" s="577">
        <v>1.26</v>
      </c>
      <c r="G908" s="577">
        <v>1.01</v>
      </c>
      <c r="H908" s="577"/>
      <c r="I908" s="995"/>
      <c r="J908" s="996"/>
      <c r="K908" s="997"/>
      <c r="L908" s="99"/>
      <c r="M908" s="100"/>
    </row>
    <row r="909" spans="3:13" ht="18">
      <c r="C909" s="90"/>
      <c r="D909" s="162"/>
      <c r="E909" s="576">
        <v>45415</v>
      </c>
      <c r="F909" s="577">
        <v>1.23</v>
      </c>
      <c r="G909" s="577">
        <v>0.94</v>
      </c>
      <c r="H909" s="577"/>
      <c r="I909" s="995"/>
      <c r="J909" s="996"/>
      <c r="K909" s="997"/>
      <c r="L909" s="99"/>
      <c r="M909" s="100"/>
    </row>
    <row r="910" spans="3:13" ht="18">
      <c r="C910" s="90"/>
      <c r="D910" s="162"/>
      <c r="E910" s="576">
        <v>45325</v>
      </c>
      <c r="F910" s="577">
        <v>1</v>
      </c>
      <c r="G910" s="577">
        <v>0.87</v>
      </c>
      <c r="H910" s="577"/>
      <c r="I910" s="995"/>
      <c r="J910" s="996"/>
      <c r="K910" s="997"/>
      <c r="L910" s="101"/>
      <c r="M910" s="100"/>
    </row>
    <row r="911" spans="3:13" ht="18">
      <c r="C911" s="90"/>
      <c r="D911" s="162"/>
      <c r="E911" s="576">
        <v>45234</v>
      </c>
      <c r="F911" s="577">
        <v>0.94</v>
      </c>
      <c r="G911" s="577">
        <v>0.8</v>
      </c>
      <c r="H911" s="577"/>
      <c r="I911" s="995"/>
      <c r="J911" s="996"/>
      <c r="K911" s="997"/>
      <c r="L911" s="99"/>
      <c r="M911" s="100"/>
    </row>
    <row r="912" spans="3:13" ht="18">
      <c r="C912" s="90"/>
      <c r="D912" s="162"/>
      <c r="E912" s="576">
        <v>45142</v>
      </c>
      <c r="F912" s="577">
        <v>0.87</v>
      </c>
      <c r="G912" s="577">
        <v>0.73</v>
      </c>
      <c r="H912" s="577"/>
      <c r="I912" s="995"/>
      <c r="J912" s="996"/>
      <c r="K912" s="997"/>
      <c r="L912" s="99"/>
      <c r="M912" s="100"/>
    </row>
    <row r="913" spans="3:13" thickBot="1">
      <c r="C913" s="90"/>
      <c r="D913" s="162"/>
      <c r="E913" s="576">
        <v>45051</v>
      </c>
      <c r="F913" s="597">
        <v>0.8</v>
      </c>
      <c r="G913" s="597">
        <v>0.66</v>
      </c>
      <c r="H913" s="597"/>
      <c r="I913" s="998"/>
      <c r="J913" s="999"/>
      <c r="K913" s="1000"/>
      <c r="L913" s="102"/>
      <c r="M913" s="103"/>
    </row>
    <row r="914" spans="3:13" ht="25" thickBot="1">
      <c r="C914" s="90"/>
      <c r="D914" s="90" t="s">
        <v>105</v>
      </c>
      <c r="E914" s="571" t="s">
        <v>30</v>
      </c>
      <c r="F914" s="1147" t="s">
        <v>873</v>
      </c>
      <c r="G914" s="1148"/>
      <c r="H914" s="1149"/>
      <c r="I914" s="1131" t="s">
        <v>633</v>
      </c>
      <c r="J914" s="1129"/>
      <c r="K914" s="1130"/>
      <c r="L914" s="158" t="s">
        <v>430</v>
      </c>
      <c r="M914" s="105" t="s">
        <v>431</v>
      </c>
    </row>
    <row r="915" spans="3:13">
      <c r="C915" s="90"/>
      <c r="D915" s="90"/>
      <c r="E915" s="572" t="s">
        <v>432</v>
      </c>
      <c r="F915" s="1150"/>
      <c r="G915" s="1151"/>
      <c r="H915" s="1152"/>
      <c r="I915" s="995"/>
      <c r="J915" s="996"/>
      <c r="K915" s="997"/>
      <c r="L915" s="99"/>
      <c r="M915" s="100"/>
    </row>
    <row r="916" spans="3:13">
      <c r="C916" s="90"/>
      <c r="D916" s="90"/>
      <c r="E916" s="573" t="s">
        <v>433</v>
      </c>
      <c r="F916" s="1159">
        <v>1E-3</v>
      </c>
      <c r="G916" s="1154"/>
      <c r="H916" s="1155"/>
      <c r="I916" s="995"/>
      <c r="J916" s="996"/>
      <c r="K916" s="997"/>
      <c r="L916" s="99"/>
      <c r="M916" s="100"/>
    </row>
    <row r="917" spans="3:13" ht="20" thickBot="1">
      <c r="C917" s="90"/>
      <c r="D917" s="90"/>
      <c r="E917" s="573" t="s">
        <v>434</v>
      </c>
      <c r="F917" s="1159">
        <v>1E-3</v>
      </c>
      <c r="G917" s="1154"/>
      <c r="H917" s="1155"/>
      <c r="I917" s="995"/>
      <c r="J917" s="996"/>
      <c r="K917" s="997"/>
      <c r="L917" s="99"/>
      <c r="M917" s="100"/>
    </row>
    <row r="918" spans="3:13" ht="20" thickBot="1">
      <c r="C918" s="90"/>
      <c r="D918" s="90"/>
      <c r="E918" s="574" t="s">
        <v>435</v>
      </c>
      <c r="F918" s="1160">
        <v>0.54166666666666674</v>
      </c>
      <c r="G918" s="1161"/>
      <c r="H918" s="1162"/>
      <c r="I918" s="995"/>
      <c r="J918" s="996"/>
      <c r="K918" s="997"/>
      <c r="L918" s="106">
        <v>0.77083333333333337</v>
      </c>
      <c r="M918" s="107">
        <v>0.95833333333333337</v>
      </c>
    </row>
    <row r="919" spans="3:13" ht="20" thickBot="1">
      <c r="C919" s="90"/>
      <c r="D919" s="90"/>
      <c r="E919" s="575" t="s">
        <v>436</v>
      </c>
      <c r="F919" s="264" t="s">
        <v>29</v>
      </c>
      <c r="G919" s="264" t="s">
        <v>28</v>
      </c>
      <c r="H919" s="265" t="s">
        <v>27</v>
      </c>
      <c r="I919" s="995"/>
      <c r="J919" s="996"/>
      <c r="K919" s="997"/>
      <c r="L919" s="99"/>
      <c r="M919" s="100"/>
    </row>
    <row r="920" spans="3:13">
      <c r="C920" s="90"/>
      <c r="D920" s="90"/>
      <c r="E920" s="576">
        <v>45559</v>
      </c>
      <c r="F920" s="316">
        <v>1E-3</v>
      </c>
      <c r="G920" s="316" t="s">
        <v>460</v>
      </c>
      <c r="H920" s="316">
        <v>0</v>
      </c>
      <c r="I920" s="995"/>
      <c r="J920" s="996"/>
      <c r="K920" s="997"/>
      <c r="L920" s="99"/>
      <c r="M920" s="100"/>
    </row>
    <row r="921" spans="3:13">
      <c r="C921" s="90"/>
      <c r="D921" s="90"/>
      <c r="E921" s="576">
        <v>45531</v>
      </c>
      <c r="F921" s="316">
        <v>-1E-3</v>
      </c>
      <c r="G921" s="316" t="s">
        <v>462</v>
      </c>
      <c r="H921" s="316">
        <v>0</v>
      </c>
      <c r="I921" s="995"/>
      <c r="J921" s="996"/>
      <c r="K921" s="997"/>
      <c r="L921" s="99"/>
      <c r="M921" s="100"/>
    </row>
    <row r="922" spans="3:13">
      <c r="C922" s="90"/>
      <c r="D922" s="90"/>
      <c r="E922" s="576">
        <v>45503</v>
      </c>
      <c r="F922" s="316">
        <v>0</v>
      </c>
      <c r="G922" s="316" t="s">
        <v>460</v>
      </c>
      <c r="H922" s="316">
        <v>3.0000000000000001E-3</v>
      </c>
      <c r="I922" s="995"/>
      <c r="J922" s="996"/>
      <c r="K922" s="997"/>
      <c r="L922" s="101"/>
      <c r="M922" s="100"/>
    </row>
    <row r="923" spans="3:13">
      <c r="C923" s="90"/>
      <c r="D923" s="90"/>
      <c r="E923" s="576">
        <v>45468</v>
      </c>
      <c r="F923" s="316">
        <v>2E-3</v>
      </c>
      <c r="G923" s="316" t="s">
        <v>467</v>
      </c>
      <c r="H923" s="316">
        <v>1E-3</v>
      </c>
      <c r="I923" s="995"/>
      <c r="J923" s="996"/>
      <c r="K923" s="997"/>
      <c r="L923" s="99"/>
      <c r="M923" s="100"/>
    </row>
    <row r="924" spans="3:13">
      <c r="C924" s="90"/>
      <c r="D924" s="90"/>
      <c r="E924" s="576">
        <v>45440</v>
      </c>
      <c r="F924" s="316">
        <v>1E-3</v>
      </c>
      <c r="G924" s="316" t="s">
        <v>903</v>
      </c>
      <c r="H924" s="316">
        <v>1.2E-2</v>
      </c>
      <c r="I924" s="995"/>
      <c r="J924" s="996"/>
      <c r="K924" s="997"/>
      <c r="L924" s="99"/>
      <c r="M924" s="100"/>
    </row>
    <row r="925" spans="3:13" ht="20" thickBot="1">
      <c r="C925" s="90"/>
      <c r="D925" s="90"/>
      <c r="E925" s="576">
        <v>45412</v>
      </c>
      <c r="F925" s="316">
        <v>1.2E-2</v>
      </c>
      <c r="G925" s="316" t="s">
        <v>462</v>
      </c>
      <c r="H925" s="316">
        <v>-1E-3</v>
      </c>
      <c r="I925" s="998"/>
      <c r="J925" s="999"/>
      <c r="K925" s="1000"/>
      <c r="L925" s="102"/>
      <c r="M925" s="103"/>
    </row>
    <row r="926" spans="3:13" ht="25" thickBot="1">
      <c r="C926" s="90" t="s">
        <v>105</v>
      </c>
      <c r="D926" s="90" t="s">
        <v>105</v>
      </c>
      <c r="E926" s="598" t="s">
        <v>30</v>
      </c>
      <c r="F926" s="1102" t="s">
        <v>915</v>
      </c>
      <c r="G926" s="1103"/>
      <c r="H926" s="1104"/>
      <c r="I926" s="1131" t="s">
        <v>633</v>
      </c>
      <c r="J926" s="1129"/>
      <c r="K926" s="1130"/>
      <c r="L926" s="158" t="s">
        <v>430</v>
      </c>
      <c r="M926" s="105" t="s">
        <v>431</v>
      </c>
    </row>
    <row r="927" spans="3:13">
      <c r="C927" s="90"/>
      <c r="D927" s="90"/>
      <c r="E927" s="599" t="s">
        <v>432</v>
      </c>
      <c r="F927" s="1105"/>
      <c r="G927" s="1106"/>
      <c r="H927" s="1107"/>
      <c r="I927" s="995" t="s">
        <v>916</v>
      </c>
      <c r="J927" s="996"/>
      <c r="K927" s="997"/>
      <c r="L927" s="99"/>
      <c r="M927" s="100"/>
    </row>
    <row r="928" spans="3:13">
      <c r="C928" s="90"/>
      <c r="D928" s="90"/>
      <c r="E928" s="600" t="s">
        <v>433</v>
      </c>
      <c r="F928" s="1111">
        <v>4.3499999999999997E-2</v>
      </c>
      <c r="G928" s="1112"/>
      <c r="H928" s="1113"/>
      <c r="I928" s="995"/>
      <c r="J928" s="996"/>
      <c r="K928" s="997"/>
      <c r="L928" s="99"/>
      <c r="M928" s="100"/>
    </row>
    <row r="929" spans="3:13" ht="20" thickBot="1">
      <c r="C929" s="90"/>
      <c r="D929" s="90"/>
      <c r="E929" s="600" t="s">
        <v>434</v>
      </c>
      <c r="F929" s="1111">
        <v>4.3499999999999997E-2</v>
      </c>
      <c r="G929" s="1112"/>
      <c r="H929" s="1113"/>
      <c r="I929" s="995"/>
      <c r="J929" s="996"/>
      <c r="K929" s="997"/>
      <c r="L929" s="99"/>
      <c r="M929" s="100"/>
    </row>
    <row r="930" spans="3:13" ht="20" thickBot="1">
      <c r="C930" s="90"/>
      <c r="D930" s="90"/>
      <c r="E930" s="601" t="s">
        <v>435</v>
      </c>
      <c r="F930" s="1114">
        <v>0.14583333333333334</v>
      </c>
      <c r="G930" s="1115"/>
      <c r="H930" s="1116"/>
      <c r="I930" s="995"/>
      <c r="J930" s="996"/>
      <c r="K930" s="997"/>
      <c r="L930" s="106">
        <v>0.375</v>
      </c>
      <c r="M930" s="107">
        <v>0.22916666666666666</v>
      </c>
    </row>
    <row r="931" spans="3:13" ht="20" thickBot="1">
      <c r="C931" s="90"/>
      <c r="D931" s="90"/>
      <c r="E931" s="602" t="s">
        <v>436</v>
      </c>
      <c r="F931" s="252" t="s">
        <v>29</v>
      </c>
      <c r="G931" s="252" t="s">
        <v>28</v>
      </c>
      <c r="H931" s="253" t="s">
        <v>27</v>
      </c>
      <c r="I931" s="995"/>
      <c r="J931" s="996"/>
      <c r="K931" s="997"/>
      <c r="L931" s="99"/>
      <c r="M931" s="100"/>
    </row>
    <row r="932" spans="3:13">
      <c r="C932" s="90"/>
      <c r="D932" s="90"/>
      <c r="E932" s="603">
        <v>45559</v>
      </c>
      <c r="F932" s="345">
        <v>4.3499999999999997E-2</v>
      </c>
      <c r="G932" s="345" t="s">
        <v>938</v>
      </c>
      <c r="H932" s="345">
        <v>4.3499999999999997E-2</v>
      </c>
      <c r="I932" s="995"/>
      <c r="J932" s="996"/>
      <c r="K932" s="997"/>
      <c r="L932" s="99"/>
      <c r="M932" s="100"/>
    </row>
    <row r="933" spans="3:13">
      <c r="C933" s="90"/>
      <c r="D933" s="90"/>
      <c r="E933" s="603">
        <v>45510</v>
      </c>
      <c r="F933" s="345">
        <v>4.3499999999999997E-2</v>
      </c>
      <c r="G933" s="345" t="s">
        <v>938</v>
      </c>
      <c r="H933" s="345">
        <v>4.3499999999999997E-2</v>
      </c>
      <c r="I933" s="995"/>
      <c r="J933" s="996"/>
      <c r="K933" s="997"/>
      <c r="L933" s="99"/>
      <c r="M933" s="100"/>
    </row>
    <row r="934" spans="3:13">
      <c r="C934" s="90"/>
      <c r="D934" s="90"/>
      <c r="E934" s="603">
        <v>45461</v>
      </c>
      <c r="F934" s="345">
        <v>4.3499999999999997E-2</v>
      </c>
      <c r="G934" s="345" t="s">
        <v>938</v>
      </c>
      <c r="H934" s="345">
        <v>4.3499999999999997E-2</v>
      </c>
      <c r="I934" s="995"/>
      <c r="J934" s="996"/>
      <c r="K934" s="997"/>
      <c r="L934" s="101"/>
      <c r="M934" s="100"/>
    </row>
    <row r="935" spans="3:13">
      <c r="C935" s="90"/>
      <c r="D935" s="90"/>
      <c r="E935" s="603">
        <v>45419</v>
      </c>
      <c r="F935" s="345">
        <v>4.3499999999999997E-2</v>
      </c>
      <c r="G935" s="345" t="s">
        <v>938</v>
      </c>
      <c r="H935" s="345">
        <v>4.3499999999999997E-2</v>
      </c>
      <c r="I935" s="995"/>
      <c r="J935" s="996"/>
      <c r="K935" s="997"/>
      <c r="L935" s="99"/>
      <c r="M935" s="100"/>
    </row>
    <row r="936" spans="3:13">
      <c r="C936" s="90"/>
      <c r="D936" s="90"/>
      <c r="E936" s="603">
        <v>45370</v>
      </c>
      <c r="F936" s="345">
        <v>4.3499999999999997E-2</v>
      </c>
      <c r="G936" s="345" t="s">
        <v>938</v>
      </c>
      <c r="H936" s="345">
        <v>4.3499999999999997E-2</v>
      </c>
      <c r="I936" s="995"/>
      <c r="J936" s="996"/>
      <c r="K936" s="997"/>
      <c r="L936" s="99"/>
      <c r="M936" s="100"/>
    </row>
    <row r="937" spans="3:13" ht="20" thickBot="1">
      <c r="C937" s="90"/>
      <c r="D937" s="90"/>
      <c r="E937" s="603">
        <v>45328</v>
      </c>
      <c r="F937" s="345">
        <v>4.3499999999999997E-2</v>
      </c>
      <c r="G937" s="345" t="s">
        <v>938</v>
      </c>
      <c r="H937" s="345">
        <v>4.3499999999999997E-2</v>
      </c>
      <c r="I937" s="998"/>
      <c r="J937" s="999"/>
      <c r="K937" s="1000"/>
      <c r="L937" s="102"/>
      <c r="M937" s="103"/>
    </row>
    <row r="938" spans="3:13" ht="25" thickBot="1">
      <c r="C938" s="90"/>
      <c r="D938" s="90" t="s">
        <v>105</v>
      </c>
      <c r="E938" s="598" t="s">
        <v>30</v>
      </c>
      <c r="F938" s="1102" t="s">
        <v>917</v>
      </c>
      <c r="G938" s="1103"/>
      <c r="H938" s="1104"/>
      <c r="I938" s="1131" t="s">
        <v>633</v>
      </c>
      <c r="J938" s="1129"/>
      <c r="K938" s="1130"/>
      <c r="L938" s="158" t="s">
        <v>430</v>
      </c>
      <c r="M938" s="105" t="s">
        <v>431</v>
      </c>
    </row>
    <row r="939" spans="3:13">
      <c r="C939" s="90"/>
      <c r="D939" s="90"/>
      <c r="E939" s="599" t="s">
        <v>432</v>
      </c>
      <c r="F939" s="1105"/>
      <c r="G939" s="1106"/>
      <c r="H939" s="1107"/>
      <c r="I939" s="995" t="s">
        <v>918</v>
      </c>
      <c r="J939" s="996"/>
      <c r="K939" s="997"/>
      <c r="L939" s="99"/>
      <c r="M939" s="100"/>
    </row>
    <row r="940" spans="3:13">
      <c r="C940" s="90"/>
      <c r="D940" s="90"/>
      <c r="E940" s="600" t="s">
        <v>433</v>
      </c>
      <c r="F940" s="1111"/>
      <c r="G940" s="1112"/>
      <c r="H940" s="1113"/>
      <c r="I940" s="995"/>
      <c r="J940" s="996"/>
      <c r="K940" s="997"/>
      <c r="L940" s="99"/>
      <c r="M940" s="100"/>
    </row>
    <row r="941" spans="3:13" ht="20" thickBot="1">
      <c r="C941" s="90"/>
      <c r="D941" s="90"/>
      <c r="E941" s="600" t="s">
        <v>434</v>
      </c>
      <c r="F941" s="1111"/>
      <c r="G941" s="1112"/>
      <c r="H941" s="1113"/>
      <c r="I941" s="995"/>
      <c r="J941" s="996"/>
      <c r="K941" s="997"/>
      <c r="L941" s="99"/>
      <c r="M941" s="100"/>
    </row>
    <row r="942" spans="3:13" ht="20" thickBot="1">
      <c r="C942" s="90"/>
      <c r="D942" s="90"/>
      <c r="E942" s="601" t="s">
        <v>435</v>
      </c>
      <c r="F942" s="1114">
        <v>0.41666666666666674</v>
      </c>
      <c r="G942" s="1115"/>
      <c r="H942" s="1116"/>
      <c r="I942" s="995"/>
      <c r="J942" s="996"/>
      <c r="K942" s="997"/>
      <c r="L942" s="106">
        <v>0.64583333333333337</v>
      </c>
      <c r="M942" s="107">
        <v>0.5</v>
      </c>
    </row>
    <row r="943" spans="3:13" ht="20" thickBot="1">
      <c r="C943" s="90"/>
      <c r="D943" s="90"/>
      <c r="E943" s="602" t="s">
        <v>436</v>
      </c>
      <c r="F943" s="252" t="s">
        <v>29</v>
      </c>
      <c r="G943" s="252" t="s">
        <v>28</v>
      </c>
      <c r="H943" s="253" t="s">
        <v>27</v>
      </c>
      <c r="I943" s="995"/>
      <c r="J943" s="996"/>
      <c r="K943" s="997"/>
      <c r="L943" s="99"/>
      <c r="M943" s="100"/>
    </row>
    <row r="944" spans="3:13" ht="18">
      <c r="C944" s="90"/>
      <c r="D944" s="90"/>
      <c r="E944" s="603">
        <v>44138</v>
      </c>
      <c r="F944" s="341"/>
      <c r="G944" s="341"/>
      <c r="H944" s="341"/>
      <c r="I944" s="995"/>
      <c r="J944" s="996"/>
      <c r="K944" s="997"/>
      <c r="L944" s="99"/>
      <c r="M944" s="100"/>
    </row>
    <row r="945" spans="3:13" ht="18">
      <c r="C945" s="90"/>
      <c r="D945" s="90"/>
      <c r="E945" s="603">
        <v>42682</v>
      </c>
      <c r="F945" s="341"/>
      <c r="G945" s="341"/>
      <c r="H945" s="341"/>
      <c r="I945" s="995"/>
      <c r="J945" s="996"/>
      <c r="K945" s="997"/>
      <c r="L945" s="99"/>
      <c r="M945" s="100"/>
    </row>
    <row r="946" spans="3:13" ht="18">
      <c r="C946" s="90"/>
      <c r="D946" s="90"/>
      <c r="E946" s="603">
        <v>41219</v>
      </c>
      <c r="F946" s="341"/>
      <c r="G946" s="341"/>
      <c r="H946" s="341"/>
      <c r="I946" s="995"/>
      <c r="J946" s="996"/>
      <c r="K946" s="997"/>
      <c r="L946" s="101"/>
      <c r="M946" s="100"/>
    </row>
    <row r="947" spans="3:13" ht="18">
      <c r="C947" s="90"/>
      <c r="D947" s="90"/>
      <c r="E947" s="603">
        <v>39756</v>
      </c>
      <c r="F947" s="341"/>
      <c r="G947" s="341"/>
      <c r="H947" s="341"/>
      <c r="I947" s="995"/>
      <c r="J947" s="996"/>
      <c r="K947" s="997"/>
      <c r="L947" s="99"/>
      <c r="M947" s="100"/>
    </row>
    <row r="948" spans="3:13" ht="18">
      <c r="C948" s="90"/>
      <c r="D948" s="90"/>
      <c r="E948" s="603"/>
      <c r="F948" s="341"/>
      <c r="G948" s="341"/>
      <c r="H948" s="341"/>
      <c r="I948" s="995"/>
      <c r="J948" s="996"/>
      <c r="K948" s="997"/>
      <c r="L948" s="99"/>
      <c r="M948" s="100"/>
    </row>
    <row r="949" spans="3:13" thickBot="1">
      <c r="C949" s="90"/>
      <c r="D949" s="90"/>
      <c r="E949" s="603"/>
      <c r="F949" s="341"/>
      <c r="G949" s="341"/>
      <c r="H949" s="341"/>
      <c r="I949" s="998"/>
      <c r="J949" s="999"/>
      <c r="K949" s="1000"/>
      <c r="L949" s="102"/>
      <c r="M949" s="103"/>
    </row>
    <row r="950" spans="3:13" ht="25" thickBot="1">
      <c r="C950" s="90"/>
      <c r="D950" s="90" t="s">
        <v>105</v>
      </c>
      <c r="E950" s="598" t="s">
        <v>30</v>
      </c>
      <c r="F950" s="1102" t="s">
        <v>919</v>
      </c>
      <c r="G950" s="1103"/>
      <c r="H950" s="1104"/>
      <c r="I950" s="1131" t="s">
        <v>633</v>
      </c>
      <c r="J950" s="1129"/>
      <c r="K950" s="1130"/>
      <c r="L950" s="158" t="s">
        <v>430</v>
      </c>
      <c r="M950" s="105" t="s">
        <v>431</v>
      </c>
    </row>
    <row r="951" spans="3:13">
      <c r="C951" s="90"/>
      <c r="D951" s="90"/>
      <c r="E951" s="599" t="s">
        <v>432</v>
      </c>
      <c r="F951" s="1105"/>
      <c r="G951" s="1106"/>
      <c r="H951" s="1107"/>
      <c r="I951" s="995" t="s">
        <v>716</v>
      </c>
      <c r="J951" s="996"/>
      <c r="K951" s="997"/>
      <c r="L951" s="99"/>
      <c r="M951" s="100"/>
    </row>
    <row r="952" spans="3:13">
      <c r="C952" s="90"/>
      <c r="D952" s="90"/>
      <c r="E952" s="600" t="s">
        <v>433</v>
      </c>
      <c r="F952" s="1117">
        <v>55.3</v>
      </c>
      <c r="G952" s="1109"/>
      <c r="H952" s="1110"/>
      <c r="I952" s="995"/>
      <c r="J952" s="996"/>
      <c r="K952" s="997"/>
      <c r="L952" s="99"/>
      <c r="M952" s="100"/>
    </row>
    <row r="953" spans="3:13" ht="20" thickBot="1">
      <c r="C953" s="90"/>
      <c r="D953" s="90"/>
      <c r="E953" s="600" t="s">
        <v>434</v>
      </c>
      <c r="F953" s="1117">
        <v>55.2</v>
      </c>
      <c r="G953" s="1109"/>
      <c r="H953" s="1110"/>
      <c r="I953" s="995"/>
      <c r="J953" s="996"/>
      <c r="K953" s="997"/>
      <c r="L953" s="99"/>
      <c r="M953" s="100"/>
    </row>
    <row r="954" spans="3:13" ht="20" thickBot="1">
      <c r="C954" s="90"/>
      <c r="D954" s="90"/>
      <c r="E954" s="601" t="s">
        <v>435</v>
      </c>
      <c r="F954" s="1114">
        <v>0.625</v>
      </c>
      <c r="G954" s="1115"/>
      <c r="H954" s="1116"/>
      <c r="I954" s="995"/>
      <c r="J954" s="996"/>
      <c r="K954" s="997"/>
      <c r="L954" s="106">
        <v>0.85416666666666663</v>
      </c>
      <c r="M954" s="107">
        <v>0.70833333333333326</v>
      </c>
    </row>
    <row r="955" spans="3:13" ht="20" thickBot="1">
      <c r="C955" s="90"/>
      <c r="D955" s="90"/>
      <c r="E955" s="602" t="s">
        <v>436</v>
      </c>
      <c r="F955" s="252" t="s">
        <v>29</v>
      </c>
      <c r="G955" s="252" t="s">
        <v>28</v>
      </c>
      <c r="H955" s="253" t="s">
        <v>27</v>
      </c>
      <c r="I955" s="995"/>
      <c r="J955" s="996"/>
      <c r="K955" s="997"/>
      <c r="L955" s="99"/>
      <c r="M955" s="100"/>
    </row>
    <row r="956" spans="3:13">
      <c r="C956" s="90"/>
      <c r="D956" s="90"/>
      <c r="E956" s="603">
        <v>45589</v>
      </c>
      <c r="F956" s="604">
        <v>55.3</v>
      </c>
      <c r="G956" s="604" t="s">
        <v>604</v>
      </c>
      <c r="H956" s="604">
        <v>55.2</v>
      </c>
      <c r="I956" s="995"/>
      <c r="J956" s="996"/>
      <c r="K956" s="997"/>
      <c r="L956" s="99"/>
      <c r="M956" s="100"/>
    </row>
    <row r="957" spans="3:13">
      <c r="C957" s="90"/>
      <c r="D957" s="90"/>
      <c r="E957" s="603">
        <v>45568</v>
      </c>
      <c r="F957" s="604">
        <v>55.2</v>
      </c>
      <c r="G957" s="604" t="s">
        <v>759</v>
      </c>
      <c r="H957" s="604">
        <v>55.7</v>
      </c>
      <c r="I957" s="995"/>
      <c r="J957" s="996"/>
      <c r="K957" s="997"/>
      <c r="L957" s="99"/>
      <c r="M957" s="100"/>
    </row>
    <row r="958" spans="3:13">
      <c r="C958" s="90"/>
      <c r="D958" s="90"/>
      <c r="E958" s="603">
        <v>45558</v>
      </c>
      <c r="F958" s="604">
        <v>55.4</v>
      </c>
      <c r="G958" s="604" t="s">
        <v>585</v>
      </c>
      <c r="H958" s="604">
        <v>55.7</v>
      </c>
      <c r="I958" s="995"/>
      <c r="J958" s="996"/>
      <c r="K958" s="997"/>
      <c r="L958" s="101"/>
      <c r="M958" s="100"/>
    </row>
    <row r="959" spans="3:13">
      <c r="C959" s="90"/>
      <c r="D959" s="90"/>
      <c r="E959" s="603">
        <v>45540</v>
      </c>
      <c r="F959" s="604">
        <v>55.7</v>
      </c>
      <c r="G959" s="604" t="s">
        <v>586</v>
      </c>
      <c r="H959" s="604">
        <v>55</v>
      </c>
      <c r="I959" s="995"/>
      <c r="J959" s="996"/>
      <c r="K959" s="997"/>
      <c r="L959" s="99"/>
      <c r="M959" s="100"/>
    </row>
    <row r="960" spans="3:13">
      <c r="C960" s="90"/>
      <c r="D960" s="90"/>
      <c r="E960" s="603">
        <v>45526</v>
      </c>
      <c r="F960" s="604">
        <v>55.2</v>
      </c>
      <c r="G960" s="604" t="s">
        <v>587</v>
      </c>
      <c r="H960" s="604">
        <v>55</v>
      </c>
      <c r="I960" s="995"/>
      <c r="J960" s="996"/>
      <c r="K960" s="997"/>
      <c r="L960" s="99"/>
      <c r="M960" s="100"/>
    </row>
    <row r="961" spans="3:13" ht="20" thickBot="1">
      <c r="C961" s="90"/>
      <c r="D961" s="90"/>
      <c r="E961" s="603">
        <v>45509</v>
      </c>
      <c r="F961" s="604">
        <v>55</v>
      </c>
      <c r="G961" s="604" t="s">
        <v>589</v>
      </c>
      <c r="H961" s="604">
        <v>55.3</v>
      </c>
      <c r="I961" s="998"/>
      <c r="J961" s="999"/>
      <c r="K961" s="1000"/>
      <c r="L961" s="102"/>
      <c r="M961" s="103"/>
    </row>
    <row r="962" spans="3:13" ht="25" thickBot="1">
      <c r="C962" s="90"/>
      <c r="D962" s="90" t="s">
        <v>105</v>
      </c>
      <c r="E962" s="598" t="s">
        <v>30</v>
      </c>
      <c r="F962" s="1102" t="s">
        <v>920</v>
      </c>
      <c r="G962" s="1103"/>
      <c r="H962" s="1104"/>
      <c r="I962" s="1131" t="s">
        <v>633</v>
      </c>
      <c r="J962" s="1129"/>
      <c r="K962" s="1130"/>
      <c r="L962" s="158" t="s">
        <v>430</v>
      </c>
      <c r="M962" s="105" t="s">
        <v>431</v>
      </c>
    </row>
    <row r="963" spans="3:13">
      <c r="C963" s="90"/>
      <c r="D963" s="90"/>
      <c r="E963" s="599" t="s">
        <v>432</v>
      </c>
      <c r="F963" s="1105"/>
      <c r="G963" s="1106"/>
      <c r="H963" s="1107"/>
      <c r="I963" s="995" t="s">
        <v>921</v>
      </c>
      <c r="J963" s="996"/>
      <c r="K963" s="997"/>
      <c r="L963" s="99"/>
      <c r="M963" s="100"/>
    </row>
    <row r="964" spans="3:13">
      <c r="C964" s="90"/>
      <c r="D964" s="90"/>
      <c r="E964" s="600" t="s">
        <v>433</v>
      </c>
      <c r="F964" s="1117">
        <v>53.3</v>
      </c>
      <c r="G964" s="1109"/>
      <c r="H964" s="1110"/>
      <c r="I964" s="995"/>
      <c r="J964" s="996"/>
      <c r="K964" s="997"/>
      <c r="L964" s="99"/>
      <c r="M964" s="100"/>
    </row>
    <row r="965" spans="3:13" ht="20" thickBot="1">
      <c r="C965" s="90"/>
      <c r="D965" s="90"/>
      <c r="E965" s="600" t="s">
        <v>434</v>
      </c>
      <c r="F965" s="1117">
        <v>54.9</v>
      </c>
      <c r="G965" s="1109"/>
      <c r="H965" s="1110"/>
      <c r="I965" s="995"/>
      <c r="J965" s="996"/>
      <c r="K965" s="997"/>
      <c r="L965" s="99"/>
      <c r="M965" s="100"/>
    </row>
    <row r="966" spans="3:13" ht="20" thickBot="1">
      <c r="C966" s="90"/>
      <c r="D966" s="90"/>
      <c r="E966" s="601" t="s">
        <v>435</v>
      </c>
      <c r="F966" s="1114">
        <v>0.625</v>
      </c>
      <c r="G966" s="1115"/>
      <c r="H966" s="1116"/>
      <c r="I966" s="995"/>
      <c r="J966" s="996"/>
      <c r="K966" s="997"/>
      <c r="L966" s="106">
        <v>0.85416666666666663</v>
      </c>
      <c r="M966" s="107">
        <v>0.70833333333333326</v>
      </c>
    </row>
    <row r="967" spans="3:13" ht="20" thickBot="1">
      <c r="C967" s="90"/>
      <c r="D967" s="90"/>
      <c r="E967" s="602" t="s">
        <v>436</v>
      </c>
      <c r="F967" s="252" t="s">
        <v>29</v>
      </c>
      <c r="G967" s="252" t="s">
        <v>28</v>
      </c>
      <c r="H967" s="253" t="s">
        <v>27</v>
      </c>
      <c r="I967" s="995"/>
      <c r="J967" s="996"/>
      <c r="K967" s="997"/>
      <c r="L967" s="99"/>
      <c r="M967" s="100"/>
    </row>
    <row r="968" spans="3:13">
      <c r="C968" s="90"/>
      <c r="D968" s="90"/>
      <c r="E968" s="603">
        <v>45568</v>
      </c>
      <c r="F968" s="604">
        <v>54.9</v>
      </c>
      <c r="G968" s="604" t="s">
        <v>506</v>
      </c>
      <c r="H968" s="604">
        <v>51.5</v>
      </c>
      <c r="I968" s="995"/>
      <c r="J968" s="996"/>
      <c r="K968" s="997"/>
      <c r="L968" s="99"/>
      <c r="M968" s="100"/>
    </row>
    <row r="969" spans="3:13">
      <c r="C969" s="90"/>
      <c r="D969" s="90"/>
      <c r="E969" s="603">
        <v>45540</v>
      </c>
      <c r="F969" s="604">
        <v>51.5</v>
      </c>
      <c r="G969" s="604" t="s">
        <v>594</v>
      </c>
      <c r="H969" s="604">
        <v>51.4</v>
      </c>
      <c r="I969" s="995"/>
      <c r="J969" s="996"/>
      <c r="K969" s="997"/>
      <c r="L969" s="99"/>
      <c r="M969" s="100"/>
    </row>
    <row r="970" spans="3:13">
      <c r="C970" s="90"/>
      <c r="D970" s="90"/>
      <c r="E970" s="603">
        <v>45509</v>
      </c>
      <c r="F970" s="604">
        <v>51.4</v>
      </c>
      <c r="G970" s="604" t="s">
        <v>595</v>
      </c>
      <c r="H970" s="604">
        <v>48.8</v>
      </c>
      <c r="I970" s="995"/>
      <c r="J970" s="996"/>
      <c r="K970" s="997"/>
      <c r="L970" s="101"/>
      <c r="M970" s="100"/>
    </row>
    <row r="971" spans="3:13">
      <c r="C971" s="90"/>
      <c r="D971" s="90"/>
      <c r="E971" s="603">
        <v>45476</v>
      </c>
      <c r="F971" s="604">
        <v>48.8</v>
      </c>
      <c r="G971" s="604" t="s">
        <v>596</v>
      </c>
      <c r="H971" s="604">
        <v>53.8</v>
      </c>
      <c r="I971" s="995"/>
      <c r="J971" s="996"/>
      <c r="K971" s="997"/>
      <c r="L971" s="99"/>
      <c r="M971" s="100"/>
    </row>
    <row r="972" spans="3:13">
      <c r="C972" s="90"/>
      <c r="D972" s="90"/>
      <c r="E972" s="603">
        <v>45448</v>
      </c>
      <c r="F972" s="604">
        <v>53.8</v>
      </c>
      <c r="G972" s="604" t="s">
        <v>597</v>
      </c>
      <c r="H972" s="604">
        <v>49.4</v>
      </c>
      <c r="I972" s="995"/>
      <c r="J972" s="996"/>
      <c r="K972" s="997"/>
      <c r="L972" s="99"/>
      <c r="M972" s="100"/>
    </row>
    <row r="973" spans="3:13" ht="20" thickBot="1">
      <c r="C973" s="90"/>
      <c r="D973" s="90"/>
      <c r="E973" s="603">
        <v>45415</v>
      </c>
      <c r="F973" s="604">
        <v>49.4</v>
      </c>
      <c r="G973" s="604" t="s">
        <v>599</v>
      </c>
      <c r="H973" s="604">
        <v>51.4</v>
      </c>
      <c r="I973" s="998"/>
      <c r="J973" s="999"/>
      <c r="K973" s="1000"/>
      <c r="L973" s="102"/>
      <c r="M973" s="103"/>
    </row>
    <row r="974" spans="3:13" ht="25" thickBot="1">
      <c r="C974" s="90"/>
      <c r="D974" s="90" t="s">
        <v>105</v>
      </c>
      <c r="E974" s="598" t="s">
        <v>30</v>
      </c>
      <c r="F974" s="1102" t="s">
        <v>922</v>
      </c>
      <c r="G974" s="1103"/>
      <c r="H974" s="1104"/>
      <c r="I974" s="1131" t="s">
        <v>633</v>
      </c>
      <c r="J974" s="1129"/>
      <c r="K974" s="1130"/>
      <c r="L974" s="158" t="s">
        <v>430</v>
      </c>
      <c r="M974" s="105" t="s">
        <v>431</v>
      </c>
    </row>
    <row r="975" spans="3:13">
      <c r="C975" s="90"/>
      <c r="D975" s="90"/>
      <c r="E975" s="599" t="s">
        <v>432</v>
      </c>
      <c r="F975" s="1105"/>
      <c r="G975" s="1106"/>
      <c r="H975" s="1107"/>
      <c r="I975" s="995" t="s">
        <v>923</v>
      </c>
      <c r="J975" s="996"/>
      <c r="K975" s="997"/>
      <c r="L975" s="99"/>
      <c r="M975" s="100"/>
    </row>
    <row r="976" spans="3:13">
      <c r="C976" s="90"/>
      <c r="D976" s="90"/>
      <c r="E976" s="600" t="s">
        <v>433</v>
      </c>
      <c r="F976" s="1117">
        <v>0</v>
      </c>
      <c r="G976" s="1109"/>
      <c r="H976" s="1110"/>
      <c r="I976" s="995"/>
      <c r="J976" s="996"/>
      <c r="K976" s="997"/>
      <c r="L976" s="99"/>
      <c r="M976" s="100"/>
    </row>
    <row r="977" spans="3:13" ht="20" thickBot="1">
      <c r="C977" s="90"/>
      <c r="D977" s="90"/>
      <c r="E977" s="600" t="s">
        <v>434</v>
      </c>
      <c r="F977" s="1117">
        <v>59.4</v>
      </c>
      <c r="G977" s="1109"/>
      <c r="H977" s="1110"/>
      <c r="I977" s="995"/>
      <c r="J977" s="996"/>
      <c r="K977" s="997"/>
      <c r="L977" s="99"/>
      <c r="M977" s="100"/>
    </row>
    <row r="978" spans="3:13" ht="20" thickBot="1">
      <c r="C978" s="90"/>
      <c r="D978" s="90"/>
      <c r="E978" s="601" t="s">
        <v>435</v>
      </c>
      <c r="F978" s="1114">
        <v>0.625</v>
      </c>
      <c r="G978" s="1115"/>
      <c r="H978" s="1116"/>
      <c r="I978" s="995"/>
      <c r="J978" s="996"/>
      <c r="K978" s="997"/>
      <c r="L978" s="106">
        <v>0.85416666666666663</v>
      </c>
      <c r="M978" s="107">
        <v>0.70833333333333326</v>
      </c>
    </row>
    <row r="979" spans="3:13" ht="20" thickBot="1">
      <c r="C979" s="90"/>
      <c r="D979" s="90"/>
      <c r="E979" s="602" t="s">
        <v>436</v>
      </c>
      <c r="F979" s="252" t="s">
        <v>29</v>
      </c>
      <c r="G979" s="252" t="s">
        <v>28</v>
      </c>
      <c r="H979" s="253" t="s">
        <v>27</v>
      </c>
      <c r="I979" s="995"/>
      <c r="J979" s="996"/>
      <c r="K979" s="997"/>
      <c r="L979" s="99"/>
      <c r="M979" s="100"/>
    </row>
    <row r="980" spans="3:13">
      <c r="C980" s="90"/>
      <c r="D980" s="90"/>
      <c r="E980" s="603">
        <v>45568</v>
      </c>
      <c r="F980" s="604">
        <v>59.4</v>
      </c>
      <c r="G980" s="604" t="s">
        <v>943</v>
      </c>
      <c r="H980" s="604">
        <v>57.3</v>
      </c>
      <c r="I980" s="995"/>
      <c r="J980" s="996"/>
      <c r="K980" s="997"/>
      <c r="L980" s="99"/>
      <c r="M980" s="100"/>
    </row>
    <row r="981" spans="3:13">
      <c r="C981" s="90"/>
      <c r="D981" s="90"/>
      <c r="E981" s="603">
        <v>45540</v>
      </c>
      <c r="F981" s="604">
        <v>57.3</v>
      </c>
      <c r="G981" s="604" t="s">
        <v>589</v>
      </c>
      <c r="H981" s="604">
        <v>57</v>
      </c>
      <c r="I981" s="995"/>
      <c r="J981" s="996"/>
      <c r="K981" s="997"/>
      <c r="L981" s="99"/>
      <c r="M981" s="100"/>
    </row>
    <row r="982" spans="3:13">
      <c r="C982" s="90"/>
      <c r="D982" s="90"/>
      <c r="E982" s="603">
        <v>45509</v>
      </c>
      <c r="F982" s="604">
        <v>57</v>
      </c>
      <c r="G982" s="604" t="s">
        <v>589</v>
      </c>
      <c r="H982" s="604">
        <v>56.3</v>
      </c>
      <c r="I982" s="995"/>
      <c r="J982" s="996"/>
      <c r="K982" s="997"/>
      <c r="L982" s="101"/>
      <c r="M982" s="100"/>
    </row>
    <row r="983" spans="3:13">
      <c r="C983" s="90"/>
      <c r="D983" s="90"/>
      <c r="E983" s="603">
        <v>45476</v>
      </c>
      <c r="F983" s="604">
        <v>56.3</v>
      </c>
      <c r="G983" s="604" t="s">
        <v>602</v>
      </c>
      <c r="H983" s="604">
        <v>58.1</v>
      </c>
      <c r="I983" s="995"/>
      <c r="J983" s="996"/>
      <c r="K983" s="997"/>
      <c r="L983" s="99"/>
      <c r="M983" s="100"/>
    </row>
    <row r="984" spans="3:13">
      <c r="C984" s="90"/>
      <c r="D984" s="90"/>
      <c r="E984" s="603">
        <v>45448</v>
      </c>
      <c r="F984" s="604">
        <v>58.1</v>
      </c>
      <c r="G984" s="604" t="s">
        <v>603</v>
      </c>
      <c r="H984" s="604">
        <v>59.2</v>
      </c>
      <c r="I984" s="995"/>
      <c r="J984" s="996"/>
      <c r="K984" s="997"/>
      <c r="L984" s="99"/>
      <c r="M984" s="100"/>
    </row>
    <row r="985" spans="3:13" ht="20" thickBot="1">
      <c r="C985" s="90"/>
      <c r="D985" s="90"/>
      <c r="E985" s="603">
        <v>45415</v>
      </c>
      <c r="F985" s="604">
        <v>59.2</v>
      </c>
      <c r="G985" s="604" t="s">
        <v>604</v>
      </c>
      <c r="H985" s="604">
        <v>53.4</v>
      </c>
      <c r="I985" s="998"/>
      <c r="J985" s="999"/>
      <c r="K985" s="1000"/>
      <c r="L985" s="102"/>
      <c r="M985" s="103"/>
    </row>
    <row r="986" spans="3:13" ht="25" thickBot="1">
      <c r="C986" s="90"/>
      <c r="D986" s="88" t="s">
        <v>105</v>
      </c>
      <c r="E986" s="598" t="s">
        <v>30</v>
      </c>
      <c r="F986" s="1102" t="s">
        <v>52</v>
      </c>
      <c r="G986" s="1103"/>
      <c r="H986" s="1104"/>
      <c r="I986" s="1131" t="s">
        <v>633</v>
      </c>
      <c r="J986" s="1129"/>
      <c r="K986" s="1130"/>
      <c r="L986" s="158" t="s">
        <v>430</v>
      </c>
      <c r="M986" s="105" t="s">
        <v>431</v>
      </c>
    </row>
    <row r="987" spans="3:13">
      <c r="C987" s="90"/>
      <c r="D987" s="162"/>
      <c r="E987" s="599" t="s">
        <v>432</v>
      </c>
      <c r="F987" s="1105"/>
      <c r="G987" s="1106"/>
      <c r="H987" s="1107"/>
      <c r="I987" s="995" t="s">
        <v>924</v>
      </c>
      <c r="J987" s="996"/>
      <c r="K987" s="997"/>
      <c r="L987" s="99"/>
      <c r="M987" s="100"/>
    </row>
    <row r="988" spans="3:13">
      <c r="C988" s="90"/>
      <c r="D988" s="162"/>
      <c r="E988" s="600" t="s">
        <v>433</v>
      </c>
      <c r="F988" s="1111"/>
      <c r="G988" s="1112"/>
      <c r="H988" s="1113"/>
      <c r="I988" s="995"/>
      <c r="J988" s="996"/>
      <c r="K988" s="997"/>
      <c r="L988" s="99"/>
      <c r="M988" s="100"/>
    </row>
    <row r="989" spans="3:13" ht="20" thickBot="1">
      <c r="C989" s="90"/>
      <c r="D989" s="162"/>
      <c r="E989" s="600" t="s">
        <v>434</v>
      </c>
      <c r="F989" s="1125">
        <v>4.0660000000000002E-2</v>
      </c>
      <c r="G989" s="1126"/>
      <c r="H989" s="1127"/>
      <c r="I989" s="995"/>
      <c r="J989" s="996"/>
      <c r="K989" s="997"/>
      <c r="L989" s="99"/>
      <c r="M989" s="100"/>
    </row>
    <row r="990" spans="3:13" ht="20" thickBot="1">
      <c r="C990" s="90"/>
      <c r="D990" s="162"/>
      <c r="E990" s="601" t="s">
        <v>435</v>
      </c>
      <c r="F990" s="1114">
        <v>0.75</v>
      </c>
      <c r="G990" s="1115"/>
      <c r="H990" s="1116"/>
      <c r="I990" s="995"/>
      <c r="J990" s="996"/>
      <c r="K990" s="997"/>
      <c r="L990" s="106">
        <v>0.97916666666666663</v>
      </c>
      <c r="M990" s="107">
        <v>0.83333333333333326</v>
      </c>
    </row>
    <row r="991" spans="3:13" ht="20" thickBot="1">
      <c r="C991" s="90"/>
      <c r="D991" s="162"/>
      <c r="E991" s="602" t="s">
        <v>436</v>
      </c>
      <c r="F991" s="252" t="s">
        <v>29</v>
      </c>
      <c r="G991" s="252" t="s">
        <v>28</v>
      </c>
      <c r="H991" s="253" t="s">
        <v>27</v>
      </c>
      <c r="I991" s="995"/>
      <c r="J991" s="996"/>
      <c r="K991" s="997"/>
      <c r="L991" s="99"/>
      <c r="M991" s="100"/>
    </row>
    <row r="992" spans="3:13">
      <c r="C992" s="90"/>
      <c r="D992" s="162"/>
      <c r="E992" s="603">
        <v>45574</v>
      </c>
      <c r="F992" s="605">
        <v>4.0660000000000002E-2</v>
      </c>
      <c r="G992" s="605" t="s">
        <v>754</v>
      </c>
      <c r="H992" s="605">
        <v>3.6479999999999999E-2</v>
      </c>
      <c r="I992" s="995"/>
      <c r="J992" s="996"/>
      <c r="K992" s="997"/>
      <c r="L992" s="99"/>
      <c r="M992" s="100"/>
    </row>
    <row r="993" spans="3:13">
      <c r="C993" s="90"/>
      <c r="D993" s="162"/>
      <c r="E993" s="603">
        <v>45546</v>
      </c>
      <c r="F993" s="605">
        <v>3.6479999999999999E-2</v>
      </c>
      <c r="G993" s="605" t="s">
        <v>754</v>
      </c>
      <c r="H993" s="605">
        <v>3.9600000000000003E-2</v>
      </c>
      <c r="I993" s="995"/>
      <c r="J993" s="996"/>
      <c r="K993" s="997"/>
      <c r="L993" s="99"/>
      <c r="M993" s="100"/>
    </row>
    <row r="994" spans="3:13">
      <c r="C994" s="90"/>
      <c r="D994" s="162"/>
      <c r="E994" s="603">
        <v>45511</v>
      </c>
      <c r="F994" s="605">
        <v>3.9600000000000003E-2</v>
      </c>
      <c r="G994" s="605" t="s">
        <v>754</v>
      </c>
      <c r="H994" s="605">
        <v>4.2759999999999999E-2</v>
      </c>
      <c r="I994" s="995"/>
      <c r="J994" s="996"/>
      <c r="K994" s="997"/>
      <c r="L994" s="101"/>
      <c r="M994" s="100"/>
    </row>
    <row r="995" spans="3:13">
      <c r="C995" s="90"/>
      <c r="D995" s="162"/>
      <c r="E995" s="603">
        <v>45483</v>
      </c>
      <c r="F995" s="605">
        <v>4.2759999999999999E-2</v>
      </c>
      <c r="G995" s="605" t="s">
        <v>754</v>
      </c>
      <c r="H995" s="605">
        <v>4.4380000000000003E-2</v>
      </c>
      <c r="I995" s="995"/>
      <c r="J995" s="996"/>
      <c r="K995" s="997"/>
      <c r="L995" s="99"/>
      <c r="M995" s="100"/>
    </row>
    <row r="996" spans="3:13">
      <c r="C996" s="90"/>
      <c r="D996" s="162"/>
      <c r="E996" s="603">
        <v>45454</v>
      </c>
      <c r="F996" s="605">
        <v>4.4380000000000003E-2</v>
      </c>
      <c r="G996" s="605" t="s">
        <v>754</v>
      </c>
      <c r="H996" s="605">
        <v>4.4830000000000002E-2</v>
      </c>
      <c r="I996" s="995"/>
      <c r="J996" s="996"/>
      <c r="K996" s="997"/>
      <c r="L996" s="99"/>
      <c r="M996" s="100"/>
    </row>
    <row r="997" spans="3:13" ht="20" thickBot="1">
      <c r="C997" s="90"/>
      <c r="D997" s="162"/>
      <c r="E997" s="603">
        <v>45420</v>
      </c>
      <c r="F997" s="605">
        <v>4.4830000000000002E-2</v>
      </c>
      <c r="G997" s="605" t="s">
        <v>754</v>
      </c>
      <c r="H997" s="605">
        <v>4.5600000000000002E-2</v>
      </c>
      <c r="I997" s="998"/>
      <c r="J997" s="999"/>
      <c r="K997" s="1000"/>
      <c r="L997" s="102"/>
      <c r="M997" s="103"/>
    </row>
    <row r="998" spans="3:13" ht="25" thickBot="1">
      <c r="C998" s="90"/>
      <c r="D998" s="88" t="s">
        <v>105</v>
      </c>
      <c r="E998" s="598" t="s">
        <v>30</v>
      </c>
      <c r="F998" s="1102" t="s">
        <v>9</v>
      </c>
      <c r="G998" s="1103"/>
      <c r="H998" s="1104"/>
      <c r="I998" s="1131" t="s">
        <v>633</v>
      </c>
      <c r="J998" s="1129"/>
      <c r="K998" s="1130"/>
      <c r="L998" s="158" t="s">
        <v>430</v>
      </c>
      <c r="M998" s="105" t="s">
        <v>431</v>
      </c>
    </row>
    <row r="999" spans="3:13">
      <c r="C999" s="90"/>
      <c r="D999" s="162"/>
      <c r="E999" s="599" t="s">
        <v>432</v>
      </c>
      <c r="F999" s="1105"/>
      <c r="G999" s="1106"/>
      <c r="H999" s="1107"/>
      <c r="I999" s="995" t="s">
        <v>926</v>
      </c>
      <c r="J999" s="996"/>
      <c r="K999" s="997"/>
      <c r="L999" s="99"/>
      <c r="M999" s="100"/>
    </row>
    <row r="1000" spans="3:13">
      <c r="C1000" s="90"/>
      <c r="D1000" s="162"/>
      <c r="E1000" s="600" t="s">
        <v>433</v>
      </c>
      <c r="F1000" s="1117">
        <v>0</v>
      </c>
      <c r="G1000" s="1109"/>
      <c r="H1000" s="1110"/>
      <c r="I1000" s="995"/>
      <c r="J1000" s="996"/>
      <c r="K1000" s="997"/>
      <c r="L1000" s="99"/>
      <c r="M1000" s="100"/>
    </row>
    <row r="1001" spans="3:13" ht="20" thickBot="1">
      <c r="C1001" s="90"/>
      <c r="D1001" s="162"/>
      <c r="E1001" s="600" t="s">
        <v>434</v>
      </c>
      <c r="F1001" s="1111" t="s">
        <v>925</v>
      </c>
      <c r="G1001" s="1112"/>
      <c r="H1001" s="1113"/>
      <c r="I1001" s="995"/>
      <c r="J1001" s="996"/>
      <c r="K1001" s="997"/>
      <c r="L1001" s="99"/>
      <c r="M1001" s="100"/>
    </row>
    <row r="1002" spans="3:13" ht="20" thickBot="1">
      <c r="C1002" s="90"/>
      <c r="D1002" s="162"/>
      <c r="E1002" s="601" t="s">
        <v>435</v>
      </c>
      <c r="F1002" s="1114">
        <v>0.64583333333333337</v>
      </c>
      <c r="G1002" s="1115"/>
      <c r="H1002" s="1116"/>
      <c r="I1002" s="995"/>
      <c r="J1002" s="996"/>
      <c r="K1002" s="997"/>
      <c r="L1002" s="106">
        <v>0.875</v>
      </c>
      <c r="M1002" s="107">
        <v>0.72916666666666663</v>
      </c>
    </row>
    <row r="1003" spans="3:13" ht="20" thickBot="1">
      <c r="C1003" s="90"/>
      <c r="D1003" s="162"/>
      <c r="E1003" s="602" t="s">
        <v>436</v>
      </c>
      <c r="F1003" s="252" t="s">
        <v>29</v>
      </c>
      <c r="G1003" s="252" t="s">
        <v>28</v>
      </c>
      <c r="H1003" s="253" t="s">
        <v>27</v>
      </c>
      <c r="I1003" s="995"/>
      <c r="J1003" s="996"/>
      <c r="K1003" s="997"/>
      <c r="L1003" s="99"/>
      <c r="M1003" s="100"/>
    </row>
    <row r="1004" spans="3:13">
      <c r="C1004" s="90"/>
      <c r="D1004" s="162"/>
      <c r="E1004" s="603">
        <v>45595</v>
      </c>
      <c r="F1004" s="606" t="s">
        <v>925</v>
      </c>
      <c r="G1004" s="606" t="s">
        <v>939</v>
      </c>
      <c r="H1004" s="606" t="s">
        <v>839</v>
      </c>
      <c r="I1004" s="995"/>
      <c r="J1004" s="996"/>
      <c r="K1004" s="997"/>
      <c r="L1004" s="99"/>
      <c r="M1004" s="100"/>
    </row>
    <row r="1005" spans="3:13">
      <c r="C1005" s="90"/>
      <c r="D1005" s="162"/>
      <c r="E1005" s="603">
        <v>45588</v>
      </c>
      <c r="F1005" s="606" t="s">
        <v>839</v>
      </c>
      <c r="G1005" s="606" t="s">
        <v>891</v>
      </c>
      <c r="H1005" s="606" t="s">
        <v>699</v>
      </c>
      <c r="I1005" s="995"/>
      <c r="J1005" s="996"/>
      <c r="K1005" s="997"/>
      <c r="L1005" s="99"/>
      <c r="M1005" s="100"/>
    </row>
    <row r="1006" spans="3:13">
      <c r="C1006" s="90"/>
      <c r="D1006" s="162"/>
      <c r="E1006" s="603">
        <v>45582</v>
      </c>
      <c r="F1006" s="606" t="s">
        <v>699</v>
      </c>
      <c r="G1006" s="606" t="s">
        <v>731</v>
      </c>
      <c r="H1006" s="606" t="s">
        <v>677</v>
      </c>
      <c r="I1006" s="995"/>
      <c r="J1006" s="996"/>
      <c r="K1006" s="997"/>
      <c r="L1006" s="101"/>
      <c r="M1006" s="100"/>
    </row>
    <row r="1007" spans="3:13">
      <c r="C1007" s="90"/>
      <c r="D1007" s="162"/>
      <c r="E1007" s="603">
        <v>45574</v>
      </c>
      <c r="F1007" s="606" t="s">
        <v>677</v>
      </c>
      <c r="G1007" s="606" t="s">
        <v>732</v>
      </c>
      <c r="H1007" s="606" t="s">
        <v>637</v>
      </c>
      <c r="I1007" s="995"/>
      <c r="J1007" s="996"/>
      <c r="K1007" s="997"/>
      <c r="L1007" s="99"/>
      <c r="M1007" s="100"/>
    </row>
    <row r="1008" spans="3:13">
      <c r="C1008" s="90"/>
      <c r="D1008" s="162"/>
      <c r="E1008" s="603">
        <v>45567</v>
      </c>
      <c r="F1008" s="606" t="s">
        <v>637</v>
      </c>
      <c r="G1008" s="606" t="s">
        <v>733</v>
      </c>
      <c r="H1008" s="606" t="s">
        <v>380</v>
      </c>
      <c r="I1008" s="995"/>
      <c r="J1008" s="996"/>
      <c r="K1008" s="997"/>
      <c r="L1008" s="99"/>
      <c r="M1008" s="100"/>
    </row>
    <row r="1009" spans="3:13" ht="20" thickBot="1">
      <c r="C1009" s="90"/>
      <c r="D1009" s="162"/>
      <c r="E1009" s="603">
        <v>45560</v>
      </c>
      <c r="F1009" s="606" t="s">
        <v>380</v>
      </c>
      <c r="G1009" s="606" t="s">
        <v>564</v>
      </c>
      <c r="H1009" s="606" t="s">
        <v>337</v>
      </c>
      <c r="I1009" s="998"/>
      <c r="J1009" s="999"/>
      <c r="K1009" s="1000"/>
      <c r="L1009" s="102"/>
      <c r="M1009" s="103"/>
    </row>
    <row r="1010" spans="3:13" ht="25" thickBot="1">
      <c r="C1010" s="90"/>
      <c r="D1010" s="88" t="s">
        <v>105</v>
      </c>
      <c r="E1010" s="598" t="s">
        <v>30</v>
      </c>
      <c r="F1010" s="1102" t="s">
        <v>927</v>
      </c>
      <c r="G1010" s="1103"/>
      <c r="H1010" s="1104"/>
      <c r="I1010" s="1131" t="s">
        <v>633</v>
      </c>
      <c r="J1010" s="1129"/>
      <c r="K1010" s="1130"/>
      <c r="L1010" s="158" t="s">
        <v>430</v>
      </c>
      <c r="M1010" s="105" t="s">
        <v>431</v>
      </c>
    </row>
    <row r="1011" spans="3:13">
      <c r="C1011" s="90"/>
      <c r="D1011" s="162"/>
      <c r="E1011" s="599" t="s">
        <v>432</v>
      </c>
      <c r="F1011" s="1105"/>
      <c r="G1011" s="1106"/>
      <c r="H1011" s="1107"/>
      <c r="I1011" s="995" t="s">
        <v>928</v>
      </c>
      <c r="J1011" s="996"/>
      <c r="K1011" s="997"/>
      <c r="L1011" s="99"/>
      <c r="M1011" s="100"/>
    </row>
    <row r="1012" spans="3:13">
      <c r="C1012" s="90"/>
      <c r="D1012" s="162"/>
      <c r="E1012" s="600" t="s">
        <v>433</v>
      </c>
      <c r="F1012" s="1117">
        <v>0</v>
      </c>
      <c r="G1012" s="1109"/>
      <c r="H1012" s="1110"/>
      <c r="I1012" s="995"/>
      <c r="J1012" s="996"/>
      <c r="K1012" s="997"/>
      <c r="L1012" s="99"/>
      <c r="M1012" s="100"/>
    </row>
    <row r="1013" spans="3:13" ht="20" thickBot="1">
      <c r="C1013" s="90"/>
      <c r="D1013" s="162"/>
      <c r="E1013" s="600" t="s">
        <v>434</v>
      </c>
      <c r="F1013" s="1125">
        <v>4.3889999999999998E-2</v>
      </c>
      <c r="G1013" s="1126"/>
      <c r="H1013" s="1127"/>
      <c r="I1013" s="995"/>
      <c r="J1013" s="996"/>
      <c r="K1013" s="997"/>
      <c r="L1013" s="99"/>
      <c r="M1013" s="100"/>
    </row>
    <row r="1014" spans="3:13" ht="20" thickBot="1">
      <c r="C1014" s="90"/>
      <c r="D1014" s="162"/>
      <c r="E1014" s="601" t="s">
        <v>435</v>
      </c>
      <c r="F1014" s="1114">
        <v>0.75</v>
      </c>
      <c r="G1014" s="1115"/>
      <c r="H1014" s="1116"/>
      <c r="I1014" s="995"/>
      <c r="J1014" s="996"/>
      <c r="K1014" s="997"/>
      <c r="L1014" s="106">
        <v>0.97916666666666663</v>
      </c>
      <c r="M1014" s="107">
        <v>0.83333333333333326</v>
      </c>
    </row>
    <row r="1015" spans="3:13" ht="20" thickBot="1">
      <c r="C1015" s="90"/>
      <c r="D1015" s="162"/>
      <c r="E1015" s="602" t="s">
        <v>436</v>
      </c>
      <c r="F1015" s="252" t="s">
        <v>29</v>
      </c>
      <c r="G1015" s="252" t="s">
        <v>28</v>
      </c>
      <c r="H1015" s="253" t="s">
        <v>27</v>
      </c>
      <c r="I1015" s="995"/>
      <c r="J1015" s="996"/>
      <c r="K1015" s="997"/>
      <c r="L1015" s="99"/>
      <c r="M1015" s="100"/>
    </row>
    <row r="1016" spans="3:13">
      <c r="C1016" s="90"/>
      <c r="D1016" s="162"/>
      <c r="E1016" s="603">
        <v>45575</v>
      </c>
      <c r="F1016" s="605">
        <v>4.3889999999999998E-2</v>
      </c>
      <c r="G1016" s="605" t="s">
        <v>754</v>
      </c>
      <c r="H1016" s="605">
        <v>4.0149999999999998E-2</v>
      </c>
      <c r="I1016" s="995"/>
      <c r="J1016" s="996"/>
      <c r="K1016" s="997"/>
      <c r="L1016" s="99"/>
      <c r="M1016" s="100"/>
    </row>
    <row r="1017" spans="3:13">
      <c r="C1017" s="90"/>
      <c r="D1017" s="162"/>
      <c r="E1017" s="603">
        <v>45547</v>
      </c>
      <c r="F1017" s="605">
        <v>4.0149999999999998E-2</v>
      </c>
      <c r="G1017" s="605" t="s">
        <v>754</v>
      </c>
      <c r="H1017" s="605">
        <v>4.3139999999999998E-2</v>
      </c>
      <c r="I1017" s="995"/>
      <c r="J1017" s="996"/>
      <c r="K1017" s="997"/>
      <c r="L1017" s="99"/>
      <c r="M1017" s="100"/>
    </row>
    <row r="1018" spans="3:13">
      <c r="C1018" s="90"/>
      <c r="D1018" s="162"/>
      <c r="E1018" s="603">
        <v>45512</v>
      </c>
      <c r="F1018" s="605">
        <v>4.3139999999999998E-2</v>
      </c>
      <c r="G1018" s="605" t="s">
        <v>754</v>
      </c>
      <c r="H1018" s="605">
        <v>4.4049999999999999E-2</v>
      </c>
      <c r="I1018" s="995"/>
      <c r="J1018" s="996"/>
      <c r="K1018" s="997"/>
      <c r="L1018" s="101"/>
      <c r="M1018" s="100"/>
    </row>
    <row r="1019" spans="3:13">
      <c r="C1019" s="90"/>
      <c r="D1019" s="162"/>
      <c r="E1019" s="603">
        <v>45484</v>
      </c>
      <c r="F1019" s="605">
        <v>4.4049999999999999E-2</v>
      </c>
      <c r="G1019" s="605" t="s">
        <v>754</v>
      </c>
      <c r="H1019" s="605">
        <v>4.403E-2</v>
      </c>
      <c r="I1019" s="995"/>
      <c r="J1019" s="996"/>
      <c r="K1019" s="997"/>
      <c r="L1019" s="99"/>
      <c r="M1019" s="100"/>
    </row>
    <row r="1020" spans="3:13">
      <c r="C1020" s="90"/>
      <c r="D1020" s="162"/>
      <c r="E1020" s="603">
        <v>45456</v>
      </c>
      <c r="F1020" s="605">
        <v>4.403E-2</v>
      </c>
      <c r="G1020" s="605" t="s">
        <v>754</v>
      </c>
      <c r="H1020" s="605">
        <v>4.6350000000000002E-2</v>
      </c>
      <c r="I1020" s="995"/>
      <c r="J1020" s="996"/>
      <c r="K1020" s="997"/>
      <c r="L1020" s="99"/>
      <c r="M1020" s="100"/>
    </row>
    <row r="1021" spans="3:13" ht="20" thickBot="1">
      <c r="C1021" s="90"/>
      <c r="D1021" s="162"/>
      <c r="E1021" s="603">
        <v>45421</v>
      </c>
      <c r="F1021" s="605">
        <v>4.6350000000000002E-2</v>
      </c>
      <c r="G1021" s="605" t="s">
        <v>754</v>
      </c>
      <c r="H1021" s="605">
        <v>4.6710000000000002E-2</v>
      </c>
      <c r="I1021" s="998"/>
      <c r="J1021" s="999"/>
      <c r="K1021" s="1000"/>
      <c r="L1021" s="102"/>
      <c r="M1021" s="103"/>
    </row>
    <row r="1022" spans="3:13" ht="25" thickBot="1">
      <c r="C1022" s="90"/>
      <c r="D1022" s="88" t="s">
        <v>105</v>
      </c>
      <c r="E1022" s="598" t="s">
        <v>30</v>
      </c>
      <c r="F1022" s="1102" t="s">
        <v>929</v>
      </c>
      <c r="G1022" s="1103"/>
      <c r="H1022" s="1104"/>
      <c r="I1022" s="1128" t="s">
        <v>633</v>
      </c>
      <c r="J1022" s="1129"/>
      <c r="K1022" s="1130"/>
      <c r="L1022" s="158" t="s">
        <v>430</v>
      </c>
      <c r="M1022" s="105" t="s">
        <v>431</v>
      </c>
    </row>
    <row r="1023" spans="3:13">
      <c r="C1023" s="90"/>
      <c r="D1023" s="162"/>
      <c r="E1023" s="599" t="s">
        <v>432</v>
      </c>
      <c r="F1023" s="1105"/>
      <c r="G1023" s="1106"/>
      <c r="H1023" s="1107"/>
      <c r="I1023" s="995" t="s">
        <v>930</v>
      </c>
      <c r="J1023" s="996"/>
      <c r="K1023" s="997"/>
      <c r="L1023" s="99"/>
      <c r="M1023" s="100"/>
    </row>
    <row r="1024" spans="3:13">
      <c r="C1024" s="90"/>
      <c r="D1024" s="162"/>
      <c r="E1024" s="600" t="s">
        <v>433</v>
      </c>
      <c r="F1024" s="1111">
        <v>4.7500000000000001E-2</v>
      </c>
      <c r="G1024" s="1112"/>
      <c r="H1024" s="1113"/>
      <c r="I1024" s="995"/>
      <c r="J1024" s="996"/>
      <c r="K1024" s="997"/>
      <c r="L1024" s="99"/>
      <c r="M1024" s="100"/>
    </row>
    <row r="1025" spans="3:13" ht="20" thickBot="1">
      <c r="C1025" s="90"/>
      <c r="D1025" s="162"/>
      <c r="E1025" s="600" t="s">
        <v>434</v>
      </c>
      <c r="F1025" s="1111">
        <v>0.05</v>
      </c>
      <c r="G1025" s="1112"/>
      <c r="H1025" s="1113"/>
      <c r="I1025" s="995"/>
      <c r="J1025" s="996"/>
      <c r="K1025" s="997"/>
      <c r="L1025" s="99"/>
      <c r="M1025" s="100"/>
    </row>
    <row r="1026" spans="3:13" ht="20" thickBot="1">
      <c r="C1026" s="90"/>
      <c r="D1026" s="162"/>
      <c r="E1026" s="601" t="s">
        <v>435</v>
      </c>
      <c r="F1026" s="1114">
        <v>0.5</v>
      </c>
      <c r="G1026" s="1115"/>
      <c r="H1026" s="1116"/>
      <c r="I1026" s="995"/>
      <c r="J1026" s="996"/>
      <c r="K1026" s="997"/>
      <c r="L1026" s="106">
        <v>0.72916666666666663</v>
      </c>
      <c r="M1026" s="107">
        <v>0.58333333333333326</v>
      </c>
    </row>
    <row r="1027" spans="3:13" ht="20" thickBot="1">
      <c r="C1027" s="90"/>
      <c r="D1027" s="162"/>
      <c r="E1027" s="602" t="s">
        <v>436</v>
      </c>
      <c r="F1027" s="252" t="s">
        <v>29</v>
      </c>
      <c r="G1027" s="252" t="s">
        <v>28</v>
      </c>
      <c r="H1027" s="253" t="s">
        <v>27</v>
      </c>
      <c r="I1027" s="995"/>
      <c r="J1027" s="996"/>
      <c r="K1027" s="997"/>
      <c r="L1027" s="99"/>
      <c r="M1027" s="100"/>
    </row>
    <row r="1028" spans="3:13">
      <c r="C1028" s="90"/>
      <c r="D1028" s="162"/>
      <c r="E1028" s="603">
        <v>45554</v>
      </c>
      <c r="F1028" s="345">
        <v>0.05</v>
      </c>
      <c r="G1028" s="345" t="s">
        <v>728</v>
      </c>
      <c r="H1028" s="345">
        <v>0.05</v>
      </c>
      <c r="I1028" s="995"/>
      <c r="J1028" s="996"/>
      <c r="K1028" s="997"/>
      <c r="L1028" s="99"/>
      <c r="M1028" s="203">
        <v>0.14583333333333337</v>
      </c>
    </row>
    <row r="1029" spans="3:13">
      <c r="C1029" s="90"/>
      <c r="D1029" s="162"/>
      <c r="E1029" s="603">
        <v>45505</v>
      </c>
      <c r="F1029" s="345">
        <v>0.05</v>
      </c>
      <c r="G1029" s="345" t="s">
        <v>728</v>
      </c>
      <c r="H1029" s="345">
        <v>5.2499999999999998E-2</v>
      </c>
      <c r="I1029" s="995"/>
      <c r="J1029" s="996"/>
      <c r="K1029" s="997"/>
      <c r="L1029" s="99"/>
      <c r="M1029" s="100"/>
    </row>
    <row r="1030" spans="3:13">
      <c r="C1030" s="90"/>
      <c r="D1030" s="162"/>
      <c r="E1030" s="603">
        <v>45463</v>
      </c>
      <c r="F1030" s="345">
        <v>5.2499999999999998E-2</v>
      </c>
      <c r="G1030" s="345" t="s">
        <v>940</v>
      </c>
      <c r="H1030" s="345">
        <v>5.2499999999999998E-2</v>
      </c>
      <c r="I1030" s="995"/>
      <c r="J1030" s="996"/>
      <c r="K1030" s="997"/>
      <c r="L1030" s="101"/>
      <c r="M1030" s="100"/>
    </row>
    <row r="1031" spans="3:13">
      <c r="C1031" s="90"/>
      <c r="D1031" s="162"/>
      <c r="E1031" s="603">
        <v>45421</v>
      </c>
      <c r="F1031" s="345">
        <v>5.2499999999999998E-2</v>
      </c>
      <c r="G1031" s="345" t="s">
        <v>940</v>
      </c>
      <c r="H1031" s="345">
        <v>5.2499999999999998E-2</v>
      </c>
      <c r="I1031" s="995"/>
      <c r="J1031" s="996"/>
      <c r="K1031" s="997"/>
      <c r="L1031" s="99"/>
      <c r="M1031" s="100"/>
    </row>
    <row r="1032" spans="3:13">
      <c r="C1032" s="90"/>
      <c r="D1032" s="162"/>
      <c r="E1032" s="603">
        <v>45372</v>
      </c>
      <c r="F1032" s="345">
        <v>5.2499999999999998E-2</v>
      </c>
      <c r="G1032" s="345" t="s">
        <v>940</v>
      </c>
      <c r="H1032" s="345">
        <v>5.2499999999999998E-2</v>
      </c>
      <c r="I1032" s="995"/>
      <c r="J1032" s="996"/>
      <c r="K1032" s="997"/>
      <c r="L1032" s="99"/>
      <c r="M1032" s="100"/>
    </row>
    <row r="1033" spans="3:13" ht="20" thickBot="1">
      <c r="C1033" s="90"/>
      <c r="D1033" s="162"/>
      <c r="E1033" s="603">
        <v>45323</v>
      </c>
      <c r="F1033" s="345">
        <v>5.2499999999999998E-2</v>
      </c>
      <c r="G1033" s="345" t="s">
        <v>940</v>
      </c>
      <c r="H1033" s="345">
        <v>5.2499999999999998E-2</v>
      </c>
      <c r="I1033" s="998"/>
      <c r="J1033" s="999"/>
      <c r="K1033" s="1000"/>
      <c r="L1033" s="102"/>
      <c r="M1033" s="103"/>
    </row>
    <row r="1034" spans="3:13" ht="25" thickBot="1">
      <c r="C1034" s="90"/>
      <c r="D1034" s="88" t="s">
        <v>105</v>
      </c>
      <c r="E1034" s="598" t="s">
        <v>30</v>
      </c>
      <c r="F1034" s="1102" t="s">
        <v>14</v>
      </c>
      <c r="G1034" s="1103"/>
      <c r="H1034" s="1104"/>
      <c r="I1034" s="1128" t="s">
        <v>633</v>
      </c>
      <c r="J1034" s="1129"/>
      <c r="K1034" s="1130"/>
      <c r="L1034" s="158" t="s">
        <v>430</v>
      </c>
      <c r="M1034" s="105" t="s">
        <v>431</v>
      </c>
    </row>
    <row r="1035" spans="3:13">
      <c r="C1035" s="90"/>
      <c r="D1035" s="162"/>
      <c r="E1035" s="599" t="s">
        <v>432</v>
      </c>
      <c r="F1035" s="1132"/>
      <c r="G1035" s="1133"/>
      <c r="H1035" s="1134"/>
      <c r="I1035" s="995" t="s">
        <v>933</v>
      </c>
      <c r="J1035" s="996"/>
      <c r="K1035" s="997"/>
      <c r="L1035" s="99"/>
      <c r="M1035" s="100"/>
    </row>
    <row r="1036" spans="3:13">
      <c r="C1036" s="90"/>
      <c r="D1036" s="162"/>
      <c r="E1036" s="600" t="s">
        <v>433</v>
      </c>
      <c r="F1036" s="1111" t="s">
        <v>931</v>
      </c>
      <c r="G1036" s="1112"/>
      <c r="H1036" s="1113"/>
      <c r="I1036" s="995"/>
      <c r="J1036" s="996"/>
      <c r="K1036" s="997"/>
      <c r="L1036" s="99"/>
      <c r="M1036" s="100"/>
    </row>
    <row r="1037" spans="3:13" ht="20" thickBot="1">
      <c r="C1037" s="90"/>
      <c r="D1037" s="162"/>
      <c r="E1037" s="600" t="s">
        <v>434</v>
      </c>
      <c r="F1037" s="1111" t="s">
        <v>932</v>
      </c>
      <c r="G1037" s="1112"/>
      <c r="H1037" s="1113"/>
      <c r="I1037" s="995"/>
      <c r="J1037" s="996"/>
      <c r="K1037" s="997"/>
      <c r="L1037" s="99"/>
      <c r="M1037" s="100"/>
    </row>
    <row r="1038" spans="3:13" ht="20" thickBot="1">
      <c r="C1038" s="90"/>
      <c r="D1038" s="162"/>
      <c r="E1038" s="601" t="s">
        <v>435</v>
      </c>
      <c r="F1038" s="1114">
        <v>0.5625</v>
      </c>
      <c r="G1038" s="1115"/>
      <c r="H1038" s="1116"/>
      <c r="I1038" s="995"/>
      <c r="J1038" s="996"/>
      <c r="K1038" s="997"/>
      <c r="L1038" s="106">
        <v>0.79166666666666663</v>
      </c>
      <c r="M1038" s="107">
        <v>0.64583333333333326</v>
      </c>
    </row>
    <row r="1039" spans="3:13" ht="20" thickBot="1">
      <c r="C1039" s="90"/>
      <c r="D1039" s="162"/>
      <c r="E1039" s="602" t="s">
        <v>436</v>
      </c>
      <c r="F1039" s="252" t="s">
        <v>29</v>
      </c>
      <c r="G1039" s="252" t="s">
        <v>28</v>
      </c>
      <c r="H1039" s="253" t="s">
        <v>27</v>
      </c>
      <c r="I1039" s="995"/>
      <c r="J1039" s="996"/>
      <c r="K1039" s="997"/>
      <c r="L1039" s="99"/>
      <c r="M1039" s="100"/>
    </row>
    <row r="1040" spans="3:13">
      <c r="C1040" s="90"/>
      <c r="D1040" s="162"/>
      <c r="E1040" s="603">
        <v>45596</v>
      </c>
      <c r="F1040" s="341" t="s">
        <v>932</v>
      </c>
      <c r="G1040" s="341" t="s">
        <v>941</v>
      </c>
      <c r="H1040" s="341" t="s">
        <v>579</v>
      </c>
      <c r="I1040" s="995"/>
      <c r="J1040" s="996"/>
      <c r="K1040" s="997"/>
      <c r="L1040" s="99"/>
      <c r="M1040" s="100"/>
    </row>
    <row r="1041" spans="3:13">
      <c r="C1041" s="90"/>
      <c r="D1041" s="162"/>
      <c r="E1041" s="603">
        <v>45589</v>
      </c>
      <c r="F1041" s="341" t="s">
        <v>209</v>
      </c>
      <c r="G1041" s="341" t="s">
        <v>896</v>
      </c>
      <c r="H1041" s="341" t="s">
        <v>897</v>
      </c>
      <c r="I1041" s="995"/>
      <c r="J1041" s="996"/>
      <c r="K1041" s="997"/>
      <c r="L1041" s="99"/>
      <c r="M1041" s="100"/>
    </row>
    <row r="1042" spans="3:13">
      <c r="C1042" s="90"/>
      <c r="D1042" s="162"/>
      <c r="E1042" s="603">
        <v>45582</v>
      </c>
      <c r="F1042" s="341" t="s">
        <v>171</v>
      </c>
      <c r="G1042" s="341" t="s">
        <v>898</v>
      </c>
      <c r="H1042" s="341" t="s">
        <v>692</v>
      </c>
      <c r="I1042" s="995"/>
      <c r="J1042" s="996"/>
      <c r="K1042" s="997"/>
      <c r="L1042" s="101"/>
      <c r="M1042" s="100"/>
    </row>
    <row r="1043" spans="3:13">
      <c r="C1043" s="90"/>
      <c r="D1043" s="162"/>
      <c r="E1043" s="603">
        <v>45575</v>
      </c>
      <c r="F1043" s="341" t="s">
        <v>678</v>
      </c>
      <c r="G1043" s="341" t="s">
        <v>580</v>
      </c>
      <c r="H1043" s="341" t="s">
        <v>638</v>
      </c>
      <c r="I1043" s="995"/>
      <c r="J1043" s="996"/>
      <c r="K1043" s="997"/>
      <c r="L1043" s="99"/>
      <c r="M1043" s="100"/>
    </row>
    <row r="1044" spans="3:13">
      <c r="C1044" s="90"/>
      <c r="D1044" s="162"/>
      <c r="E1044" s="603">
        <v>45568</v>
      </c>
      <c r="F1044" s="341" t="s">
        <v>638</v>
      </c>
      <c r="G1044" s="341" t="s">
        <v>734</v>
      </c>
      <c r="H1044" s="341" t="s">
        <v>345</v>
      </c>
      <c r="I1044" s="995"/>
      <c r="J1044" s="996"/>
      <c r="K1044" s="997"/>
      <c r="L1044" s="99"/>
      <c r="M1044" s="100"/>
    </row>
    <row r="1045" spans="3:13" ht="20" thickBot="1">
      <c r="C1045" s="90"/>
      <c r="D1045" s="162"/>
      <c r="E1045" s="603">
        <v>45561</v>
      </c>
      <c r="F1045" s="341" t="s">
        <v>382</v>
      </c>
      <c r="G1045" s="341" t="s">
        <v>574</v>
      </c>
      <c r="H1045" s="341" t="s">
        <v>72</v>
      </c>
      <c r="I1045" s="998"/>
      <c r="J1045" s="999"/>
      <c r="K1045" s="1000"/>
      <c r="L1045" s="102"/>
      <c r="M1045" s="103"/>
    </row>
    <row r="1046" spans="3:13" ht="25" thickBot="1">
      <c r="C1046" s="90"/>
      <c r="D1046" s="88" t="s">
        <v>105</v>
      </c>
      <c r="E1046" s="598" t="s">
        <v>30</v>
      </c>
      <c r="F1046" s="1102" t="s">
        <v>127</v>
      </c>
      <c r="G1046" s="1103"/>
      <c r="H1046" s="1104"/>
      <c r="I1046" s="1131" t="s">
        <v>633</v>
      </c>
      <c r="J1046" s="1129"/>
      <c r="K1046" s="1130"/>
      <c r="L1046" s="158" t="s">
        <v>430</v>
      </c>
      <c r="M1046" s="105" t="s">
        <v>431</v>
      </c>
    </row>
    <row r="1047" spans="3:13">
      <c r="C1047" s="90"/>
      <c r="D1047" s="162"/>
      <c r="E1047" s="599" t="s">
        <v>432</v>
      </c>
      <c r="F1047" s="1105"/>
      <c r="G1047" s="1106"/>
      <c r="H1047" s="1107"/>
      <c r="I1047" s="995" t="s">
        <v>934</v>
      </c>
      <c r="J1047" s="996"/>
      <c r="K1047" s="997"/>
      <c r="L1047" s="99"/>
      <c r="M1047" s="100"/>
    </row>
    <row r="1048" spans="3:13">
      <c r="C1048" s="90"/>
      <c r="D1048" s="162"/>
      <c r="E1048" s="600" t="s">
        <v>433</v>
      </c>
      <c r="F1048" s="1111">
        <v>4.6199999999999998E-2</v>
      </c>
      <c r="G1048" s="1112"/>
      <c r="H1048" s="1113"/>
      <c r="I1048" s="995"/>
      <c r="J1048" s="996"/>
      <c r="K1048" s="997"/>
      <c r="L1048" s="99"/>
      <c r="M1048" s="100"/>
    </row>
    <row r="1049" spans="3:13" ht="20" thickBot="1">
      <c r="C1049" s="90"/>
      <c r="D1049" s="162"/>
      <c r="E1049" s="600" t="s">
        <v>434</v>
      </c>
      <c r="F1049" s="1111">
        <v>4.8800000000000003E-2</v>
      </c>
      <c r="G1049" s="1112"/>
      <c r="H1049" s="1113"/>
      <c r="I1049" s="995"/>
      <c r="J1049" s="996"/>
      <c r="K1049" s="997"/>
      <c r="L1049" s="99"/>
      <c r="M1049" s="100"/>
    </row>
    <row r="1050" spans="3:13" ht="20" thickBot="1">
      <c r="C1050" s="90"/>
      <c r="D1050" s="162"/>
      <c r="E1050" s="601" t="s">
        <v>435</v>
      </c>
      <c r="F1050" s="1114">
        <v>0.79166666666666663</v>
      </c>
      <c r="G1050" s="1115"/>
      <c r="H1050" s="1116"/>
      <c r="I1050" s="995"/>
      <c r="J1050" s="996"/>
      <c r="K1050" s="997"/>
      <c r="L1050" s="106">
        <v>2.0833333333333332E-2</v>
      </c>
      <c r="M1050" s="107">
        <v>0.875</v>
      </c>
    </row>
    <row r="1051" spans="3:13" ht="20" thickBot="1">
      <c r="C1051" s="90"/>
      <c r="D1051" s="162"/>
      <c r="E1051" s="602" t="s">
        <v>436</v>
      </c>
      <c r="F1051" s="252" t="s">
        <v>29</v>
      </c>
      <c r="G1051" s="252" t="s">
        <v>28</v>
      </c>
      <c r="H1051" s="253" t="s">
        <v>27</v>
      </c>
      <c r="I1051" s="995"/>
      <c r="J1051" s="996"/>
      <c r="K1051" s="997"/>
      <c r="L1051" s="99"/>
      <c r="M1051" s="203"/>
    </row>
    <row r="1052" spans="3:13">
      <c r="C1052" s="90"/>
      <c r="D1052" s="162"/>
      <c r="E1052" s="603">
        <v>45553</v>
      </c>
      <c r="F1052" s="341">
        <v>0.05</v>
      </c>
      <c r="G1052" s="341" t="s">
        <v>940</v>
      </c>
      <c r="H1052" s="341">
        <v>5.5E-2</v>
      </c>
      <c r="I1052" s="995"/>
      <c r="J1052" s="996"/>
      <c r="K1052" s="997"/>
      <c r="L1052" s="99"/>
      <c r="M1052" s="100"/>
    </row>
    <row r="1053" spans="3:13">
      <c r="C1053" s="90"/>
      <c r="D1053" s="162"/>
      <c r="E1053" s="603">
        <v>45504</v>
      </c>
      <c r="F1053" s="341">
        <v>5.5E-2</v>
      </c>
      <c r="G1053" s="341" t="s">
        <v>942</v>
      </c>
      <c r="H1053" s="341">
        <v>5.5E-2</v>
      </c>
      <c r="I1053" s="995"/>
      <c r="J1053" s="996"/>
      <c r="K1053" s="997"/>
      <c r="L1053" s="99"/>
      <c r="M1053" s="100"/>
    </row>
    <row r="1054" spans="3:13">
      <c r="C1054" s="90"/>
      <c r="D1054" s="162"/>
      <c r="E1054" s="603">
        <v>45455</v>
      </c>
      <c r="F1054" s="341">
        <v>5.5E-2</v>
      </c>
      <c r="G1054" s="341" t="s">
        <v>942</v>
      </c>
      <c r="H1054" s="341">
        <v>5.5E-2</v>
      </c>
      <c r="I1054" s="995"/>
      <c r="J1054" s="996"/>
      <c r="K1054" s="997"/>
      <c r="L1054" s="101"/>
      <c r="M1054" s="100"/>
    </row>
    <row r="1055" spans="3:13">
      <c r="C1055" s="90"/>
      <c r="D1055" s="162"/>
      <c r="E1055" s="603">
        <v>45413</v>
      </c>
      <c r="F1055" s="341">
        <v>5.5E-2</v>
      </c>
      <c r="G1055" s="341" t="s">
        <v>942</v>
      </c>
      <c r="H1055" s="341">
        <v>5.5E-2</v>
      </c>
      <c r="I1055" s="995"/>
      <c r="J1055" s="996"/>
      <c r="K1055" s="997"/>
      <c r="L1055" s="99"/>
      <c r="M1055" s="100"/>
    </row>
    <row r="1056" spans="3:13">
      <c r="C1056" s="90"/>
      <c r="D1056" s="162"/>
      <c r="E1056" s="603">
        <v>45371</v>
      </c>
      <c r="F1056" s="341">
        <v>5.5E-2</v>
      </c>
      <c r="G1056" s="341" t="s">
        <v>942</v>
      </c>
      <c r="H1056" s="341">
        <v>5.5E-2</v>
      </c>
      <c r="I1056" s="995"/>
      <c r="J1056" s="996"/>
      <c r="K1056" s="997"/>
      <c r="L1056" s="99"/>
      <c r="M1056" s="100"/>
    </row>
    <row r="1057" spans="3:13" ht="20" thickBot="1">
      <c r="C1057" s="90"/>
      <c r="D1057" s="162"/>
      <c r="E1057" s="603">
        <v>45322</v>
      </c>
      <c r="F1057" s="341">
        <v>5.5E-2</v>
      </c>
      <c r="G1057" s="341" t="s">
        <v>942</v>
      </c>
      <c r="H1057" s="341">
        <v>5.5E-2</v>
      </c>
      <c r="I1057" s="998"/>
      <c r="J1057" s="999"/>
      <c r="K1057" s="1000"/>
      <c r="L1057" s="102"/>
      <c r="M1057" s="103"/>
    </row>
    <row r="1058" spans="3:13" ht="25" thickBot="1">
      <c r="C1058" s="90"/>
      <c r="D1058" s="88" t="s">
        <v>105</v>
      </c>
      <c r="E1058" s="598" t="s">
        <v>30</v>
      </c>
      <c r="F1058" s="1102" t="s">
        <v>125</v>
      </c>
      <c r="G1058" s="1103"/>
      <c r="H1058" s="1104"/>
      <c r="I1058" s="1131" t="s">
        <v>633</v>
      </c>
      <c r="J1058" s="1129"/>
      <c r="K1058" s="1130"/>
      <c r="L1058" s="158" t="s">
        <v>430</v>
      </c>
      <c r="M1058" s="105" t="s">
        <v>431</v>
      </c>
    </row>
    <row r="1059" spans="3:13">
      <c r="C1059" s="90"/>
      <c r="D1059" s="162"/>
      <c r="E1059" s="599" t="s">
        <v>432</v>
      </c>
      <c r="F1059" s="1105"/>
      <c r="G1059" s="1106"/>
      <c r="H1059" s="1107"/>
      <c r="I1059" s="995" t="s">
        <v>935</v>
      </c>
      <c r="J1059" s="996"/>
      <c r="K1059" s="997"/>
      <c r="L1059" s="99"/>
      <c r="M1059" s="100"/>
    </row>
    <row r="1060" spans="3:13">
      <c r="C1060" s="90"/>
      <c r="D1060" s="162"/>
      <c r="E1060" s="600" t="s">
        <v>433</v>
      </c>
      <c r="F1060" s="1141">
        <v>0</v>
      </c>
      <c r="G1060" s="1142"/>
      <c r="H1060" s="1143"/>
      <c r="I1060" s="995"/>
      <c r="J1060" s="996"/>
      <c r="K1060" s="997"/>
      <c r="L1060" s="99"/>
      <c r="M1060" s="100"/>
    </row>
    <row r="1061" spans="3:13" ht="20" thickBot="1">
      <c r="C1061" s="90"/>
      <c r="D1061" s="162"/>
      <c r="E1061" s="600" t="s">
        <v>434</v>
      </c>
      <c r="F1061" s="1141">
        <v>0</v>
      </c>
      <c r="G1061" s="1142"/>
      <c r="H1061" s="1143"/>
      <c r="I1061" s="995"/>
      <c r="J1061" s="996"/>
      <c r="K1061" s="997"/>
      <c r="L1061" s="99"/>
      <c r="M1061" s="100"/>
    </row>
    <row r="1062" spans="3:13" ht="20" thickBot="1">
      <c r="C1062" s="90"/>
      <c r="D1062" s="162"/>
      <c r="E1062" s="601" t="s">
        <v>435</v>
      </c>
      <c r="F1062" s="1114">
        <v>0.79166666666666663</v>
      </c>
      <c r="G1062" s="1115"/>
      <c r="H1062" s="1116"/>
      <c r="I1062" s="995"/>
      <c r="J1062" s="996"/>
      <c r="K1062" s="997"/>
      <c r="L1062" s="106">
        <v>2.0833333333333332E-2</v>
      </c>
      <c r="M1062" s="107">
        <v>0.875</v>
      </c>
    </row>
    <row r="1063" spans="3:13" ht="20" thickBot="1">
      <c r="C1063" s="90"/>
      <c r="D1063" s="162"/>
      <c r="E1063" s="602" t="s">
        <v>436</v>
      </c>
      <c r="F1063" s="252" t="s">
        <v>29</v>
      </c>
      <c r="G1063" s="252" t="s">
        <v>28</v>
      </c>
      <c r="H1063" s="253" t="s">
        <v>27</v>
      </c>
      <c r="I1063" s="995"/>
      <c r="J1063" s="996"/>
      <c r="K1063" s="997"/>
      <c r="L1063" s="99"/>
      <c r="M1063" s="100"/>
    </row>
    <row r="1064" spans="3:13">
      <c r="C1064" s="90"/>
      <c r="D1064" s="162"/>
      <c r="E1064" s="603">
        <v>45553</v>
      </c>
      <c r="F1064" s="256">
        <v>0</v>
      </c>
      <c r="G1064" s="256" t="s">
        <v>754</v>
      </c>
      <c r="H1064" s="256">
        <v>0</v>
      </c>
      <c r="I1064" s="995"/>
      <c r="J1064" s="996"/>
      <c r="K1064" s="997"/>
      <c r="L1064" s="99"/>
      <c r="M1064" s="100"/>
    </row>
    <row r="1065" spans="3:13">
      <c r="C1065" s="90"/>
      <c r="D1065" s="162"/>
      <c r="E1065" s="603">
        <v>45504</v>
      </c>
      <c r="F1065" s="256">
        <v>0</v>
      </c>
      <c r="G1065" s="256" t="s">
        <v>754</v>
      </c>
      <c r="H1065" s="256">
        <v>0</v>
      </c>
      <c r="I1065" s="995"/>
      <c r="J1065" s="996"/>
      <c r="K1065" s="997"/>
      <c r="L1065" s="99"/>
      <c r="M1065" s="100"/>
    </row>
    <row r="1066" spans="3:13">
      <c r="C1066" s="90"/>
      <c r="D1066" s="162"/>
      <c r="E1066" s="603">
        <v>45455</v>
      </c>
      <c r="F1066" s="256">
        <v>0</v>
      </c>
      <c r="G1066" s="256" t="s">
        <v>754</v>
      </c>
      <c r="H1066" s="256">
        <v>0</v>
      </c>
      <c r="I1066" s="995"/>
      <c r="J1066" s="996"/>
      <c r="K1066" s="997"/>
      <c r="L1066" s="101"/>
      <c r="M1066" s="100"/>
    </row>
    <row r="1067" spans="3:13">
      <c r="C1067" s="90"/>
      <c r="D1067" s="162"/>
      <c r="E1067" s="603">
        <v>45413</v>
      </c>
      <c r="F1067" s="256">
        <v>0</v>
      </c>
      <c r="G1067" s="256" t="s">
        <v>754</v>
      </c>
      <c r="H1067" s="256">
        <v>0</v>
      </c>
      <c r="I1067" s="995"/>
      <c r="J1067" s="996"/>
      <c r="K1067" s="997"/>
      <c r="L1067" s="99"/>
      <c r="M1067" s="100"/>
    </row>
    <row r="1068" spans="3:13">
      <c r="C1068" s="90"/>
      <c r="D1068" s="162"/>
      <c r="E1068" s="603">
        <v>45371</v>
      </c>
      <c r="F1068" s="256">
        <v>0</v>
      </c>
      <c r="G1068" s="256" t="s">
        <v>754</v>
      </c>
      <c r="H1068" s="256">
        <v>0</v>
      </c>
      <c r="I1068" s="995"/>
      <c r="J1068" s="996"/>
      <c r="K1068" s="997"/>
      <c r="L1068" s="99"/>
      <c r="M1068" s="100"/>
    </row>
    <row r="1069" spans="3:13" thickBot="1">
      <c r="C1069" s="90"/>
      <c r="D1069" s="162"/>
      <c r="E1069" s="603">
        <v>45322</v>
      </c>
      <c r="F1069" s="256">
        <v>0</v>
      </c>
      <c r="G1069" s="256">
        <v>0</v>
      </c>
      <c r="H1069" s="256">
        <v>0</v>
      </c>
      <c r="I1069" s="998"/>
      <c r="J1069" s="999"/>
      <c r="K1069" s="1000"/>
      <c r="L1069" s="102"/>
      <c r="M1069" s="103"/>
    </row>
    <row r="1070" spans="3:13" ht="25" thickBot="1">
      <c r="C1070" s="90"/>
      <c r="D1070" s="88" t="s">
        <v>105</v>
      </c>
      <c r="E1070" s="598" t="s">
        <v>30</v>
      </c>
      <c r="F1070" s="1102" t="s">
        <v>129</v>
      </c>
      <c r="G1070" s="1103"/>
      <c r="H1070" s="1104"/>
      <c r="I1070" s="1131" t="s">
        <v>633</v>
      </c>
      <c r="J1070" s="1129"/>
      <c r="K1070" s="1130"/>
      <c r="L1070" s="158" t="s">
        <v>430</v>
      </c>
      <c r="M1070" s="105" t="s">
        <v>431</v>
      </c>
    </row>
    <row r="1071" spans="3:13">
      <c r="C1071" s="90"/>
      <c r="D1071" s="162"/>
      <c r="E1071" s="599" t="s">
        <v>432</v>
      </c>
      <c r="F1071" s="1105"/>
      <c r="G1071" s="1106"/>
      <c r="H1071" s="1107"/>
      <c r="I1071" s="995" t="s">
        <v>936</v>
      </c>
      <c r="J1071" s="996"/>
      <c r="K1071" s="997"/>
      <c r="L1071" s="99"/>
      <c r="M1071" s="100"/>
    </row>
    <row r="1072" spans="3:13">
      <c r="C1072" s="90"/>
      <c r="D1072" s="162"/>
      <c r="E1072" s="600" t="s">
        <v>433</v>
      </c>
      <c r="F1072" s="1141">
        <v>0</v>
      </c>
      <c r="G1072" s="1142"/>
      <c r="H1072" s="1143"/>
      <c r="I1072" s="995"/>
      <c r="J1072" s="996"/>
      <c r="K1072" s="997"/>
      <c r="L1072" s="99"/>
      <c r="M1072" s="100"/>
    </row>
    <row r="1073" spans="3:13" ht="20" thickBot="1">
      <c r="C1073" s="90"/>
      <c r="D1073" s="162"/>
      <c r="E1073" s="600" t="s">
        <v>434</v>
      </c>
      <c r="F1073" s="1141">
        <v>0</v>
      </c>
      <c r="G1073" s="1142"/>
      <c r="H1073" s="1143"/>
      <c r="I1073" s="995"/>
      <c r="J1073" s="996"/>
      <c r="K1073" s="997"/>
      <c r="L1073" s="99"/>
      <c r="M1073" s="100"/>
    </row>
    <row r="1074" spans="3:13" ht="20" thickBot="1">
      <c r="C1074" s="90"/>
      <c r="D1074" s="162"/>
      <c r="E1074" s="601" t="s">
        <v>435</v>
      </c>
      <c r="F1074" s="1114">
        <v>0.8125</v>
      </c>
      <c r="G1074" s="1115"/>
      <c r="H1074" s="1116"/>
      <c r="I1074" s="995"/>
      <c r="J1074" s="996"/>
      <c r="K1074" s="997"/>
      <c r="L1074" s="106">
        <v>4.1666666666666664E-2</v>
      </c>
      <c r="M1074" s="107">
        <v>0.89583333333333337</v>
      </c>
    </row>
    <row r="1075" spans="3:13" ht="20" thickBot="1">
      <c r="C1075" s="90"/>
      <c r="D1075" s="162"/>
      <c r="E1075" s="602" t="s">
        <v>436</v>
      </c>
      <c r="F1075" s="252" t="s">
        <v>29</v>
      </c>
      <c r="G1075" s="252" t="s">
        <v>28</v>
      </c>
      <c r="H1075" s="253" t="s">
        <v>27</v>
      </c>
      <c r="I1075" s="995"/>
      <c r="J1075" s="996"/>
      <c r="K1075" s="997"/>
      <c r="L1075" s="99"/>
      <c r="M1075" s="100"/>
    </row>
    <row r="1076" spans="3:13">
      <c r="C1076" s="90"/>
      <c r="D1076" s="162"/>
      <c r="E1076" s="603">
        <v>45553</v>
      </c>
      <c r="F1076" s="256">
        <v>0</v>
      </c>
      <c r="G1076" s="256" t="s">
        <v>754</v>
      </c>
      <c r="H1076" s="256">
        <v>0</v>
      </c>
      <c r="I1076" s="995"/>
      <c r="J1076" s="996"/>
      <c r="K1076" s="997"/>
      <c r="L1076" s="99"/>
      <c r="M1076" s="100"/>
    </row>
    <row r="1077" spans="3:13">
      <c r="C1077" s="90"/>
      <c r="D1077" s="162"/>
      <c r="E1077" s="603">
        <v>45504</v>
      </c>
      <c r="F1077" s="256">
        <v>0</v>
      </c>
      <c r="G1077" s="256" t="s">
        <v>754</v>
      </c>
      <c r="H1077" s="256">
        <v>0</v>
      </c>
      <c r="I1077" s="995"/>
      <c r="J1077" s="996"/>
      <c r="K1077" s="997"/>
      <c r="L1077" s="99"/>
      <c r="M1077" s="100"/>
    </row>
    <row r="1078" spans="3:13">
      <c r="C1078" s="90"/>
      <c r="D1078" s="162"/>
      <c r="E1078" s="603">
        <v>45455</v>
      </c>
      <c r="F1078" s="256">
        <v>0</v>
      </c>
      <c r="G1078" s="256" t="s">
        <v>754</v>
      </c>
      <c r="H1078" s="256">
        <v>0</v>
      </c>
      <c r="I1078" s="995"/>
      <c r="J1078" s="996"/>
      <c r="K1078" s="997"/>
      <c r="L1078" s="101"/>
      <c r="M1078" s="100"/>
    </row>
    <row r="1079" spans="3:13">
      <c r="C1079" s="90"/>
      <c r="D1079" s="162"/>
      <c r="E1079" s="603">
        <v>45413</v>
      </c>
      <c r="F1079" s="256">
        <v>0</v>
      </c>
      <c r="G1079" s="256" t="s">
        <v>754</v>
      </c>
      <c r="H1079" s="256">
        <v>0</v>
      </c>
      <c r="I1079" s="995"/>
      <c r="J1079" s="996"/>
      <c r="K1079" s="997"/>
      <c r="L1079" s="99"/>
      <c r="M1079" s="100"/>
    </row>
    <row r="1080" spans="3:13">
      <c r="C1080" s="90"/>
      <c r="D1080" s="162"/>
      <c r="E1080" s="603">
        <v>45371</v>
      </c>
      <c r="F1080" s="256">
        <v>0</v>
      </c>
      <c r="G1080" s="256" t="s">
        <v>754</v>
      </c>
      <c r="H1080" s="256">
        <v>0</v>
      </c>
      <c r="I1080" s="995"/>
      <c r="J1080" s="996"/>
      <c r="K1080" s="997"/>
      <c r="L1080" s="99"/>
      <c r="M1080" s="100"/>
    </row>
    <row r="1081" spans="3:13" ht="20" thickBot="1">
      <c r="C1081" s="90"/>
      <c r="D1081" s="162"/>
      <c r="E1081" s="607">
        <v>45322</v>
      </c>
      <c r="F1081" s="608">
        <v>0</v>
      </c>
      <c r="G1081" s="608" t="s">
        <v>754</v>
      </c>
      <c r="H1081" s="608">
        <v>0</v>
      </c>
      <c r="I1081" s="998"/>
      <c r="J1081" s="999"/>
      <c r="K1081" s="1000"/>
      <c r="L1081" s="102"/>
      <c r="M1081" s="103"/>
    </row>
    <row r="1082" spans="3:13" ht="25" thickBot="1">
      <c r="C1082" s="90" t="s">
        <v>105</v>
      </c>
      <c r="D1082" s="90" t="s">
        <v>105</v>
      </c>
      <c r="E1082" s="598" t="s">
        <v>30</v>
      </c>
      <c r="F1082" s="1102" t="s">
        <v>948</v>
      </c>
      <c r="G1082" s="1103"/>
      <c r="H1082" s="1104"/>
      <c r="I1082" s="1131" t="s">
        <v>633</v>
      </c>
      <c r="J1082" s="1129"/>
      <c r="K1082" s="1130"/>
      <c r="L1082" s="158" t="s">
        <v>430</v>
      </c>
      <c r="M1082" s="105" t="s">
        <v>431</v>
      </c>
    </row>
    <row r="1083" spans="3:13">
      <c r="E1083" s="599" t="s">
        <v>432</v>
      </c>
      <c r="F1083" s="1105"/>
      <c r="G1083" s="1106"/>
      <c r="H1083" s="1107"/>
      <c r="I1083" s="995" t="s">
        <v>949</v>
      </c>
      <c r="J1083" s="996"/>
      <c r="K1083" s="997"/>
      <c r="L1083" s="99"/>
      <c r="M1083" s="100"/>
    </row>
    <row r="1084" spans="3:13">
      <c r="E1084" s="600" t="s">
        <v>433</v>
      </c>
      <c r="F1084" s="1111">
        <v>4.0000000000000001E-3</v>
      </c>
      <c r="G1084" s="1112"/>
      <c r="H1084" s="1113"/>
      <c r="I1084" s="995"/>
      <c r="J1084" s="996"/>
      <c r="K1084" s="997"/>
      <c r="L1084" s="99"/>
      <c r="M1084" s="100"/>
    </row>
    <row r="1085" spans="3:13" ht="20" thickBot="1">
      <c r="E1085" s="600" t="s">
        <v>434</v>
      </c>
      <c r="F1085" s="1111">
        <v>0</v>
      </c>
      <c r="G1085" s="1112"/>
      <c r="H1085" s="1113"/>
      <c r="I1085" s="995"/>
      <c r="J1085" s="996"/>
      <c r="K1085" s="997"/>
      <c r="L1085" s="99"/>
      <c r="M1085" s="100"/>
    </row>
    <row r="1086" spans="3:13" ht="20" thickBot="1">
      <c r="E1086" s="601" t="s">
        <v>435</v>
      </c>
      <c r="F1086" s="1114">
        <v>0.29166666666666674</v>
      </c>
      <c r="G1086" s="1115"/>
      <c r="H1086" s="1116"/>
      <c r="I1086" s="995"/>
      <c r="J1086" s="996"/>
      <c r="K1086" s="997"/>
      <c r="L1086" s="106">
        <v>0.52083333333333337</v>
      </c>
      <c r="M1086" s="107">
        <v>0.375</v>
      </c>
    </row>
    <row r="1087" spans="3:13" ht="20" thickBot="1">
      <c r="E1087" s="602" t="s">
        <v>436</v>
      </c>
      <c r="F1087" s="252" t="s">
        <v>29</v>
      </c>
      <c r="G1087" s="252" t="s">
        <v>28</v>
      </c>
      <c r="H1087" s="253" t="s">
        <v>27</v>
      </c>
      <c r="I1087" s="995"/>
      <c r="J1087" s="996"/>
      <c r="K1087" s="997"/>
      <c r="L1087" s="99"/>
      <c r="M1087" s="100"/>
    </row>
    <row r="1088" spans="3:13">
      <c r="E1088" s="603">
        <v>45595</v>
      </c>
      <c r="F1088" s="345">
        <v>4.0000000000000001E-3</v>
      </c>
      <c r="G1088" s="345" t="s">
        <v>460</v>
      </c>
      <c r="H1088" s="345">
        <v>0</v>
      </c>
      <c r="I1088" s="995"/>
      <c r="J1088" s="996"/>
      <c r="K1088" s="997"/>
      <c r="L1088" s="99"/>
      <c r="M1088" s="100"/>
    </row>
    <row r="1089" spans="4:13">
      <c r="E1089" s="603">
        <v>45576</v>
      </c>
      <c r="F1089" s="345">
        <v>0</v>
      </c>
      <c r="G1089" s="345" t="s">
        <v>458</v>
      </c>
      <c r="H1089" s="345">
        <v>-1E-3</v>
      </c>
      <c r="I1089" s="995"/>
      <c r="J1089" s="996"/>
      <c r="K1089" s="997"/>
      <c r="L1089" s="99"/>
      <c r="M1089" s="100"/>
    </row>
    <row r="1090" spans="4:13">
      <c r="E1090" s="603">
        <v>45565</v>
      </c>
      <c r="F1090" s="345">
        <v>0</v>
      </c>
      <c r="G1090" s="345" t="s">
        <v>462</v>
      </c>
      <c r="H1090" s="345">
        <v>-1E-3</v>
      </c>
      <c r="I1090" s="995"/>
      <c r="J1090" s="996"/>
      <c r="K1090" s="997"/>
      <c r="L1090" s="101"/>
      <c r="M1090" s="100"/>
    </row>
    <row r="1091" spans="4:13">
      <c r="E1091" s="603">
        <v>45545</v>
      </c>
      <c r="F1091" s="345">
        <v>-1E-3</v>
      </c>
      <c r="G1091" s="345" t="s">
        <v>456</v>
      </c>
      <c r="H1091" s="345">
        <v>3.0000000000000001E-3</v>
      </c>
      <c r="I1091" s="995"/>
      <c r="J1091" s="996"/>
      <c r="K1091" s="997"/>
      <c r="L1091" s="99"/>
      <c r="M1091" s="100"/>
    </row>
    <row r="1092" spans="4:13">
      <c r="E1092" s="603">
        <v>45533</v>
      </c>
      <c r="F1092" s="345">
        <v>-1E-3</v>
      </c>
      <c r="G1092" s="345" t="s">
        <v>458</v>
      </c>
      <c r="H1092" s="345">
        <v>3.0000000000000001E-3</v>
      </c>
      <c r="I1092" s="995"/>
      <c r="J1092" s="996"/>
      <c r="K1092" s="997"/>
      <c r="L1092" s="99"/>
      <c r="M1092" s="100"/>
    </row>
    <row r="1093" spans="4:13" ht="20" thickBot="1">
      <c r="E1093" s="603">
        <v>45513</v>
      </c>
      <c r="F1093" s="345">
        <v>3.0000000000000001E-3</v>
      </c>
      <c r="G1093" s="345" t="s">
        <v>467</v>
      </c>
      <c r="H1093" s="345">
        <v>1E-3</v>
      </c>
      <c r="I1093" s="998"/>
      <c r="J1093" s="999"/>
      <c r="K1093" s="1000"/>
      <c r="L1093" s="102"/>
      <c r="M1093" s="103"/>
    </row>
    <row r="1094" spans="4:13" ht="25" thickBot="1">
      <c r="D1094" t="s">
        <v>105</v>
      </c>
      <c r="E1094" s="598" t="s">
        <v>30</v>
      </c>
      <c r="F1094" s="1102" t="s">
        <v>950</v>
      </c>
      <c r="G1094" s="1103"/>
      <c r="H1094" s="1104"/>
      <c r="I1094" s="1131" t="s">
        <v>633</v>
      </c>
      <c r="J1094" s="1129"/>
      <c r="K1094" s="1130"/>
      <c r="L1094" s="158" t="s">
        <v>430</v>
      </c>
      <c r="M1094" s="105" t="s">
        <v>431</v>
      </c>
    </row>
    <row r="1095" spans="4:13">
      <c r="E1095" s="599" t="s">
        <v>432</v>
      </c>
      <c r="F1095" s="1105"/>
      <c r="G1095" s="1106"/>
      <c r="H1095" s="1107"/>
      <c r="I1095" s="995" t="s">
        <v>951</v>
      </c>
      <c r="J1095" s="996"/>
      <c r="K1095" s="997"/>
      <c r="L1095" s="99"/>
      <c r="M1095" s="100"/>
    </row>
    <row r="1096" spans="4:13">
      <c r="E1096" s="600" t="s">
        <v>433</v>
      </c>
      <c r="F1096" s="1111">
        <v>3.0000000000000001E-3</v>
      </c>
      <c r="G1096" s="1112"/>
      <c r="H1096" s="1113"/>
      <c r="I1096" s="995"/>
      <c r="J1096" s="996"/>
      <c r="K1096" s="997"/>
      <c r="L1096" s="99"/>
      <c r="M1096" s="100"/>
    </row>
    <row r="1097" spans="4:13" ht="20" thickBot="1">
      <c r="E1097" s="600" t="s">
        <v>434</v>
      </c>
      <c r="F1097" s="1111">
        <v>3.0000000000000001E-3</v>
      </c>
      <c r="G1097" s="1112"/>
      <c r="H1097" s="1113"/>
      <c r="I1097" s="995"/>
      <c r="J1097" s="996"/>
      <c r="K1097" s="997"/>
      <c r="L1097" s="99"/>
      <c r="M1097" s="100"/>
    </row>
    <row r="1098" spans="4:13" ht="20" thickBot="1">
      <c r="E1098" s="601" t="s">
        <v>435</v>
      </c>
      <c r="F1098" s="1114">
        <v>0.5625</v>
      </c>
      <c r="G1098" s="1115"/>
      <c r="H1098" s="1116"/>
      <c r="I1098" s="995"/>
      <c r="J1098" s="996"/>
      <c r="K1098" s="997"/>
      <c r="L1098" s="106">
        <v>0.79166666666666663</v>
      </c>
      <c r="M1098" s="107">
        <v>0.64583333333333326</v>
      </c>
    </row>
    <row r="1099" spans="4:13" ht="20" thickBot="1">
      <c r="E1099" s="602" t="s">
        <v>436</v>
      </c>
      <c r="F1099" s="252" t="s">
        <v>29</v>
      </c>
      <c r="G1099" s="252" t="s">
        <v>28</v>
      </c>
      <c r="H1099" s="253" t="s">
        <v>27</v>
      </c>
      <c r="I1099" s="995"/>
      <c r="J1099" s="996"/>
      <c r="K1099" s="997"/>
      <c r="L1099" s="99"/>
      <c r="M1099" s="100"/>
    </row>
    <row r="1100" spans="4:13">
      <c r="E1100" s="603">
        <v>45575</v>
      </c>
      <c r="F1100" s="345">
        <v>3.0000000000000001E-3</v>
      </c>
      <c r="G1100" s="345" t="s">
        <v>460</v>
      </c>
      <c r="H1100" s="345">
        <v>3.0000000000000001E-3</v>
      </c>
      <c r="I1100" s="995"/>
      <c r="J1100" s="996"/>
      <c r="K1100" s="997"/>
      <c r="L1100" s="99"/>
      <c r="M1100" s="100"/>
    </row>
    <row r="1101" spans="4:13">
      <c r="E1101" s="603">
        <v>45546</v>
      </c>
      <c r="F1101" s="345">
        <v>3.0000000000000001E-3</v>
      </c>
      <c r="G1101" s="345" t="s">
        <v>460</v>
      </c>
      <c r="H1101" s="345">
        <v>2E-3</v>
      </c>
      <c r="I1101" s="995"/>
      <c r="J1101" s="996"/>
      <c r="K1101" s="997"/>
      <c r="L1101" s="99"/>
      <c r="M1101" s="100"/>
    </row>
    <row r="1102" spans="4:13">
      <c r="E1102" s="603">
        <v>45518</v>
      </c>
      <c r="F1102" s="345">
        <v>2E-3</v>
      </c>
      <c r="G1102" s="345" t="s">
        <v>460</v>
      </c>
      <c r="H1102" s="345">
        <v>1E-3</v>
      </c>
      <c r="I1102" s="995"/>
      <c r="J1102" s="996"/>
      <c r="K1102" s="997"/>
      <c r="L1102" s="101"/>
      <c r="M1102" s="100"/>
    </row>
    <row r="1103" spans="4:13">
      <c r="E1103" s="603">
        <v>45484</v>
      </c>
      <c r="F1103" s="345">
        <v>1E-3</v>
      </c>
      <c r="G1103" s="345" t="s">
        <v>460</v>
      </c>
      <c r="H1103" s="345">
        <v>2E-3</v>
      </c>
      <c r="I1103" s="995"/>
      <c r="J1103" s="996"/>
      <c r="K1103" s="997"/>
      <c r="L1103" s="99"/>
      <c r="M1103" s="100"/>
    </row>
    <row r="1104" spans="4:13">
      <c r="E1104" s="603">
        <v>45455</v>
      </c>
      <c r="F1104" s="345">
        <v>2E-3</v>
      </c>
      <c r="G1104" s="345" t="s">
        <v>467</v>
      </c>
      <c r="H1104" s="345">
        <v>3.0000000000000001E-3</v>
      </c>
      <c r="I1104" s="995"/>
      <c r="J1104" s="996"/>
      <c r="K1104" s="997"/>
      <c r="L1104" s="99"/>
      <c r="M1104" s="100"/>
    </row>
    <row r="1105" spans="4:13" ht="20" thickBot="1">
      <c r="E1105" s="603">
        <v>45427</v>
      </c>
      <c r="F1105" s="345">
        <v>3.0000000000000001E-3</v>
      </c>
      <c r="G1105" s="345" t="s">
        <v>467</v>
      </c>
      <c r="H1105" s="345">
        <v>4.0000000000000001E-3</v>
      </c>
      <c r="I1105" s="998"/>
      <c r="J1105" s="999"/>
      <c r="K1105" s="1000"/>
      <c r="L1105" s="102"/>
      <c r="M1105" s="103"/>
    </row>
    <row r="1106" spans="4:13" ht="25" thickBot="1">
      <c r="D1106" t="s">
        <v>105</v>
      </c>
      <c r="E1106" s="598" t="s">
        <v>30</v>
      </c>
      <c r="F1106" s="1102" t="s">
        <v>952</v>
      </c>
      <c r="G1106" s="1103"/>
      <c r="H1106" s="1104"/>
      <c r="I1106" s="1131" t="s">
        <v>633</v>
      </c>
      <c r="J1106" s="1129"/>
      <c r="K1106" s="1130"/>
      <c r="L1106" s="158" t="s">
        <v>430</v>
      </c>
      <c r="M1106" s="105" t="s">
        <v>431</v>
      </c>
    </row>
    <row r="1107" spans="4:13">
      <c r="E1107" s="599" t="s">
        <v>432</v>
      </c>
      <c r="F1107" s="1105"/>
      <c r="G1107" s="1106"/>
      <c r="H1107" s="1107"/>
      <c r="I1107" s="995" t="s">
        <v>953</v>
      </c>
      <c r="J1107" s="996"/>
      <c r="K1107" s="997"/>
      <c r="L1107" s="99"/>
      <c r="M1107" s="100"/>
    </row>
    <row r="1108" spans="4:13">
      <c r="E1108" s="600" t="s">
        <v>433</v>
      </c>
      <c r="F1108" s="1111">
        <v>2.4E-2</v>
      </c>
      <c r="G1108" s="1112"/>
      <c r="H1108" s="1113"/>
      <c r="I1108" s="995"/>
      <c r="J1108" s="996"/>
      <c r="K1108" s="997"/>
      <c r="L1108" s="99"/>
      <c r="M1108" s="100"/>
    </row>
    <row r="1109" spans="4:13" ht="20" thickBot="1">
      <c r="E1109" s="600" t="s">
        <v>434</v>
      </c>
      <c r="F1109" s="1111">
        <v>2.4E-2</v>
      </c>
      <c r="G1109" s="1112"/>
      <c r="H1109" s="1113"/>
      <c r="I1109" s="995"/>
      <c r="J1109" s="996"/>
      <c r="K1109" s="997"/>
      <c r="L1109" s="99"/>
      <c r="M1109" s="100"/>
    </row>
    <row r="1110" spans="4:13" ht="20" thickBot="1">
      <c r="E1110" s="601" t="s">
        <v>435</v>
      </c>
      <c r="F1110" s="1114">
        <v>0.5625</v>
      </c>
      <c r="G1110" s="1115"/>
      <c r="H1110" s="1116"/>
      <c r="I1110" s="995"/>
      <c r="J1110" s="996"/>
      <c r="K1110" s="997"/>
      <c r="L1110" s="106">
        <v>0.79166666666666663</v>
      </c>
      <c r="M1110" s="107">
        <v>0.64583333333333326</v>
      </c>
    </row>
    <row r="1111" spans="4:13" ht="20" thickBot="1">
      <c r="E1111" s="602" t="s">
        <v>436</v>
      </c>
      <c r="F1111" s="252" t="s">
        <v>29</v>
      </c>
      <c r="G1111" s="252" t="s">
        <v>28</v>
      </c>
      <c r="H1111" s="253" t="s">
        <v>27</v>
      </c>
      <c r="I1111" s="995"/>
      <c r="J1111" s="996"/>
      <c r="K1111" s="997"/>
      <c r="L1111" s="99"/>
      <c r="M1111" s="100"/>
    </row>
    <row r="1112" spans="4:13">
      <c r="E1112" s="603">
        <v>45575</v>
      </c>
      <c r="F1112" s="345">
        <v>2.4E-2</v>
      </c>
      <c r="G1112" s="345" t="s">
        <v>971</v>
      </c>
      <c r="H1112" s="345">
        <v>2.5000000000000001E-2</v>
      </c>
      <c r="I1112" s="995"/>
      <c r="J1112" s="996"/>
      <c r="K1112" s="997"/>
      <c r="L1112" s="99"/>
      <c r="M1112" s="100"/>
    </row>
    <row r="1113" spans="4:13">
      <c r="E1113" s="603">
        <v>45546</v>
      </c>
      <c r="F1113" s="345">
        <v>2.5000000000000001E-2</v>
      </c>
      <c r="G1113" s="345" t="s">
        <v>495</v>
      </c>
      <c r="H1113" s="345">
        <v>2.9000000000000001E-2</v>
      </c>
      <c r="I1113" s="995"/>
      <c r="J1113" s="996"/>
      <c r="K1113" s="997"/>
      <c r="L1113" s="99"/>
      <c r="M1113" s="100"/>
    </row>
    <row r="1114" spans="4:13">
      <c r="E1114" s="603">
        <v>45518</v>
      </c>
      <c r="F1114" s="345">
        <v>2.9000000000000001E-2</v>
      </c>
      <c r="G1114" s="345" t="s">
        <v>669</v>
      </c>
      <c r="H1114" s="345">
        <v>0.03</v>
      </c>
      <c r="I1114" s="995"/>
      <c r="J1114" s="996"/>
      <c r="K1114" s="997"/>
      <c r="L1114" s="101"/>
      <c r="M1114" s="100"/>
    </row>
    <row r="1115" spans="4:13">
      <c r="E1115" s="603">
        <v>45484</v>
      </c>
      <c r="F1115" s="345">
        <v>0.03</v>
      </c>
      <c r="G1115" s="345" t="s">
        <v>668</v>
      </c>
      <c r="H1115" s="345">
        <v>3.3000000000000002E-2</v>
      </c>
      <c r="I1115" s="995"/>
      <c r="J1115" s="996"/>
      <c r="K1115" s="997"/>
      <c r="L1115" s="99"/>
      <c r="M1115" s="100"/>
    </row>
    <row r="1116" spans="4:13">
      <c r="E1116" s="603">
        <v>45455</v>
      </c>
      <c r="F1116" s="345">
        <v>3.3000000000000002E-2</v>
      </c>
      <c r="G1116" s="345" t="s">
        <v>882</v>
      </c>
      <c r="H1116" s="345">
        <v>3.4000000000000002E-2</v>
      </c>
      <c r="I1116" s="995"/>
      <c r="J1116" s="996"/>
      <c r="K1116" s="997"/>
      <c r="L1116" s="99"/>
      <c r="M1116" s="100"/>
    </row>
    <row r="1117" spans="4:13" ht="20" thickBot="1">
      <c r="E1117" s="603">
        <v>45427</v>
      </c>
      <c r="F1117" s="345">
        <v>3.4000000000000002E-2</v>
      </c>
      <c r="G1117" s="345" t="s">
        <v>882</v>
      </c>
      <c r="H1117" s="345">
        <v>3.5000000000000003E-2</v>
      </c>
      <c r="I1117" s="998"/>
      <c r="J1117" s="999"/>
      <c r="K1117" s="1000"/>
      <c r="L1117" s="102"/>
      <c r="M1117" s="103"/>
    </row>
    <row r="1118" spans="4:13" ht="25" thickBot="1">
      <c r="D1118" t="s">
        <v>105</v>
      </c>
      <c r="E1118" s="598" t="s">
        <v>30</v>
      </c>
      <c r="F1118" s="1102" t="s">
        <v>954</v>
      </c>
      <c r="G1118" s="1103"/>
      <c r="H1118" s="1104"/>
      <c r="I1118" s="1131" t="s">
        <v>633</v>
      </c>
      <c r="J1118" s="1129"/>
      <c r="K1118" s="1130"/>
      <c r="L1118" s="158" t="s">
        <v>430</v>
      </c>
      <c r="M1118" s="105" t="s">
        <v>431</v>
      </c>
    </row>
    <row r="1119" spans="4:13">
      <c r="E1119" s="599" t="s">
        <v>432</v>
      </c>
      <c r="F1119" s="1105"/>
      <c r="G1119" s="1106"/>
      <c r="H1119" s="1107"/>
      <c r="I1119" s="995" t="s">
        <v>953</v>
      </c>
      <c r="J1119" s="996"/>
      <c r="K1119" s="997"/>
      <c r="L1119" s="99"/>
      <c r="M1119" s="100"/>
    </row>
    <row r="1120" spans="4:13">
      <c r="E1120" s="600" t="s">
        <v>433</v>
      </c>
      <c r="F1120" s="1111">
        <v>2E-3</v>
      </c>
      <c r="G1120" s="1112"/>
      <c r="H1120" s="1113"/>
      <c r="I1120" s="995"/>
      <c r="J1120" s="996"/>
      <c r="K1120" s="997"/>
      <c r="L1120" s="99"/>
      <c r="M1120" s="100"/>
    </row>
    <row r="1121" spans="4:13" ht="20" thickBot="1">
      <c r="E1121" s="600" t="s">
        <v>434</v>
      </c>
      <c r="F1121" s="1111">
        <v>2E-3</v>
      </c>
      <c r="G1121" s="1112"/>
      <c r="H1121" s="1113"/>
      <c r="I1121" s="995"/>
      <c r="J1121" s="996"/>
      <c r="K1121" s="997"/>
      <c r="L1121" s="99"/>
      <c r="M1121" s="100"/>
    </row>
    <row r="1122" spans="4:13" ht="20" thickBot="1">
      <c r="E1122" s="601" t="s">
        <v>435</v>
      </c>
      <c r="F1122" s="1114">
        <v>0.5625</v>
      </c>
      <c r="G1122" s="1115"/>
      <c r="H1122" s="1116"/>
      <c r="I1122" s="995"/>
      <c r="J1122" s="996"/>
      <c r="K1122" s="997"/>
      <c r="L1122" s="106">
        <v>0.79166666666666663</v>
      </c>
      <c r="M1122" s="107">
        <v>0.64583333333333326</v>
      </c>
    </row>
    <row r="1123" spans="4:13" ht="20" thickBot="1">
      <c r="E1123" s="602" t="s">
        <v>436</v>
      </c>
      <c r="F1123" s="252" t="s">
        <v>29</v>
      </c>
      <c r="G1123" s="252" t="s">
        <v>28</v>
      </c>
      <c r="H1123" s="253" t="s">
        <v>27</v>
      </c>
      <c r="I1123" s="995"/>
      <c r="J1123" s="996"/>
      <c r="K1123" s="997"/>
      <c r="L1123" s="99"/>
      <c r="M1123" s="100"/>
    </row>
    <row r="1124" spans="4:13">
      <c r="E1124" s="603">
        <v>45575</v>
      </c>
      <c r="F1124" s="345">
        <v>2E-3</v>
      </c>
      <c r="G1124" s="345" t="s">
        <v>462</v>
      </c>
      <c r="H1124" s="345">
        <v>2E-3</v>
      </c>
      <c r="I1124" s="995"/>
      <c r="J1124" s="996"/>
      <c r="K1124" s="997"/>
      <c r="L1124" s="99"/>
      <c r="M1124" s="100"/>
    </row>
    <row r="1125" spans="4:13">
      <c r="E1125" s="603">
        <v>45546</v>
      </c>
      <c r="F1125" s="345">
        <v>2E-3</v>
      </c>
      <c r="G1125" s="345" t="s">
        <v>460</v>
      </c>
      <c r="H1125" s="345">
        <v>2E-3</v>
      </c>
      <c r="I1125" s="995"/>
      <c r="J1125" s="996"/>
      <c r="K1125" s="997"/>
      <c r="L1125" s="99"/>
      <c r="M1125" s="100"/>
    </row>
    <row r="1126" spans="4:13">
      <c r="E1126" s="603">
        <v>45518</v>
      </c>
      <c r="F1126" s="345">
        <v>2E-3</v>
      </c>
      <c r="G1126" s="345" t="s">
        <v>460</v>
      </c>
      <c r="H1126" s="345">
        <v>-1E-3</v>
      </c>
      <c r="I1126" s="995"/>
      <c r="J1126" s="996"/>
      <c r="K1126" s="997"/>
      <c r="L1126" s="101"/>
      <c r="M1126" s="100"/>
    </row>
    <row r="1127" spans="4:13">
      <c r="E1127" s="603">
        <v>45484</v>
      </c>
      <c r="F1127" s="345">
        <v>-1E-3</v>
      </c>
      <c r="G1127" s="345" t="s">
        <v>462</v>
      </c>
      <c r="H1127" s="345">
        <v>0</v>
      </c>
      <c r="I1127" s="995"/>
      <c r="J1127" s="996"/>
      <c r="K1127" s="997"/>
      <c r="L1127" s="99"/>
      <c r="M1127" s="100"/>
    </row>
    <row r="1128" spans="4:13">
      <c r="E1128" s="603">
        <v>45455</v>
      </c>
      <c r="F1128" s="345">
        <v>0</v>
      </c>
      <c r="G1128" s="345" t="s">
        <v>462</v>
      </c>
      <c r="H1128" s="345">
        <v>3.0000000000000001E-3</v>
      </c>
      <c r="I1128" s="995"/>
      <c r="J1128" s="996"/>
      <c r="K1128" s="997"/>
      <c r="L1128" s="99"/>
      <c r="M1128" s="100"/>
    </row>
    <row r="1129" spans="4:13" ht="20" thickBot="1">
      <c r="E1129" s="603">
        <v>45427</v>
      </c>
      <c r="F1129" s="345">
        <v>3.0000000000000001E-3</v>
      </c>
      <c r="G1129" s="345" t="s">
        <v>452</v>
      </c>
      <c r="H1129" s="345">
        <v>4.0000000000000001E-3</v>
      </c>
      <c r="I1129" s="998"/>
      <c r="J1129" s="999"/>
      <c r="K1129" s="1000"/>
      <c r="L1129" s="102"/>
      <c r="M1129" s="103"/>
    </row>
    <row r="1130" spans="4:13" ht="25" thickBot="1">
      <c r="D1130" t="s">
        <v>105</v>
      </c>
      <c r="E1130" s="598" t="s">
        <v>30</v>
      </c>
      <c r="F1130" s="1102" t="s">
        <v>14</v>
      </c>
      <c r="G1130" s="1103"/>
      <c r="H1130" s="1104"/>
      <c r="I1130" s="1131" t="s">
        <v>633</v>
      </c>
      <c r="J1130" s="1129"/>
      <c r="K1130" s="1130"/>
      <c r="L1130" s="158" t="s">
        <v>430</v>
      </c>
      <c r="M1130" s="105" t="s">
        <v>431</v>
      </c>
    </row>
    <row r="1131" spans="4:13">
      <c r="E1131" s="599" t="s">
        <v>432</v>
      </c>
      <c r="F1131" s="1105"/>
      <c r="G1131" s="1106"/>
      <c r="H1131" s="1107"/>
      <c r="I1131" s="995" t="s">
        <v>955</v>
      </c>
      <c r="J1131" s="996"/>
      <c r="K1131" s="997"/>
      <c r="L1131" s="99"/>
      <c r="M1131" s="100"/>
    </row>
    <row r="1132" spans="4:13">
      <c r="E1132" s="600" t="s">
        <v>433</v>
      </c>
      <c r="F1132" s="1117" t="s">
        <v>72</v>
      </c>
      <c r="G1132" s="1109"/>
      <c r="H1132" s="1110"/>
      <c r="I1132" s="995"/>
      <c r="J1132" s="996"/>
      <c r="K1132" s="997"/>
      <c r="L1132" s="99"/>
      <c r="M1132" s="100"/>
    </row>
    <row r="1133" spans="4:13" ht="20" thickBot="1">
      <c r="E1133" s="600" t="s">
        <v>434</v>
      </c>
      <c r="F1133" s="1117" t="s">
        <v>413</v>
      </c>
      <c r="G1133" s="1109"/>
      <c r="H1133" s="1110"/>
      <c r="I1133" s="995"/>
      <c r="J1133" s="996"/>
      <c r="K1133" s="997"/>
      <c r="L1133" s="99"/>
      <c r="M1133" s="100"/>
    </row>
    <row r="1134" spans="4:13" ht="20" thickBot="1">
      <c r="E1134" s="601" t="s">
        <v>435</v>
      </c>
      <c r="F1134" s="1114">
        <v>0.5625</v>
      </c>
      <c r="G1134" s="1115"/>
      <c r="H1134" s="1116"/>
      <c r="I1134" s="995"/>
      <c r="J1134" s="996"/>
      <c r="K1134" s="997"/>
      <c r="L1134" s="106">
        <v>0.79166666666666663</v>
      </c>
      <c r="M1134" s="107">
        <v>0.64583333333333326</v>
      </c>
    </row>
    <row r="1135" spans="4:13" ht="20" thickBot="1">
      <c r="E1135" s="602" t="s">
        <v>436</v>
      </c>
      <c r="F1135" s="252" t="s">
        <v>29</v>
      </c>
      <c r="G1135" s="252" t="s">
        <v>28</v>
      </c>
      <c r="H1135" s="253" t="s">
        <v>27</v>
      </c>
      <c r="I1135" s="995"/>
      <c r="J1135" s="996"/>
      <c r="K1135" s="997"/>
      <c r="L1135" s="99"/>
      <c r="M1135" s="100"/>
    </row>
    <row r="1136" spans="4:13">
      <c r="E1136" s="603">
        <v>45603</v>
      </c>
      <c r="F1136" s="604" t="s">
        <v>972</v>
      </c>
      <c r="G1136" s="604" t="s">
        <v>973</v>
      </c>
      <c r="H1136" s="604" t="s">
        <v>974</v>
      </c>
      <c r="I1136" s="995"/>
      <c r="J1136" s="996"/>
      <c r="K1136" s="997"/>
      <c r="L1136" s="99"/>
      <c r="M1136" s="100"/>
    </row>
    <row r="1137" spans="4:13">
      <c r="E1137" s="603">
        <v>45596</v>
      </c>
      <c r="F1137" s="604" t="s">
        <v>975</v>
      </c>
      <c r="G1137" s="604" t="s">
        <v>976</v>
      </c>
      <c r="H1137" s="604" t="s">
        <v>977</v>
      </c>
      <c r="I1137" s="995"/>
      <c r="J1137" s="996"/>
      <c r="K1137" s="997"/>
      <c r="L1137" s="99"/>
      <c r="M1137" s="100"/>
    </row>
    <row r="1138" spans="4:13">
      <c r="E1138" s="603">
        <v>45589</v>
      </c>
      <c r="F1138" s="604" t="s">
        <v>978</v>
      </c>
      <c r="G1138" s="604" t="s">
        <v>979</v>
      </c>
      <c r="H1138" s="604" t="s">
        <v>980</v>
      </c>
      <c r="I1138" s="995"/>
      <c r="J1138" s="996"/>
      <c r="K1138" s="997"/>
      <c r="L1138" s="101"/>
      <c r="M1138" s="100"/>
    </row>
    <row r="1139" spans="4:13">
      <c r="E1139" s="603">
        <v>45582</v>
      </c>
      <c r="F1139" s="604" t="s">
        <v>981</v>
      </c>
      <c r="G1139" s="604" t="s">
        <v>981</v>
      </c>
      <c r="H1139" s="604" t="s">
        <v>982</v>
      </c>
      <c r="I1139" s="995"/>
      <c r="J1139" s="996"/>
      <c r="K1139" s="997"/>
      <c r="L1139" s="99"/>
      <c r="M1139" s="100"/>
    </row>
    <row r="1140" spans="4:13">
      <c r="E1140" s="603">
        <v>45575</v>
      </c>
      <c r="F1140" s="604" t="s">
        <v>983</v>
      </c>
      <c r="G1140" s="604" t="s">
        <v>984</v>
      </c>
      <c r="H1140" s="604" t="s">
        <v>985</v>
      </c>
      <c r="I1140" s="995"/>
      <c r="J1140" s="996"/>
      <c r="K1140" s="997"/>
      <c r="L1140" s="99"/>
      <c r="M1140" s="100"/>
    </row>
    <row r="1141" spans="4:13" ht="20" thickBot="1">
      <c r="E1141" s="603">
        <v>45568</v>
      </c>
      <c r="F1141" s="604" t="s">
        <v>985</v>
      </c>
      <c r="G1141" s="604" t="s">
        <v>986</v>
      </c>
      <c r="H1141" s="604" t="s">
        <v>987</v>
      </c>
      <c r="I1141" s="998"/>
      <c r="J1141" s="999"/>
      <c r="K1141" s="1000"/>
      <c r="L1141" s="102"/>
      <c r="M1141" s="103"/>
    </row>
    <row r="1142" spans="4:13" ht="25" thickBot="1">
      <c r="D1142" s="88" t="s">
        <v>105</v>
      </c>
      <c r="E1142" s="598" t="s">
        <v>30</v>
      </c>
      <c r="F1142" s="1102" t="s">
        <v>956</v>
      </c>
      <c r="G1142" s="1103"/>
      <c r="H1142" s="1104"/>
      <c r="I1142" s="1131" t="s">
        <v>633</v>
      </c>
      <c r="J1142" s="1129"/>
      <c r="K1142" s="1130"/>
      <c r="L1142" s="158" t="s">
        <v>430</v>
      </c>
      <c r="M1142" s="105" t="s">
        <v>431</v>
      </c>
    </row>
    <row r="1143" spans="4:13">
      <c r="D1143" s="89"/>
      <c r="E1143" s="599" t="s">
        <v>432</v>
      </c>
      <c r="F1143" s="1105"/>
      <c r="G1143" s="1106"/>
      <c r="H1143" s="1107"/>
      <c r="I1143" s="995" t="s">
        <v>957</v>
      </c>
      <c r="J1143" s="996"/>
      <c r="K1143" s="997"/>
      <c r="L1143" s="99"/>
      <c r="M1143" s="100"/>
    </row>
    <row r="1144" spans="4:13">
      <c r="D1144" s="89"/>
      <c r="E1144" s="600" t="s">
        <v>433</v>
      </c>
      <c r="F1144" s="1111">
        <v>2E-3</v>
      </c>
      <c r="G1144" s="1112"/>
      <c r="H1144" s="1113"/>
      <c r="I1144" s="995"/>
      <c r="J1144" s="996"/>
      <c r="K1144" s="997"/>
      <c r="L1144" s="99"/>
      <c r="M1144" s="100"/>
    </row>
    <row r="1145" spans="4:13" ht="20" thickBot="1">
      <c r="D1145" s="89"/>
      <c r="E1145" s="600" t="s">
        <v>434</v>
      </c>
      <c r="F1145" s="1125">
        <v>0</v>
      </c>
      <c r="G1145" s="1126"/>
      <c r="H1145" s="1127"/>
      <c r="I1145" s="995"/>
      <c r="J1145" s="996"/>
      <c r="K1145" s="997"/>
      <c r="L1145" s="99"/>
      <c r="M1145" s="100"/>
    </row>
    <row r="1146" spans="4:13" ht="20" thickBot="1">
      <c r="D1146" s="89"/>
      <c r="E1146" s="601" t="s">
        <v>435</v>
      </c>
      <c r="F1146" s="1114">
        <v>0.5625</v>
      </c>
      <c r="G1146" s="1115"/>
      <c r="H1146" s="1116"/>
      <c r="I1146" s="995"/>
      <c r="J1146" s="996"/>
      <c r="K1146" s="997"/>
      <c r="L1146" s="106">
        <v>0.79166666666666663</v>
      </c>
      <c r="M1146" s="107">
        <v>0.64583333333333326</v>
      </c>
    </row>
    <row r="1147" spans="4:13" ht="20" thickBot="1">
      <c r="D1147" s="89"/>
      <c r="E1147" s="602" t="s">
        <v>436</v>
      </c>
      <c r="F1147" s="252" t="s">
        <v>29</v>
      </c>
      <c r="G1147" s="252" t="s">
        <v>28</v>
      </c>
      <c r="H1147" s="253" t="s">
        <v>27</v>
      </c>
      <c r="I1147" s="995"/>
      <c r="J1147" s="996"/>
      <c r="K1147" s="997"/>
      <c r="L1147" s="99"/>
      <c r="M1147" s="100"/>
    </row>
    <row r="1148" spans="4:13">
      <c r="D1148" s="89"/>
      <c r="E1148" s="603">
        <v>45576</v>
      </c>
      <c r="F1148" s="605">
        <v>0</v>
      </c>
      <c r="G1148" s="605" t="s">
        <v>462</v>
      </c>
      <c r="H1148" s="605">
        <v>2E-3</v>
      </c>
      <c r="I1148" s="995"/>
      <c r="J1148" s="996"/>
      <c r="K1148" s="997"/>
      <c r="L1148" s="99"/>
      <c r="M1148" s="100"/>
    </row>
    <row r="1149" spans="4:13">
      <c r="D1149" s="89"/>
      <c r="E1149" s="603">
        <v>45547</v>
      </c>
      <c r="F1149" s="605">
        <v>2E-3</v>
      </c>
      <c r="G1149" s="605" t="s">
        <v>462</v>
      </c>
      <c r="H1149" s="605">
        <v>0</v>
      </c>
      <c r="I1149" s="995"/>
      <c r="J1149" s="996"/>
      <c r="K1149" s="997"/>
      <c r="L1149" s="99"/>
      <c r="M1149" s="100"/>
    </row>
    <row r="1150" spans="4:13">
      <c r="D1150" s="89"/>
      <c r="E1150" s="603">
        <v>45517</v>
      </c>
      <c r="F1150" s="605">
        <v>1E-3</v>
      </c>
      <c r="G1150" s="605" t="s">
        <v>460</v>
      </c>
      <c r="H1150" s="605">
        <v>2E-3</v>
      </c>
      <c r="I1150" s="995"/>
      <c r="J1150" s="996"/>
      <c r="K1150" s="997"/>
      <c r="L1150" s="101"/>
      <c r="M1150" s="100"/>
    </row>
    <row r="1151" spans="4:13">
      <c r="D1151" s="89"/>
      <c r="E1151" s="603">
        <v>45485</v>
      </c>
      <c r="F1151" s="605">
        <v>2E-3</v>
      </c>
      <c r="G1151" s="605" t="s">
        <v>462</v>
      </c>
      <c r="H1151" s="605">
        <v>0</v>
      </c>
      <c r="I1151" s="995"/>
      <c r="J1151" s="996"/>
      <c r="K1151" s="997"/>
      <c r="L1151" s="99"/>
      <c r="M1151" s="100"/>
    </row>
    <row r="1152" spans="4:13">
      <c r="D1152" s="89"/>
      <c r="E1152" s="603">
        <v>45456</v>
      </c>
      <c r="F1152" s="605">
        <v>-2E-3</v>
      </c>
      <c r="G1152" s="605" t="s">
        <v>462</v>
      </c>
      <c r="H1152" s="605">
        <v>5.0000000000000001E-3</v>
      </c>
      <c r="I1152" s="995"/>
      <c r="J1152" s="996"/>
      <c r="K1152" s="997"/>
      <c r="L1152" s="99"/>
      <c r="M1152" s="100"/>
    </row>
    <row r="1153" spans="4:13" ht="20" thickBot="1">
      <c r="D1153" s="89"/>
      <c r="E1153" s="603">
        <v>45426</v>
      </c>
      <c r="F1153" s="605">
        <v>5.0000000000000001E-3</v>
      </c>
      <c r="G1153" s="605" t="s">
        <v>467</v>
      </c>
      <c r="H1153" s="605">
        <v>-1E-3</v>
      </c>
      <c r="I1153" s="998"/>
      <c r="J1153" s="999"/>
      <c r="K1153" s="1000"/>
      <c r="L1153" s="102"/>
      <c r="M1153" s="103"/>
    </row>
    <row r="1154" spans="4:13" ht="25" thickBot="1">
      <c r="D1154" s="88" t="s">
        <v>105</v>
      </c>
      <c r="E1154" s="598" t="s">
        <v>30</v>
      </c>
      <c r="F1154" s="1102" t="s">
        <v>9</v>
      </c>
      <c r="G1154" s="1103"/>
      <c r="H1154" s="1104"/>
      <c r="I1154" s="1131" t="s">
        <v>633</v>
      </c>
      <c r="J1154" s="1129"/>
      <c r="K1154" s="1130"/>
      <c r="L1154" s="158" t="s">
        <v>430</v>
      </c>
      <c r="M1154" s="105" t="s">
        <v>431</v>
      </c>
    </row>
    <row r="1155" spans="4:13">
      <c r="D1155" s="89"/>
      <c r="E1155" s="599" t="s">
        <v>432</v>
      </c>
      <c r="F1155" s="1105"/>
      <c r="G1155" s="1106"/>
      <c r="H1155" s="1107"/>
      <c r="I1155" s="995" t="s">
        <v>926</v>
      </c>
      <c r="J1155" s="996"/>
      <c r="K1155" s="997"/>
      <c r="L1155" s="99"/>
      <c r="M1155" s="100"/>
    </row>
    <row r="1156" spans="4:13">
      <c r="D1156" s="89"/>
      <c r="E1156" s="600" t="s">
        <v>433</v>
      </c>
      <c r="F1156" s="1117">
        <v>0</v>
      </c>
      <c r="G1156" s="1109"/>
      <c r="H1156" s="1110"/>
      <c r="I1156" s="995"/>
      <c r="J1156" s="996"/>
      <c r="K1156" s="997"/>
      <c r="L1156" s="99"/>
      <c r="M1156" s="100"/>
    </row>
    <row r="1157" spans="4:13" ht="20" thickBot="1">
      <c r="D1157" s="89"/>
      <c r="E1157" s="600" t="s">
        <v>434</v>
      </c>
      <c r="F1157" s="1111" t="s">
        <v>958</v>
      </c>
      <c r="G1157" s="1112"/>
      <c r="H1157" s="1113"/>
      <c r="I1157" s="995"/>
      <c r="J1157" s="996"/>
      <c r="K1157" s="997"/>
      <c r="L1157" s="99"/>
      <c r="M1157" s="100"/>
    </row>
    <row r="1158" spans="4:13" ht="20" thickBot="1">
      <c r="D1158" s="89"/>
      <c r="E1158" s="601" t="s">
        <v>435</v>
      </c>
      <c r="F1158" s="1114">
        <v>0.66666666666666674</v>
      </c>
      <c r="G1158" s="1115"/>
      <c r="H1158" s="1116"/>
      <c r="I1158" s="995"/>
      <c r="J1158" s="996"/>
      <c r="K1158" s="997"/>
      <c r="L1158" s="106">
        <v>0.89583333333333337</v>
      </c>
      <c r="M1158" s="107">
        <v>0.75</v>
      </c>
    </row>
    <row r="1159" spans="4:13" ht="20" thickBot="1">
      <c r="D1159" s="89"/>
      <c r="E1159" s="602" t="s">
        <v>436</v>
      </c>
      <c r="F1159" s="252" t="s">
        <v>29</v>
      </c>
      <c r="G1159" s="252" t="s">
        <v>28</v>
      </c>
      <c r="H1159" s="253" t="s">
        <v>27</v>
      </c>
      <c r="I1159" s="995"/>
      <c r="J1159" s="996"/>
      <c r="K1159" s="997"/>
      <c r="L1159" s="99"/>
      <c r="M1159" s="100"/>
    </row>
    <row r="1160" spans="4:13">
      <c r="D1160" s="89"/>
      <c r="E1160" s="603">
        <v>45602</v>
      </c>
      <c r="F1160" s="604" t="s">
        <v>988</v>
      </c>
      <c r="G1160" s="604" t="s">
        <v>989</v>
      </c>
      <c r="H1160" s="604" t="s">
        <v>990</v>
      </c>
      <c r="I1160" s="995"/>
      <c r="J1160" s="996"/>
      <c r="K1160" s="997"/>
      <c r="L1160" s="99"/>
      <c r="M1160" s="100"/>
    </row>
    <row r="1161" spans="4:13">
      <c r="D1161" s="89"/>
      <c r="E1161" s="603">
        <v>45595</v>
      </c>
      <c r="F1161" s="604" t="s">
        <v>990</v>
      </c>
      <c r="G1161" s="604" t="s">
        <v>991</v>
      </c>
      <c r="H1161" s="604" t="s">
        <v>992</v>
      </c>
      <c r="I1161" s="995"/>
      <c r="J1161" s="996"/>
      <c r="K1161" s="997"/>
      <c r="L1161" s="99"/>
      <c r="M1161" s="100"/>
    </row>
    <row r="1162" spans="4:13">
      <c r="D1162" s="89"/>
      <c r="E1162" s="603">
        <v>45588</v>
      </c>
      <c r="F1162" s="604" t="s">
        <v>992</v>
      </c>
      <c r="G1162" s="604" t="s">
        <v>993</v>
      </c>
      <c r="H1162" s="604" t="s">
        <v>994</v>
      </c>
      <c r="I1162" s="995"/>
      <c r="J1162" s="996"/>
      <c r="K1162" s="997"/>
      <c r="L1162" s="101"/>
      <c r="M1162" s="100"/>
    </row>
    <row r="1163" spans="4:13">
      <c r="D1163" s="89"/>
      <c r="E1163" s="603">
        <v>45582</v>
      </c>
      <c r="F1163" s="604" t="s">
        <v>994</v>
      </c>
      <c r="G1163" s="604" t="s">
        <v>995</v>
      </c>
      <c r="H1163" s="604" t="s">
        <v>996</v>
      </c>
      <c r="I1163" s="995"/>
      <c r="J1163" s="996"/>
      <c r="K1163" s="997"/>
      <c r="L1163" s="99"/>
      <c r="M1163" s="100"/>
    </row>
    <row r="1164" spans="4:13">
      <c r="D1164" s="89"/>
      <c r="E1164" s="603">
        <v>45574</v>
      </c>
      <c r="F1164" s="604" t="s">
        <v>996</v>
      </c>
      <c r="G1164" s="604" t="s">
        <v>997</v>
      </c>
      <c r="H1164" s="604" t="s">
        <v>998</v>
      </c>
      <c r="I1164" s="995"/>
      <c r="J1164" s="996"/>
      <c r="K1164" s="997"/>
      <c r="L1164" s="99"/>
      <c r="M1164" s="100"/>
    </row>
    <row r="1165" spans="4:13" ht="20" thickBot="1">
      <c r="D1165" s="89"/>
      <c r="E1165" s="603">
        <v>45567</v>
      </c>
      <c r="F1165" s="604" t="s">
        <v>998</v>
      </c>
      <c r="G1165" s="604" t="s">
        <v>999</v>
      </c>
      <c r="H1165" s="604" t="s">
        <v>1000</v>
      </c>
      <c r="I1165" s="998"/>
      <c r="J1165" s="999"/>
      <c r="K1165" s="1000"/>
      <c r="L1165" s="102"/>
      <c r="M1165" s="103"/>
    </row>
    <row r="1166" spans="4:13" ht="25" thickBot="1">
      <c r="D1166" s="88" t="s">
        <v>105</v>
      </c>
      <c r="E1166" s="598" t="s">
        <v>30</v>
      </c>
      <c r="F1166" s="1102" t="s">
        <v>959</v>
      </c>
      <c r="G1166" s="1103"/>
      <c r="H1166" s="1104"/>
      <c r="I1166" s="1131" t="s">
        <v>633</v>
      </c>
      <c r="J1166" s="1129"/>
      <c r="K1166" s="1130"/>
      <c r="L1166" s="158" t="s">
        <v>430</v>
      </c>
      <c r="M1166" s="105" t="s">
        <v>431</v>
      </c>
    </row>
    <row r="1167" spans="4:13">
      <c r="D1167" s="89"/>
      <c r="E1167" s="599" t="s">
        <v>432</v>
      </c>
      <c r="F1167" s="1105"/>
      <c r="G1167" s="1106"/>
      <c r="H1167" s="1107"/>
      <c r="I1167" s="995" t="s">
        <v>960</v>
      </c>
      <c r="J1167" s="996"/>
      <c r="K1167" s="997"/>
      <c r="L1167" s="99"/>
      <c r="M1167" s="100"/>
    </row>
    <row r="1168" spans="4:13">
      <c r="D1168" s="89"/>
      <c r="E1168" s="600" t="s">
        <v>433</v>
      </c>
      <c r="F1168" s="1125">
        <v>2E-3</v>
      </c>
      <c r="G1168" s="1126"/>
      <c r="H1168" s="1127"/>
      <c r="I1168" s="995"/>
      <c r="J1168" s="996"/>
      <c r="K1168" s="997"/>
      <c r="L1168" s="99"/>
      <c r="M1168" s="100"/>
    </row>
    <row r="1169" spans="4:13" ht="20" thickBot="1">
      <c r="D1169" s="89"/>
      <c r="E1169" s="600" t="s">
        <v>434</v>
      </c>
      <c r="F1169" s="1125">
        <v>7.0000000000000001E-3</v>
      </c>
      <c r="G1169" s="1126"/>
      <c r="H1169" s="1127"/>
      <c r="I1169" s="995"/>
      <c r="J1169" s="996"/>
      <c r="K1169" s="997"/>
      <c r="L1169" s="99"/>
      <c r="M1169" s="100"/>
    </row>
    <row r="1170" spans="4:13" ht="20" thickBot="1">
      <c r="D1170" s="89"/>
      <c r="E1170" s="601" t="s">
        <v>435</v>
      </c>
      <c r="F1170" s="1114">
        <v>0.99305555555555558</v>
      </c>
      <c r="G1170" s="1115"/>
      <c r="H1170" s="1116"/>
      <c r="I1170" s="995"/>
      <c r="J1170" s="996"/>
      <c r="K1170" s="997"/>
      <c r="L1170" s="106">
        <v>0.22222222222222221</v>
      </c>
      <c r="M1170" s="107">
        <v>7.6388888888888867E-2</v>
      </c>
    </row>
    <row r="1171" spans="4:13" ht="20" thickBot="1">
      <c r="D1171" s="89"/>
      <c r="E1171" s="602" t="s">
        <v>436</v>
      </c>
      <c r="F1171" s="252" t="s">
        <v>29</v>
      </c>
      <c r="G1171" s="252" t="s">
        <v>28</v>
      </c>
      <c r="H1171" s="253" t="s">
        <v>27</v>
      </c>
      <c r="I1171" s="995"/>
      <c r="J1171" s="996"/>
      <c r="K1171" s="997"/>
      <c r="L1171" s="99"/>
      <c r="M1171" s="100"/>
    </row>
    <row r="1172" spans="4:13">
      <c r="D1172" s="89"/>
      <c r="E1172" s="603">
        <v>45542</v>
      </c>
      <c r="F1172" s="605">
        <v>7.0000000000000001E-3</v>
      </c>
      <c r="G1172" s="605" t="s">
        <v>1001</v>
      </c>
      <c r="H1172" s="605">
        <v>-6.0000000000000001E-3</v>
      </c>
      <c r="I1172" s="995"/>
      <c r="J1172" s="996"/>
      <c r="K1172" s="997"/>
      <c r="L1172" s="99"/>
      <c r="M1172" s="100"/>
    </row>
    <row r="1173" spans="4:13">
      <c r="D1173" s="89" t="s">
        <v>105</v>
      </c>
      <c r="E1173" s="603">
        <v>45517</v>
      </c>
      <c r="F1173" s="605">
        <v>8.0000000000000002E-3</v>
      </c>
      <c r="G1173" s="605" t="s">
        <v>449</v>
      </c>
      <c r="H1173" s="605">
        <v>-6.0000000000000001E-3</v>
      </c>
      <c r="I1173" s="995"/>
      <c r="J1173" s="996"/>
      <c r="K1173" s="997"/>
      <c r="L1173" s="99"/>
      <c r="M1173" s="100"/>
    </row>
    <row r="1174" spans="4:13">
      <c r="D1174" s="89"/>
      <c r="E1174" s="603">
        <v>45451</v>
      </c>
      <c r="F1174" s="605">
        <v>-5.0000000000000001E-3</v>
      </c>
      <c r="G1174" s="605" t="s">
        <v>782</v>
      </c>
      <c r="H1174" s="605">
        <v>1E-3</v>
      </c>
      <c r="I1174" s="995"/>
      <c r="J1174" s="996"/>
      <c r="K1174" s="997"/>
      <c r="L1174" s="101"/>
      <c r="M1174" s="100"/>
    </row>
    <row r="1175" spans="4:13">
      <c r="D1175" s="89" t="s">
        <v>105</v>
      </c>
      <c r="E1175" s="603">
        <v>45426</v>
      </c>
      <c r="F1175" s="605">
        <v>-5.0000000000000001E-3</v>
      </c>
      <c r="G1175" s="605" t="s">
        <v>454</v>
      </c>
      <c r="H1175" s="605">
        <v>0</v>
      </c>
      <c r="I1175" s="995"/>
      <c r="J1175" s="996"/>
      <c r="K1175" s="997"/>
      <c r="L1175" s="99"/>
      <c r="M1175" s="100"/>
    </row>
    <row r="1176" spans="4:13">
      <c r="D1176" s="89"/>
      <c r="E1176" s="603">
        <v>45360</v>
      </c>
      <c r="F1176" s="605">
        <v>1E-3</v>
      </c>
      <c r="G1176" s="605" t="s">
        <v>456</v>
      </c>
      <c r="H1176" s="605">
        <v>-7.0000000000000001E-3</v>
      </c>
      <c r="I1176" s="995"/>
      <c r="J1176" s="996"/>
      <c r="K1176" s="997"/>
      <c r="L1176" s="99"/>
      <c r="M1176" s="100"/>
    </row>
    <row r="1177" spans="4:13" ht="20" thickBot="1">
      <c r="D1177" s="89">
        <v>1</v>
      </c>
      <c r="E1177" s="603">
        <v>45335</v>
      </c>
      <c r="F1177" s="605">
        <v>-1E-3</v>
      </c>
      <c r="G1177" s="605" t="s">
        <v>460</v>
      </c>
      <c r="H1177" s="605">
        <v>-8.0000000000000002E-3</v>
      </c>
      <c r="I1177" s="998"/>
      <c r="J1177" s="999"/>
      <c r="K1177" s="1000"/>
      <c r="L1177" s="102"/>
      <c r="M1177" s="103"/>
    </row>
    <row r="1178" spans="4:13" ht="25" thickBot="1">
      <c r="D1178" s="88" t="s">
        <v>105</v>
      </c>
      <c r="E1178" s="598" t="s">
        <v>30</v>
      </c>
      <c r="F1178" s="1102" t="s">
        <v>961</v>
      </c>
      <c r="G1178" s="1103"/>
      <c r="H1178" s="1104"/>
      <c r="I1178" s="1128" t="s">
        <v>633</v>
      </c>
      <c r="J1178" s="1129"/>
      <c r="K1178" s="1130"/>
      <c r="L1178" s="158" t="s">
        <v>430</v>
      </c>
      <c r="M1178" s="105" t="s">
        <v>431</v>
      </c>
    </row>
    <row r="1179" spans="4:13">
      <c r="D1179" s="89"/>
      <c r="E1179" s="599" t="s">
        <v>432</v>
      </c>
      <c r="F1179" s="1105"/>
      <c r="G1179" s="1106"/>
      <c r="H1179" s="1107"/>
      <c r="I1179" s="995" t="s">
        <v>962</v>
      </c>
      <c r="J1179" s="996"/>
      <c r="K1179" s="997"/>
      <c r="L1179" s="99"/>
      <c r="M1179" s="100"/>
    </row>
    <row r="1180" spans="4:13">
      <c r="D1180" s="89"/>
      <c r="E1180" s="600" t="s">
        <v>433</v>
      </c>
      <c r="F1180" s="1111">
        <v>1E-3</v>
      </c>
      <c r="G1180" s="1112"/>
      <c r="H1180" s="1113"/>
      <c r="I1180" s="995"/>
      <c r="J1180" s="996"/>
      <c r="K1180" s="997"/>
      <c r="L1180" s="99"/>
      <c r="M1180" s="100"/>
    </row>
    <row r="1181" spans="4:13" ht="20" thickBot="1">
      <c r="D1181" s="89"/>
      <c r="E1181" s="600" t="s">
        <v>434</v>
      </c>
      <c r="F1181" s="1111">
        <v>7.0000000000000001E-3</v>
      </c>
      <c r="G1181" s="1112"/>
      <c r="H1181" s="1113"/>
      <c r="I1181" s="995"/>
      <c r="J1181" s="996"/>
      <c r="K1181" s="997"/>
      <c r="L1181" s="99"/>
      <c r="M1181" s="100"/>
    </row>
    <row r="1182" spans="4:13" ht="20" thickBot="1">
      <c r="D1182" s="89"/>
      <c r="E1182" s="601" t="s">
        <v>435</v>
      </c>
      <c r="F1182" s="1114">
        <v>0.29166666666666674</v>
      </c>
      <c r="G1182" s="1115"/>
      <c r="H1182" s="1116"/>
      <c r="I1182" s="995"/>
      <c r="J1182" s="996"/>
      <c r="K1182" s="997"/>
      <c r="L1182" s="106">
        <v>0.52083333333333337</v>
      </c>
      <c r="M1182" s="107">
        <v>0.375</v>
      </c>
    </row>
    <row r="1183" spans="4:13" ht="20" thickBot="1">
      <c r="D1183" s="89"/>
      <c r="E1183" s="602" t="s">
        <v>436</v>
      </c>
      <c r="F1183" s="252" t="s">
        <v>29</v>
      </c>
      <c r="G1183" s="252" t="s">
        <v>28</v>
      </c>
      <c r="H1183" s="253" t="s">
        <v>27</v>
      </c>
      <c r="I1183" s="995"/>
      <c r="J1183" s="996"/>
      <c r="K1183" s="997"/>
      <c r="L1183" s="99"/>
      <c r="M1183" s="100"/>
    </row>
    <row r="1184" spans="4:13">
      <c r="D1184" s="89" t="s">
        <v>105</v>
      </c>
      <c r="E1184" s="603">
        <v>45565</v>
      </c>
      <c r="F1184" s="345">
        <v>7.0000000000000001E-3</v>
      </c>
      <c r="G1184" s="345" t="s">
        <v>459</v>
      </c>
      <c r="H1184" s="345">
        <v>3.0000000000000001E-3</v>
      </c>
      <c r="I1184" s="995"/>
      <c r="J1184" s="996"/>
      <c r="K1184" s="997"/>
      <c r="L1184" s="99"/>
      <c r="M1184" s="203">
        <v>0.14583333333333337</v>
      </c>
    </row>
    <row r="1185" spans="4:13">
      <c r="D1185" s="89" t="s">
        <v>105</v>
      </c>
      <c r="E1185" s="603">
        <v>45519</v>
      </c>
      <c r="F1185" s="345">
        <v>8.9999999999999993E-3</v>
      </c>
      <c r="G1185" s="345" t="s">
        <v>459</v>
      </c>
      <c r="H1185" s="345">
        <v>3.0000000000000001E-3</v>
      </c>
      <c r="I1185" s="995"/>
      <c r="J1185" s="996"/>
      <c r="K1185" s="997"/>
      <c r="L1185" s="99"/>
      <c r="M1185" s="100"/>
    </row>
    <row r="1186" spans="4:13">
      <c r="D1186" s="89"/>
      <c r="E1186" s="603">
        <v>45471</v>
      </c>
      <c r="F1186" s="345">
        <v>3.0000000000000001E-3</v>
      </c>
      <c r="G1186" s="345" t="s">
        <v>460</v>
      </c>
      <c r="H1186" s="345">
        <v>-2E-3</v>
      </c>
      <c r="I1186" s="995"/>
      <c r="J1186" s="996"/>
      <c r="K1186" s="997"/>
      <c r="L1186" s="101"/>
      <c r="M1186" s="100"/>
    </row>
    <row r="1187" spans="4:13">
      <c r="D1187" s="89" t="s">
        <v>105</v>
      </c>
      <c r="E1187" s="603">
        <v>45422</v>
      </c>
      <c r="F1187" s="345">
        <v>2E-3</v>
      </c>
      <c r="G1187" s="345" t="s">
        <v>458</v>
      </c>
      <c r="H1187" s="345">
        <v>-2E-3</v>
      </c>
      <c r="I1187" s="995"/>
      <c r="J1187" s="996"/>
      <c r="K1187" s="997"/>
      <c r="L1187" s="99"/>
      <c r="M1187" s="100"/>
    </row>
    <row r="1188" spans="4:13">
      <c r="D1188" s="89" t="s">
        <v>105</v>
      </c>
      <c r="E1188" s="603">
        <v>45379</v>
      </c>
      <c r="F1188" s="345">
        <v>-2E-3</v>
      </c>
      <c r="G1188" s="345" t="s">
        <v>461</v>
      </c>
      <c r="H1188" s="345">
        <v>3.0000000000000001E-3</v>
      </c>
      <c r="I1188" s="995"/>
      <c r="J1188" s="996"/>
      <c r="K1188" s="997"/>
      <c r="L1188" s="99"/>
      <c r="M1188" s="100"/>
    </row>
    <row r="1189" spans="4:13" ht="20" thickBot="1">
      <c r="D1189" s="89" t="s">
        <v>105</v>
      </c>
      <c r="E1189" s="603">
        <v>45337</v>
      </c>
      <c r="F1189" s="345">
        <v>-2E-3</v>
      </c>
      <c r="G1189" s="345" t="s">
        <v>462</v>
      </c>
      <c r="H1189" s="345">
        <v>2E-3</v>
      </c>
      <c r="I1189" s="998"/>
      <c r="J1189" s="999"/>
      <c r="K1189" s="1000"/>
      <c r="L1189" s="102"/>
      <c r="M1189" s="103"/>
    </row>
    <row r="1190" spans="4:13" ht="25" thickBot="1">
      <c r="D1190" s="88" t="s">
        <v>105</v>
      </c>
      <c r="E1190" s="598" t="s">
        <v>30</v>
      </c>
      <c r="F1190" s="1102" t="s">
        <v>963</v>
      </c>
      <c r="G1190" s="1103"/>
      <c r="H1190" s="1104"/>
      <c r="I1190" s="1128" t="s">
        <v>633</v>
      </c>
      <c r="J1190" s="1129"/>
      <c r="K1190" s="1130"/>
      <c r="L1190" s="158" t="s">
        <v>430</v>
      </c>
      <c r="M1190" s="105" t="s">
        <v>431</v>
      </c>
    </row>
    <row r="1191" spans="4:13">
      <c r="D1191" s="89"/>
      <c r="E1191" s="599" t="s">
        <v>432</v>
      </c>
      <c r="F1191" s="1132"/>
      <c r="G1191" s="1133"/>
      <c r="H1191" s="1134"/>
      <c r="I1191" s="995" t="s">
        <v>964</v>
      </c>
      <c r="J1191" s="996"/>
      <c r="K1191" s="997"/>
      <c r="L1191" s="99"/>
      <c r="M1191" s="100"/>
    </row>
    <row r="1192" spans="4:13">
      <c r="D1192" s="89"/>
      <c r="E1192" s="600" t="s">
        <v>433</v>
      </c>
      <c r="F1192" s="1111">
        <v>2E-3</v>
      </c>
      <c r="G1192" s="1112"/>
      <c r="H1192" s="1113"/>
      <c r="I1192" s="995"/>
      <c r="J1192" s="996"/>
      <c r="K1192" s="997"/>
      <c r="L1192" s="99"/>
      <c r="M1192" s="100"/>
    </row>
    <row r="1193" spans="4:13" ht="20" thickBot="1">
      <c r="D1193" s="89"/>
      <c r="E1193" s="600" t="s">
        <v>434</v>
      </c>
      <c r="F1193" s="1111">
        <v>2E-3</v>
      </c>
      <c r="G1193" s="1112"/>
      <c r="H1193" s="1113"/>
      <c r="I1193" s="995"/>
      <c r="J1193" s="996"/>
      <c r="K1193" s="997"/>
      <c r="L1193" s="99"/>
      <c r="M1193" s="100"/>
    </row>
    <row r="1194" spans="4:13" ht="20" thickBot="1">
      <c r="D1194" s="89"/>
      <c r="E1194" s="601" t="s">
        <v>435</v>
      </c>
      <c r="F1194" s="1114">
        <v>0.29166666666666674</v>
      </c>
      <c r="G1194" s="1115"/>
      <c r="H1194" s="1116"/>
      <c r="I1194" s="995"/>
      <c r="J1194" s="996"/>
      <c r="K1194" s="997"/>
      <c r="L1194" s="106">
        <v>0.52083333333333337</v>
      </c>
      <c r="M1194" s="107">
        <v>0.375</v>
      </c>
    </row>
    <row r="1195" spans="4:13" ht="20" thickBot="1">
      <c r="D1195" s="89"/>
      <c r="E1195" s="602" t="s">
        <v>436</v>
      </c>
      <c r="F1195" s="252" t="s">
        <v>29</v>
      </c>
      <c r="G1195" s="252" t="s">
        <v>28</v>
      </c>
      <c r="H1195" s="253" t="s">
        <v>27</v>
      </c>
      <c r="I1195" s="995"/>
      <c r="J1195" s="996"/>
      <c r="K1195" s="997"/>
      <c r="L1195" s="99"/>
      <c r="M1195" s="100"/>
    </row>
    <row r="1196" spans="4:13">
      <c r="D1196" s="89"/>
      <c r="E1196" s="603">
        <v>45565</v>
      </c>
      <c r="F1196" s="341">
        <v>5.0000000000000001E-3</v>
      </c>
      <c r="G1196" s="341" t="s">
        <v>449</v>
      </c>
      <c r="H1196" s="341">
        <v>7.0000000000000001E-3</v>
      </c>
      <c r="I1196" s="995"/>
      <c r="J1196" s="996"/>
      <c r="K1196" s="997"/>
      <c r="L1196" s="99"/>
      <c r="M1196" s="100"/>
    </row>
    <row r="1197" spans="4:13">
      <c r="D1197" s="89"/>
      <c r="E1197" s="603">
        <v>45519</v>
      </c>
      <c r="F1197" s="341">
        <v>6.0000000000000001E-3</v>
      </c>
      <c r="G1197" s="341" t="s">
        <v>449</v>
      </c>
      <c r="H1197" s="341">
        <v>7.0000000000000001E-3</v>
      </c>
      <c r="I1197" s="995"/>
      <c r="J1197" s="996"/>
      <c r="K1197" s="997"/>
      <c r="L1197" s="99"/>
      <c r="M1197" s="100"/>
    </row>
    <row r="1198" spans="4:13">
      <c r="D1198" s="89"/>
      <c r="E1198" s="603">
        <v>45471</v>
      </c>
      <c r="F1198" s="341">
        <v>7.0000000000000001E-3</v>
      </c>
      <c r="G1198" s="341" t="s">
        <v>449</v>
      </c>
      <c r="H1198" s="341">
        <v>-3.0000000000000001E-3</v>
      </c>
      <c r="I1198" s="995"/>
      <c r="J1198" s="996"/>
      <c r="K1198" s="997"/>
      <c r="L1198" s="101"/>
      <c r="M1198" s="100"/>
    </row>
    <row r="1199" spans="4:13">
      <c r="D1199" s="89"/>
      <c r="E1199" s="603">
        <v>45422</v>
      </c>
      <c r="F1199" s="341">
        <v>6.0000000000000001E-3</v>
      </c>
      <c r="G1199" s="341" t="s">
        <v>452</v>
      </c>
      <c r="H1199" s="341">
        <v>-3.0000000000000001E-3</v>
      </c>
      <c r="I1199" s="995"/>
      <c r="J1199" s="996"/>
      <c r="K1199" s="997"/>
      <c r="L1199" s="99"/>
      <c r="M1199" s="100"/>
    </row>
    <row r="1200" spans="4:13">
      <c r="D1200" s="89"/>
      <c r="E1200" s="603">
        <v>45379</v>
      </c>
      <c r="F1200" s="341">
        <v>-3.0000000000000001E-3</v>
      </c>
      <c r="G1200" s="341" t="s">
        <v>454</v>
      </c>
      <c r="H1200" s="341">
        <v>-1E-3</v>
      </c>
      <c r="I1200" s="995"/>
      <c r="J1200" s="996"/>
      <c r="K1200" s="997"/>
      <c r="L1200" s="99"/>
      <c r="M1200" s="100"/>
    </row>
    <row r="1201" spans="4:13" ht="20" thickBot="1">
      <c r="D1201" s="89"/>
      <c r="E1201" s="603">
        <v>45337</v>
      </c>
      <c r="F1201" s="341">
        <v>-3.0000000000000001E-3</v>
      </c>
      <c r="G1201" s="341" t="s">
        <v>456</v>
      </c>
      <c r="H1201" s="341">
        <v>-1E-3</v>
      </c>
      <c r="I1201" s="998"/>
      <c r="J1201" s="999"/>
      <c r="K1201" s="1000"/>
      <c r="L1201" s="102"/>
      <c r="M1201" s="103"/>
    </row>
    <row r="1202" spans="4:13" ht="25" thickBot="1">
      <c r="D1202" s="88" t="s">
        <v>105</v>
      </c>
      <c r="E1202" s="598" t="s">
        <v>30</v>
      </c>
      <c r="F1202" s="1102" t="s">
        <v>965</v>
      </c>
      <c r="G1202" s="1103"/>
      <c r="H1202" s="1104"/>
      <c r="I1202" s="1131" t="s">
        <v>633</v>
      </c>
      <c r="J1202" s="1129"/>
      <c r="K1202" s="1130"/>
      <c r="L1202" s="158" t="s">
        <v>430</v>
      </c>
      <c r="M1202" s="105" t="s">
        <v>431</v>
      </c>
    </row>
    <row r="1203" spans="4:13">
      <c r="D1203" s="89"/>
      <c r="E1203" s="599" t="s">
        <v>432</v>
      </c>
      <c r="F1203" s="1105"/>
      <c r="G1203" s="1106"/>
      <c r="H1203" s="1107"/>
      <c r="I1203" s="995" t="s">
        <v>966</v>
      </c>
      <c r="J1203" s="996"/>
      <c r="K1203" s="997"/>
      <c r="L1203" s="99"/>
      <c r="M1203" s="100"/>
    </row>
    <row r="1204" spans="4:13">
      <c r="D1204" s="89"/>
      <c r="E1204" s="600" t="s">
        <v>433</v>
      </c>
      <c r="F1204" s="1111">
        <v>2E-3</v>
      </c>
      <c r="G1204" s="1112"/>
      <c r="H1204" s="1113"/>
      <c r="I1204" s="995"/>
      <c r="J1204" s="996"/>
      <c r="K1204" s="997"/>
      <c r="L1204" s="99"/>
      <c r="M1204" s="100"/>
    </row>
    <row r="1205" spans="4:13" ht="20" thickBot="1">
      <c r="D1205" s="89"/>
      <c r="E1205" s="600" t="s">
        <v>434</v>
      </c>
      <c r="F1205" s="1111">
        <v>5.0000000000000001E-3</v>
      </c>
      <c r="G1205" s="1112"/>
      <c r="H1205" s="1113"/>
      <c r="I1205" s="995"/>
      <c r="J1205" s="996"/>
      <c r="K1205" s="997"/>
      <c r="L1205" s="99"/>
      <c r="M1205" s="100"/>
    </row>
    <row r="1206" spans="4:13" ht="20" thickBot="1">
      <c r="D1206" s="89"/>
      <c r="E1206" s="601" t="s">
        <v>435</v>
      </c>
      <c r="F1206" s="1114">
        <v>0.29166666666666674</v>
      </c>
      <c r="G1206" s="1115"/>
      <c r="H1206" s="1116"/>
      <c r="I1206" s="995"/>
      <c r="J1206" s="996"/>
      <c r="K1206" s="997"/>
      <c r="L1206" s="106">
        <v>0.52083333333333337</v>
      </c>
      <c r="M1206" s="107">
        <v>0.375</v>
      </c>
    </row>
    <row r="1207" spans="4:13" ht="20" thickBot="1">
      <c r="D1207" s="89"/>
      <c r="E1207" s="602" t="s">
        <v>436</v>
      </c>
      <c r="F1207" s="252" t="s">
        <v>29</v>
      </c>
      <c r="G1207" s="252" t="s">
        <v>28</v>
      </c>
      <c r="H1207" s="253" t="s">
        <v>27</v>
      </c>
      <c r="I1207" s="995"/>
      <c r="J1207" s="996"/>
      <c r="K1207" s="997"/>
      <c r="L1207" s="99"/>
      <c r="M1207" s="203"/>
    </row>
    <row r="1208" spans="4:13">
      <c r="D1208" s="89"/>
      <c r="E1208" s="603">
        <v>45565</v>
      </c>
      <c r="F1208" s="341">
        <v>5.0000000000000001E-3</v>
      </c>
      <c r="G1208" s="341" t="s">
        <v>449</v>
      </c>
      <c r="H1208" s="341">
        <v>7.0000000000000001E-3</v>
      </c>
      <c r="I1208" s="995"/>
      <c r="J1208" s="996"/>
      <c r="K1208" s="997"/>
      <c r="L1208" s="99"/>
      <c r="M1208" s="100"/>
    </row>
    <row r="1209" spans="4:13">
      <c r="D1209" s="89"/>
      <c r="E1209" s="603">
        <v>45519</v>
      </c>
      <c r="F1209" s="341">
        <v>6.0000000000000001E-3</v>
      </c>
      <c r="G1209" s="341" t="s">
        <v>449</v>
      </c>
      <c r="H1209" s="341">
        <v>7.0000000000000001E-3</v>
      </c>
      <c r="I1209" s="995"/>
      <c r="J1209" s="996"/>
      <c r="K1209" s="997"/>
      <c r="L1209" s="99"/>
      <c r="M1209" s="100"/>
    </row>
    <row r="1210" spans="4:13">
      <c r="D1210" s="89"/>
      <c r="E1210" s="603">
        <v>45471</v>
      </c>
      <c r="F1210" s="341">
        <v>7.0000000000000001E-3</v>
      </c>
      <c r="G1210" s="341" t="s">
        <v>449</v>
      </c>
      <c r="H1210" s="341">
        <v>-3.0000000000000001E-3</v>
      </c>
      <c r="I1210" s="995"/>
      <c r="J1210" s="996"/>
      <c r="K1210" s="997"/>
      <c r="L1210" s="101"/>
      <c r="M1210" s="100"/>
    </row>
    <row r="1211" spans="4:13">
      <c r="D1211" s="89"/>
      <c r="E1211" s="603">
        <v>45422</v>
      </c>
      <c r="F1211" s="341">
        <v>6.0000000000000001E-3</v>
      </c>
      <c r="G1211" s="341" t="s">
        <v>452</v>
      </c>
      <c r="H1211" s="341">
        <v>-3.0000000000000001E-3</v>
      </c>
      <c r="I1211" s="995"/>
      <c r="J1211" s="996"/>
      <c r="K1211" s="997"/>
      <c r="L1211" s="99"/>
      <c r="M1211" s="100"/>
    </row>
    <row r="1212" spans="4:13">
      <c r="D1212" s="89"/>
      <c r="E1212" s="603">
        <v>45379</v>
      </c>
      <c r="F1212" s="341">
        <v>-3.0000000000000001E-3</v>
      </c>
      <c r="G1212" s="341" t="s">
        <v>454</v>
      </c>
      <c r="H1212" s="341">
        <v>-1E-3</v>
      </c>
      <c r="I1212" s="995"/>
      <c r="J1212" s="996"/>
      <c r="K1212" s="997"/>
      <c r="L1212" s="99"/>
      <c r="M1212" s="100"/>
    </row>
    <row r="1213" spans="4:13" ht="20" thickBot="1">
      <c r="D1213" s="89"/>
      <c r="E1213" s="603">
        <v>45337</v>
      </c>
      <c r="F1213" s="341">
        <v>-3.0000000000000001E-3</v>
      </c>
      <c r="G1213" s="341" t="s">
        <v>456</v>
      </c>
      <c r="H1213" s="341">
        <v>-1E-3</v>
      </c>
      <c r="I1213" s="998"/>
      <c r="J1213" s="999"/>
      <c r="K1213" s="1000"/>
      <c r="L1213" s="102"/>
      <c r="M1213" s="103"/>
    </row>
    <row r="1214" spans="4:13" ht="25" thickBot="1">
      <c r="D1214" s="88" t="s">
        <v>105</v>
      </c>
      <c r="E1214" s="598" t="s">
        <v>30</v>
      </c>
      <c r="F1214" s="1102" t="s">
        <v>967</v>
      </c>
      <c r="G1214" s="1103"/>
      <c r="H1214" s="1104"/>
      <c r="I1214" s="1131" t="s">
        <v>633</v>
      </c>
      <c r="J1214" s="1129"/>
      <c r="K1214" s="1130"/>
      <c r="L1214" s="158" t="s">
        <v>430</v>
      </c>
      <c r="M1214" s="105" t="s">
        <v>431</v>
      </c>
    </row>
    <row r="1215" spans="4:13">
      <c r="D1215" s="89"/>
      <c r="E1215" s="599" t="s">
        <v>432</v>
      </c>
      <c r="F1215" s="1105"/>
      <c r="G1215" s="1106"/>
      <c r="H1215" s="1107"/>
      <c r="I1215" s="995" t="s">
        <v>691</v>
      </c>
      <c r="J1215" s="996"/>
      <c r="K1215" s="997"/>
      <c r="L1215" s="99"/>
      <c r="M1215" s="100"/>
    </row>
    <row r="1216" spans="4:13">
      <c r="D1216" s="89"/>
      <c r="E1216" s="600" t="s">
        <v>433</v>
      </c>
      <c r="F1216" s="1111">
        <v>2E-3</v>
      </c>
      <c r="G1216" s="1112"/>
      <c r="H1216" s="1113"/>
      <c r="I1216" s="995"/>
      <c r="J1216" s="996"/>
      <c r="K1216" s="997"/>
      <c r="L1216" s="99"/>
      <c r="M1216" s="100"/>
    </row>
    <row r="1217" spans="4:13" ht="20" thickBot="1">
      <c r="D1217" s="89"/>
      <c r="E1217" s="600" t="s">
        <v>434</v>
      </c>
      <c r="F1217" s="1111">
        <v>5.0000000000000001E-3</v>
      </c>
      <c r="G1217" s="1112"/>
      <c r="H1217" s="1113"/>
      <c r="I1217" s="995"/>
      <c r="J1217" s="996"/>
      <c r="K1217" s="997"/>
      <c r="L1217" s="99"/>
      <c r="M1217" s="100"/>
    </row>
    <row r="1218" spans="4:13" ht="20" thickBot="1">
      <c r="D1218" s="89"/>
      <c r="E1218" s="601" t="s">
        <v>435</v>
      </c>
      <c r="F1218" s="1114">
        <v>0.5625</v>
      </c>
      <c r="G1218" s="1115"/>
      <c r="H1218" s="1116"/>
      <c r="I1218" s="995"/>
      <c r="J1218" s="996"/>
      <c r="K1218" s="997"/>
      <c r="L1218" s="106">
        <v>0.79166666666666663</v>
      </c>
      <c r="M1218" s="107">
        <v>0.64583333333333326</v>
      </c>
    </row>
    <row r="1219" spans="4:13" ht="20" thickBot="1">
      <c r="D1219" s="89"/>
      <c r="E1219" s="602" t="s">
        <v>436</v>
      </c>
      <c r="F1219" s="252" t="s">
        <v>29</v>
      </c>
      <c r="G1219" s="252" t="s">
        <v>28</v>
      </c>
      <c r="H1219" s="253" t="s">
        <v>27</v>
      </c>
      <c r="I1219" s="995"/>
      <c r="J1219" s="996"/>
      <c r="K1219" s="997"/>
      <c r="L1219" s="99"/>
      <c r="M1219" s="100"/>
    </row>
    <row r="1220" spans="4:13">
      <c r="D1220" s="89"/>
      <c r="E1220" s="603">
        <v>45582</v>
      </c>
      <c r="F1220" s="341">
        <v>5.0000000000000001E-3</v>
      </c>
      <c r="G1220" s="341" t="s">
        <v>462</v>
      </c>
      <c r="H1220" s="341">
        <v>2E-3</v>
      </c>
      <c r="I1220" s="995"/>
      <c r="J1220" s="996"/>
      <c r="K1220" s="997"/>
      <c r="L1220" s="99"/>
      <c r="M1220" s="100"/>
    </row>
    <row r="1221" spans="4:13">
      <c r="D1221" s="89"/>
      <c r="E1221" s="603">
        <v>45552</v>
      </c>
      <c r="F1221" s="341">
        <v>1E-3</v>
      </c>
      <c r="G1221" s="341" t="s">
        <v>460</v>
      </c>
      <c r="H1221" s="341">
        <v>4.0000000000000001E-3</v>
      </c>
      <c r="I1221" s="995"/>
      <c r="J1221" s="996"/>
      <c r="K1221" s="997"/>
      <c r="L1221" s="99"/>
      <c r="M1221" s="100"/>
    </row>
    <row r="1222" spans="4:13">
      <c r="D1222" s="89"/>
      <c r="E1222" s="603">
        <v>45519</v>
      </c>
      <c r="F1222" s="341">
        <v>4.0000000000000001E-3</v>
      </c>
      <c r="G1222" s="341" t="s">
        <v>462</v>
      </c>
      <c r="H1222" s="341">
        <v>5.0000000000000001E-3</v>
      </c>
      <c r="I1222" s="995"/>
      <c r="J1222" s="996"/>
      <c r="K1222" s="997"/>
      <c r="L1222" s="101"/>
      <c r="M1222" s="100"/>
    </row>
    <row r="1223" spans="4:13">
      <c r="D1223" s="89"/>
      <c r="E1223" s="603">
        <v>45489</v>
      </c>
      <c r="F1223" s="341">
        <v>4.0000000000000001E-3</v>
      </c>
      <c r="G1223" s="341" t="s">
        <v>462</v>
      </c>
      <c r="H1223" s="341">
        <v>1E-3</v>
      </c>
      <c r="I1223" s="995"/>
      <c r="J1223" s="996"/>
      <c r="K1223" s="997"/>
      <c r="L1223" s="99"/>
      <c r="M1223" s="100"/>
    </row>
    <row r="1224" spans="4:13">
      <c r="D1224" s="89"/>
      <c r="E1224" s="603">
        <v>45461</v>
      </c>
      <c r="F1224" s="341">
        <v>-1E-3</v>
      </c>
      <c r="G1224" s="341" t="s">
        <v>460</v>
      </c>
      <c r="H1224" s="341">
        <v>-1E-3</v>
      </c>
      <c r="I1224" s="995"/>
      <c r="J1224" s="996"/>
      <c r="K1224" s="997"/>
      <c r="L1224" s="99"/>
      <c r="M1224" s="100"/>
    </row>
    <row r="1225" spans="4:13" ht="20" thickBot="1">
      <c r="D1225" s="89"/>
      <c r="E1225" s="603">
        <v>45427</v>
      </c>
      <c r="F1225" s="341">
        <v>2E-3</v>
      </c>
      <c r="G1225" s="341" t="s">
        <v>460</v>
      </c>
      <c r="H1225" s="341">
        <v>8.9999999999999993E-3</v>
      </c>
      <c r="I1225" s="998"/>
      <c r="J1225" s="999"/>
      <c r="K1225" s="1000"/>
      <c r="L1225" s="102"/>
      <c r="M1225" s="103"/>
    </row>
    <row r="1226" spans="4:13" ht="25" thickBot="1">
      <c r="D1226" s="88" t="s">
        <v>105</v>
      </c>
      <c r="E1226" s="598" t="s">
        <v>30</v>
      </c>
      <c r="F1226" s="1102" t="s">
        <v>968</v>
      </c>
      <c r="G1226" s="1103"/>
      <c r="H1226" s="1104"/>
      <c r="I1226" s="1131" t="s">
        <v>633</v>
      </c>
      <c r="J1226" s="1129"/>
      <c r="K1226" s="1130"/>
      <c r="L1226" s="158" t="s">
        <v>430</v>
      </c>
      <c r="M1226" s="105" t="s">
        <v>431</v>
      </c>
    </row>
    <row r="1227" spans="4:13">
      <c r="D1227" s="89"/>
      <c r="E1227" s="599" t="s">
        <v>432</v>
      </c>
      <c r="F1227" s="1105"/>
      <c r="G1227" s="1106"/>
      <c r="H1227" s="1107"/>
      <c r="I1227" s="995" t="s">
        <v>969</v>
      </c>
      <c r="J1227" s="996"/>
      <c r="K1227" s="997"/>
      <c r="L1227" s="99"/>
      <c r="M1227" s="100"/>
    </row>
    <row r="1228" spans="4:13">
      <c r="D1228" s="89"/>
      <c r="E1228" s="600" t="s">
        <v>433</v>
      </c>
      <c r="F1228" s="1111">
        <v>3.0000000000000001E-3</v>
      </c>
      <c r="G1228" s="1112"/>
      <c r="H1228" s="1113"/>
      <c r="I1228" s="995"/>
      <c r="J1228" s="996"/>
      <c r="K1228" s="997"/>
      <c r="L1228" s="99"/>
      <c r="M1228" s="100"/>
    </row>
    <row r="1229" spans="4:13" ht="20" thickBot="1">
      <c r="D1229" s="89"/>
      <c r="E1229" s="600" t="s">
        <v>434</v>
      </c>
      <c r="F1229" s="1111">
        <v>4.0000000000000001E-3</v>
      </c>
      <c r="G1229" s="1112"/>
      <c r="H1229" s="1113"/>
      <c r="I1229" s="995"/>
      <c r="J1229" s="996"/>
      <c r="K1229" s="997"/>
      <c r="L1229" s="99"/>
      <c r="M1229" s="100"/>
    </row>
    <row r="1230" spans="4:13" ht="20" thickBot="1">
      <c r="D1230" s="89"/>
      <c r="E1230" s="601" t="s">
        <v>435</v>
      </c>
      <c r="F1230" s="1114">
        <v>0.5625</v>
      </c>
      <c r="G1230" s="1115"/>
      <c r="H1230" s="1116"/>
      <c r="I1230" s="995"/>
      <c r="J1230" s="996"/>
      <c r="K1230" s="997"/>
      <c r="L1230" s="106">
        <v>0.79166666666666663</v>
      </c>
      <c r="M1230" s="107">
        <v>0.64583333333333326</v>
      </c>
    </row>
    <row r="1231" spans="4:13" ht="20" thickBot="1">
      <c r="D1231" s="89"/>
      <c r="E1231" s="602" t="s">
        <v>436</v>
      </c>
      <c r="F1231" s="252" t="s">
        <v>29</v>
      </c>
      <c r="G1231" s="252" t="s">
        <v>28</v>
      </c>
      <c r="H1231" s="253" t="s">
        <v>27</v>
      </c>
      <c r="I1231" s="995"/>
      <c r="J1231" s="996"/>
      <c r="K1231" s="997"/>
      <c r="L1231" s="99"/>
      <c r="M1231" s="100"/>
    </row>
    <row r="1232" spans="4:13">
      <c r="D1232" s="89"/>
      <c r="E1232" s="603">
        <v>45582</v>
      </c>
      <c r="F1232" s="341">
        <v>4.0000000000000001E-3</v>
      </c>
      <c r="G1232" s="341" t="s">
        <v>467</v>
      </c>
      <c r="H1232" s="341">
        <v>1E-3</v>
      </c>
      <c r="I1232" s="995"/>
      <c r="J1232" s="996"/>
      <c r="K1232" s="997"/>
      <c r="L1232" s="99"/>
      <c r="M1232" s="100"/>
    </row>
    <row r="1233" spans="3:13">
      <c r="D1233" s="89"/>
      <c r="E1233" s="603">
        <v>45552</v>
      </c>
      <c r="F1233" s="341">
        <v>1E-3</v>
      </c>
      <c r="G1233" s="341" t="s">
        <v>461</v>
      </c>
      <c r="H1233" s="341">
        <v>1.0999999999999999E-2</v>
      </c>
      <c r="I1233" s="995"/>
      <c r="J1233" s="996"/>
      <c r="K1233" s="997"/>
      <c r="L1233" s="99"/>
      <c r="M1233" s="100"/>
    </row>
    <row r="1234" spans="3:13">
      <c r="D1234" s="89"/>
      <c r="E1234" s="603">
        <v>45519</v>
      </c>
      <c r="F1234" s="341">
        <v>0.01</v>
      </c>
      <c r="G1234" s="341" t="s">
        <v>452</v>
      </c>
      <c r="H1234" s="341">
        <v>-2E-3</v>
      </c>
      <c r="I1234" s="995"/>
      <c r="J1234" s="996"/>
      <c r="K1234" s="997"/>
      <c r="L1234" s="101"/>
      <c r="M1234" s="100"/>
    </row>
    <row r="1235" spans="3:13">
      <c r="D1235" s="89"/>
      <c r="E1235" s="603">
        <v>45489</v>
      </c>
      <c r="F1235" s="341">
        <v>0</v>
      </c>
      <c r="G1235" s="341" t="s">
        <v>454</v>
      </c>
      <c r="H1235" s="341">
        <v>3.0000000000000001E-3</v>
      </c>
      <c r="I1235" s="995"/>
      <c r="J1235" s="996"/>
      <c r="K1235" s="997"/>
      <c r="L1235" s="99"/>
      <c r="M1235" s="100"/>
    </row>
    <row r="1236" spans="3:13">
      <c r="D1236" s="89"/>
      <c r="E1236" s="603">
        <v>45461</v>
      </c>
      <c r="F1236" s="341">
        <v>1E-3</v>
      </c>
      <c r="G1236" s="341" t="s">
        <v>467</v>
      </c>
      <c r="H1236" s="341">
        <v>-2E-3</v>
      </c>
      <c r="I1236" s="995"/>
      <c r="J1236" s="996"/>
      <c r="K1236" s="997"/>
      <c r="L1236" s="99"/>
      <c r="M1236" s="100"/>
    </row>
    <row r="1237" spans="3:13" ht="20" thickBot="1">
      <c r="D1237" s="89"/>
      <c r="E1237" s="607">
        <v>45427</v>
      </c>
      <c r="F1237" s="609">
        <v>0</v>
      </c>
      <c r="G1237" s="609" t="s">
        <v>452</v>
      </c>
      <c r="H1237" s="609">
        <v>6.0000000000000001E-3</v>
      </c>
      <c r="I1237" s="998"/>
      <c r="J1237" s="999"/>
      <c r="K1237" s="1000"/>
      <c r="L1237" s="102"/>
      <c r="M1237" s="103"/>
    </row>
    <row r="1238" spans="3:13" ht="25" thickBot="1">
      <c r="C1238" t="s">
        <v>105</v>
      </c>
      <c r="D1238" t="s">
        <v>105</v>
      </c>
      <c r="E1238" s="598" t="s">
        <v>30</v>
      </c>
      <c r="F1238" s="1102" t="s">
        <v>1005</v>
      </c>
      <c r="G1238" s="1103"/>
      <c r="H1238" s="1104"/>
      <c r="I1238" s="1131" t="s">
        <v>633</v>
      </c>
      <c r="J1238" s="1129"/>
      <c r="K1238" s="1130"/>
      <c r="L1238" s="158" t="s">
        <v>430</v>
      </c>
      <c r="M1238" s="105" t="s">
        <v>431</v>
      </c>
    </row>
    <row r="1239" spans="3:13">
      <c r="E1239" s="599" t="s">
        <v>432</v>
      </c>
      <c r="F1239" s="1105"/>
      <c r="G1239" s="1106"/>
      <c r="H1239" s="1107"/>
      <c r="I1239" s="995" t="s">
        <v>1006</v>
      </c>
      <c r="J1239" s="996"/>
      <c r="K1239" s="997"/>
      <c r="L1239" s="99"/>
      <c r="M1239" s="100"/>
    </row>
    <row r="1240" spans="3:13">
      <c r="E1240" s="600" t="s">
        <v>433</v>
      </c>
      <c r="F1240" s="1111">
        <v>0.02</v>
      </c>
      <c r="G1240" s="1112"/>
      <c r="H1240" s="1113"/>
      <c r="I1240" s="995"/>
      <c r="J1240" s="996"/>
      <c r="K1240" s="997"/>
      <c r="L1240" s="99"/>
      <c r="M1240" s="100"/>
    </row>
    <row r="1241" spans="3:13" ht="20" thickBot="1">
      <c r="E1241" s="600" t="s">
        <v>434</v>
      </c>
      <c r="F1241" s="1111">
        <v>0.02</v>
      </c>
      <c r="G1241" s="1112"/>
      <c r="H1241" s="1113"/>
      <c r="I1241" s="995"/>
      <c r="J1241" s="996"/>
      <c r="K1241" s="997"/>
      <c r="L1241" s="99"/>
      <c r="M1241" s="100"/>
    </row>
    <row r="1242" spans="3:13" ht="20" thickBot="1">
      <c r="E1242" s="601" t="s">
        <v>435</v>
      </c>
      <c r="F1242" s="1114">
        <v>0.41666666666666674</v>
      </c>
      <c r="G1242" s="1115"/>
      <c r="H1242" s="1116"/>
      <c r="I1242" s="995"/>
      <c r="J1242" s="996"/>
      <c r="K1242" s="997"/>
      <c r="L1242" s="106">
        <v>0.64583333333333337</v>
      </c>
      <c r="M1242" s="107">
        <v>0.5</v>
      </c>
    </row>
    <row r="1243" spans="3:13" ht="20" thickBot="1">
      <c r="E1243" s="602" t="s">
        <v>436</v>
      </c>
      <c r="F1243" s="252" t="s">
        <v>29</v>
      </c>
      <c r="G1243" s="252" t="s">
        <v>28</v>
      </c>
      <c r="H1243" s="253" t="s">
        <v>27</v>
      </c>
      <c r="I1243" s="995"/>
      <c r="J1243" s="996"/>
      <c r="K1243" s="997"/>
      <c r="L1243" s="99"/>
      <c r="M1243" s="100"/>
    </row>
    <row r="1244" spans="3:13">
      <c r="E1244" s="603">
        <v>45596</v>
      </c>
      <c r="F1244" s="345">
        <v>0.02</v>
      </c>
      <c r="G1244" s="345" t="s">
        <v>789</v>
      </c>
      <c r="H1244" s="345">
        <v>1.7000000000000001E-2</v>
      </c>
      <c r="I1244" s="995"/>
      <c r="J1244" s="996"/>
      <c r="K1244" s="997"/>
      <c r="L1244" s="99"/>
      <c r="M1244" s="100"/>
    </row>
    <row r="1245" spans="3:13">
      <c r="E1245" s="603">
        <v>45582</v>
      </c>
      <c r="F1245" s="345">
        <v>1.7000000000000001E-2</v>
      </c>
      <c r="G1245" s="345" t="s">
        <v>895</v>
      </c>
      <c r="H1245" s="345">
        <v>2.1999999999999999E-2</v>
      </c>
      <c r="I1245" s="995"/>
      <c r="J1245" s="996"/>
      <c r="K1245" s="997"/>
      <c r="L1245" s="99"/>
      <c r="M1245" s="100"/>
    </row>
    <row r="1246" spans="3:13">
      <c r="E1246" s="603">
        <v>45566</v>
      </c>
      <c r="F1246" s="345">
        <v>1.7999999999999999E-2</v>
      </c>
      <c r="G1246" s="345" t="s">
        <v>895</v>
      </c>
      <c r="H1246" s="345">
        <v>2.1999999999999999E-2</v>
      </c>
      <c r="I1246" s="995"/>
      <c r="J1246" s="996"/>
      <c r="K1246" s="997"/>
      <c r="L1246" s="101"/>
      <c r="M1246" s="100"/>
    </row>
    <row r="1247" spans="3:13">
      <c r="E1247" s="603">
        <v>45553</v>
      </c>
      <c r="F1247" s="345">
        <v>2.1999999999999999E-2</v>
      </c>
      <c r="G1247" s="345" t="s">
        <v>490</v>
      </c>
      <c r="H1247" s="345">
        <v>2.5999999999999999E-2</v>
      </c>
      <c r="I1247" s="995"/>
      <c r="J1247" s="996"/>
      <c r="K1247" s="997"/>
      <c r="L1247" s="99"/>
      <c r="M1247" s="100"/>
    </row>
    <row r="1248" spans="3:13">
      <c r="E1248" s="603">
        <v>45534</v>
      </c>
      <c r="F1248" s="345">
        <v>2.1999999999999999E-2</v>
      </c>
      <c r="G1248" s="345" t="s">
        <v>490</v>
      </c>
      <c r="H1248" s="345">
        <v>2.5999999999999999E-2</v>
      </c>
      <c r="I1248" s="995"/>
      <c r="J1248" s="996"/>
      <c r="K1248" s="997"/>
      <c r="L1248" s="99"/>
      <c r="M1248" s="100"/>
    </row>
    <row r="1249" spans="4:13" ht="20" thickBot="1">
      <c r="E1249" s="603">
        <v>45524</v>
      </c>
      <c r="F1249" s="345">
        <v>2.5999999999999999E-2</v>
      </c>
      <c r="G1249" s="345" t="s">
        <v>493</v>
      </c>
      <c r="H1249" s="345">
        <v>2.5000000000000001E-2</v>
      </c>
      <c r="I1249" s="998"/>
      <c r="J1249" s="999"/>
      <c r="K1249" s="1000"/>
      <c r="L1249" s="102"/>
      <c r="M1249" s="103"/>
    </row>
    <row r="1250" spans="4:13" ht="25" thickBot="1">
      <c r="E1250" s="598" t="s">
        <v>30</v>
      </c>
      <c r="F1250" s="1102" t="s">
        <v>1007</v>
      </c>
      <c r="G1250" s="1103"/>
      <c r="H1250" s="1104"/>
      <c r="I1250" s="1131" t="s">
        <v>633</v>
      </c>
      <c r="J1250" s="1129"/>
      <c r="K1250" s="1130"/>
      <c r="L1250" s="158" t="s">
        <v>430</v>
      </c>
      <c r="M1250" s="105" t="s">
        <v>431</v>
      </c>
    </row>
    <row r="1251" spans="4:13">
      <c r="E1251" s="599" t="s">
        <v>432</v>
      </c>
      <c r="F1251" s="1105"/>
      <c r="G1251" s="1106"/>
      <c r="H1251" s="1107"/>
      <c r="I1251" s="995" t="s">
        <v>1008</v>
      </c>
      <c r="J1251" s="996"/>
      <c r="K1251" s="997"/>
      <c r="L1251" s="99"/>
      <c r="M1251" s="100"/>
    </row>
    <row r="1252" spans="4:13">
      <c r="E1252" s="600" t="s">
        <v>433</v>
      </c>
      <c r="F1252" s="1111"/>
      <c r="G1252" s="1112"/>
      <c r="H1252" s="1113"/>
      <c r="I1252" s="995"/>
      <c r="J1252" s="996"/>
      <c r="K1252" s="997"/>
      <c r="L1252" s="99"/>
      <c r="M1252" s="100"/>
    </row>
    <row r="1253" spans="4:13" ht="20" thickBot="1">
      <c r="E1253" s="600" t="s">
        <v>434</v>
      </c>
      <c r="F1253" s="1111">
        <v>1.6E-2</v>
      </c>
      <c r="G1253" s="1112"/>
      <c r="H1253" s="1113"/>
      <c r="I1253" s="995"/>
      <c r="J1253" s="996"/>
      <c r="K1253" s="997"/>
      <c r="L1253" s="99"/>
      <c r="M1253" s="100"/>
    </row>
    <row r="1254" spans="4:13" ht="20" thickBot="1">
      <c r="E1254" s="601" t="s">
        <v>435</v>
      </c>
      <c r="F1254" s="1114">
        <v>0.5625</v>
      </c>
      <c r="G1254" s="1115"/>
      <c r="H1254" s="1116"/>
      <c r="I1254" s="995"/>
      <c r="J1254" s="996"/>
      <c r="K1254" s="997"/>
      <c r="L1254" s="106">
        <v>0.79166666666666663</v>
      </c>
      <c r="M1254" s="107">
        <v>0.64583333333333326</v>
      </c>
    </row>
    <row r="1255" spans="4:13" ht="20" thickBot="1">
      <c r="E1255" s="602" t="s">
        <v>436</v>
      </c>
      <c r="F1255" s="252" t="s">
        <v>29</v>
      </c>
      <c r="G1255" s="252" t="s">
        <v>28</v>
      </c>
      <c r="H1255" s="253" t="s">
        <v>27</v>
      </c>
      <c r="I1255" s="995"/>
      <c r="J1255" s="996"/>
      <c r="K1255" s="997"/>
      <c r="L1255" s="99"/>
      <c r="M1255" s="100"/>
    </row>
    <row r="1256" spans="4:13">
      <c r="E1256" s="603">
        <v>45580</v>
      </c>
      <c r="F1256" s="345">
        <v>1.6E-2</v>
      </c>
      <c r="G1256" s="345" t="s">
        <v>895</v>
      </c>
      <c r="H1256" s="345">
        <v>0.02</v>
      </c>
      <c r="I1256" s="995"/>
      <c r="J1256" s="996"/>
      <c r="K1256" s="997"/>
      <c r="L1256" s="99"/>
      <c r="M1256" s="100"/>
    </row>
    <row r="1257" spans="4:13">
      <c r="E1257" s="603">
        <v>45552</v>
      </c>
      <c r="F1257" s="345">
        <v>0.02</v>
      </c>
      <c r="G1257" s="345" t="s">
        <v>754</v>
      </c>
      <c r="H1257" s="345">
        <v>2.5000000000000001E-2</v>
      </c>
      <c r="I1257" s="995"/>
      <c r="J1257" s="996"/>
      <c r="K1257" s="997"/>
      <c r="L1257" s="99"/>
      <c r="M1257" s="100"/>
    </row>
    <row r="1258" spans="4:13">
      <c r="E1258" s="603">
        <v>45524</v>
      </c>
      <c r="F1258" s="345">
        <v>2.5000000000000001E-2</v>
      </c>
      <c r="G1258" s="345" t="s">
        <v>495</v>
      </c>
      <c r="H1258" s="345">
        <v>2.7E-2</v>
      </c>
      <c r="I1258" s="995"/>
      <c r="J1258" s="996"/>
      <c r="K1258" s="997"/>
      <c r="L1258" s="101"/>
      <c r="M1258" s="100"/>
    </row>
    <row r="1259" spans="4:13">
      <c r="E1259" s="603">
        <v>45489</v>
      </c>
      <c r="F1259" s="345">
        <v>2.7E-2</v>
      </c>
      <c r="G1259" s="345" t="s">
        <v>754</v>
      </c>
      <c r="H1259" s="345">
        <v>2.9000000000000001E-2</v>
      </c>
      <c r="I1259" s="995"/>
      <c r="J1259" s="996"/>
      <c r="K1259" s="997"/>
      <c r="L1259" s="99"/>
      <c r="M1259" s="100"/>
    </row>
    <row r="1260" spans="4:13">
      <c r="E1260" s="603">
        <v>45468</v>
      </c>
      <c r="F1260" s="345">
        <v>2.9000000000000001E-2</v>
      </c>
      <c r="G1260" s="345" t="s">
        <v>493</v>
      </c>
      <c r="H1260" s="345">
        <v>2.7E-2</v>
      </c>
      <c r="I1260" s="995"/>
      <c r="J1260" s="996"/>
      <c r="K1260" s="997"/>
      <c r="L1260" s="99"/>
      <c r="M1260" s="100"/>
    </row>
    <row r="1261" spans="4:13" ht="20" thickBot="1">
      <c r="E1261" s="603">
        <v>45433</v>
      </c>
      <c r="F1261" s="345">
        <v>2.7E-2</v>
      </c>
      <c r="G1261" s="345" t="s">
        <v>665</v>
      </c>
      <c r="H1261" s="345">
        <v>2.9000000000000001E-2</v>
      </c>
      <c r="I1261" s="998"/>
      <c r="J1261" s="999"/>
      <c r="K1261" s="1000"/>
      <c r="L1261" s="102"/>
      <c r="M1261" s="103"/>
    </row>
    <row r="1262" spans="4:13" ht="25" thickBot="1">
      <c r="D1262" t="s">
        <v>105</v>
      </c>
      <c r="E1262" s="598" t="s">
        <v>30</v>
      </c>
      <c r="F1262" s="1102" t="s">
        <v>1009</v>
      </c>
      <c r="G1262" s="1103"/>
      <c r="H1262" s="1104"/>
      <c r="I1262" s="1131" t="s">
        <v>633</v>
      </c>
      <c r="J1262" s="1129"/>
      <c r="K1262" s="1130"/>
      <c r="L1262" s="158" t="s">
        <v>430</v>
      </c>
      <c r="M1262" s="105" t="s">
        <v>431</v>
      </c>
    </row>
    <row r="1263" spans="4:13">
      <c r="E1263" s="599" t="s">
        <v>432</v>
      </c>
      <c r="F1263" s="1105"/>
      <c r="G1263" s="1106"/>
      <c r="H1263" s="1107"/>
      <c r="I1263" s="995" t="s">
        <v>1010</v>
      </c>
      <c r="J1263" s="996"/>
      <c r="K1263" s="997"/>
      <c r="L1263" s="99"/>
      <c r="M1263" s="100"/>
    </row>
    <row r="1264" spans="4:13">
      <c r="E1264" s="600" t="s">
        <v>433</v>
      </c>
      <c r="F1264" s="1111"/>
      <c r="G1264" s="1112"/>
      <c r="H1264" s="1113"/>
      <c r="I1264" s="995"/>
      <c r="J1264" s="996"/>
      <c r="K1264" s="997"/>
      <c r="L1264" s="99"/>
      <c r="M1264" s="100"/>
    </row>
    <row r="1265" spans="4:13" ht="20" thickBot="1">
      <c r="E1265" s="600" t="s">
        <v>434</v>
      </c>
      <c r="F1265" s="1111">
        <v>1.7000000000000001E-2</v>
      </c>
      <c r="G1265" s="1112"/>
      <c r="H1265" s="1113"/>
      <c r="I1265" s="995"/>
      <c r="J1265" s="996"/>
      <c r="K1265" s="997"/>
      <c r="L1265" s="99"/>
      <c r="M1265" s="100"/>
    </row>
    <row r="1266" spans="4:13" ht="20" thickBot="1">
      <c r="E1266" s="601" t="s">
        <v>435</v>
      </c>
      <c r="F1266" s="1114">
        <v>0.29166666666666674</v>
      </c>
      <c r="G1266" s="1115"/>
      <c r="H1266" s="1116"/>
      <c r="I1266" s="995"/>
      <c r="J1266" s="996"/>
      <c r="K1266" s="997"/>
      <c r="L1266" s="106">
        <v>0.52083333333333337</v>
      </c>
      <c r="M1266" s="107">
        <v>0.375</v>
      </c>
    </row>
    <row r="1267" spans="4:13" ht="20" thickBot="1">
      <c r="E1267" s="602" t="s">
        <v>436</v>
      </c>
      <c r="F1267" s="252" t="s">
        <v>29</v>
      </c>
      <c r="G1267" s="252" t="s">
        <v>28</v>
      </c>
      <c r="H1267" s="253" t="s">
        <v>27</v>
      </c>
      <c r="I1267" s="995"/>
      <c r="J1267" s="996"/>
      <c r="K1267" s="997"/>
      <c r="L1267" s="99"/>
      <c r="M1267" s="100"/>
    </row>
    <row r="1268" spans="4:13">
      <c r="E1268" s="603">
        <v>45581</v>
      </c>
      <c r="F1268" s="345">
        <v>1.7000000000000001E-2</v>
      </c>
      <c r="G1268" s="345" t="s">
        <v>789</v>
      </c>
      <c r="H1268" s="345">
        <v>2.1999999999999999E-2</v>
      </c>
      <c r="I1268" s="995"/>
      <c r="J1268" s="996"/>
      <c r="K1268" s="997"/>
      <c r="L1268" s="99"/>
      <c r="M1268" s="100"/>
    </row>
    <row r="1269" spans="4:13">
      <c r="E1269" s="603">
        <v>45553</v>
      </c>
      <c r="F1269" s="345">
        <v>2.1999999999999999E-2</v>
      </c>
      <c r="G1269" s="345" t="s">
        <v>490</v>
      </c>
      <c r="H1269" s="345">
        <v>2.1999999999999999E-2</v>
      </c>
      <c r="I1269" s="995"/>
      <c r="J1269" s="996"/>
      <c r="K1269" s="997"/>
      <c r="L1269" s="99"/>
      <c r="M1269" s="100"/>
    </row>
    <row r="1270" spans="4:13">
      <c r="E1270" s="603">
        <v>45518</v>
      </c>
      <c r="F1270" s="345">
        <v>2.1999999999999999E-2</v>
      </c>
      <c r="G1270" s="345" t="s">
        <v>971</v>
      </c>
      <c r="H1270" s="345">
        <v>0.02</v>
      </c>
      <c r="I1270" s="995"/>
      <c r="J1270" s="996"/>
      <c r="K1270" s="997"/>
      <c r="L1270" s="101"/>
      <c r="M1270" s="100"/>
    </row>
    <row r="1271" spans="4:13">
      <c r="E1271" s="603">
        <v>45490</v>
      </c>
      <c r="F1271" s="345">
        <v>0.02</v>
      </c>
      <c r="G1271" s="345" t="s">
        <v>789</v>
      </c>
      <c r="H1271" s="345">
        <v>0.02</v>
      </c>
      <c r="I1271" s="995"/>
      <c r="J1271" s="996"/>
      <c r="K1271" s="997"/>
      <c r="L1271" s="99"/>
      <c r="M1271" s="100"/>
    </row>
    <row r="1272" spans="4:13">
      <c r="E1272" s="603">
        <v>45462</v>
      </c>
      <c r="F1272" s="345">
        <v>0.02</v>
      </c>
      <c r="G1272" s="345" t="s">
        <v>788</v>
      </c>
      <c r="H1272" s="345">
        <v>2.3E-2</v>
      </c>
      <c r="I1272" s="995"/>
      <c r="J1272" s="996"/>
      <c r="K1272" s="997"/>
      <c r="L1272" s="99"/>
      <c r="M1272" s="100"/>
    </row>
    <row r="1273" spans="4:13" ht="20" thickBot="1">
      <c r="E1273" s="603">
        <v>45434</v>
      </c>
      <c r="F1273" s="345">
        <v>2.3E-2</v>
      </c>
      <c r="G1273" s="345" t="s">
        <v>1028</v>
      </c>
      <c r="H1273" s="345">
        <v>3.2000000000000001E-2</v>
      </c>
      <c r="I1273" s="998"/>
      <c r="J1273" s="999"/>
      <c r="K1273" s="1000"/>
      <c r="L1273" s="102"/>
      <c r="M1273" s="103"/>
    </row>
    <row r="1274" spans="4:13" ht="25" thickBot="1">
      <c r="D1274" t="s">
        <v>105</v>
      </c>
      <c r="E1274" s="598" t="s">
        <v>30</v>
      </c>
      <c r="F1274" s="1102" t="s">
        <v>9</v>
      </c>
      <c r="G1274" s="1103"/>
      <c r="H1274" s="1104"/>
      <c r="I1274" s="1131" t="s">
        <v>633</v>
      </c>
      <c r="J1274" s="1129"/>
      <c r="K1274" s="1130"/>
      <c r="L1274" s="158" t="s">
        <v>430</v>
      </c>
      <c r="M1274" s="105" t="s">
        <v>431</v>
      </c>
    </row>
    <row r="1275" spans="4:13">
      <c r="E1275" s="599" t="s">
        <v>432</v>
      </c>
      <c r="F1275" s="1105"/>
      <c r="G1275" s="1106"/>
      <c r="H1275" s="1107"/>
      <c r="I1275" s="995" t="s">
        <v>926</v>
      </c>
      <c r="J1275" s="996"/>
      <c r="K1275" s="997"/>
      <c r="L1275" s="99"/>
      <c r="M1275" s="100"/>
    </row>
    <row r="1276" spans="4:13">
      <c r="E1276" s="600" t="s">
        <v>433</v>
      </c>
      <c r="F1276" s="1111"/>
      <c r="G1276" s="1112"/>
      <c r="H1276" s="1113"/>
      <c r="I1276" s="995"/>
      <c r="J1276" s="996"/>
      <c r="K1276" s="997"/>
      <c r="L1276" s="99"/>
      <c r="M1276" s="100"/>
    </row>
    <row r="1277" spans="4:13" ht="20" thickBot="1">
      <c r="E1277" s="600" t="s">
        <v>434</v>
      </c>
      <c r="F1277" s="1111" t="s">
        <v>1011</v>
      </c>
      <c r="G1277" s="1112"/>
      <c r="H1277" s="1113"/>
      <c r="I1277" s="995"/>
      <c r="J1277" s="996"/>
      <c r="K1277" s="997"/>
      <c r="L1277" s="99"/>
      <c r="M1277" s="100"/>
    </row>
    <row r="1278" spans="4:13" ht="20" thickBot="1">
      <c r="E1278" s="601" t="s">
        <v>435</v>
      </c>
      <c r="F1278" s="1114">
        <v>0.64583333333333337</v>
      </c>
      <c r="G1278" s="1115"/>
      <c r="H1278" s="1116"/>
      <c r="I1278" s="995"/>
      <c r="J1278" s="996"/>
      <c r="K1278" s="997"/>
      <c r="L1278" s="106">
        <v>0.875</v>
      </c>
      <c r="M1278" s="107">
        <v>0.72916666666666663</v>
      </c>
    </row>
    <row r="1279" spans="4:13" ht="20" thickBot="1">
      <c r="E1279" s="602" t="s">
        <v>436</v>
      </c>
      <c r="F1279" s="252" t="s">
        <v>29</v>
      </c>
      <c r="G1279" s="252" t="s">
        <v>28</v>
      </c>
      <c r="H1279" s="253" t="s">
        <v>27</v>
      </c>
      <c r="I1279" s="995"/>
      <c r="J1279" s="996"/>
      <c r="K1279" s="997"/>
      <c r="L1279" s="99"/>
      <c r="M1279" s="100"/>
    </row>
    <row r="1280" spans="4:13">
      <c r="E1280" s="603">
        <v>45610</v>
      </c>
      <c r="F1280" s="604" t="s">
        <v>1029</v>
      </c>
      <c r="G1280" s="604" t="s">
        <v>1030</v>
      </c>
      <c r="H1280" s="604" t="s">
        <v>988</v>
      </c>
      <c r="I1280" s="995"/>
      <c r="J1280" s="996"/>
      <c r="K1280" s="997"/>
      <c r="L1280" s="99"/>
      <c r="M1280" s="100"/>
    </row>
    <row r="1281" spans="5:13">
      <c r="E1281" s="603">
        <v>45602</v>
      </c>
      <c r="F1281" s="604" t="s">
        <v>988</v>
      </c>
      <c r="G1281" s="604" t="s">
        <v>989</v>
      </c>
      <c r="H1281" s="604" t="s">
        <v>990</v>
      </c>
      <c r="I1281" s="995"/>
      <c r="J1281" s="996"/>
      <c r="K1281" s="997"/>
      <c r="L1281" s="99"/>
      <c r="M1281" s="100"/>
    </row>
    <row r="1282" spans="5:13">
      <c r="E1282" s="603">
        <v>45595</v>
      </c>
      <c r="F1282" s="604" t="s">
        <v>990</v>
      </c>
      <c r="G1282" s="604" t="s">
        <v>991</v>
      </c>
      <c r="H1282" s="604" t="s">
        <v>992</v>
      </c>
      <c r="I1282" s="995"/>
      <c r="J1282" s="996"/>
      <c r="K1282" s="997"/>
      <c r="L1282" s="101"/>
      <c r="M1282" s="100"/>
    </row>
    <row r="1283" spans="5:13">
      <c r="E1283" s="603">
        <v>45588</v>
      </c>
      <c r="F1283" s="604" t="s">
        <v>992</v>
      </c>
      <c r="G1283" s="604" t="s">
        <v>993</v>
      </c>
      <c r="H1283" s="604" t="s">
        <v>994</v>
      </c>
      <c r="I1283" s="995"/>
      <c r="J1283" s="996"/>
      <c r="K1283" s="997"/>
      <c r="L1283" s="99"/>
      <c r="M1283" s="100"/>
    </row>
    <row r="1284" spans="5:13">
      <c r="E1284" s="603">
        <v>45582</v>
      </c>
      <c r="F1284" s="604" t="s">
        <v>994</v>
      </c>
      <c r="G1284" s="604" t="s">
        <v>995</v>
      </c>
      <c r="H1284" s="604" t="s">
        <v>996</v>
      </c>
      <c r="I1284" s="995"/>
      <c r="J1284" s="996"/>
      <c r="K1284" s="997"/>
      <c r="L1284" s="99"/>
      <c r="M1284" s="100"/>
    </row>
    <row r="1285" spans="5:13" ht="20" thickBot="1">
      <c r="E1285" s="603">
        <v>45574</v>
      </c>
      <c r="F1285" s="604" t="s">
        <v>996</v>
      </c>
      <c r="G1285" s="604" t="s">
        <v>997</v>
      </c>
      <c r="H1285" s="604" t="s">
        <v>998</v>
      </c>
      <c r="I1285" s="998"/>
      <c r="J1285" s="999"/>
      <c r="K1285" s="1000"/>
      <c r="L1285" s="102"/>
      <c r="M1285" s="103"/>
    </row>
    <row r="1286" spans="5:13" ht="25" thickBot="1">
      <c r="E1286" s="598" t="s">
        <v>30</v>
      </c>
      <c r="F1286" s="1102" t="s">
        <v>1012</v>
      </c>
      <c r="G1286" s="1103"/>
      <c r="H1286" s="1104"/>
      <c r="I1286" s="1131" t="s">
        <v>633</v>
      </c>
      <c r="J1286" s="1129"/>
      <c r="K1286" s="1130"/>
      <c r="L1286" s="158" t="s">
        <v>430</v>
      </c>
      <c r="M1286" s="105" t="s">
        <v>431</v>
      </c>
    </row>
    <row r="1287" spans="5:13">
      <c r="E1287" s="599" t="s">
        <v>432</v>
      </c>
      <c r="F1287" s="1105"/>
      <c r="G1287" s="1106"/>
      <c r="H1287" s="1107"/>
      <c r="I1287" s="995" t="s">
        <v>1013</v>
      </c>
      <c r="J1287" s="996"/>
      <c r="K1287" s="997"/>
      <c r="L1287" s="99"/>
      <c r="M1287" s="100"/>
    </row>
    <row r="1288" spans="5:13">
      <c r="E1288" s="600" t="s">
        <v>433</v>
      </c>
      <c r="F1288" s="1124">
        <v>32.97</v>
      </c>
      <c r="G1288" s="1112"/>
      <c r="H1288" s="1113"/>
      <c r="I1288" s="995"/>
      <c r="J1288" s="996"/>
      <c r="K1288" s="997"/>
      <c r="L1288" s="99"/>
      <c r="M1288" s="100"/>
    </row>
    <row r="1289" spans="5:13" ht="20" thickBot="1">
      <c r="E1289" s="600" t="s">
        <v>434</v>
      </c>
      <c r="F1289" s="1111"/>
      <c r="G1289" s="1112"/>
      <c r="H1289" s="1113"/>
      <c r="I1289" s="995"/>
      <c r="J1289" s="996"/>
      <c r="K1289" s="997"/>
      <c r="L1289" s="99"/>
      <c r="M1289" s="100"/>
    </row>
    <row r="1290" spans="5:13" ht="20" thickBot="1">
      <c r="E1290" s="601" t="s">
        <v>435</v>
      </c>
      <c r="F1290" s="1144">
        <v>0.875</v>
      </c>
      <c r="G1290" s="1145"/>
      <c r="H1290" s="1146"/>
      <c r="I1290" s="995"/>
      <c r="J1290" s="996"/>
      <c r="K1290" s="997"/>
      <c r="L1290" s="106">
        <v>0.10416666666666667</v>
      </c>
      <c r="M1290" s="107">
        <v>1</v>
      </c>
    </row>
    <row r="1291" spans="5:13" ht="20" thickBot="1">
      <c r="E1291" s="602" t="s">
        <v>436</v>
      </c>
      <c r="F1291" s="252" t="s">
        <v>29</v>
      </c>
      <c r="G1291" s="252" t="s">
        <v>28</v>
      </c>
      <c r="H1291" s="253" t="s">
        <v>27</v>
      </c>
      <c r="I1291" s="995"/>
      <c r="J1291" s="996"/>
      <c r="K1291" s="997"/>
      <c r="L1291" s="99"/>
      <c r="M1291" s="100"/>
    </row>
    <row r="1292" spans="5:13" ht="18">
      <c r="E1292" s="603">
        <v>45532</v>
      </c>
      <c r="F1292" s="604">
        <v>0.68</v>
      </c>
      <c r="G1292" s="604">
        <v>0.64</v>
      </c>
      <c r="H1292" s="604">
        <v>0</v>
      </c>
      <c r="I1292" s="995"/>
      <c r="J1292" s="996"/>
      <c r="K1292" s="997"/>
      <c r="L1292" s="99"/>
      <c r="M1292" s="100"/>
    </row>
    <row r="1293" spans="5:13" ht="18">
      <c r="E1293" s="603">
        <v>45434</v>
      </c>
      <c r="F1293" s="604">
        <v>0.61</v>
      </c>
      <c r="G1293" s="604">
        <v>0.55000000000000004</v>
      </c>
      <c r="H1293" s="604">
        <v>0</v>
      </c>
      <c r="I1293" s="995"/>
      <c r="J1293" s="996"/>
      <c r="K1293" s="997"/>
      <c r="L1293" s="99"/>
      <c r="M1293" s="100"/>
    </row>
    <row r="1294" spans="5:13" ht="18">
      <c r="E1294" s="603">
        <v>45343</v>
      </c>
      <c r="F1294" s="604">
        <v>0.52</v>
      </c>
      <c r="G1294" s="604">
        <v>0.46</v>
      </c>
      <c r="H1294" s="604">
        <v>0</v>
      </c>
      <c r="I1294" s="995"/>
      <c r="J1294" s="996"/>
      <c r="K1294" s="997"/>
      <c r="L1294" s="101"/>
      <c r="M1294" s="100"/>
    </row>
    <row r="1295" spans="5:13" ht="18">
      <c r="E1295" s="603">
        <v>45251</v>
      </c>
      <c r="F1295" s="604">
        <v>0.4</v>
      </c>
      <c r="G1295" s="604">
        <v>0.34</v>
      </c>
      <c r="H1295" s="604">
        <v>0</v>
      </c>
      <c r="I1295" s="995"/>
      <c r="J1295" s="996"/>
      <c r="K1295" s="997"/>
      <c r="L1295" s="99"/>
      <c r="M1295" s="100"/>
    </row>
    <row r="1296" spans="5:13" ht="18">
      <c r="E1296" s="603">
        <v>45161</v>
      </c>
      <c r="F1296" s="604">
        <v>0.27</v>
      </c>
      <c r="G1296" s="604">
        <v>0.21</v>
      </c>
      <c r="H1296" s="604">
        <v>0</v>
      </c>
      <c r="I1296" s="995"/>
      <c r="J1296" s="996"/>
      <c r="K1296" s="997"/>
      <c r="L1296" s="99"/>
      <c r="M1296" s="100"/>
    </row>
    <row r="1297" spans="4:13" thickBot="1">
      <c r="E1297" s="603">
        <v>45070</v>
      </c>
      <c r="F1297" s="604">
        <v>0.11</v>
      </c>
      <c r="G1297" s="604">
        <v>0.09</v>
      </c>
      <c r="H1297" s="604">
        <v>0</v>
      </c>
      <c r="I1297" s="998"/>
      <c r="J1297" s="999"/>
      <c r="K1297" s="1000"/>
      <c r="L1297" s="102"/>
      <c r="M1297" s="103"/>
    </row>
    <row r="1298" spans="4:13" ht="25" thickBot="1">
      <c r="D1298" t="s">
        <v>105</v>
      </c>
      <c r="E1298" s="598" t="s">
        <v>30</v>
      </c>
      <c r="F1298" s="1102" t="s">
        <v>14</v>
      </c>
      <c r="G1298" s="1103"/>
      <c r="H1298" s="1104"/>
      <c r="I1298" s="1131" t="s">
        <v>633</v>
      </c>
      <c r="J1298" s="1129"/>
      <c r="K1298" s="1130"/>
      <c r="L1298" s="158" t="s">
        <v>430</v>
      </c>
      <c r="M1298" s="105" t="s">
        <v>431</v>
      </c>
    </row>
    <row r="1299" spans="4:13">
      <c r="E1299" s="599" t="s">
        <v>432</v>
      </c>
      <c r="F1299" s="1105"/>
      <c r="G1299" s="1106"/>
      <c r="H1299" s="1107"/>
      <c r="I1299" s="995" t="s">
        <v>955</v>
      </c>
      <c r="J1299" s="996"/>
      <c r="K1299" s="997"/>
      <c r="L1299" s="99"/>
      <c r="M1299" s="100"/>
    </row>
    <row r="1300" spans="4:13">
      <c r="E1300" s="600" t="s">
        <v>433</v>
      </c>
      <c r="F1300" s="1111" t="s">
        <v>1014</v>
      </c>
      <c r="G1300" s="1112"/>
      <c r="H1300" s="1113"/>
      <c r="I1300" s="995"/>
      <c r="J1300" s="996"/>
      <c r="K1300" s="997"/>
      <c r="L1300" s="99"/>
      <c r="M1300" s="100"/>
    </row>
    <row r="1301" spans="4:13" ht="20" thickBot="1">
      <c r="E1301" s="600" t="s">
        <v>434</v>
      </c>
      <c r="F1301" s="1111" t="s">
        <v>1015</v>
      </c>
      <c r="G1301" s="1112"/>
      <c r="H1301" s="1113"/>
      <c r="I1301" s="995"/>
      <c r="J1301" s="996"/>
      <c r="K1301" s="997"/>
      <c r="L1301" s="99"/>
      <c r="M1301" s="100"/>
    </row>
    <row r="1302" spans="4:13" ht="20" thickBot="1">
      <c r="E1302" s="601" t="s">
        <v>435</v>
      </c>
      <c r="F1302" s="1114">
        <v>0.5625</v>
      </c>
      <c r="G1302" s="1115"/>
      <c r="H1302" s="1116"/>
      <c r="I1302" s="995"/>
      <c r="J1302" s="996"/>
      <c r="K1302" s="997"/>
      <c r="L1302" s="106">
        <v>0.79166666666666663</v>
      </c>
      <c r="M1302" s="107">
        <v>0.64583333333333326</v>
      </c>
    </row>
    <row r="1303" spans="4:13" ht="20" thickBot="1">
      <c r="E1303" s="602" t="s">
        <v>436</v>
      </c>
      <c r="F1303" s="252" t="s">
        <v>29</v>
      </c>
      <c r="G1303" s="252" t="s">
        <v>28</v>
      </c>
      <c r="H1303" s="253" t="s">
        <v>27</v>
      </c>
      <c r="I1303" s="995"/>
      <c r="J1303" s="996"/>
      <c r="K1303" s="997"/>
      <c r="L1303" s="99"/>
      <c r="M1303" s="100"/>
    </row>
    <row r="1304" spans="4:13">
      <c r="E1304" s="603">
        <v>45610</v>
      </c>
      <c r="F1304" s="604" t="s">
        <v>1031</v>
      </c>
      <c r="G1304" s="604" t="s">
        <v>1032</v>
      </c>
      <c r="H1304" s="604" t="s">
        <v>972</v>
      </c>
      <c r="I1304" s="995"/>
      <c r="J1304" s="996"/>
      <c r="K1304" s="997"/>
      <c r="L1304" s="99"/>
      <c r="M1304" s="100"/>
    </row>
    <row r="1305" spans="4:13">
      <c r="E1305" s="603">
        <v>45603</v>
      </c>
      <c r="F1305" s="604" t="s">
        <v>972</v>
      </c>
      <c r="G1305" s="604" t="s">
        <v>973</v>
      </c>
      <c r="H1305" s="604" t="s">
        <v>974</v>
      </c>
      <c r="I1305" s="995"/>
      <c r="J1305" s="996"/>
      <c r="K1305" s="997"/>
      <c r="L1305" s="99"/>
      <c r="M1305" s="100"/>
    </row>
    <row r="1306" spans="4:13">
      <c r="E1306" s="603">
        <v>45596</v>
      </c>
      <c r="F1306" s="604" t="s">
        <v>975</v>
      </c>
      <c r="G1306" s="604" t="s">
        <v>976</v>
      </c>
      <c r="H1306" s="604" t="s">
        <v>977</v>
      </c>
      <c r="I1306" s="995"/>
      <c r="J1306" s="996"/>
      <c r="K1306" s="997"/>
      <c r="L1306" s="101"/>
      <c r="M1306" s="100"/>
    </row>
    <row r="1307" spans="4:13">
      <c r="E1307" s="603">
        <v>45589</v>
      </c>
      <c r="F1307" s="604" t="s">
        <v>978</v>
      </c>
      <c r="G1307" s="604" t="s">
        <v>979</v>
      </c>
      <c r="H1307" s="604" t="s">
        <v>980</v>
      </c>
      <c r="I1307" s="995"/>
      <c r="J1307" s="996"/>
      <c r="K1307" s="997"/>
      <c r="L1307" s="99"/>
      <c r="M1307" s="100"/>
    </row>
    <row r="1308" spans="4:13">
      <c r="E1308" s="603">
        <v>45582</v>
      </c>
      <c r="F1308" s="604" t="s">
        <v>981</v>
      </c>
      <c r="G1308" s="604" t="s">
        <v>981</v>
      </c>
      <c r="H1308" s="604" t="s">
        <v>982</v>
      </c>
      <c r="I1308" s="995"/>
      <c r="J1308" s="996"/>
      <c r="K1308" s="997"/>
      <c r="L1308" s="99"/>
      <c r="M1308" s="100"/>
    </row>
    <row r="1309" spans="4:13" ht="20" thickBot="1">
      <c r="E1309" s="603">
        <v>45575</v>
      </c>
      <c r="F1309" s="604" t="s">
        <v>983</v>
      </c>
      <c r="G1309" s="604" t="s">
        <v>984</v>
      </c>
      <c r="H1309" s="604" t="s">
        <v>985</v>
      </c>
      <c r="I1309" s="998"/>
      <c r="J1309" s="999"/>
      <c r="K1309" s="1000"/>
      <c r="L1309" s="102"/>
      <c r="M1309" s="103"/>
    </row>
    <row r="1310" spans="4:13" ht="25" thickBot="1">
      <c r="D1310" t="s">
        <v>105</v>
      </c>
      <c r="E1310" s="598" t="s">
        <v>30</v>
      </c>
      <c r="F1310" s="1102" t="s">
        <v>1016</v>
      </c>
      <c r="G1310" s="1103"/>
      <c r="H1310" s="1104"/>
      <c r="I1310" s="1131" t="s">
        <v>633</v>
      </c>
      <c r="J1310" s="1129"/>
      <c r="K1310" s="1130"/>
      <c r="L1310" s="158" t="s">
        <v>430</v>
      </c>
      <c r="M1310" s="105" t="s">
        <v>431</v>
      </c>
    </row>
    <row r="1311" spans="4:13">
      <c r="E1311" s="599" t="s">
        <v>432</v>
      </c>
      <c r="F1311" s="1105"/>
      <c r="G1311" s="1106"/>
      <c r="H1311" s="1107"/>
      <c r="I1311" s="995" t="s">
        <v>1017</v>
      </c>
      <c r="J1311" s="996"/>
      <c r="K1311" s="997"/>
      <c r="L1311" s="99"/>
      <c r="M1311" s="100"/>
    </row>
    <row r="1312" spans="4:13">
      <c r="E1312" s="600" t="s">
        <v>433</v>
      </c>
      <c r="F1312" s="1117"/>
      <c r="G1312" s="1109"/>
      <c r="H1312" s="1110"/>
      <c r="I1312" s="995"/>
      <c r="J1312" s="996"/>
      <c r="K1312" s="997"/>
      <c r="L1312" s="99"/>
      <c r="M1312" s="100"/>
    </row>
    <row r="1313" spans="4:13" ht="20" thickBot="1">
      <c r="E1313" s="600" t="s">
        <v>434</v>
      </c>
      <c r="F1313" s="1117">
        <v>10.3</v>
      </c>
      <c r="G1313" s="1109"/>
      <c r="H1313" s="1110"/>
      <c r="I1313" s="995"/>
      <c r="J1313" s="996"/>
      <c r="K1313" s="997"/>
      <c r="L1313" s="99"/>
      <c r="M1313" s="100"/>
    </row>
    <row r="1314" spans="4:13" ht="20" thickBot="1">
      <c r="E1314" s="601" t="s">
        <v>435</v>
      </c>
      <c r="F1314" s="1114">
        <v>0.5625</v>
      </c>
      <c r="G1314" s="1115"/>
      <c r="H1314" s="1116"/>
      <c r="I1314" s="995"/>
      <c r="J1314" s="996"/>
      <c r="K1314" s="997"/>
      <c r="L1314" s="106">
        <v>0.79166666666666663</v>
      </c>
      <c r="M1314" s="107">
        <v>0.64583333333333326</v>
      </c>
    </row>
    <row r="1315" spans="4:13" ht="20" thickBot="1">
      <c r="E1315" s="602" t="s">
        <v>436</v>
      </c>
      <c r="F1315" s="252" t="s">
        <v>29</v>
      </c>
      <c r="G1315" s="252" t="s">
        <v>28</v>
      </c>
      <c r="H1315" s="253" t="s">
        <v>27</v>
      </c>
      <c r="I1315" s="995"/>
      <c r="J1315" s="996"/>
      <c r="K1315" s="997"/>
      <c r="L1315" s="99"/>
      <c r="M1315" s="100"/>
    </row>
    <row r="1316" spans="4:13">
      <c r="E1316" s="603">
        <v>45582</v>
      </c>
      <c r="F1316" s="256">
        <v>10.3</v>
      </c>
      <c r="G1316" s="256" t="s">
        <v>1033</v>
      </c>
      <c r="H1316" s="256">
        <v>1.7</v>
      </c>
      <c r="I1316" s="995"/>
      <c r="J1316" s="996"/>
      <c r="K1316" s="997"/>
      <c r="L1316" s="99"/>
      <c r="M1316" s="100"/>
    </row>
    <row r="1317" spans="4:13">
      <c r="E1317" s="603">
        <v>45554</v>
      </c>
      <c r="F1317" s="256">
        <v>1.7</v>
      </c>
      <c r="G1317" s="256" t="s">
        <v>1034</v>
      </c>
      <c r="H1317" s="256">
        <v>-7</v>
      </c>
      <c r="I1317" s="995"/>
      <c r="J1317" s="996"/>
      <c r="K1317" s="997"/>
      <c r="L1317" s="99"/>
      <c r="M1317" s="100"/>
    </row>
    <row r="1318" spans="4:13">
      <c r="E1318" s="603">
        <v>45519</v>
      </c>
      <c r="F1318" s="256">
        <v>-7</v>
      </c>
      <c r="G1318" s="256" t="s">
        <v>1035</v>
      </c>
      <c r="H1318" s="256">
        <v>13.9</v>
      </c>
      <c r="I1318" s="995"/>
      <c r="J1318" s="996"/>
      <c r="K1318" s="997"/>
      <c r="L1318" s="101"/>
      <c r="M1318" s="100"/>
    </row>
    <row r="1319" spans="4:13">
      <c r="E1319" s="603">
        <v>45491</v>
      </c>
      <c r="F1319" s="256">
        <v>13.9</v>
      </c>
      <c r="G1319" s="256" t="s">
        <v>1036</v>
      </c>
      <c r="H1319" s="256">
        <v>1.3</v>
      </c>
      <c r="I1319" s="995"/>
      <c r="J1319" s="996"/>
      <c r="K1319" s="997"/>
      <c r="L1319" s="99"/>
      <c r="M1319" s="100"/>
    </row>
    <row r="1320" spans="4:13">
      <c r="E1320" s="603">
        <v>45463</v>
      </c>
      <c r="F1320" s="256">
        <v>1.3</v>
      </c>
      <c r="G1320" s="256" t="s">
        <v>1037</v>
      </c>
      <c r="H1320" s="256">
        <v>4.5</v>
      </c>
      <c r="I1320" s="995"/>
      <c r="J1320" s="996"/>
      <c r="K1320" s="997"/>
      <c r="L1320" s="99"/>
      <c r="M1320" s="100"/>
    </row>
    <row r="1321" spans="4:13" ht="20" thickBot="1">
      <c r="E1321" s="603">
        <v>45428</v>
      </c>
      <c r="F1321" s="256">
        <v>4.5</v>
      </c>
      <c r="G1321" s="256" t="s">
        <v>1038</v>
      </c>
      <c r="H1321" s="256">
        <v>15.5</v>
      </c>
      <c r="I1321" s="998"/>
      <c r="J1321" s="999"/>
      <c r="K1321" s="1000"/>
      <c r="L1321" s="102"/>
      <c r="M1321" s="103"/>
    </row>
    <row r="1322" spans="4:13" ht="25" thickBot="1">
      <c r="D1322" s="88" t="s">
        <v>105</v>
      </c>
      <c r="E1322" s="598" t="s">
        <v>30</v>
      </c>
      <c r="F1322" s="1102" t="s">
        <v>1018</v>
      </c>
      <c r="G1322" s="1103"/>
      <c r="H1322" s="1104"/>
      <c r="I1322" s="1131" t="s">
        <v>633</v>
      </c>
      <c r="J1322" s="1129"/>
      <c r="K1322" s="1130"/>
      <c r="L1322" s="158" t="s">
        <v>430</v>
      </c>
      <c r="M1322" s="105" t="s">
        <v>431</v>
      </c>
    </row>
    <row r="1323" spans="4:13">
      <c r="D1323" s="89"/>
      <c r="E1323" s="599" t="s">
        <v>432</v>
      </c>
      <c r="F1323" s="1105"/>
      <c r="G1323" s="1106"/>
      <c r="H1323" s="1107"/>
      <c r="I1323" s="995" t="s">
        <v>1020</v>
      </c>
      <c r="J1323" s="996"/>
      <c r="K1323" s="997"/>
      <c r="L1323" s="99"/>
      <c r="M1323" s="100"/>
    </row>
    <row r="1324" spans="4:13">
      <c r="D1324" s="89"/>
      <c r="E1324" s="600" t="s">
        <v>433</v>
      </c>
      <c r="F1324" s="1111" t="s">
        <v>707</v>
      </c>
      <c r="G1324" s="1112"/>
      <c r="H1324" s="1113"/>
      <c r="I1324" s="995"/>
      <c r="J1324" s="996"/>
      <c r="K1324" s="997"/>
      <c r="L1324" s="99"/>
      <c r="M1324" s="100"/>
    </row>
    <row r="1325" spans="4:13" ht="20" thickBot="1">
      <c r="D1325" s="89"/>
      <c r="E1325" s="600" t="s">
        <v>434</v>
      </c>
      <c r="F1325" s="1125" t="s">
        <v>1019</v>
      </c>
      <c r="G1325" s="1126"/>
      <c r="H1325" s="1127"/>
      <c r="I1325" s="995"/>
      <c r="J1325" s="996"/>
      <c r="K1325" s="997"/>
      <c r="L1325" s="99"/>
      <c r="M1325" s="100"/>
    </row>
    <row r="1326" spans="4:13" ht="20" thickBot="1">
      <c r="D1326" s="89"/>
      <c r="E1326" s="601" t="s">
        <v>435</v>
      </c>
      <c r="F1326" s="1114">
        <v>0.625</v>
      </c>
      <c r="G1326" s="1115"/>
      <c r="H1326" s="1116"/>
      <c r="I1326" s="995"/>
      <c r="J1326" s="996"/>
      <c r="K1326" s="997"/>
      <c r="L1326" s="106">
        <v>0.85416666666666663</v>
      </c>
      <c r="M1326" s="107">
        <v>0.70833333333333326</v>
      </c>
    </row>
    <row r="1327" spans="4:13" ht="20" thickBot="1">
      <c r="D1327" s="89"/>
      <c r="E1327" s="602" t="s">
        <v>436</v>
      </c>
      <c r="F1327" s="252" t="s">
        <v>29</v>
      </c>
      <c r="G1327" s="252" t="s">
        <v>28</v>
      </c>
      <c r="H1327" s="253" t="s">
        <v>27</v>
      </c>
      <c r="I1327" s="995"/>
      <c r="J1327" s="996"/>
      <c r="K1327" s="997"/>
      <c r="L1327" s="99"/>
      <c r="M1327" s="100"/>
    </row>
    <row r="1328" spans="4:13">
      <c r="D1328" s="89"/>
      <c r="E1328" s="603">
        <v>45588</v>
      </c>
      <c r="F1328" s="604" t="s">
        <v>1039</v>
      </c>
      <c r="G1328" s="604" t="s">
        <v>1040</v>
      </c>
      <c r="H1328" s="604" t="s">
        <v>1040</v>
      </c>
      <c r="I1328" s="995"/>
      <c r="J1328" s="996"/>
      <c r="K1328" s="997"/>
      <c r="L1328" s="99"/>
      <c r="M1328" s="100"/>
    </row>
    <row r="1329" spans="4:13">
      <c r="D1329" s="89"/>
      <c r="E1329" s="603">
        <v>45554</v>
      </c>
      <c r="F1329" s="604" t="s">
        <v>1041</v>
      </c>
      <c r="G1329" s="604" t="s">
        <v>1042</v>
      </c>
      <c r="H1329" s="604" t="s">
        <v>1043</v>
      </c>
      <c r="I1329" s="995"/>
      <c r="J1329" s="996"/>
      <c r="K1329" s="997"/>
      <c r="L1329" s="99"/>
      <c r="M1329" s="100"/>
    </row>
    <row r="1330" spans="4:13">
      <c r="D1330" s="89"/>
      <c r="E1330" s="603">
        <v>45526</v>
      </c>
      <c r="F1330" s="604" t="s">
        <v>1044</v>
      </c>
      <c r="G1330" s="604" t="s">
        <v>1045</v>
      </c>
      <c r="H1330" s="604" t="s">
        <v>1046</v>
      </c>
      <c r="I1330" s="995"/>
      <c r="J1330" s="996"/>
      <c r="K1330" s="997"/>
      <c r="L1330" s="101"/>
      <c r="M1330" s="100"/>
    </row>
    <row r="1331" spans="4:13">
      <c r="D1331" s="89"/>
      <c r="E1331" s="603">
        <v>45496</v>
      </c>
      <c r="F1331" s="604" t="s">
        <v>1047</v>
      </c>
      <c r="G1331" s="604" t="s">
        <v>1048</v>
      </c>
      <c r="H1331" s="604" t="s">
        <v>1049</v>
      </c>
      <c r="I1331" s="995"/>
      <c r="J1331" s="996"/>
      <c r="K1331" s="997"/>
      <c r="L1331" s="99"/>
      <c r="M1331" s="100"/>
    </row>
    <row r="1332" spans="4:13">
      <c r="D1332" s="89"/>
      <c r="E1332" s="603">
        <v>45464</v>
      </c>
      <c r="F1332" s="604" t="s">
        <v>1049</v>
      </c>
      <c r="G1332" s="604" t="s">
        <v>1050</v>
      </c>
      <c r="H1332" s="604" t="s">
        <v>1051</v>
      </c>
      <c r="I1332" s="995"/>
      <c r="J1332" s="996"/>
      <c r="K1332" s="997"/>
      <c r="L1332" s="99"/>
      <c r="M1332" s="100"/>
    </row>
    <row r="1333" spans="4:13" ht="20" thickBot="1">
      <c r="D1333" s="89"/>
      <c r="E1333" s="603">
        <v>45434</v>
      </c>
      <c r="F1333" s="604" t="s">
        <v>1051</v>
      </c>
      <c r="G1333" s="604" t="s">
        <v>1052</v>
      </c>
      <c r="H1333" s="604" t="s">
        <v>1053</v>
      </c>
      <c r="I1333" s="998"/>
      <c r="J1333" s="999"/>
      <c r="K1333" s="1000"/>
      <c r="L1333" s="102"/>
      <c r="M1333" s="103"/>
    </row>
    <row r="1334" spans="4:13" ht="25" thickBot="1">
      <c r="D1334" s="88" t="s">
        <v>105</v>
      </c>
      <c r="E1334" s="598" t="s">
        <v>30</v>
      </c>
      <c r="F1334" s="1102" t="s">
        <v>1021</v>
      </c>
      <c r="G1334" s="1103"/>
      <c r="H1334" s="1104"/>
      <c r="I1334" s="1131" t="s">
        <v>633</v>
      </c>
      <c r="J1334" s="1129"/>
      <c r="K1334" s="1130"/>
      <c r="L1334" s="158" t="s">
        <v>430</v>
      </c>
      <c r="M1334" s="105" t="s">
        <v>431</v>
      </c>
    </row>
    <row r="1335" spans="4:13">
      <c r="D1335" s="89"/>
      <c r="E1335" s="599" t="s">
        <v>432</v>
      </c>
      <c r="F1335" s="1105"/>
      <c r="G1335" s="1106"/>
      <c r="H1335" s="1107"/>
      <c r="I1335" s="995" t="s">
        <v>1022</v>
      </c>
      <c r="J1335" s="996"/>
      <c r="K1335" s="997"/>
      <c r="L1335" s="99"/>
      <c r="M1335" s="100"/>
    </row>
    <row r="1336" spans="4:13">
      <c r="D1336" s="89"/>
      <c r="E1336" s="600" t="s">
        <v>433</v>
      </c>
      <c r="F1336" s="1117"/>
      <c r="G1336" s="1109"/>
      <c r="H1336" s="1110"/>
      <c r="I1336" s="995"/>
      <c r="J1336" s="996"/>
      <c r="K1336" s="997"/>
      <c r="L1336" s="99"/>
      <c r="M1336" s="100"/>
    </row>
    <row r="1337" spans="4:13" ht="20" thickBot="1">
      <c r="D1337" s="89"/>
      <c r="E1337" s="600" t="s">
        <v>434</v>
      </c>
      <c r="F1337" s="1111">
        <v>2E-3</v>
      </c>
      <c r="G1337" s="1112"/>
      <c r="H1337" s="1113"/>
      <c r="I1337" s="995"/>
      <c r="J1337" s="996"/>
      <c r="K1337" s="997"/>
      <c r="L1337" s="99"/>
      <c r="M1337" s="100"/>
    </row>
    <row r="1338" spans="4:13" ht="20" thickBot="1">
      <c r="D1338" s="89"/>
      <c r="E1338" s="601" t="s">
        <v>435</v>
      </c>
      <c r="F1338" s="1114">
        <v>0.29166666666666674</v>
      </c>
      <c r="G1338" s="1115"/>
      <c r="H1338" s="1116"/>
      <c r="I1338" s="995"/>
      <c r="J1338" s="996"/>
      <c r="K1338" s="997"/>
      <c r="L1338" s="106">
        <v>0.52083333333333337</v>
      </c>
      <c r="M1338" s="107">
        <v>0.375</v>
      </c>
    </row>
    <row r="1339" spans="4:13" ht="20" thickBot="1">
      <c r="D1339" s="89"/>
      <c r="E1339" s="602" t="s">
        <v>436</v>
      </c>
      <c r="F1339" s="252" t="s">
        <v>29</v>
      </c>
      <c r="G1339" s="252" t="s">
        <v>28</v>
      </c>
      <c r="H1339" s="253" t="s">
        <v>27</v>
      </c>
      <c r="I1339" s="995"/>
      <c r="J1339" s="996"/>
      <c r="K1339" s="997"/>
      <c r="L1339" s="99"/>
      <c r="M1339" s="100"/>
    </row>
    <row r="1340" spans="4:13">
      <c r="D1340" s="89"/>
      <c r="E1340" s="603">
        <v>45595</v>
      </c>
      <c r="F1340" s="341">
        <v>2E-3</v>
      </c>
      <c r="G1340" s="341" t="s">
        <v>456</v>
      </c>
      <c r="H1340" s="341">
        <v>-3.0000000000000001E-3</v>
      </c>
      <c r="I1340" s="995"/>
      <c r="J1340" s="996"/>
      <c r="K1340" s="997"/>
      <c r="L1340" s="99"/>
      <c r="M1340" s="100"/>
    </row>
    <row r="1341" spans="4:13">
      <c r="D1341" s="89"/>
      <c r="E1341" s="603">
        <v>45531</v>
      </c>
      <c r="F1341" s="341">
        <v>-1E-3</v>
      </c>
      <c r="G1341" s="341" t="s">
        <v>456</v>
      </c>
      <c r="H1341" s="341">
        <v>2E-3</v>
      </c>
      <c r="I1341" s="995"/>
      <c r="J1341" s="996"/>
      <c r="K1341" s="997"/>
      <c r="L1341" s="99"/>
      <c r="M1341" s="100"/>
    </row>
    <row r="1342" spans="4:13">
      <c r="D1342" s="89"/>
      <c r="E1342" s="603">
        <v>45503</v>
      </c>
      <c r="F1342" s="341">
        <v>-1E-3</v>
      </c>
      <c r="G1342" s="341" t="s">
        <v>462</v>
      </c>
      <c r="H1342" s="341">
        <v>2E-3</v>
      </c>
      <c r="I1342" s="995"/>
      <c r="J1342" s="996"/>
      <c r="K1342" s="997"/>
      <c r="L1342" s="101"/>
      <c r="M1342" s="100"/>
    </row>
    <row r="1343" spans="4:13">
      <c r="D1343" s="89"/>
      <c r="E1343" s="603">
        <v>45436</v>
      </c>
      <c r="F1343" s="341">
        <v>2E-3</v>
      </c>
      <c r="G1343" s="341" t="s">
        <v>460</v>
      </c>
      <c r="H1343" s="341">
        <v>-3.0000000000000001E-3</v>
      </c>
      <c r="I1343" s="995"/>
      <c r="J1343" s="996"/>
      <c r="K1343" s="997"/>
      <c r="L1343" s="99"/>
      <c r="M1343" s="100"/>
    </row>
    <row r="1344" spans="4:13">
      <c r="D1344" s="89"/>
      <c r="E1344" s="603">
        <v>45412</v>
      </c>
      <c r="F1344" s="341">
        <v>2E-3</v>
      </c>
      <c r="G1344" s="341" t="s">
        <v>462</v>
      </c>
      <c r="H1344" s="341">
        <v>-5.0000000000000001E-3</v>
      </c>
      <c r="I1344" s="995"/>
      <c r="J1344" s="996"/>
      <c r="K1344" s="997"/>
      <c r="L1344" s="99"/>
      <c r="M1344" s="100"/>
    </row>
    <row r="1345" spans="4:13" ht="20" thickBot="1">
      <c r="D1345" s="89"/>
      <c r="E1345" s="603">
        <v>45345</v>
      </c>
      <c r="F1345" s="341">
        <v>-3.0000000000000001E-3</v>
      </c>
      <c r="G1345" s="341" t="s">
        <v>454</v>
      </c>
      <c r="H1345" s="341">
        <v>-1E-3</v>
      </c>
      <c r="I1345" s="998"/>
      <c r="J1345" s="999"/>
      <c r="K1345" s="1000"/>
      <c r="L1345" s="102"/>
      <c r="M1345" s="103"/>
    </row>
    <row r="1346" spans="4:13" ht="25" thickBot="1">
      <c r="D1346" s="88" t="s">
        <v>105</v>
      </c>
      <c r="E1346" s="598" t="s">
        <v>30</v>
      </c>
      <c r="F1346" s="1102" t="s">
        <v>1023</v>
      </c>
      <c r="G1346" s="1103"/>
      <c r="H1346" s="1104"/>
      <c r="I1346" s="1131" t="s">
        <v>633</v>
      </c>
      <c r="J1346" s="1129"/>
      <c r="K1346" s="1130"/>
      <c r="L1346" s="158" t="s">
        <v>430</v>
      </c>
      <c r="M1346" s="105" t="s">
        <v>431</v>
      </c>
    </row>
    <row r="1347" spans="4:13">
      <c r="D1347" s="89"/>
      <c r="E1347" s="599" t="s">
        <v>432</v>
      </c>
      <c r="F1347" s="1105"/>
      <c r="G1347" s="1106"/>
      <c r="H1347" s="1107"/>
      <c r="I1347" s="995" t="s">
        <v>1024</v>
      </c>
      <c r="J1347" s="996"/>
      <c r="K1347" s="997"/>
      <c r="L1347" s="99"/>
      <c r="M1347" s="100"/>
    </row>
    <row r="1348" spans="4:13">
      <c r="D1348" s="89"/>
      <c r="E1348" s="600" t="s">
        <v>433</v>
      </c>
      <c r="F1348" s="1125"/>
      <c r="G1348" s="1126"/>
      <c r="H1348" s="1127"/>
      <c r="I1348" s="995"/>
      <c r="J1348" s="996"/>
      <c r="K1348" s="997"/>
      <c r="L1348" s="99"/>
      <c r="M1348" s="100"/>
    </row>
    <row r="1349" spans="4:13" ht="20" thickBot="1">
      <c r="D1349" s="89"/>
      <c r="E1349" s="600" t="s">
        <v>434</v>
      </c>
      <c r="F1349" s="1117">
        <v>48.5</v>
      </c>
      <c r="G1349" s="1109"/>
      <c r="H1349" s="1110"/>
      <c r="I1349" s="995"/>
      <c r="J1349" s="996"/>
      <c r="K1349" s="997"/>
      <c r="L1349" s="99"/>
      <c r="M1349" s="100"/>
    </row>
    <row r="1350" spans="4:13" ht="20" thickBot="1">
      <c r="D1350" s="89"/>
      <c r="E1350" s="601" t="s">
        <v>435</v>
      </c>
      <c r="F1350" s="1114">
        <v>0.61458333333333337</v>
      </c>
      <c r="G1350" s="1115"/>
      <c r="H1350" s="1116"/>
      <c r="I1350" s="995"/>
      <c r="J1350" s="996"/>
      <c r="K1350" s="997"/>
      <c r="L1350" s="106">
        <v>0.84375</v>
      </c>
      <c r="M1350" s="107">
        <v>0.69791666666666663</v>
      </c>
    </row>
    <row r="1351" spans="4:13" ht="20" thickBot="1">
      <c r="D1351" s="89"/>
      <c r="E1351" s="602" t="s">
        <v>436</v>
      </c>
      <c r="F1351" s="252" t="s">
        <v>29</v>
      </c>
      <c r="G1351" s="252" t="s">
        <v>28</v>
      </c>
      <c r="H1351" s="253" t="s">
        <v>27</v>
      </c>
      <c r="I1351" s="995"/>
      <c r="J1351" s="996"/>
      <c r="K1351" s="997"/>
      <c r="L1351" s="99"/>
      <c r="M1351" s="100"/>
    </row>
    <row r="1352" spans="4:13">
      <c r="D1352" s="89"/>
      <c r="E1352" s="603">
        <v>45597</v>
      </c>
      <c r="F1352" s="349">
        <v>48.5</v>
      </c>
      <c r="G1352" s="349" t="s">
        <v>1054</v>
      </c>
      <c r="H1352" s="349">
        <v>47.8</v>
      </c>
      <c r="I1352" s="995"/>
      <c r="J1352" s="996"/>
      <c r="K1352" s="997"/>
      <c r="L1352" s="99"/>
      <c r="M1352" s="100"/>
    </row>
    <row r="1353" spans="4:13">
      <c r="D1353" s="89"/>
      <c r="E1353" s="603">
        <v>45589</v>
      </c>
      <c r="F1353" s="349">
        <v>47.8</v>
      </c>
      <c r="G1353" s="349" t="s">
        <v>509</v>
      </c>
      <c r="H1353" s="349">
        <v>47.3</v>
      </c>
      <c r="I1353" s="995"/>
      <c r="J1353" s="996"/>
      <c r="K1353" s="997"/>
      <c r="L1353" s="99"/>
      <c r="M1353" s="100"/>
    </row>
    <row r="1354" spans="4:13">
      <c r="D1354" s="89"/>
      <c r="E1354" s="603">
        <v>45566</v>
      </c>
      <c r="F1354" s="349">
        <v>47.3</v>
      </c>
      <c r="G1354" s="349" t="s">
        <v>758</v>
      </c>
      <c r="H1354" s="349">
        <v>47.9</v>
      </c>
      <c r="I1354" s="995"/>
      <c r="J1354" s="996"/>
      <c r="K1354" s="997"/>
      <c r="L1354" s="101"/>
      <c r="M1354" s="100"/>
    </row>
    <row r="1355" spans="4:13">
      <c r="D1355" s="89"/>
      <c r="E1355" s="603">
        <v>45558</v>
      </c>
      <c r="F1355" s="349">
        <v>47</v>
      </c>
      <c r="G1355" s="349" t="s">
        <v>500</v>
      </c>
      <c r="H1355" s="349">
        <v>47.9</v>
      </c>
      <c r="I1355" s="995"/>
      <c r="J1355" s="996"/>
      <c r="K1355" s="997"/>
      <c r="L1355" s="99"/>
      <c r="M1355" s="100"/>
    </row>
    <row r="1356" spans="4:13">
      <c r="D1356" s="89"/>
      <c r="E1356" s="603">
        <v>45538</v>
      </c>
      <c r="F1356" s="349">
        <v>47.9</v>
      </c>
      <c r="G1356" s="349" t="s">
        <v>502</v>
      </c>
      <c r="H1356" s="349">
        <v>49.6</v>
      </c>
      <c r="I1356" s="995"/>
      <c r="J1356" s="996"/>
      <c r="K1356" s="997"/>
      <c r="L1356" s="99"/>
      <c r="M1356" s="100"/>
    </row>
    <row r="1357" spans="4:13" ht="20" thickBot="1">
      <c r="D1357" s="89"/>
      <c r="E1357" s="603">
        <v>45526</v>
      </c>
      <c r="F1357" s="349">
        <v>48</v>
      </c>
      <c r="G1357" s="349" t="s">
        <v>438</v>
      </c>
      <c r="H1357" s="349">
        <v>49.6</v>
      </c>
      <c r="I1357" s="998"/>
      <c r="J1357" s="999"/>
      <c r="K1357" s="1000"/>
      <c r="L1357" s="102"/>
      <c r="M1357" s="103"/>
    </row>
    <row r="1358" spans="4:13" ht="25" thickBot="1">
      <c r="D1358" s="88" t="s">
        <v>105</v>
      </c>
      <c r="E1358" s="598" t="s">
        <v>30</v>
      </c>
      <c r="F1358" s="1102" t="s">
        <v>1025</v>
      </c>
      <c r="G1358" s="1103"/>
      <c r="H1358" s="1104"/>
      <c r="I1358" s="1128" t="s">
        <v>633</v>
      </c>
      <c r="J1358" s="1129"/>
      <c r="K1358" s="1130"/>
      <c r="L1358" s="158" t="s">
        <v>430</v>
      </c>
      <c r="M1358" s="105" t="s">
        <v>431</v>
      </c>
    </row>
    <row r="1359" spans="4:13">
      <c r="D1359" s="89"/>
      <c r="E1359" s="599" t="s">
        <v>432</v>
      </c>
      <c r="F1359" s="1105"/>
      <c r="G1359" s="1106"/>
      <c r="H1359" s="1107"/>
      <c r="I1359" s="995" t="s">
        <v>1026</v>
      </c>
      <c r="J1359" s="996"/>
      <c r="K1359" s="997"/>
      <c r="L1359" s="99"/>
      <c r="M1359" s="100"/>
    </row>
    <row r="1360" spans="4:13">
      <c r="D1360" s="89"/>
      <c r="E1360" s="600" t="s">
        <v>433</v>
      </c>
      <c r="F1360" s="1111"/>
      <c r="G1360" s="1112"/>
      <c r="H1360" s="1113"/>
      <c r="I1360" s="995"/>
      <c r="J1360" s="996"/>
      <c r="K1360" s="997"/>
      <c r="L1360" s="99"/>
      <c r="M1360" s="100"/>
    </row>
    <row r="1361" spans="3:13" ht="20" thickBot="1">
      <c r="D1361" s="89"/>
      <c r="E1361" s="600" t="s">
        <v>434</v>
      </c>
      <c r="F1361" s="1141">
        <v>55</v>
      </c>
      <c r="G1361" s="1142"/>
      <c r="H1361" s="1143"/>
      <c r="I1361" s="995"/>
      <c r="J1361" s="996"/>
      <c r="K1361" s="997"/>
      <c r="L1361" s="99"/>
      <c r="M1361" s="100"/>
    </row>
    <row r="1362" spans="3:13" ht="20" thickBot="1">
      <c r="D1362" s="89"/>
      <c r="E1362" s="601" t="s">
        <v>435</v>
      </c>
      <c r="F1362" s="1114">
        <v>0.61458333333333337</v>
      </c>
      <c r="G1362" s="1115"/>
      <c r="H1362" s="1116"/>
      <c r="I1362" s="995"/>
      <c r="J1362" s="996"/>
      <c r="K1362" s="997"/>
      <c r="L1362" s="106">
        <v>0.84375</v>
      </c>
      <c r="M1362" s="107">
        <v>0.69791666666666663</v>
      </c>
    </row>
    <row r="1363" spans="3:13" ht="20" thickBot="1">
      <c r="D1363" s="89"/>
      <c r="E1363" s="602" t="s">
        <v>436</v>
      </c>
      <c r="F1363" s="252" t="s">
        <v>29</v>
      </c>
      <c r="G1363" s="252" t="s">
        <v>28</v>
      </c>
      <c r="H1363" s="253" t="s">
        <v>27</v>
      </c>
      <c r="I1363" s="995"/>
      <c r="J1363" s="996"/>
      <c r="K1363" s="997"/>
      <c r="L1363" s="99"/>
      <c r="M1363" s="100"/>
    </row>
    <row r="1364" spans="3:13">
      <c r="D1364" s="89"/>
      <c r="E1364" s="603">
        <v>45601</v>
      </c>
      <c r="F1364" s="349">
        <v>55</v>
      </c>
      <c r="G1364" s="349" t="s">
        <v>585</v>
      </c>
      <c r="H1364" s="349">
        <v>55.2</v>
      </c>
      <c r="I1364" s="995"/>
      <c r="J1364" s="996"/>
      <c r="K1364" s="997"/>
      <c r="L1364" s="99"/>
      <c r="M1364" s="203"/>
    </row>
    <row r="1365" spans="3:13">
      <c r="D1365" s="89"/>
      <c r="E1365" s="603">
        <v>45589</v>
      </c>
      <c r="F1365" s="349">
        <v>55.3</v>
      </c>
      <c r="G1365" s="349" t="s">
        <v>604</v>
      </c>
      <c r="H1365" s="349">
        <v>55.2</v>
      </c>
      <c r="I1365" s="995"/>
      <c r="J1365" s="996"/>
      <c r="K1365" s="997"/>
      <c r="L1365" s="99"/>
      <c r="M1365" s="100"/>
    </row>
    <row r="1366" spans="3:13">
      <c r="D1366" s="89"/>
      <c r="E1366" s="603">
        <v>45568</v>
      </c>
      <c r="F1366" s="349">
        <v>55.2</v>
      </c>
      <c r="G1366" s="349" t="s">
        <v>759</v>
      </c>
      <c r="H1366" s="349">
        <v>55.7</v>
      </c>
      <c r="I1366" s="995"/>
      <c r="J1366" s="996"/>
      <c r="K1366" s="997"/>
      <c r="L1366" s="101"/>
      <c r="M1366" s="100"/>
    </row>
    <row r="1367" spans="3:13">
      <c r="D1367" s="89"/>
      <c r="E1367" s="603">
        <v>45558</v>
      </c>
      <c r="F1367" s="349">
        <v>55.4</v>
      </c>
      <c r="G1367" s="349" t="s">
        <v>585</v>
      </c>
      <c r="H1367" s="349">
        <v>55.7</v>
      </c>
      <c r="I1367" s="995"/>
      <c r="J1367" s="996"/>
      <c r="K1367" s="997"/>
      <c r="L1367" s="99"/>
      <c r="M1367" s="100"/>
    </row>
    <row r="1368" spans="3:13">
      <c r="D1368" s="89"/>
      <c r="E1368" s="603">
        <v>45540</v>
      </c>
      <c r="F1368" s="349">
        <v>55.7</v>
      </c>
      <c r="G1368" s="349" t="s">
        <v>586</v>
      </c>
      <c r="H1368" s="349">
        <v>55</v>
      </c>
      <c r="I1368" s="995"/>
      <c r="J1368" s="996"/>
      <c r="K1368" s="997"/>
      <c r="L1368" s="99"/>
      <c r="M1368" s="100"/>
    </row>
    <row r="1369" spans="3:13" ht="20" thickBot="1">
      <c r="D1369" s="89"/>
      <c r="E1369" s="607">
        <v>45526</v>
      </c>
      <c r="F1369" s="350">
        <v>55.2</v>
      </c>
      <c r="G1369" s="350" t="s">
        <v>587</v>
      </c>
      <c r="H1369" s="350">
        <v>55</v>
      </c>
      <c r="I1369" s="998"/>
      <c r="J1369" s="999"/>
      <c r="K1369" s="1000"/>
      <c r="L1369" s="102"/>
      <c r="M1369" s="103"/>
    </row>
    <row r="1370" spans="3:13" ht="25" thickBot="1">
      <c r="C1370" t="s">
        <v>105</v>
      </c>
      <c r="D1370">
        <v>1</v>
      </c>
      <c r="E1370" s="598" t="s">
        <v>30</v>
      </c>
      <c r="F1370" s="1102" t="s">
        <v>1060</v>
      </c>
      <c r="G1370" s="1103"/>
      <c r="H1370" s="1104"/>
      <c r="I1370" s="1131" t="s">
        <v>633</v>
      </c>
      <c r="J1370" s="1129"/>
      <c r="K1370" s="1130"/>
      <c r="L1370" s="158" t="s">
        <v>430</v>
      </c>
      <c r="M1370" s="105" t="s">
        <v>431</v>
      </c>
    </row>
    <row r="1371" spans="3:13">
      <c r="E1371" s="599" t="s">
        <v>432</v>
      </c>
      <c r="F1371" s="1105"/>
      <c r="G1371" s="1106"/>
      <c r="H1371" s="1107"/>
      <c r="I1371" s="995" t="s">
        <v>1061</v>
      </c>
      <c r="J1371" s="996"/>
      <c r="K1371" s="997"/>
      <c r="L1371" s="99"/>
      <c r="M1371" s="100"/>
    </row>
    <row r="1372" spans="3:13">
      <c r="E1372" s="600" t="s">
        <v>433</v>
      </c>
      <c r="F1372" s="1117" t="s">
        <v>1090</v>
      </c>
      <c r="G1372" s="1109"/>
      <c r="H1372" s="1110"/>
      <c r="I1372" s="995"/>
      <c r="J1372" s="996"/>
      <c r="K1372" s="997"/>
      <c r="L1372" s="99"/>
      <c r="M1372" s="100"/>
    </row>
    <row r="1373" spans="3:13" ht="20" thickBot="1">
      <c r="E1373" s="600" t="s">
        <v>434</v>
      </c>
      <c r="F1373" s="1117">
        <v>108.7</v>
      </c>
      <c r="G1373" s="1109"/>
      <c r="H1373" s="1110"/>
      <c r="I1373" s="995"/>
      <c r="J1373" s="996"/>
      <c r="K1373" s="997"/>
      <c r="L1373" s="99"/>
      <c r="M1373" s="100"/>
    </row>
    <row r="1374" spans="3:13" ht="20" thickBot="1">
      <c r="E1374" s="601" t="s">
        <v>435</v>
      </c>
      <c r="F1374" s="1114">
        <v>0.625</v>
      </c>
      <c r="G1374" s="1115"/>
      <c r="H1374" s="1116"/>
      <c r="I1374" s="995"/>
      <c r="J1374" s="996"/>
      <c r="K1374" s="997"/>
      <c r="L1374" s="106">
        <v>0.85416666666666663</v>
      </c>
      <c r="M1374" s="107">
        <v>0.70833333333333326</v>
      </c>
    </row>
    <row r="1375" spans="3:13" ht="20" thickBot="1">
      <c r="E1375" s="602" t="s">
        <v>436</v>
      </c>
      <c r="F1375" s="252" t="s">
        <v>29</v>
      </c>
      <c r="G1375" s="252" t="s">
        <v>28</v>
      </c>
      <c r="H1375" s="253" t="s">
        <v>27</v>
      </c>
      <c r="I1375" s="995"/>
      <c r="J1375" s="996"/>
      <c r="K1375" s="997"/>
      <c r="L1375" s="99"/>
      <c r="M1375" s="100"/>
    </row>
    <row r="1376" spans="3:13">
      <c r="E1376" s="603">
        <v>45594</v>
      </c>
      <c r="F1376" s="256">
        <v>108.7</v>
      </c>
      <c r="G1376" s="256" t="s">
        <v>1091</v>
      </c>
      <c r="H1376" s="256">
        <v>99.2</v>
      </c>
      <c r="I1376" s="995"/>
      <c r="J1376" s="996"/>
      <c r="K1376" s="997"/>
      <c r="L1376" s="99"/>
      <c r="M1376" s="100"/>
    </row>
    <row r="1377" spans="4:13">
      <c r="E1377" s="603">
        <v>45559</v>
      </c>
      <c r="F1377" s="256">
        <v>98.7</v>
      </c>
      <c r="G1377" s="256" t="s">
        <v>874</v>
      </c>
      <c r="H1377" s="256">
        <v>105.6</v>
      </c>
      <c r="I1377" s="995"/>
      <c r="J1377" s="996"/>
      <c r="K1377" s="997"/>
      <c r="L1377" s="99"/>
      <c r="M1377" s="100"/>
    </row>
    <row r="1378" spans="4:13">
      <c r="E1378" s="603">
        <v>45531</v>
      </c>
      <c r="F1378" s="256">
        <v>103.3</v>
      </c>
      <c r="G1378" s="256" t="s">
        <v>875</v>
      </c>
      <c r="H1378" s="256">
        <v>101.9</v>
      </c>
      <c r="I1378" s="995"/>
      <c r="J1378" s="996"/>
      <c r="K1378" s="997"/>
      <c r="L1378" s="101"/>
      <c r="M1378" s="100"/>
    </row>
    <row r="1379" spans="4:13">
      <c r="E1379" s="603">
        <v>45503</v>
      </c>
      <c r="F1379" s="256">
        <v>100.3</v>
      </c>
      <c r="G1379" s="256" t="s">
        <v>876</v>
      </c>
      <c r="H1379" s="256">
        <v>97.8</v>
      </c>
      <c r="I1379" s="995"/>
      <c r="J1379" s="996"/>
      <c r="K1379" s="997"/>
      <c r="L1379" s="99"/>
      <c r="M1379" s="100"/>
    </row>
    <row r="1380" spans="4:13">
      <c r="E1380" s="603">
        <v>45468</v>
      </c>
      <c r="F1380" s="256">
        <v>100.4</v>
      </c>
      <c r="G1380" s="256" t="s">
        <v>877</v>
      </c>
      <c r="H1380" s="256">
        <v>101.3</v>
      </c>
      <c r="I1380" s="995"/>
      <c r="J1380" s="996"/>
      <c r="K1380" s="997"/>
      <c r="L1380" s="99"/>
      <c r="M1380" s="100"/>
    </row>
    <row r="1381" spans="4:13" ht="20" thickBot="1">
      <c r="E1381" s="603">
        <v>45440</v>
      </c>
      <c r="F1381" s="256">
        <v>102</v>
      </c>
      <c r="G1381" s="256" t="s">
        <v>878</v>
      </c>
      <c r="H1381" s="256">
        <v>97.5</v>
      </c>
      <c r="I1381" s="998"/>
      <c r="J1381" s="999"/>
      <c r="K1381" s="1000"/>
      <c r="L1381" s="102"/>
      <c r="M1381" s="103"/>
    </row>
    <row r="1382" spans="4:13" ht="25" thickBot="1">
      <c r="D1382">
        <v>2</v>
      </c>
      <c r="E1382" s="598" t="s">
        <v>30</v>
      </c>
      <c r="F1382" s="1102" t="s">
        <v>1062</v>
      </c>
      <c r="G1382" s="1103"/>
      <c r="H1382" s="1104"/>
      <c r="I1382" s="1131" t="s">
        <v>633</v>
      </c>
      <c r="J1382" s="1129"/>
      <c r="K1382" s="1130"/>
      <c r="L1382" s="158" t="s">
        <v>430</v>
      </c>
      <c r="M1382" s="105" t="s">
        <v>431</v>
      </c>
    </row>
    <row r="1383" spans="4:13">
      <c r="E1383" s="599" t="s">
        <v>432</v>
      </c>
      <c r="F1383" s="1105"/>
      <c r="G1383" s="1106"/>
      <c r="H1383" s="1107"/>
      <c r="I1383" s="995" t="s">
        <v>1064</v>
      </c>
      <c r="J1383" s="996"/>
      <c r="K1383" s="997"/>
      <c r="L1383" s="99"/>
      <c r="M1383" s="100"/>
    </row>
    <row r="1384" spans="4:13">
      <c r="E1384" s="600" t="s">
        <v>433</v>
      </c>
      <c r="F1384" s="1111"/>
      <c r="G1384" s="1112"/>
      <c r="H1384" s="1113"/>
      <c r="I1384" s="995"/>
      <c r="J1384" s="996"/>
      <c r="K1384" s="997"/>
      <c r="L1384" s="99"/>
      <c r="M1384" s="100"/>
    </row>
    <row r="1385" spans="4:13" ht="20" thickBot="1">
      <c r="E1385" s="600" t="s">
        <v>434</v>
      </c>
      <c r="F1385" s="1111" t="s">
        <v>1063</v>
      </c>
      <c r="G1385" s="1112"/>
      <c r="H1385" s="1113"/>
      <c r="I1385" s="995"/>
      <c r="J1385" s="996"/>
      <c r="K1385" s="997"/>
      <c r="L1385" s="99"/>
      <c r="M1385" s="100"/>
    </row>
    <row r="1386" spans="4:13" ht="20" thickBot="1">
      <c r="E1386" s="601" t="s">
        <v>435</v>
      </c>
      <c r="F1386" s="1114">
        <v>0.625</v>
      </c>
      <c r="G1386" s="1115"/>
      <c r="H1386" s="1116"/>
      <c r="I1386" s="995"/>
      <c r="J1386" s="996"/>
      <c r="K1386" s="997"/>
      <c r="L1386" s="106">
        <v>0.85416666666666663</v>
      </c>
      <c r="M1386" s="107">
        <v>0.70833333333333326</v>
      </c>
    </row>
    <row r="1387" spans="4:13" ht="20" thickBot="1">
      <c r="E1387" s="602" t="s">
        <v>436</v>
      </c>
      <c r="F1387" s="252" t="s">
        <v>29</v>
      </c>
      <c r="G1387" s="252" t="s">
        <v>28</v>
      </c>
      <c r="H1387" s="253" t="s">
        <v>27</v>
      </c>
      <c r="I1387" s="995"/>
      <c r="J1387" s="996"/>
      <c r="K1387" s="997"/>
      <c r="L1387" s="99"/>
      <c r="M1387" s="100"/>
    </row>
    <row r="1388" spans="4:13">
      <c r="E1388" s="603">
        <v>45589</v>
      </c>
      <c r="F1388" s="604" t="s">
        <v>1092</v>
      </c>
      <c r="G1388" s="604" t="s">
        <v>1093</v>
      </c>
      <c r="H1388" s="604" t="s">
        <v>1094</v>
      </c>
      <c r="I1388" s="995"/>
      <c r="J1388" s="996"/>
      <c r="K1388" s="997"/>
      <c r="L1388" s="99"/>
      <c r="M1388" s="100"/>
    </row>
    <row r="1389" spans="4:13">
      <c r="E1389" s="603">
        <v>45560</v>
      </c>
      <c r="F1389" s="604" t="s">
        <v>1095</v>
      </c>
      <c r="G1389" s="604" t="s">
        <v>1096</v>
      </c>
      <c r="H1389" s="604" t="s">
        <v>1097</v>
      </c>
      <c r="I1389" s="995"/>
      <c r="J1389" s="996"/>
      <c r="K1389" s="997"/>
      <c r="L1389" s="99"/>
      <c r="M1389" s="100"/>
    </row>
    <row r="1390" spans="4:13">
      <c r="E1390" s="603">
        <v>45527</v>
      </c>
      <c r="F1390" s="604" t="s">
        <v>1098</v>
      </c>
      <c r="G1390" s="604" t="s">
        <v>1099</v>
      </c>
      <c r="H1390" s="604" t="s">
        <v>1100</v>
      </c>
      <c r="I1390" s="995"/>
      <c r="J1390" s="996"/>
      <c r="K1390" s="997"/>
      <c r="L1390" s="101"/>
      <c r="M1390" s="100"/>
    </row>
    <row r="1391" spans="4:13">
      <c r="E1391" s="603">
        <v>45497</v>
      </c>
      <c r="F1391" s="604" t="s">
        <v>1101</v>
      </c>
      <c r="G1391" s="604" t="s">
        <v>1102</v>
      </c>
      <c r="H1391" s="604" t="s">
        <v>1103</v>
      </c>
      <c r="I1391" s="995"/>
      <c r="J1391" s="996"/>
      <c r="K1391" s="997"/>
      <c r="L1391" s="99"/>
      <c r="M1391" s="100"/>
    </row>
    <row r="1392" spans="4:13">
      <c r="E1392" s="603">
        <v>45469</v>
      </c>
      <c r="F1392" s="604" t="s">
        <v>1104</v>
      </c>
      <c r="G1392" s="604" t="s">
        <v>1105</v>
      </c>
      <c r="H1392" s="604" t="s">
        <v>1106</v>
      </c>
      <c r="I1392" s="995"/>
      <c r="J1392" s="996"/>
      <c r="K1392" s="997"/>
      <c r="L1392" s="99"/>
      <c r="M1392" s="100"/>
    </row>
    <row r="1393" spans="4:13" ht="20" thickBot="1">
      <c r="E1393" s="603">
        <v>45435</v>
      </c>
      <c r="F1393" s="604" t="s">
        <v>1107</v>
      </c>
      <c r="G1393" s="604" t="s">
        <v>1108</v>
      </c>
      <c r="H1393" s="604" t="s">
        <v>1109</v>
      </c>
      <c r="I1393" s="998"/>
      <c r="J1393" s="999"/>
      <c r="K1393" s="1000"/>
      <c r="L1393" s="102"/>
      <c r="M1393" s="103"/>
    </row>
    <row r="1394" spans="4:13" ht="25" thickBot="1">
      <c r="D1394" t="s">
        <v>105</v>
      </c>
      <c r="E1394" s="598" t="s">
        <v>30</v>
      </c>
      <c r="F1394" s="1102" t="s">
        <v>7</v>
      </c>
      <c r="G1394" s="1103"/>
      <c r="H1394" s="1104"/>
      <c r="I1394" s="1131" t="s">
        <v>633</v>
      </c>
      <c r="J1394" s="1129"/>
      <c r="K1394" s="1130"/>
      <c r="L1394" s="158" t="s">
        <v>430</v>
      </c>
      <c r="M1394" s="105" t="s">
        <v>431</v>
      </c>
    </row>
    <row r="1395" spans="4:13">
      <c r="E1395" s="599" t="s">
        <v>432</v>
      </c>
      <c r="F1395" s="1105"/>
      <c r="G1395" s="1106"/>
      <c r="H1395" s="1107"/>
      <c r="I1395" s="995" t="s">
        <v>1065</v>
      </c>
      <c r="J1395" s="996"/>
      <c r="K1395" s="997"/>
      <c r="L1395" s="99"/>
      <c r="M1395" s="100"/>
    </row>
    <row r="1396" spans="4:13">
      <c r="E1396" s="600" t="s">
        <v>433</v>
      </c>
      <c r="F1396" s="1111"/>
      <c r="G1396" s="1112"/>
      <c r="H1396" s="1113"/>
      <c r="I1396" s="995"/>
      <c r="J1396" s="996"/>
      <c r="K1396" s="997"/>
      <c r="L1396" s="99"/>
      <c r="M1396" s="100"/>
    </row>
    <row r="1397" spans="4:13" ht="20" thickBot="1">
      <c r="E1397" s="600" t="s">
        <v>434</v>
      </c>
      <c r="F1397" s="1111">
        <v>0</v>
      </c>
      <c r="G1397" s="1112"/>
      <c r="H1397" s="1113"/>
      <c r="I1397" s="995"/>
      <c r="J1397" s="996"/>
      <c r="K1397" s="997"/>
      <c r="L1397" s="99"/>
      <c r="M1397" s="100"/>
    </row>
    <row r="1398" spans="4:13" ht="20" thickBot="1">
      <c r="E1398" s="601" t="s">
        <v>435</v>
      </c>
      <c r="F1398" s="1114">
        <v>0.79166666666666663</v>
      </c>
      <c r="G1398" s="1115"/>
      <c r="H1398" s="1116"/>
      <c r="I1398" s="995"/>
      <c r="J1398" s="996"/>
      <c r="K1398" s="997"/>
      <c r="L1398" s="106">
        <v>2.0833333333333332E-2</v>
      </c>
      <c r="M1398" s="107">
        <v>0.875</v>
      </c>
    </row>
    <row r="1399" spans="4:13" ht="20" thickBot="1">
      <c r="E1399" s="602" t="s">
        <v>436</v>
      </c>
      <c r="F1399" s="252" t="s">
        <v>29</v>
      </c>
      <c r="G1399" s="252" t="s">
        <v>28</v>
      </c>
      <c r="H1399" s="253" t="s">
        <v>27</v>
      </c>
      <c r="I1399" s="995"/>
      <c r="J1399" s="996"/>
      <c r="K1399" s="997"/>
      <c r="L1399" s="99"/>
      <c r="M1399" s="100"/>
    </row>
    <row r="1400" spans="4:13">
      <c r="E1400" s="603">
        <v>45574</v>
      </c>
      <c r="F1400" s="604">
        <v>0</v>
      </c>
      <c r="G1400" s="604" t="s">
        <v>754</v>
      </c>
      <c r="H1400" s="604">
        <v>0</v>
      </c>
      <c r="I1400" s="995"/>
      <c r="J1400" s="996"/>
      <c r="K1400" s="997"/>
      <c r="L1400" s="99"/>
      <c r="M1400" s="100"/>
    </row>
    <row r="1401" spans="4:13">
      <c r="E1401" s="603">
        <v>45525</v>
      </c>
      <c r="F1401" s="604">
        <v>0</v>
      </c>
      <c r="G1401" s="604" t="s">
        <v>754</v>
      </c>
      <c r="H1401" s="604">
        <v>0</v>
      </c>
      <c r="I1401" s="995"/>
      <c r="J1401" s="996"/>
      <c r="K1401" s="997"/>
      <c r="L1401" s="99"/>
      <c r="M1401" s="100"/>
    </row>
    <row r="1402" spans="4:13">
      <c r="E1402" s="603">
        <v>45476</v>
      </c>
      <c r="F1402" s="604">
        <v>0</v>
      </c>
      <c r="G1402" s="604" t="s">
        <v>754</v>
      </c>
      <c r="H1402" s="604">
        <v>0</v>
      </c>
      <c r="I1402" s="995"/>
      <c r="J1402" s="996"/>
      <c r="K1402" s="997"/>
      <c r="L1402" s="101"/>
      <c r="M1402" s="100"/>
    </row>
    <row r="1403" spans="4:13">
      <c r="E1403" s="603">
        <v>45434</v>
      </c>
      <c r="F1403" s="604">
        <v>0</v>
      </c>
      <c r="G1403" s="604" t="s">
        <v>754</v>
      </c>
      <c r="H1403" s="604">
        <v>0</v>
      </c>
      <c r="I1403" s="995"/>
      <c r="J1403" s="996"/>
      <c r="K1403" s="997"/>
      <c r="L1403" s="99"/>
      <c r="M1403" s="100"/>
    </row>
    <row r="1404" spans="4:13">
      <c r="E1404" s="603">
        <v>45392</v>
      </c>
      <c r="F1404" s="604">
        <v>0</v>
      </c>
      <c r="G1404" s="604" t="s">
        <v>754</v>
      </c>
      <c r="H1404" s="604">
        <v>0</v>
      </c>
      <c r="I1404" s="995"/>
      <c r="J1404" s="996"/>
      <c r="K1404" s="997"/>
      <c r="L1404" s="99"/>
      <c r="M1404" s="100"/>
    </row>
    <row r="1405" spans="4:13" ht="20" thickBot="1">
      <c r="E1405" s="603">
        <v>45343</v>
      </c>
      <c r="F1405" s="604">
        <v>0</v>
      </c>
      <c r="G1405" s="604" t="s">
        <v>754</v>
      </c>
      <c r="H1405" s="604">
        <v>0</v>
      </c>
      <c r="I1405" s="998"/>
      <c r="J1405" s="999"/>
      <c r="K1405" s="1000"/>
      <c r="L1405" s="102"/>
      <c r="M1405" s="103"/>
    </row>
    <row r="1406" spans="4:13" ht="25" thickBot="1">
      <c r="D1406">
        <v>3</v>
      </c>
      <c r="E1406" s="598" t="s">
        <v>30</v>
      </c>
      <c r="F1406" s="1102" t="s">
        <v>50</v>
      </c>
      <c r="G1406" s="1103"/>
      <c r="H1406" s="1104"/>
      <c r="I1406" s="1131" t="s">
        <v>633</v>
      </c>
      <c r="J1406" s="1129"/>
      <c r="K1406" s="1130"/>
      <c r="L1406" s="158" t="s">
        <v>430</v>
      </c>
      <c r="M1406" s="105" t="s">
        <v>431</v>
      </c>
    </row>
    <row r="1407" spans="4:13">
      <c r="E1407" s="599" t="s">
        <v>432</v>
      </c>
      <c r="F1407" s="1105"/>
      <c r="G1407" s="1106"/>
      <c r="H1407" s="1107"/>
      <c r="I1407" s="995" t="s">
        <v>1066</v>
      </c>
      <c r="J1407" s="996"/>
      <c r="K1407" s="997"/>
      <c r="L1407" s="99"/>
      <c r="M1407" s="100"/>
    </row>
    <row r="1408" spans="4:13">
      <c r="E1408" s="600" t="s">
        <v>433</v>
      </c>
      <c r="F1408" s="1111">
        <v>4.2500000000000003E-2</v>
      </c>
      <c r="G1408" s="1112"/>
      <c r="H1408" s="1113"/>
      <c r="I1408" s="995"/>
      <c r="J1408" s="996"/>
      <c r="K1408" s="997"/>
      <c r="L1408" s="99"/>
      <c r="M1408" s="100"/>
    </row>
    <row r="1409" spans="4:13" ht="20" thickBot="1">
      <c r="E1409" s="600" t="s">
        <v>434</v>
      </c>
      <c r="F1409" s="1111">
        <v>4.7500000000000001E-2</v>
      </c>
      <c r="G1409" s="1112"/>
      <c r="H1409" s="1113"/>
      <c r="I1409" s="995"/>
      <c r="J1409" s="996"/>
      <c r="K1409" s="997"/>
      <c r="L1409" s="99"/>
      <c r="M1409" s="100"/>
    </row>
    <row r="1410" spans="4:13" ht="20" thickBot="1">
      <c r="E1410" s="601" t="s">
        <v>435</v>
      </c>
      <c r="F1410" s="1114">
        <v>4.1666666666666657E-2</v>
      </c>
      <c r="G1410" s="1115"/>
      <c r="H1410" s="1116"/>
      <c r="I1410" s="995"/>
      <c r="J1410" s="996"/>
      <c r="K1410" s="997"/>
      <c r="L1410" s="106">
        <v>0.27083333333333331</v>
      </c>
      <c r="M1410" s="107">
        <v>0.12499999999999997</v>
      </c>
    </row>
    <row r="1411" spans="4:13" ht="20" thickBot="1">
      <c r="E1411" s="602" t="s">
        <v>436</v>
      </c>
      <c r="F1411" s="252" t="s">
        <v>29</v>
      </c>
      <c r="G1411" s="252" t="s">
        <v>28</v>
      </c>
      <c r="H1411" s="253" t="s">
        <v>27</v>
      </c>
      <c r="I1411" s="995"/>
      <c r="J1411" s="996"/>
      <c r="K1411" s="997"/>
      <c r="L1411" s="99"/>
      <c r="M1411" s="100"/>
    </row>
    <row r="1412" spans="4:13">
      <c r="E1412" s="603">
        <v>45574</v>
      </c>
      <c r="F1412" s="345">
        <v>4.7500000000000001E-2</v>
      </c>
      <c r="G1412" s="345" t="s">
        <v>726</v>
      </c>
      <c r="H1412" s="345">
        <v>5.2499999999999998E-2</v>
      </c>
      <c r="I1412" s="995"/>
      <c r="J1412" s="996"/>
      <c r="K1412" s="997"/>
      <c r="L1412" s="99"/>
      <c r="M1412" s="100"/>
    </row>
    <row r="1413" spans="4:13">
      <c r="E1413" s="603">
        <v>45518</v>
      </c>
      <c r="F1413" s="345">
        <v>5.2499999999999998E-2</v>
      </c>
      <c r="G1413" s="345" t="s">
        <v>942</v>
      </c>
      <c r="H1413" s="345">
        <v>5.5E-2</v>
      </c>
      <c r="I1413" s="995"/>
      <c r="J1413" s="996"/>
      <c r="K1413" s="997"/>
      <c r="L1413" s="99"/>
      <c r="M1413" s="100"/>
    </row>
    <row r="1414" spans="4:13">
      <c r="E1414" s="603">
        <v>45483</v>
      </c>
      <c r="F1414" s="345">
        <v>5.5E-2</v>
      </c>
      <c r="G1414" s="345" t="s">
        <v>942</v>
      </c>
      <c r="H1414" s="345">
        <v>5.5E-2</v>
      </c>
      <c r="I1414" s="995"/>
      <c r="J1414" s="996"/>
      <c r="K1414" s="997"/>
      <c r="L1414" s="101"/>
      <c r="M1414" s="100"/>
    </row>
    <row r="1415" spans="4:13">
      <c r="E1415" s="603">
        <v>45434</v>
      </c>
      <c r="F1415" s="345">
        <v>5.5E-2</v>
      </c>
      <c r="G1415" s="345" t="s">
        <v>942</v>
      </c>
      <c r="H1415" s="345">
        <v>5.5E-2</v>
      </c>
      <c r="I1415" s="995"/>
      <c r="J1415" s="996"/>
      <c r="K1415" s="997"/>
      <c r="L1415" s="99"/>
      <c r="M1415" s="100"/>
    </row>
    <row r="1416" spans="4:13">
      <c r="E1416" s="603">
        <v>45392</v>
      </c>
      <c r="F1416" s="345">
        <v>5.5E-2</v>
      </c>
      <c r="G1416" s="345" t="s">
        <v>942</v>
      </c>
      <c r="H1416" s="345">
        <v>5.5E-2</v>
      </c>
      <c r="I1416" s="995"/>
      <c r="J1416" s="996"/>
      <c r="K1416" s="997"/>
      <c r="L1416" s="99"/>
      <c r="M1416" s="100"/>
    </row>
    <row r="1417" spans="4:13" ht="20" thickBot="1">
      <c r="E1417" s="603">
        <v>45350</v>
      </c>
      <c r="F1417" s="345">
        <v>5.5E-2</v>
      </c>
      <c r="G1417" s="345" t="s">
        <v>942</v>
      </c>
      <c r="H1417" s="345">
        <v>5.5E-2</v>
      </c>
      <c r="I1417" s="998"/>
      <c r="J1417" s="999"/>
      <c r="K1417" s="1000"/>
      <c r="L1417" s="102"/>
      <c r="M1417" s="103"/>
    </row>
    <row r="1418" spans="4:13" ht="25" thickBot="1">
      <c r="D1418">
        <v>4</v>
      </c>
      <c r="E1418" s="598" t="s">
        <v>30</v>
      </c>
      <c r="F1418" s="1102" t="s">
        <v>1067</v>
      </c>
      <c r="G1418" s="1103"/>
      <c r="H1418" s="1104"/>
      <c r="I1418" s="1131" t="s">
        <v>633</v>
      </c>
      <c r="J1418" s="1129"/>
      <c r="K1418" s="1130"/>
      <c r="L1418" s="158" t="s">
        <v>430</v>
      </c>
      <c r="M1418" s="105" t="s">
        <v>431</v>
      </c>
    </row>
    <row r="1419" spans="4:13">
      <c r="E1419" s="599" t="s">
        <v>432</v>
      </c>
      <c r="F1419" s="1105"/>
      <c r="G1419" s="1106"/>
      <c r="H1419" s="1107"/>
      <c r="I1419" s="995" t="s">
        <v>1068</v>
      </c>
      <c r="J1419" s="996"/>
      <c r="K1419" s="997"/>
      <c r="L1419" s="99"/>
      <c r="M1419" s="100"/>
    </row>
    <row r="1420" spans="4:13">
      <c r="E1420" s="600" t="s">
        <v>433</v>
      </c>
      <c r="F1420" s="1124"/>
      <c r="G1420" s="1112"/>
      <c r="H1420" s="1113"/>
      <c r="I1420" s="995"/>
      <c r="J1420" s="996"/>
      <c r="K1420" s="997"/>
      <c r="L1420" s="99"/>
      <c r="M1420" s="100"/>
    </row>
    <row r="1421" spans="4:13" ht="20" thickBot="1">
      <c r="E1421" s="600" t="s">
        <v>434</v>
      </c>
      <c r="F1421" s="1111">
        <v>-6.9999999999999993E-3</v>
      </c>
      <c r="G1421" s="1112"/>
      <c r="H1421" s="1113"/>
      <c r="I1421" s="995"/>
      <c r="J1421" s="996"/>
      <c r="K1421" s="997"/>
      <c r="L1421" s="99"/>
      <c r="M1421" s="100"/>
    </row>
    <row r="1422" spans="4:13" ht="20" thickBot="1">
      <c r="E1422" s="601" t="s">
        <v>435</v>
      </c>
      <c r="F1422" s="1114">
        <v>0.5625</v>
      </c>
      <c r="G1422" s="1115"/>
      <c r="H1422" s="1116"/>
      <c r="I1422" s="995"/>
      <c r="J1422" s="996"/>
      <c r="K1422" s="997"/>
      <c r="L1422" s="106">
        <v>0.79166666666666663</v>
      </c>
      <c r="M1422" s="107">
        <v>0.6875</v>
      </c>
    </row>
    <row r="1423" spans="4:13" ht="20" thickBot="1">
      <c r="E1423" s="602" t="s">
        <v>436</v>
      </c>
      <c r="F1423" s="252" t="s">
        <v>29</v>
      </c>
      <c r="G1423" s="252" t="s">
        <v>28</v>
      </c>
      <c r="H1423" s="253" t="s">
        <v>27</v>
      </c>
      <c r="I1423" s="995"/>
      <c r="J1423" s="996"/>
      <c r="K1423" s="997"/>
      <c r="L1423" s="99"/>
      <c r="M1423" s="100"/>
    </row>
    <row r="1424" spans="4:13">
      <c r="E1424" s="603">
        <v>45590</v>
      </c>
      <c r="F1424" s="345">
        <v>-8.0000000000000002E-3</v>
      </c>
      <c r="G1424" s="345" t="s">
        <v>1110</v>
      </c>
      <c r="H1424" s="345">
        <v>-8.0000000000000002E-3</v>
      </c>
      <c r="I1424" s="995"/>
      <c r="J1424" s="996"/>
      <c r="K1424" s="997"/>
      <c r="L1424" s="99"/>
      <c r="M1424" s="100"/>
    </row>
    <row r="1425" spans="4:13">
      <c r="E1425" s="603">
        <v>45561</v>
      </c>
      <c r="F1425" s="345">
        <v>0</v>
      </c>
      <c r="G1425" s="345" t="s">
        <v>778</v>
      </c>
      <c r="H1425" s="345">
        <v>9.9000000000000005E-2</v>
      </c>
      <c r="I1425" s="995"/>
      <c r="J1425" s="996"/>
      <c r="K1425" s="997"/>
      <c r="L1425" s="99"/>
      <c r="M1425" s="100"/>
    </row>
    <row r="1426" spans="4:13">
      <c r="E1426" s="603">
        <v>45530</v>
      </c>
      <c r="F1426" s="345">
        <v>9.9000000000000005E-2</v>
      </c>
      <c r="G1426" s="345" t="s">
        <v>630</v>
      </c>
      <c r="H1426" s="345">
        <v>-6.9000000000000006E-2</v>
      </c>
      <c r="I1426" s="995"/>
      <c r="J1426" s="996"/>
      <c r="K1426" s="997"/>
      <c r="L1426" s="101"/>
      <c r="M1426" s="100"/>
    </row>
    <row r="1427" spans="4:13">
      <c r="E1427" s="603">
        <v>45498</v>
      </c>
      <c r="F1427" s="345">
        <v>-6.6000000000000003E-2</v>
      </c>
      <c r="G1427" s="345" t="s">
        <v>467</v>
      </c>
      <c r="H1427" s="345">
        <v>1E-3</v>
      </c>
      <c r="I1427" s="995"/>
      <c r="J1427" s="996"/>
      <c r="K1427" s="997"/>
      <c r="L1427" s="99"/>
      <c r="M1427" s="100"/>
    </row>
    <row r="1428" spans="4:13">
      <c r="E1428" s="603">
        <v>45470</v>
      </c>
      <c r="F1428" s="345">
        <v>1E-3</v>
      </c>
      <c r="G1428" s="345" t="s">
        <v>782</v>
      </c>
      <c r="H1428" s="345">
        <v>2E-3</v>
      </c>
      <c r="I1428" s="995"/>
      <c r="J1428" s="996"/>
      <c r="K1428" s="997"/>
      <c r="L1428" s="99"/>
      <c r="M1428" s="100"/>
    </row>
    <row r="1429" spans="4:13" ht="20" thickBot="1">
      <c r="E1429" s="603">
        <v>45436</v>
      </c>
      <c r="F1429" s="345">
        <v>7.0000000000000001E-3</v>
      </c>
      <c r="G1429" s="345" t="s">
        <v>784</v>
      </c>
      <c r="H1429" s="345">
        <v>8.0000000000000002E-3</v>
      </c>
      <c r="I1429" s="998"/>
      <c r="J1429" s="999"/>
      <c r="K1429" s="1000"/>
      <c r="L1429" s="102"/>
      <c r="M1429" s="103"/>
    </row>
    <row r="1430" spans="4:13" ht="25" thickBot="1">
      <c r="D1430">
        <v>5</v>
      </c>
      <c r="E1430" s="598" t="s">
        <v>30</v>
      </c>
      <c r="F1430" s="1102" t="s">
        <v>1069</v>
      </c>
      <c r="G1430" s="1103"/>
      <c r="H1430" s="1104"/>
      <c r="I1430" s="1131" t="s">
        <v>633</v>
      </c>
      <c r="J1430" s="1129"/>
      <c r="K1430" s="1130"/>
      <c r="L1430" s="158" t="s">
        <v>430</v>
      </c>
      <c r="M1430" s="105" t="s">
        <v>431</v>
      </c>
    </row>
    <row r="1431" spans="4:13">
      <c r="E1431" s="599" t="s">
        <v>432</v>
      </c>
      <c r="F1431" s="1105"/>
      <c r="G1431" s="1106"/>
      <c r="H1431" s="1107"/>
      <c r="I1431" s="995" t="s">
        <v>1070</v>
      </c>
      <c r="J1431" s="996"/>
      <c r="K1431" s="997"/>
      <c r="L1431" s="99"/>
      <c r="M1431" s="100"/>
    </row>
    <row r="1432" spans="4:13">
      <c r="E1432" s="600" t="s">
        <v>433</v>
      </c>
      <c r="F1432" s="1111"/>
      <c r="G1432" s="1112"/>
      <c r="H1432" s="1113"/>
      <c r="I1432" s="995"/>
      <c r="J1432" s="996"/>
      <c r="K1432" s="997"/>
      <c r="L1432" s="99"/>
      <c r="M1432" s="100"/>
    </row>
    <row r="1433" spans="4:13" ht="20" thickBot="1">
      <c r="E1433" s="600" t="s">
        <v>434</v>
      </c>
      <c r="F1433" s="1111">
        <v>2.8000000000000001E-2</v>
      </c>
      <c r="G1433" s="1112"/>
      <c r="H1433" s="1113"/>
      <c r="I1433" s="995"/>
      <c r="J1433" s="996"/>
      <c r="K1433" s="997"/>
      <c r="L1433" s="99"/>
      <c r="M1433" s="100"/>
    </row>
    <row r="1434" spans="4:13" ht="20" thickBot="1">
      <c r="E1434" s="601" t="s">
        <v>435</v>
      </c>
      <c r="F1434" s="1114">
        <v>0.5625</v>
      </c>
      <c r="G1434" s="1115"/>
      <c r="H1434" s="1116"/>
      <c r="I1434" s="995"/>
      <c r="J1434" s="996"/>
      <c r="K1434" s="997"/>
      <c r="L1434" s="106">
        <v>0.79166666666666663</v>
      </c>
      <c r="M1434" s="107">
        <v>0.64583333333333326</v>
      </c>
    </row>
    <row r="1435" spans="4:13" ht="20" thickBot="1">
      <c r="E1435" s="602" t="s">
        <v>436</v>
      </c>
      <c r="F1435" s="252" t="s">
        <v>29</v>
      </c>
      <c r="G1435" s="252" t="s">
        <v>28</v>
      </c>
      <c r="H1435" s="253" t="s">
        <v>27</v>
      </c>
      <c r="I1435" s="995"/>
      <c r="J1435" s="996"/>
      <c r="K1435" s="997"/>
      <c r="L1435" s="99"/>
      <c r="M1435" s="100"/>
    </row>
    <row r="1436" spans="4:13">
      <c r="E1436" s="603">
        <v>45595</v>
      </c>
      <c r="F1436" s="345">
        <v>2.8000000000000001E-2</v>
      </c>
      <c r="G1436" s="345" t="s">
        <v>669</v>
      </c>
      <c r="H1436" s="345">
        <v>0.03</v>
      </c>
      <c r="I1436" s="995"/>
      <c r="J1436" s="996"/>
      <c r="K1436" s="997"/>
      <c r="L1436" s="99"/>
      <c r="M1436" s="100"/>
    </row>
    <row r="1437" spans="4:13">
      <c r="E1437" s="603">
        <v>45561</v>
      </c>
      <c r="F1437" s="345">
        <v>0.03</v>
      </c>
      <c r="G1437" s="345" t="s">
        <v>669</v>
      </c>
      <c r="H1437" s="345">
        <v>1.6E-2</v>
      </c>
      <c r="I1437" s="995"/>
      <c r="J1437" s="996"/>
      <c r="K1437" s="997"/>
      <c r="L1437" s="99"/>
      <c r="M1437" s="100"/>
    </row>
    <row r="1438" spans="4:13">
      <c r="E1438" s="603">
        <v>45533</v>
      </c>
      <c r="F1438" s="345">
        <v>0.03</v>
      </c>
      <c r="G1438" s="345" t="s">
        <v>666</v>
      </c>
      <c r="H1438" s="345">
        <v>1.4E-2</v>
      </c>
      <c r="I1438" s="995"/>
      <c r="J1438" s="996"/>
      <c r="K1438" s="997"/>
      <c r="L1438" s="101"/>
      <c r="M1438" s="100"/>
    </row>
    <row r="1439" spans="4:13">
      <c r="E1439" s="603">
        <v>45498</v>
      </c>
      <c r="F1439" s="345">
        <v>2.8000000000000001E-2</v>
      </c>
      <c r="G1439" s="345" t="s">
        <v>788</v>
      </c>
      <c r="H1439" s="345">
        <v>1.4E-2</v>
      </c>
      <c r="I1439" s="995"/>
      <c r="J1439" s="996"/>
      <c r="K1439" s="997"/>
      <c r="L1439" s="99"/>
      <c r="M1439" s="100"/>
    </row>
    <row r="1440" spans="4:13">
      <c r="E1440" s="603">
        <v>45470</v>
      </c>
      <c r="F1440" s="345">
        <v>1.4E-2</v>
      </c>
      <c r="G1440" s="345" t="s">
        <v>889</v>
      </c>
      <c r="H1440" s="345">
        <v>3.4000000000000002E-2</v>
      </c>
      <c r="I1440" s="995"/>
      <c r="J1440" s="996"/>
      <c r="K1440" s="997"/>
      <c r="L1440" s="99"/>
      <c r="M1440" s="100"/>
    </row>
    <row r="1441" spans="4:13" ht="20" thickBot="1">
      <c r="E1441" s="603">
        <v>45442</v>
      </c>
      <c r="F1441" s="345">
        <v>1.2999999999999999E-2</v>
      </c>
      <c r="G1441" s="345" t="s">
        <v>890</v>
      </c>
      <c r="H1441" s="345">
        <v>3.4000000000000002E-2</v>
      </c>
      <c r="I1441" s="998"/>
      <c r="J1441" s="999"/>
      <c r="K1441" s="1000"/>
      <c r="L1441" s="102"/>
      <c r="M1441" s="103"/>
    </row>
    <row r="1442" spans="4:13" ht="25" thickBot="1">
      <c r="D1442">
        <v>6</v>
      </c>
      <c r="E1442" s="598" t="s">
        <v>30</v>
      </c>
      <c r="F1442" s="1102" t="s">
        <v>14</v>
      </c>
      <c r="G1442" s="1103"/>
      <c r="H1442" s="1104"/>
      <c r="I1442" s="1131" t="s">
        <v>633</v>
      </c>
      <c r="J1442" s="1129"/>
      <c r="K1442" s="1130"/>
      <c r="L1442" s="158" t="s">
        <v>430</v>
      </c>
      <c r="M1442" s="105" t="s">
        <v>431</v>
      </c>
    </row>
    <row r="1443" spans="4:13">
      <c r="E1443" s="599" t="s">
        <v>432</v>
      </c>
      <c r="F1443" s="1105"/>
      <c r="G1443" s="1106"/>
      <c r="H1443" s="1107"/>
      <c r="I1443" s="995" t="s">
        <v>1072</v>
      </c>
      <c r="J1443" s="996"/>
      <c r="K1443" s="997"/>
      <c r="L1443" s="99"/>
      <c r="M1443" s="100"/>
    </row>
    <row r="1444" spans="4:13">
      <c r="E1444" s="600" t="s">
        <v>433</v>
      </c>
      <c r="F1444" s="1117"/>
      <c r="G1444" s="1109"/>
      <c r="H1444" s="1110"/>
      <c r="I1444" s="995"/>
      <c r="J1444" s="996"/>
      <c r="K1444" s="997"/>
      <c r="L1444" s="99"/>
      <c r="M1444" s="100"/>
    </row>
    <row r="1445" spans="4:13" ht="20" thickBot="1">
      <c r="E1445" s="600" t="s">
        <v>434</v>
      </c>
      <c r="F1445" s="1117" t="s">
        <v>1071</v>
      </c>
      <c r="G1445" s="1109"/>
      <c r="H1445" s="1110"/>
      <c r="I1445" s="995"/>
      <c r="J1445" s="996"/>
      <c r="K1445" s="997"/>
      <c r="L1445" s="99"/>
      <c r="M1445" s="100"/>
    </row>
    <row r="1446" spans="4:13" ht="20" thickBot="1">
      <c r="E1446" s="601" t="s">
        <v>435</v>
      </c>
      <c r="F1446" s="1114">
        <v>0.5625</v>
      </c>
      <c r="G1446" s="1115"/>
      <c r="H1446" s="1116"/>
      <c r="I1446" s="995"/>
      <c r="J1446" s="996"/>
      <c r="K1446" s="997"/>
      <c r="L1446" s="106">
        <v>0.79166666666666663</v>
      </c>
      <c r="M1446" s="107">
        <v>0.64583333333333326</v>
      </c>
    </row>
    <row r="1447" spans="4:13" ht="20" thickBot="1">
      <c r="E1447" s="602" t="s">
        <v>436</v>
      </c>
      <c r="F1447" s="252" t="s">
        <v>29</v>
      </c>
      <c r="G1447" s="252" t="s">
        <v>28</v>
      </c>
      <c r="H1447" s="253" t="s">
        <v>27</v>
      </c>
      <c r="I1447" s="995"/>
      <c r="J1447" s="996"/>
      <c r="K1447" s="997"/>
      <c r="L1447" s="99"/>
      <c r="M1447" s="100"/>
    </row>
    <row r="1448" spans="4:13">
      <c r="E1448" s="603">
        <v>45617</v>
      </c>
      <c r="F1448" s="256" t="s">
        <v>1111</v>
      </c>
      <c r="G1448" s="256" t="s">
        <v>1112</v>
      </c>
      <c r="H1448" s="256" t="s">
        <v>987</v>
      </c>
      <c r="I1448" s="995"/>
      <c r="J1448" s="996"/>
      <c r="K1448" s="997"/>
      <c r="L1448" s="99"/>
      <c r="M1448" s="100"/>
    </row>
    <row r="1449" spans="4:13">
      <c r="E1449" s="603">
        <v>45610</v>
      </c>
      <c r="F1449" s="256" t="s">
        <v>1031</v>
      </c>
      <c r="G1449" s="256" t="s">
        <v>1032</v>
      </c>
      <c r="H1449" s="256" t="s">
        <v>972</v>
      </c>
      <c r="I1449" s="995"/>
      <c r="J1449" s="996"/>
      <c r="K1449" s="997"/>
      <c r="L1449" s="99"/>
      <c r="M1449" s="100"/>
    </row>
    <row r="1450" spans="4:13">
      <c r="E1450" s="603">
        <v>45603</v>
      </c>
      <c r="F1450" s="256" t="s">
        <v>972</v>
      </c>
      <c r="G1450" s="256" t="s">
        <v>973</v>
      </c>
      <c r="H1450" s="256" t="s">
        <v>974</v>
      </c>
      <c r="I1450" s="995"/>
      <c r="J1450" s="996"/>
      <c r="K1450" s="997"/>
      <c r="L1450" s="101"/>
      <c r="M1450" s="100"/>
    </row>
    <row r="1451" spans="4:13">
      <c r="E1451" s="603">
        <v>45596</v>
      </c>
      <c r="F1451" s="256" t="s">
        <v>975</v>
      </c>
      <c r="G1451" s="256" t="s">
        <v>976</v>
      </c>
      <c r="H1451" s="256" t="s">
        <v>977</v>
      </c>
      <c r="I1451" s="995"/>
      <c r="J1451" s="996"/>
      <c r="K1451" s="997"/>
      <c r="L1451" s="99"/>
      <c r="M1451" s="100"/>
    </row>
    <row r="1452" spans="4:13">
      <c r="E1452" s="603">
        <v>45589</v>
      </c>
      <c r="F1452" s="256" t="s">
        <v>978</v>
      </c>
      <c r="G1452" s="256" t="s">
        <v>979</v>
      </c>
      <c r="H1452" s="256" t="s">
        <v>980</v>
      </c>
      <c r="I1452" s="995"/>
      <c r="J1452" s="996"/>
      <c r="K1452" s="997"/>
      <c r="L1452" s="99"/>
      <c r="M1452" s="100"/>
    </row>
    <row r="1453" spans="4:13" ht="20" thickBot="1">
      <c r="E1453" s="603">
        <v>45582</v>
      </c>
      <c r="F1453" s="256" t="s">
        <v>981</v>
      </c>
      <c r="G1453" s="256" t="s">
        <v>981</v>
      </c>
      <c r="H1453" s="256" t="s">
        <v>982</v>
      </c>
      <c r="I1453" s="998"/>
      <c r="J1453" s="999"/>
      <c r="K1453" s="1000"/>
      <c r="L1453" s="102"/>
      <c r="M1453" s="103"/>
    </row>
    <row r="1454" spans="4:13" ht="25" thickBot="1">
      <c r="D1454" s="88" t="s">
        <v>105</v>
      </c>
      <c r="E1454" s="598" t="s">
        <v>30</v>
      </c>
      <c r="F1454" s="1102" t="s">
        <v>1073</v>
      </c>
      <c r="G1454" s="1103"/>
      <c r="H1454" s="1104"/>
      <c r="I1454" s="1131" t="s">
        <v>633</v>
      </c>
      <c r="J1454" s="1129"/>
      <c r="K1454" s="1130"/>
      <c r="L1454" s="158" t="s">
        <v>430</v>
      </c>
      <c r="M1454" s="105" t="s">
        <v>431</v>
      </c>
    </row>
    <row r="1455" spans="4:13">
      <c r="D1455" s="89"/>
      <c r="E1455" s="599" t="s">
        <v>432</v>
      </c>
      <c r="F1455" s="1105"/>
      <c r="G1455" s="1106"/>
      <c r="H1455" s="1107"/>
      <c r="I1455" s="995" t="s">
        <v>1074</v>
      </c>
      <c r="J1455" s="996"/>
      <c r="K1455" s="997"/>
      <c r="L1455" s="99"/>
      <c r="M1455" s="100"/>
    </row>
    <row r="1456" spans="4:13">
      <c r="D1456" s="89"/>
      <c r="E1456" s="600" t="s">
        <v>433</v>
      </c>
      <c r="F1456" s="1117">
        <v>44.9</v>
      </c>
      <c r="G1456" s="1109"/>
      <c r="H1456" s="1110"/>
      <c r="I1456" s="995"/>
      <c r="J1456" s="996"/>
      <c r="K1456" s="997"/>
      <c r="L1456" s="99"/>
      <c r="M1456" s="100"/>
    </row>
    <row r="1457" spans="4:13" ht="20" thickBot="1">
      <c r="D1457" s="89"/>
      <c r="E1457" s="600" t="s">
        <v>434</v>
      </c>
      <c r="F1457" s="1117">
        <v>41.6</v>
      </c>
      <c r="G1457" s="1109"/>
      <c r="H1457" s="1110"/>
      <c r="I1457" s="995"/>
      <c r="J1457" s="996"/>
      <c r="K1457" s="997"/>
      <c r="L1457" s="99"/>
      <c r="M1457" s="100"/>
    </row>
    <row r="1458" spans="4:13" ht="20" thickBot="1">
      <c r="D1458" s="89"/>
      <c r="E1458" s="601" t="s">
        <v>435</v>
      </c>
      <c r="F1458" s="1114">
        <v>0.61458333333333337</v>
      </c>
      <c r="G1458" s="1115"/>
      <c r="H1458" s="1116"/>
      <c r="I1458" s="995"/>
      <c r="J1458" s="996"/>
      <c r="K1458" s="997"/>
      <c r="L1458" s="106">
        <v>0.84375</v>
      </c>
      <c r="M1458" s="107">
        <v>0.69791666666666663</v>
      </c>
    </row>
    <row r="1459" spans="4:13" ht="20" thickBot="1">
      <c r="D1459" s="89"/>
      <c r="E1459" s="602" t="s">
        <v>436</v>
      </c>
      <c r="F1459" s="252" t="s">
        <v>29</v>
      </c>
      <c r="G1459" s="252" t="s">
        <v>28</v>
      </c>
      <c r="H1459" s="253" t="s">
        <v>27</v>
      </c>
      <c r="I1459" s="995"/>
      <c r="J1459" s="996"/>
      <c r="K1459" s="997"/>
      <c r="L1459" s="99"/>
      <c r="M1459" s="100"/>
    </row>
    <row r="1460" spans="4:13">
      <c r="D1460" s="89"/>
      <c r="E1460" s="603">
        <v>45596</v>
      </c>
      <c r="F1460" s="604" t="s">
        <v>1113</v>
      </c>
      <c r="G1460" s="604" t="s">
        <v>1114</v>
      </c>
      <c r="H1460" s="604" t="s">
        <v>1115</v>
      </c>
      <c r="I1460" s="995"/>
      <c r="J1460" s="996"/>
      <c r="K1460" s="997"/>
      <c r="L1460" s="99"/>
      <c r="M1460" s="100"/>
    </row>
    <row r="1461" spans="4:13">
      <c r="D1461" s="89"/>
      <c r="E1461" s="603">
        <v>45565</v>
      </c>
      <c r="F1461" s="604" t="s">
        <v>1115</v>
      </c>
      <c r="G1461" s="604" t="s">
        <v>1116</v>
      </c>
      <c r="H1461" s="604" t="s">
        <v>1116</v>
      </c>
      <c r="I1461" s="995"/>
      <c r="J1461" s="996"/>
      <c r="K1461" s="997"/>
      <c r="L1461" s="99"/>
      <c r="M1461" s="100"/>
    </row>
    <row r="1462" spans="4:13">
      <c r="D1462" s="89"/>
      <c r="E1462" s="603">
        <v>45534</v>
      </c>
      <c r="F1462" s="604" t="s">
        <v>1116</v>
      </c>
      <c r="G1462" s="604" t="s">
        <v>1117</v>
      </c>
      <c r="H1462" s="604" t="s">
        <v>1118</v>
      </c>
      <c r="I1462" s="995"/>
      <c r="J1462" s="996"/>
      <c r="K1462" s="997"/>
      <c r="L1462" s="101"/>
      <c r="M1462" s="100"/>
    </row>
    <row r="1463" spans="4:13">
      <c r="D1463" s="89"/>
      <c r="E1463" s="603">
        <v>45504</v>
      </c>
      <c r="F1463" s="604" t="s">
        <v>1118</v>
      </c>
      <c r="G1463" s="604" t="s">
        <v>1119</v>
      </c>
      <c r="H1463" s="604" t="s">
        <v>1120</v>
      </c>
      <c r="I1463" s="995"/>
      <c r="J1463" s="996"/>
      <c r="K1463" s="997"/>
      <c r="L1463" s="99"/>
      <c r="M1463" s="100"/>
    </row>
    <row r="1464" spans="4:13">
      <c r="D1464" s="89"/>
      <c r="E1464" s="603">
        <v>45471</v>
      </c>
      <c r="F1464" s="604" t="s">
        <v>1120</v>
      </c>
      <c r="G1464" s="604" t="s">
        <v>1121</v>
      </c>
      <c r="H1464" s="604" t="s">
        <v>1122</v>
      </c>
      <c r="I1464" s="995"/>
      <c r="J1464" s="996"/>
      <c r="K1464" s="997"/>
      <c r="L1464" s="99"/>
      <c r="M1464" s="100"/>
    </row>
    <row r="1465" spans="4:13" ht="20" thickBot="1">
      <c r="D1465" s="89"/>
      <c r="E1465" s="603">
        <v>45443</v>
      </c>
      <c r="F1465" s="604" t="s">
        <v>1122</v>
      </c>
      <c r="G1465" s="604" t="s">
        <v>1123</v>
      </c>
      <c r="H1465" s="604" t="s">
        <v>1124</v>
      </c>
      <c r="I1465" s="998"/>
      <c r="J1465" s="999"/>
      <c r="K1465" s="1000"/>
      <c r="L1465" s="102"/>
      <c r="M1465" s="103"/>
    </row>
    <row r="1466" spans="4:13" ht="25" thickBot="1">
      <c r="D1466">
        <v>7</v>
      </c>
      <c r="E1466" s="598" t="s">
        <v>30</v>
      </c>
      <c r="F1466" s="1102" t="s">
        <v>1075</v>
      </c>
      <c r="G1466" s="1103"/>
      <c r="H1466" s="1104"/>
      <c r="I1466" s="1131" t="s">
        <v>633</v>
      </c>
      <c r="J1466" s="1129"/>
      <c r="K1466" s="1130"/>
      <c r="L1466" s="158" t="s">
        <v>430</v>
      </c>
      <c r="M1466" s="105" t="s">
        <v>431</v>
      </c>
    </row>
    <row r="1467" spans="4:13">
      <c r="D1467" s="89"/>
      <c r="E1467" s="599" t="s">
        <v>432</v>
      </c>
      <c r="F1467" s="1105"/>
      <c r="G1467" s="1106"/>
      <c r="H1467" s="1107"/>
      <c r="I1467" s="995" t="s">
        <v>1076</v>
      </c>
      <c r="J1467" s="996"/>
      <c r="K1467" s="997"/>
      <c r="L1467" s="99"/>
      <c r="M1467" s="100"/>
    </row>
    <row r="1468" spans="4:13">
      <c r="D1468" s="89"/>
      <c r="E1468" s="600" t="s">
        <v>433</v>
      </c>
      <c r="F1468" s="1117"/>
      <c r="G1468" s="1109"/>
      <c r="H1468" s="1110"/>
      <c r="I1468" s="995"/>
      <c r="J1468" s="996"/>
      <c r="K1468" s="997"/>
      <c r="L1468" s="99"/>
      <c r="M1468" s="100"/>
    </row>
    <row r="1469" spans="4:13" ht="20" thickBot="1">
      <c r="D1469" s="89"/>
      <c r="E1469" s="600" t="s">
        <v>434</v>
      </c>
      <c r="F1469" s="1111">
        <v>2.7E-2</v>
      </c>
      <c r="G1469" s="1112"/>
      <c r="H1469" s="1113"/>
      <c r="I1469" s="995"/>
      <c r="J1469" s="996"/>
      <c r="K1469" s="997"/>
      <c r="L1469" s="99"/>
      <c r="M1469" s="100"/>
    </row>
    <row r="1470" spans="4:13" ht="20" thickBot="1">
      <c r="D1470" s="89"/>
      <c r="E1470" s="601" t="s">
        <v>435</v>
      </c>
      <c r="F1470" s="1114">
        <v>0.5625</v>
      </c>
      <c r="G1470" s="1115"/>
      <c r="H1470" s="1116"/>
      <c r="I1470" s="995"/>
      <c r="J1470" s="996"/>
      <c r="K1470" s="997"/>
      <c r="L1470" s="106">
        <v>0.79166666666666663</v>
      </c>
      <c r="M1470" s="107">
        <v>0.64583333333333326</v>
      </c>
    </row>
    <row r="1471" spans="4:13" ht="20" thickBot="1">
      <c r="D1471" s="89"/>
      <c r="E1471" s="602" t="s">
        <v>436</v>
      </c>
      <c r="F1471" s="252" t="s">
        <v>29</v>
      </c>
      <c r="G1471" s="252" t="s">
        <v>28</v>
      </c>
      <c r="H1471" s="253" t="s">
        <v>27</v>
      </c>
      <c r="I1471" s="995"/>
      <c r="J1471" s="996"/>
      <c r="K1471" s="997"/>
      <c r="L1471" s="99"/>
      <c r="M1471" s="100"/>
    </row>
    <row r="1472" spans="4:13">
      <c r="D1472" s="89"/>
      <c r="E1472" s="603">
        <v>45596</v>
      </c>
      <c r="F1472" s="341">
        <v>2.7E-2</v>
      </c>
      <c r="G1472" s="341" t="s">
        <v>493</v>
      </c>
      <c r="H1472" s="341">
        <v>2.7E-2</v>
      </c>
      <c r="I1472" s="995"/>
      <c r="J1472" s="996"/>
      <c r="K1472" s="997"/>
      <c r="L1472" s="99"/>
      <c r="M1472" s="100"/>
    </row>
    <row r="1473" spans="4:13">
      <c r="D1473" s="89"/>
      <c r="E1473" s="603">
        <v>45562</v>
      </c>
      <c r="F1473" s="341">
        <v>2.7E-2</v>
      </c>
      <c r="G1473" s="341" t="s">
        <v>665</v>
      </c>
      <c r="H1473" s="341">
        <v>2.5999999999999999E-2</v>
      </c>
      <c r="I1473" s="995"/>
      <c r="J1473" s="996"/>
      <c r="K1473" s="997"/>
      <c r="L1473" s="99"/>
      <c r="M1473" s="100"/>
    </row>
    <row r="1474" spans="4:13">
      <c r="D1474" s="89"/>
      <c r="E1474" s="603">
        <v>45534</v>
      </c>
      <c r="F1474" s="341">
        <v>2.5999999999999999E-2</v>
      </c>
      <c r="G1474" s="341" t="s">
        <v>665</v>
      </c>
      <c r="H1474" s="341">
        <v>2.5999999999999999E-2</v>
      </c>
      <c r="I1474" s="995"/>
      <c r="J1474" s="996"/>
      <c r="K1474" s="997"/>
      <c r="L1474" s="101"/>
      <c r="M1474" s="100"/>
    </row>
    <row r="1475" spans="4:13">
      <c r="D1475" s="89"/>
      <c r="E1475" s="603">
        <v>45499</v>
      </c>
      <c r="F1475" s="341">
        <v>2.5999999999999999E-2</v>
      </c>
      <c r="G1475" s="341" t="s">
        <v>495</v>
      </c>
      <c r="H1475" s="341">
        <v>2.5999999999999999E-2</v>
      </c>
      <c r="I1475" s="995"/>
      <c r="J1475" s="996"/>
      <c r="K1475" s="997"/>
      <c r="L1475" s="99"/>
      <c r="M1475" s="100"/>
    </row>
    <row r="1476" spans="4:13">
      <c r="D1476" s="89"/>
      <c r="E1476" s="603">
        <v>45471</v>
      </c>
      <c r="F1476" s="341">
        <v>2.5999999999999999E-2</v>
      </c>
      <c r="G1476" s="341" t="s">
        <v>493</v>
      </c>
      <c r="H1476" s="341">
        <v>2.8000000000000001E-2</v>
      </c>
      <c r="I1476" s="995"/>
      <c r="J1476" s="996"/>
      <c r="K1476" s="997"/>
      <c r="L1476" s="99"/>
      <c r="M1476" s="100"/>
    </row>
    <row r="1477" spans="4:13" ht="20" thickBot="1">
      <c r="D1477" s="89"/>
      <c r="E1477" s="603">
        <v>45443</v>
      </c>
      <c r="F1477" s="341">
        <v>2.8000000000000001E-2</v>
      </c>
      <c r="G1477" s="341" t="s">
        <v>666</v>
      </c>
      <c r="H1477" s="341">
        <v>2.8000000000000001E-2</v>
      </c>
      <c r="I1477" s="998"/>
      <c r="J1477" s="999"/>
      <c r="K1477" s="1000"/>
      <c r="L1477" s="102"/>
      <c r="M1477" s="103"/>
    </row>
    <row r="1478" spans="4:13" ht="25" thickBot="1">
      <c r="D1478">
        <v>8</v>
      </c>
      <c r="E1478" s="598" t="s">
        <v>30</v>
      </c>
      <c r="F1478" s="1102" t="s">
        <v>1077</v>
      </c>
      <c r="G1478" s="1103"/>
      <c r="H1478" s="1104"/>
      <c r="I1478" s="1131" t="s">
        <v>633</v>
      </c>
      <c r="J1478" s="1129"/>
      <c r="K1478" s="1130"/>
      <c r="L1478" s="158" t="s">
        <v>430</v>
      </c>
      <c r="M1478" s="105" t="s">
        <v>431</v>
      </c>
    </row>
    <row r="1479" spans="4:13">
      <c r="D1479" s="89"/>
      <c r="E1479" s="599" t="s">
        <v>432</v>
      </c>
      <c r="F1479" s="1105"/>
      <c r="G1479" s="1106"/>
      <c r="H1479" s="1107"/>
      <c r="I1479" s="995" t="s">
        <v>1076</v>
      </c>
      <c r="J1479" s="996"/>
      <c r="K1479" s="997"/>
      <c r="L1479" s="99"/>
      <c r="M1479" s="100"/>
    </row>
    <row r="1480" spans="4:13">
      <c r="D1480" s="89"/>
      <c r="E1480" s="600" t="s">
        <v>433</v>
      </c>
      <c r="F1480" s="1125"/>
      <c r="G1480" s="1126"/>
      <c r="H1480" s="1127"/>
      <c r="I1480" s="995"/>
      <c r="J1480" s="996"/>
      <c r="K1480" s="997"/>
      <c r="L1480" s="99"/>
      <c r="M1480" s="100"/>
    </row>
    <row r="1481" spans="4:13" ht="20" thickBot="1">
      <c r="D1481" s="89"/>
      <c r="E1481" s="600" t="s">
        <v>434</v>
      </c>
      <c r="F1481" s="1111">
        <v>3.0000000000000001E-3</v>
      </c>
      <c r="G1481" s="1112"/>
      <c r="H1481" s="1113"/>
      <c r="I1481" s="995"/>
      <c r="J1481" s="996"/>
      <c r="K1481" s="997"/>
      <c r="L1481" s="99"/>
      <c r="M1481" s="100"/>
    </row>
    <row r="1482" spans="4:13" ht="20" thickBot="1">
      <c r="D1482" s="89"/>
      <c r="E1482" s="601" t="s">
        <v>435</v>
      </c>
      <c r="F1482" s="1114">
        <v>0.5625</v>
      </c>
      <c r="G1482" s="1115"/>
      <c r="H1482" s="1116"/>
      <c r="I1482" s="995"/>
      <c r="J1482" s="996"/>
      <c r="K1482" s="997"/>
      <c r="L1482" s="106">
        <v>0.79166666666666663</v>
      </c>
      <c r="M1482" s="107">
        <v>0.64583333333333326</v>
      </c>
    </row>
    <row r="1483" spans="4:13" ht="20" thickBot="1">
      <c r="D1483" s="89"/>
      <c r="E1483" s="602" t="s">
        <v>436</v>
      </c>
      <c r="F1483" s="252" t="s">
        <v>29</v>
      </c>
      <c r="G1483" s="252" t="s">
        <v>28</v>
      </c>
      <c r="H1483" s="253" t="s">
        <v>27</v>
      </c>
      <c r="I1483" s="995"/>
      <c r="J1483" s="996"/>
      <c r="K1483" s="997"/>
      <c r="L1483" s="99"/>
      <c r="M1483" s="100"/>
    </row>
    <row r="1484" spans="4:13">
      <c r="D1484" s="89"/>
      <c r="E1484" s="603">
        <v>45596</v>
      </c>
      <c r="F1484" s="341">
        <v>3.0000000000000001E-3</v>
      </c>
      <c r="G1484" s="341" t="s">
        <v>467</v>
      </c>
      <c r="H1484" s="341">
        <v>2E-3</v>
      </c>
      <c r="I1484" s="995"/>
      <c r="J1484" s="996"/>
      <c r="K1484" s="997"/>
      <c r="L1484" s="99"/>
      <c r="M1484" s="100"/>
    </row>
    <row r="1485" spans="4:13">
      <c r="D1485" s="89"/>
      <c r="E1485" s="603">
        <v>45562</v>
      </c>
      <c r="F1485" s="341">
        <v>1E-3</v>
      </c>
      <c r="G1485" s="341" t="s">
        <v>460</v>
      </c>
      <c r="H1485" s="341">
        <v>2E-3</v>
      </c>
      <c r="I1485" s="995"/>
      <c r="J1485" s="996"/>
      <c r="K1485" s="997"/>
      <c r="L1485" s="99"/>
      <c r="M1485" s="100"/>
    </row>
    <row r="1486" spans="4:13">
      <c r="D1486" s="89"/>
      <c r="E1486" s="603">
        <v>45534</v>
      </c>
      <c r="F1486" s="341">
        <v>2E-3</v>
      </c>
      <c r="G1486" s="341" t="s">
        <v>460</v>
      </c>
      <c r="H1486" s="341">
        <v>2E-3</v>
      </c>
      <c r="I1486" s="995"/>
      <c r="J1486" s="996"/>
      <c r="K1486" s="997"/>
      <c r="L1486" s="101"/>
      <c r="M1486" s="100"/>
    </row>
    <row r="1487" spans="4:13">
      <c r="D1487" s="89"/>
      <c r="E1487" s="603">
        <v>45499</v>
      </c>
      <c r="F1487" s="341">
        <v>2E-3</v>
      </c>
      <c r="G1487" s="341" t="s">
        <v>460</v>
      </c>
      <c r="H1487" s="341">
        <v>1E-3</v>
      </c>
      <c r="I1487" s="995"/>
      <c r="J1487" s="996"/>
      <c r="K1487" s="997"/>
      <c r="L1487" s="99"/>
      <c r="M1487" s="100"/>
    </row>
    <row r="1488" spans="4:13">
      <c r="D1488" s="89"/>
      <c r="E1488" s="603">
        <v>45471</v>
      </c>
      <c r="F1488" s="341">
        <v>1E-3</v>
      </c>
      <c r="G1488" s="341" t="s">
        <v>462</v>
      </c>
      <c r="H1488" s="341">
        <v>3.0000000000000001E-3</v>
      </c>
      <c r="I1488" s="995"/>
      <c r="J1488" s="996"/>
      <c r="K1488" s="997"/>
      <c r="L1488" s="99"/>
      <c r="M1488" s="100"/>
    </row>
    <row r="1489" spans="4:13" ht="20" thickBot="1">
      <c r="D1489" s="89"/>
      <c r="E1489" s="603">
        <v>45443</v>
      </c>
      <c r="F1489" s="341">
        <v>2E-3</v>
      </c>
      <c r="G1489" s="341" t="s">
        <v>467</v>
      </c>
      <c r="H1489" s="341">
        <v>3.0000000000000001E-3</v>
      </c>
      <c r="I1489" s="998"/>
      <c r="J1489" s="999"/>
      <c r="K1489" s="1000"/>
      <c r="L1489" s="102"/>
      <c r="M1489" s="103"/>
    </row>
    <row r="1490" spans="4:13" ht="25" thickBot="1">
      <c r="D1490">
        <v>9</v>
      </c>
      <c r="E1490" s="598" t="s">
        <v>30</v>
      </c>
      <c r="F1490" s="1102" t="s">
        <v>9</v>
      </c>
      <c r="G1490" s="1103"/>
      <c r="H1490" s="1104"/>
      <c r="I1490" s="1128" t="s">
        <v>633</v>
      </c>
      <c r="J1490" s="1129"/>
      <c r="K1490" s="1130"/>
      <c r="L1490" s="158" t="s">
        <v>430</v>
      </c>
      <c r="M1490" s="105" t="s">
        <v>431</v>
      </c>
    </row>
    <row r="1491" spans="4:13">
      <c r="D1491" s="89"/>
      <c r="E1491" s="599" t="s">
        <v>432</v>
      </c>
      <c r="F1491" s="1105"/>
      <c r="G1491" s="1106"/>
      <c r="H1491" s="1107"/>
      <c r="I1491" s="995" t="s">
        <v>1079</v>
      </c>
      <c r="J1491" s="996"/>
      <c r="K1491" s="997"/>
      <c r="L1491" s="99"/>
      <c r="M1491" s="100"/>
    </row>
    <row r="1492" spans="4:13">
      <c r="D1492" s="89"/>
      <c r="E1492" s="600" t="s">
        <v>433</v>
      </c>
      <c r="F1492" s="1111"/>
      <c r="G1492" s="1112"/>
      <c r="H1492" s="1113"/>
      <c r="I1492" s="995"/>
      <c r="J1492" s="996"/>
      <c r="K1492" s="997"/>
      <c r="L1492" s="99"/>
      <c r="M1492" s="100"/>
    </row>
    <row r="1493" spans="4:13" ht="20" thickBot="1">
      <c r="D1493" s="89"/>
      <c r="E1493" s="600" t="s">
        <v>434</v>
      </c>
      <c r="F1493" s="1141" t="s">
        <v>1078</v>
      </c>
      <c r="G1493" s="1142"/>
      <c r="H1493" s="1143"/>
      <c r="I1493" s="995"/>
      <c r="J1493" s="996"/>
      <c r="K1493" s="997"/>
      <c r="L1493" s="99"/>
      <c r="M1493" s="100"/>
    </row>
    <row r="1494" spans="4:13" ht="20" thickBot="1">
      <c r="D1494" s="89"/>
      <c r="E1494" s="601" t="s">
        <v>435</v>
      </c>
      <c r="F1494" s="1114">
        <v>0.64583333333333337</v>
      </c>
      <c r="G1494" s="1115"/>
      <c r="H1494" s="1116"/>
      <c r="I1494" s="995"/>
      <c r="J1494" s="996"/>
      <c r="K1494" s="997"/>
      <c r="L1494" s="106">
        <v>0.875</v>
      </c>
      <c r="M1494" s="107">
        <v>0.72916666666666663</v>
      </c>
    </row>
    <row r="1495" spans="4:13" ht="20" thickBot="1">
      <c r="D1495" s="89"/>
      <c r="E1495" s="602" t="s">
        <v>436</v>
      </c>
      <c r="F1495" s="252" t="s">
        <v>29</v>
      </c>
      <c r="G1495" s="252" t="s">
        <v>28</v>
      </c>
      <c r="H1495" s="253" t="s">
        <v>27</v>
      </c>
      <c r="I1495" s="995"/>
      <c r="J1495" s="996"/>
      <c r="K1495" s="997"/>
      <c r="L1495" s="99"/>
      <c r="M1495" s="100"/>
    </row>
    <row r="1496" spans="4:13">
      <c r="D1496" s="89"/>
      <c r="E1496" s="603">
        <v>45616</v>
      </c>
      <c r="F1496" s="349" t="s">
        <v>1125</v>
      </c>
      <c r="G1496" s="349" t="s">
        <v>1030</v>
      </c>
      <c r="H1496" s="349" t="s">
        <v>1029</v>
      </c>
      <c r="I1496" s="995"/>
      <c r="J1496" s="996"/>
      <c r="K1496" s="997"/>
      <c r="L1496" s="99"/>
      <c r="M1496" s="203"/>
    </row>
    <row r="1497" spans="4:13">
      <c r="D1497" s="89"/>
      <c r="E1497" s="603">
        <v>45610</v>
      </c>
      <c r="F1497" s="349" t="s">
        <v>1029</v>
      </c>
      <c r="G1497" s="349" t="s">
        <v>1030</v>
      </c>
      <c r="H1497" s="349" t="s">
        <v>988</v>
      </c>
      <c r="I1497" s="995"/>
      <c r="J1497" s="996"/>
      <c r="K1497" s="997"/>
      <c r="L1497" s="99"/>
      <c r="M1497" s="100"/>
    </row>
    <row r="1498" spans="4:13">
      <c r="D1498" s="89"/>
      <c r="E1498" s="603">
        <v>45602</v>
      </c>
      <c r="F1498" s="349" t="s">
        <v>988</v>
      </c>
      <c r="G1498" s="349" t="s">
        <v>989</v>
      </c>
      <c r="H1498" s="349" t="s">
        <v>990</v>
      </c>
      <c r="I1498" s="995"/>
      <c r="J1498" s="996"/>
      <c r="K1498" s="997"/>
      <c r="L1498" s="101"/>
      <c r="M1498" s="100"/>
    </row>
    <row r="1499" spans="4:13">
      <c r="D1499" s="89"/>
      <c r="E1499" s="603">
        <v>45595</v>
      </c>
      <c r="F1499" s="349" t="s">
        <v>990</v>
      </c>
      <c r="G1499" s="349" t="s">
        <v>991</v>
      </c>
      <c r="H1499" s="349" t="s">
        <v>992</v>
      </c>
      <c r="I1499" s="995"/>
      <c r="J1499" s="996"/>
      <c r="K1499" s="997"/>
      <c r="L1499" s="99"/>
      <c r="M1499" s="100"/>
    </row>
    <row r="1500" spans="4:13">
      <c r="D1500" s="89"/>
      <c r="E1500" s="603">
        <v>45588</v>
      </c>
      <c r="F1500" s="349" t="s">
        <v>992</v>
      </c>
      <c r="G1500" s="349" t="s">
        <v>993</v>
      </c>
      <c r="H1500" s="349" t="s">
        <v>994</v>
      </c>
      <c r="I1500" s="995"/>
      <c r="J1500" s="996"/>
      <c r="K1500" s="997"/>
      <c r="L1500" s="99"/>
      <c r="M1500" s="100"/>
    </row>
    <row r="1501" spans="4:13" ht="20" thickBot="1">
      <c r="D1501" s="89"/>
      <c r="E1501" s="603">
        <v>45582</v>
      </c>
      <c r="F1501" s="349" t="s">
        <v>994</v>
      </c>
      <c r="G1501" s="349" t="s">
        <v>995</v>
      </c>
      <c r="H1501" s="349" t="s">
        <v>996</v>
      </c>
      <c r="I1501" s="998"/>
      <c r="J1501" s="999"/>
      <c r="K1501" s="1000"/>
      <c r="L1501" s="102"/>
      <c r="M1501" s="103"/>
    </row>
    <row r="1502" spans="4:13" ht="25" thickBot="1">
      <c r="D1502">
        <v>11</v>
      </c>
      <c r="E1502" s="598" t="s">
        <v>30</v>
      </c>
      <c r="F1502" s="1102" t="s">
        <v>1080</v>
      </c>
      <c r="G1502" s="1103"/>
      <c r="H1502" s="1104"/>
      <c r="I1502" s="1128" t="s">
        <v>633</v>
      </c>
      <c r="J1502" s="1129"/>
      <c r="K1502" s="1130"/>
      <c r="L1502" s="158" t="s">
        <v>430</v>
      </c>
      <c r="M1502" s="105" t="s">
        <v>431</v>
      </c>
    </row>
    <row r="1503" spans="4:13">
      <c r="D1503" s="89"/>
      <c r="E1503" s="599" t="s">
        <v>432</v>
      </c>
      <c r="F1503" s="1132"/>
      <c r="G1503" s="1133"/>
      <c r="H1503" s="1134"/>
      <c r="I1503" s="995" t="s">
        <v>1081</v>
      </c>
      <c r="J1503" s="996"/>
      <c r="K1503" s="997"/>
      <c r="L1503" s="99"/>
      <c r="M1503" s="100"/>
    </row>
    <row r="1504" spans="4:13">
      <c r="D1504" s="89"/>
      <c r="E1504" s="600" t="s">
        <v>433</v>
      </c>
      <c r="F1504" s="1111"/>
      <c r="G1504" s="1112"/>
      <c r="H1504" s="1113"/>
      <c r="I1504" s="995"/>
      <c r="J1504" s="996"/>
      <c r="K1504" s="997"/>
      <c r="L1504" s="99"/>
      <c r="M1504" s="100"/>
    </row>
    <row r="1505" spans="4:13" ht="20" thickBot="1">
      <c r="D1505" s="89"/>
      <c r="E1505" s="600" t="s">
        <v>434</v>
      </c>
      <c r="F1505" s="1111">
        <v>4.0000000000000001E-3</v>
      </c>
      <c r="G1505" s="1112"/>
      <c r="H1505" s="1113"/>
      <c r="I1505" s="995"/>
      <c r="J1505" s="996"/>
      <c r="K1505" s="997"/>
      <c r="L1505" s="99"/>
      <c r="M1505" s="100"/>
    </row>
    <row r="1506" spans="4:13" ht="20" thickBot="1">
      <c r="D1506" s="89"/>
      <c r="E1506" s="601" t="s">
        <v>435</v>
      </c>
      <c r="F1506" s="1114">
        <v>0.54166666666666674</v>
      </c>
      <c r="G1506" s="1115"/>
      <c r="H1506" s="1116"/>
      <c r="I1506" s="995"/>
      <c r="J1506" s="996"/>
      <c r="K1506" s="997"/>
      <c r="L1506" s="106">
        <v>0.77083333333333337</v>
      </c>
      <c r="M1506" s="107">
        <v>0.625</v>
      </c>
    </row>
    <row r="1507" spans="4:13" ht="20" thickBot="1">
      <c r="D1507" s="89"/>
      <c r="E1507" s="602" t="s">
        <v>436</v>
      </c>
      <c r="F1507" s="252" t="s">
        <v>29</v>
      </c>
      <c r="G1507" s="252" t="s">
        <v>28</v>
      </c>
      <c r="H1507" s="253" t="s">
        <v>27</v>
      </c>
      <c r="I1507" s="995"/>
      <c r="J1507" s="996"/>
      <c r="K1507" s="997"/>
      <c r="L1507" s="99"/>
      <c r="M1507" s="100"/>
    </row>
    <row r="1508" spans="4:13">
      <c r="D1508" s="89"/>
      <c r="E1508" s="603">
        <v>45608</v>
      </c>
      <c r="F1508" s="341">
        <v>4.0000000000000001E-3</v>
      </c>
      <c r="G1508" s="341" t="s">
        <v>452</v>
      </c>
      <c r="H1508" s="341">
        <v>0</v>
      </c>
      <c r="I1508" s="995"/>
      <c r="J1508" s="996"/>
      <c r="K1508" s="997"/>
      <c r="L1508" s="99"/>
      <c r="M1508" s="100"/>
    </row>
    <row r="1509" spans="4:13">
      <c r="D1509" s="89"/>
      <c r="E1509" s="603">
        <v>45595</v>
      </c>
      <c r="F1509" s="341">
        <v>4.0000000000000001E-3</v>
      </c>
      <c r="G1509" s="341" t="s">
        <v>460</v>
      </c>
      <c r="H1509" s="341">
        <v>0</v>
      </c>
      <c r="I1509" s="995"/>
      <c r="J1509" s="996"/>
      <c r="K1509" s="997"/>
      <c r="L1509" s="99"/>
      <c r="M1509" s="100"/>
    </row>
    <row r="1510" spans="4:13">
      <c r="D1510" s="89"/>
      <c r="E1510" s="603">
        <v>45576</v>
      </c>
      <c r="F1510" s="341">
        <v>0</v>
      </c>
      <c r="G1510" s="341" t="s">
        <v>458</v>
      </c>
      <c r="H1510" s="341">
        <v>-1E-3</v>
      </c>
      <c r="I1510" s="995"/>
      <c r="J1510" s="996"/>
      <c r="K1510" s="997"/>
      <c r="L1510" s="101"/>
      <c r="M1510" s="100"/>
    </row>
    <row r="1511" spans="4:13">
      <c r="D1511" s="89"/>
      <c r="E1511" s="603">
        <v>45565</v>
      </c>
      <c r="F1511" s="341">
        <v>0</v>
      </c>
      <c r="G1511" s="341" t="s">
        <v>462</v>
      </c>
      <c r="H1511" s="341">
        <v>-1E-3</v>
      </c>
      <c r="I1511" s="995"/>
      <c r="J1511" s="996"/>
      <c r="K1511" s="997"/>
      <c r="L1511" s="99"/>
      <c r="M1511" s="100"/>
    </row>
    <row r="1512" spans="4:13" ht="20" thickBot="1">
      <c r="D1512" s="89"/>
      <c r="E1512" s="603">
        <v>45545</v>
      </c>
      <c r="F1512" s="341">
        <v>-1E-3</v>
      </c>
      <c r="G1512" s="341" t="s">
        <v>456</v>
      </c>
      <c r="H1512" s="341">
        <v>3.0000000000000001E-3</v>
      </c>
      <c r="I1512" s="995"/>
      <c r="J1512" s="996"/>
      <c r="K1512" s="997"/>
      <c r="L1512" s="99"/>
      <c r="M1512" s="100"/>
    </row>
    <row r="1513" spans="4:13" ht="20" thickBot="1">
      <c r="D1513" s="89"/>
      <c r="E1513" s="603">
        <v>45533</v>
      </c>
      <c r="F1513" s="341">
        <v>-1E-3</v>
      </c>
      <c r="G1513" s="341" t="s">
        <v>458</v>
      </c>
      <c r="H1513" s="341">
        <v>3.0000000000000001E-3</v>
      </c>
      <c r="I1513" s="998"/>
      <c r="J1513" s="999"/>
      <c r="K1513" s="1000"/>
      <c r="L1513" s="102"/>
      <c r="M1513" s="103"/>
    </row>
    <row r="1514" spans="4:13" ht="25" thickBot="1">
      <c r="D1514">
        <v>12</v>
      </c>
      <c r="E1514" s="598" t="s">
        <v>30</v>
      </c>
      <c r="F1514" s="1102" t="s">
        <v>1082</v>
      </c>
      <c r="G1514" s="1103"/>
      <c r="H1514" s="1104"/>
      <c r="I1514" s="1128" t="s">
        <v>633</v>
      </c>
      <c r="J1514" s="1129"/>
      <c r="K1514" s="1130"/>
      <c r="L1514" s="158" t="s">
        <v>430</v>
      </c>
      <c r="M1514" s="105" t="s">
        <v>431</v>
      </c>
    </row>
    <row r="1515" spans="4:13">
      <c r="D1515" s="89"/>
      <c r="E1515" s="599" t="s">
        <v>432</v>
      </c>
      <c r="F1515" s="1132"/>
      <c r="G1515" s="1133"/>
      <c r="H1515" s="1134"/>
      <c r="I1515" s="995" t="s">
        <v>1083</v>
      </c>
      <c r="J1515" s="996"/>
      <c r="K1515" s="997"/>
      <c r="L1515" s="99"/>
      <c r="M1515" s="100"/>
    </row>
    <row r="1516" spans="4:13">
      <c r="D1516" s="89"/>
      <c r="E1516" s="600" t="s">
        <v>433</v>
      </c>
      <c r="F1516" s="1111"/>
      <c r="G1516" s="1112"/>
      <c r="H1516" s="1113"/>
      <c r="I1516" s="995"/>
      <c r="J1516" s="996"/>
      <c r="K1516" s="997"/>
      <c r="L1516" s="99"/>
      <c r="M1516" s="100"/>
    </row>
    <row r="1517" spans="4:13" ht="20" thickBot="1">
      <c r="D1517" s="89"/>
      <c r="E1517" s="600" t="s">
        <v>434</v>
      </c>
      <c r="F1517" s="1111">
        <v>7.0000000000000001E-3</v>
      </c>
      <c r="G1517" s="1112"/>
      <c r="H1517" s="1113"/>
      <c r="I1517" s="995"/>
      <c r="J1517" s="996"/>
      <c r="K1517" s="997"/>
      <c r="L1517" s="99"/>
      <c r="M1517" s="100"/>
    </row>
    <row r="1518" spans="4:13" ht="20" thickBot="1">
      <c r="D1518" s="89"/>
      <c r="E1518" s="601" t="s">
        <v>435</v>
      </c>
      <c r="F1518" s="1114">
        <v>0.33333333333333337</v>
      </c>
      <c r="G1518" s="1115"/>
      <c r="H1518" s="1116"/>
      <c r="I1518" s="995"/>
      <c r="J1518" s="996"/>
      <c r="K1518" s="997"/>
      <c r="L1518" s="106">
        <v>0.5625</v>
      </c>
      <c r="M1518" s="107">
        <v>0.41666666666666663</v>
      </c>
    </row>
    <row r="1519" spans="4:13" ht="20" thickBot="1">
      <c r="D1519" s="89"/>
      <c r="E1519" s="602" t="s">
        <v>436</v>
      </c>
      <c r="F1519" s="252" t="s">
        <v>29</v>
      </c>
      <c r="G1519" s="252" t="s">
        <v>28</v>
      </c>
      <c r="H1519" s="253" t="s">
        <v>27</v>
      </c>
      <c r="I1519" s="995"/>
      <c r="J1519" s="996"/>
      <c r="K1519" s="997"/>
      <c r="L1519" s="99"/>
      <c r="M1519" s="100"/>
    </row>
    <row r="1520" spans="4:13">
      <c r="D1520" s="89"/>
      <c r="E1520" s="603">
        <v>45538</v>
      </c>
      <c r="F1520" s="341">
        <v>7.0000000000000001E-3</v>
      </c>
      <c r="G1520" s="341" t="s">
        <v>903</v>
      </c>
      <c r="H1520" s="341">
        <v>5.0000000000000001E-3</v>
      </c>
      <c r="I1520" s="995"/>
      <c r="J1520" s="996"/>
      <c r="K1520" s="997"/>
      <c r="L1520" s="99"/>
      <c r="M1520" s="100"/>
    </row>
    <row r="1521" spans="4:13">
      <c r="D1521" s="89"/>
      <c r="E1521" s="603">
        <v>45442</v>
      </c>
      <c r="F1521" s="341">
        <v>5.0000000000000001E-3</v>
      </c>
      <c r="G1521" s="341" t="s">
        <v>467</v>
      </c>
      <c r="H1521" s="341">
        <v>3.0000000000000001E-3</v>
      </c>
      <c r="I1521" s="995"/>
      <c r="J1521" s="996"/>
      <c r="K1521" s="997"/>
      <c r="L1521" s="99"/>
      <c r="M1521" s="100"/>
    </row>
    <row r="1522" spans="4:13">
      <c r="D1522" s="89"/>
      <c r="E1522" s="603">
        <v>45351</v>
      </c>
      <c r="F1522" s="341">
        <v>3.0000000000000001E-3</v>
      </c>
      <c r="G1522" s="341" t="s">
        <v>462</v>
      </c>
      <c r="H1522" s="341">
        <v>3.0000000000000001E-3</v>
      </c>
      <c r="I1522" s="995"/>
      <c r="J1522" s="996"/>
      <c r="K1522" s="997"/>
      <c r="L1522" s="101"/>
      <c r="M1522" s="100"/>
    </row>
    <row r="1523" spans="4:13">
      <c r="D1523" s="89"/>
      <c r="E1523" s="603">
        <v>45261</v>
      </c>
      <c r="F1523" s="341">
        <v>3.0000000000000001E-3</v>
      </c>
      <c r="G1523" s="341" t="s">
        <v>462</v>
      </c>
      <c r="H1523" s="341">
        <v>-1E-3</v>
      </c>
      <c r="I1523" s="995"/>
      <c r="J1523" s="996"/>
      <c r="K1523" s="997"/>
      <c r="L1523" s="99"/>
      <c r="M1523" s="100"/>
    </row>
    <row r="1524" spans="4:13">
      <c r="D1524" s="89"/>
      <c r="E1524" s="603">
        <v>45173</v>
      </c>
      <c r="F1524" s="341">
        <v>0</v>
      </c>
      <c r="G1524" s="341" t="s">
        <v>462</v>
      </c>
      <c r="H1524" s="341">
        <v>3.0000000000000001E-3</v>
      </c>
      <c r="I1524" s="995"/>
      <c r="J1524" s="996"/>
      <c r="K1524" s="997"/>
      <c r="L1524" s="99"/>
      <c r="M1524" s="100"/>
    </row>
    <row r="1525" spans="4:13" ht="20" thickBot="1">
      <c r="D1525" s="89"/>
      <c r="E1525" s="603">
        <v>45076</v>
      </c>
      <c r="F1525" s="341">
        <v>3.0000000000000001E-3</v>
      </c>
      <c r="G1525" s="341" t="s">
        <v>462</v>
      </c>
      <c r="H1525" s="341">
        <v>0</v>
      </c>
      <c r="I1525" s="998"/>
      <c r="J1525" s="999"/>
      <c r="K1525" s="1000"/>
      <c r="L1525" s="102"/>
      <c r="M1525" s="103"/>
    </row>
    <row r="1526" spans="4:13" ht="25" thickBot="1">
      <c r="D1526">
        <v>13</v>
      </c>
      <c r="E1526" s="598" t="s">
        <v>30</v>
      </c>
      <c r="F1526" s="1102" t="s">
        <v>1084</v>
      </c>
      <c r="G1526" s="1103"/>
      <c r="H1526" s="1104"/>
      <c r="I1526" s="1131" t="s">
        <v>633</v>
      </c>
      <c r="J1526" s="1129"/>
      <c r="K1526" s="1130"/>
      <c r="L1526" s="158" t="s">
        <v>430</v>
      </c>
      <c r="M1526" s="105" t="s">
        <v>431</v>
      </c>
    </row>
    <row r="1527" spans="4:13">
      <c r="D1527" s="89"/>
      <c r="E1527" s="599" t="s">
        <v>432</v>
      </c>
      <c r="F1527" s="1105"/>
      <c r="G1527" s="1106"/>
      <c r="H1527" s="1107"/>
      <c r="I1527" s="995" t="s">
        <v>1085</v>
      </c>
      <c r="J1527" s="996"/>
      <c r="K1527" s="997"/>
      <c r="L1527" s="99"/>
      <c r="M1527" s="100"/>
    </row>
    <row r="1528" spans="4:13">
      <c r="D1528" s="89"/>
      <c r="E1528" s="600" t="s">
        <v>433</v>
      </c>
      <c r="F1528" s="1111">
        <v>0</v>
      </c>
      <c r="G1528" s="1112"/>
      <c r="H1528" s="1113"/>
      <c r="I1528" s="995"/>
      <c r="J1528" s="996"/>
      <c r="K1528" s="997"/>
      <c r="L1528" s="99"/>
      <c r="M1528" s="100"/>
    </row>
    <row r="1529" spans="4:13" ht="20" thickBot="1">
      <c r="D1529" s="89"/>
      <c r="E1529" s="600" t="s">
        <v>434</v>
      </c>
      <c r="F1529" s="1111">
        <v>0.02</v>
      </c>
      <c r="G1529" s="1112"/>
      <c r="H1529" s="1113"/>
      <c r="I1529" s="995"/>
      <c r="J1529" s="996"/>
      <c r="K1529" s="997"/>
      <c r="L1529" s="99"/>
      <c r="M1529" s="100"/>
    </row>
    <row r="1530" spans="4:13" ht="20" thickBot="1">
      <c r="D1530" s="89"/>
      <c r="E1530" s="601" t="s">
        <v>435</v>
      </c>
      <c r="F1530" s="1114">
        <v>0.41666666666666674</v>
      </c>
      <c r="G1530" s="1115"/>
      <c r="H1530" s="1116"/>
      <c r="I1530" s="995"/>
      <c r="J1530" s="996"/>
      <c r="K1530" s="997"/>
      <c r="L1530" s="106">
        <v>0.64583333333333337</v>
      </c>
      <c r="M1530" s="107">
        <v>0.5</v>
      </c>
    </row>
    <row r="1531" spans="4:13" ht="20" thickBot="1">
      <c r="D1531" s="89"/>
      <c r="E1531" s="602" t="s">
        <v>436</v>
      </c>
      <c r="F1531" s="252" t="s">
        <v>29</v>
      </c>
      <c r="G1531" s="252" t="s">
        <v>28</v>
      </c>
      <c r="H1531" s="253" t="s">
        <v>27</v>
      </c>
      <c r="I1531" s="995"/>
      <c r="J1531" s="996"/>
      <c r="K1531" s="997"/>
      <c r="L1531" s="99"/>
      <c r="M1531" s="203"/>
    </row>
    <row r="1532" spans="4:13">
      <c r="D1532" s="89"/>
      <c r="E1532" s="603">
        <v>45615</v>
      </c>
      <c r="F1532" s="341">
        <v>0.02</v>
      </c>
      <c r="G1532" s="341" t="s">
        <v>788</v>
      </c>
      <c r="H1532" s="341">
        <v>0.02</v>
      </c>
      <c r="I1532" s="995"/>
      <c r="J1532" s="996"/>
      <c r="K1532" s="997"/>
      <c r="L1532" s="99"/>
      <c r="M1532" s="100"/>
    </row>
    <row r="1533" spans="4:13">
      <c r="D1533" s="89"/>
      <c r="E1533" s="603">
        <v>45596</v>
      </c>
      <c r="F1533" s="341">
        <v>0.02</v>
      </c>
      <c r="G1533" s="341" t="s">
        <v>789</v>
      </c>
      <c r="H1533" s="341">
        <v>1.7000000000000001E-2</v>
      </c>
      <c r="I1533" s="995"/>
      <c r="J1533" s="996"/>
      <c r="K1533" s="997"/>
      <c r="L1533" s="99"/>
      <c r="M1533" s="100"/>
    </row>
    <row r="1534" spans="4:13">
      <c r="D1534" s="89"/>
      <c r="E1534" s="603">
        <v>45582</v>
      </c>
      <c r="F1534" s="341">
        <v>1.7000000000000001E-2</v>
      </c>
      <c r="G1534" s="341" t="s">
        <v>895</v>
      </c>
      <c r="H1534" s="341">
        <v>2.1999999999999999E-2</v>
      </c>
      <c r="I1534" s="995"/>
      <c r="J1534" s="996"/>
      <c r="K1534" s="997"/>
      <c r="L1534" s="101"/>
      <c r="M1534" s="100"/>
    </row>
    <row r="1535" spans="4:13">
      <c r="D1535" s="89"/>
      <c r="E1535" s="603">
        <v>45566</v>
      </c>
      <c r="F1535" s="341">
        <v>1.7999999999999999E-2</v>
      </c>
      <c r="G1535" s="341" t="s">
        <v>895</v>
      </c>
      <c r="H1535" s="341">
        <v>2.1999999999999999E-2</v>
      </c>
      <c r="I1535" s="995"/>
      <c r="J1535" s="996"/>
      <c r="K1535" s="997"/>
      <c r="L1535" s="99"/>
      <c r="M1535" s="100"/>
    </row>
    <row r="1536" spans="4:13">
      <c r="D1536" s="89"/>
      <c r="E1536" s="603">
        <v>45553</v>
      </c>
      <c r="F1536" s="341">
        <v>2.1999999999999999E-2</v>
      </c>
      <c r="G1536" s="341" t="s">
        <v>490</v>
      </c>
      <c r="H1536" s="341">
        <v>2.5999999999999999E-2</v>
      </c>
      <c r="I1536" s="995"/>
      <c r="J1536" s="996"/>
      <c r="K1536" s="997"/>
      <c r="L1536" s="99"/>
      <c r="M1536" s="100"/>
    </row>
    <row r="1537" spans="3:13" ht="20" thickBot="1">
      <c r="D1537" s="89"/>
      <c r="E1537" s="603">
        <v>45534</v>
      </c>
      <c r="F1537" s="341">
        <v>2.1999999999999999E-2</v>
      </c>
      <c r="G1537" s="341" t="s">
        <v>490</v>
      </c>
      <c r="H1537" s="341">
        <v>2.5999999999999999E-2</v>
      </c>
      <c r="I1537" s="998"/>
      <c r="J1537" s="999"/>
      <c r="K1537" s="1000"/>
      <c r="L1537" s="102"/>
      <c r="M1537" s="103"/>
    </row>
    <row r="1538" spans="3:13" ht="25" thickBot="1">
      <c r="D1538">
        <v>15</v>
      </c>
      <c r="E1538" s="598" t="s">
        <v>30</v>
      </c>
      <c r="F1538" s="1102" t="s">
        <v>1087</v>
      </c>
      <c r="G1538" s="1103"/>
      <c r="H1538" s="1104"/>
      <c r="I1538" s="1131" t="s">
        <v>633</v>
      </c>
      <c r="J1538" s="1129"/>
      <c r="K1538" s="1130"/>
      <c r="L1538" s="158" t="s">
        <v>430</v>
      </c>
      <c r="M1538" s="105" t="s">
        <v>431</v>
      </c>
    </row>
    <row r="1539" spans="3:13">
      <c r="D1539" s="89"/>
      <c r="E1539" s="599" t="s">
        <v>432</v>
      </c>
      <c r="F1539" s="1105"/>
      <c r="G1539" s="1106"/>
      <c r="H1539" s="1107"/>
      <c r="I1539" s="995" t="s">
        <v>1088</v>
      </c>
      <c r="J1539" s="996"/>
      <c r="K1539" s="997"/>
      <c r="L1539" s="99"/>
      <c r="M1539" s="100"/>
    </row>
    <row r="1540" spans="3:13">
      <c r="D1540" s="89"/>
      <c r="E1540" s="600" t="s">
        <v>433</v>
      </c>
      <c r="F1540" s="1111"/>
      <c r="G1540" s="1112"/>
      <c r="H1540" s="1113"/>
      <c r="I1540" s="995"/>
      <c r="J1540" s="996"/>
      <c r="K1540" s="997"/>
      <c r="L1540" s="99"/>
      <c r="M1540" s="100"/>
    </row>
    <row r="1541" spans="3:13" ht="20" thickBot="1">
      <c r="D1541" s="89"/>
      <c r="E1541" s="600" t="s">
        <v>434</v>
      </c>
      <c r="F1541" s="1117">
        <v>50.1</v>
      </c>
      <c r="G1541" s="1109"/>
      <c r="H1541" s="1110"/>
      <c r="I1541" s="995"/>
      <c r="J1541" s="996"/>
      <c r="K1541" s="997"/>
      <c r="L1541" s="99"/>
      <c r="M1541" s="100"/>
    </row>
    <row r="1542" spans="3:13" ht="20" thickBot="1">
      <c r="D1542" s="89"/>
      <c r="E1542" s="601" t="s">
        <v>435</v>
      </c>
      <c r="F1542" s="1114">
        <v>6.2500000000000028E-2</v>
      </c>
      <c r="G1542" s="1115"/>
      <c r="H1542" s="1116"/>
      <c r="I1542" s="995"/>
      <c r="J1542" s="996"/>
      <c r="K1542" s="997"/>
      <c r="L1542" s="106">
        <v>0.29166666666666669</v>
      </c>
      <c r="M1542" s="107">
        <v>0.14583333333333334</v>
      </c>
    </row>
    <row r="1543" spans="3:13" ht="20" thickBot="1">
      <c r="D1543" s="89"/>
      <c r="E1543" s="602" t="s">
        <v>436</v>
      </c>
      <c r="F1543" s="252" t="s">
        <v>29</v>
      </c>
      <c r="G1543" s="252" t="s">
        <v>28</v>
      </c>
      <c r="H1543" s="253" t="s">
        <v>27</v>
      </c>
      <c r="I1543" s="995"/>
      <c r="J1543" s="996"/>
      <c r="K1543" s="997"/>
      <c r="L1543" s="99"/>
      <c r="M1543" s="100"/>
    </row>
    <row r="1544" spans="3:13">
      <c r="D1544" s="89"/>
      <c r="E1544" s="603">
        <v>45596</v>
      </c>
      <c r="F1544" s="256">
        <v>50.1</v>
      </c>
      <c r="G1544" s="256" t="s">
        <v>513</v>
      </c>
      <c r="H1544" s="256">
        <v>49.8</v>
      </c>
      <c r="I1544" s="995"/>
      <c r="J1544" s="996"/>
      <c r="K1544" s="997"/>
      <c r="L1544" s="99"/>
      <c r="M1544" s="100"/>
    </row>
    <row r="1545" spans="3:13">
      <c r="D1545" s="89"/>
      <c r="E1545" s="603">
        <v>45565</v>
      </c>
      <c r="F1545" s="256">
        <v>49.8</v>
      </c>
      <c r="G1545" s="256" t="s">
        <v>440</v>
      </c>
      <c r="H1545" s="256">
        <v>49.1</v>
      </c>
      <c r="I1545" s="995"/>
      <c r="J1545" s="996"/>
      <c r="K1545" s="997"/>
      <c r="L1545" s="99"/>
      <c r="M1545" s="100"/>
    </row>
    <row r="1546" spans="3:13">
      <c r="D1546" s="89"/>
      <c r="E1546" s="603">
        <v>45535</v>
      </c>
      <c r="F1546" s="256">
        <v>49.1</v>
      </c>
      <c r="G1546" s="256" t="s">
        <v>438</v>
      </c>
      <c r="H1546" s="256">
        <v>49.4</v>
      </c>
      <c r="I1546" s="995"/>
      <c r="J1546" s="996"/>
      <c r="K1546" s="997"/>
      <c r="L1546" s="101"/>
      <c r="M1546" s="100"/>
    </row>
    <row r="1547" spans="3:13">
      <c r="D1547" s="89"/>
      <c r="E1547" s="603">
        <v>45504</v>
      </c>
      <c r="F1547" s="256">
        <v>49.4</v>
      </c>
      <c r="G1547" s="256" t="s">
        <v>440</v>
      </c>
      <c r="H1547" s="256">
        <v>49.5</v>
      </c>
      <c r="I1547" s="995"/>
      <c r="J1547" s="996"/>
      <c r="K1547" s="997"/>
      <c r="L1547" s="99"/>
      <c r="M1547" s="100"/>
    </row>
    <row r="1548" spans="3:13">
      <c r="D1548" s="89"/>
      <c r="E1548" s="603">
        <v>45473</v>
      </c>
      <c r="F1548" s="256">
        <v>49.5</v>
      </c>
      <c r="G1548" s="256" t="s">
        <v>438</v>
      </c>
      <c r="H1548" s="256">
        <v>49.5</v>
      </c>
      <c r="I1548" s="995"/>
      <c r="J1548" s="996"/>
      <c r="K1548" s="997"/>
      <c r="L1548" s="99"/>
      <c r="M1548" s="100"/>
    </row>
    <row r="1549" spans="3:13" ht="20" thickBot="1">
      <c r="D1549" s="89"/>
      <c r="E1549" s="607">
        <v>45443</v>
      </c>
      <c r="F1549" s="608">
        <v>49.5</v>
      </c>
      <c r="G1549" s="608" t="s">
        <v>443</v>
      </c>
      <c r="H1549" s="608">
        <v>50.4</v>
      </c>
      <c r="I1549" s="998"/>
      <c r="J1549" s="999"/>
      <c r="K1549" s="1000"/>
      <c r="L1549" s="102"/>
      <c r="M1549" s="103"/>
    </row>
    <row r="1550" spans="3:13" ht="25" thickBot="1">
      <c r="C1550" t="s">
        <v>105</v>
      </c>
      <c r="D1550">
        <v>1</v>
      </c>
      <c r="E1550" s="598" t="s">
        <v>30</v>
      </c>
      <c r="F1550" s="1102" t="s">
        <v>1135</v>
      </c>
      <c r="G1550" s="1103"/>
      <c r="H1550" s="1104"/>
      <c r="I1550" s="1131" t="s">
        <v>633</v>
      </c>
      <c r="J1550" s="1129"/>
      <c r="K1550" s="1130"/>
      <c r="L1550" s="158" t="s">
        <v>430</v>
      </c>
      <c r="M1550" s="105" t="s">
        <v>431</v>
      </c>
    </row>
    <row r="1551" spans="3:13">
      <c r="E1551" s="599" t="s">
        <v>432</v>
      </c>
      <c r="F1551" s="1105"/>
      <c r="G1551" s="1106"/>
      <c r="H1551" s="1107"/>
      <c r="I1551" s="995" t="s">
        <v>1136</v>
      </c>
      <c r="J1551" s="996"/>
      <c r="K1551" s="997"/>
      <c r="L1551" s="99"/>
      <c r="M1551" s="100"/>
    </row>
    <row r="1552" spans="3:13">
      <c r="E1552" s="600" t="s">
        <v>433</v>
      </c>
      <c r="F1552" s="1108">
        <v>2E-3</v>
      </c>
      <c r="G1552" s="1109"/>
      <c r="H1552" s="1110"/>
      <c r="I1552" s="995"/>
      <c r="J1552" s="996"/>
      <c r="K1552" s="997"/>
      <c r="L1552" s="99"/>
      <c r="M1552" s="100"/>
    </row>
    <row r="1553" spans="4:13" ht="20" thickBot="1">
      <c r="E1553" s="600" t="s">
        <v>434</v>
      </c>
      <c r="F1553" s="1108">
        <v>2E-3</v>
      </c>
      <c r="G1553" s="1109"/>
      <c r="H1553" s="1110"/>
      <c r="I1553" s="995"/>
      <c r="J1553" s="996"/>
      <c r="K1553" s="997"/>
      <c r="L1553" s="99"/>
      <c r="M1553" s="100"/>
    </row>
    <row r="1554" spans="4:13" ht="20" thickBot="1">
      <c r="E1554" s="601" t="s">
        <v>435</v>
      </c>
      <c r="F1554" s="1193">
        <v>0.99305555555555558</v>
      </c>
      <c r="G1554" s="1194"/>
      <c r="H1554" s="1195"/>
      <c r="I1554" s="995"/>
      <c r="J1554" s="996"/>
      <c r="K1554" s="997"/>
      <c r="L1554" s="106">
        <v>0.22222222222222221</v>
      </c>
      <c r="M1554" s="107">
        <v>7.6388888888888867E-2</v>
      </c>
    </row>
    <row r="1555" spans="4:13" ht="20" thickBot="1">
      <c r="E1555" s="602" t="s">
        <v>436</v>
      </c>
      <c r="F1555" s="252" t="s">
        <v>29</v>
      </c>
      <c r="G1555" s="252" t="s">
        <v>28</v>
      </c>
      <c r="H1555" s="253" t="s">
        <v>27</v>
      </c>
      <c r="I1555" s="995"/>
      <c r="J1555" s="996"/>
      <c r="K1555" s="997"/>
      <c r="L1555" s="99"/>
      <c r="M1555" s="100"/>
    </row>
    <row r="1556" spans="4:13">
      <c r="E1556" s="603">
        <v>45596</v>
      </c>
      <c r="F1556" s="341">
        <v>1E-3</v>
      </c>
      <c r="G1556" s="341" t="s">
        <v>467</v>
      </c>
      <c r="H1556" s="341">
        <v>7.0000000000000001E-3</v>
      </c>
      <c r="I1556" s="995"/>
      <c r="J1556" s="996"/>
      <c r="K1556" s="997"/>
      <c r="L1556" s="99"/>
      <c r="M1556" s="100"/>
    </row>
    <row r="1557" spans="4:13">
      <c r="E1557" s="603">
        <v>45566</v>
      </c>
      <c r="F1557" s="341">
        <v>7.0000000000000001E-3</v>
      </c>
      <c r="G1557" s="341" t="s">
        <v>452</v>
      </c>
      <c r="H1557" s="341">
        <v>1E-3</v>
      </c>
      <c r="I1557" s="995"/>
      <c r="J1557" s="996"/>
      <c r="K1557" s="997"/>
      <c r="L1557" s="99"/>
      <c r="M1557" s="100"/>
    </row>
    <row r="1558" spans="4:13">
      <c r="E1558" s="603">
        <v>45534</v>
      </c>
      <c r="F1558" s="341">
        <v>0</v>
      </c>
      <c r="G1558" s="341" t="s">
        <v>467</v>
      </c>
      <c r="H1558" s="341">
        <v>5.0000000000000001E-3</v>
      </c>
      <c r="I1558" s="995"/>
      <c r="J1558" s="996"/>
      <c r="K1558" s="997"/>
      <c r="L1558" s="101"/>
      <c r="M1558" s="100"/>
    </row>
    <row r="1559" spans="4:13">
      <c r="E1559" s="603">
        <v>45504</v>
      </c>
      <c r="F1559" s="341">
        <v>5.0000000000000001E-3</v>
      </c>
      <c r="G1559" s="341" t="s">
        <v>460</v>
      </c>
      <c r="H1559" s="341">
        <v>6.0000000000000001E-3</v>
      </c>
      <c r="I1559" s="995"/>
      <c r="J1559" s="996"/>
      <c r="K1559" s="997"/>
      <c r="L1559" s="99"/>
      <c r="M1559" s="100"/>
    </row>
    <row r="1560" spans="4:13">
      <c r="E1560" s="603">
        <v>45476</v>
      </c>
      <c r="F1560" s="341">
        <v>6.0000000000000001E-3</v>
      </c>
      <c r="G1560" s="341" t="s">
        <v>467</v>
      </c>
      <c r="H1560" s="341">
        <v>1E-3</v>
      </c>
      <c r="I1560" s="995"/>
      <c r="J1560" s="996"/>
      <c r="K1560" s="997"/>
      <c r="L1560" s="99"/>
      <c r="M1560" s="100"/>
    </row>
    <row r="1561" spans="4:13" ht="20" thickBot="1">
      <c r="E1561" s="603">
        <v>45447</v>
      </c>
      <c r="F1561" s="341">
        <v>1E-3</v>
      </c>
      <c r="G1561" s="341" t="s">
        <v>462</v>
      </c>
      <c r="H1561" s="341">
        <v>-4.0000000000000001E-3</v>
      </c>
      <c r="I1561" s="998"/>
      <c r="J1561" s="999"/>
      <c r="K1561" s="1000"/>
      <c r="L1561" s="102"/>
      <c r="M1561" s="103"/>
    </row>
    <row r="1562" spans="4:13" ht="25" thickBot="1">
      <c r="D1562">
        <v>1</v>
      </c>
      <c r="E1562" s="598" t="s">
        <v>30</v>
      </c>
      <c r="F1562" s="1102" t="s">
        <v>1137</v>
      </c>
      <c r="G1562" s="1103"/>
      <c r="H1562" s="1104"/>
      <c r="I1562" s="1131" t="s">
        <v>633</v>
      </c>
      <c r="J1562" s="1129"/>
      <c r="K1562" s="1130"/>
      <c r="L1562" s="158" t="s">
        <v>430</v>
      </c>
      <c r="M1562" s="105" t="s">
        <v>431</v>
      </c>
    </row>
    <row r="1563" spans="4:13">
      <c r="E1563" s="599" t="s">
        <v>432</v>
      </c>
      <c r="F1563" s="1105"/>
      <c r="G1563" s="1106"/>
      <c r="H1563" s="1107"/>
      <c r="I1563" s="995" t="s">
        <v>1138</v>
      </c>
      <c r="J1563" s="996"/>
      <c r="K1563" s="997"/>
      <c r="L1563" s="99"/>
      <c r="M1563" s="100"/>
    </row>
    <row r="1564" spans="4:13">
      <c r="E1564" s="600" t="s">
        <v>433</v>
      </c>
      <c r="F1564" s="1117">
        <v>4.3499999999999997E-2</v>
      </c>
      <c r="G1564" s="1109"/>
      <c r="H1564" s="1110"/>
      <c r="I1564" s="995"/>
      <c r="J1564" s="996"/>
      <c r="K1564" s="997"/>
      <c r="L1564" s="99"/>
      <c r="M1564" s="100"/>
    </row>
    <row r="1565" spans="4:13" ht="20" thickBot="1">
      <c r="E1565" s="600" t="s">
        <v>434</v>
      </c>
      <c r="F1565" s="1117">
        <v>4.3499999999999997E-2</v>
      </c>
      <c r="G1565" s="1109"/>
      <c r="H1565" s="1110"/>
      <c r="I1565" s="995"/>
      <c r="J1565" s="996"/>
      <c r="K1565" s="997"/>
      <c r="L1565" s="99"/>
      <c r="M1565" s="100"/>
    </row>
    <row r="1566" spans="4:13" ht="20" thickBot="1">
      <c r="E1566" s="601" t="s">
        <v>435</v>
      </c>
      <c r="F1566" s="1114">
        <v>0.14583333333333334</v>
      </c>
      <c r="G1566" s="1115"/>
      <c r="H1566" s="1116"/>
      <c r="I1566" s="995"/>
      <c r="J1566" s="996"/>
      <c r="K1566" s="997"/>
      <c r="L1566" s="106">
        <v>0.375</v>
      </c>
      <c r="M1566" s="107">
        <v>0.22916666666666666</v>
      </c>
    </row>
    <row r="1567" spans="4:13" ht="20" thickBot="1">
      <c r="E1567" s="602" t="s">
        <v>436</v>
      </c>
      <c r="F1567" s="252" t="s">
        <v>29</v>
      </c>
      <c r="G1567" s="252" t="s">
        <v>28</v>
      </c>
      <c r="H1567" s="253" t="s">
        <v>27</v>
      </c>
      <c r="I1567" s="995"/>
      <c r="J1567" s="996"/>
      <c r="K1567" s="997"/>
      <c r="L1567" s="99"/>
      <c r="M1567" s="100"/>
    </row>
    <row r="1568" spans="4:13">
      <c r="E1568" s="603">
        <v>45618</v>
      </c>
      <c r="F1568" s="256">
        <v>48.8</v>
      </c>
      <c r="G1568" s="256" t="s">
        <v>510</v>
      </c>
      <c r="H1568" s="256">
        <v>48.5</v>
      </c>
      <c r="I1568" s="995"/>
      <c r="J1568" s="996"/>
      <c r="K1568" s="997"/>
      <c r="L1568" s="99"/>
      <c r="M1568" s="100"/>
    </row>
    <row r="1569" spans="4:13">
      <c r="E1569" s="603">
        <v>45597</v>
      </c>
      <c r="F1569" s="256">
        <v>48.5</v>
      </c>
      <c r="G1569" s="256" t="s">
        <v>1054</v>
      </c>
      <c r="H1569" s="256">
        <v>47.8</v>
      </c>
      <c r="I1569" s="995"/>
      <c r="J1569" s="996"/>
      <c r="K1569" s="997"/>
      <c r="L1569" s="99"/>
      <c r="M1569" s="100"/>
    </row>
    <row r="1570" spans="4:13">
      <c r="E1570" s="603">
        <v>45589</v>
      </c>
      <c r="F1570" s="256">
        <v>47.8</v>
      </c>
      <c r="G1570" s="256" t="s">
        <v>509</v>
      </c>
      <c r="H1570" s="256">
        <v>47.3</v>
      </c>
      <c r="I1570" s="995"/>
      <c r="J1570" s="996"/>
      <c r="K1570" s="997"/>
      <c r="L1570" s="101"/>
      <c r="M1570" s="100"/>
    </row>
    <row r="1571" spans="4:13">
      <c r="E1571" s="603">
        <v>45566</v>
      </c>
      <c r="F1571" s="256">
        <v>47.3</v>
      </c>
      <c r="G1571" s="256" t="s">
        <v>758</v>
      </c>
      <c r="H1571" s="256">
        <v>47.9</v>
      </c>
      <c r="I1571" s="995"/>
      <c r="J1571" s="996"/>
      <c r="K1571" s="997"/>
      <c r="L1571" s="99"/>
      <c r="M1571" s="100"/>
    </row>
    <row r="1572" spans="4:13">
      <c r="E1572" s="603">
        <v>45558</v>
      </c>
      <c r="F1572" s="256">
        <v>47</v>
      </c>
      <c r="G1572" s="256" t="s">
        <v>500</v>
      </c>
      <c r="H1572" s="256">
        <v>47.9</v>
      </c>
      <c r="I1572" s="995"/>
      <c r="J1572" s="996"/>
      <c r="K1572" s="997"/>
      <c r="L1572" s="99"/>
      <c r="M1572" s="100"/>
    </row>
    <row r="1573" spans="4:13" ht="20" thickBot="1">
      <c r="E1573" s="603">
        <v>45538</v>
      </c>
      <c r="F1573" s="256">
        <v>47.9</v>
      </c>
      <c r="G1573" s="256" t="s">
        <v>502</v>
      </c>
      <c r="H1573" s="256">
        <v>49.6</v>
      </c>
      <c r="I1573" s="998"/>
      <c r="J1573" s="999"/>
      <c r="K1573" s="1000"/>
      <c r="L1573" s="102"/>
      <c r="M1573" s="103"/>
    </row>
    <row r="1574" spans="4:13" ht="25" thickBot="1">
      <c r="D1574">
        <v>2</v>
      </c>
      <c r="E1574" s="598" t="s">
        <v>30</v>
      </c>
      <c r="F1574" s="1102" t="s">
        <v>1139</v>
      </c>
      <c r="G1574" s="1103"/>
      <c r="H1574" s="1104"/>
      <c r="I1574" s="1131" t="s">
        <v>633</v>
      </c>
      <c r="J1574" s="1129"/>
      <c r="K1574" s="1130"/>
      <c r="L1574" s="158" t="s">
        <v>430</v>
      </c>
      <c r="M1574" s="105" t="s">
        <v>431</v>
      </c>
    </row>
    <row r="1575" spans="4:13">
      <c r="E1575" s="599" t="s">
        <v>432</v>
      </c>
      <c r="F1575" s="1105"/>
      <c r="G1575" s="1106"/>
      <c r="H1575" s="1107"/>
      <c r="I1575" s="995" t="s">
        <v>1140</v>
      </c>
      <c r="J1575" s="996"/>
      <c r="K1575" s="997"/>
      <c r="L1575" s="99"/>
      <c r="M1575" s="100"/>
    </row>
    <row r="1576" spans="4:13">
      <c r="E1576" s="600" t="s">
        <v>433</v>
      </c>
      <c r="F1576" s="1124">
        <v>-2E-3</v>
      </c>
      <c r="G1576" s="1112"/>
      <c r="H1576" s="1113"/>
      <c r="I1576" s="995"/>
      <c r="J1576" s="996"/>
      <c r="K1576" s="997"/>
      <c r="L1576" s="99"/>
      <c r="M1576" s="100"/>
    </row>
    <row r="1577" spans="4:13" ht="20" thickBot="1">
      <c r="E1577" s="600" t="s">
        <v>434</v>
      </c>
      <c r="F1577" s="1117">
        <v>4.0000000000000001E-3</v>
      </c>
      <c r="G1577" s="1109"/>
      <c r="H1577" s="1110"/>
      <c r="I1577" s="995"/>
      <c r="J1577" s="996"/>
      <c r="K1577" s="997"/>
      <c r="L1577" s="99"/>
      <c r="M1577" s="100"/>
    </row>
    <row r="1578" spans="4:13" ht="20" thickBot="1">
      <c r="E1578" s="601" t="s">
        <v>435</v>
      </c>
      <c r="F1578" s="1114">
        <v>0.29166666666666674</v>
      </c>
      <c r="G1578" s="1115"/>
      <c r="H1578" s="1116"/>
      <c r="I1578" s="995"/>
      <c r="J1578" s="996"/>
      <c r="K1578" s="997"/>
      <c r="L1578" s="106">
        <v>0.52083333333333337</v>
      </c>
      <c r="M1578" s="107">
        <v>0.375</v>
      </c>
    </row>
    <row r="1579" spans="4:13" ht="20" thickBot="1">
      <c r="E1579" s="602" t="s">
        <v>436</v>
      </c>
      <c r="F1579" s="252" t="s">
        <v>29</v>
      </c>
      <c r="G1579" s="252" t="s">
        <v>28</v>
      </c>
      <c r="H1579" s="253" t="s">
        <v>27</v>
      </c>
      <c r="I1579" s="995"/>
      <c r="J1579" s="996"/>
      <c r="K1579" s="997"/>
      <c r="L1579" s="330">
        <v>0.1875</v>
      </c>
      <c r="M1579" s="331">
        <v>4.1666666666666664E-2</v>
      </c>
    </row>
    <row r="1580" spans="4:13">
      <c r="E1580" s="603">
        <v>45597</v>
      </c>
      <c r="F1580" s="604" t="s">
        <v>1163</v>
      </c>
      <c r="G1580" s="604" t="s">
        <v>1164</v>
      </c>
      <c r="H1580" s="604" t="s">
        <v>1165</v>
      </c>
      <c r="I1580" s="995"/>
      <c r="J1580" s="996"/>
      <c r="K1580" s="997"/>
      <c r="L1580" s="99"/>
      <c r="M1580" s="100"/>
    </row>
    <row r="1581" spans="4:13">
      <c r="E1581" s="603">
        <v>45566</v>
      </c>
      <c r="F1581" s="604" t="s">
        <v>1165</v>
      </c>
      <c r="G1581" s="604" t="s">
        <v>1164</v>
      </c>
      <c r="H1581" s="604" t="s">
        <v>1165</v>
      </c>
      <c r="I1581" s="995"/>
      <c r="J1581" s="996"/>
      <c r="K1581" s="997"/>
      <c r="L1581" s="99"/>
      <c r="M1581" s="100"/>
    </row>
    <row r="1582" spans="4:13">
      <c r="E1582" s="603">
        <v>45538</v>
      </c>
      <c r="F1582" s="604" t="s">
        <v>1165</v>
      </c>
      <c r="G1582" s="604" t="s">
        <v>1166</v>
      </c>
      <c r="H1582" s="604" t="s">
        <v>1167</v>
      </c>
      <c r="I1582" s="995"/>
      <c r="J1582" s="996"/>
      <c r="K1582" s="997"/>
      <c r="L1582" s="101"/>
      <c r="M1582" s="100"/>
    </row>
    <row r="1583" spans="4:13">
      <c r="E1583" s="603">
        <v>45505</v>
      </c>
      <c r="F1583" s="604" t="s">
        <v>1167</v>
      </c>
      <c r="G1583" s="604" t="s">
        <v>1168</v>
      </c>
      <c r="H1583" s="604" t="s">
        <v>1169</v>
      </c>
      <c r="I1583" s="995"/>
      <c r="J1583" s="996"/>
      <c r="K1583" s="997"/>
      <c r="L1583" s="99"/>
      <c r="M1583" s="100"/>
    </row>
    <row r="1584" spans="4:13">
      <c r="E1584" s="603">
        <v>45474</v>
      </c>
      <c r="F1584" s="604" t="s">
        <v>1169</v>
      </c>
      <c r="G1584" s="604" t="s">
        <v>1170</v>
      </c>
      <c r="H1584" s="604" t="s">
        <v>1171</v>
      </c>
      <c r="I1584" s="995"/>
      <c r="J1584" s="996"/>
      <c r="K1584" s="997"/>
      <c r="L1584" s="99"/>
      <c r="M1584" s="100"/>
    </row>
    <row r="1585" spans="4:13" ht="20" thickBot="1">
      <c r="E1585" s="603">
        <v>45446</v>
      </c>
      <c r="F1585" s="604" t="s">
        <v>1171</v>
      </c>
      <c r="G1585" s="604" t="s">
        <v>1172</v>
      </c>
      <c r="H1585" s="604" t="s">
        <v>1170</v>
      </c>
      <c r="I1585" s="998"/>
      <c r="J1585" s="999"/>
      <c r="K1585" s="1000"/>
      <c r="L1585" s="102"/>
      <c r="M1585" s="103"/>
    </row>
    <row r="1586" spans="4:13" ht="25" thickBot="1">
      <c r="D1586" t="s">
        <v>105</v>
      </c>
      <c r="E1586" s="598" t="s">
        <v>30</v>
      </c>
      <c r="F1586" s="1102" t="s">
        <v>1141</v>
      </c>
      <c r="G1586" s="1103"/>
      <c r="H1586" s="1104"/>
      <c r="I1586" s="1131" t="s">
        <v>633</v>
      </c>
      <c r="J1586" s="1129"/>
      <c r="K1586" s="1130"/>
      <c r="L1586" s="158" t="s">
        <v>430</v>
      </c>
      <c r="M1586" s="105" t="s">
        <v>431</v>
      </c>
    </row>
    <row r="1587" spans="4:13">
      <c r="E1587" s="599" t="s">
        <v>432</v>
      </c>
      <c r="F1587" s="1105"/>
      <c r="G1587" s="1106"/>
      <c r="H1587" s="1107"/>
      <c r="I1587" s="995" t="s">
        <v>1142</v>
      </c>
      <c r="J1587" s="996"/>
      <c r="K1587" s="997"/>
      <c r="L1587" s="99"/>
      <c r="M1587" s="100"/>
    </row>
    <row r="1588" spans="4:13">
      <c r="E1588" s="600" t="s">
        <v>433</v>
      </c>
      <c r="F1588" s="1124">
        <v>3.0000000000000001E-3</v>
      </c>
      <c r="G1588" s="1112"/>
      <c r="H1588" s="1113"/>
      <c r="I1588" s="995"/>
      <c r="J1588" s="996"/>
      <c r="K1588" s="997"/>
      <c r="L1588" s="99"/>
      <c r="M1588" s="100"/>
    </row>
    <row r="1589" spans="4:13" ht="20" thickBot="1">
      <c r="E1589" s="600" t="s">
        <v>434</v>
      </c>
      <c r="F1589" s="1117">
        <v>3.0000000000000001E-3</v>
      </c>
      <c r="G1589" s="1109"/>
      <c r="H1589" s="1110"/>
      <c r="I1589" s="995"/>
      <c r="J1589" s="996"/>
      <c r="K1589" s="997"/>
      <c r="L1589" s="99"/>
      <c r="M1589" s="100"/>
    </row>
    <row r="1590" spans="4:13" ht="20" thickBot="1">
      <c r="E1590" s="601" t="s">
        <v>435</v>
      </c>
      <c r="F1590" s="1114">
        <v>0.5625</v>
      </c>
      <c r="G1590" s="1115"/>
      <c r="H1590" s="1116"/>
      <c r="I1590" s="995"/>
      <c r="J1590" s="996"/>
      <c r="K1590" s="997"/>
      <c r="L1590" s="106">
        <v>0.79166666666666663</v>
      </c>
      <c r="M1590" s="107">
        <v>0.64583333333333326</v>
      </c>
    </row>
    <row r="1591" spans="4:13" ht="20" thickBot="1">
      <c r="E1591" s="602" t="s">
        <v>436</v>
      </c>
      <c r="F1591" s="252" t="s">
        <v>29</v>
      </c>
      <c r="G1591" s="252" t="s">
        <v>28</v>
      </c>
      <c r="H1591" s="253" t="s">
        <v>27</v>
      </c>
      <c r="I1591" s="995"/>
      <c r="J1591" s="996"/>
      <c r="K1591" s="997"/>
      <c r="L1591" s="99"/>
      <c r="M1591" s="100"/>
    </row>
    <row r="1592" spans="4:13">
      <c r="E1592" s="603">
        <v>45597</v>
      </c>
      <c r="F1592" s="604">
        <v>54.8</v>
      </c>
      <c r="G1592" s="604" t="s">
        <v>1173</v>
      </c>
      <c r="H1592" s="604">
        <v>48.3</v>
      </c>
      <c r="I1592" s="995"/>
      <c r="J1592" s="996"/>
      <c r="K1592" s="997"/>
      <c r="L1592" s="99"/>
      <c r="M1592" s="100"/>
    </row>
    <row r="1593" spans="4:13">
      <c r="E1593" s="603">
        <v>45566</v>
      </c>
      <c r="F1593" s="604">
        <v>48.3</v>
      </c>
      <c r="G1593" s="604" t="s">
        <v>902</v>
      </c>
      <c r="H1593" s="604">
        <v>54</v>
      </c>
      <c r="I1593" s="995"/>
      <c r="J1593" s="996"/>
      <c r="K1593" s="997"/>
      <c r="L1593" s="99"/>
      <c r="M1593" s="100"/>
    </row>
    <row r="1594" spans="4:13">
      <c r="E1594" s="603">
        <v>45538</v>
      </c>
      <c r="F1594" s="604">
        <v>54</v>
      </c>
      <c r="G1594" s="604" t="s">
        <v>519</v>
      </c>
      <c r="H1594" s="604">
        <v>52.9</v>
      </c>
      <c r="I1594" s="995"/>
      <c r="J1594" s="996"/>
      <c r="K1594" s="997"/>
      <c r="L1594" s="101"/>
      <c r="M1594" s="100"/>
    </row>
    <row r="1595" spans="4:13">
      <c r="E1595" s="603">
        <v>45505</v>
      </c>
      <c r="F1595" s="604">
        <v>52.9</v>
      </c>
      <c r="G1595" s="604" t="s">
        <v>520</v>
      </c>
      <c r="H1595" s="604">
        <v>52.1</v>
      </c>
      <c r="I1595" s="995"/>
      <c r="J1595" s="996"/>
      <c r="K1595" s="997"/>
      <c r="L1595" s="99"/>
      <c r="M1595" s="100"/>
    </row>
    <row r="1596" spans="4:13">
      <c r="E1596" s="603">
        <v>45474</v>
      </c>
      <c r="F1596" s="604">
        <v>52.1</v>
      </c>
      <c r="G1596" s="604" t="s">
        <v>521</v>
      </c>
      <c r="H1596" s="604">
        <v>57</v>
      </c>
      <c r="I1596" s="995"/>
      <c r="J1596" s="996"/>
      <c r="K1596" s="997"/>
      <c r="L1596" s="99"/>
      <c r="M1596" s="100"/>
    </row>
    <row r="1597" spans="4:13" ht="20" thickBot="1">
      <c r="E1597" s="603">
        <v>45446</v>
      </c>
      <c r="F1597" s="604">
        <v>57</v>
      </c>
      <c r="G1597" s="604" t="s">
        <v>522</v>
      </c>
      <c r="H1597" s="604">
        <v>60.9</v>
      </c>
      <c r="I1597" s="998"/>
      <c r="J1597" s="999"/>
      <c r="K1597" s="1000"/>
      <c r="L1597" s="102"/>
      <c r="M1597" s="103"/>
    </row>
    <row r="1598" spans="4:13" ht="25" thickBot="1">
      <c r="D1598">
        <v>3</v>
      </c>
      <c r="E1598" s="598" t="s">
        <v>30</v>
      </c>
      <c r="F1598" s="1102" t="s">
        <v>1143</v>
      </c>
      <c r="G1598" s="1103"/>
      <c r="H1598" s="1104"/>
      <c r="I1598" s="1131" t="s">
        <v>633</v>
      </c>
      <c r="J1598" s="1129"/>
      <c r="K1598" s="1130"/>
      <c r="L1598" s="158" t="s">
        <v>430</v>
      </c>
      <c r="M1598" s="105" t="s">
        <v>431</v>
      </c>
    </row>
    <row r="1599" spans="4:13">
      <c r="E1599" s="599" t="s">
        <v>432</v>
      </c>
      <c r="F1599" s="1105"/>
      <c r="G1599" s="1106"/>
      <c r="H1599" s="1107"/>
      <c r="I1599" s="995" t="s">
        <v>1144</v>
      </c>
      <c r="J1599" s="996"/>
      <c r="K1599" s="997"/>
      <c r="L1599" s="99"/>
      <c r="M1599" s="100"/>
    </row>
    <row r="1600" spans="4:13">
      <c r="E1600" s="600" t="s">
        <v>433</v>
      </c>
      <c r="F1600" s="1124">
        <v>2E-3</v>
      </c>
      <c r="G1600" s="1112"/>
      <c r="H1600" s="1113"/>
      <c r="I1600" s="995"/>
      <c r="J1600" s="996"/>
      <c r="K1600" s="997"/>
      <c r="L1600" s="99"/>
      <c r="M1600" s="100"/>
    </row>
    <row r="1601" spans="4:13" ht="20" thickBot="1">
      <c r="E1601" s="600" t="s">
        <v>434</v>
      </c>
      <c r="F1601" s="1111">
        <v>2.5999999999999999E-2</v>
      </c>
      <c r="G1601" s="1112"/>
      <c r="H1601" s="1113"/>
      <c r="I1601" s="995"/>
      <c r="J1601" s="996"/>
      <c r="K1601" s="997"/>
      <c r="L1601" s="99"/>
      <c r="M1601" s="100"/>
    </row>
    <row r="1602" spans="4:13" ht="20" thickBot="1">
      <c r="E1602" s="601" t="s">
        <v>435</v>
      </c>
      <c r="F1602" s="1114">
        <v>0.5625</v>
      </c>
      <c r="G1602" s="1115"/>
      <c r="H1602" s="1116"/>
      <c r="I1602" s="995"/>
      <c r="J1602" s="996"/>
      <c r="K1602" s="997"/>
      <c r="L1602" s="106">
        <v>0.79166666666666663</v>
      </c>
      <c r="M1602" s="107">
        <v>0.64583333333333326</v>
      </c>
    </row>
    <row r="1603" spans="4:13" ht="20" thickBot="1">
      <c r="E1603" s="602" t="s">
        <v>436</v>
      </c>
      <c r="F1603" s="252" t="s">
        <v>29</v>
      </c>
      <c r="G1603" s="252" t="s">
        <v>28</v>
      </c>
      <c r="H1603" s="253" t="s">
        <v>27</v>
      </c>
      <c r="I1603" s="995"/>
      <c r="J1603" s="996"/>
      <c r="K1603" s="997"/>
      <c r="L1603" s="99"/>
      <c r="M1603" s="100"/>
    </row>
    <row r="1604" spans="4:13">
      <c r="E1604" s="603">
        <v>45594</v>
      </c>
      <c r="F1604" s="345" t="s">
        <v>1174</v>
      </c>
      <c r="G1604" s="345" t="s">
        <v>1175</v>
      </c>
      <c r="H1604" s="345" t="s">
        <v>1176</v>
      </c>
      <c r="I1604" s="995"/>
      <c r="J1604" s="996"/>
      <c r="K1604" s="997"/>
      <c r="L1604" s="99"/>
      <c r="M1604" s="100"/>
    </row>
    <row r="1605" spans="4:13">
      <c r="E1605" s="603">
        <v>45566</v>
      </c>
      <c r="F1605" s="345" t="s">
        <v>1177</v>
      </c>
      <c r="G1605" s="345" t="s">
        <v>1178</v>
      </c>
      <c r="H1605" s="345" t="s">
        <v>1179</v>
      </c>
      <c r="I1605" s="995"/>
      <c r="J1605" s="996"/>
      <c r="K1605" s="997"/>
      <c r="L1605" s="99"/>
      <c r="M1605" s="100"/>
    </row>
    <row r="1606" spans="4:13">
      <c r="E1606" s="603">
        <v>45539</v>
      </c>
      <c r="F1606" s="345" t="s">
        <v>1180</v>
      </c>
      <c r="G1606" s="345" t="s">
        <v>1181</v>
      </c>
      <c r="H1606" s="345" t="s">
        <v>1182</v>
      </c>
      <c r="I1606" s="995"/>
      <c r="J1606" s="996"/>
      <c r="K1606" s="997"/>
      <c r="L1606" s="101"/>
      <c r="M1606" s="100"/>
    </row>
    <row r="1607" spans="4:13">
      <c r="E1607" s="603">
        <v>45503</v>
      </c>
      <c r="F1607" s="345" t="s">
        <v>1183</v>
      </c>
      <c r="G1607" s="345" t="s">
        <v>1184</v>
      </c>
      <c r="H1607" s="345" t="s">
        <v>1185</v>
      </c>
      <c r="I1607" s="995"/>
      <c r="J1607" s="996"/>
      <c r="K1607" s="997"/>
      <c r="L1607" s="99"/>
      <c r="M1607" s="100"/>
    </row>
    <row r="1608" spans="4:13">
      <c r="E1608" s="603">
        <v>45475</v>
      </c>
      <c r="F1608" s="345" t="s">
        <v>1186</v>
      </c>
      <c r="G1608" s="345" t="s">
        <v>1187</v>
      </c>
      <c r="H1608" s="345" t="s">
        <v>1188</v>
      </c>
      <c r="I1608" s="995"/>
      <c r="J1608" s="996"/>
      <c r="K1608" s="997"/>
      <c r="L1608" s="99"/>
      <c r="M1608" s="100"/>
    </row>
    <row r="1609" spans="4:13" ht="20" thickBot="1">
      <c r="E1609" s="603">
        <v>45447</v>
      </c>
      <c r="F1609" s="345" t="s">
        <v>1189</v>
      </c>
      <c r="G1609" s="345" t="s">
        <v>1190</v>
      </c>
      <c r="H1609" s="345" t="s">
        <v>1191</v>
      </c>
      <c r="I1609" s="998"/>
      <c r="J1609" s="999"/>
      <c r="K1609" s="1000"/>
      <c r="L1609" s="102"/>
      <c r="M1609" s="103"/>
    </row>
    <row r="1610" spans="4:13" ht="25" thickBot="1">
      <c r="D1610">
        <v>4</v>
      </c>
      <c r="E1610" s="598" t="s">
        <v>30</v>
      </c>
      <c r="F1610" s="1102" t="s">
        <v>1145</v>
      </c>
      <c r="G1610" s="1103"/>
      <c r="H1610" s="1104"/>
      <c r="I1610" s="1131" t="s">
        <v>633</v>
      </c>
      <c r="J1610" s="1129"/>
      <c r="K1610" s="1130"/>
      <c r="L1610" s="158" t="s">
        <v>430</v>
      </c>
      <c r="M1610" s="105" t="s">
        <v>431</v>
      </c>
    </row>
    <row r="1611" spans="4:13">
      <c r="E1611" s="599" t="s">
        <v>432</v>
      </c>
      <c r="F1611" s="1105"/>
      <c r="G1611" s="1106"/>
      <c r="H1611" s="1107"/>
      <c r="I1611" s="995" t="s">
        <v>1144</v>
      </c>
      <c r="J1611" s="996"/>
      <c r="K1611" s="997"/>
      <c r="L1611" s="99"/>
      <c r="M1611" s="100"/>
    </row>
    <row r="1612" spans="4:13">
      <c r="E1612" s="600" t="s">
        <v>433</v>
      </c>
      <c r="F1612" s="1124">
        <v>2.7E-2</v>
      </c>
      <c r="G1612" s="1112"/>
      <c r="H1612" s="1113"/>
      <c r="I1612" s="995"/>
      <c r="J1612" s="996"/>
      <c r="K1612" s="997"/>
      <c r="L1612" s="99"/>
      <c r="M1612" s="100"/>
    </row>
    <row r="1613" spans="4:13" ht="20" thickBot="1">
      <c r="E1613" s="600" t="s">
        <v>434</v>
      </c>
      <c r="F1613" s="1111" t="e">
        <v>#REF!</v>
      </c>
      <c r="G1613" s="1112"/>
      <c r="H1613" s="1113"/>
      <c r="I1613" s="995"/>
      <c r="J1613" s="996"/>
      <c r="K1613" s="997"/>
      <c r="L1613" s="99"/>
      <c r="M1613" s="100"/>
    </row>
    <row r="1614" spans="4:13" ht="20" thickBot="1">
      <c r="E1614" s="601" t="s">
        <v>435</v>
      </c>
      <c r="F1614" s="1114">
        <v>0.5625</v>
      </c>
      <c r="G1614" s="1115"/>
      <c r="H1614" s="1116"/>
      <c r="I1614" s="995"/>
      <c r="J1614" s="996"/>
      <c r="K1614" s="997"/>
      <c r="L1614" s="106">
        <v>0.79166666666666663</v>
      </c>
      <c r="M1614" s="107">
        <v>0.64583333333333326</v>
      </c>
    </row>
    <row r="1615" spans="4:13" ht="20" thickBot="1">
      <c r="E1615" s="602" t="s">
        <v>436</v>
      </c>
      <c r="F1615" s="252" t="s">
        <v>29</v>
      </c>
      <c r="G1615" s="252" t="s">
        <v>28</v>
      </c>
      <c r="H1615" s="253" t="s">
        <v>27</v>
      </c>
      <c r="I1615" s="995"/>
      <c r="J1615" s="996"/>
      <c r="K1615" s="997"/>
      <c r="L1615" s="99"/>
      <c r="M1615" s="100"/>
    </row>
    <row r="1616" spans="4:13">
      <c r="E1616" s="603">
        <v>45595</v>
      </c>
      <c r="F1616" s="345" t="s">
        <v>1192</v>
      </c>
      <c r="G1616" s="345" t="s">
        <v>1193</v>
      </c>
      <c r="H1616" s="345" t="s">
        <v>1194</v>
      </c>
      <c r="I1616" s="995"/>
      <c r="J1616" s="996"/>
      <c r="K1616" s="997"/>
      <c r="L1616" s="99"/>
      <c r="M1616" s="100"/>
    </row>
    <row r="1617" spans="4:13">
      <c r="E1617" s="603">
        <v>45567</v>
      </c>
      <c r="F1617" s="345" t="s">
        <v>1195</v>
      </c>
      <c r="G1617" s="345" t="s">
        <v>1196</v>
      </c>
      <c r="H1617" s="345" t="s">
        <v>1197</v>
      </c>
      <c r="I1617" s="995"/>
      <c r="J1617" s="996"/>
      <c r="K1617" s="997"/>
      <c r="L1617" s="99"/>
      <c r="M1617" s="100"/>
    </row>
    <row r="1618" spans="4:13">
      <c r="E1618" s="603">
        <v>45540</v>
      </c>
      <c r="F1618" s="345" t="s">
        <v>1198</v>
      </c>
      <c r="G1618" s="345" t="s">
        <v>1199</v>
      </c>
      <c r="H1618" s="345" t="s">
        <v>1200</v>
      </c>
      <c r="I1618" s="995"/>
      <c r="J1618" s="996"/>
      <c r="K1618" s="997"/>
      <c r="L1618" s="101"/>
      <c r="M1618" s="100"/>
    </row>
    <row r="1619" spans="4:13">
      <c r="E1619" s="603">
        <v>45504</v>
      </c>
      <c r="F1619" s="345" t="s">
        <v>1201</v>
      </c>
      <c r="G1619" s="345" t="s">
        <v>1202</v>
      </c>
      <c r="H1619" s="345" t="s">
        <v>1203</v>
      </c>
      <c r="I1619" s="995"/>
      <c r="J1619" s="996"/>
      <c r="K1619" s="997"/>
      <c r="L1619" s="99"/>
      <c r="M1619" s="100"/>
    </row>
    <row r="1620" spans="4:13">
      <c r="E1620" s="603">
        <v>45476</v>
      </c>
      <c r="F1620" s="345" t="s">
        <v>1204</v>
      </c>
      <c r="G1620" s="345" t="s">
        <v>1205</v>
      </c>
      <c r="H1620" s="345" t="s">
        <v>1206</v>
      </c>
      <c r="I1620" s="995"/>
      <c r="J1620" s="996"/>
      <c r="K1620" s="997"/>
      <c r="L1620" s="99"/>
      <c r="M1620" s="100"/>
    </row>
    <row r="1621" spans="4:13" ht="20" thickBot="1">
      <c r="E1621" s="603">
        <v>45448</v>
      </c>
      <c r="F1621" s="345" t="s">
        <v>1207</v>
      </c>
      <c r="G1621" s="345" t="s">
        <v>1208</v>
      </c>
      <c r="H1621" s="345" t="s">
        <v>1209</v>
      </c>
      <c r="I1621" s="998"/>
      <c r="J1621" s="999"/>
      <c r="K1621" s="1000"/>
      <c r="L1621" s="102"/>
      <c r="M1621" s="103"/>
    </row>
    <row r="1622" spans="4:13" ht="25" thickBot="1">
      <c r="D1622">
        <v>5</v>
      </c>
      <c r="E1622" s="598" t="s">
        <v>30</v>
      </c>
      <c r="F1622" s="1102" t="s">
        <v>90</v>
      </c>
      <c r="G1622" s="1103"/>
      <c r="H1622" s="1104"/>
      <c r="I1622" s="1131" t="s">
        <v>633</v>
      </c>
      <c r="J1622" s="1129"/>
      <c r="K1622" s="1130"/>
      <c r="L1622" s="158" t="s">
        <v>430</v>
      </c>
      <c r="M1622" s="105" t="s">
        <v>431</v>
      </c>
    </row>
    <row r="1623" spans="4:13">
      <c r="E1623" s="599" t="s">
        <v>432</v>
      </c>
      <c r="F1623" s="1105"/>
      <c r="G1623" s="1106"/>
      <c r="H1623" s="1107"/>
      <c r="I1623" s="995" t="s">
        <v>1146</v>
      </c>
      <c r="J1623" s="996"/>
      <c r="K1623" s="997"/>
      <c r="L1623" s="99"/>
      <c r="M1623" s="100"/>
    </row>
    <row r="1624" spans="4:13">
      <c r="E1624" s="600" t="s">
        <v>433</v>
      </c>
      <c r="F1624" s="1124">
        <v>3.2500000000000001E-2</v>
      </c>
      <c r="G1624" s="1112"/>
      <c r="H1624" s="1113"/>
      <c r="I1624" s="995"/>
      <c r="J1624" s="996"/>
      <c r="K1624" s="997"/>
      <c r="L1624" s="99"/>
      <c r="M1624" s="100"/>
    </row>
    <row r="1625" spans="4:13" ht="20" thickBot="1">
      <c r="E1625" s="600" t="s">
        <v>434</v>
      </c>
      <c r="F1625" s="1117">
        <v>3.7499999999999999E-2</v>
      </c>
      <c r="G1625" s="1109"/>
      <c r="H1625" s="1110"/>
      <c r="I1625" s="995"/>
      <c r="J1625" s="996"/>
      <c r="K1625" s="997"/>
      <c r="L1625" s="99"/>
      <c r="M1625" s="100"/>
    </row>
    <row r="1626" spans="4:13" ht="20" thickBot="1">
      <c r="E1626" s="601" t="s">
        <v>435</v>
      </c>
      <c r="F1626" s="1114">
        <v>0.61458333333333337</v>
      </c>
      <c r="G1626" s="1115"/>
      <c r="H1626" s="1116"/>
      <c r="I1626" s="995"/>
      <c r="J1626" s="996"/>
      <c r="K1626" s="997"/>
      <c r="L1626" s="106">
        <v>0.84375</v>
      </c>
      <c r="M1626" s="107">
        <v>0.69791666666666663</v>
      </c>
    </row>
    <row r="1627" spans="4:13" ht="20" thickBot="1">
      <c r="E1627" s="602" t="s">
        <v>436</v>
      </c>
      <c r="F1627" s="252" t="s">
        <v>29</v>
      </c>
      <c r="G1627" s="252" t="s">
        <v>28</v>
      </c>
      <c r="H1627" s="253" t="s">
        <v>27</v>
      </c>
      <c r="I1627" s="995"/>
      <c r="J1627" s="996"/>
      <c r="K1627" s="997"/>
      <c r="L1627" s="99"/>
      <c r="M1627" s="100"/>
    </row>
    <row r="1628" spans="4:13">
      <c r="E1628" s="603">
        <v>45618</v>
      </c>
      <c r="F1628" s="256">
        <v>57</v>
      </c>
      <c r="G1628" s="256" t="s">
        <v>586</v>
      </c>
      <c r="H1628" s="256">
        <v>55</v>
      </c>
      <c r="I1628" s="995"/>
      <c r="J1628" s="996"/>
      <c r="K1628" s="997"/>
      <c r="L1628" s="99"/>
      <c r="M1628" s="100"/>
    </row>
    <row r="1629" spans="4:13">
      <c r="E1629" s="603">
        <v>45601</v>
      </c>
      <c r="F1629" s="256">
        <v>55</v>
      </c>
      <c r="G1629" s="256" t="s">
        <v>585</v>
      </c>
      <c r="H1629" s="256">
        <v>55.2</v>
      </c>
      <c r="I1629" s="995"/>
      <c r="J1629" s="996"/>
      <c r="K1629" s="997"/>
      <c r="L1629" s="99"/>
      <c r="M1629" s="100"/>
    </row>
    <row r="1630" spans="4:13">
      <c r="E1630" s="603">
        <v>45589</v>
      </c>
      <c r="F1630" s="256">
        <v>55.3</v>
      </c>
      <c r="G1630" s="256" t="s">
        <v>604</v>
      </c>
      <c r="H1630" s="256">
        <v>55.2</v>
      </c>
      <c r="I1630" s="995"/>
      <c r="J1630" s="996"/>
      <c r="K1630" s="997"/>
      <c r="L1630" s="101"/>
      <c r="M1630" s="100"/>
    </row>
    <row r="1631" spans="4:13">
      <c r="E1631" s="603">
        <v>45568</v>
      </c>
      <c r="F1631" s="256">
        <v>55.2</v>
      </c>
      <c r="G1631" s="256" t="s">
        <v>759</v>
      </c>
      <c r="H1631" s="256">
        <v>55.7</v>
      </c>
      <c r="I1631" s="995"/>
      <c r="J1631" s="996"/>
      <c r="K1631" s="997"/>
      <c r="L1631" s="99"/>
      <c r="M1631" s="100"/>
    </row>
    <row r="1632" spans="4:13">
      <c r="E1632" s="603">
        <v>45558</v>
      </c>
      <c r="F1632" s="256">
        <v>55.4</v>
      </c>
      <c r="G1632" s="256" t="s">
        <v>585</v>
      </c>
      <c r="H1632" s="256">
        <v>55.7</v>
      </c>
      <c r="I1632" s="995"/>
      <c r="J1632" s="996"/>
      <c r="K1632" s="997"/>
      <c r="L1632" s="99"/>
      <c r="M1632" s="100"/>
    </row>
    <row r="1633" spans="4:13" ht="20" thickBot="1">
      <c r="E1633" s="603">
        <v>45540</v>
      </c>
      <c r="F1633" s="256">
        <v>55.7</v>
      </c>
      <c r="G1633" s="256" t="s">
        <v>586</v>
      </c>
      <c r="H1633" s="256">
        <v>55</v>
      </c>
      <c r="I1633" s="998"/>
      <c r="J1633" s="999"/>
      <c r="K1633" s="1000"/>
      <c r="L1633" s="102"/>
      <c r="M1633" s="103"/>
    </row>
    <row r="1634" spans="4:13" ht="25" thickBot="1">
      <c r="D1634">
        <v>6</v>
      </c>
      <c r="E1634" s="598" t="s">
        <v>30</v>
      </c>
      <c r="F1634" s="1102" t="s">
        <v>9</v>
      </c>
      <c r="G1634" s="1103"/>
      <c r="H1634" s="1104"/>
      <c r="I1634" s="1131" t="s">
        <v>633</v>
      </c>
      <c r="J1634" s="1129"/>
      <c r="K1634" s="1130"/>
      <c r="L1634" s="158" t="s">
        <v>430</v>
      </c>
      <c r="M1634" s="105" t="s">
        <v>431</v>
      </c>
    </row>
    <row r="1635" spans="4:13">
      <c r="E1635" s="599" t="s">
        <v>432</v>
      </c>
      <c r="F1635" s="1105"/>
      <c r="G1635" s="1106"/>
      <c r="H1635" s="1107"/>
      <c r="I1635" s="995" t="s">
        <v>1148</v>
      </c>
      <c r="J1635" s="996"/>
      <c r="K1635" s="997"/>
      <c r="L1635" s="99"/>
      <c r="M1635" s="100"/>
    </row>
    <row r="1636" spans="4:13">
      <c r="E1636" s="600" t="s">
        <v>433</v>
      </c>
      <c r="F1636" s="1117">
        <v>0</v>
      </c>
      <c r="G1636" s="1109"/>
      <c r="H1636" s="1110"/>
      <c r="I1636" s="995"/>
      <c r="J1636" s="996"/>
      <c r="K1636" s="997"/>
      <c r="L1636" s="99"/>
      <c r="M1636" s="100"/>
    </row>
    <row r="1637" spans="4:13" ht="20" thickBot="1">
      <c r="E1637" s="600" t="s">
        <v>434</v>
      </c>
      <c r="F1637" s="1117" t="s">
        <v>1147</v>
      </c>
      <c r="G1637" s="1109"/>
      <c r="H1637" s="1110"/>
      <c r="I1637" s="995"/>
      <c r="J1637" s="996"/>
      <c r="K1637" s="997"/>
      <c r="L1637" s="99"/>
      <c r="M1637" s="100"/>
    </row>
    <row r="1638" spans="4:13" ht="20" thickBot="1">
      <c r="E1638" s="601" t="s">
        <v>435</v>
      </c>
      <c r="F1638" s="1114">
        <v>0.64583333333333337</v>
      </c>
      <c r="G1638" s="1115"/>
      <c r="H1638" s="1116"/>
      <c r="I1638" s="995"/>
      <c r="J1638" s="996"/>
      <c r="K1638" s="997"/>
      <c r="L1638" s="106">
        <v>0.875</v>
      </c>
      <c r="M1638" s="107">
        <v>0.72916666666666663</v>
      </c>
    </row>
    <row r="1639" spans="4:13" ht="20" thickBot="1">
      <c r="E1639" s="602" t="s">
        <v>436</v>
      </c>
      <c r="F1639" s="252" t="s">
        <v>29</v>
      </c>
      <c r="G1639" s="252" t="s">
        <v>28</v>
      </c>
      <c r="H1639" s="253" t="s">
        <v>27</v>
      </c>
      <c r="I1639" s="995"/>
      <c r="J1639" s="996"/>
      <c r="K1639" s="997"/>
      <c r="L1639" s="99"/>
      <c r="M1639" s="100"/>
    </row>
    <row r="1640" spans="4:13">
      <c r="E1640" s="603">
        <v>45601</v>
      </c>
      <c r="F1640" s="256" t="s">
        <v>1210</v>
      </c>
      <c r="G1640" s="256" t="s">
        <v>1211</v>
      </c>
      <c r="H1640" s="256" t="s">
        <v>1212</v>
      </c>
      <c r="I1640" s="995"/>
      <c r="J1640" s="996"/>
      <c r="K1640" s="997"/>
      <c r="L1640" s="99"/>
      <c r="M1640" s="100"/>
    </row>
    <row r="1641" spans="4:13">
      <c r="E1641" s="603">
        <v>45568</v>
      </c>
      <c r="F1641" s="256" t="s">
        <v>1212</v>
      </c>
      <c r="G1641" s="256" t="s">
        <v>1213</v>
      </c>
      <c r="H1641" s="256" t="s">
        <v>1214</v>
      </c>
      <c r="I1641" s="995"/>
      <c r="J1641" s="996"/>
      <c r="K1641" s="997"/>
      <c r="L1641" s="99"/>
      <c r="M1641" s="100"/>
    </row>
    <row r="1642" spans="4:13">
      <c r="E1642" s="603">
        <v>45540</v>
      </c>
      <c r="F1642" s="256" t="s">
        <v>1214</v>
      </c>
      <c r="G1642" s="256" t="s">
        <v>1215</v>
      </c>
      <c r="H1642" s="256" t="s">
        <v>1216</v>
      </c>
      <c r="I1642" s="995"/>
      <c r="J1642" s="996"/>
      <c r="K1642" s="997"/>
      <c r="L1642" s="101"/>
      <c r="M1642" s="100"/>
    </row>
    <row r="1643" spans="4:13">
      <c r="E1643" s="603">
        <v>45509</v>
      </c>
      <c r="F1643" s="256" t="s">
        <v>1216</v>
      </c>
      <c r="G1643" s="256" t="s">
        <v>1216</v>
      </c>
      <c r="H1643" s="256" t="s">
        <v>1168</v>
      </c>
      <c r="I1643" s="995"/>
      <c r="J1643" s="996"/>
      <c r="K1643" s="997"/>
      <c r="L1643" s="99"/>
      <c r="M1643" s="100"/>
    </row>
    <row r="1644" spans="4:13">
      <c r="E1644" s="603">
        <v>45476</v>
      </c>
      <c r="F1644" s="256" t="s">
        <v>1168</v>
      </c>
      <c r="G1644" s="256" t="s">
        <v>1217</v>
      </c>
      <c r="H1644" s="256" t="s">
        <v>1211</v>
      </c>
      <c r="I1644" s="995"/>
      <c r="J1644" s="996"/>
      <c r="K1644" s="997"/>
      <c r="L1644" s="99"/>
      <c r="M1644" s="100"/>
    </row>
    <row r="1645" spans="4:13" ht="20" thickBot="1">
      <c r="E1645" s="603">
        <v>45448</v>
      </c>
      <c r="F1645" s="256" t="s">
        <v>1211</v>
      </c>
      <c r="G1645" s="256" t="s">
        <v>1218</v>
      </c>
      <c r="H1645" s="256" t="s">
        <v>1219</v>
      </c>
      <c r="I1645" s="998"/>
      <c r="J1645" s="999"/>
      <c r="K1645" s="1000"/>
      <c r="L1645" s="102"/>
      <c r="M1645" s="103"/>
    </row>
    <row r="1646" spans="4:13" ht="25" thickBot="1">
      <c r="D1646" s="88" t="s">
        <v>105</v>
      </c>
      <c r="E1646" s="598" t="s">
        <v>30</v>
      </c>
      <c r="F1646" s="1102" t="s">
        <v>52</v>
      </c>
      <c r="G1646" s="1103"/>
      <c r="H1646" s="1104"/>
      <c r="I1646" s="1131" t="s">
        <v>633</v>
      </c>
      <c r="J1646" s="1129"/>
      <c r="K1646" s="1130"/>
      <c r="L1646" s="158" t="s">
        <v>430</v>
      </c>
      <c r="M1646" s="105" t="s">
        <v>431</v>
      </c>
    </row>
    <row r="1647" spans="4:13">
      <c r="D1647" s="89"/>
      <c r="E1647" s="599" t="s">
        <v>432</v>
      </c>
      <c r="F1647" s="1105"/>
      <c r="G1647" s="1106"/>
      <c r="H1647" s="1107"/>
      <c r="I1647" s="995" t="s">
        <v>1149</v>
      </c>
      <c r="J1647" s="996"/>
      <c r="K1647" s="997"/>
      <c r="L1647" s="99"/>
      <c r="M1647" s="100"/>
    </row>
    <row r="1648" spans="4:13">
      <c r="D1648" s="89"/>
      <c r="E1648" s="600" t="s">
        <v>433</v>
      </c>
      <c r="F1648" s="1117">
        <v>0</v>
      </c>
      <c r="G1648" s="1109"/>
      <c r="H1648" s="1110"/>
      <c r="I1648" s="995"/>
      <c r="J1648" s="996"/>
      <c r="K1648" s="997"/>
      <c r="L1648" s="99"/>
      <c r="M1648" s="100"/>
    </row>
    <row r="1649" spans="4:13" ht="20" thickBot="1">
      <c r="D1649" s="89"/>
      <c r="E1649" s="600" t="s">
        <v>434</v>
      </c>
      <c r="F1649" s="1117">
        <v>4.3470000000000002E-2</v>
      </c>
      <c r="G1649" s="1109"/>
      <c r="H1649" s="1110"/>
      <c r="I1649" s="995"/>
      <c r="J1649" s="996"/>
      <c r="K1649" s="997"/>
      <c r="L1649" s="99"/>
      <c r="M1649" s="100"/>
    </row>
    <row r="1650" spans="4:13" ht="20" thickBot="1">
      <c r="D1650" s="89"/>
      <c r="E1650" s="601" t="s">
        <v>435</v>
      </c>
      <c r="F1650" s="1114">
        <v>0.75</v>
      </c>
      <c r="G1650" s="1115"/>
      <c r="H1650" s="1116"/>
      <c r="I1650" s="995"/>
      <c r="J1650" s="996"/>
      <c r="K1650" s="997"/>
      <c r="L1650" s="106">
        <v>0.97916666666666663</v>
      </c>
      <c r="M1650" s="107">
        <v>0.83333333333333326</v>
      </c>
    </row>
    <row r="1651" spans="4:13" ht="20" thickBot="1">
      <c r="D1651" s="89"/>
      <c r="E1651" s="602" t="s">
        <v>436</v>
      </c>
      <c r="F1651" s="252" t="s">
        <v>29</v>
      </c>
      <c r="G1651" s="252" t="s">
        <v>28</v>
      </c>
      <c r="H1651" s="253" t="s">
        <v>27</v>
      </c>
      <c r="I1651" s="995"/>
      <c r="J1651" s="996"/>
      <c r="K1651" s="997"/>
      <c r="L1651" s="99"/>
      <c r="M1651" s="100"/>
    </row>
    <row r="1652" spans="4:13">
      <c r="D1652" s="89"/>
      <c r="E1652" s="603">
        <v>45601</v>
      </c>
      <c r="F1652" s="604" t="s">
        <v>1220</v>
      </c>
      <c r="G1652" s="604" t="s">
        <v>1221</v>
      </c>
      <c r="H1652" s="604" t="s">
        <v>1222</v>
      </c>
      <c r="I1652" s="995"/>
      <c r="J1652" s="996"/>
      <c r="K1652" s="997"/>
      <c r="L1652" s="99"/>
      <c r="M1652" s="100"/>
    </row>
    <row r="1653" spans="4:13">
      <c r="D1653" s="89"/>
      <c r="E1653" s="603">
        <v>45568</v>
      </c>
      <c r="F1653" s="604" t="s">
        <v>1222</v>
      </c>
      <c r="G1653" s="604" t="s">
        <v>1223</v>
      </c>
      <c r="H1653" s="604" t="s">
        <v>1224</v>
      </c>
      <c r="I1653" s="995"/>
      <c r="J1653" s="996"/>
      <c r="K1653" s="997"/>
      <c r="L1653" s="99"/>
      <c r="M1653" s="100"/>
    </row>
    <row r="1654" spans="4:13">
      <c r="D1654" s="89"/>
      <c r="E1654" s="603">
        <v>45540</v>
      </c>
      <c r="F1654" s="604" t="s">
        <v>1224</v>
      </c>
      <c r="G1654" s="604" t="s">
        <v>1225</v>
      </c>
      <c r="H1654" s="604" t="s">
        <v>1226</v>
      </c>
      <c r="I1654" s="995"/>
      <c r="J1654" s="996"/>
      <c r="K1654" s="997"/>
      <c r="L1654" s="101"/>
      <c r="M1654" s="100"/>
    </row>
    <row r="1655" spans="4:13">
      <c r="D1655" s="89"/>
      <c r="E1655" s="603">
        <v>45509</v>
      </c>
      <c r="F1655" s="604" t="s">
        <v>1226</v>
      </c>
      <c r="G1655" s="604" t="s">
        <v>1225</v>
      </c>
      <c r="H1655" s="604" t="s">
        <v>1223</v>
      </c>
      <c r="I1655" s="995"/>
      <c r="J1655" s="996"/>
      <c r="K1655" s="997"/>
      <c r="L1655" s="99"/>
      <c r="M1655" s="100"/>
    </row>
    <row r="1656" spans="4:13">
      <c r="D1656" s="89"/>
      <c r="E1656" s="603">
        <v>45476</v>
      </c>
      <c r="F1656" s="604" t="s">
        <v>1223</v>
      </c>
      <c r="G1656" s="604" t="s">
        <v>1227</v>
      </c>
      <c r="H1656" s="604" t="s">
        <v>1220</v>
      </c>
      <c r="I1656" s="995"/>
      <c r="J1656" s="996"/>
      <c r="K1656" s="997"/>
      <c r="L1656" s="99"/>
      <c r="M1656" s="100"/>
    </row>
    <row r="1657" spans="4:13" ht="20" thickBot="1">
      <c r="D1657" s="89"/>
      <c r="E1657" s="603">
        <v>45448</v>
      </c>
      <c r="F1657" s="604" t="s">
        <v>1220</v>
      </c>
      <c r="G1657" s="604" t="s">
        <v>1228</v>
      </c>
      <c r="H1657" s="604" t="s">
        <v>1229</v>
      </c>
      <c r="I1657" s="998"/>
      <c r="J1657" s="999"/>
      <c r="K1657" s="1000"/>
      <c r="L1657" s="102"/>
      <c r="M1657" s="103"/>
    </row>
    <row r="1658" spans="4:13" ht="25" thickBot="1">
      <c r="D1658">
        <v>7</v>
      </c>
      <c r="E1658" s="598" t="s">
        <v>30</v>
      </c>
      <c r="F1658" s="1102" t="s">
        <v>1150</v>
      </c>
      <c r="G1658" s="1103"/>
      <c r="H1658" s="1104"/>
      <c r="I1658" s="1131" t="s">
        <v>633</v>
      </c>
      <c r="J1658" s="1129"/>
      <c r="K1658" s="1130"/>
      <c r="L1658" s="158" t="s">
        <v>430</v>
      </c>
      <c r="M1658" s="105" t="s">
        <v>431</v>
      </c>
    </row>
    <row r="1659" spans="4:13">
      <c r="D1659" s="89"/>
      <c r="E1659" s="599" t="s">
        <v>432</v>
      </c>
      <c r="F1659" s="1105"/>
      <c r="G1659" s="1106"/>
      <c r="H1659" s="1107"/>
      <c r="I1659" s="995" t="s">
        <v>1151</v>
      </c>
      <c r="J1659" s="996"/>
      <c r="K1659" s="997"/>
      <c r="L1659" s="99"/>
      <c r="M1659" s="100"/>
    </row>
    <row r="1660" spans="4:13">
      <c r="D1660" s="89"/>
      <c r="E1660" s="600" t="s">
        <v>433</v>
      </c>
      <c r="F1660" s="1117">
        <v>7.4999999999999997E-3</v>
      </c>
      <c r="G1660" s="1109"/>
      <c r="H1660" s="1110"/>
      <c r="I1660" s="995"/>
      <c r="J1660" s="996"/>
      <c r="K1660" s="997"/>
      <c r="L1660" s="99"/>
      <c r="M1660" s="100"/>
    </row>
    <row r="1661" spans="4:13" ht="20" thickBot="1">
      <c r="D1661" s="89"/>
      <c r="E1661" s="600" t="s">
        <v>434</v>
      </c>
      <c r="F1661" s="1111">
        <v>0.01</v>
      </c>
      <c r="G1661" s="1112"/>
      <c r="H1661" s="1113"/>
      <c r="I1661" s="995"/>
      <c r="J1661" s="996"/>
      <c r="K1661" s="997"/>
      <c r="L1661" s="99"/>
      <c r="M1661" s="100"/>
    </row>
    <row r="1662" spans="4:13" ht="20" thickBot="1">
      <c r="D1662" s="89"/>
      <c r="E1662" s="601" t="s">
        <v>435</v>
      </c>
      <c r="F1662" s="1114">
        <v>0.64583333333333337</v>
      </c>
      <c r="G1662" s="1115"/>
      <c r="H1662" s="1116"/>
      <c r="I1662" s="995"/>
      <c r="J1662" s="996"/>
      <c r="K1662" s="997"/>
      <c r="L1662" s="106">
        <v>0.875</v>
      </c>
      <c r="M1662" s="107">
        <v>0.72916666666666663</v>
      </c>
    </row>
    <row r="1663" spans="4:13" ht="20" thickBot="1">
      <c r="D1663" s="89"/>
      <c r="E1663" s="602" t="s">
        <v>436</v>
      </c>
      <c r="F1663" s="252" t="s">
        <v>29</v>
      </c>
      <c r="G1663" s="252" t="s">
        <v>28</v>
      </c>
      <c r="H1663" s="253" t="s">
        <v>27</v>
      </c>
      <c r="I1663" s="995"/>
      <c r="J1663" s="996"/>
      <c r="K1663" s="997"/>
      <c r="L1663" s="99"/>
      <c r="M1663" s="100"/>
    </row>
    <row r="1664" spans="4:13">
      <c r="D1664" s="89"/>
      <c r="E1664" s="603">
        <v>45623</v>
      </c>
      <c r="F1664" s="341" t="s">
        <v>1230</v>
      </c>
      <c r="G1664" s="341" t="s">
        <v>1231</v>
      </c>
      <c r="H1664" s="341" t="s">
        <v>1125</v>
      </c>
      <c r="I1664" s="995"/>
      <c r="J1664" s="996"/>
      <c r="K1664" s="997"/>
      <c r="L1664" s="99"/>
      <c r="M1664" s="100"/>
    </row>
    <row r="1665" spans="4:13">
      <c r="D1665" s="89"/>
      <c r="E1665" s="603">
        <v>45616</v>
      </c>
      <c r="F1665" s="341" t="s">
        <v>1125</v>
      </c>
      <c r="G1665" s="341" t="s">
        <v>1030</v>
      </c>
      <c r="H1665" s="341" t="s">
        <v>1029</v>
      </c>
      <c r="I1665" s="995"/>
      <c r="J1665" s="996"/>
      <c r="K1665" s="997"/>
      <c r="L1665" s="99"/>
      <c r="M1665" s="100"/>
    </row>
    <row r="1666" spans="4:13">
      <c r="D1666" s="89"/>
      <c r="E1666" s="603">
        <v>45610</v>
      </c>
      <c r="F1666" s="341" t="s">
        <v>1029</v>
      </c>
      <c r="G1666" s="341" t="s">
        <v>1030</v>
      </c>
      <c r="H1666" s="341" t="s">
        <v>988</v>
      </c>
      <c r="I1666" s="995"/>
      <c r="J1666" s="996"/>
      <c r="K1666" s="997"/>
      <c r="L1666" s="101"/>
      <c r="M1666" s="100"/>
    </row>
    <row r="1667" spans="4:13">
      <c r="D1667" s="89"/>
      <c r="E1667" s="603">
        <v>45602</v>
      </c>
      <c r="F1667" s="341" t="s">
        <v>988</v>
      </c>
      <c r="G1667" s="341" t="s">
        <v>989</v>
      </c>
      <c r="H1667" s="341" t="s">
        <v>990</v>
      </c>
      <c r="I1667" s="995"/>
      <c r="J1667" s="996"/>
      <c r="K1667" s="997"/>
      <c r="L1667" s="99"/>
      <c r="M1667" s="100"/>
    </row>
    <row r="1668" spans="4:13">
      <c r="D1668" s="89"/>
      <c r="E1668" s="603">
        <v>45595</v>
      </c>
      <c r="F1668" s="341" t="s">
        <v>990</v>
      </c>
      <c r="G1668" s="341" t="s">
        <v>991</v>
      </c>
      <c r="H1668" s="341" t="s">
        <v>992</v>
      </c>
      <c r="I1668" s="995"/>
      <c r="J1668" s="996"/>
      <c r="K1668" s="997"/>
      <c r="L1668" s="99"/>
      <c r="M1668" s="100"/>
    </row>
    <row r="1669" spans="4:13" ht="20" thickBot="1">
      <c r="D1669" s="89"/>
      <c r="E1669" s="603">
        <v>45588</v>
      </c>
      <c r="F1669" s="341" t="s">
        <v>992</v>
      </c>
      <c r="G1669" s="341" t="s">
        <v>993</v>
      </c>
      <c r="H1669" s="341" t="s">
        <v>994</v>
      </c>
      <c r="I1669" s="998"/>
      <c r="J1669" s="999"/>
      <c r="K1669" s="1000"/>
      <c r="L1669" s="102"/>
      <c r="M1669" s="103"/>
    </row>
    <row r="1670" spans="4:13" ht="25" thickBot="1">
      <c r="D1670">
        <v>8</v>
      </c>
      <c r="E1670" s="598" t="s">
        <v>30</v>
      </c>
      <c r="F1670" s="1102" t="s">
        <v>1152</v>
      </c>
      <c r="G1670" s="1103"/>
      <c r="H1670" s="1104"/>
      <c r="I1670" s="1131" t="s">
        <v>633</v>
      </c>
      <c r="J1670" s="1129"/>
      <c r="K1670" s="1130"/>
      <c r="L1670" s="158" t="s">
        <v>430</v>
      </c>
      <c r="M1670" s="105" t="s">
        <v>431</v>
      </c>
    </row>
    <row r="1671" spans="4:13">
      <c r="D1671" s="89"/>
      <c r="E1671" s="599" t="s">
        <v>432</v>
      </c>
      <c r="F1671" s="1105"/>
      <c r="G1671" s="1106"/>
      <c r="H1671" s="1107"/>
      <c r="I1671" s="995" t="s">
        <v>1153</v>
      </c>
      <c r="J1671" s="996"/>
      <c r="K1671" s="997"/>
      <c r="L1671" s="99"/>
      <c r="M1671" s="100"/>
    </row>
    <row r="1672" spans="4:13">
      <c r="D1672" s="89"/>
      <c r="E1672" s="600" t="s">
        <v>433</v>
      </c>
      <c r="F1672" s="1125"/>
      <c r="G1672" s="1126"/>
      <c r="H1672" s="1127"/>
      <c r="I1672" s="995"/>
      <c r="J1672" s="996"/>
      <c r="K1672" s="997"/>
      <c r="L1672" s="99"/>
      <c r="M1672" s="100"/>
    </row>
    <row r="1673" spans="4:13" ht="20" thickBot="1">
      <c r="D1673" s="89"/>
      <c r="E1673" s="600" t="s">
        <v>434</v>
      </c>
      <c r="F1673" s="1111"/>
      <c r="G1673" s="1112"/>
      <c r="H1673" s="1113"/>
      <c r="I1673" s="995"/>
      <c r="J1673" s="996"/>
      <c r="K1673" s="997"/>
      <c r="L1673" s="99"/>
      <c r="M1673" s="100"/>
    </row>
    <row r="1674" spans="4:13" ht="20" thickBot="1">
      <c r="D1674" s="89"/>
      <c r="E1674" s="601" t="s">
        <v>435</v>
      </c>
      <c r="F1674" s="1114">
        <v>0.64583333333333337</v>
      </c>
      <c r="G1674" s="1115"/>
      <c r="H1674" s="1116"/>
      <c r="I1674" s="995"/>
      <c r="J1674" s="996"/>
      <c r="K1674" s="997"/>
      <c r="L1674" s="106">
        <v>0.875</v>
      </c>
      <c r="M1674" s="107">
        <v>0.72916666666666663</v>
      </c>
    </row>
    <row r="1675" spans="4:13" ht="20" thickBot="1">
      <c r="D1675" s="89"/>
      <c r="E1675" s="602" t="s">
        <v>436</v>
      </c>
      <c r="F1675" s="252" t="s">
        <v>29</v>
      </c>
      <c r="G1675" s="252" t="s">
        <v>28</v>
      </c>
      <c r="H1675" s="253" t="s">
        <v>27</v>
      </c>
      <c r="I1675" s="995"/>
      <c r="J1675" s="996"/>
      <c r="K1675" s="997"/>
      <c r="L1675" s="99"/>
      <c r="M1675" s="100"/>
    </row>
    <row r="1676" spans="4:13" ht="18">
      <c r="D1676" s="89"/>
      <c r="E1676" s="603">
        <v>45610</v>
      </c>
      <c r="F1676" s="341"/>
      <c r="G1676" s="341"/>
      <c r="H1676" s="341"/>
      <c r="I1676" s="995"/>
      <c r="J1676" s="996"/>
      <c r="K1676" s="997"/>
      <c r="L1676" s="99"/>
      <c r="M1676" s="100"/>
    </row>
    <row r="1677" spans="4:13" ht="18">
      <c r="D1677" s="89"/>
      <c r="E1677" s="603">
        <v>45565</v>
      </c>
      <c r="F1677" s="341"/>
      <c r="G1677" s="341"/>
      <c r="H1677" s="341"/>
      <c r="I1677" s="995"/>
      <c r="J1677" s="996"/>
      <c r="K1677" s="997"/>
      <c r="L1677" s="99"/>
      <c r="M1677" s="100"/>
    </row>
    <row r="1678" spans="4:13" ht="18">
      <c r="D1678" s="89"/>
      <c r="E1678" s="603">
        <v>45561</v>
      </c>
      <c r="F1678" s="341"/>
      <c r="G1678" s="341"/>
      <c r="H1678" s="341"/>
      <c r="I1678" s="995"/>
      <c r="J1678" s="996"/>
      <c r="K1678" s="997"/>
      <c r="L1678" s="101"/>
      <c r="M1678" s="100"/>
    </row>
    <row r="1679" spans="4:13" ht="18">
      <c r="D1679" s="89"/>
      <c r="E1679" s="603">
        <v>45527</v>
      </c>
      <c r="F1679" s="341"/>
      <c r="G1679" s="341"/>
      <c r="H1679" s="341"/>
      <c r="I1679" s="995"/>
      <c r="J1679" s="996"/>
      <c r="K1679" s="997"/>
      <c r="L1679" s="99"/>
      <c r="M1679" s="100"/>
    </row>
    <row r="1680" spans="4:13" ht="18">
      <c r="D1680" s="89"/>
      <c r="E1680" s="603">
        <v>45488</v>
      </c>
      <c r="F1680" s="341"/>
      <c r="G1680" s="341"/>
      <c r="H1680" s="341"/>
      <c r="I1680" s="995"/>
      <c r="J1680" s="996"/>
      <c r="K1680" s="997"/>
      <c r="L1680" s="99"/>
      <c r="M1680" s="100"/>
    </row>
    <row r="1681" spans="4:13" thickBot="1">
      <c r="D1681" s="89"/>
      <c r="E1681" s="603">
        <v>45475</v>
      </c>
      <c r="F1681" s="341"/>
      <c r="G1681" s="341"/>
      <c r="H1681" s="341"/>
      <c r="I1681" s="998"/>
      <c r="J1681" s="999"/>
      <c r="K1681" s="1000"/>
      <c r="L1681" s="102"/>
      <c r="M1681" s="103"/>
    </row>
    <row r="1682" spans="4:13" ht="25" thickBot="1">
      <c r="D1682">
        <v>9</v>
      </c>
      <c r="E1682" s="598" t="s">
        <v>30</v>
      </c>
      <c r="F1682" s="1102" t="s">
        <v>1154</v>
      </c>
      <c r="G1682" s="1103"/>
      <c r="H1682" s="1104"/>
      <c r="I1682" s="1128" t="s">
        <v>633</v>
      </c>
      <c r="J1682" s="1129"/>
      <c r="K1682" s="1130"/>
      <c r="L1682" s="158" t="s">
        <v>430</v>
      </c>
      <c r="M1682" s="105" t="s">
        <v>431</v>
      </c>
    </row>
    <row r="1683" spans="4:13">
      <c r="D1683" s="89"/>
      <c r="E1683" s="599" t="s">
        <v>432</v>
      </c>
      <c r="F1683" s="1105"/>
      <c r="G1683" s="1106"/>
      <c r="H1683" s="1107"/>
      <c r="I1683" s="995" t="s">
        <v>1153</v>
      </c>
      <c r="J1683" s="996"/>
      <c r="K1683" s="997"/>
      <c r="L1683" s="99"/>
      <c r="M1683" s="100"/>
    </row>
    <row r="1684" spans="4:13">
      <c r="D1684" s="89"/>
      <c r="E1684" s="600" t="s">
        <v>433</v>
      </c>
      <c r="F1684" s="1124">
        <v>3.15E-2</v>
      </c>
      <c r="G1684" s="1112"/>
      <c r="H1684" s="1113"/>
      <c r="I1684" s="995"/>
      <c r="J1684" s="996"/>
      <c r="K1684" s="997"/>
      <c r="L1684" s="99"/>
      <c r="M1684" s="100"/>
    </row>
    <row r="1685" spans="4:13" ht="20" thickBot="1">
      <c r="D1685" s="89"/>
      <c r="E1685" s="600" t="s">
        <v>434</v>
      </c>
      <c r="F1685" s="1141">
        <v>3.4000000000000002E-2</v>
      </c>
      <c r="G1685" s="1142"/>
      <c r="H1685" s="1143"/>
      <c r="I1685" s="995"/>
      <c r="J1685" s="996"/>
      <c r="K1685" s="997"/>
      <c r="L1685" s="99"/>
      <c r="M1685" s="100"/>
    </row>
    <row r="1686" spans="4:13" ht="20" thickBot="1">
      <c r="D1686" s="89"/>
      <c r="E1686" s="601" t="s">
        <v>435</v>
      </c>
      <c r="F1686" s="1114">
        <v>0.55208333333333337</v>
      </c>
      <c r="G1686" s="1115"/>
      <c r="H1686" s="1116"/>
      <c r="I1686" s="995"/>
      <c r="J1686" s="996"/>
      <c r="K1686" s="997"/>
      <c r="L1686" s="106">
        <v>0.78125</v>
      </c>
      <c r="M1686" s="107">
        <v>0.63541666666666663</v>
      </c>
    </row>
    <row r="1687" spans="4:13" ht="20" thickBot="1">
      <c r="D1687" s="89"/>
      <c r="E1687" s="602" t="s">
        <v>436</v>
      </c>
      <c r="F1687" s="252" t="s">
        <v>29</v>
      </c>
      <c r="G1687" s="252" t="s">
        <v>28</v>
      </c>
      <c r="H1687" s="253" t="s">
        <v>27</v>
      </c>
      <c r="I1687" s="995"/>
      <c r="J1687" s="996"/>
      <c r="K1687" s="997"/>
      <c r="L1687" s="99"/>
      <c r="M1687" s="100"/>
    </row>
    <row r="1688" spans="4:13">
      <c r="D1688" s="89"/>
      <c r="E1688" s="603">
        <v>45623</v>
      </c>
      <c r="F1688" s="349" t="s">
        <v>1111</v>
      </c>
      <c r="G1688" s="349" t="s">
        <v>1232</v>
      </c>
      <c r="H1688" s="349" t="s">
        <v>1232</v>
      </c>
      <c r="I1688" s="995"/>
      <c r="J1688" s="996"/>
      <c r="K1688" s="997"/>
      <c r="L1688" s="99"/>
      <c r="M1688" s="203"/>
    </row>
    <row r="1689" spans="4:13">
      <c r="D1689" s="89"/>
      <c r="E1689" s="603">
        <v>45617</v>
      </c>
      <c r="F1689" s="349" t="s">
        <v>1111</v>
      </c>
      <c r="G1689" s="349" t="s">
        <v>1112</v>
      </c>
      <c r="H1689" s="349" t="s">
        <v>987</v>
      </c>
      <c r="I1689" s="995"/>
      <c r="J1689" s="996"/>
      <c r="K1689" s="997"/>
      <c r="L1689" s="99"/>
      <c r="M1689" s="100"/>
    </row>
    <row r="1690" spans="4:13">
      <c r="D1690" s="89"/>
      <c r="E1690" s="603">
        <v>45610</v>
      </c>
      <c r="F1690" s="349" t="s">
        <v>1031</v>
      </c>
      <c r="G1690" s="349" t="s">
        <v>1032</v>
      </c>
      <c r="H1690" s="349" t="s">
        <v>972</v>
      </c>
      <c r="I1690" s="995"/>
      <c r="J1690" s="996"/>
      <c r="K1690" s="997"/>
      <c r="L1690" s="101"/>
      <c r="M1690" s="100"/>
    </row>
    <row r="1691" spans="4:13">
      <c r="D1691" s="89"/>
      <c r="E1691" s="603">
        <v>45603</v>
      </c>
      <c r="F1691" s="349" t="s">
        <v>972</v>
      </c>
      <c r="G1691" s="349" t="s">
        <v>973</v>
      </c>
      <c r="H1691" s="349" t="s">
        <v>974</v>
      </c>
      <c r="I1691" s="995"/>
      <c r="J1691" s="996"/>
      <c r="K1691" s="997"/>
      <c r="L1691" s="99"/>
      <c r="M1691" s="100"/>
    </row>
    <row r="1692" spans="4:13">
      <c r="D1692" s="89"/>
      <c r="E1692" s="603">
        <v>45596</v>
      </c>
      <c r="F1692" s="349" t="s">
        <v>975</v>
      </c>
      <c r="G1692" s="349" t="s">
        <v>976</v>
      </c>
      <c r="H1692" s="349" t="s">
        <v>977</v>
      </c>
      <c r="I1692" s="995"/>
      <c r="J1692" s="996"/>
      <c r="K1692" s="997"/>
      <c r="L1692" s="99"/>
      <c r="M1692" s="100"/>
    </row>
    <row r="1693" spans="4:13" ht="20" thickBot="1">
      <c r="D1693" s="89"/>
      <c r="E1693" s="603">
        <v>45589</v>
      </c>
      <c r="F1693" s="349" t="s">
        <v>978</v>
      </c>
      <c r="G1693" s="349" t="s">
        <v>979</v>
      </c>
      <c r="H1693" s="349" t="s">
        <v>980</v>
      </c>
      <c r="I1693" s="998"/>
      <c r="J1693" s="999"/>
      <c r="K1693" s="1000"/>
      <c r="L1693" s="102"/>
      <c r="M1693" s="103"/>
    </row>
    <row r="1694" spans="4:13" ht="25" thickBot="1">
      <c r="D1694" s="89" t="s">
        <v>105</v>
      </c>
      <c r="E1694" s="598" t="s">
        <v>30</v>
      </c>
      <c r="F1694" s="1102" t="s">
        <v>14</v>
      </c>
      <c r="G1694" s="1103"/>
      <c r="H1694" s="1104"/>
      <c r="I1694" s="1128" t="s">
        <v>633</v>
      </c>
      <c r="J1694" s="1129"/>
      <c r="K1694" s="1130"/>
      <c r="L1694" s="158" t="s">
        <v>430</v>
      </c>
      <c r="M1694" s="105" t="s">
        <v>431</v>
      </c>
    </row>
    <row r="1695" spans="4:13">
      <c r="D1695" s="89"/>
      <c r="E1695" s="599" t="s">
        <v>432</v>
      </c>
      <c r="F1695" s="1105"/>
      <c r="G1695" s="1106"/>
      <c r="H1695" s="1107"/>
      <c r="I1695" s="995" t="s">
        <v>1155</v>
      </c>
      <c r="J1695" s="996"/>
      <c r="K1695" s="997"/>
      <c r="L1695" s="99"/>
      <c r="M1695" s="100"/>
    </row>
    <row r="1696" spans="4:13">
      <c r="D1696" s="89"/>
      <c r="E1696" s="600" t="s">
        <v>433</v>
      </c>
      <c r="F1696" s="1111" t="s">
        <v>413</v>
      </c>
      <c r="G1696" s="1112"/>
      <c r="H1696" s="1113"/>
      <c r="I1696" s="995"/>
      <c r="J1696" s="996"/>
      <c r="K1696" s="997"/>
      <c r="L1696" s="99"/>
      <c r="M1696" s="100"/>
    </row>
    <row r="1697" spans="4:13" ht="20" thickBot="1">
      <c r="D1697" s="89"/>
      <c r="E1697" s="600" t="s">
        <v>434</v>
      </c>
      <c r="F1697" s="1111" t="s">
        <v>381</v>
      </c>
      <c r="G1697" s="1112"/>
      <c r="H1697" s="1113"/>
      <c r="I1697" s="995"/>
      <c r="J1697" s="996"/>
      <c r="K1697" s="997"/>
      <c r="L1697" s="99"/>
      <c r="M1697" s="100"/>
    </row>
    <row r="1698" spans="4:13" ht="20" thickBot="1">
      <c r="D1698" s="89"/>
      <c r="E1698" s="601" t="s">
        <v>435</v>
      </c>
      <c r="F1698" s="1114">
        <v>0.5625</v>
      </c>
      <c r="G1698" s="1115"/>
      <c r="H1698" s="1116"/>
      <c r="I1698" s="995"/>
      <c r="J1698" s="996"/>
      <c r="K1698" s="997"/>
      <c r="L1698" s="106">
        <v>0.79166666666666663</v>
      </c>
      <c r="M1698" s="107">
        <v>0.64583333333333326</v>
      </c>
    </row>
    <row r="1699" spans="4:13" ht="20" thickBot="1">
      <c r="D1699" s="89"/>
      <c r="E1699" s="602" t="s">
        <v>436</v>
      </c>
      <c r="F1699" s="252" t="s">
        <v>29</v>
      </c>
      <c r="G1699" s="252" t="s">
        <v>28</v>
      </c>
      <c r="H1699" s="253" t="s">
        <v>27</v>
      </c>
      <c r="I1699" s="995"/>
      <c r="J1699" s="996"/>
      <c r="K1699" s="997"/>
      <c r="L1699" s="99"/>
      <c r="M1699" s="100"/>
    </row>
    <row r="1700" spans="4:13">
      <c r="D1700" s="89"/>
      <c r="E1700" s="603">
        <v>45610</v>
      </c>
      <c r="F1700" s="341">
        <v>4.0000000000000001E-3</v>
      </c>
      <c r="G1700" s="341" t="s">
        <v>452</v>
      </c>
      <c r="H1700" s="341">
        <v>4.0000000000000001E-3</v>
      </c>
      <c r="I1700" s="995"/>
      <c r="J1700" s="996"/>
      <c r="K1700" s="997"/>
      <c r="L1700" s="99"/>
      <c r="M1700" s="203"/>
    </row>
    <row r="1701" spans="4:13">
      <c r="D1701" s="89"/>
      <c r="E1701" s="603">
        <v>45595</v>
      </c>
      <c r="F1701" s="341">
        <v>4.0000000000000001E-3</v>
      </c>
      <c r="G1701" s="341" t="s">
        <v>460</v>
      </c>
      <c r="H1701" s="341">
        <v>2E-3</v>
      </c>
      <c r="I1701" s="995"/>
      <c r="J1701" s="996"/>
      <c r="K1701" s="997"/>
      <c r="L1701" s="99"/>
      <c r="M1701" s="100"/>
    </row>
    <row r="1702" spans="4:13">
      <c r="D1702" s="89"/>
      <c r="E1702" s="603">
        <v>45541</v>
      </c>
      <c r="F1702" s="341">
        <v>2E-3</v>
      </c>
      <c r="G1702" s="341" t="s">
        <v>467</v>
      </c>
      <c r="H1702" s="341">
        <v>3.0000000000000001E-3</v>
      </c>
      <c r="I1702" s="995"/>
      <c r="J1702" s="996"/>
      <c r="K1702" s="997"/>
      <c r="L1702" s="101"/>
      <c r="M1702" s="100"/>
    </row>
    <row r="1703" spans="4:13">
      <c r="D1703" s="89"/>
      <c r="E1703" s="603">
        <v>45518</v>
      </c>
      <c r="F1703" s="341">
        <v>3.0000000000000001E-3</v>
      </c>
      <c r="G1703" s="341" t="s">
        <v>467</v>
      </c>
      <c r="H1703" s="341">
        <v>3.0000000000000001E-3</v>
      </c>
      <c r="I1703" s="995"/>
      <c r="J1703" s="996"/>
      <c r="K1703" s="997"/>
      <c r="L1703" s="99"/>
      <c r="M1703" s="100"/>
    </row>
    <row r="1704" spans="4:13">
      <c r="D1704" s="89"/>
      <c r="E1704" s="603">
        <v>45503</v>
      </c>
      <c r="F1704" s="341">
        <v>3.0000000000000001E-3</v>
      </c>
      <c r="G1704" s="341" t="s">
        <v>460</v>
      </c>
      <c r="H1704" s="341">
        <v>3.0000000000000001E-3</v>
      </c>
      <c r="I1704" s="995"/>
      <c r="J1704" s="996"/>
      <c r="K1704" s="997"/>
      <c r="L1704" s="99"/>
      <c r="M1704" s="100"/>
    </row>
    <row r="1705" spans="4:13" ht="20" thickBot="1">
      <c r="D1705" s="89"/>
      <c r="E1705" s="603">
        <v>45450</v>
      </c>
      <c r="F1705" s="341">
        <v>3.0000000000000001E-3</v>
      </c>
      <c r="G1705" s="341" t="s">
        <v>467</v>
      </c>
      <c r="H1705" s="341">
        <v>0</v>
      </c>
      <c r="I1705" s="998"/>
      <c r="J1705" s="999"/>
      <c r="K1705" s="1000"/>
      <c r="L1705" s="102"/>
      <c r="M1705" s="103"/>
    </row>
    <row r="1706" spans="4:13" ht="25" thickBot="1">
      <c r="D1706">
        <v>10</v>
      </c>
      <c r="E1706" s="598" t="s">
        <v>30</v>
      </c>
      <c r="F1706" s="1102" t="s">
        <v>1156</v>
      </c>
      <c r="G1706" s="1103"/>
      <c r="H1706" s="1104"/>
      <c r="I1706" s="1128" t="s">
        <v>633</v>
      </c>
      <c r="J1706" s="1129"/>
      <c r="K1706" s="1130"/>
      <c r="L1706" s="158" t="s">
        <v>430</v>
      </c>
      <c r="M1706" s="105" t="s">
        <v>431</v>
      </c>
    </row>
    <row r="1707" spans="4:13">
      <c r="D1707" s="89"/>
      <c r="E1707" s="599" t="s">
        <v>432</v>
      </c>
      <c r="F1707" s="1105"/>
      <c r="G1707" s="1106"/>
      <c r="H1707" s="1107"/>
      <c r="I1707" s="995" t="s">
        <v>1157</v>
      </c>
      <c r="J1707" s="996"/>
      <c r="K1707" s="997"/>
      <c r="L1707" s="99"/>
      <c r="M1707" s="100"/>
    </row>
    <row r="1708" spans="4:13">
      <c r="D1708" s="89"/>
      <c r="E1708" s="600" t="s">
        <v>433</v>
      </c>
      <c r="F1708" s="1111">
        <v>3.0000000000000001E-3</v>
      </c>
      <c r="G1708" s="1112"/>
      <c r="H1708" s="1113"/>
      <c r="I1708" s="995"/>
      <c r="J1708" s="996"/>
      <c r="K1708" s="997"/>
      <c r="L1708" s="99"/>
      <c r="M1708" s="100"/>
    </row>
    <row r="1709" spans="4:13" ht="20" thickBot="1">
      <c r="D1709" s="89"/>
      <c r="E1709" s="600" t="s">
        <v>434</v>
      </c>
      <c r="F1709" s="1111">
        <v>2E-3</v>
      </c>
      <c r="G1709" s="1112"/>
      <c r="H1709" s="1113"/>
      <c r="I1709" s="995"/>
      <c r="J1709" s="996"/>
      <c r="K1709" s="997"/>
      <c r="L1709" s="99"/>
      <c r="M1709" s="100"/>
    </row>
    <row r="1710" spans="4:13" ht="20" thickBot="1">
      <c r="D1710" s="89"/>
      <c r="E1710" s="601" t="s">
        <v>435</v>
      </c>
      <c r="F1710" s="1114">
        <v>0.5625</v>
      </c>
      <c r="G1710" s="1115"/>
      <c r="H1710" s="1116"/>
      <c r="I1710" s="995"/>
      <c r="J1710" s="996"/>
      <c r="K1710" s="997"/>
      <c r="L1710" s="106">
        <v>0.79166666666666663</v>
      </c>
      <c r="M1710" s="107">
        <v>0.64583333333333326</v>
      </c>
    </row>
    <row r="1711" spans="4:13" ht="20" thickBot="1">
      <c r="D1711" s="89"/>
      <c r="E1711" s="602" t="s">
        <v>436</v>
      </c>
      <c r="F1711" s="252" t="s">
        <v>29</v>
      </c>
      <c r="G1711" s="252" t="s">
        <v>28</v>
      </c>
      <c r="H1711" s="253" t="s">
        <v>27</v>
      </c>
      <c r="I1711" s="995"/>
      <c r="J1711" s="996"/>
      <c r="K1711" s="997"/>
      <c r="L1711" s="99"/>
      <c r="M1711" s="100"/>
    </row>
    <row r="1712" spans="4:13">
      <c r="D1712" s="89"/>
      <c r="E1712" s="603">
        <v>45597</v>
      </c>
      <c r="F1712" s="341">
        <v>4.0000000000000001E-3</v>
      </c>
      <c r="G1712" s="341" t="s">
        <v>467</v>
      </c>
      <c r="H1712" s="341">
        <v>3.0000000000000001E-3</v>
      </c>
      <c r="I1712" s="995"/>
      <c r="J1712" s="996"/>
      <c r="K1712" s="997"/>
      <c r="L1712" s="99"/>
      <c r="M1712" s="203"/>
    </row>
    <row r="1713" spans="4:13">
      <c r="D1713" s="89"/>
      <c r="E1713" s="603">
        <v>45569</v>
      </c>
      <c r="F1713" s="341">
        <v>4.0000000000000001E-3</v>
      </c>
      <c r="G1713" s="341" t="s">
        <v>467</v>
      </c>
      <c r="H1713" s="341">
        <v>5.0000000000000001E-3</v>
      </c>
      <c r="I1713" s="995"/>
      <c r="J1713" s="996"/>
      <c r="K1713" s="997"/>
      <c r="L1713" s="99"/>
      <c r="M1713" s="100"/>
    </row>
    <row r="1714" spans="4:13">
      <c r="D1714" s="89"/>
      <c r="E1714" s="603">
        <v>45541</v>
      </c>
      <c r="F1714" s="341">
        <v>4.0000000000000001E-3</v>
      </c>
      <c r="G1714" s="341" t="s">
        <v>467</v>
      </c>
      <c r="H1714" s="341">
        <v>0</v>
      </c>
      <c r="I1714" s="995"/>
      <c r="J1714" s="996"/>
      <c r="K1714" s="997"/>
      <c r="L1714" s="101"/>
      <c r="M1714" s="100"/>
    </row>
    <row r="1715" spans="4:13">
      <c r="D1715" s="89"/>
      <c r="E1715" s="603">
        <v>45506</v>
      </c>
      <c r="F1715" s="341">
        <v>2E-3</v>
      </c>
      <c r="G1715" s="341" t="s">
        <v>467</v>
      </c>
      <c r="H1715" s="341">
        <v>3.0000000000000001E-3</v>
      </c>
      <c r="I1715" s="995"/>
      <c r="J1715" s="996"/>
      <c r="K1715" s="997"/>
      <c r="L1715" s="99"/>
      <c r="M1715" s="100"/>
    </row>
    <row r="1716" spans="4:13">
      <c r="D1716" s="89"/>
      <c r="E1716" s="603">
        <v>45478</v>
      </c>
      <c r="F1716" s="341">
        <v>3.0000000000000001E-3</v>
      </c>
      <c r="G1716" s="341" t="s">
        <v>467</v>
      </c>
      <c r="H1716" s="341">
        <v>4.0000000000000001E-3</v>
      </c>
      <c r="I1716" s="995"/>
      <c r="J1716" s="996"/>
      <c r="K1716" s="997"/>
      <c r="L1716" s="99"/>
      <c r="M1716" s="100"/>
    </row>
    <row r="1717" spans="4:13" ht="20" thickBot="1">
      <c r="D1717" s="89"/>
      <c r="E1717" s="603">
        <v>45450</v>
      </c>
      <c r="F1717" s="341">
        <v>4.0000000000000001E-3</v>
      </c>
      <c r="G1717" s="341" t="s">
        <v>467</v>
      </c>
      <c r="H1717" s="341">
        <v>2E-3</v>
      </c>
      <c r="I1717" s="998"/>
      <c r="J1717" s="999"/>
      <c r="K1717" s="1000"/>
      <c r="L1717" s="102"/>
      <c r="M1717" s="103"/>
    </row>
    <row r="1718" spans="4:13" ht="25" thickBot="1">
      <c r="D1718" t="e">
        <v>#VALUE!</v>
      </c>
      <c r="E1718" s="598" t="s">
        <v>30</v>
      </c>
      <c r="F1718" s="1102" t="s">
        <v>1158</v>
      </c>
      <c r="G1718" s="1103"/>
      <c r="H1718" s="1104"/>
      <c r="I1718" s="1128" t="s">
        <v>633</v>
      </c>
      <c r="J1718" s="1129"/>
      <c r="K1718" s="1130"/>
      <c r="L1718" s="158" t="s">
        <v>430</v>
      </c>
      <c r="M1718" s="105" t="s">
        <v>431</v>
      </c>
    </row>
    <row r="1719" spans="4:13">
      <c r="D1719" s="89"/>
      <c r="E1719" s="599" t="s">
        <v>432</v>
      </c>
      <c r="F1719" s="1105"/>
      <c r="G1719" s="1106"/>
      <c r="H1719" s="1107"/>
      <c r="I1719" s="995" t="s">
        <v>1159</v>
      </c>
      <c r="J1719" s="996"/>
      <c r="K1719" s="997"/>
      <c r="L1719" s="99"/>
      <c r="M1719" s="100"/>
    </row>
    <row r="1720" spans="4:13">
      <c r="D1720" s="89"/>
      <c r="E1720" s="600" t="s">
        <v>433</v>
      </c>
      <c r="F1720" s="1111"/>
      <c r="G1720" s="1112"/>
      <c r="H1720" s="1113"/>
      <c r="I1720" s="995"/>
      <c r="J1720" s="996"/>
      <c r="K1720" s="997"/>
      <c r="L1720" s="99"/>
      <c r="M1720" s="100"/>
    </row>
    <row r="1721" spans="4:13" ht="20" thickBot="1">
      <c r="D1721" s="89"/>
      <c r="E1721" s="600" t="s">
        <v>434</v>
      </c>
      <c r="F1721" s="1111">
        <v>4.6080000000000003E-2</v>
      </c>
      <c r="G1721" s="1112"/>
      <c r="H1721" s="1113"/>
      <c r="I1721" s="995"/>
      <c r="J1721" s="996"/>
      <c r="K1721" s="997"/>
      <c r="L1721" s="99"/>
      <c r="M1721" s="100"/>
    </row>
    <row r="1722" spans="4:13" ht="20" thickBot="1">
      <c r="D1722" s="89"/>
      <c r="E1722" s="601" t="s">
        <v>435</v>
      </c>
      <c r="F1722" s="1114">
        <v>0.75</v>
      </c>
      <c r="G1722" s="1115"/>
      <c r="H1722" s="1116"/>
      <c r="I1722" s="995"/>
      <c r="J1722" s="996"/>
      <c r="K1722" s="997"/>
      <c r="L1722" s="106">
        <v>0.97916666666666663</v>
      </c>
      <c r="M1722" s="107">
        <v>0.83333333333333326</v>
      </c>
    </row>
    <row r="1723" spans="4:13" ht="20" thickBot="1">
      <c r="D1723" s="89"/>
      <c r="E1723" s="602" t="s">
        <v>436</v>
      </c>
      <c r="F1723" s="252" t="s">
        <v>29</v>
      </c>
      <c r="G1723" s="252" t="s">
        <v>28</v>
      </c>
      <c r="H1723" s="253" t="s">
        <v>27</v>
      </c>
      <c r="I1723" s="995"/>
      <c r="J1723" s="996"/>
      <c r="K1723" s="997"/>
      <c r="L1723" s="99"/>
      <c r="M1723" s="100"/>
    </row>
    <row r="1724" spans="4:13">
      <c r="D1724" s="89"/>
      <c r="E1724" s="603">
        <v>45602</v>
      </c>
      <c r="F1724" s="341">
        <v>4.5999999999999999E-2</v>
      </c>
      <c r="G1724" s="341" t="s">
        <v>754</v>
      </c>
      <c r="H1724" s="341">
        <v>4.2999999999999997E-2</v>
      </c>
      <c r="I1724" s="995"/>
      <c r="J1724" s="996"/>
      <c r="K1724" s="997"/>
      <c r="L1724" s="99"/>
      <c r="M1724" s="203"/>
    </row>
    <row r="1725" spans="4:13">
      <c r="D1725" s="89"/>
      <c r="E1725" s="603">
        <v>45575</v>
      </c>
      <c r="F1725" s="341">
        <v>4.2999999999999997E-2</v>
      </c>
      <c r="G1725" s="341" t="s">
        <v>754</v>
      </c>
      <c r="H1725" s="341">
        <v>0.04</v>
      </c>
      <c r="I1725" s="995"/>
      <c r="J1725" s="996"/>
      <c r="K1725" s="997"/>
      <c r="L1725" s="99"/>
      <c r="M1725" s="100"/>
    </row>
    <row r="1726" spans="4:13">
      <c r="D1726" s="89"/>
      <c r="E1726" s="603">
        <v>45547</v>
      </c>
      <c r="F1726" s="341">
        <v>0.04</v>
      </c>
      <c r="G1726" s="341" t="s">
        <v>754</v>
      </c>
      <c r="H1726" s="341">
        <v>4.2999999999999997E-2</v>
      </c>
      <c r="I1726" s="995"/>
      <c r="J1726" s="996"/>
      <c r="K1726" s="997"/>
      <c r="L1726" s="101"/>
      <c r="M1726" s="100"/>
    </row>
    <row r="1727" spans="4:13">
      <c r="D1727" s="89"/>
      <c r="E1727" s="603">
        <v>45512</v>
      </c>
      <c r="F1727" s="341">
        <v>4.2999999999999997E-2</v>
      </c>
      <c r="G1727" s="341" t="s">
        <v>754</v>
      </c>
      <c r="H1727" s="341">
        <v>4.3999999999999997E-2</v>
      </c>
      <c r="I1727" s="995"/>
      <c r="J1727" s="996"/>
      <c r="K1727" s="997"/>
      <c r="L1727" s="99"/>
      <c r="M1727" s="100"/>
    </row>
    <row r="1728" spans="4:13">
      <c r="D1728" s="89"/>
      <c r="E1728" s="603">
        <v>45484</v>
      </c>
      <c r="F1728" s="341">
        <v>4.3999999999999997E-2</v>
      </c>
      <c r="G1728" s="341" t="s">
        <v>754</v>
      </c>
      <c r="H1728" s="341">
        <v>4.3999999999999997E-2</v>
      </c>
      <c r="I1728" s="995"/>
      <c r="J1728" s="996"/>
      <c r="K1728" s="997"/>
      <c r="L1728" s="99"/>
      <c r="M1728" s="100"/>
    </row>
    <row r="1729" spans="4:13" ht="20" thickBot="1">
      <c r="D1729" s="89"/>
      <c r="E1729" s="603">
        <v>45456</v>
      </c>
      <c r="F1729" s="341">
        <v>4.3999999999999997E-2</v>
      </c>
      <c r="G1729" s="341" t="s">
        <v>754</v>
      </c>
      <c r="H1729" s="341">
        <v>4.5999999999999999E-2</v>
      </c>
      <c r="I1729" s="998"/>
      <c r="J1729" s="999"/>
      <c r="K1729" s="1000"/>
      <c r="L1729" s="102"/>
      <c r="M1729" s="103"/>
    </row>
    <row r="1730" spans="4:13" ht="25" thickBot="1">
      <c r="D1730">
        <v>11</v>
      </c>
      <c r="E1730" s="598" t="s">
        <v>30</v>
      </c>
      <c r="F1730" s="1102" t="s">
        <v>1160</v>
      </c>
      <c r="G1730" s="1103"/>
      <c r="H1730" s="1104"/>
      <c r="I1730" s="1128" t="s">
        <v>633</v>
      </c>
      <c r="J1730" s="1129"/>
      <c r="K1730" s="1130"/>
      <c r="L1730" s="158" t="s">
        <v>430</v>
      </c>
      <c r="M1730" s="105" t="s">
        <v>431</v>
      </c>
    </row>
    <row r="1731" spans="4:13">
      <c r="D1731" s="89"/>
      <c r="E1731" s="599" t="s">
        <v>432</v>
      </c>
      <c r="F1731" s="1132"/>
      <c r="G1731" s="1133"/>
      <c r="H1731" s="1134"/>
      <c r="I1731" s="995" t="s">
        <v>1161</v>
      </c>
      <c r="J1731" s="996"/>
      <c r="K1731" s="997"/>
      <c r="L1731" s="99"/>
      <c r="M1731" s="100"/>
    </row>
    <row r="1732" spans="4:13">
      <c r="D1732" s="89"/>
      <c r="E1732" s="600" t="s">
        <v>433</v>
      </c>
      <c r="F1732" s="1111">
        <v>1E-3</v>
      </c>
      <c r="G1732" s="1112"/>
      <c r="H1732" s="1113"/>
      <c r="I1732" s="995"/>
      <c r="J1732" s="996"/>
      <c r="K1732" s="997"/>
      <c r="L1732" s="99"/>
      <c r="M1732" s="100"/>
    </row>
    <row r="1733" spans="4:13" ht="20" thickBot="1">
      <c r="D1733" s="89"/>
      <c r="E1733" s="600" t="s">
        <v>434</v>
      </c>
      <c r="F1733" s="1111">
        <v>-1E-3</v>
      </c>
      <c r="G1733" s="1112"/>
      <c r="H1733" s="1113"/>
      <c r="I1733" s="995"/>
      <c r="J1733" s="996"/>
      <c r="K1733" s="997"/>
      <c r="L1733" s="99"/>
      <c r="M1733" s="100"/>
    </row>
    <row r="1734" spans="4:13" ht="20" thickBot="1">
      <c r="D1734" s="89"/>
      <c r="E1734" s="601" t="s">
        <v>435</v>
      </c>
      <c r="F1734" s="1114">
        <v>0.29166666666666674</v>
      </c>
      <c r="G1734" s="1115"/>
      <c r="H1734" s="1116"/>
      <c r="I1734" s="995"/>
      <c r="J1734" s="996"/>
      <c r="K1734" s="997"/>
      <c r="L1734" s="106">
        <v>0.52083333333333337</v>
      </c>
      <c r="M1734" s="107">
        <v>0.375</v>
      </c>
    </row>
    <row r="1735" spans="4:13" ht="20" thickBot="1">
      <c r="D1735" s="89"/>
      <c r="E1735" s="602" t="s">
        <v>436</v>
      </c>
      <c r="F1735" s="252" t="s">
        <v>29</v>
      </c>
      <c r="G1735" s="252" t="s">
        <v>28</v>
      </c>
      <c r="H1735" s="253" t="s">
        <v>27</v>
      </c>
      <c r="I1735" s="995"/>
      <c r="J1735" s="996"/>
      <c r="K1735" s="997"/>
      <c r="L1735" s="99"/>
      <c r="M1735" s="100"/>
    </row>
    <row r="1736" spans="4:13">
      <c r="D1736" s="89"/>
      <c r="E1736" s="603">
        <v>45597</v>
      </c>
      <c r="F1736" s="341" t="s">
        <v>1233</v>
      </c>
      <c r="G1736" s="341" t="s">
        <v>1234</v>
      </c>
      <c r="H1736" s="341" t="s">
        <v>973</v>
      </c>
      <c r="I1736" s="995"/>
      <c r="J1736" s="996"/>
      <c r="K1736" s="997"/>
      <c r="L1736" s="99"/>
      <c r="M1736" s="100"/>
    </row>
    <row r="1737" spans="4:13">
      <c r="D1737" s="89"/>
      <c r="E1737" s="603">
        <v>45569</v>
      </c>
      <c r="F1737" s="341" t="s">
        <v>1235</v>
      </c>
      <c r="G1737" s="341" t="s">
        <v>1202</v>
      </c>
      <c r="H1737" s="341" t="s">
        <v>1194</v>
      </c>
      <c r="I1737" s="995"/>
      <c r="J1737" s="996"/>
      <c r="K1737" s="997"/>
      <c r="L1737" s="99"/>
      <c r="M1737" s="100"/>
    </row>
    <row r="1738" spans="4:13">
      <c r="D1738" s="89"/>
      <c r="E1738" s="603">
        <v>45541</v>
      </c>
      <c r="F1738" s="341" t="s">
        <v>1236</v>
      </c>
      <c r="G1738" s="341" t="s">
        <v>1237</v>
      </c>
      <c r="H1738" s="341" t="s">
        <v>615</v>
      </c>
      <c r="I1738" s="995"/>
      <c r="J1738" s="996"/>
      <c r="K1738" s="997"/>
      <c r="L1738" s="101"/>
      <c r="M1738" s="100"/>
    </row>
    <row r="1739" spans="4:13">
      <c r="D1739" s="89"/>
      <c r="E1739" s="603">
        <v>45506</v>
      </c>
      <c r="F1739" s="341" t="s">
        <v>1238</v>
      </c>
      <c r="G1739" s="341" t="s">
        <v>1239</v>
      </c>
      <c r="H1739" s="341" t="s">
        <v>1240</v>
      </c>
      <c r="I1739" s="995"/>
      <c r="J1739" s="996"/>
      <c r="K1739" s="997"/>
      <c r="L1739" s="99"/>
      <c r="M1739" s="100"/>
    </row>
    <row r="1740" spans="4:13">
      <c r="D1740" s="89"/>
      <c r="E1740" s="603">
        <v>45478</v>
      </c>
      <c r="F1740" s="341" t="s">
        <v>1241</v>
      </c>
      <c r="G1740" s="341" t="s">
        <v>1242</v>
      </c>
      <c r="H1740" s="341" t="s">
        <v>974</v>
      </c>
      <c r="I1740" s="995"/>
      <c r="J1740" s="996"/>
      <c r="K1740" s="997"/>
      <c r="L1740" s="99"/>
      <c r="M1740" s="100"/>
    </row>
    <row r="1741" spans="4:13" ht="20" thickBot="1">
      <c r="D1741" s="89"/>
      <c r="E1741" s="603">
        <v>45450</v>
      </c>
      <c r="F1741" s="341" t="s">
        <v>1243</v>
      </c>
      <c r="G1741" s="341" t="s">
        <v>1244</v>
      </c>
      <c r="H1741" s="341" t="s">
        <v>1245</v>
      </c>
      <c r="I1741" s="998"/>
      <c r="J1741" s="999"/>
      <c r="K1741" s="1000"/>
      <c r="L1741" s="102"/>
      <c r="M1741" s="103"/>
    </row>
    <row r="1742" spans="4:13" ht="25" thickBot="1">
      <c r="D1742">
        <v>12</v>
      </c>
      <c r="E1742" s="598" t="s">
        <v>30</v>
      </c>
      <c r="F1742" s="1102" t="s">
        <v>127</v>
      </c>
      <c r="G1742" s="1103"/>
      <c r="H1742" s="1104"/>
      <c r="I1742" s="1128" t="s">
        <v>633</v>
      </c>
      <c r="J1742" s="1129"/>
      <c r="K1742" s="1130"/>
      <c r="L1742" s="158" t="s">
        <v>430</v>
      </c>
      <c r="M1742" s="105" t="s">
        <v>431</v>
      </c>
    </row>
    <row r="1743" spans="4:13">
      <c r="D1743" s="89"/>
      <c r="E1743" s="599" t="s">
        <v>432</v>
      </c>
      <c r="F1743" s="1132"/>
      <c r="G1743" s="1133"/>
      <c r="H1743" s="1134"/>
      <c r="I1743" s="995" t="s">
        <v>369</v>
      </c>
      <c r="J1743" s="996"/>
      <c r="K1743" s="997"/>
      <c r="L1743" s="99"/>
      <c r="M1743" s="100"/>
    </row>
    <row r="1744" spans="4:13">
      <c r="D1744" s="89"/>
      <c r="E1744" s="600" t="s">
        <v>433</v>
      </c>
      <c r="F1744" s="1111">
        <v>4.4600000000000001E-2</v>
      </c>
      <c r="G1744" s="1112"/>
      <c r="H1744" s="1113"/>
      <c r="I1744" s="995"/>
      <c r="J1744" s="996"/>
      <c r="K1744" s="997"/>
      <c r="L1744" s="99"/>
      <c r="M1744" s="100"/>
    </row>
    <row r="1745" spans="3:13" ht="20" thickBot="1">
      <c r="D1745" s="89"/>
      <c r="E1745" s="600" t="s">
        <v>434</v>
      </c>
      <c r="F1745" s="1111">
        <v>0</v>
      </c>
      <c r="G1745" s="1112"/>
      <c r="H1745" s="1113"/>
      <c r="I1745" s="995"/>
      <c r="J1745" s="996"/>
      <c r="K1745" s="997"/>
      <c r="L1745" s="99"/>
      <c r="M1745" s="100"/>
    </row>
    <row r="1746" spans="3:13" ht="20" thickBot="1">
      <c r="D1746" s="89"/>
      <c r="E1746" s="601" t="s">
        <v>435</v>
      </c>
      <c r="F1746" s="1114">
        <v>-0.20833333333333331</v>
      </c>
      <c r="G1746" s="1115"/>
      <c r="H1746" s="1116"/>
      <c r="I1746" s="995"/>
      <c r="J1746" s="996"/>
      <c r="K1746" s="997"/>
      <c r="L1746" s="106">
        <v>2.0833333333333332E-2</v>
      </c>
      <c r="M1746" s="107">
        <v>-0.125</v>
      </c>
    </row>
    <row r="1747" spans="3:13" ht="20" thickBot="1">
      <c r="D1747" s="89"/>
      <c r="E1747" s="602" t="s">
        <v>436</v>
      </c>
      <c r="F1747" s="252" t="s">
        <v>29</v>
      </c>
      <c r="G1747" s="252" t="s">
        <v>28</v>
      </c>
      <c r="H1747" s="253" t="s">
        <v>27</v>
      </c>
      <c r="I1747" s="995"/>
      <c r="J1747" s="996"/>
      <c r="K1747" s="997"/>
      <c r="L1747" s="99"/>
      <c r="M1747" s="100"/>
    </row>
    <row r="1748" spans="3:13">
      <c r="D1748" s="89"/>
      <c r="E1748" s="603">
        <v>45597</v>
      </c>
      <c r="F1748" s="341">
        <v>4.1000000000000002E-2</v>
      </c>
      <c r="G1748" s="341" t="s">
        <v>629</v>
      </c>
      <c r="H1748" s="341">
        <v>4.1000000000000002E-2</v>
      </c>
      <c r="I1748" s="995"/>
      <c r="J1748" s="996"/>
      <c r="K1748" s="997"/>
      <c r="L1748" s="99"/>
      <c r="M1748" s="100"/>
    </row>
    <row r="1749" spans="3:13">
      <c r="D1749" s="89"/>
      <c r="E1749" s="603">
        <v>45569</v>
      </c>
      <c r="F1749" s="341">
        <v>4.1000000000000002E-2</v>
      </c>
      <c r="G1749" s="341" t="s">
        <v>628</v>
      </c>
      <c r="H1749" s="341">
        <v>4.2000000000000003E-2</v>
      </c>
      <c r="I1749" s="995"/>
      <c r="J1749" s="996"/>
      <c r="K1749" s="997"/>
      <c r="L1749" s="99"/>
      <c r="M1749" s="100"/>
    </row>
    <row r="1750" spans="3:13">
      <c r="D1750" s="89"/>
      <c r="E1750" s="603">
        <v>45541</v>
      </c>
      <c r="F1750" s="341">
        <v>4.2000000000000003E-2</v>
      </c>
      <c r="G1750" s="341" t="s">
        <v>628</v>
      </c>
      <c r="H1750" s="341">
        <v>4.2999999999999997E-2</v>
      </c>
      <c r="I1750" s="995"/>
      <c r="J1750" s="996"/>
      <c r="K1750" s="997"/>
      <c r="L1750" s="101"/>
      <c r="M1750" s="100"/>
    </row>
    <row r="1751" spans="3:13">
      <c r="D1751" s="89"/>
      <c r="E1751" s="603">
        <v>45506</v>
      </c>
      <c r="F1751" s="341">
        <v>4.2999999999999997E-2</v>
      </c>
      <c r="G1751" s="341" t="s">
        <v>629</v>
      </c>
      <c r="H1751" s="341">
        <v>4.1000000000000002E-2</v>
      </c>
      <c r="I1751" s="995"/>
      <c r="J1751" s="996"/>
      <c r="K1751" s="997"/>
      <c r="L1751" s="99"/>
      <c r="M1751" s="100"/>
    </row>
    <row r="1752" spans="3:13">
      <c r="D1752" s="89"/>
      <c r="E1752" s="603">
        <v>45478</v>
      </c>
      <c r="F1752" s="341">
        <v>4.1000000000000002E-2</v>
      </c>
      <c r="G1752" s="341" t="s">
        <v>630</v>
      </c>
      <c r="H1752" s="341">
        <v>0.04</v>
      </c>
      <c r="I1752" s="995"/>
      <c r="J1752" s="996"/>
      <c r="K1752" s="997"/>
      <c r="L1752" s="99"/>
      <c r="M1752" s="100"/>
    </row>
    <row r="1753" spans="3:13" ht="20" thickBot="1">
      <c r="D1753" s="89"/>
      <c r="E1753" s="603">
        <v>45450</v>
      </c>
      <c r="F1753" s="341">
        <v>0.04</v>
      </c>
      <c r="G1753" s="341" t="s">
        <v>631</v>
      </c>
      <c r="H1753" s="341">
        <v>3.9E-2</v>
      </c>
      <c r="I1753" s="998"/>
      <c r="J1753" s="999"/>
      <c r="K1753" s="1000"/>
      <c r="L1753" s="102"/>
      <c r="M1753" s="103"/>
    </row>
    <row r="1754" spans="3:13" ht="25" thickBot="1">
      <c r="C1754" t="s">
        <v>105</v>
      </c>
      <c r="D1754">
        <v>1</v>
      </c>
      <c r="E1754" s="598" t="s">
        <v>30</v>
      </c>
      <c r="F1754" s="1102" t="s">
        <v>1250</v>
      </c>
      <c r="G1754" s="1103"/>
      <c r="H1754" s="1104"/>
      <c r="I1754" s="1131" t="s">
        <v>633</v>
      </c>
      <c r="J1754" s="1129"/>
      <c r="K1754" s="1130"/>
      <c r="L1754" s="158" t="s">
        <v>430</v>
      </c>
      <c r="M1754" s="105" t="s">
        <v>431</v>
      </c>
    </row>
    <row r="1755" spans="3:13">
      <c r="E1755" s="599" t="s">
        <v>432</v>
      </c>
      <c r="F1755" s="1105"/>
      <c r="G1755" s="1106"/>
      <c r="H1755" s="1107"/>
      <c r="I1755" s="995" t="s">
        <v>1251</v>
      </c>
      <c r="J1755" s="996"/>
      <c r="K1755" s="997"/>
      <c r="L1755" s="99"/>
      <c r="M1755" s="100"/>
    </row>
    <row r="1756" spans="3:13">
      <c r="E1756" s="600" t="s">
        <v>433</v>
      </c>
      <c r="F1756" s="1117">
        <v>49.4</v>
      </c>
      <c r="G1756" s="1109"/>
      <c r="H1756" s="1110"/>
      <c r="I1756" s="995"/>
      <c r="J1756" s="996"/>
      <c r="K1756" s="997"/>
      <c r="L1756" s="99"/>
      <c r="M1756" s="100"/>
    </row>
    <row r="1757" spans="3:13" ht="20" thickBot="1">
      <c r="E1757" s="600" t="s">
        <v>434</v>
      </c>
      <c r="F1757" s="1117">
        <v>49.7</v>
      </c>
      <c r="G1757" s="1109"/>
      <c r="H1757" s="1110"/>
      <c r="I1757" s="995"/>
      <c r="J1757" s="996"/>
      <c r="K1757" s="997"/>
      <c r="L1757" s="99"/>
      <c r="M1757" s="100"/>
    </row>
    <row r="1758" spans="3:13" ht="20" thickBot="1">
      <c r="E1758" s="601" t="s">
        <v>435</v>
      </c>
      <c r="F1758" s="1114">
        <v>0.61458333333333337</v>
      </c>
      <c r="G1758" s="1115"/>
      <c r="H1758" s="1116"/>
      <c r="I1758" s="995"/>
      <c r="J1758" s="996"/>
      <c r="K1758" s="997"/>
      <c r="L1758" s="106">
        <v>0.84375</v>
      </c>
      <c r="M1758" s="107">
        <v>0.69791666666666663</v>
      </c>
    </row>
    <row r="1759" spans="3:13" ht="20" thickBot="1">
      <c r="E1759" s="602" t="s">
        <v>436</v>
      </c>
      <c r="F1759" s="252" t="s">
        <v>29</v>
      </c>
      <c r="G1759" s="252" t="s">
        <v>28</v>
      </c>
      <c r="H1759" s="253" t="s">
        <v>27</v>
      </c>
      <c r="I1759" s="995"/>
      <c r="J1759" s="996"/>
      <c r="K1759" s="997"/>
      <c r="L1759" s="99"/>
      <c r="M1759" s="100"/>
    </row>
    <row r="1760" spans="3:13">
      <c r="E1760" s="603">
        <v>45628</v>
      </c>
      <c r="F1760" s="349">
        <v>49.7</v>
      </c>
      <c r="G1760" s="349" t="s">
        <v>510</v>
      </c>
      <c r="H1760" s="349">
        <v>48.5</v>
      </c>
      <c r="I1760" s="995"/>
      <c r="J1760" s="996"/>
      <c r="K1760" s="997"/>
      <c r="L1760" s="99"/>
      <c r="M1760" s="100"/>
    </row>
    <row r="1761" spans="4:13">
      <c r="E1761" s="603">
        <v>45618</v>
      </c>
      <c r="F1761" s="349">
        <v>48.8</v>
      </c>
      <c r="G1761" s="349" t="s">
        <v>510</v>
      </c>
      <c r="H1761" s="349">
        <v>48.5</v>
      </c>
      <c r="I1761" s="995"/>
      <c r="J1761" s="996"/>
      <c r="K1761" s="997"/>
      <c r="L1761" s="99"/>
      <c r="M1761" s="100"/>
    </row>
    <row r="1762" spans="4:13">
      <c r="E1762" s="603">
        <v>45597</v>
      </c>
      <c r="F1762" s="349">
        <v>48.5</v>
      </c>
      <c r="G1762" s="349" t="s">
        <v>1054</v>
      </c>
      <c r="H1762" s="349">
        <v>47.8</v>
      </c>
      <c r="I1762" s="995"/>
      <c r="J1762" s="996"/>
      <c r="K1762" s="997"/>
      <c r="L1762" s="101"/>
      <c r="M1762" s="100"/>
    </row>
    <row r="1763" spans="4:13">
      <c r="E1763" s="603">
        <v>45589</v>
      </c>
      <c r="F1763" s="349">
        <v>47.8</v>
      </c>
      <c r="G1763" s="349" t="s">
        <v>509</v>
      </c>
      <c r="H1763" s="349">
        <v>47.3</v>
      </c>
      <c r="I1763" s="995"/>
      <c r="J1763" s="996"/>
      <c r="K1763" s="997"/>
      <c r="L1763" s="99"/>
      <c r="M1763" s="100"/>
    </row>
    <row r="1764" spans="4:13">
      <c r="E1764" s="603">
        <v>45566</v>
      </c>
      <c r="F1764" s="349">
        <v>47.3</v>
      </c>
      <c r="G1764" s="349" t="s">
        <v>758</v>
      </c>
      <c r="H1764" s="349">
        <v>47.9</v>
      </c>
      <c r="I1764" s="995"/>
      <c r="J1764" s="996"/>
      <c r="K1764" s="997"/>
      <c r="L1764" s="99"/>
      <c r="M1764" s="100"/>
    </row>
    <row r="1765" spans="4:13" ht="20" thickBot="1">
      <c r="E1765" s="603">
        <v>45558</v>
      </c>
      <c r="F1765" s="349">
        <v>47</v>
      </c>
      <c r="G1765" s="349" t="s">
        <v>500</v>
      </c>
      <c r="H1765" s="349">
        <v>47.9</v>
      </c>
      <c r="I1765" s="998"/>
      <c r="J1765" s="999"/>
      <c r="K1765" s="1000"/>
      <c r="L1765" s="102"/>
      <c r="M1765" s="103"/>
    </row>
    <row r="1766" spans="4:13" ht="25" thickBot="1">
      <c r="D1766">
        <v>1</v>
      </c>
      <c r="E1766" s="598" t="s">
        <v>30</v>
      </c>
      <c r="F1766" s="1102" t="s">
        <v>1252</v>
      </c>
      <c r="G1766" s="1103"/>
      <c r="H1766" s="1104"/>
      <c r="I1766" s="1131" t="s">
        <v>633</v>
      </c>
      <c r="J1766" s="1129"/>
      <c r="K1766" s="1130"/>
      <c r="L1766" s="158" t="s">
        <v>430</v>
      </c>
      <c r="M1766" s="105" t="s">
        <v>431</v>
      </c>
    </row>
    <row r="1767" spans="4:13">
      <c r="E1767" s="599" t="s">
        <v>432</v>
      </c>
      <c r="F1767" s="1105"/>
      <c r="G1767" s="1106"/>
      <c r="H1767" s="1107"/>
      <c r="I1767" s="995" t="s">
        <v>1253</v>
      </c>
      <c r="J1767" s="996"/>
      <c r="K1767" s="997"/>
      <c r="L1767" s="99"/>
      <c r="M1767" s="100"/>
    </row>
    <row r="1768" spans="4:13">
      <c r="E1768" s="600" t="s">
        <v>433</v>
      </c>
      <c r="F1768" s="1117">
        <v>55.7</v>
      </c>
      <c r="G1768" s="1109"/>
      <c r="H1768" s="1110"/>
      <c r="I1768" s="995"/>
      <c r="J1768" s="996"/>
      <c r="K1768" s="997"/>
      <c r="L1768" s="99"/>
      <c r="M1768" s="100"/>
    </row>
    <row r="1769" spans="4:13" ht="20" thickBot="1">
      <c r="E1769" s="600" t="s">
        <v>434</v>
      </c>
      <c r="F1769" s="1117">
        <v>56.1</v>
      </c>
      <c r="G1769" s="1109"/>
      <c r="H1769" s="1110"/>
      <c r="I1769" s="995"/>
      <c r="J1769" s="996"/>
      <c r="K1769" s="997"/>
      <c r="L1769" s="99"/>
      <c r="M1769" s="100"/>
    </row>
    <row r="1770" spans="4:13" ht="20" thickBot="1">
      <c r="E1770" s="601" t="s">
        <v>435</v>
      </c>
      <c r="F1770" s="1114">
        <v>0.61458333333333337</v>
      </c>
      <c r="G1770" s="1115"/>
      <c r="H1770" s="1116"/>
      <c r="I1770" s="995"/>
      <c r="J1770" s="996"/>
      <c r="K1770" s="997"/>
      <c r="L1770" s="106">
        <v>0.84375</v>
      </c>
      <c r="M1770" s="107">
        <v>0.69791666666666663</v>
      </c>
    </row>
    <row r="1771" spans="4:13" ht="20" thickBot="1">
      <c r="E1771" s="602" t="s">
        <v>436</v>
      </c>
      <c r="F1771" s="252" t="s">
        <v>29</v>
      </c>
      <c r="G1771" s="252" t="s">
        <v>28</v>
      </c>
      <c r="H1771" s="253" t="s">
        <v>27</v>
      </c>
      <c r="I1771" s="995"/>
      <c r="J1771" s="996"/>
      <c r="K1771" s="997"/>
      <c r="L1771" s="99"/>
      <c r="M1771" s="100"/>
    </row>
    <row r="1772" spans="4:13">
      <c r="E1772" s="603">
        <v>45630</v>
      </c>
      <c r="F1772" s="256">
        <v>56.1</v>
      </c>
      <c r="G1772" s="256" t="s">
        <v>1285</v>
      </c>
      <c r="H1772" s="256">
        <v>55</v>
      </c>
      <c r="I1772" s="995"/>
      <c r="J1772" s="996"/>
      <c r="K1772" s="997"/>
      <c r="L1772" s="99"/>
      <c r="M1772" s="100"/>
    </row>
    <row r="1773" spans="4:13">
      <c r="E1773" s="603">
        <v>45618</v>
      </c>
      <c r="F1773" s="256">
        <v>57</v>
      </c>
      <c r="G1773" s="256" t="s">
        <v>586</v>
      </c>
      <c r="H1773" s="256">
        <v>55</v>
      </c>
      <c r="I1773" s="995"/>
      <c r="J1773" s="996"/>
      <c r="K1773" s="997"/>
      <c r="L1773" s="99"/>
      <c r="M1773" s="100"/>
    </row>
    <row r="1774" spans="4:13">
      <c r="E1774" s="603">
        <v>45601</v>
      </c>
      <c r="F1774" s="256">
        <v>55</v>
      </c>
      <c r="G1774" s="256" t="s">
        <v>585</v>
      </c>
      <c r="H1774" s="256">
        <v>55.2</v>
      </c>
      <c r="I1774" s="995"/>
      <c r="J1774" s="996"/>
      <c r="K1774" s="997"/>
      <c r="L1774" s="101"/>
      <c r="M1774" s="100"/>
    </row>
    <row r="1775" spans="4:13">
      <c r="E1775" s="603">
        <v>45589</v>
      </c>
      <c r="F1775" s="256">
        <v>55.3</v>
      </c>
      <c r="G1775" s="256" t="s">
        <v>604</v>
      </c>
      <c r="H1775" s="256">
        <v>55.2</v>
      </c>
      <c r="I1775" s="995"/>
      <c r="J1775" s="996"/>
      <c r="K1775" s="997"/>
      <c r="L1775" s="99"/>
      <c r="M1775" s="100"/>
    </row>
    <row r="1776" spans="4:13">
      <c r="E1776" s="603">
        <v>45568</v>
      </c>
      <c r="F1776" s="256">
        <v>55.2</v>
      </c>
      <c r="G1776" s="256" t="s">
        <v>759</v>
      </c>
      <c r="H1776" s="256">
        <v>55.7</v>
      </c>
      <c r="I1776" s="995"/>
      <c r="J1776" s="996"/>
      <c r="K1776" s="997"/>
      <c r="L1776" s="99"/>
      <c r="M1776" s="100"/>
    </row>
    <row r="1777" spans="4:13" ht="20" thickBot="1">
      <c r="E1777" s="603">
        <v>45558</v>
      </c>
      <c r="F1777" s="256">
        <v>55.4</v>
      </c>
      <c r="G1777" s="256" t="s">
        <v>585</v>
      </c>
      <c r="H1777" s="256">
        <v>55.7</v>
      </c>
      <c r="I1777" s="998"/>
      <c r="J1777" s="999"/>
      <c r="K1777" s="1000"/>
      <c r="L1777" s="102"/>
      <c r="M1777" s="103"/>
    </row>
    <row r="1778" spans="4:13" ht="25" thickBot="1">
      <c r="D1778" t="e">
        <v>#REF!</v>
      </c>
      <c r="E1778" s="598" t="s">
        <v>30</v>
      </c>
      <c r="F1778" s="1102" t="s">
        <v>1254</v>
      </c>
      <c r="G1778" s="1103"/>
      <c r="H1778" s="1104"/>
      <c r="I1778" s="1131" t="s">
        <v>633</v>
      </c>
      <c r="J1778" s="1129"/>
      <c r="K1778" s="1130"/>
      <c r="L1778" s="158" t="s">
        <v>430</v>
      </c>
      <c r="M1778" s="105" t="s">
        <v>431</v>
      </c>
    </row>
    <row r="1779" spans="4:13">
      <c r="E1779" s="599" t="s">
        <v>432</v>
      </c>
      <c r="F1779" s="1105"/>
      <c r="G1779" s="1106"/>
      <c r="H1779" s="1107"/>
      <c r="I1779" s="995" t="s">
        <v>1255</v>
      </c>
      <c r="J1779" s="996"/>
      <c r="K1779" s="997"/>
      <c r="L1779" s="99"/>
      <c r="M1779" s="100"/>
    </row>
    <row r="1780" spans="4:13">
      <c r="E1780" s="600" t="s">
        <v>433</v>
      </c>
      <c r="F1780" s="1118"/>
      <c r="G1780" s="1119"/>
      <c r="H1780" s="1120"/>
      <c r="I1780" s="995"/>
      <c r="J1780" s="996"/>
      <c r="K1780" s="997"/>
      <c r="L1780" s="99"/>
      <c r="M1780" s="100"/>
    </row>
    <row r="1781" spans="4:13" ht="20" thickBot="1">
      <c r="E1781" s="600" t="s">
        <v>434</v>
      </c>
      <c r="F1781" s="1118">
        <v>1.7000000000000001E-2</v>
      </c>
      <c r="G1781" s="1119"/>
      <c r="H1781" s="1120"/>
      <c r="I1781" s="995"/>
      <c r="J1781" s="996"/>
      <c r="K1781" s="997"/>
      <c r="L1781" s="99"/>
      <c r="M1781" s="100"/>
    </row>
    <row r="1782" spans="4:13" ht="20" thickBot="1">
      <c r="E1782" s="601" t="s">
        <v>435</v>
      </c>
      <c r="F1782" s="1114">
        <v>0.5625</v>
      </c>
      <c r="G1782" s="1115"/>
      <c r="H1782" s="1116"/>
      <c r="I1782" s="995"/>
      <c r="J1782" s="996"/>
      <c r="K1782" s="997"/>
      <c r="L1782" s="106">
        <v>0.79166666666666663</v>
      </c>
      <c r="M1782" s="107">
        <v>0.64583333333333326</v>
      </c>
    </row>
    <row r="1783" spans="4:13" ht="20" thickBot="1">
      <c r="E1783" s="602" t="s">
        <v>436</v>
      </c>
      <c r="F1783" s="252" t="s">
        <v>29</v>
      </c>
      <c r="G1783" s="252" t="s">
        <v>28</v>
      </c>
      <c r="H1783" s="253" t="s">
        <v>27</v>
      </c>
      <c r="I1783" s="995"/>
      <c r="J1783" s="996"/>
      <c r="K1783" s="997"/>
      <c r="L1783" s="330"/>
      <c r="M1783" s="331"/>
    </row>
    <row r="1784" spans="4:13" ht="18">
      <c r="E1784" s="603">
        <v>45615</v>
      </c>
      <c r="F1784" s="341">
        <v>1.7000000000000001E-2</v>
      </c>
      <c r="G1784" s="341"/>
      <c r="H1784" s="341">
        <v>1.6E-2</v>
      </c>
      <c r="I1784" s="995"/>
      <c r="J1784" s="996"/>
      <c r="K1784" s="997"/>
      <c r="L1784" s="99"/>
      <c r="M1784" s="100"/>
    </row>
    <row r="1785" spans="4:13" ht="18">
      <c r="E1785" s="603">
        <v>45580</v>
      </c>
      <c r="F1785" s="341">
        <v>1.6E-2</v>
      </c>
      <c r="G1785" s="341"/>
      <c r="H1785" s="341">
        <v>1.4999999999999999E-2</v>
      </c>
      <c r="I1785" s="995"/>
      <c r="J1785" s="996"/>
      <c r="K1785" s="997"/>
      <c r="L1785" s="99"/>
      <c r="M1785" s="100"/>
    </row>
    <row r="1786" spans="4:13" ht="18">
      <c r="E1786" s="603">
        <v>45552</v>
      </c>
      <c r="F1786" s="341">
        <v>1.4999999999999999E-2</v>
      </c>
      <c r="G1786" s="341"/>
      <c r="H1786" s="341">
        <v>1.7000000000000001E-2</v>
      </c>
      <c r="I1786" s="995"/>
      <c r="J1786" s="996"/>
      <c r="K1786" s="997"/>
      <c r="L1786" s="101"/>
      <c r="M1786" s="100"/>
    </row>
    <row r="1787" spans="4:13" ht="18">
      <c r="E1787" s="603">
        <v>45524</v>
      </c>
      <c r="F1787" s="341">
        <v>1.7000000000000001E-2</v>
      </c>
      <c r="G1787" s="341"/>
      <c r="H1787" s="341">
        <v>1.9E-2</v>
      </c>
      <c r="I1787" s="995"/>
      <c r="J1787" s="996"/>
      <c r="K1787" s="997"/>
      <c r="L1787" s="99"/>
      <c r="M1787" s="100"/>
    </row>
    <row r="1788" spans="4:13" ht="18">
      <c r="E1788" s="603">
        <v>45489</v>
      </c>
      <c r="F1788" s="341">
        <v>1.9E-2</v>
      </c>
      <c r="G1788" s="341"/>
      <c r="H1788" s="341">
        <v>1.7999999999999999E-2</v>
      </c>
      <c r="I1788" s="995"/>
      <c r="J1788" s="996"/>
      <c r="K1788" s="997"/>
      <c r="L1788" s="99"/>
      <c r="M1788" s="100"/>
    </row>
    <row r="1789" spans="4:13" thickBot="1">
      <c r="E1789" s="603">
        <v>45468</v>
      </c>
      <c r="F1789" s="341">
        <v>1.7999999999999999E-2</v>
      </c>
      <c r="G1789" s="341"/>
      <c r="H1789" s="341">
        <v>1.6E-2</v>
      </c>
      <c r="I1789" s="998"/>
      <c r="J1789" s="999"/>
      <c r="K1789" s="1000"/>
      <c r="L1789" s="102"/>
      <c r="M1789" s="103"/>
    </row>
    <row r="1790" spans="4:13" ht="25" thickBot="1">
      <c r="D1790" t="s">
        <v>105</v>
      </c>
      <c r="E1790" s="598" t="s">
        <v>30</v>
      </c>
      <c r="F1790" s="1102" t="s">
        <v>1256</v>
      </c>
      <c r="G1790" s="1103"/>
      <c r="H1790" s="1104"/>
      <c r="I1790" s="1131" t="s">
        <v>633</v>
      </c>
      <c r="J1790" s="1129"/>
      <c r="K1790" s="1130"/>
      <c r="L1790" s="158" t="s">
        <v>430</v>
      </c>
      <c r="M1790" s="105" t="s">
        <v>431</v>
      </c>
    </row>
    <row r="1791" spans="4:13">
      <c r="E1791" s="599" t="s">
        <v>432</v>
      </c>
      <c r="F1791" s="1105"/>
      <c r="G1791" s="1106"/>
      <c r="H1791" s="1107"/>
      <c r="I1791" s="995" t="s">
        <v>1255</v>
      </c>
      <c r="J1791" s="996"/>
      <c r="K1791" s="997"/>
      <c r="L1791" s="99"/>
      <c r="M1791" s="100"/>
    </row>
    <row r="1792" spans="4:13">
      <c r="E1792" s="600" t="s">
        <v>433</v>
      </c>
      <c r="F1792" s="1118">
        <v>1E-3</v>
      </c>
      <c r="G1792" s="1119"/>
      <c r="H1792" s="1120"/>
      <c r="I1792" s="995"/>
      <c r="J1792" s="996"/>
      <c r="K1792" s="997"/>
      <c r="L1792" s="99"/>
      <c r="M1792" s="100"/>
    </row>
    <row r="1793" spans="4:13" ht="20" thickBot="1">
      <c r="E1793" s="600" t="s">
        <v>434</v>
      </c>
      <c r="F1793" s="1118">
        <v>4.0000000000000001E-3</v>
      </c>
      <c r="G1793" s="1119"/>
      <c r="H1793" s="1120"/>
      <c r="I1793" s="995"/>
      <c r="J1793" s="996"/>
      <c r="K1793" s="997"/>
      <c r="L1793" s="99"/>
      <c r="M1793" s="100"/>
    </row>
    <row r="1794" spans="4:13" ht="20" thickBot="1">
      <c r="E1794" s="601" t="s">
        <v>435</v>
      </c>
      <c r="F1794" s="1114">
        <v>0.5625</v>
      </c>
      <c r="G1794" s="1115"/>
      <c r="H1794" s="1116"/>
      <c r="I1794" s="995"/>
      <c r="J1794" s="996"/>
      <c r="K1794" s="997"/>
      <c r="L1794" s="106">
        <v>0.79166666666666663</v>
      </c>
      <c r="M1794" s="107">
        <v>0.69791666666666663</v>
      </c>
    </row>
    <row r="1795" spans="4:13" ht="20" thickBot="1">
      <c r="E1795" s="602" t="s">
        <v>436</v>
      </c>
      <c r="F1795" s="252" t="s">
        <v>29</v>
      </c>
      <c r="G1795" s="252" t="s">
        <v>28</v>
      </c>
      <c r="H1795" s="253" t="s">
        <v>27</v>
      </c>
      <c r="I1795" s="995"/>
      <c r="J1795" s="996"/>
      <c r="K1795" s="997"/>
      <c r="L1795" s="99"/>
      <c r="M1795" s="100"/>
    </row>
    <row r="1796" spans="4:13">
      <c r="E1796" s="603">
        <v>45615</v>
      </c>
      <c r="F1796" s="606">
        <v>4.0000000000000001E-3</v>
      </c>
      <c r="G1796" s="606" t="s">
        <v>467</v>
      </c>
      <c r="H1796" s="606">
        <v>-4.0000000000000001E-3</v>
      </c>
      <c r="I1796" s="995"/>
      <c r="J1796" s="996"/>
      <c r="K1796" s="997"/>
      <c r="L1796" s="99"/>
      <c r="M1796" s="100"/>
    </row>
    <row r="1797" spans="4:13">
      <c r="E1797" s="603">
        <v>45580</v>
      </c>
      <c r="F1797" s="606">
        <v>-4.0000000000000001E-3</v>
      </c>
      <c r="G1797" s="606" t="s">
        <v>461</v>
      </c>
      <c r="H1797" s="606">
        <v>-2E-3</v>
      </c>
      <c r="I1797" s="995"/>
      <c r="J1797" s="996"/>
      <c r="K1797" s="997"/>
      <c r="L1797" s="99"/>
      <c r="M1797" s="100"/>
    </row>
    <row r="1798" spans="4:13">
      <c r="E1798" s="603">
        <v>45552</v>
      </c>
      <c r="F1798" s="606">
        <v>-2E-3</v>
      </c>
      <c r="G1798" s="606" t="s">
        <v>458</v>
      </c>
      <c r="H1798" s="606">
        <v>4.0000000000000001E-3</v>
      </c>
      <c r="I1798" s="995"/>
      <c r="J1798" s="996"/>
      <c r="K1798" s="997"/>
      <c r="L1798" s="101"/>
      <c r="M1798" s="100"/>
    </row>
    <row r="1799" spans="4:13">
      <c r="E1799" s="603">
        <v>45524</v>
      </c>
      <c r="F1799" s="606">
        <v>4.0000000000000001E-3</v>
      </c>
      <c r="G1799" s="606" t="s">
        <v>452</v>
      </c>
      <c r="H1799" s="606">
        <v>-1E-3</v>
      </c>
      <c r="I1799" s="995"/>
      <c r="J1799" s="996"/>
      <c r="K1799" s="997"/>
      <c r="L1799" s="99"/>
      <c r="M1799" s="100"/>
    </row>
    <row r="1800" spans="4:13">
      <c r="E1800" s="603">
        <v>45489</v>
      </c>
      <c r="F1800" s="606">
        <v>-1E-3</v>
      </c>
      <c r="G1800" s="606" t="s">
        <v>462</v>
      </c>
      <c r="H1800" s="606">
        <v>6.0000000000000001E-3</v>
      </c>
      <c r="I1800" s="995"/>
      <c r="J1800" s="996"/>
      <c r="K1800" s="997"/>
      <c r="L1800" s="99"/>
      <c r="M1800" s="100"/>
    </row>
    <row r="1801" spans="4:13" ht="20" thickBot="1">
      <c r="E1801" s="603">
        <v>45468</v>
      </c>
      <c r="F1801" s="606">
        <v>6.0000000000000001E-3</v>
      </c>
      <c r="G1801" s="606" t="s">
        <v>467</v>
      </c>
      <c r="H1801" s="606">
        <v>5.0000000000000001E-3</v>
      </c>
      <c r="I1801" s="998"/>
      <c r="J1801" s="999"/>
      <c r="K1801" s="1000"/>
      <c r="L1801" s="102"/>
      <c r="M1801" s="103"/>
    </row>
    <row r="1802" spans="4:13" ht="25" thickBot="1">
      <c r="D1802">
        <v>2</v>
      </c>
      <c r="E1802" s="598" t="s">
        <v>30</v>
      </c>
      <c r="F1802" s="1102" t="s">
        <v>1257</v>
      </c>
      <c r="G1802" s="1103"/>
      <c r="H1802" s="1104"/>
      <c r="I1802" s="1131" t="s">
        <v>633</v>
      </c>
      <c r="J1802" s="1129"/>
      <c r="K1802" s="1130"/>
      <c r="L1802" s="158" t="s">
        <v>430</v>
      </c>
      <c r="M1802" s="105" t="s">
        <v>431</v>
      </c>
    </row>
    <row r="1803" spans="4:13">
      <c r="E1803" s="599" t="s">
        <v>432</v>
      </c>
      <c r="F1803" s="1105"/>
      <c r="G1803" s="1106"/>
      <c r="H1803" s="1107"/>
      <c r="I1803" s="995" t="s">
        <v>1258</v>
      </c>
      <c r="J1803" s="996"/>
      <c r="K1803" s="997"/>
      <c r="L1803" s="99"/>
      <c r="M1803" s="100"/>
    </row>
    <row r="1804" spans="4:13">
      <c r="E1804" s="600" t="s">
        <v>433</v>
      </c>
      <c r="F1804" s="1118">
        <v>4.0000000000000001E-3</v>
      </c>
      <c r="G1804" s="1119"/>
      <c r="H1804" s="1120"/>
      <c r="I1804" s="995"/>
      <c r="J1804" s="996"/>
      <c r="K1804" s="997"/>
      <c r="L1804" s="99"/>
      <c r="M1804" s="100"/>
    </row>
    <row r="1805" spans="4:13" ht="20" thickBot="1">
      <c r="E1805" s="600" t="s">
        <v>434</v>
      </c>
      <c r="F1805" s="1118">
        <v>1E-3</v>
      </c>
      <c r="G1805" s="1119"/>
      <c r="H1805" s="1120"/>
      <c r="I1805" s="995"/>
      <c r="J1805" s="996"/>
      <c r="K1805" s="997"/>
      <c r="L1805" s="99"/>
      <c r="M1805" s="100"/>
    </row>
    <row r="1806" spans="4:13" ht="20" thickBot="1">
      <c r="E1806" s="601" t="s">
        <v>435</v>
      </c>
      <c r="F1806" s="1114">
        <v>0.5625</v>
      </c>
      <c r="G1806" s="1115"/>
      <c r="H1806" s="1116"/>
      <c r="I1806" s="995"/>
      <c r="J1806" s="996"/>
      <c r="K1806" s="997"/>
      <c r="L1806" s="106">
        <v>0.79166666666666663</v>
      </c>
      <c r="M1806" s="107">
        <v>0.64583333333333326</v>
      </c>
    </row>
    <row r="1807" spans="4:13" ht="20" thickBot="1">
      <c r="E1807" s="602" t="s">
        <v>436</v>
      </c>
      <c r="F1807" s="252" t="s">
        <v>29</v>
      </c>
      <c r="G1807" s="252" t="s">
        <v>28</v>
      </c>
      <c r="H1807" s="253" t="s">
        <v>27</v>
      </c>
      <c r="I1807" s="995"/>
      <c r="J1807" s="996"/>
      <c r="K1807" s="997"/>
      <c r="L1807" s="330">
        <v>0.1875</v>
      </c>
      <c r="M1807" s="331">
        <v>4.1666666666666664E-2</v>
      </c>
    </row>
    <row r="1808" spans="4:13">
      <c r="E1808" s="603">
        <v>45611</v>
      </c>
      <c r="F1808" s="606">
        <v>1E-3</v>
      </c>
      <c r="G1808" s="606" t="s">
        <v>467</v>
      </c>
      <c r="H1808" s="606">
        <v>0.01</v>
      </c>
      <c r="I1808" s="995"/>
      <c r="J1808" s="996"/>
      <c r="K1808" s="997"/>
      <c r="L1808" s="99"/>
      <c r="M1808" s="100"/>
    </row>
    <row r="1809" spans="4:13">
      <c r="E1809" s="603">
        <v>45582</v>
      </c>
      <c r="F1809" s="606">
        <v>5.0000000000000001E-3</v>
      </c>
      <c r="G1809" s="606" t="s">
        <v>462</v>
      </c>
      <c r="H1809" s="606">
        <v>2E-3</v>
      </c>
      <c r="I1809" s="995"/>
      <c r="J1809" s="996"/>
      <c r="K1809" s="997"/>
      <c r="L1809" s="99"/>
      <c r="M1809" s="100"/>
    </row>
    <row r="1810" spans="4:13">
      <c r="E1810" s="603">
        <v>45552</v>
      </c>
      <c r="F1810" s="606">
        <v>1E-3</v>
      </c>
      <c r="G1810" s="606" t="s">
        <v>460</v>
      </c>
      <c r="H1810" s="606">
        <v>4.0000000000000001E-3</v>
      </c>
      <c r="I1810" s="995"/>
      <c r="J1810" s="996"/>
      <c r="K1810" s="997"/>
      <c r="L1810" s="101"/>
      <c r="M1810" s="100"/>
    </row>
    <row r="1811" spans="4:13">
      <c r="E1811" s="603">
        <v>45519</v>
      </c>
      <c r="F1811" s="606">
        <v>4.0000000000000001E-3</v>
      </c>
      <c r="G1811" s="606" t="s">
        <v>462</v>
      </c>
      <c r="H1811" s="606">
        <v>5.0000000000000001E-3</v>
      </c>
      <c r="I1811" s="995"/>
      <c r="J1811" s="996"/>
      <c r="K1811" s="997"/>
      <c r="L1811" s="99"/>
      <c r="M1811" s="100"/>
    </row>
    <row r="1812" spans="4:13">
      <c r="E1812" s="603">
        <v>45489</v>
      </c>
      <c r="F1812" s="606">
        <v>4.0000000000000001E-3</v>
      </c>
      <c r="G1812" s="606" t="s">
        <v>462</v>
      </c>
      <c r="H1812" s="606">
        <v>1E-3</v>
      </c>
      <c r="I1812" s="995"/>
      <c r="J1812" s="996"/>
      <c r="K1812" s="997"/>
      <c r="L1812" s="99"/>
      <c r="M1812" s="100"/>
    </row>
    <row r="1813" spans="4:13" ht="20" thickBot="1">
      <c r="E1813" s="603">
        <v>45461</v>
      </c>
      <c r="F1813" s="606">
        <v>-1E-3</v>
      </c>
      <c r="G1813" s="606" t="s">
        <v>460</v>
      </c>
      <c r="H1813" s="606">
        <v>-1E-3</v>
      </c>
      <c r="I1813" s="998"/>
      <c r="J1813" s="999"/>
      <c r="K1813" s="1000"/>
      <c r="L1813" s="102"/>
      <c r="M1813" s="103"/>
    </row>
    <row r="1814" spans="4:13" ht="25" thickBot="1">
      <c r="D1814" t="s">
        <v>105</v>
      </c>
      <c r="E1814" s="598" t="s">
        <v>30</v>
      </c>
      <c r="F1814" s="1102" t="s">
        <v>1259</v>
      </c>
      <c r="G1814" s="1103"/>
      <c r="H1814" s="1104"/>
      <c r="I1814" s="1131" t="s">
        <v>633</v>
      </c>
      <c r="J1814" s="1129"/>
      <c r="K1814" s="1130"/>
      <c r="L1814" s="158" t="s">
        <v>430</v>
      </c>
      <c r="M1814" s="105" t="s">
        <v>431</v>
      </c>
    </row>
    <row r="1815" spans="4:13">
      <c r="E1815" s="599" t="s">
        <v>432</v>
      </c>
      <c r="F1815" s="1105"/>
      <c r="G1815" s="1106"/>
      <c r="H1815" s="1107"/>
      <c r="I1815" s="995" t="s">
        <v>1260</v>
      </c>
      <c r="J1815" s="996"/>
      <c r="K1815" s="997"/>
      <c r="L1815" s="99"/>
      <c r="M1815" s="100"/>
    </row>
    <row r="1816" spans="4:13">
      <c r="E1816" s="600" t="s">
        <v>433</v>
      </c>
      <c r="F1816" s="1118">
        <v>6.0000000000000001E-3</v>
      </c>
      <c r="G1816" s="1119"/>
      <c r="H1816" s="1120"/>
      <c r="I1816" s="995"/>
      <c r="J1816" s="996"/>
      <c r="K1816" s="997"/>
      <c r="L1816" s="99"/>
      <c r="M1816" s="100"/>
    </row>
    <row r="1817" spans="4:13" ht="20" thickBot="1">
      <c r="E1817" s="600" t="s">
        <v>434</v>
      </c>
      <c r="F1817" s="1118">
        <v>4.0000000000000001E-3</v>
      </c>
      <c r="G1817" s="1119"/>
      <c r="H1817" s="1120"/>
      <c r="I1817" s="995"/>
      <c r="J1817" s="996"/>
      <c r="K1817" s="997"/>
      <c r="L1817" s="99"/>
      <c r="M1817" s="100"/>
    </row>
    <row r="1818" spans="4:13" ht="20" thickBot="1">
      <c r="E1818" s="601" t="s">
        <v>435</v>
      </c>
      <c r="F1818" s="1114">
        <v>0.5625</v>
      </c>
      <c r="G1818" s="1115"/>
      <c r="H1818" s="1116"/>
      <c r="I1818" s="995"/>
      <c r="J1818" s="996"/>
      <c r="K1818" s="997"/>
      <c r="L1818" s="106">
        <v>0.79166666666666663</v>
      </c>
      <c r="M1818" s="107">
        <v>0.64583333333333326</v>
      </c>
    </row>
    <row r="1819" spans="4:13" ht="20" thickBot="1">
      <c r="E1819" s="602" t="s">
        <v>436</v>
      </c>
      <c r="F1819" s="252" t="s">
        <v>29</v>
      </c>
      <c r="G1819" s="252" t="s">
        <v>28</v>
      </c>
      <c r="H1819" s="253" t="s">
        <v>27</v>
      </c>
      <c r="I1819" s="995"/>
      <c r="J1819" s="996"/>
      <c r="K1819" s="997"/>
      <c r="L1819" s="99"/>
      <c r="M1819" s="100"/>
    </row>
    <row r="1820" spans="4:13">
      <c r="E1820" s="603">
        <v>45611</v>
      </c>
      <c r="F1820" s="606">
        <v>4.0000000000000001E-3</v>
      </c>
      <c r="G1820" s="606" t="s">
        <v>467</v>
      </c>
      <c r="H1820" s="606">
        <v>8.0000000000000002E-3</v>
      </c>
      <c r="I1820" s="995"/>
      <c r="J1820" s="996"/>
      <c r="K1820" s="997"/>
      <c r="L1820" s="99"/>
      <c r="M1820" s="100"/>
    </row>
    <row r="1821" spans="4:13">
      <c r="E1821" s="603">
        <v>45582</v>
      </c>
      <c r="F1821" s="606">
        <v>4.0000000000000001E-3</v>
      </c>
      <c r="G1821" s="606" t="s">
        <v>467</v>
      </c>
      <c r="H1821" s="606">
        <v>1E-3</v>
      </c>
      <c r="I1821" s="995"/>
      <c r="J1821" s="996"/>
      <c r="K1821" s="997"/>
      <c r="L1821" s="99"/>
      <c r="M1821" s="100"/>
    </row>
    <row r="1822" spans="4:13">
      <c r="E1822" s="603">
        <v>45552</v>
      </c>
      <c r="F1822" s="606">
        <v>1E-3</v>
      </c>
      <c r="G1822" s="606" t="s">
        <v>461</v>
      </c>
      <c r="H1822" s="606">
        <v>1.0999999999999999E-2</v>
      </c>
      <c r="I1822" s="995"/>
      <c r="J1822" s="996"/>
      <c r="K1822" s="997"/>
      <c r="L1822" s="101"/>
      <c r="M1822" s="100"/>
    </row>
    <row r="1823" spans="4:13">
      <c r="E1823" s="603">
        <v>45519</v>
      </c>
      <c r="F1823" s="606">
        <v>0.01</v>
      </c>
      <c r="G1823" s="606" t="s">
        <v>452</v>
      </c>
      <c r="H1823" s="606">
        <v>-2E-3</v>
      </c>
      <c r="I1823" s="995"/>
      <c r="J1823" s="996"/>
      <c r="K1823" s="997"/>
      <c r="L1823" s="99"/>
      <c r="M1823" s="100"/>
    </row>
    <row r="1824" spans="4:13">
      <c r="E1824" s="603">
        <v>45489</v>
      </c>
      <c r="F1824" s="606">
        <v>0</v>
      </c>
      <c r="G1824" s="606" t="s">
        <v>454</v>
      </c>
      <c r="H1824" s="606">
        <v>3.0000000000000001E-3</v>
      </c>
      <c r="I1824" s="995"/>
      <c r="J1824" s="996"/>
      <c r="K1824" s="997"/>
      <c r="L1824" s="99"/>
      <c r="M1824" s="100"/>
    </row>
    <row r="1825" spans="4:13" ht="20" thickBot="1">
      <c r="E1825" s="603">
        <v>45461</v>
      </c>
      <c r="F1825" s="606">
        <v>1E-3</v>
      </c>
      <c r="G1825" s="606" t="s">
        <v>467</v>
      </c>
      <c r="H1825" s="606">
        <v>-2E-3</v>
      </c>
      <c r="I1825" s="998"/>
      <c r="J1825" s="999"/>
      <c r="K1825" s="1000"/>
      <c r="L1825" s="102"/>
      <c r="M1825" s="103"/>
    </row>
    <row r="1826" spans="4:13" ht="25" thickBot="1">
      <c r="D1826">
        <v>3</v>
      </c>
      <c r="E1826" s="598" t="s">
        <v>30</v>
      </c>
      <c r="F1826" s="1102" t="s">
        <v>1261</v>
      </c>
      <c r="G1826" s="1103"/>
      <c r="H1826" s="1104"/>
      <c r="I1826" s="1131" t="s">
        <v>633</v>
      </c>
      <c r="J1826" s="1129"/>
      <c r="K1826" s="1130"/>
      <c r="L1826" s="158" t="s">
        <v>430</v>
      </c>
      <c r="M1826" s="105" t="s">
        <v>431</v>
      </c>
    </row>
    <row r="1827" spans="4:13">
      <c r="E1827" s="599" t="s">
        <v>432</v>
      </c>
      <c r="F1827" s="1105"/>
      <c r="G1827" s="1106"/>
      <c r="H1827" s="1107"/>
      <c r="I1827" s="995" t="s">
        <v>1262</v>
      </c>
      <c r="J1827" s="996"/>
      <c r="K1827" s="997"/>
      <c r="L1827" s="99"/>
      <c r="M1827" s="100"/>
    </row>
    <row r="1828" spans="4:13">
      <c r="E1828" s="600" t="s">
        <v>433</v>
      </c>
      <c r="F1828" s="1118">
        <v>2.5999999999999999E-2</v>
      </c>
      <c r="G1828" s="1119"/>
      <c r="H1828" s="1120"/>
      <c r="I1828" s="995"/>
      <c r="J1828" s="996"/>
      <c r="K1828" s="997"/>
      <c r="L1828" s="99"/>
      <c r="M1828" s="100"/>
    </row>
    <row r="1829" spans="4:13" ht="20" thickBot="1">
      <c r="E1829" s="600" t="s">
        <v>434</v>
      </c>
      <c r="F1829" s="1118">
        <v>2.3E-2</v>
      </c>
      <c r="G1829" s="1119"/>
      <c r="H1829" s="1120"/>
      <c r="I1829" s="995"/>
      <c r="J1829" s="996"/>
      <c r="K1829" s="997"/>
      <c r="L1829" s="99"/>
      <c r="M1829" s="100"/>
    </row>
    <row r="1830" spans="4:13" ht="20" thickBot="1">
      <c r="E1830" s="601" t="s">
        <v>435</v>
      </c>
      <c r="F1830" s="1114">
        <v>0.29166666666666674</v>
      </c>
      <c r="G1830" s="1115"/>
      <c r="H1830" s="1116"/>
      <c r="I1830" s="995"/>
      <c r="J1830" s="996"/>
      <c r="K1830" s="997"/>
      <c r="L1830" s="106">
        <v>0.52083333333333337</v>
      </c>
      <c r="M1830" s="107">
        <v>0.375</v>
      </c>
    </row>
    <row r="1831" spans="4:13" ht="20" thickBot="1">
      <c r="E1831" s="602" t="s">
        <v>436</v>
      </c>
      <c r="F1831" s="252" t="s">
        <v>29</v>
      </c>
      <c r="G1831" s="252" t="s">
        <v>28</v>
      </c>
      <c r="H1831" s="253" t="s">
        <v>27</v>
      </c>
      <c r="I1831" s="995"/>
      <c r="J1831" s="996"/>
      <c r="K1831" s="997"/>
      <c r="L1831" s="99"/>
      <c r="M1831" s="100"/>
    </row>
    <row r="1832" spans="4:13">
      <c r="E1832" s="603">
        <v>45616</v>
      </c>
      <c r="F1832" s="345">
        <v>2.3E-2</v>
      </c>
      <c r="G1832" s="345" t="s">
        <v>490</v>
      </c>
      <c r="H1832" s="345">
        <v>1.7000000000000001E-2</v>
      </c>
      <c r="I1832" s="995"/>
      <c r="J1832" s="996"/>
      <c r="K1832" s="997"/>
      <c r="L1832" s="99"/>
      <c r="M1832" s="100"/>
    </row>
    <row r="1833" spans="4:13">
      <c r="E1833" s="603">
        <v>45581</v>
      </c>
      <c r="F1833" s="345">
        <v>1.7000000000000001E-2</v>
      </c>
      <c r="G1833" s="345" t="s">
        <v>789</v>
      </c>
      <c r="H1833" s="345">
        <v>2.1999999999999999E-2</v>
      </c>
      <c r="I1833" s="995"/>
      <c r="J1833" s="996"/>
      <c r="K1833" s="997"/>
      <c r="L1833" s="99"/>
      <c r="M1833" s="100"/>
    </row>
    <row r="1834" spans="4:13">
      <c r="E1834" s="603">
        <v>45553</v>
      </c>
      <c r="F1834" s="345">
        <v>2.1999999999999999E-2</v>
      </c>
      <c r="G1834" s="345" t="s">
        <v>490</v>
      </c>
      <c r="H1834" s="345">
        <v>2.1999999999999999E-2</v>
      </c>
      <c r="I1834" s="995"/>
      <c r="J1834" s="996"/>
      <c r="K1834" s="997"/>
      <c r="L1834" s="101"/>
      <c r="M1834" s="100"/>
    </row>
    <row r="1835" spans="4:13">
      <c r="E1835" s="603">
        <v>45518</v>
      </c>
      <c r="F1835" s="345">
        <v>2.1999999999999999E-2</v>
      </c>
      <c r="G1835" s="345" t="s">
        <v>971</v>
      </c>
      <c r="H1835" s="345">
        <v>0.02</v>
      </c>
      <c r="I1835" s="995"/>
      <c r="J1835" s="996"/>
      <c r="K1835" s="997"/>
      <c r="L1835" s="99"/>
      <c r="M1835" s="100"/>
    </row>
    <row r="1836" spans="4:13">
      <c r="E1836" s="603">
        <v>45490</v>
      </c>
      <c r="F1836" s="345">
        <v>0.02</v>
      </c>
      <c r="G1836" s="345" t="s">
        <v>789</v>
      </c>
      <c r="H1836" s="345">
        <v>0.02</v>
      </c>
      <c r="I1836" s="995"/>
      <c r="J1836" s="996"/>
      <c r="K1836" s="997"/>
      <c r="L1836" s="99"/>
      <c r="M1836" s="100"/>
    </row>
    <row r="1837" spans="4:13" ht="20" thickBot="1">
      <c r="E1837" s="603">
        <v>45462</v>
      </c>
      <c r="F1837" s="345">
        <v>0.02</v>
      </c>
      <c r="G1837" s="345" t="s">
        <v>788</v>
      </c>
      <c r="H1837" s="345">
        <v>2.3E-2</v>
      </c>
      <c r="I1837" s="998"/>
      <c r="J1837" s="999"/>
      <c r="K1837" s="1000"/>
      <c r="L1837" s="102"/>
      <c r="M1837" s="103"/>
    </row>
    <row r="1838" spans="4:13" ht="25" thickBot="1">
      <c r="D1838">
        <v>4</v>
      </c>
      <c r="E1838" s="598" t="s">
        <v>30</v>
      </c>
      <c r="F1838" s="1102" t="s">
        <v>1263</v>
      </c>
      <c r="G1838" s="1103"/>
      <c r="H1838" s="1104"/>
      <c r="I1838" s="1131" t="s">
        <v>633</v>
      </c>
      <c r="J1838" s="1129"/>
      <c r="K1838" s="1130"/>
      <c r="L1838" s="158" t="s">
        <v>430</v>
      </c>
      <c r="M1838" s="105" t="s">
        <v>431</v>
      </c>
    </row>
    <row r="1839" spans="4:13">
      <c r="E1839" s="599" t="s">
        <v>432</v>
      </c>
      <c r="F1839" s="1105"/>
      <c r="G1839" s="1106"/>
      <c r="H1839" s="1107"/>
      <c r="I1839" s="995" t="s">
        <v>1264</v>
      </c>
      <c r="J1839" s="996"/>
      <c r="K1839" s="997"/>
      <c r="L1839" s="99"/>
      <c r="M1839" s="100"/>
    </row>
    <row r="1840" spans="4:13">
      <c r="E1840" s="600" t="s">
        <v>433</v>
      </c>
      <c r="F1840" s="1118">
        <v>2.3E-2</v>
      </c>
      <c r="G1840" s="1119"/>
      <c r="H1840" s="1120"/>
      <c r="I1840" s="995"/>
      <c r="J1840" s="996"/>
      <c r="K1840" s="997"/>
      <c r="L1840" s="99"/>
      <c r="M1840" s="100"/>
    </row>
    <row r="1841" spans="4:13" ht="20" thickBot="1">
      <c r="E1841" s="600" t="s">
        <v>434</v>
      </c>
      <c r="F1841" s="1118">
        <v>2.3E-2</v>
      </c>
      <c r="G1841" s="1119"/>
      <c r="H1841" s="1120"/>
      <c r="I1841" s="995"/>
      <c r="J1841" s="996"/>
      <c r="K1841" s="997"/>
      <c r="L1841" s="99"/>
      <c r="M1841" s="100"/>
    </row>
    <row r="1842" spans="4:13" ht="20" thickBot="1">
      <c r="E1842" s="601" t="s">
        <v>435</v>
      </c>
      <c r="F1842" s="1114">
        <v>0.41666666666666674</v>
      </c>
      <c r="G1842" s="1115"/>
      <c r="H1842" s="1116"/>
      <c r="I1842" s="995"/>
      <c r="J1842" s="996"/>
      <c r="K1842" s="997"/>
      <c r="L1842" s="106">
        <v>0.64583333333333337</v>
      </c>
      <c r="M1842" s="107">
        <v>0.5</v>
      </c>
    </row>
    <row r="1843" spans="4:13" ht="20" thickBot="1">
      <c r="E1843" s="602" t="s">
        <v>436</v>
      </c>
      <c r="F1843" s="252" t="s">
        <v>29</v>
      </c>
      <c r="G1843" s="252" t="s">
        <v>28</v>
      </c>
      <c r="H1843" s="253" t="s">
        <v>27</v>
      </c>
      <c r="I1843" s="995"/>
      <c r="J1843" s="996"/>
      <c r="K1843" s="997"/>
      <c r="L1843" s="99"/>
      <c r="M1843" s="100"/>
    </row>
    <row r="1844" spans="4:13">
      <c r="E1844" s="603">
        <v>45625</v>
      </c>
      <c r="F1844" s="345">
        <v>2.3E-2</v>
      </c>
      <c r="G1844" s="345" t="s">
        <v>971</v>
      </c>
      <c r="H1844" s="345">
        <v>0.02</v>
      </c>
      <c r="I1844" s="995"/>
      <c r="J1844" s="996"/>
      <c r="K1844" s="997"/>
      <c r="L1844" s="99"/>
      <c r="M1844" s="100"/>
    </row>
    <row r="1845" spans="4:13">
      <c r="E1845" s="603">
        <v>45615</v>
      </c>
      <c r="F1845" s="345">
        <v>0.02</v>
      </c>
      <c r="G1845" s="345" t="s">
        <v>788</v>
      </c>
      <c r="H1845" s="345">
        <v>0.02</v>
      </c>
      <c r="I1845" s="995"/>
      <c r="J1845" s="996"/>
      <c r="K1845" s="997"/>
      <c r="L1845" s="99"/>
      <c r="M1845" s="100"/>
    </row>
    <row r="1846" spans="4:13">
      <c r="E1846" s="603">
        <v>45596</v>
      </c>
      <c r="F1846" s="345">
        <v>0.02</v>
      </c>
      <c r="G1846" s="345" t="s">
        <v>789</v>
      </c>
      <c r="H1846" s="345">
        <v>1.7000000000000001E-2</v>
      </c>
      <c r="I1846" s="995"/>
      <c r="J1846" s="996"/>
      <c r="K1846" s="997"/>
      <c r="L1846" s="101"/>
      <c r="M1846" s="100"/>
    </row>
    <row r="1847" spans="4:13">
      <c r="E1847" s="603">
        <v>45582</v>
      </c>
      <c r="F1847" s="345">
        <v>1.7000000000000001E-2</v>
      </c>
      <c r="G1847" s="345" t="s">
        <v>895</v>
      </c>
      <c r="H1847" s="345">
        <v>2.1999999999999999E-2</v>
      </c>
      <c r="I1847" s="995"/>
      <c r="J1847" s="996"/>
      <c r="K1847" s="997"/>
      <c r="L1847" s="99"/>
      <c r="M1847" s="100"/>
    </row>
    <row r="1848" spans="4:13">
      <c r="E1848" s="603">
        <v>45566</v>
      </c>
      <c r="F1848" s="345">
        <v>1.7999999999999999E-2</v>
      </c>
      <c r="G1848" s="345" t="s">
        <v>895</v>
      </c>
      <c r="H1848" s="345">
        <v>2.1999999999999999E-2</v>
      </c>
      <c r="I1848" s="995"/>
      <c r="J1848" s="996"/>
      <c r="K1848" s="997"/>
      <c r="L1848" s="99"/>
      <c r="M1848" s="100"/>
    </row>
    <row r="1849" spans="4:13" ht="20" thickBot="1">
      <c r="E1849" s="603">
        <v>45553</v>
      </c>
      <c r="F1849" s="345">
        <v>2.1999999999999999E-2</v>
      </c>
      <c r="G1849" s="345" t="s">
        <v>490</v>
      </c>
      <c r="H1849" s="345">
        <v>2.5999999999999999E-2</v>
      </c>
      <c r="I1849" s="998"/>
      <c r="J1849" s="999"/>
      <c r="K1849" s="1000"/>
      <c r="L1849" s="102"/>
      <c r="M1849" s="103"/>
    </row>
    <row r="1850" spans="4:13" ht="25" thickBot="1">
      <c r="D1850">
        <v>4</v>
      </c>
      <c r="E1850" s="598" t="s">
        <v>30</v>
      </c>
      <c r="F1850" s="1102" t="s">
        <v>9</v>
      </c>
      <c r="G1850" s="1103"/>
      <c r="H1850" s="1104"/>
      <c r="I1850" s="1131" t="s">
        <v>633</v>
      </c>
      <c r="J1850" s="1129"/>
      <c r="K1850" s="1130"/>
      <c r="L1850" s="158" t="s">
        <v>430</v>
      </c>
      <c r="M1850" s="105" t="s">
        <v>431</v>
      </c>
    </row>
    <row r="1851" spans="4:13">
      <c r="E1851" s="599" t="s">
        <v>432</v>
      </c>
      <c r="F1851" s="1105"/>
      <c r="G1851" s="1106"/>
      <c r="H1851" s="1107"/>
      <c r="I1851" s="995" t="s">
        <v>1266</v>
      </c>
      <c r="J1851" s="996"/>
      <c r="K1851" s="997"/>
      <c r="L1851" s="99"/>
      <c r="M1851" s="100"/>
    </row>
    <row r="1852" spans="4:13">
      <c r="E1852" s="600" t="s">
        <v>433</v>
      </c>
      <c r="F1852" s="1111"/>
      <c r="G1852" s="1112"/>
      <c r="H1852" s="1113"/>
      <c r="I1852" s="995"/>
      <c r="J1852" s="996"/>
      <c r="K1852" s="997"/>
      <c r="L1852" s="99"/>
      <c r="M1852" s="100"/>
    </row>
    <row r="1853" spans="4:13" ht="20" thickBot="1">
      <c r="E1853" s="600" t="s">
        <v>434</v>
      </c>
      <c r="F1853" s="1108" t="s">
        <v>1265</v>
      </c>
      <c r="G1853" s="1109"/>
      <c r="H1853" s="1110"/>
      <c r="I1853" s="995"/>
      <c r="J1853" s="996"/>
      <c r="K1853" s="997"/>
      <c r="L1853" s="99"/>
      <c r="M1853" s="100"/>
    </row>
    <row r="1854" spans="4:13" ht="20" thickBot="1">
      <c r="E1854" s="601" t="s">
        <v>435</v>
      </c>
      <c r="F1854" s="1114">
        <v>0.64583333333333337</v>
      </c>
      <c r="G1854" s="1115"/>
      <c r="H1854" s="1116"/>
      <c r="I1854" s="995"/>
      <c r="J1854" s="996"/>
      <c r="K1854" s="997"/>
      <c r="L1854" s="106">
        <v>0.875</v>
      </c>
      <c r="M1854" s="107">
        <v>0.72916666666666663</v>
      </c>
    </row>
    <row r="1855" spans="4:13" ht="20" thickBot="1">
      <c r="E1855" s="602" t="s">
        <v>436</v>
      </c>
      <c r="F1855" s="252" t="s">
        <v>29</v>
      </c>
      <c r="G1855" s="252" t="s">
        <v>28</v>
      </c>
      <c r="H1855" s="253" t="s">
        <v>27</v>
      </c>
      <c r="I1855" s="995"/>
      <c r="J1855" s="996"/>
      <c r="K1855" s="997"/>
      <c r="L1855" s="99"/>
      <c r="M1855" s="100"/>
    </row>
    <row r="1856" spans="4:13">
      <c r="E1856" s="603">
        <v>45637</v>
      </c>
      <c r="F1856" s="256" t="s">
        <v>1286</v>
      </c>
      <c r="G1856" s="256" t="s">
        <v>1287</v>
      </c>
      <c r="H1856" s="256" t="s">
        <v>1288</v>
      </c>
      <c r="I1856" s="995"/>
      <c r="J1856" s="996"/>
      <c r="K1856" s="997"/>
      <c r="L1856" s="99"/>
      <c r="M1856" s="100"/>
    </row>
    <row r="1857" spans="4:13">
      <c r="E1857" s="603">
        <v>45630</v>
      </c>
      <c r="F1857" s="256" t="s">
        <v>1288</v>
      </c>
      <c r="G1857" s="256" t="s">
        <v>1289</v>
      </c>
      <c r="H1857" s="256" t="s">
        <v>1290</v>
      </c>
      <c r="I1857" s="995"/>
      <c r="J1857" s="996"/>
      <c r="K1857" s="997"/>
      <c r="L1857" s="99"/>
      <c r="M1857" s="100"/>
    </row>
    <row r="1858" spans="4:13">
      <c r="E1858" s="603">
        <v>45623</v>
      </c>
      <c r="F1858" s="256" t="s">
        <v>1290</v>
      </c>
      <c r="G1858" s="256" t="s">
        <v>1291</v>
      </c>
      <c r="H1858" s="256" t="s">
        <v>1125</v>
      </c>
      <c r="I1858" s="995"/>
      <c r="J1858" s="996"/>
      <c r="K1858" s="997"/>
      <c r="L1858" s="101"/>
      <c r="M1858" s="100"/>
    </row>
    <row r="1859" spans="4:13">
      <c r="E1859" s="603">
        <v>45616</v>
      </c>
      <c r="F1859" s="256" t="s">
        <v>1125</v>
      </c>
      <c r="G1859" s="256" t="s">
        <v>1030</v>
      </c>
      <c r="H1859" s="256" t="s">
        <v>1029</v>
      </c>
      <c r="I1859" s="995"/>
      <c r="J1859" s="996"/>
      <c r="K1859" s="997"/>
      <c r="L1859" s="99"/>
      <c r="M1859" s="100"/>
    </row>
    <row r="1860" spans="4:13">
      <c r="E1860" s="603">
        <v>45610</v>
      </c>
      <c r="F1860" s="256" t="s">
        <v>1029</v>
      </c>
      <c r="G1860" s="256" t="s">
        <v>1030</v>
      </c>
      <c r="H1860" s="256" t="s">
        <v>988</v>
      </c>
      <c r="I1860" s="995"/>
      <c r="J1860" s="996"/>
      <c r="K1860" s="997"/>
      <c r="L1860" s="99"/>
      <c r="M1860" s="100"/>
    </row>
    <row r="1861" spans="4:13" ht="20" thickBot="1">
      <c r="E1861" s="603">
        <v>45602</v>
      </c>
      <c r="F1861" s="256" t="s">
        <v>988</v>
      </c>
      <c r="G1861" s="256" t="s">
        <v>989</v>
      </c>
      <c r="H1861" s="256" t="s">
        <v>990</v>
      </c>
      <c r="I1861" s="998"/>
      <c r="J1861" s="999"/>
      <c r="K1861" s="1000"/>
      <c r="L1861" s="102"/>
      <c r="M1861" s="103"/>
    </row>
    <row r="1862" spans="4:13" ht="25" thickBot="1">
      <c r="D1862">
        <v>5</v>
      </c>
      <c r="E1862" s="598" t="s">
        <v>30</v>
      </c>
      <c r="F1862" s="1102" t="s">
        <v>341</v>
      </c>
      <c r="G1862" s="1103"/>
      <c r="H1862" s="1104"/>
      <c r="I1862" s="1131" t="s">
        <v>633</v>
      </c>
      <c r="J1862" s="1129"/>
      <c r="K1862" s="1130"/>
      <c r="L1862" s="158" t="s">
        <v>430</v>
      </c>
      <c r="M1862" s="105" t="s">
        <v>431</v>
      </c>
    </row>
    <row r="1863" spans="4:13">
      <c r="E1863" s="599" t="s">
        <v>432</v>
      </c>
      <c r="F1863" s="1105"/>
      <c r="G1863" s="1106"/>
      <c r="H1863" s="1107"/>
      <c r="I1863" s="995" t="s">
        <v>1267</v>
      </c>
      <c r="J1863" s="996"/>
      <c r="K1863" s="997"/>
      <c r="L1863" s="99"/>
      <c r="M1863" s="100"/>
    </row>
    <row r="1864" spans="4:13">
      <c r="E1864" s="600" t="s">
        <v>433</v>
      </c>
      <c r="F1864" s="1111"/>
      <c r="G1864" s="1112"/>
      <c r="H1864" s="1113"/>
      <c r="I1864" s="995"/>
      <c r="J1864" s="996"/>
      <c r="K1864" s="997"/>
      <c r="L1864" s="99"/>
      <c r="M1864" s="100"/>
    </row>
    <row r="1865" spans="4:13" ht="20" thickBot="1">
      <c r="E1865" s="600" t="s">
        <v>434</v>
      </c>
      <c r="F1865" s="1108"/>
      <c r="G1865" s="1109"/>
      <c r="H1865" s="1110"/>
      <c r="I1865" s="995"/>
      <c r="J1865" s="996"/>
      <c r="K1865" s="997"/>
      <c r="L1865" s="99"/>
      <c r="M1865" s="100"/>
    </row>
    <row r="1866" spans="4:13" ht="20" thickBot="1">
      <c r="E1866" s="601" t="s">
        <v>435</v>
      </c>
      <c r="F1866" s="1144">
        <v>0.79166666666666663</v>
      </c>
      <c r="G1866" s="1145"/>
      <c r="H1866" s="1146"/>
      <c r="I1866" s="995"/>
      <c r="J1866" s="996"/>
      <c r="K1866" s="997"/>
      <c r="L1866" s="106">
        <v>2.0833333333333332E-2</v>
      </c>
      <c r="M1866" s="107">
        <v>-0.125</v>
      </c>
    </row>
    <row r="1867" spans="4:13" ht="20" thickBot="1">
      <c r="E1867" s="602" t="s">
        <v>436</v>
      </c>
      <c r="F1867" s="252" t="s">
        <v>29</v>
      </c>
      <c r="G1867" s="252" t="s">
        <v>28</v>
      </c>
      <c r="H1867" s="253" t="s">
        <v>27</v>
      </c>
      <c r="I1867" s="995"/>
      <c r="J1867" s="996"/>
      <c r="K1867" s="997"/>
      <c r="L1867" s="99"/>
      <c r="M1867" s="100"/>
    </row>
    <row r="1868" spans="4:13" ht="18">
      <c r="E1868" s="603">
        <v>45553</v>
      </c>
      <c r="F1868" s="256"/>
      <c r="G1868" s="256"/>
      <c r="H1868" s="256"/>
      <c r="I1868" s="995"/>
      <c r="J1868" s="996"/>
      <c r="K1868" s="997"/>
      <c r="L1868" s="99"/>
      <c r="M1868" s="100"/>
    </row>
    <row r="1869" spans="4:13" ht="18">
      <c r="E1869" s="603">
        <v>45455</v>
      </c>
      <c r="F1869" s="256"/>
      <c r="G1869" s="256"/>
      <c r="H1869" s="256"/>
      <c r="I1869" s="995"/>
      <c r="J1869" s="996"/>
      <c r="K1869" s="997"/>
      <c r="L1869" s="99"/>
      <c r="M1869" s="100"/>
    </row>
    <row r="1870" spans="4:13" ht="18">
      <c r="E1870" s="603">
        <v>45371</v>
      </c>
      <c r="F1870" s="256"/>
      <c r="G1870" s="256"/>
      <c r="H1870" s="256"/>
      <c r="I1870" s="995"/>
      <c r="J1870" s="996"/>
      <c r="K1870" s="997"/>
      <c r="L1870" s="101"/>
      <c r="M1870" s="100"/>
    </row>
    <row r="1871" spans="4:13" ht="18">
      <c r="E1871" s="603">
        <v>45273</v>
      </c>
      <c r="F1871" s="256"/>
      <c r="G1871" s="256"/>
      <c r="H1871" s="256"/>
      <c r="I1871" s="995"/>
      <c r="J1871" s="996"/>
      <c r="K1871" s="997"/>
      <c r="L1871" s="99"/>
      <c r="M1871" s="100"/>
    </row>
    <row r="1872" spans="4:13" ht="18">
      <c r="E1872" s="603">
        <v>45189</v>
      </c>
      <c r="F1872" s="256"/>
      <c r="G1872" s="256"/>
      <c r="H1872" s="256"/>
      <c r="I1872" s="995"/>
      <c r="J1872" s="996"/>
      <c r="K1872" s="997"/>
      <c r="L1872" s="99"/>
      <c r="M1872" s="100"/>
    </row>
    <row r="1873" spans="4:13" thickBot="1">
      <c r="E1873" s="603">
        <v>45091</v>
      </c>
      <c r="F1873" s="256"/>
      <c r="G1873" s="256"/>
      <c r="H1873" s="256"/>
      <c r="I1873" s="998"/>
      <c r="J1873" s="999"/>
      <c r="K1873" s="1000"/>
      <c r="L1873" s="102"/>
      <c r="M1873" s="103"/>
    </row>
    <row r="1874" spans="4:13" ht="25" thickBot="1">
      <c r="D1874">
        <v>5</v>
      </c>
      <c r="E1874" s="598" t="s">
        <v>30</v>
      </c>
      <c r="F1874" s="1102" t="s">
        <v>127</v>
      </c>
      <c r="G1874" s="1103"/>
      <c r="H1874" s="1104"/>
      <c r="I1874" s="1131" t="s">
        <v>633</v>
      </c>
      <c r="J1874" s="1129"/>
      <c r="K1874" s="1130"/>
      <c r="L1874" s="158" t="s">
        <v>430</v>
      </c>
      <c r="M1874" s="105" t="s">
        <v>431</v>
      </c>
    </row>
    <row r="1875" spans="4:13">
      <c r="E1875" s="599" t="s">
        <v>432</v>
      </c>
      <c r="F1875" s="1105"/>
      <c r="G1875" s="1106"/>
      <c r="H1875" s="1107"/>
      <c r="I1875" s="995" t="s">
        <v>1267</v>
      </c>
      <c r="J1875" s="996"/>
      <c r="K1875" s="997"/>
      <c r="L1875" s="99"/>
      <c r="M1875" s="100"/>
    </row>
    <row r="1876" spans="4:13">
      <c r="E1876" s="600" t="s">
        <v>433</v>
      </c>
      <c r="F1876" s="1111">
        <v>4.3799999999999999E-2</v>
      </c>
      <c r="G1876" s="1112"/>
      <c r="H1876" s="1113"/>
      <c r="I1876" s="995"/>
      <c r="J1876" s="996"/>
      <c r="K1876" s="997"/>
      <c r="L1876" s="99"/>
      <c r="M1876" s="100"/>
    </row>
    <row r="1877" spans="4:13" ht="20" thickBot="1">
      <c r="E1877" s="600" t="s">
        <v>434</v>
      </c>
      <c r="F1877" s="1111">
        <v>4.6199999999999998E-2</v>
      </c>
      <c r="G1877" s="1112"/>
      <c r="H1877" s="1113"/>
      <c r="I1877" s="995"/>
      <c r="J1877" s="996"/>
      <c r="K1877" s="997"/>
      <c r="L1877" s="99"/>
      <c r="M1877" s="100"/>
    </row>
    <row r="1878" spans="4:13" ht="20" thickBot="1">
      <c r="E1878" s="601" t="s">
        <v>435</v>
      </c>
      <c r="F1878" s="1144">
        <v>0.79166666666666663</v>
      </c>
      <c r="G1878" s="1145"/>
      <c r="H1878" s="1146"/>
      <c r="I1878" s="995"/>
      <c r="J1878" s="996"/>
      <c r="K1878" s="997"/>
      <c r="L1878" s="106">
        <v>2.0833333333333332E-2</v>
      </c>
      <c r="M1878" s="107">
        <v>-0.125</v>
      </c>
    </row>
    <row r="1879" spans="4:13" ht="20" thickBot="1">
      <c r="E1879" s="602" t="s">
        <v>436</v>
      </c>
      <c r="F1879" s="252" t="s">
        <v>29</v>
      </c>
      <c r="G1879" s="252" t="s">
        <v>28</v>
      </c>
      <c r="H1879" s="253" t="s">
        <v>27</v>
      </c>
      <c r="I1879" s="995"/>
      <c r="J1879" s="996"/>
      <c r="K1879" s="997"/>
      <c r="L1879" s="99"/>
      <c r="M1879" s="100"/>
    </row>
    <row r="1880" spans="4:13">
      <c r="E1880" s="603">
        <v>45603</v>
      </c>
      <c r="F1880" s="345">
        <v>4.7500000000000001E-2</v>
      </c>
      <c r="G1880" s="345" t="s">
        <v>726</v>
      </c>
      <c r="H1880" s="345">
        <v>0.05</v>
      </c>
      <c r="I1880" s="995"/>
      <c r="J1880" s="996"/>
      <c r="K1880" s="997"/>
      <c r="L1880" s="99"/>
      <c r="M1880" s="100"/>
    </row>
    <row r="1881" spans="4:13">
      <c r="E1881" s="603">
        <v>45553</v>
      </c>
      <c r="F1881" s="345">
        <v>0.05</v>
      </c>
      <c r="G1881" s="345" t="s">
        <v>940</v>
      </c>
      <c r="H1881" s="345">
        <v>5.5E-2</v>
      </c>
      <c r="I1881" s="995"/>
      <c r="J1881" s="996"/>
      <c r="K1881" s="997"/>
      <c r="L1881" s="99"/>
      <c r="M1881" s="100"/>
    </row>
    <row r="1882" spans="4:13">
      <c r="E1882" s="603">
        <v>45504</v>
      </c>
      <c r="F1882" s="345">
        <v>5.5E-2</v>
      </c>
      <c r="G1882" s="345" t="s">
        <v>942</v>
      </c>
      <c r="H1882" s="345">
        <v>5.5E-2</v>
      </c>
      <c r="I1882" s="995"/>
      <c r="J1882" s="996"/>
      <c r="K1882" s="997"/>
      <c r="L1882" s="101"/>
      <c r="M1882" s="100"/>
    </row>
    <row r="1883" spans="4:13">
      <c r="E1883" s="603">
        <v>45455</v>
      </c>
      <c r="F1883" s="345">
        <v>5.5E-2</v>
      </c>
      <c r="G1883" s="345" t="s">
        <v>942</v>
      </c>
      <c r="H1883" s="345">
        <v>5.5E-2</v>
      </c>
      <c r="I1883" s="995"/>
      <c r="J1883" s="996"/>
      <c r="K1883" s="997"/>
      <c r="L1883" s="99"/>
      <c r="M1883" s="100"/>
    </row>
    <row r="1884" spans="4:13">
      <c r="E1884" s="603">
        <v>45413</v>
      </c>
      <c r="F1884" s="345">
        <v>5.5E-2</v>
      </c>
      <c r="G1884" s="345" t="s">
        <v>942</v>
      </c>
      <c r="H1884" s="345">
        <v>5.5E-2</v>
      </c>
      <c r="I1884" s="995"/>
      <c r="J1884" s="996"/>
      <c r="K1884" s="997"/>
      <c r="L1884" s="99"/>
      <c r="M1884" s="100"/>
    </row>
    <row r="1885" spans="4:13" ht="20" thickBot="1">
      <c r="E1885" s="603">
        <v>45371</v>
      </c>
      <c r="F1885" s="345">
        <v>5.5E-2</v>
      </c>
      <c r="G1885" s="345" t="s">
        <v>942</v>
      </c>
      <c r="H1885" s="345">
        <v>5.5E-2</v>
      </c>
      <c r="I1885" s="998"/>
      <c r="J1885" s="999"/>
      <c r="K1885" s="1000"/>
      <c r="L1885" s="102"/>
      <c r="M1885" s="103"/>
    </row>
    <row r="1886" spans="4:13" ht="25" thickBot="1">
      <c r="D1886">
        <v>5</v>
      </c>
      <c r="E1886" s="598" t="s">
        <v>30</v>
      </c>
      <c r="F1886" s="1102" t="s">
        <v>129</v>
      </c>
      <c r="G1886" s="1103"/>
      <c r="H1886" s="1104"/>
      <c r="I1886" s="1131" t="s">
        <v>633</v>
      </c>
      <c r="J1886" s="1129"/>
      <c r="K1886" s="1130"/>
      <c r="L1886" s="158" t="s">
        <v>430</v>
      </c>
      <c r="M1886" s="105" t="s">
        <v>431</v>
      </c>
    </row>
    <row r="1887" spans="4:13">
      <c r="E1887" s="599" t="s">
        <v>432</v>
      </c>
      <c r="F1887" s="1105"/>
      <c r="G1887" s="1106"/>
      <c r="H1887" s="1107"/>
      <c r="I1887" s="995" t="s">
        <v>1267</v>
      </c>
      <c r="J1887" s="996"/>
      <c r="K1887" s="997"/>
      <c r="L1887" s="99"/>
      <c r="M1887" s="100"/>
    </row>
    <row r="1888" spans="4:13">
      <c r="E1888" s="600" t="s">
        <v>433</v>
      </c>
      <c r="F1888" s="1111"/>
      <c r="G1888" s="1112"/>
      <c r="H1888" s="1113"/>
      <c r="I1888" s="995"/>
      <c r="J1888" s="996"/>
      <c r="K1888" s="997"/>
      <c r="L1888" s="99"/>
      <c r="M1888" s="100"/>
    </row>
    <row r="1889" spans="4:13" ht="20" thickBot="1">
      <c r="E1889" s="600" t="s">
        <v>434</v>
      </c>
      <c r="F1889" s="1111"/>
      <c r="G1889" s="1112"/>
      <c r="H1889" s="1113"/>
      <c r="I1889" s="995"/>
      <c r="J1889" s="996"/>
      <c r="K1889" s="997"/>
      <c r="L1889" s="99"/>
      <c r="M1889" s="100"/>
    </row>
    <row r="1890" spans="4:13" ht="20" thickBot="1">
      <c r="E1890" s="601" t="s">
        <v>435</v>
      </c>
      <c r="F1890" s="1144">
        <v>0.8125</v>
      </c>
      <c r="G1890" s="1145"/>
      <c r="H1890" s="1146"/>
      <c r="I1890" s="995"/>
      <c r="J1890" s="996"/>
      <c r="K1890" s="997"/>
      <c r="L1890" s="106">
        <v>4.1666666666666664E-2</v>
      </c>
      <c r="M1890" s="107">
        <v>-0.10416666666666669</v>
      </c>
    </row>
    <row r="1891" spans="4:13" ht="20" thickBot="1">
      <c r="E1891" s="602" t="s">
        <v>436</v>
      </c>
      <c r="F1891" s="252" t="s">
        <v>29</v>
      </c>
      <c r="G1891" s="252" t="s">
        <v>28</v>
      </c>
      <c r="H1891" s="253" t="s">
        <v>27</v>
      </c>
      <c r="I1891" s="995"/>
      <c r="J1891" s="996"/>
      <c r="K1891" s="997"/>
      <c r="L1891" s="99"/>
      <c r="M1891" s="100"/>
    </row>
    <row r="1892" spans="4:13" ht="18">
      <c r="E1892" s="603">
        <v>45603</v>
      </c>
      <c r="F1892" s="345"/>
      <c r="G1892" s="345"/>
      <c r="H1892" s="345"/>
      <c r="I1892" s="995"/>
      <c r="J1892" s="996"/>
      <c r="K1892" s="997"/>
      <c r="L1892" s="99"/>
      <c r="M1892" s="100"/>
    </row>
    <row r="1893" spans="4:13" ht="18">
      <c r="E1893" s="603">
        <v>45553</v>
      </c>
      <c r="F1893" s="345"/>
      <c r="G1893" s="345"/>
      <c r="H1893" s="345"/>
      <c r="I1893" s="995"/>
      <c r="J1893" s="996"/>
      <c r="K1893" s="997"/>
      <c r="L1893" s="99"/>
      <c r="M1893" s="100"/>
    </row>
    <row r="1894" spans="4:13" ht="18">
      <c r="E1894" s="603">
        <v>45504</v>
      </c>
      <c r="F1894" s="345"/>
      <c r="G1894" s="345"/>
      <c r="H1894" s="345"/>
      <c r="I1894" s="995"/>
      <c r="J1894" s="996"/>
      <c r="K1894" s="997"/>
      <c r="L1894" s="101"/>
      <c r="M1894" s="100"/>
    </row>
    <row r="1895" spans="4:13" ht="18">
      <c r="E1895" s="603">
        <v>45455</v>
      </c>
      <c r="F1895" s="345"/>
      <c r="G1895" s="345"/>
      <c r="H1895" s="345"/>
      <c r="I1895" s="995"/>
      <c r="J1895" s="996"/>
      <c r="K1895" s="997"/>
      <c r="L1895" s="99"/>
      <c r="M1895" s="100"/>
    </row>
    <row r="1896" spans="4:13" ht="18">
      <c r="E1896" s="603">
        <v>45413</v>
      </c>
      <c r="F1896" s="345"/>
      <c r="G1896" s="345"/>
      <c r="H1896" s="345"/>
      <c r="I1896" s="995"/>
      <c r="J1896" s="996"/>
      <c r="K1896" s="997"/>
      <c r="L1896" s="99"/>
      <c r="M1896" s="100"/>
    </row>
    <row r="1897" spans="4:13" thickBot="1">
      <c r="E1897" s="603">
        <v>45371</v>
      </c>
      <c r="F1897" s="345"/>
      <c r="G1897" s="345"/>
      <c r="H1897" s="345"/>
      <c r="I1897" s="998"/>
      <c r="J1897" s="999"/>
      <c r="K1897" s="1000"/>
      <c r="L1897" s="102"/>
      <c r="M1897" s="103"/>
    </row>
    <row r="1898" spans="4:13" ht="25" thickBot="1">
      <c r="D1898">
        <v>6</v>
      </c>
      <c r="E1898" s="598" t="s">
        <v>30</v>
      </c>
      <c r="F1898" s="1102" t="s">
        <v>118</v>
      </c>
      <c r="G1898" s="1103"/>
      <c r="H1898" s="1104"/>
      <c r="I1898" s="1131" t="s">
        <v>633</v>
      </c>
      <c r="J1898" s="1129"/>
      <c r="K1898" s="1130"/>
      <c r="L1898" s="158" t="s">
        <v>430</v>
      </c>
      <c r="M1898" s="105" t="s">
        <v>431</v>
      </c>
    </row>
    <row r="1899" spans="4:13">
      <c r="E1899" s="599" t="s">
        <v>432</v>
      </c>
      <c r="F1899" s="1105"/>
      <c r="G1899" s="1106"/>
      <c r="H1899" s="1107"/>
      <c r="I1899" s="995" t="s">
        <v>1268</v>
      </c>
      <c r="J1899" s="996"/>
      <c r="K1899" s="997"/>
      <c r="L1899" s="99"/>
      <c r="M1899" s="100"/>
    </row>
    <row r="1900" spans="4:13">
      <c r="E1900" s="600" t="s">
        <v>433</v>
      </c>
      <c r="F1900" s="1111">
        <v>2.5000000000000001E-3</v>
      </c>
      <c r="G1900" s="1112"/>
      <c r="H1900" s="1113"/>
      <c r="I1900" s="995"/>
      <c r="J1900" s="996"/>
      <c r="K1900" s="997"/>
      <c r="L1900" s="99"/>
      <c r="M1900" s="100"/>
    </row>
    <row r="1901" spans="4:13" ht="20" thickBot="1">
      <c r="E1901" s="600" t="s">
        <v>434</v>
      </c>
      <c r="F1901" s="1111">
        <v>2.5000000000000001E-3</v>
      </c>
      <c r="G1901" s="1112"/>
      <c r="H1901" s="1113"/>
      <c r="I1901" s="995"/>
      <c r="J1901" s="996"/>
      <c r="K1901" s="997"/>
      <c r="L1901" s="99"/>
      <c r="M1901" s="100"/>
    </row>
    <row r="1902" spans="4:13" ht="20" thickBot="1">
      <c r="E1902" s="601" t="s">
        <v>435</v>
      </c>
      <c r="F1902" s="1114">
        <v>0.12500000000000003</v>
      </c>
      <c r="G1902" s="1115"/>
      <c r="H1902" s="1116"/>
      <c r="I1902" s="995"/>
      <c r="J1902" s="996"/>
      <c r="K1902" s="997"/>
      <c r="L1902" s="106">
        <v>0.35416666666666669</v>
      </c>
      <c r="M1902" s="107">
        <v>0.20833333333333334</v>
      </c>
    </row>
    <row r="1903" spans="4:13" ht="20" thickBot="1">
      <c r="E1903" s="602" t="s">
        <v>436</v>
      </c>
      <c r="F1903" s="252" t="s">
        <v>29</v>
      </c>
      <c r="G1903" s="252" t="s">
        <v>28</v>
      </c>
      <c r="H1903" s="253" t="s">
        <v>27</v>
      </c>
      <c r="I1903" s="995"/>
      <c r="J1903" s="996"/>
      <c r="K1903" s="997"/>
      <c r="L1903" s="99"/>
      <c r="M1903" s="100"/>
    </row>
    <row r="1904" spans="4:13">
      <c r="E1904" s="603">
        <v>45596</v>
      </c>
      <c r="F1904" s="345">
        <v>2.5000000000000001E-3</v>
      </c>
      <c r="G1904" s="345" t="s">
        <v>892</v>
      </c>
      <c r="H1904" s="345">
        <v>2.5000000000000001E-3</v>
      </c>
      <c r="I1904" s="995"/>
      <c r="J1904" s="996"/>
      <c r="K1904" s="997"/>
      <c r="L1904" s="99"/>
      <c r="M1904" s="100"/>
    </row>
    <row r="1905" spans="4:13">
      <c r="E1905" s="603">
        <v>45555</v>
      </c>
      <c r="F1905" s="345">
        <v>2.5000000000000001E-3</v>
      </c>
      <c r="G1905" s="345" t="s">
        <v>892</v>
      </c>
      <c r="H1905" s="345">
        <v>2.5000000000000001E-3</v>
      </c>
      <c r="I1905" s="995"/>
      <c r="J1905" s="996"/>
      <c r="K1905" s="997"/>
      <c r="L1905" s="99"/>
      <c r="M1905" s="100"/>
    </row>
    <row r="1906" spans="4:13">
      <c r="E1906" s="603">
        <v>45504</v>
      </c>
      <c r="F1906" s="345">
        <v>2.5000000000000001E-3</v>
      </c>
      <c r="G1906" s="345" t="s">
        <v>893</v>
      </c>
      <c r="H1906" s="345">
        <v>1E-3</v>
      </c>
      <c r="I1906" s="995"/>
      <c r="J1906" s="996"/>
      <c r="K1906" s="997"/>
      <c r="L1906" s="101"/>
      <c r="M1906" s="100"/>
    </row>
    <row r="1907" spans="4:13">
      <c r="E1907" s="603">
        <v>45457</v>
      </c>
      <c r="F1907" s="345">
        <v>1E-3</v>
      </c>
      <c r="G1907" s="345" t="s">
        <v>893</v>
      </c>
      <c r="H1907" s="345">
        <v>1E-3</v>
      </c>
      <c r="I1907" s="995"/>
      <c r="J1907" s="996"/>
      <c r="K1907" s="997"/>
      <c r="L1907" s="99"/>
      <c r="M1907" s="100"/>
    </row>
    <row r="1908" spans="4:13">
      <c r="E1908" s="603">
        <v>45408</v>
      </c>
      <c r="F1908" s="345">
        <v>1E-3</v>
      </c>
      <c r="G1908" s="345" t="s">
        <v>893</v>
      </c>
      <c r="H1908" s="345">
        <v>1E-3</v>
      </c>
      <c r="I1908" s="995"/>
      <c r="J1908" s="996"/>
      <c r="K1908" s="997"/>
      <c r="L1908" s="99"/>
      <c r="M1908" s="100"/>
    </row>
    <row r="1909" spans="4:13" ht="20" thickBot="1">
      <c r="E1909" s="603">
        <v>45370</v>
      </c>
      <c r="F1909" s="345">
        <v>1E-3</v>
      </c>
      <c r="G1909" s="345" t="s">
        <v>893</v>
      </c>
      <c r="H1909" s="345">
        <v>-1E-3</v>
      </c>
      <c r="I1909" s="998"/>
      <c r="J1909" s="999"/>
      <c r="K1909" s="1000"/>
      <c r="L1909" s="102"/>
      <c r="M1909" s="103"/>
    </row>
    <row r="1910" spans="4:13" ht="25" thickBot="1">
      <c r="D1910" s="88" t="s">
        <v>105</v>
      </c>
      <c r="E1910" s="598" t="s">
        <v>30</v>
      </c>
      <c r="F1910" s="1102" t="s">
        <v>1269</v>
      </c>
      <c r="G1910" s="1103"/>
      <c r="H1910" s="1104"/>
      <c r="I1910" s="1131" t="s">
        <v>633</v>
      </c>
      <c r="J1910" s="1129"/>
      <c r="K1910" s="1130"/>
      <c r="L1910" s="158" t="s">
        <v>430</v>
      </c>
      <c r="M1910" s="105" t="s">
        <v>431</v>
      </c>
    </row>
    <row r="1911" spans="4:13">
      <c r="D1911" s="89"/>
      <c r="E1911" s="599" t="s">
        <v>432</v>
      </c>
      <c r="F1911" s="1105"/>
      <c r="G1911" s="1106"/>
      <c r="H1911" s="1107"/>
      <c r="I1911" s="995" t="s">
        <v>1270</v>
      </c>
      <c r="J1911" s="996"/>
      <c r="K1911" s="997"/>
      <c r="L1911" s="99"/>
      <c r="M1911" s="100"/>
    </row>
    <row r="1912" spans="4:13">
      <c r="D1912" s="89"/>
      <c r="E1912" s="600" t="s">
        <v>433</v>
      </c>
      <c r="F1912" s="1111">
        <v>4.7500000000000001E-2</v>
      </c>
      <c r="G1912" s="1112"/>
      <c r="H1912" s="1113"/>
      <c r="I1912" s="995"/>
      <c r="J1912" s="996"/>
      <c r="K1912" s="997"/>
      <c r="L1912" s="99"/>
      <c r="M1912" s="100"/>
    </row>
    <row r="1913" spans="4:13" ht="20" thickBot="1">
      <c r="D1913" s="89"/>
      <c r="E1913" s="600" t="s">
        <v>434</v>
      </c>
      <c r="F1913" s="1111">
        <v>4.7500000000000001E-2</v>
      </c>
      <c r="G1913" s="1112"/>
      <c r="H1913" s="1113"/>
      <c r="I1913" s="995"/>
      <c r="J1913" s="996"/>
      <c r="K1913" s="997"/>
      <c r="L1913" s="99"/>
      <c r="M1913" s="100"/>
    </row>
    <row r="1914" spans="4:13" ht="20" thickBot="1">
      <c r="D1914" s="89"/>
      <c r="E1914" s="601" t="s">
        <v>435</v>
      </c>
      <c r="F1914" s="1114">
        <v>0.5</v>
      </c>
      <c r="G1914" s="1115"/>
      <c r="H1914" s="1116"/>
      <c r="I1914" s="995"/>
      <c r="J1914" s="996"/>
      <c r="K1914" s="997"/>
      <c r="L1914" s="106">
        <v>0.72916666666666663</v>
      </c>
      <c r="M1914" s="107">
        <v>0.58333333333333326</v>
      </c>
    </row>
    <row r="1915" spans="4:13" ht="20" thickBot="1">
      <c r="D1915" s="89"/>
      <c r="E1915" s="602" t="s">
        <v>436</v>
      </c>
      <c r="F1915" s="252" t="s">
        <v>29</v>
      </c>
      <c r="G1915" s="252" t="s">
        <v>28</v>
      </c>
      <c r="H1915" s="253" t="s">
        <v>27</v>
      </c>
      <c r="I1915" s="995"/>
      <c r="J1915" s="996"/>
      <c r="K1915" s="997"/>
      <c r="L1915" s="99"/>
      <c r="M1915" s="100"/>
    </row>
    <row r="1916" spans="4:13">
      <c r="D1916" s="89"/>
      <c r="E1916" s="603">
        <v>45603</v>
      </c>
      <c r="F1916" s="610">
        <v>4.7500000000000001E-2</v>
      </c>
      <c r="G1916" s="610" t="s">
        <v>726</v>
      </c>
      <c r="H1916" s="610">
        <v>0.05</v>
      </c>
      <c r="I1916" s="995"/>
      <c r="J1916" s="996"/>
      <c r="K1916" s="997"/>
      <c r="L1916" s="99"/>
      <c r="M1916" s="100"/>
    </row>
    <row r="1917" spans="4:13">
      <c r="D1917" s="89"/>
      <c r="E1917" s="603">
        <v>45554</v>
      </c>
      <c r="F1917" s="610">
        <v>0.05</v>
      </c>
      <c r="G1917" s="610" t="s">
        <v>728</v>
      </c>
      <c r="H1917" s="610">
        <v>0.05</v>
      </c>
      <c r="I1917" s="995"/>
      <c r="J1917" s="996"/>
      <c r="K1917" s="997"/>
      <c r="L1917" s="99"/>
      <c r="M1917" s="100"/>
    </row>
    <row r="1918" spans="4:13">
      <c r="D1918" s="89"/>
      <c r="E1918" s="603">
        <v>45505</v>
      </c>
      <c r="F1918" s="610">
        <v>0.05</v>
      </c>
      <c r="G1918" s="610" t="s">
        <v>728</v>
      </c>
      <c r="H1918" s="610">
        <v>5.2499999999999998E-2</v>
      </c>
      <c r="I1918" s="995"/>
      <c r="J1918" s="996"/>
      <c r="K1918" s="997"/>
      <c r="L1918" s="101"/>
      <c r="M1918" s="100"/>
    </row>
    <row r="1919" spans="4:13">
      <c r="D1919" s="89"/>
      <c r="E1919" s="603">
        <v>45463</v>
      </c>
      <c r="F1919" s="610">
        <v>5.2499999999999998E-2</v>
      </c>
      <c r="G1919" s="610" t="s">
        <v>940</v>
      </c>
      <c r="H1919" s="610">
        <v>5.2499999999999998E-2</v>
      </c>
      <c r="I1919" s="995"/>
      <c r="J1919" s="996"/>
      <c r="K1919" s="997"/>
      <c r="L1919" s="99"/>
      <c r="M1919" s="100"/>
    </row>
    <row r="1920" spans="4:13">
      <c r="D1920" s="89"/>
      <c r="E1920" s="603">
        <v>45421</v>
      </c>
      <c r="F1920" s="610">
        <v>5.2499999999999998E-2</v>
      </c>
      <c r="G1920" s="610" t="s">
        <v>940</v>
      </c>
      <c r="H1920" s="610">
        <v>5.2499999999999998E-2</v>
      </c>
      <c r="I1920" s="995"/>
      <c r="J1920" s="996"/>
      <c r="K1920" s="997"/>
      <c r="L1920" s="99"/>
      <c r="M1920" s="100"/>
    </row>
    <row r="1921" spans="4:13" ht="20" thickBot="1">
      <c r="D1921" s="89"/>
      <c r="E1921" s="603">
        <v>45372</v>
      </c>
      <c r="F1921" s="610">
        <v>5.2499999999999998E-2</v>
      </c>
      <c r="G1921" s="610" t="s">
        <v>940</v>
      </c>
      <c r="H1921" s="610">
        <v>5.2499999999999998E-2</v>
      </c>
      <c r="I1921" s="998"/>
      <c r="J1921" s="999"/>
      <c r="K1921" s="1000"/>
      <c r="L1921" s="102"/>
      <c r="M1921" s="103"/>
    </row>
    <row r="1922" spans="4:13" ht="25" thickBot="1">
      <c r="D1922">
        <v>7</v>
      </c>
      <c r="E1922" s="598" t="s">
        <v>30</v>
      </c>
      <c r="F1922" s="1102" t="s">
        <v>1271</v>
      </c>
      <c r="G1922" s="1103"/>
      <c r="H1922" s="1104"/>
      <c r="I1922" s="1131" t="s">
        <v>633</v>
      </c>
      <c r="J1922" s="1129"/>
      <c r="K1922" s="1130"/>
      <c r="L1922" s="158" t="s">
        <v>430</v>
      </c>
      <c r="M1922" s="105" t="s">
        <v>431</v>
      </c>
    </row>
    <row r="1923" spans="4:13">
      <c r="D1923" s="89"/>
      <c r="E1923" s="599" t="s">
        <v>432</v>
      </c>
      <c r="F1923" s="1105"/>
      <c r="G1923" s="1106"/>
      <c r="H1923" s="1107"/>
      <c r="I1923" s="995" t="s">
        <v>1272</v>
      </c>
      <c r="J1923" s="996"/>
      <c r="K1923" s="997"/>
      <c r="L1923" s="99"/>
      <c r="M1923" s="100"/>
    </row>
    <row r="1924" spans="4:13">
      <c r="D1924" s="89"/>
      <c r="E1924" s="600" t="s">
        <v>433</v>
      </c>
      <c r="F1924" s="1111">
        <v>2.8000000000000001E-2</v>
      </c>
      <c r="G1924" s="1112"/>
      <c r="H1924" s="1113"/>
      <c r="I1924" s="995"/>
      <c r="J1924" s="996"/>
      <c r="K1924" s="997"/>
      <c r="L1924" s="99"/>
      <c r="M1924" s="100"/>
    </row>
    <row r="1925" spans="4:13" ht="20" thickBot="1">
      <c r="D1925" s="89"/>
      <c r="E1925" s="600" t="s">
        <v>434</v>
      </c>
      <c r="F1925" s="1111">
        <v>2.8000000000000001E-2</v>
      </c>
      <c r="G1925" s="1112"/>
      <c r="H1925" s="1113"/>
      <c r="I1925" s="995"/>
      <c r="J1925" s="996"/>
      <c r="K1925" s="997"/>
      <c r="L1925" s="99"/>
      <c r="M1925" s="100"/>
    </row>
    <row r="1926" spans="4:13" ht="20" thickBot="1">
      <c r="D1926" s="89"/>
      <c r="E1926" s="601" t="s">
        <v>435</v>
      </c>
      <c r="F1926" s="1114">
        <v>0.5625</v>
      </c>
      <c r="G1926" s="1115"/>
      <c r="H1926" s="1116"/>
      <c r="I1926" s="995"/>
      <c r="J1926" s="996"/>
      <c r="K1926" s="997"/>
      <c r="L1926" s="106">
        <v>0.79166666666666663</v>
      </c>
      <c r="M1926" s="107">
        <v>0.64583333333333326</v>
      </c>
    </row>
    <row r="1927" spans="4:13" ht="20" thickBot="1">
      <c r="D1927" s="89"/>
      <c r="E1927" s="602" t="s">
        <v>436</v>
      </c>
      <c r="F1927" s="252" t="s">
        <v>29</v>
      </c>
      <c r="G1927" s="252" t="s">
        <v>28</v>
      </c>
      <c r="H1927" s="253" t="s">
        <v>27</v>
      </c>
      <c r="I1927" s="995"/>
      <c r="J1927" s="996"/>
      <c r="K1927" s="997"/>
      <c r="L1927" s="99"/>
      <c r="M1927" s="100"/>
    </row>
    <row r="1928" spans="4:13">
      <c r="D1928" s="89"/>
      <c r="E1928" s="603">
        <v>45623</v>
      </c>
      <c r="F1928" s="610">
        <v>2.8000000000000001E-2</v>
      </c>
      <c r="G1928" s="610" t="s">
        <v>666</v>
      </c>
      <c r="H1928" s="610">
        <v>0.03</v>
      </c>
      <c r="I1928" s="995"/>
      <c r="J1928" s="996"/>
      <c r="K1928" s="997"/>
      <c r="L1928" s="99"/>
      <c r="M1928" s="100"/>
    </row>
    <row r="1929" spans="4:13">
      <c r="D1929" s="89"/>
      <c r="E1929" s="603">
        <v>45595</v>
      </c>
      <c r="F1929" s="610">
        <v>2.8000000000000001E-2</v>
      </c>
      <c r="G1929" s="610" t="s">
        <v>669</v>
      </c>
      <c r="H1929" s="610">
        <v>0.03</v>
      </c>
      <c r="I1929" s="995"/>
      <c r="J1929" s="996"/>
      <c r="K1929" s="997"/>
      <c r="L1929" s="99"/>
      <c r="M1929" s="100"/>
    </row>
    <row r="1930" spans="4:13">
      <c r="D1930" s="89"/>
      <c r="E1930" s="603">
        <v>45561</v>
      </c>
      <c r="F1930" s="610">
        <v>0.03</v>
      </c>
      <c r="G1930" s="610" t="s">
        <v>669</v>
      </c>
      <c r="H1930" s="610">
        <v>1.6E-2</v>
      </c>
      <c r="I1930" s="995"/>
      <c r="J1930" s="996"/>
      <c r="K1930" s="997"/>
      <c r="L1930" s="101"/>
      <c r="M1930" s="100"/>
    </row>
    <row r="1931" spans="4:13">
      <c r="D1931" s="89"/>
      <c r="E1931" s="603">
        <v>45533</v>
      </c>
      <c r="F1931" s="610">
        <v>0.03</v>
      </c>
      <c r="G1931" s="610" t="s">
        <v>666</v>
      </c>
      <c r="H1931" s="610">
        <v>1.4E-2</v>
      </c>
      <c r="I1931" s="995"/>
      <c r="J1931" s="996"/>
      <c r="K1931" s="997"/>
      <c r="L1931" s="99"/>
      <c r="M1931" s="100"/>
    </row>
    <row r="1932" spans="4:13">
      <c r="D1932" s="89"/>
      <c r="E1932" s="603">
        <v>45498</v>
      </c>
      <c r="F1932" s="610">
        <v>2.8000000000000001E-2</v>
      </c>
      <c r="G1932" s="610" t="s">
        <v>788</v>
      </c>
      <c r="H1932" s="610">
        <v>1.4E-2</v>
      </c>
      <c r="I1932" s="995"/>
      <c r="J1932" s="996"/>
      <c r="K1932" s="997"/>
      <c r="L1932" s="99"/>
      <c r="M1932" s="100"/>
    </row>
    <row r="1933" spans="4:13" ht="20" thickBot="1">
      <c r="D1933" s="89"/>
      <c r="E1933" s="603">
        <v>45470</v>
      </c>
      <c r="F1933" s="610">
        <v>1.4E-2</v>
      </c>
      <c r="G1933" s="610" t="s">
        <v>889</v>
      </c>
      <c r="H1933" s="610">
        <v>3.4000000000000002E-2</v>
      </c>
      <c r="I1933" s="998"/>
      <c r="J1933" s="999"/>
      <c r="K1933" s="1000"/>
      <c r="L1933" s="102"/>
      <c r="M1933" s="103"/>
    </row>
    <row r="1934" spans="4:13" ht="25" thickBot="1">
      <c r="D1934">
        <v>8</v>
      </c>
      <c r="E1934" s="598" t="s">
        <v>30</v>
      </c>
      <c r="F1934" s="1102" t="s">
        <v>1273</v>
      </c>
      <c r="G1934" s="1103"/>
      <c r="H1934" s="1104"/>
      <c r="I1934" s="1131" t="s">
        <v>633</v>
      </c>
      <c r="J1934" s="1129"/>
      <c r="K1934" s="1130"/>
      <c r="L1934" s="158" t="s">
        <v>430</v>
      </c>
      <c r="M1934" s="105" t="s">
        <v>431</v>
      </c>
    </row>
    <row r="1935" spans="4:13">
      <c r="D1935" s="89"/>
      <c r="E1935" s="599" t="s">
        <v>432</v>
      </c>
      <c r="F1935" s="1105"/>
      <c r="G1935" s="1106"/>
      <c r="H1935" s="1107"/>
      <c r="I1935" s="995" t="s">
        <v>1275</v>
      </c>
      <c r="J1935" s="996"/>
      <c r="K1935" s="997"/>
      <c r="L1935" s="99"/>
      <c r="M1935" s="100"/>
    </row>
    <row r="1936" spans="4:13">
      <c r="D1936" s="89"/>
      <c r="E1936" s="600" t="s">
        <v>433</v>
      </c>
      <c r="F1936" s="1125" t="s">
        <v>1274</v>
      </c>
      <c r="G1936" s="1126"/>
      <c r="H1936" s="1127"/>
      <c r="I1936" s="995"/>
      <c r="J1936" s="996"/>
      <c r="K1936" s="997"/>
      <c r="L1936" s="99"/>
      <c r="M1936" s="100"/>
    </row>
    <row r="1937" spans="4:13" ht="20" thickBot="1">
      <c r="D1937" s="89"/>
      <c r="E1937" s="600" t="s">
        <v>434</v>
      </c>
      <c r="F1937" s="1111" t="s">
        <v>897</v>
      </c>
      <c r="G1937" s="1112"/>
      <c r="H1937" s="1113"/>
      <c r="I1937" s="995"/>
      <c r="J1937" s="996"/>
      <c r="K1937" s="997"/>
      <c r="L1937" s="99"/>
      <c r="M1937" s="100"/>
    </row>
    <row r="1938" spans="4:13" ht="20" thickBot="1">
      <c r="D1938" s="89"/>
      <c r="E1938" s="601" t="s">
        <v>435</v>
      </c>
      <c r="F1938" s="1114">
        <v>0.5625</v>
      </c>
      <c r="G1938" s="1115"/>
      <c r="H1938" s="1116"/>
      <c r="I1938" s="995"/>
      <c r="J1938" s="996"/>
      <c r="K1938" s="997"/>
      <c r="L1938" s="106">
        <v>0.79166666666666663</v>
      </c>
      <c r="M1938" s="107">
        <v>0.64583333333333326</v>
      </c>
    </row>
    <row r="1939" spans="4:13" ht="20" thickBot="1">
      <c r="D1939" s="89"/>
      <c r="E1939" s="602" t="s">
        <v>436</v>
      </c>
      <c r="F1939" s="252" t="s">
        <v>29</v>
      </c>
      <c r="G1939" s="252" t="s">
        <v>28</v>
      </c>
      <c r="H1939" s="253" t="s">
        <v>27</v>
      </c>
      <c r="I1939" s="995"/>
      <c r="J1939" s="996"/>
      <c r="K1939" s="997"/>
      <c r="L1939" s="99"/>
      <c r="M1939" s="100"/>
    </row>
    <row r="1940" spans="4:13">
      <c r="D1940" s="89"/>
      <c r="E1940" s="603">
        <v>45638</v>
      </c>
      <c r="F1940" s="341" t="s">
        <v>980</v>
      </c>
      <c r="G1940" s="341" t="s">
        <v>972</v>
      </c>
      <c r="H1940" s="341" t="s">
        <v>985</v>
      </c>
      <c r="I1940" s="995"/>
      <c r="J1940" s="996"/>
      <c r="K1940" s="997"/>
      <c r="L1940" s="99"/>
      <c r="M1940" s="100"/>
    </row>
    <row r="1941" spans="4:13">
      <c r="D1941" s="89"/>
      <c r="E1941" s="603">
        <v>45631</v>
      </c>
      <c r="F1941" s="341" t="s">
        <v>1032</v>
      </c>
      <c r="G1941" s="341" t="s">
        <v>1232</v>
      </c>
      <c r="H1941" s="341" t="s">
        <v>1232</v>
      </c>
      <c r="I1941" s="995"/>
      <c r="J1941" s="996"/>
      <c r="K1941" s="997"/>
      <c r="L1941" s="99"/>
      <c r="M1941" s="100"/>
    </row>
    <row r="1942" spans="4:13">
      <c r="D1942" s="89"/>
      <c r="E1942" s="603">
        <v>45623</v>
      </c>
      <c r="F1942" s="341" t="s">
        <v>1111</v>
      </c>
      <c r="G1942" s="341" t="s">
        <v>1232</v>
      </c>
      <c r="H1942" s="341" t="s">
        <v>1232</v>
      </c>
      <c r="I1942" s="995"/>
      <c r="J1942" s="996"/>
      <c r="K1942" s="997"/>
      <c r="L1942" s="101"/>
      <c r="M1942" s="100"/>
    </row>
    <row r="1943" spans="4:13">
      <c r="D1943" s="89"/>
      <c r="E1943" s="603">
        <v>45617</v>
      </c>
      <c r="F1943" s="341" t="s">
        <v>1111</v>
      </c>
      <c r="G1943" s="341" t="s">
        <v>1112</v>
      </c>
      <c r="H1943" s="341" t="s">
        <v>987</v>
      </c>
      <c r="I1943" s="995"/>
      <c r="J1943" s="996"/>
      <c r="K1943" s="997"/>
      <c r="L1943" s="99"/>
      <c r="M1943" s="100"/>
    </row>
    <row r="1944" spans="4:13">
      <c r="D1944" s="89"/>
      <c r="E1944" s="603">
        <v>45610</v>
      </c>
      <c r="F1944" s="341" t="s">
        <v>1031</v>
      </c>
      <c r="G1944" s="341" t="s">
        <v>1032</v>
      </c>
      <c r="H1944" s="341" t="s">
        <v>972</v>
      </c>
      <c r="I1944" s="995"/>
      <c r="J1944" s="996"/>
      <c r="K1944" s="997"/>
      <c r="L1944" s="99"/>
      <c r="M1944" s="100"/>
    </row>
    <row r="1945" spans="4:13" ht="20" thickBot="1">
      <c r="D1945" s="89"/>
      <c r="E1945" s="603">
        <v>45603</v>
      </c>
      <c r="F1945" s="341" t="s">
        <v>972</v>
      </c>
      <c r="G1945" s="341" t="s">
        <v>973</v>
      </c>
      <c r="H1945" s="341" t="s">
        <v>974</v>
      </c>
      <c r="I1945" s="998"/>
      <c r="J1945" s="999"/>
      <c r="K1945" s="1000"/>
      <c r="L1945" s="102"/>
      <c r="M1945" s="103"/>
    </row>
    <row r="1946" spans="4:13" ht="25" thickBot="1">
      <c r="D1946">
        <v>9</v>
      </c>
      <c r="E1946" s="598" t="s">
        <v>30</v>
      </c>
      <c r="F1946" s="1102" t="s">
        <v>1276</v>
      </c>
      <c r="G1946" s="1103"/>
      <c r="H1946" s="1104"/>
      <c r="I1946" s="1128" t="s">
        <v>633</v>
      </c>
      <c r="J1946" s="1129"/>
      <c r="K1946" s="1130"/>
      <c r="L1946" s="158" t="s">
        <v>430</v>
      </c>
      <c r="M1946" s="105" t="s">
        <v>431</v>
      </c>
    </row>
    <row r="1947" spans="4:13">
      <c r="D1947" s="89"/>
      <c r="E1947" s="599" t="s">
        <v>432</v>
      </c>
      <c r="F1947" s="1105"/>
      <c r="G1947" s="1106"/>
      <c r="H1947" s="1107"/>
      <c r="I1947" s="995" t="s">
        <v>1277</v>
      </c>
      <c r="J1947" s="996"/>
      <c r="K1947" s="997"/>
      <c r="L1947" s="99"/>
      <c r="M1947" s="100"/>
    </row>
    <row r="1948" spans="4:13">
      <c r="D1948" s="89"/>
      <c r="E1948" s="600" t="s">
        <v>433</v>
      </c>
      <c r="F1948" s="1124">
        <v>2.5</v>
      </c>
      <c r="G1948" s="1112"/>
      <c r="H1948" s="1113"/>
      <c r="I1948" s="995"/>
      <c r="J1948" s="996"/>
      <c r="K1948" s="997"/>
      <c r="L1948" s="99"/>
      <c r="M1948" s="100"/>
    </row>
    <row r="1949" spans="4:13" ht="20" thickBot="1">
      <c r="D1949" s="89"/>
      <c r="E1949" s="600" t="s">
        <v>434</v>
      </c>
      <c r="F1949" s="1141">
        <v>-5.5</v>
      </c>
      <c r="G1949" s="1142"/>
      <c r="H1949" s="1143"/>
      <c r="I1949" s="995"/>
      <c r="J1949" s="996"/>
      <c r="K1949" s="997"/>
      <c r="L1949" s="99"/>
      <c r="M1949" s="100"/>
    </row>
    <row r="1950" spans="4:13" ht="20" thickBot="1">
      <c r="D1950" s="89"/>
      <c r="E1950" s="601" t="s">
        <v>435</v>
      </c>
      <c r="F1950" s="1114">
        <v>0.5625</v>
      </c>
      <c r="G1950" s="1115"/>
      <c r="H1950" s="1116"/>
      <c r="I1950" s="995"/>
      <c r="J1950" s="996"/>
      <c r="K1950" s="997"/>
      <c r="L1950" s="106">
        <v>0.79166666666666663</v>
      </c>
      <c r="M1950" s="107">
        <v>0.64583333333333326</v>
      </c>
    </row>
    <row r="1951" spans="4:13" ht="20" thickBot="1">
      <c r="D1951" s="89"/>
      <c r="E1951" s="602" t="s">
        <v>436</v>
      </c>
      <c r="F1951" s="252" t="s">
        <v>29</v>
      </c>
      <c r="G1951" s="252" t="s">
        <v>28</v>
      </c>
      <c r="H1951" s="253" t="s">
        <v>27</v>
      </c>
      <c r="I1951" s="995"/>
      <c r="J1951" s="996"/>
      <c r="K1951" s="997"/>
      <c r="L1951" s="99"/>
      <c r="M1951" s="100"/>
    </row>
    <row r="1952" spans="4:13">
      <c r="D1952" s="89"/>
      <c r="E1952" s="603">
        <v>45617</v>
      </c>
      <c r="F1952" s="349">
        <v>-5.5</v>
      </c>
      <c r="G1952" s="349" t="s">
        <v>1292</v>
      </c>
      <c r="H1952" s="349">
        <v>10.3</v>
      </c>
      <c r="I1952" s="995"/>
      <c r="J1952" s="996"/>
      <c r="K1952" s="997"/>
      <c r="L1952" s="99"/>
      <c r="M1952" s="203"/>
    </row>
    <row r="1953" spans="4:13">
      <c r="D1953" s="89"/>
      <c r="E1953" s="603">
        <v>45582</v>
      </c>
      <c r="F1953" s="349">
        <v>10.3</v>
      </c>
      <c r="G1953" s="349" t="s">
        <v>1033</v>
      </c>
      <c r="H1953" s="349">
        <v>1.7</v>
      </c>
      <c r="I1953" s="995"/>
      <c r="J1953" s="996"/>
      <c r="K1953" s="997"/>
      <c r="L1953" s="99"/>
      <c r="M1953" s="100"/>
    </row>
    <row r="1954" spans="4:13">
      <c r="D1954" s="89"/>
      <c r="E1954" s="603">
        <v>45554</v>
      </c>
      <c r="F1954" s="349">
        <v>1.7</v>
      </c>
      <c r="G1954" s="349" t="s">
        <v>1034</v>
      </c>
      <c r="H1954" s="349">
        <v>-7</v>
      </c>
      <c r="I1954" s="995"/>
      <c r="J1954" s="996"/>
      <c r="K1954" s="997"/>
      <c r="L1954" s="101"/>
      <c r="M1954" s="100"/>
    </row>
    <row r="1955" spans="4:13">
      <c r="D1955" s="89"/>
      <c r="E1955" s="603">
        <v>45519</v>
      </c>
      <c r="F1955" s="349">
        <v>-7</v>
      </c>
      <c r="G1955" s="349" t="s">
        <v>1035</v>
      </c>
      <c r="H1955" s="349">
        <v>13.9</v>
      </c>
      <c r="I1955" s="995"/>
      <c r="J1955" s="996"/>
      <c r="K1955" s="997"/>
      <c r="L1955" s="99"/>
      <c r="M1955" s="100"/>
    </row>
    <row r="1956" spans="4:13">
      <c r="D1956" s="89"/>
      <c r="E1956" s="603">
        <v>45491</v>
      </c>
      <c r="F1956" s="349">
        <v>13.9</v>
      </c>
      <c r="G1956" s="349" t="s">
        <v>1036</v>
      </c>
      <c r="H1956" s="349">
        <v>1.3</v>
      </c>
      <c r="I1956" s="995"/>
      <c r="J1956" s="996"/>
      <c r="K1956" s="997"/>
      <c r="L1956" s="99"/>
      <c r="M1956" s="100"/>
    </row>
    <row r="1957" spans="4:13" ht="20" thickBot="1">
      <c r="D1957" s="89"/>
      <c r="E1957" s="603">
        <v>45463</v>
      </c>
      <c r="F1957" s="349">
        <v>1.3</v>
      </c>
      <c r="G1957" s="349" t="s">
        <v>1037</v>
      </c>
      <c r="H1957" s="349">
        <v>4.5</v>
      </c>
      <c r="I1957" s="998"/>
      <c r="J1957" s="999"/>
      <c r="K1957" s="1000"/>
      <c r="L1957" s="102"/>
      <c r="M1957" s="103"/>
    </row>
    <row r="1958" spans="4:13" ht="25" thickBot="1">
      <c r="D1958" s="89" t="s">
        <v>105</v>
      </c>
      <c r="E1958" s="598" t="s">
        <v>30</v>
      </c>
      <c r="F1958" s="1102" t="s">
        <v>1278</v>
      </c>
      <c r="G1958" s="1103"/>
      <c r="H1958" s="1104"/>
      <c r="I1958" s="1128" t="s">
        <v>633</v>
      </c>
      <c r="J1958" s="1129"/>
      <c r="K1958" s="1130"/>
      <c r="L1958" s="158" t="s">
        <v>430</v>
      </c>
      <c r="M1958" s="105" t="s">
        <v>431</v>
      </c>
    </row>
    <row r="1959" spans="4:13">
      <c r="D1959" s="89"/>
      <c r="E1959" s="599" t="s">
        <v>432</v>
      </c>
      <c r="F1959" s="1105"/>
      <c r="G1959" s="1106"/>
      <c r="H1959" s="1107"/>
      <c r="I1959" s="995" t="s">
        <v>1279</v>
      </c>
      <c r="J1959" s="996"/>
      <c r="K1959" s="997"/>
      <c r="L1959" s="99"/>
      <c r="M1959" s="100"/>
    </row>
    <row r="1960" spans="4:13">
      <c r="D1960" s="89"/>
      <c r="E1960" s="600" t="s">
        <v>433</v>
      </c>
      <c r="F1960" s="1111" t="s">
        <v>78</v>
      </c>
      <c r="G1960" s="1112"/>
      <c r="H1960" s="1113"/>
      <c r="I1960" s="995"/>
      <c r="J1960" s="996"/>
      <c r="K1960" s="997"/>
      <c r="L1960" s="99"/>
      <c r="M1960" s="100"/>
    </row>
    <row r="1961" spans="4:13" ht="20" thickBot="1">
      <c r="D1961" s="89"/>
      <c r="E1961" s="600" t="s">
        <v>434</v>
      </c>
      <c r="F1961" s="1111" t="s">
        <v>351</v>
      </c>
      <c r="G1961" s="1112"/>
      <c r="H1961" s="1113"/>
      <c r="I1961" s="995"/>
      <c r="J1961" s="996"/>
      <c r="K1961" s="997"/>
      <c r="L1961" s="99"/>
      <c r="M1961" s="100"/>
    </row>
    <row r="1962" spans="4:13" ht="20" thickBot="1">
      <c r="D1962" s="89"/>
      <c r="E1962" s="601" t="s">
        <v>435</v>
      </c>
      <c r="F1962" s="1114">
        <v>0.625</v>
      </c>
      <c r="G1962" s="1115"/>
      <c r="H1962" s="1116"/>
      <c r="I1962" s="995"/>
      <c r="J1962" s="996"/>
      <c r="K1962" s="997"/>
      <c r="L1962" s="106">
        <v>0.85416666666666663</v>
      </c>
      <c r="M1962" s="107">
        <v>0.70833333333333326</v>
      </c>
    </row>
    <row r="1963" spans="4:13" ht="20" thickBot="1">
      <c r="D1963" s="89"/>
      <c r="E1963" s="602" t="s">
        <v>436</v>
      </c>
      <c r="F1963" s="252" t="s">
        <v>29</v>
      </c>
      <c r="G1963" s="252" t="s">
        <v>28</v>
      </c>
      <c r="H1963" s="253" t="s">
        <v>27</v>
      </c>
      <c r="I1963" s="995"/>
      <c r="J1963" s="996"/>
      <c r="K1963" s="997"/>
      <c r="L1963" s="99"/>
      <c r="M1963" s="100"/>
    </row>
    <row r="1964" spans="4:13">
      <c r="D1964" s="89"/>
      <c r="E1964" s="603">
        <v>45617</v>
      </c>
      <c r="F1964" s="341" t="s">
        <v>1043</v>
      </c>
      <c r="G1964" s="341" t="s">
        <v>1044</v>
      </c>
      <c r="H1964" s="341" t="s">
        <v>1293</v>
      </c>
      <c r="I1964" s="995"/>
      <c r="J1964" s="996"/>
      <c r="K1964" s="997"/>
      <c r="L1964" s="99"/>
      <c r="M1964" s="203"/>
    </row>
    <row r="1965" spans="4:13">
      <c r="D1965" s="89"/>
      <c r="E1965" s="603">
        <v>45588</v>
      </c>
      <c r="F1965" s="341" t="s">
        <v>1039</v>
      </c>
      <c r="G1965" s="341" t="s">
        <v>1040</v>
      </c>
      <c r="H1965" s="341" t="s">
        <v>1040</v>
      </c>
      <c r="I1965" s="995"/>
      <c r="J1965" s="996"/>
      <c r="K1965" s="997"/>
      <c r="L1965" s="99"/>
      <c r="M1965" s="100"/>
    </row>
    <row r="1966" spans="4:13">
      <c r="D1966" s="89"/>
      <c r="E1966" s="603">
        <v>45554</v>
      </c>
      <c r="F1966" s="341" t="s">
        <v>1041</v>
      </c>
      <c r="G1966" s="341" t="s">
        <v>1042</v>
      </c>
      <c r="H1966" s="341" t="s">
        <v>1043</v>
      </c>
      <c r="I1966" s="995"/>
      <c r="J1966" s="996"/>
      <c r="K1966" s="997"/>
      <c r="L1966" s="101"/>
      <c r="M1966" s="100"/>
    </row>
    <row r="1967" spans="4:13">
      <c r="D1967" s="89"/>
      <c r="E1967" s="603">
        <v>45526</v>
      </c>
      <c r="F1967" s="341" t="s">
        <v>1044</v>
      </c>
      <c r="G1967" s="341" t="s">
        <v>1045</v>
      </c>
      <c r="H1967" s="341" t="s">
        <v>1046</v>
      </c>
      <c r="I1967" s="995"/>
      <c r="J1967" s="996"/>
      <c r="K1967" s="997"/>
      <c r="L1967" s="99"/>
      <c r="M1967" s="100"/>
    </row>
    <row r="1968" spans="4:13">
      <c r="D1968" s="89"/>
      <c r="E1968" s="603">
        <v>45496</v>
      </c>
      <c r="F1968" s="341" t="s">
        <v>1047</v>
      </c>
      <c r="G1968" s="341" t="s">
        <v>1048</v>
      </c>
      <c r="H1968" s="341" t="s">
        <v>1049</v>
      </c>
      <c r="I1968" s="995"/>
      <c r="J1968" s="996"/>
      <c r="K1968" s="997"/>
      <c r="L1968" s="99"/>
      <c r="M1968" s="100"/>
    </row>
    <row r="1969" spans="4:13" ht="20" thickBot="1">
      <c r="D1969" s="89"/>
      <c r="E1969" s="603">
        <v>45464</v>
      </c>
      <c r="F1969" s="341" t="s">
        <v>1049</v>
      </c>
      <c r="G1969" s="341" t="s">
        <v>1050</v>
      </c>
      <c r="H1969" s="341" t="s">
        <v>1051</v>
      </c>
      <c r="I1969" s="998"/>
      <c r="J1969" s="999"/>
      <c r="K1969" s="1000"/>
      <c r="L1969" s="102"/>
      <c r="M1969" s="103"/>
    </row>
    <row r="1970" spans="4:13" ht="25" thickBot="1">
      <c r="D1970">
        <v>10</v>
      </c>
      <c r="E1970" s="598" t="s">
        <v>30</v>
      </c>
      <c r="F1970" s="1102" t="s">
        <v>1280</v>
      </c>
      <c r="G1970" s="1103"/>
      <c r="H1970" s="1104"/>
      <c r="I1970" s="1128" t="s">
        <v>633</v>
      </c>
      <c r="J1970" s="1129"/>
      <c r="K1970" s="1130"/>
      <c r="L1970" s="158" t="s">
        <v>430</v>
      </c>
      <c r="M1970" s="105" t="s">
        <v>431</v>
      </c>
    </row>
    <row r="1971" spans="4:13">
      <c r="D1971" s="89"/>
      <c r="E1971" s="599" t="s">
        <v>432</v>
      </c>
      <c r="F1971" s="1105"/>
      <c r="G1971" s="1106"/>
      <c r="H1971" s="1107"/>
      <c r="I1971" s="995" t="s">
        <v>1281</v>
      </c>
      <c r="J1971" s="996"/>
      <c r="K1971" s="997"/>
      <c r="L1971" s="99"/>
      <c r="M1971" s="100"/>
    </row>
    <row r="1972" spans="4:13">
      <c r="D1972" s="89"/>
      <c r="E1972" s="600" t="s">
        <v>433</v>
      </c>
      <c r="F1972" s="1111">
        <v>2E-3</v>
      </c>
      <c r="G1972" s="1112"/>
      <c r="H1972" s="1113"/>
      <c r="I1972" s="995"/>
      <c r="J1972" s="996"/>
      <c r="K1972" s="997"/>
      <c r="L1972" s="99"/>
      <c r="M1972" s="100"/>
    </row>
    <row r="1973" spans="4:13" ht="20" thickBot="1">
      <c r="D1973" s="89"/>
      <c r="E1973" s="600" t="s">
        <v>434</v>
      </c>
      <c r="F1973" s="1111">
        <v>3.0000000000000001E-3</v>
      </c>
      <c r="G1973" s="1112"/>
      <c r="H1973" s="1113"/>
      <c r="I1973" s="995"/>
      <c r="J1973" s="996"/>
      <c r="K1973" s="997"/>
      <c r="L1973" s="99"/>
      <c r="M1973" s="100"/>
    </row>
    <row r="1974" spans="4:13" ht="20" thickBot="1">
      <c r="D1974" s="89"/>
      <c r="E1974" s="601" t="s">
        <v>435</v>
      </c>
      <c r="F1974" s="1114">
        <v>0.5625</v>
      </c>
      <c r="G1974" s="1115"/>
      <c r="H1974" s="1116"/>
      <c r="I1974" s="995"/>
      <c r="J1974" s="996"/>
      <c r="K1974" s="997"/>
      <c r="L1974" s="106">
        <v>0.79166666666666663</v>
      </c>
      <c r="M1974" s="107">
        <v>0.64583333333333326</v>
      </c>
    </row>
    <row r="1975" spans="4:13" ht="20" thickBot="1">
      <c r="D1975" s="89"/>
      <c r="E1975" s="602" t="s">
        <v>436</v>
      </c>
      <c r="F1975" s="252" t="s">
        <v>29</v>
      </c>
      <c r="G1975" s="252" t="s">
        <v>28</v>
      </c>
      <c r="H1975" s="253" t="s">
        <v>27</v>
      </c>
      <c r="I1975" s="995"/>
      <c r="J1975" s="996"/>
      <c r="K1975" s="997"/>
      <c r="L1975" s="99"/>
      <c r="M1975" s="100"/>
    </row>
    <row r="1976" spans="4:13">
      <c r="D1976" s="89"/>
      <c r="E1976" s="603">
        <v>45623</v>
      </c>
      <c r="F1976" s="341">
        <v>3.0000000000000001E-3</v>
      </c>
      <c r="G1976" s="341" t="s">
        <v>467</v>
      </c>
      <c r="H1976" s="341">
        <v>3.0000000000000001E-3</v>
      </c>
      <c r="I1976" s="995"/>
      <c r="J1976" s="996"/>
      <c r="K1976" s="997"/>
      <c r="L1976" s="99"/>
      <c r="M1976" s="203"/>
    </row>
    <row r="1977" spans="4:13">
      <c r="D1977" s="89"/>
      <c r="E1977" s="603">
        <v>45596</v>
      </c>
      <c r="F1977" s="341">
        <v>3.0000000000000001E-3</v>
      </c>
      <c r="G1977" s="341" t="s">
        <v>467</v>
      </c>
      <c r="H1977" s="341">
        <v>2E-3</v>
      </c>
      <c r="I1977" s="995"/>
      <c r="J1977" s="996"/>
      <c r="K1977" s="997"/>
      <c r="L1977" s="99"/>
      <c r="M1977" s="100"/>
    </row>
    <row r="1978" spans="4:13">
      <c r="D1978" s="89"/>
      <c r="E1978" s="603">
        <v>45562</v>
      </c>
      <c r="F1978" s="341">
        <v>1E-3</v>
      </c>
      <c r="G1978" s="341" t="s">
        <v>460</v>
      </c>
      <c r="H1978" s="341">
        <v>2E-3</v>
      </c>
      <c r="I1978" s="995"/>
      <c r="J1978" s="996"/>
      <c r="K1978" s="997"/>
      <c r="L1978" s="101"/>
      <c r="M1978" s="100"/>
    </row>
    <row r="1979" spans="4:13">
      <c r="D1979" s="89"/>
      <c r="E1979" s="603">
        <v>45534</v>
      </c>
      <c r="F1979" s="341">
        <v>2E-3</v>
      </c>
      <c r="G1979" s="341" t="s">
        <v>460</v>
      </c>
      <c r="H1979" s="341">
        <v>2E-3</v>
      </c>
      <c r="I1979" s="995"/>
      <c r="J1979" s="996"/>
      <c r="K1979" s="997"/>
      <c r="L1979" s="99"/>
      <c r="M1979" s="100"/>
    </row>
    <row r="1980" spans="4:13">
      <c r="D1980" s="89"/>
      <c r="E1980" s="603">
        <v>45499</v>
      </c>
      <c r="F1980" s="341">
        <v>2E-3</v>
      </c>
      <c r="G1980" s="341" t="s">
        <v>460</v>
      </c>
      <c r="H1980" s="341">
        <v>1E-3</v>
      </c>
      <c r="I1980" s="995"/>
      <c r="J1980" s="996"/>
      <c r="K1980" s="997"/>
      <c r="L1980" s="99"/>
      <c r="M1980" s="100"/>
    </row>
    <row r="1981" spans="4:13" ht="20" thickBot="1">
      <c r="D1981" s="89"/>
      <c r="E1981" s="603">
        <v>45471</v>
      </c>
      <c r="F1981" s="341">
        <v>1E-3</v>
      </c>
      <c r="G1981" s="341" t="s">
        <v>462</v>
      </c>
      <c r="H1981" s="341">
        <v>3.0000000000000001E-3</v>
      </c>
      <c r="I1981" s="998"/>
      <c r="J1981" s="999"/>
      <c r="K1981" s="1000"/>
      <c r="L1981" s="102"/>
      <c r="M1981" s="103"/>
    </row>
    <row r="1982" spans="4:13" ht="25" thickBot="1">
      <c r="D1982" t="e">
        <v>#VALUE!</v>
      </c>
      <c r="E1982" s="598" t="s">
        <v>30</v>
      </c>
      <c r="F1982" s="1102" t="s">
        <v>1282</v>
      </c>
      <c r="G1982" s="1103"/>
      <c r="H1982" s="1104"/>
      <c r="I1982" s="1128" t="s">
        <v>633</v>
      </c>
      <c r="J1982" s="1129"/>
      <c r="K1982" s="1130"/>
      <c r="L1982" s="158" t="s">
        <v>430</v>
      </c>
      <c r="M1982" s="105" t="s">
        <v>431</v>
      </c>
    </row>
    <row r="1983" spans="4:13">
      <c r="D1983" s="89"/>
      <c r="E1983" s="599" t="s">
        <v>432</v>
      </c>
      <c r="F1983" s="1105"/>
      <c r="G1983" s="1106"/>
      <c r="H1983" s="1107"/>
      <c r="I1983" s="995" t="s">
        <v>1283</v>
      </c>
      <c r="J1983" s="996"/>
      <c r="K1983" s="997"/>
      <c r="L1983" s="99"/>
      <c r="M1983" s="100"/>
    </row>
    <row r="1984" spans="4:13">
      <c r="D1984" s="89"/>
      <c r="E1984" s="600" t="s">
        <v>433</v>
      </c>
      <c r="F1984" s="1111"/>
      <c r="G1984" s="1112"/>
      <c r="H1984" s="1113"/>
      <c r="I1984" s="995"/>
      <c r="J1984" s="996"/>
      <c r="K1984" s="997"/>
      <c r="L1984" s="99"/>
      <c r="M1984" s="100"/>
    </row>
    <row r="1985" spans="4:13" ht="20" thickBot="1">
      <c r="D1985" s="89"/>
      <c r="E1985" s="600" t="s">
        <v>434</v>
      </c>
      <c r="F1985" s="1111">
        <v>2.8000000000000001E-2</v>
      </c>
      <c r="G1985" s="1112"/>
      <c r="H1985" s="1113"/>
      <c r="I1985" s="995"/>
      <c r="J1985" s="996"/>
      <c r="K1985" s="997"/>
      <c r="L1985" s="99"/>
      <c r="M1985" s="100"/>
    </row>
    <row r="1986" spans="4:13" ht="20" thickBot="1">
      <c r="D1986" s="89"/>
      <c r="E1986" s="601" t="s">
        <v>435</v>
      </c>
      <c r="F1986" s="1114">
        <v>0.5625</v>
      </c>
      <c r="G1986" s="1115"/>
      <c r="H1986" s="1116"/>
      <c r="I1986" s="995"/>
      <c r="J1986" s="996"/>
      <c r="K1986" s="997"/>
      <c r="L1986" s="106">
        <v>0.79166666666666663</v>
      </c>
      <c r="M1986" s="107">
        <v>0.64583333333333326</v>
      </c>
    </row>
    <row r="1987" spans="4:13" ht="20" thickBot="1">
      <c r="D1987" s="89"/>
      <c r="E1987" s="602" t="s">
        <v>436</v>
      </c>
      <c r="F1987" s="252" t="s">
        <v>29</v>
      </c>
      <c r="G1987" s="252" t="s">
        <v>28</v>
      </c>
      <c r="H1987" s="253" t="s">
        <v>27</v>
      </c>
      <c r="I1987" s="995"/>
      <c r="J1987" s="996"/>
      <c r="K1987" s="997"/>
      <c r="L1987" s="99"/>
      <c r="M1987" s="100"/>
    </row>
    <row r="1988" spans="4:13">
      <c r="D1988" s="89"/>
      <c r="E1988" s="603">
        <v>45623</v>
      </c>
      <c r="F1988" s="341">
        <v>2.8000000000000001E-2</v>
      </c>
      <c r="G1988" s="341" t="s">
        <v>666</v>
      </c>
      <c r="H1988" s="341">
        <v>2.7E-2</v>
      </c>
      <c r="I1988" s="995"/>
      <c r="J1988" s="996"/>
      <c r="K1988" s="997"/>
      <c r="L1988" s="99"/>
      <c r="M1988" s="203"/>
    </row>
    <row r="1989" spans="4:13">
      <c r="D1989" s="89"/>
      <c r="E1989" s="603">
        <v>45596</v>
      </c>
      <c r="F1989" s="341">
        <v>2.7E-2</v>
      </c>
      <c r="G1989" s="341" t="s">
        <v>493</v>
      </c>
      <c r="H1989" s="341">
        <v>2.7E-2</v>
      </c>
      <c r="I1989" s="995"/>
      <c r="J1989" s="996"/>
      <c r="K1989" s="997"/>
      <c r="L1989" s="99"/>
      <c r="M1989" s="100"/>
    </row>
    <row r="1990" spans="4:13">
      <c r="D1990" s="89"/>
      <c r="E1990" s="603">
        <v>45562</v>
      </c>
      <c r="F1990" s="341">
        <v>2.7E-2</v>
      </c>
      <c r="G1990" s="341" t="s">
        <v>665</v>
      </c>
      <c r="H1990" s="341">
        <v>2.5999999999999999E-2</v>
      </c>
      <c r="I1990" s="995"/>
      <c r="J1990" s="996"/>
      <c r="K1990" s="997"/>
      <c r="L1990" s="101"/>
      <c r="M1990" s="100"/>
    </row>
    <row r="1991" spans="4:13">
      <c r="D1991" s="89"/>
      <c r="E1991" s="603">
        <v>45534</v>
      </c>
      <c r="F1991" s="341">
        <v>2.5999999999999999E-2</v>
      </c>
      <c r="G1991" s="341" t="s">
        <v>665</v>
      </c>
      <c r="H1991" s="341">
        <v>2.5999999999999999E-2</v>
      </c>
      <c r="I1991" s="995"/>
      <c r="J1991" s="996"/>
      <c r="K1991" s="997"/>
      <c r="L1991" s="99"/>
      <c r="M1991" s="100"/>
    </row>
    <row r="1992" spans="4:13">
      <c r="D1992" s="89"/>
      <c r="E1992" s="603">
        <v>45499</v>
      </c>
      <c r="F1992" s="341">
        <v>2.5999999999999999E-2</v>
      </c>
      <c r="G1992" s="341" t="s">
        <v>495</v>
      </c>
      <c r="H1992" s="341">
        <v>2.5999999999999999E-2</v>
      </c>
      <c r="I1992" s="995"/>
      <c r="J1992" s="996"/>
      <c r="K1992" s="997"/>
      <c r="L1992" s="99"/>
      <c r="M1992" s="100"/>
    </row>
    <row r="1993" spans="4:13" ht="20" thickBot="1">
      <c r="D1993" s="89"/>
      <c r="E1993" s="603">
        <v>45471</v>
      </c>
      <c r="F1993" s="341">
        <v>2.5999999999999999E-2</v>
      </c>
      <c r="G1993" s="341" t="s">
        <v>493</v>
      </c>
      <c r="H1993" s="341">
        <v>2.8000000000000001E-2</v>
      </c>
      <c r="I1993" s="998"/>
      <c r="J1993" s="999"/>
      <c r="K1993" s="1000"/>
      <c r="L1993" s="102"/>
      <c r="M1993" s="103"/>
    </row>
    <row r="1994" spans="4:13" ht="25" thickBot="1">
      <c r="D1994">
        <v>1</v>
      </c>
      <c r="E1994" s="598" t="s">
        <v>30</v>
      </c>
      <c r="F1994" s="1102" t="s">
        <v>1295</v>
      </c>
      <c r="G1994" s="1103"/>
      <c r="H1994" s="1104"/>
      <c r="I1994" s="1131" t="s">
        <v>633</v>
      </c>
      <c r="J1994" s="1129"/>
      <c r="K1994" s="1130"/>
      <c r="L1994" s="158" t="s">
        <v>430</v>
      </c>
      <c r="M1994" s="105" t="s">
        <v>431</v>
      </c>
    </row>
    <row r="1995" spans="4:13">
      <c r="E1995" s="599" t="s">
        <v>432</v>
      </c>
      <c r="F1995" s="1105"/>
      <c r="G1995" s="1106"/>
      <c r="H1995" s="1107"/>
      <c r="I1995" s="995" t="s">
        <v>1296</v>
      </c>
      <c r="J1995" s="996"/>
      <c r="K1995" s="997"/>
      <c r="L1995" s="99"/>
      <c r="M1995" s="100"/>
    </row>
    <row r="1996" spans="4:13">
      <c r="E1996" s="600" t="s">
        <v>433</v>
      </c>
      <c r="F1996" s="1118">
        <v>1E-3</v>
      </c>
      <c r="G1996" s="1119"/>
      <c r="H1996" s="1120"/>
      <c r="I1996" s="995"/>
      <c r="J1996" s="996"/>
      <c r="K1996" s="997"/>
      <c r="L1996" s="99"/>
      <c r="M1996" s="100"/>
    </row>
    <row r="1997" spans="4:13" ht="20" thickBot="1">
      <c r="E1997" s="600" t="s">
        <v>434</v>
      </c>
      <c r="F1997" s="1118">
        <v>5.0000000000000001E-3</v>
      </c>
      <c r="G1997" s="1119"/>
      <c r="H1997" s="1120"/>
      <c r="I1997" s="995"/>
      <c r="J1997" s="996"/>
      <c r="K1997" s="997"/>
      <c r="L1997" s="99"/>
      <c r="M1997" s="100"/>
    </row>
    <row r="1998" spans="4:13" ht="20" thickBot="1">
      <c r="E1998" s="601" t="s">
        <v>435</v>
      </c>
      <c r="F1998" s="1114">
        <v>0.29166666666666674</v>
      </c>
      <c r="G1998" s="1115"/>
      <c r="H1998" s="1116"/>
      <c r="I1998" s="995"/>
      <c r="J1998" s="996"/>
      <c r="K1998" s="997"/>
      <c r="L1998" s="106">
        <v>0.52083333333333337</v>
      </c>
      <c r="M1998" s="107">
        <v>0.375</v>
      </c>
    </row>
    <row r="1999" spans="4:13" ht="20" thickBot="1">
      <c r="E1999" s="602" t="s">
        <v>436</v>
      </c>
      <c r="F1999" s="252" t="s">
        <v>29</v>
      </c>
      <c r="G1999" s="252" t="s">
        <v>28</v>
      </c>
      <c r="H1999" s="253" t="s">
        <v>27</v>
      </c>
      <c r="I1999" s="995"/>
      <c r="J1999" s="996"/>
      <c r="K1999" s="997"/>
      <c r="L1999" s="99"/>
      <c r="M1999" s="100"/>
    </row>
    <row r="2000" spans="4:13">
      <c r="E2000" s="603">
        <v>45611</v>
      </c>
      <c r="F2000" s="341">
        <v>1E-3</v>
      </c>
      <c r="G2000" s="341" t="s">
        <v>460</v>
      </c>
      <c r="H2000" s="341">
        <v>5.0000000000000001E-3</v>
      </c>
      <c r="I2000" s="995"/>
      <c r="J2000" s="996"/>
      <c r="K2000" s="997"/>
      <c r="L2000" s="99"/>
      <c r="M2000" s="100"/>
    </row>
    <row r="2001" spans="4:13">
      <c r="E2001" s="603">
        <v>45565</v>
      </c>
      <c r="F2001" s="341">
        <v>5.0000000000000001E-3</v>
      </c>
      <c r="G2001" s="341" t="s">
        <v>449</v>
      </c>
      <c r="H2001" s="341">
        <v>7.0000000000000001E-3</v>
      </c>
      <c r="I2001" s="995"/>
      <c r="J2001" s="996"/>
      <c r="K2001" s="997"/>
      <c r="L2001" s="99"/>
      <c r="M2001" s="100"/>
    </row>
    <row r="2002" spans="4:13">
      <c r="E2002" s="603">
        <v>45519</v>
      </c>
      <c r="F2002" s="341">
        <v>6.0000000000000001E-3</v>
      </c>
      <c r="G2002" s="341" t="s">
        <v>449</v>
      </c>
      <c r="H2002" s="341">
        <v>7.0000000000000001E-3</v>
      </c>
      <c r="I2002" s="995"/>
      <c r="J2002" s="996"/>
      <c r="K2002" s="997"/>
      <c r="L2002" s="101"/>
      <c r="M2002" s="100"/>
    </row>
    <row r="2003" spans="4:13">
      <c r="E2003" s="603">
        <v>45471</v>
      </c>
      <c r="F2003" s="341">
        <v>7.0000000000000001E-3</v>
      </c>
      <c r="G2003" s="341" t="s">
        <v>449</v>
      </c>
      <c r="H2003" s="341">
        <v>-3.0000000000000001E-3</v>
      </c>
      <c r="I2003" s="995"/>
      <c r="J2003" s="996"/>
      <c r="K2003" s="997"/>
      <c r="L2003" s="99"/>
      <c r="M2003" s="100"/>
    </row>
    <row r="2004" spans="4:13">
      <c r="E2004" s="603">
        <v>45422</v>
      </c>
      <c r="F2004" s="341">
        <v>6.0000000000000001E-3</v>
      </c>
      <c r="G2004" s="341" t="s">
        <v>452</v>
      </c>
      <c r="H2004" s="341">
        <v>-3.0000000000000001E-3</v>
      </c>
      <c r="I2004" s="995"/>
      <c r="J2004" s="996"/>
      <c r="K2004" s="997"/>
      <c r="L2004" s="99"/>
      <c r="M2004" s="100"/>
    </row>
    <row r="2005" spans="4:13" ht="20" thickBot="1">
      <c r="E2005" s="603">
        <v>45379</v>
      </c>
      <c r="F2005" s="341">
        <v>-3.0000000000000001E-3</v>
      </c>
      <c r="G2005" s="341" t="s">
        <v>454</v>
      </c>
      <c r="H2005" s="341">
        <v>-1E-3</v>
      </c>
      <c r="I2005" s="998"/>
      <c r="J2005" s="999"/>
      <c r="K2005" s="1000"/>
      <c r="L2005" s="102"/>
      <c r="M2005" s="103"/>
    </row>
    <row r="2006" spans="4:13" ht="25" thickBot="1">
      <c r="D2006">
        <v>1</v>
      </c>
      <c r="E2006" s="598" t="s">
        <v>30</v>
      </c>
      <c r="F2006" s="1102" t="s">
        <v>1297</v>
      </c>
      <c r="G2006" s="1103"/>
      <c r="H2006" s="1104"/>
      <c r="I2006" s="1131" t="s">
        <v>633</v>
      </c>
      <c r="J2006" s="1129"/>
      <c r="K2006" s="1130"/>
      <c r="L2006" s="158" t="s">
        <v>430</v>
      </c>
      <c r="M2006" s="105" t="s">
        <v>431</v>
      </c>
    </row>
    <row r="2007" spans="4:13">
      <c r="E2007" s="599" t="s">
        <v>432</v>
      </c>
      <c r="F2007" s="1105"/>
      <c r="G2007" s="1106"/>
      <c r="H2007" s="1107"/>
      <c r="I2007" s="995" t="s">
        <v>1296</v>
      </c>
      <c r="J2007" s="996"/>
      <c r="K2007" s="997"/>
      <c r="L2007" s="99"/>
      <c r="M2007" s="100"/>
    </row>
    <row r="2008" spans="4:13">
      <c r="E2008" s="600" t="s">
        <v>433</v>
      </c>
      <c r="F2008" s="1118">
        <v>0.01</v>
      </c>
      <c r="G2008" s="1119"/>
      <c r="H2008" s="1120"/>
      <c r="I2008" s="995"/>
      <c r="J2008" s="996"/>
      <c r="K2008" s="997"/>
      <c r="L2008" s="99"/>
      <c r="M2008" s="100"/>
    </row>
    <row r="2009" spans="4:13" ht="20" thickBot="1">
      <c r="E2009" s="600" t="s">
        <v>434</v>
      </c>
      <c r="F2009" s="1118">
        <v>7.0000000000000001E-3</v>
      </c>
      <c r="G2009" s="1119"/>
      <c r="H2009" s="1120"/>
      <c r="I2009" s="995"/>
      <c r="J2009" s="996"/>
      <c r="K2009" s="997"/>
      <c r="L2009" s="99"/>
      <c r="M2009" s="100"/>
    </row>
    <row r="2010" spans="4:13" ht="20" thickBot="1">
      <c r="E2010" s="601" t="s">
        <v>435</v>
      </c>
      <c r="F2010" s="1114">
        <v>0.29166666666666674</v>
      </c>
      <c r="G2010" s="1115"/>
      <c r="H2010" s="1116"/>
      <c r="I2010" s="995"/>
      <c r="J2010" s="996"/>
      <c r="K2010" s="997"/>
      <c r="L2010" s="106">
        <v>0.52083333333333337</v>
      </c>
      <c r="M2010" s="107">
        <v>0.375</v>
      </c>
    </row>
    <row r="2011" spans="4:13" ht="20" thickBot="1">
      <c r="E2011" s="602" t="s">
        <v>436</v>
      </c>
      <c r="F2011" s="252" t="s">
        <v>29</v>
      </c>
      <c r="G2011" s="252" t="s">
        <v>28</v>
      </c>
      <c r="H2011" s="253" t="s">
        <v>27</v>
      </c>
      <c r="I2011" s="995"/>
      <c r="J2011" s="996"/>
      <c r="K2011" s="997"/>
      <c r="L2011" s="99"/>
      <c r="M2011" s="100"/>
    </row>
    <row r="2012" spans="4:13">
      <c r="E2012" s="603">
        <v>45611</v>
      </c>
      <c r="F2012" s="341">
        <v>0.01</v>
      </c>
      <c r="G2012" s="341" t="s">
        <v>462</v>
      </c>
      <c r="H2012" s="341">
        <v>7.0000000000000001E-3</v>
      </c>
      <c r="I2012" s="995"/>
      <c r="J2012" s="996"/>
      <c r="K2012" s="997"/>
      <c r="L2012" s="99"/>
      <c r="M2012" s="100"/>
    </row>
    <row r="2013" spans="4:13">
      <c r="E2013" s="603">
        <v>45565</v>
      </c>
      <c r="F2013" s="341">
        <v>7.0000000000000001E-3</v>
      </c>
      <c r="G2013" s="341" t="s">
        <v>459</v>
      </c>
      <c r="H2013" s="341">
        <v>3.0000000000000001E-3</v>
      </c>
      <c r="I2013" s="995"/>
      <c r="J2013" s="996"/>
      <c r="K2013" s="997"/>
      <c r="L2013" s="99"/>
      <c r="M2013" s="100"/>
    </row>
    <row r="2014" spans="4:13">
      <c r="E2014" s="603">
        <v>45519</v>
      </c>
      <c r="F2014" s="341">
        <v>8.9999999999999993E-3</v>
      </c>
      <c r="G2014" s="341" t="s">
        <v>459</v>
      </c>
      <c r="H2014" s="341">
        <v>3.0000000000000001E-3</v>
      </c>
      <c r="I2014" s="995"/>
      <c r="J2014" s="996"/>
      <c r="K2014" s="997"/>
      <c r="L2014" s="101"/>
      <c r="M2014" s="100"/>
    </row>
    <row r="2015" spans="4:13">
      <c r="E2015" s="603">
        <v>45471</v>
      </c>
      <c r="F2015" s="341">
        <v>3.0000000000000001E-3</v>
      </c>
      <c r="G2015" s="341" t="s">
        <v>460</v>
      </c>
      <c r="H2015" s="341">
        <v>-2E-3</v>
      </c>
      <c r="I2015" s="995"/>
      <c r="J2015" s="996"/>
      <c r="K2015" s="997"/>
      <c r="L2015" s="99"/>
      <c r="M2015" s="100"/>
    </row>
    <row r="2016" spans="4:13">
      <c r="E2016" s="603">
        <v>45422</v>
      </c>
      <c r="F2016" s="341">
        <v>2E-3</v>
      </c>
      <c r="G2016" s="341" t="s">
        <v>458</v>
      </c>
      <c r="H2016" s="341">
        <v>-2E-3</v>
      </c>
      <c r="I2016" s="995"/>
      <c r="J2016" s="996"/>
      <c r="K2016" s="997"/>
      <c r="L2016" s="99"/>
      <c r="M2016" s="100"/>
    </row>
    <row r="2017" spans="4:13" ht="20" thickBot="1">
      <c r="E2017" s="603">
        <v>45379</v>
      </c>
      <c r="F2017" s="341">
        <v>-2E-3</v>
      </c>
      <c r="G2017" s="341" t="s">
        <v>461</v>
      </c>
      <c r="H2017" s="341">
        <v>3.0000000000000001E-3</v>
      </c>
      <c r="I2017" s="998"/>
      <c r="J2017" s="999"/>
      <c r="K2017" s="1000"/>
      <c r="L2017" s="102"/>
      <c r="M2017" s="103"/>
    </row>
    <row r="2018" spans="4:13" ht="25" thickBot="1">
      <c r="D2018" t="e">
        <v>#REF!</v>
      </c>
      <c r="E2018" s="598" t="s">
        <v>30</v>
      </c>
      <c r="F2018" s="1102" t="s">
        <v>1298</v>
      </c>
      <c r="G2018" s="1103"/>
      <c r="H2018" s="1104"/>
      <c r="I2018" s="1131" t="s">
        <v>633</v>
      </c>
      <c r="J2018" s="1129"/>
      <c r="K2018" s="1130"/>
      <c r="L2018" s="158" t="s">
        <v>430</v>
      </c>
      <c r="M2018" s="105" t="s">
        <v>431</v>
      </c>
    </row>
    <row r="2019" spans="4:13">
      <c r="E2019" s="599" t="s">
        <v>432</v>
      </c>
      <c r="F2019" s="1105"/>
      <c r="G2019" s="1106"/>
      <c r="H2019" s="1107"/>
      <c r="I2019" s="995" t="s">
        <v>1299</v>
      </c>
      <c r="J2019" s="996"/>
      <c r="K2019" s="997"/>
      <c r="L2019" s="99"/>
      <c r="M2019" s="100"/>
    </row>
    <row r="2020" spans="4:13">
      <c r="E2020" s="600" t="s">
        <v>433</v>
      </c>
      <c r="F2020" s="1141">
        <v>113</v>
      </c>
      <c r="G2020" s="1142"/>
      <c r="H2020" s="1143"/>
      <c r="I2020" s="995"/>
      <c r="J2020" s="996"/>
      <c r="K2020" s="997"/>
      <c r="L2020" s="99"/>
      <c r="M2020" s="100"/>
    </row>
    <row r="2021" spans="4:13" ht="20" thickBot="1">
      <c r="E2021" s="600" t="s">
        <v>434</v>
      </c>
      <c r="F2021" s="1141">
        <v>111.7</v>
      </c>
      <c r="G2021" s="1142"/>
      <c r="H2021" s="1143"/>
      <c r="I2021" s="995"/>
      <c r="J2021" s="996"/>
      <c r="K2021" s="997"/>
      <c r="L2021" s="99"/>
      <c r="M2021" s="100"/>
    </row>
    <row r="2022" spans="4:13" ht="20" thickBot="1">
      <c r="E2022" s="601" t="s">
        <v>435</v>
      </c>
      <c r="F2022" s="1114">
        <v>0.625</v>
      </c>
      <c r="G2022" s="1115"/>
      <c r="H2022" s="1116"/>
      <c r="I2022" s="995"/>
      <c r="J2022" s="996"/>
      <c r="K2022" s="997"/>
      <c r="L2022" s="106">
        <v>0.85416666666666663</v>
      </c>
      <c r="M2022" s="107">
        <v>0.70833333333333326</v>
      </c>
    </row>
    <row r="2023" spans="4:13" ht="20" thickBot="1">
      <c r="E2023" s="602" t="s">
        <v>436</v>
      </c>
      <c r="F2023" s="252" t="s">
        <v>29</v>
      </c>
      <c r="G2023" s="252" t="s">
        <v>28</v>
      </c>
      <c r="H2023" s="253" t="s">
        <v>27</v>
      </c>
      <c r="I2023" s="995"/>
      <c r="J2023" s="996"/>
      <c r="K2023" s="997"/>
      <c r="L2023" s="330"/>
      <c r="M2023" s="331"/>
    </row>
    <row r="2024" spans="4:13">
      <c r="E2024" s="603">
        <v>45622</v>
      </c>
      <c r="F2024" s="256">
        <v>111.7</v>
      </c>
      <c r="G2024" s="256" t="s">
        <v>1314</v>
      </c>
      <c r="H2024" s="256">
        <v>109.6</v>
      </c>
      <c r="I2024" s="995"/>
      <c r="J2024" s="996"/>
      <c r="K2024" s="997"/>
      <c r="L2024" s="99"/>
      <c r="M2024" s="100"/>
    </row>
    <row r="2025" spans="4:13">
      <c r="E2025" s="603">
        <v>45594</v>
      </c>
      <c r="F2025" s="256">
        <v>108.7</v>
      </c>
      <c r="G2025" s="256" t="s">
        <v>1091</v>
      </c>
      <c r="H2025" s="256">
        <v>99.2</v>
      </c>
      <c r="I2025" s="995"/>
      <c r="J2025" s="996"/>
      <c r="K2025" s="997"/>
      <c r="L2025" s="99"/>
      <c r="M2025" s="100"/>
    </row>
    <row r="2026" spans="4:13">
      <c r="E2026" s="603">
        <v>45559</v>
      </c>
      <c r="F2026" s="256">
        <v>98.7</v>
      </c>
      <c r="G2026" s="256" t="s">
        <v>874</v>
      </c>
      <c r="H2026" s="256">
        <v>105.6</v>
      </c>
      <c r="I2026" s="995"/>
      <c r="J2026" s="996"/>
      <c r="K2026" s="997"/>
      <c r="L2026" s="101"/>
      <c r="M2026" s="100"/>
    </row>
    <row r="2027" spans="4:13">
      <c r="E2027" s="603">
        <v>45531</v>
      </c>
      <c r="F2027" s="256">
        <v>103.3</v>
      </c>
      <c r="G2027" s="256" t="s">
        <v>875</v>
      </c>
      <c r="H2027" s="256">
        <v>101.9</v>
      </c>
      <c r="I2027" s="995"/>
      <c r="J2027" s="996"/>
      <c r="K2027" s="997"/>
      <c r="L2027" s="99"/>
      <c r="M2027" s="100"/>
    </row>
    <row r="2028" spans="4:13">
      <c r="E2028" s="603">
        <v>45503</v>
      </c>
      <c r="F2028" s="256">
        <v>100.3</v>
      </c>
      <c r="G2028" s="256" t="s">
        <v>876</v>
      </c>
      <c r="H2028" s="256">
        <v>97.8</v>
      </c>
      <c r="I2028" s="995"/>
      <c r="J2028" s="996"/>
      <c r="K2028" s="997"/>
      <c r="L2028" s="99"/>
      <c r="M2028" s="100"/>
    </row>
    <row r="2029" spans="4:13" ht="20" thickBot="1">
      <c r="E2029" s="603">
        <v>45468</v>
      </c>
      <c r="F2029" s="256">
        <v>100.4</v>
      </c>
      <c r="G2029" s="256" t="s">
        <v>877</v>
      </c>
      <c r="H2029" s="256">
        <v>101.3</v>
      </c>
      <c r="I2029" s="998"/>
      <c r="J2029" s="999"/>
      <c r="K2029" s="1000"/>
      <c r="L2029" s="102"/>
      <c r="M2029" s="103"/>
    </row>
    <row r="2030" spans="4:13" ht="25" thickBot="1">
      <c r="D2030" t="s">
        <v>105</v>
      </c>
      <c r="E2030" s="598" t="s">
        <v>30</v>
      </c>
      <c r="F2030" s="1102" t="s">
        <v>1301</v>
      </c>
      <c r="G2030" s="1103"/>
      <c r="H2030" s="1104"/>
      <c r="I2030" s="1131" t="s">
        <v>633</v>
      </c>
      <c r="J2030" s="1129"/>
      <c r="K2030" s="1130"/>
      <c r="L2030" s="158" t="s">
        <v>430</v>
      </c>
      <c r="M2030" s="105" t="s">
        <v>431</v>
      </c>
    </row>
    <row r="2031" spans="4:13">
      <c r="E2031" s="599" t="s">
        <v>432</v>
      </c>
      <c r="F2031" s="1105"/>
      <c r="G2031" s="1106"/>
      <c r="H2031" s="1107"/>
      <c r="I2031" s="995">
        <v>0</v>
      </c>
      <c r="J2031" s="996"/>
      <c r="K2031" s="997"/>
      <c r="L2031" s="99"/>
      <c r="M2031" s="100"/>
    </row>
    <row r="2032" spans="4:13">
      <c r="E2032" s="600" t="s">
        <v>433</v>
      </c>
      <c r="F2032" s="1118">
        <v>0</v>
      </c>
      <c r="G2032" s="1119"/>
      <c r="H2032" s="1120"/>
      <c r="I2032" s="995"/>
      <c r="J2032" s="996"/>
      <c r="K2032" s="997"/>
      <c r="L2032" s="99"/>
      <c r="M2032" s="100"/>
    </row>
    <row r="2033" spans="4:13" ht="20" thickBot="1">
      <c r="E2033" s="600" t="s">
        <v>434</v>
      </c>
      <c r="F2033" s="1118">
        <v>0</v>
      </c>
      <c r="G2033" s="1119"/>
      <c r="H2033" s="1120"/>
      <c r="I2033" s="995"/>
      <c r="J2033" s="996"/>
      <c r="K2033" s="997"/>
      <c r="L2033" s="99"/>
      <c r="M2033" s="100"/>
    </row>
    <row r="2034" spans="4:13" ht="20" thickBot="1">
      <c r="E2034" s="601" t="s">
        <v>435</v>
      </c>
      <c r="F2034" s="1114">
        <v>0</v>
      </c>
      <c r="G2034" s="1115"/>
      <c r="H2034" s="1116"/>
      <c r="I2034" s="995"/>
      <c r="J2034" s="996"/>
      <c r="K2034" s="997"/>
      <c r="L2034" s="106">
        <v>0.22916666666666666</v>
      </c>
      <c r="M2034" s="107">
        <v>0.375</v>
      </c>
    </row>
    <row r="2035" spans="4:13" ht="20" thickBot="1">
      <c r="E2035" s="602" t="s">
        <v>436</v>
      </c>
      <c r="F2035" s="252" t="s">
        <v>29</v>
      </c>
      <c r="G2035" s="252" t="s">
        <v>28</v>
      </c>
      <c r="H2035" s="253" t="s">
        <v>27</v>
      </c>
      <c r="I2035" s="995"/>
      <c r="J2035" s="996"/>
      <c r="K2035" s="997"/>
      <c r="L2035" s="99"/>
      <c r="M2035" s="100"/>
    </row>
    <row r="2036" spans="4:13">
      <c r="E2036" s="603">
        <v>45615</v>
      </c>
      <c r="F2036" s="606">
        <v>4.0000000000000001E-3</v>
      </c>
      <c r="G2036" s="606" t="s">
        <v>467</v>
      </c>
      <c r="H2036" s="606">
        <v>-4.0000000000000001E-3</v>
      </c>
      <c r="I2036" s="995"/>
      <c r="J2036" s="996"/>
      <c r="K2036" s="997"/>
      <c r="L2036" s="99"/>
      <c r="M2036" s="100"/>
    </row>
    <row r="2037" spans="4:13">
      <c r="E2037" s="603">
        <v>45580</v>
      </c>
      <c r="F2037" s="606">
        <v>-4.0000000000000001E-3</v>
      </c>
      <c r="G2037" s="606" t="s">
        <v>461</v>
      </c>
      <c r="H2037" s="606">
        <v>-2E-3</v>
      </c>
      <c r="I2037" s="995"/>
      <c r="J2037" s="996"/>
      <c r="K2037" s="997"/>
      <c r="L2037" s="99"/>
      <c r="M2037" s="100"/>
    </row>
    <row r="2038" spans="4:13">
      <c r="E2038" s="603">
        <v>45552</v>
      </c>
      <c r="F2038" s="606">
        <v>-2E-3</v>
      </c>
      <c r="G2038" s="606" t="s">
        <v>458</v>
      </c>
      <c r="H2038" s="606">
        <v>4.0000000000000001E-3</v>
      </c>
      <c r="I2038" s="995"/>
      <c r="J2038" s="996"/>
      <c r="K2038" s="997"/>
      <c r="L2038" s="101"/>
      <c r="M2038" s="100"/>
    </row>
    <row r="2039" spans="4:13">
      <c r="E2039" s="603">
        <v>45524</v>
      </c>
      <c r="F2039" s="606">
        <v>4.0000000000000001E-3</v>
      </c>
      <c r="G2039" s="606" t="s">
        <v>452</v>
      </c>
      <c r="H2039" s="606">
        <v>-1E-3</v>
      </c>
      <c r="I2039" s="995"/>
      <c r="J2039" s="996"/>
      <c r="K2039" s="997"/>
      <c r="L2039" s="99"/>
      <c r="M2039" s="100"/>
    </row>
    <row r="2040" spans="4:13">
      <c r="E2040" s="603">
        <v>45489</v>
      </c>
      <c r="F2040" s="606">
        <v>-1E-3</v>
      </c>
      <c r="G2040" s="606" t="s">
        <v>462</v>
      </c>
      <c r="H2040" s="606">
        <v>6.0000000000000001E-3</v>
      </c>
      <c r="I2040" s="995"/>
      <c r="J2040" s="996"/>
      <c r="K2040" s="997"/>
      <c r="L2040" s="99"/>
      <c r="M2040" s="100"/>
    </row>
    <row r="2041" spans="4:13" ht="20" thickBot="1">
      <c r="E2041" s="603">
        <v>45468</v>
      </c>
      <c r="F2041" s="606">
        <v>6.0000000000000001E-3</v>
      </c>
      <c r="G2041" s="606" t="s">
        <v>467</v>
      </c>
      <c r="H2041" s="606">
        <v>5.0000000000000001E-3</v>
      </c>
      <c r="I2041" s="998"/>
      <c r="J2041" s="999"/>
      <c r="K2041" s="1000"/>
      <c r="L2041" s="102"/>
      <c r="M2041" s="103"/>
    </row>
    <row r="2042" spans="4:13" ht="25" thickBot="1">
      <c r="D2042">
        <v>2</v>
      </c>
      <c r="E2042" s="598" t="s">
        <v>30</v>
      </c>
      <c r="F2042" s="1102" t="s">
        <v>1302</v>
      </c>
      <c r="G2042" s="1103"/>
      <c r="H2042" s="1104"/>
      <c r="I2042" s="1131" t="s">
        <v>633</v>
      </c>
      <c r="J2042" s="1129"/>
      <c r="K2042" s="1130"/>
      <c r="L2042" s="158" t="s">
        <v>430</v>
      </c>
      <c r="M2042" s="105" t="s">
        <v>431</v>
      </c>
    </row>
    <row r="2043" spans="4:13">
      <c r="E2043" s="599" t="s">
        <v>432</v>
      </c>
      <c r="F2043" s="1105"/>
      <c r="G2043" s="1106"/>
      <c r="H2043" s="1107"/>
      <c r="I2043" s="995" t="s">
        <v>1303</v>
      </c>
      <c r="J2043" s="996"/>
      <c r="K2043" s="997"/>
      <c r="L2043" s="99"/>
      <c r="M2043" s="100"/>
    </row>
    <row r="2044" spans="4:13">
      <c r="E2044" s="600" t="s">
        <v>433</v>
      </c>
      <c r="F2044" s="1118">
        <v>-4.0000000000000001E-3</v>
      </c>
      <c r="G2044" s="1119"/>
      <c r="H2044" s="1120"/>
      <c r="I2044" s="995"/>
      <c r="J2044" s="996"/>
      <c r="K2044" s="997"/>
      <c r="L2044" s="99"/>
      <c r="M2044" s="100"/>
    </row>
    <row r="2045" spans="4:13" ht="20" thickBot="1">
      <c r="E2045" s="600" t="s">
        <v>434</v>
      </c>
      <c r="F2045" s="1118">
        <v>2E-3</v>
      </c>
      <c r="G2045" s="1119"/>
      <c r="H2045" s="1120"/>
      <c r="I2045" s="995"/>
      <c r="J2045" s="996"/>
      <c r="K2045" s="997"/>
      <c r="L2045" s="99"/>
      <c r="M2045" s="100"/>
    </row>
    <row r="2046" spans="4:13" ht="20" thickBot="1">
      <c r="E2046" s="601" t="s">
        <v>435</v>
      </c>
      <c r="F2046" s="1114">
        <v>0.5625</v>
      </c>
      <c r="G2046" s="1115"/>
      <c r="H2046" s="1116"/>
      <c r="I2046" s="995"/>
      <c r="J2046" s="996"/>
      <c r="K2046" s="997"/>
      <c r="L2046" s="106">
        <v>0.79166666666666663</v>
      </c>
      <c r="M2046" s="107">
        <v>0.64583333333333326</v>
      </c>
    </row>
    <row r="2047" spans="4:13" ht="20" thickBot="1">
      <c r="E2047" s="602" t="s">
        <v>436</v>
      </c>
      <c r="F2047" s="252" t="s">
        <v>29</v>
      </c>
      <c r="G2047" s="252" t="s">
        <v>28</v>
      </c>
      <c r="H2047" s="253" t="s">
        <v>27</v>
      </c>
      <c r="I2047" s="995"/>
      <c r="J2047" s="996"/>
      <c r="K2047" s="997"/>
      <c r="L2047" s="330"/>
      <c r="M2047" s="331"/>
    </row>
    <row r="2048" spans="4:13">
      <c r="E2048" s="603">
        <v>45623</v>
      </c>
      <c r="F2048" s="606">
        <v>2E-3</v>
      </c>
      <c r="G2048" s="606" t="s">
        <v>1315</v>
      </c>
      <c r="H2048" s="606">
        <v>-4.0000000000000001E-3</v>
      </c>
      <c r="I2048" s="995"/>
      <c r="J2048" s="996"/>
      <c r="K2048" s="997"/>
      <c r="L2048" s="99"/>
      <c r="M2048" s="100"/>
    </row>
    <row r="2049" spans="4:13">
      <c r="E2049" s="603">
        <v>45590</v>
      </c>
      <c r="F2049" s="606">
        <v>-8.0000000000000002E-3</v>
      </c>
      <c r="G2049" s="606" t="s">
        <v>1110</v>
      </c>
      <c r="H2049" s="606">
        <v>-8.0000000000000002E-3</v>
      </c>
      <c r="I2049" s="995"/>
      <c r="J2049" s="996"/>
      <c r="K2049" s="997"/>
      <c r="L2049" s="99"/>
      <c r="M2049" s="100"/>
    </row>
    <row r="2050" spans="4:13">
      <c r="E2050" s="603">
        <v>45561</v>
      </c>
      <c r="F2050" s="606">
        <v>0</v>
      </c>
      <c r="G2050" s="606" t="s">
        <v>778</v>
      </c>
      <c r="H2050" s="606">
        <v>9.9000000000000005E-2</v>
      </c>
      <c r="I2050" s="995"/>
      <c r="J2050" s="996"/>
      <c r="K2050" s="997"/>
      <c r="L2050" s="101"/>
      <c r="M2050" s="100"/>
    </row>
    <row r="2051" spans="4:13">
      <c r="E2051" s="603">
        <v>45530</v>
      </c>
      <c r="F2051" s="606">
        <v>9.9000000000000005E-2</v>
      </c>
      <c r="G2051" s="606" t="s">
        <v>630</v>
      </c>
      <c r="H2051" s="606">
        <v>-6.9000000000000006E-2</v>
      </c>
      <c r="I2051" s="995"/>
      <c r="J2051" s="996"/>
      <c r="K2051" s="997"/>
      <c r="L2051" s="99"/>
      <c r="M2051" s="100"/>
    </row>
    <row r="2052" spans="4:13">
      <c r="E2052" s="603">
        <v>45498</v>
      </c>
      <c r="F2052" s="606">
        <v>-6.6000000000000003E-2</v>
      </c>
      <c r="G2052" s="606" t="s">
        <v>467</v>
      </c>
      <c r="H2052" s="606">
        <v>1E-3</v>
      </c>
      <c r="I2052" s="995"/>
      <c r="J2052" s="996"/>
      <c r="K2052" s="997"/>
      <c r="L2052" s="99"/>
      <c r="M2052" s="100"/>
    </row>
    <row r="2053" spans="4:13" ht="20" thickBot="1">
      <c r="E2053" s="603">
        <v>45470</v>
      </c>
      <c r="F2053" s="606">
        <v>1E-3</v>
      </c>
      <c r="G2053" s="606" t="s">
        <v>782</v>
      </c>
      <c r="H2053" s="606">
        <v>2E-3</v>
      </c>
      <c r="I2053" s="998"/>
      <c r="J2053" s="999"/>
      <c r="K2053" s="1000"/>
      <c r="L2053" s="102"/>
      <c r="M2053" s="103"/>
    </row>
    <row r="2054" spans="4:13" ht="25" thickBot="1">
      <c r="D2054" t="s">
        <v>105</v>
      </c>
      <c r="E2054" s="598" t="s">
        <v>30</v>
      </c>
      <c r="F2054" s="1102" t="s">
        <v>1304</v>
      </c>
      <c r="G2054" s="1103"/>
      <c r="H2054" s="1104"/>
      <c r="I2054" s="1131" t="s">
        <v>633</v>
      </c>
      <c r="J2054" s="1129"/>
      <c r="K2054" s="1130"/>
      <c r="L2054" s="158" t="s">
        <v>430</v>
      </c>
      <c r="M2054" s="105" t="s">
        <v>431</v>
      </c>
    </row>
    <row r="2055" spans="4:13">
      <c r="E2055" s="599" t="s">
        <v>432</v>
      </c>
      <c r="F2055" s="1105"/>
      <c r="G2055" s="1106"/>
      <c r="H2055" s="1107"/>
      <c r="I2055" s="995" t="s">
        <v>1307</v>
      </c>
      <c r="J2055" s="996"/>
      <c r="K2055" s="997"/>
      <c r="L2055" s="99"/>
      <c r="M2055" s="100"/>
    </row>
    <row r="2056" spans="4:13">
      <c r="E2056" s="600" t="s">
        <v>433</v>
      </c>
      <c r="F2056" s="1118" t="s">
        <v>1305</v>
      </c>
      <c r="G2056" s="1119"/>
      <c r="H2056" s="1120"/>
      <c r="I2056" s="995"/>
      <c r="J2056" s="996"/>
      <c r="K2056" s="997"/>
      <c r="L2056" s="99"/>
      <c r="M2056" s="100"/>
    </row>
    <row r="2057" spans="4:13" ht="20" thickBot="1">
      <c r="E2057" s="600" t="s">
        <v>434</v>
      </c>
      <c r="F2057" s="1118" t="s">
        <v>1306</v>
      </c>
      <c r="G2057" s="1119"/>
      <c r="H2057" s="1120"/>
      <c r="I2057" s="995"/>
      <c r="J2057" s="996"/>
      <c r="K2057" s="997"/>
      <c r="L2057" s="99"/>
      <c r="M2057" s="100"/>
    </row>
    <row r="2058" spans="4:13" ht="20" thickBot="1">
      <c r="E2058" s="601" t="s">
        <v>435</v>
      </c>
      <c r="F2058" s="1114">
        <v>0.625</v>
      </c>
      <c r="G2058" s="1115"/>
      <c r="H2058" s="1116"/>
      <c r="I2058" s="995"/>
      <c r="J2058" s="996"/>
      <c r="K2058" s="997"/>
      <c r="L2058" s="106">
        <v>0.85416666666666663</v>
      </c>
      <c r="M2058" s="107">
        <v>0.70833333333333326</v>
      </c>
    </row>
    <row r="2059" spans="4:13" ht="20" thickBot="1">
      <c r="E2059" s="602" t="s">
        <v>436</v>
      </c>
      <c r="F2059" s="252" t="s">
        <v>29</v>
      </c>
      <c r="G2059" s="252" t="s">
        <v>28</v>
      </c>
      <c r="H2059" s="253" t="s">
        <v>27</v>
      </c>
      <c r="I2059" s="995"/>
      <c r="J2059" s="996"/>
      <c r="K2059" s="997"/>
      <c r="L2059" s="99"/>
      <c r="M2059" s="100"/>
    </row>
    <row r="2060" spans="4:13">
      <c r="E2060" s="603">
        <v>45622</v>
      </c>
      <c r="F2060" s="606" t="s">
        <v>1316</v>
      </c>
      <c r="G2060" s="606" t="s">
        <v>1317</v>
      </c>
      <c r="H2060" s="606" t="s">
        <v>1092</v>
      </c>
      <c r="I2060" s="995"/>
      <c r="J2060" s="996"/>
      <c r="K2060" s="997"/>
      <c r="L2060" s="99"/>
      <c r="M2060" s="100"/>
    </row>
    <row r="2061" spans="4:13">
      <c r="E2061" s="603">
        <v>45589</v>
      </c>
      <c r="F2061" s="606" t="s">
        <v>1092</v>
      </c>
      <c r="G2061" s="606" t="s">
        <v>1093</v>
      </c>
      <c r="H2061" s="606" t="s">
        <v>1094</v>
      </c>
      <c r="I2061" s="995"/>
      <c r="J2061" s="996"/>
      <c r="K2061" s="997"/>
      <c r="L2061" s="99"/>
      <c r="M2061" s="100"/>
    </row>
    <row r="2062" spans="4:13">
      <c r="E2062" s="603">
        <v>45560</v>
      </c>
      <c r="F2062" s="606" t="s">
        <v>1095</v>
      </c>
      <c r="G2062" s="606" t="s">
        <v>1096</v>
      </c>
      <c r="H2062" s="606" t="s">
        <v>1097</v>
      </c>
      <c r="I2062" s="995"/>
      <c r="J2062" s="996"/>
      <c r="K2062" s="997"/>
      <c r="L2062" s="101"/>
      <c r="M2062" s="100"/>
    </row>
    <row r="2063" spans="4:13">
      <c r="E2063" s="603">
        <v>45527</v>
      </c>
      <c r="F2063" s="606" t="s">
        <v>1098</v>
      </c>
      <c r="G2063" s="606" t="s">
        <v>1099</v>
      </c>
      <c r="H2063" s="606" t="s">
        <v>1100</v>
      </c>
      <c r="I2063" s="995"/>
      <c r="J2063" s="996"/>
      <c r="K2063" s="997"/>
      <c r="L2063" s="99"/>
      <c r="M2063" s="100"/>
    </row>
    <row r="2064" spans="4:13">
      <c r="E2064" s="603">
        <v>45497</v>
      </c>
      <c r="F2064" s="606" t="s">
        <v>1101</v>
      </c>
      <c r="G2064" s="606" t="s">
        <v>1102</v>
      </c>
      <c r="H2064" s="606" t="s">
        <v>1103</v>
      </c>
      <c r="I2064" s="995"/>
      <c r="J2064" s="996"/>
      <c r="K2064" s="997"/>
      <c r="L2064" s="99"/>
      <c r="M2064" s="100"/>
    </row>
    <row r="2065" spans="4:13" ht="20" thickBot="1">
      <c r="E2065" s="603">
        <v>45469</v>
      </c>
      <c r="F2065" s="606" t="s">
        <v>1104</v>
      </c>
      <c r="G2065" s="606" t="s">
        <v>1105</v>
      </c>
      <c r="H2065" s="606" t="s">
        <v>1106</v>
      </c>
      <c r="I2065" s="998"/>
      <c r="J2065" s="999"/>
      <c r="K2065" s="1000"/>
      <c r="L2065" s="102"/>
      <c r="M2065" s="103"/>
    </row>
    <row r="2066" spans="4:13" ht="25" thickBot="1">
      <c r="D2066">
        <v>3</v>
      </c>
      <c r="E2066" s="598" t="s">
        <v>30</v>
      </c>
      <c r="F2066" s="1102" t="s">
        <v>1308</v>
      </c>
      <c r="G2066" s="1103"/>
      <c r="H2066" s="1104"/>
      <c r="I2066" s="1131" t="s">
        <v>633</v>
      </c>
      <c r="J2066" s="1129"/>
      <c r="K2066" s="1130"/>
      <c r="L2066" s="158" t="s">
        <v>430</v>
      </c>
      <c r="M2066" s="105" t="s">
        <v>431</v>
      </c>
    </row>
    <row r="2067" spans="4:13">
      <c r="E2067" s="599" t="s">
        <v>432</v>
      </c>
      <c r="F2067" s="1105"/>
      <c r="G2067" s="1106"/>
      <c r="H2067" s="1107"/>
      <c r="I2067" s="995">
        <v>0</v>
      </c>
      <c r="J2067" s="996"/>
      <c r="K2067" s="997"/>
      <c r="L2067" s="99"/>
      <c r="M2067" s="100"/>
    </row>
    <row r="2068" spans="4:13">
      <c r="E2068" s="600" t="s">
        <v>433</v>
      </c>
      <c r="F2068" s="1118">
        <v>0</v>
      </c>
      <c r="G2068" s="1119"/>
      <c r="H2068" s="1120"/>
      <c r="I2068" s="995"/>
      <c r="J2068" s="996"/>
      <c r="K2068" s="997"/>
      <c r="L2068" s="99"/>
      <c r="M2068" s="100"/>
    </row>
    <row r="2069" spans="4:13" ht="20" thickBot="1">
      <c r="E2069" s="600" t="s">
        <v>434</v>
      </c>
      <c r="F2069" s="1118" t="s">
        <v>931</v>
      </c>
      <c r="G2069" s="1119"/>
      <c r="H2069" s="1120"/>
      <c r="I2069" s="995"/>
      <c r="J2069" s="996"/>
      <c r="K2069" s="997"/>
      <c r="L2069" s="99"/>
      <c r="M2069" s="100"/>
    </row>
    <row r="2070" spans="4:13" ht="20" thickBot="1">
      <c r="E2070" s="601" t="s">
        <v>435</v>
      </c>
      <c r="F2070" s="1114">
        <v>0</v>
      </c>
      <c r="G2070" s="1115"/>
      <c r="H2070" s="1116"/>
      <c r="I2070" s="995"/>
      <c r="J2070" s="996"/>
      <c r="K2070" s="997"/>
      <c r="L2070" s="106">
        <v>0.22916666666666666</v>
      </c>
      <c r="M2070" s="107">
        <v>8.3333333333333315E-2</v>
      </c>
    </row>
    <row r="2071" spans="4:13" ht="20" thickBot="1">
      <c r="E2071" s="602" t="s">
        <v>436</v>
      </c>
      <c r="F2071" s="252" t="s">
        <v>29</v>
      </c>
      <c r="G2071" s="252" t="s">
        <v>28</v>
      </c>
      <c r="H2071" s="253" t="s">
        <v>27</v>
      </c>
      <c r="I2071" s="995"/>
      <c r="J2071" s="996"/>
      <c r="K2071" s="997"/>
      <c r="L2071" s="99"/>
      <c r="M2071" s="100"/>
    </row>
    <row r="2072" spans="4:13">
      <c r="E2072" s="603">
        <v>45616</v>
      </c>
      <c r="F2072" s="345">
        <v>2.3E-2</v>
      </c>
      <c r="G2072" s="345" t="s">
        <v>490</v>
      </c>
      <c r="H2072" s="345">
        <v>1.7000000000000001E-2</v>
      </c>
      <c r="I2072" s="995"/>
      <c r="J2072" s="996"/>
      <c r="K2072" s="997"/>
      <c r="L2072" s="99"/>
      <c r="M2072" s="100"/>
    </row>
    <row r="2073" spans="4:13">
      <c r="E2073" s="603">
        <v>45581</v>
      </c>
      <c r="F2073" s="345">
        <v>1.7000000000000001E-2</v>
      </c>
      <c r="G2073" s="345" t="s">
        <v>789</v>
      </c>
      <c r="H2073" s="345">
        <v>2.1999999999999999E-2</v>
      </c>
      <c r="I2073" s="995"/>
      <c r="J2073" s="996"/>
      <c r="K2073" s="997"/>
      <c r="L2073" s="99"/>
      <c r="M2073" s="100"/>
    </row>
    <row r="2074" spans="4:13">
      <c r="E2074" s="603">
        <v>45553</v>
      </c>
      <c r="F2074" s="345">
        <v>2.1999999999999999E-2</v>
      </c>
      <c r="G2074" s="345" t="s">
        <v>490</v>
      </c>
      <c r="H2074" s="345">
        <v>2.1999999999999999E-2</v>
      </c>
      <c r="I2074" s="995"/>
      <c r="J2074" s="996"/>
      <c r="K2074" s="997"/>
      <c r="L2074" s="101"/>
      <c r="M2074" s="100"/>
    </row>
    <row r="2075" spans="4:13">
      <c r="E2075" s="603">
        <v>45518</v>
      </c>
      <c r="F2075" s="345">
        <v>2.1999999999999999E-2</v>
      </c>
      <c r="G2075" s="345" t="s">
        <v>971</v>
      </c>
      <c r="H2075" s="345">
        <v>0.02</v>
      </c>
      <c r="I2075" s="995"/>
      <c r="J2075" s="996"/>
      <c r="K2075" s="997"/>
      <c r="L2075" s="99"/>
      <c r="M2075" s="100"/>
    </row>
    <row r="2076" spans="4:13">
      <c r="E2076" s="603">
        <v>45490</v>
      </c>
      <c r="F2076" s="345">
        <v>0.02</v>
      </c>
      <c r="G2076" s="345" t="s">
        <v>789</v>
      </c>
      <c r="H2076" s="345">
        <v>0.02</v>
      </c>
      <c r="I2076" s="995"/>
      <c r="J2076" s="996"/>
      <c r="K2076" s="997"/>
      <c r="L2076" s="99"/>
      <c r="M2076" s="100"/>
    </row>
    <row r="2077" spans="4:13" ht="20" thickBot="1">
      <c r="E2077" s="603">
        <v>45462</v>
      </c>
      <c r="F2077" s="345">
        <v>0.02</v>
      </c>
      <c r="G2077" s="345" t="s">
        <v>788</v>
      </c>
      <c r="H2077" s="345">
        <v>2.3E-2</v>
      </c>
      <c r="I2077" s="998"/>
      <c r="J2077" s="999"/>
      <c r="K2077" s="1000"/>
      <c r="L2077" s="102"/>
      <c r="M2077" s="103"/>
    </row>
    <row r="2078" spans="4:13" ht="25" thickBot="1">
      <c r="D2078">
        <v>4</v>
      </c>
      <c r="E2078" s="598" t="s">
        <v>30</v>
      </c>
      <c r="F2078" s="1102" t="s">
        <v>1309</v>
      </c>
      <c r="G2078" s="1103"/>
      <c r="H2078" s="1104"/>
      <c r="I2078" s="1131" t="s">
        <v>633</v>
      </c>
      <c r="J2078" s="1129"/>
      <c r="K2078" s="1130"/>
      <c r="L2078" s="158" t="s">
        <v>430</v>
      </c>
      <c r="M2078" s="105" t="s">
        <v>431</v>
      </c>
    </row>
    <row r="2079" spans="4:13">
      <c r="E2079" s="599" t="s">
        <v>432</v>
      </c>
      <c r="F2079" s="1105"/>
      <c r="G2079" s="1106"/>
      <c r="H2079" s="1107"/>
      <c r="I2079" s="995" t="s">
        <v>1310</v>
      </c>
      <c r="J2079" s="996"/>
      <c r="K2079" s="997"/>
      <c r="L2079" s="99"/>
      <c r="M2079" s="100"/>
    </row>
    <row r="2080" spans="4:13">
      <c r="E2080" s="600" t="s">
        <v>433</v>
      </c>
      <c r="F2080" s="1118"/>
      <c r="G2080" s="1119"/>
      <c r="H2080" s="1120"/>
      <c r="I2080" s="995"/>
      <c r="J2080" s="996"/>
      <c r="K2080" s="997"/>
      <c r="L2080" s="99"/>
      <c r="M2080" s="100"/>
    </row>
    <row r="2081" spans="4:13" ht="20" thickBot="1">
      <c r="E2081" s="600" t="s">
        <v>434</v>
      </c>
      <c r="F2081" s="1118" t="s">
        <v>931</v>
      </c>
      <c r="G2081" s="1119"/>
      <c r="H2081" s="1120"/>
      <c r="I2081" s="995"/>
      <c r="J2081" s="996"/>
      <c r="K2081" s="997"/>
      <c r="L2081" s="99"/>
      <c r="M2081" s="100"/>
    </row>
    <row r="2082" spans="4:13" ht="20" thickBot="1">
      <c r="E2082" s="601" t="s">
        <v>435</v>
      </c>
      <c r="F2082" s="1114">
        <v>0.5625</v>
      </c>
      <c r="G2082" s="1115"/>
      <c r="H2082" s="1116"/>
      <c r="I2082" s="995"/>
      <c r="J2082" s="996"/>
      <c r="K2082" s="997"/>
      <c r="L2082" s="106">
        <v>0.79166666666666663</v>
      </c>
      <c r="M2082" s="107">
        <v>0.64583333333333326</v>
      </c>
    </row>
    <row r="2083" spans="4:13" ht="20" thickBot="1">
      <c r="E2083" s="602" t="s">
        <v>436</v>
      </c>
      <c r="F2083" s="252" t="s">
        <v>29</v>
      </c>
      <c r="G2083" s="252" t="s">
        <v>28</v>
      </c>
      <c r="H2083" s="253" t="s">
        <v>27</v>
      </c>
      <c r="I2083" s="995"/>
      <c r="J2083" s="996"/>
      <c r="K2083" s="997"/>
      <c r="L2083" s="99"/>
      <c r="M2083" s="100"/>
    </row>
    <row r="2084" spans="4:13">
      <c r="E2084" s="603">
        <v>45645</v>
      </c>
      <c r="F2084" s="345" t="s">
        <v>1112</v>
      </c>
      <c r="G2084" s="345" t="s">
        <v>976</v>
      </c>
      <c r="H2084" s="345" t="s">
        <v>980</v>
      </c>
      <c r="I2084" s="995"/>
      <c r="J2084" s="996"/>
      <c r="K2084" s="997"/>
      <c r="L2084" s="99"/>
      <c r="M2084" s="100"/>
    </row>
    <row r="2085" spans="4:13">
      <c r="E2085" s="603">
        <v>45638</v>
      </c>
      <c r="F2085" s="345" t="s">
        <v>980</v>
      </c>
      <c r="G2085" s="345" t="s">
        <v>972</v>
      </c>
      <c r="H2085" s="345" t="s">
        <v>985</v>
      </c>
      <c r="I2085" s="995"/>
      <c r="J2085" s="996"/>
      <c r="K2085" s="997"/>
      <c r="L2085" s="99"/>
      <c r="M2085" s="100"/>
    </row>
    <row r="2086" spans="4:13">
      <c r="E2086" s="603">
        <v>45631</v>
      </c>
      <c r="F2086" s="345" t="s">
        <v>1032</v>
      </c>
      <c r="G2086" s="345" t="s">
        <v>1232</v>
      </c>
      <c r="H2086" s="345" t="s">
        <v>1232</v>
      </c>
      <c r="I2086" s="995"/>
      <c r="J2086" s="996"/>
      <c r="K2086" s="997"/>
      <c r="L2086" s="101"/>
      <c r="M2086" s="100"/>
    </row>
    <row r="2087" spans="4:13">
      <c r="E2087" s="603">
        <v>45623</v>
      </c>
      <c r="F2087" s="345" t="s">
        <v>1111</v>
      </c>
      <c r="G2087" s="345" t="s">
        <v>1232</v>
      </c>
      <c r="H2087" s="345" t="s">
        <v>1232</v>
      </c>
      <c r="I2087" s="995"/>
      <c r="J2087" s="996"/>
      <c r="K2087" s="997"/>
      <c r="L2087" s="99"/>
      <c r="M2087" s="100"/>
    </row>
    <row r="2088" spans="4:13">
      <c r="E2088" s="603">
        <v>45617</v>
      </c>
      <c r="F2088" s="345" t="s">
        <v>1111</v>
      </c>
      <c r="G2088" s="345" t="s">
        <v>1112</v>
      </c>
      <c r="H2088" s="345" t="s">
        <v>987</v>
      </c>
      <c r="I2088" s="995"/>
      <c r="J2088" s="996"/>
      <c r="K2088" s="997"/>
      <c r="L2088" s="99"/>
      <c r="M2088" s="100"/>
    </row>
    <row r="2089" spans="4:13" ht="20" thickBot="1">
      <c r="E2089" s="603">
        <v>45610</v>
      </c>
      <c r="F2089" s="345" t="s">
        <v>1031</v>
      </c>
      <c r="G2089" s="345" t="s">
        <v>1032</v>
      </c>
      <c r="H2089" s="345" t="s">
        <v>972</v>
      </c>
      <c r="I2089" s="998"/>
      <c r="J2089" s="999"/>
      <c r="K2089" s="1000"/>
      <c r="L2089" s="102"/>
      <c r="M2089" s="103"/>
    </row>
    <row r="2090" spans="4:13" ht="25" thickBot="1">
      <c r="D2090">
        <v>4</v>
      </c>
      <c r="E2090" s="598" t="s">
        <v>30</v>
      </c>
      <c r="F2090" s="1102" t="s">
        <v>9</v>
      </c>
      <c r="G2090" s="1103"/>
      <c r="H2090" s="1104"/>
      <c r="I2090" s="1131" t="s">
        <v>633</v>
      </c>
      <c r="J2090" s="1129"/>
      <c r="K2090" s="1130"/>
      <c r="L2090" s="158" t="s">
        <v>430</v>
      </c>
      <c r="M2090" s="105" t="s">
        <v>431</v>
      </c>
    </row>
    <row r="2091" spans="4:13">
      <c r="E2091" s="599" t="s">
        <v>432</v>
      </c>
      <c r="F2091" s="1105"/>
      <c r="G2091" s="1106"/>
      <c r="H2091" s="1107"/>
      <c r="I2091" s="995" t="s">
        <v>1312</v>
      </c>
      <c r="J2091" s="996"/>
      <c r="K2091" s="997"/>
      <c r="L2091" s="99"/>
      <c r="M2091" s="100"/>
    </row>
    <row r="2092" spans="4:13">
      <c r="E2092" s="600" t="s">
        <v>433</v>
      </c>
      <c r="F2092" s="1111"/>
      <c r="G2092" s="1112"/>
      <c r="H2092" s="1113"/>
      <c r="I2092" s="995"/>
      <c r="J2092" s="996"/>
      <c r="K2092" s="997"/>
      <c r="L2092" s="99"/>
      <c r="M2092" s="100"/>
    </row>
    <row r="2093" spans="4:13" ht="20" thickBot="1">
      <c r="E2093" s="600" t="s">
        <v>434</v>
      </c>
      <c r="F2093" s="1108" t="s">
        <v>1311</v>
      </c>
      <c r="G2093" s="1109"/>
      <c r="H2093" s="1110"/>
      <c r="I2093" s="995"/>
      <c r="J2093" s="996"/>
      <c r="K2093" s="997"/>
      <c r="L2093" s="99"/>
      <c r="M2093" s="100"/>
    </row>
    <row r="2094" spans="4:13" ht="20" thickBot="1">
      <c r="E2094" s="601" t="s">
        <v>435</v>
      </c>
      <c r="F2094" s="1114">
        <v>0.66666666666666674</v>
      </c>
      <c r="G2094" s="1115"/>
      <c r="H2094" s="1116"/>
      <c r="I2094" s="995"/>
      <c r="J2094" s="996"/>
      <c r="K2094" s="997"/>
      <c r="L2094" s="106">
        <v>0.89583333333333337</v>
      </c>
      <c r="M2094" s="107">
        <v>0.75</v>
      </c>
    </row>
    <row r="2095" spans="4:13" ht="20" thickBot="1">
      <c r="E2095" s="602" t="s">
        <v>436</v>
      </c>
      <c r="F2095" s="252" t="s">
        <v>29</v>
      </c>
      <c r="G2095" s="252" t="s">
        <v>28</v>
      </c>
      <c r="H2095" s="253" t="s">
        <v>27</v>
      </c>
      <c r="I2095" s="995"/>
      <c r="J2095" s="996"/>
      <c r="K2095" s="997"/>
      <c r="L2095" s="99"/>
      <c r="M2095" s="100"/>
    </row>
    <row r="2096" spans="4:13">
      <c r="E2096" s="603">
        <v>45644</v>
      </c>
      <c r="F2096" s="256" t="s">
        <v>1318</v>
      </c>
      <c r="G2096" s="256" t="s">
        <v>1289</v>
      </c>
      <c r="H2096" s="256" t="s">
        <v>1286</v>
      </c>
      <c r="I2096" s="995"/>
      <c r="J2096" s="996"/>
      <c r="K2096" s="997"/>
      <c r="L2096" s="99"/>
      <c r="M2096" s="100"/>
    </row>
    <row r="2097" spans="3:13">
      <c r="E2097" s="603">
        <v>45637</v>
      </c>
      <c r="F2097" s="256" t="s">
        <v>1286</v>
      </c>
      <c r="G2097" s="256" t="s">
        <v>1287</v>
      </c>
      <c r="H2097" s="256" t="s">
        <v>1288</v>
      </c>
      <c r="I2097" s="995"/>
      <c r="J2097" s="996"/>
      <c r="K2097" s="997"/>
      <c r="L2097" s="99"/>
      <c r="M2097" s="100"/>
    </row>
    <row r="2098" spans="3:13">
      <c r="E2098" s="603">
        <v>45630</v>
      </c>
      <c r="F2098" s="256" t="s">
        <v>1288</v>
      </c>
      <c r="G2098" s="256" t="s">
        <v>1289</v>
      </c>
      <c r="H2098" s="256" t="s">
        <v>1230</v>
      </c>
      <c r="I2098" s="995"/>
      <c r="J2098" s="996"/>
      <c r="K2098" s="997"/>
      <c r="L2098" s="101"/>
      <c r="M2098" s="100"/>
    </row>
    <row r="2099" spans="3:13">
      <c r="E2099" s="603">
        <v>45623</v>
      </c>
      <c r="F2099" s="256" t="s">
        <v>1230</v>
      </c>
      <c r="G2099" s="256" t="s">
        <v>1231</v>
      </c>
      <c r="H2099" s="256" t="s">
        <v>1125</v>
      </c>
      <c r="I2099" s="995"/>
      <c r="J2099" s="996"/>
      <c r="K2099" s="997"/>
      <c r="L2099" s="99"/>
      <c r="M2099" s="100"/>
    </row>
    <row r="2100" spans="3:13">
      <c r="E2100" s="603">
        <v>45616</v>
      </c>
      <c r="F2100" s="256" t="s">
        <v>1125</v>
      </c>
      <c r="G2100" s="256" t="s">
        <v>1030</v>
      </c>
      <c r="H2100" s="256" t="s">
        <v>1029</v>
      </c>
      <c r="I2100" s="995"/>
      <c r="J2100" s="996"/>
      <c r="K2100" s="997"/>
      <c r="L2100" s="99"/>
      <c r="M2100" s="100"/>
    </row>
    <row r="2101" spans="3:13" ht="20" thickBot="1">
      <c r="E2101" s="603">
        <v>45610</v>
      </c>
      <c r="F2101" s="256" t="s">
        <v>1029</v>
      </c>
      <c r="G2101" s="256" t="s">
        <v>1030</v>
      </c>
      <c r="H2101" s="256" t="s">
        <v>988</v>
      </c>
      <c r="I2101" s="998"/>
      <c r="J2101" s="999"/>
      <c r="K2101" s="1000"/>
      <c r="L2101" s="102"/>
      <c r="M2101" s="103"/>
    </row>
    <row r="2102" spans="3:13" ht="25" thickBot="1">
      <c r="C2102" t="s">
        <v>105</v>
      </c>
      <c r="D2102">
        <v>1</v>
      </c>
      <c r="E2102" s="598" t="s">
        <v>30</v>
      </c>
      <c r="F2102" s="1102" t="s">
        <v>1319</v>
      </c>
      <c r="G2102" s="1103"/>
      <c r="H2102" s="1104"/>
      <c r="I2102" s="1131" t="s">
        <v>633</v>
      </c>
      <c r="J2102" s="1129"/>
      <c r="K2102" s="1130"/>
      <c r="L2102" s="158" t="s">
        <v>430</v>
      </c>
      <c r="M2102" s="105" t="s">
        <v>431</v>
      </c>
    </row>
    <row r="2103" spans="3:13">
      <c r="E2103" s="599" t="s">
        <v>432</v>
      </c>
      <c r="F2103" s="1105"/>
      <c r="G2103" s="1106"/>
      <c r="H2103" s="1107"/>
      <c r="I2103" s="995" t="s">
        <v>1320</v>
      </c>
      <c r="J2103" s="996"/>
      <c r="K2103" s="997"/>
      <c r="L2103" s="99"/>
      <c r="M2103" s="100"/>
    </row>
    <row r="2104" spans="3:13">
      <c r="E2104" s="600" t="s">
        <v>433</v>
      </c>
      <c r="F2104" s="1141">
        <v>42.7</v>
      </c>
      <c r="G2104" s="1142"/>
      <c r="H2104" s="1143"/>
      <c r="I2104" s="995"/>
      <c r="J2104" s="996"/>
      <c r="K2104" s="997"/>
      <c r="L2104" s="99"/>
      <c r="M2104" s="100"/>
    </row>
    <row r="2105" spans="3:13" ht="20" thickBot="1">
      <c r="E2105" s="600" t="s">
        <v>434</v>
      </c>
      <c r="F2105" s="1141">
        <v>40.200000000000003</v>
      </c>
      <c r="G2105" s="1142"/>
      <c r="H2105" s="1143"/>
      <c r="I2105" s="995"/>
      <c r="J2105" s="996"/>
      <c r="K2105" s="997"/>
      <c r="L2105" s="99"/>
      <c r="M2105" s="100"/>
    </row>
    <row r="2106" spans="3:13" ht="20" thickBot="1">
      <c r="E2106" s="601" t="s">
        <v>435</v>
      </c>
      <c r="F2106" s="1114">
        <v>0.61458333333333337</v>
      </c>
      <c r="G2106" s="1115"/>
      <c r="H2106" s="1116"/>
      <c r="I2106" s="995"/>
      <c r="J2106" s="996"/>
      <c r="K2106" s="997"/>
      <c r="L2106" s="106">
        <v>0.84375</v>
      </c>
      <c r="M2106" s="107">
        <v>0.69791666666666663</v>
      </c>
    </row>
    <row r="2107" spans="3:13" ht="20" thickBot="1">
      <c r="E2107" s="602" t="s">
        <v>436</v>
      </c>
      <c r="F2107" s="252" t="s">
        <v>29</v>
      </c>
      <c r="G2107" s="252" t="s">
        <v>28</v>
      </c>
      <c r="H2107" s="253" t="s">
        <v>27</v>
      </c>
      <c r="I2107" s="995"/>
      <c r="J2107" s="996"/>
      <c r="K2107" s="997"/>
      <c r="L2107" s="99"/>
      <c r="M2107" s="100"/>
    </row>
    <row r="2108" spans="3:13">
      <c r="E2108" s="603">
        <v>45625</v>
      </c>
      <c r="F2108" s="256">
        <v>40.200000000000003</v>
      </c>
      <c r="G2108" s="256" t="s">
        <v>477</v>
      </c>
      <c r="H2108" s="256">
        <v>41.6</v>
      </c>
      <c r="I2108" s="995"/>
      <c r="J2108" s="996"/>
      <c r="K2108" s="997"/>
      <c r="L2108" s="99"/>
      <c r="M2108" s="100"/>
    </row>
    <row r="2109" spans="3:13">
      <c r="E2109" s="603">
        <v>45596</v>
      </c>
      <c r="F2109" s="256">
        <v>41.6</v>
      </c>
      <c r="G2109" s="256" t="s">
        <v>1126</v>
      </c>
      <c r="H2109" s="256">
        <v>46.6</v>
      </c>
      <c r="I2109" s="995"/>
      <c r="J2109" s="996"/>
      <c r="K2109" s="997"/>
      <c r="L2109" s="99"/>
      <c r="M2109" s="100"/>
    </row>
    <row r="2110" spans="3:13">
      <c r="E2110" s="603">
        <v>45565</v>
      </c>
      <c r="F2110" s="256">
        <v>46.6</v>
      </c>
      <c r="G2110" s="256" t="s">
        <v>899</v>
      </c>
      <c r="H2110" s="256">
        <v>46.1</v>
      </c>
      <c r="I2110" s="995"/>
      <c r="J2110" s="996"/>
      <c r="K2110" s="997"/>
      <c r="L2110" s="101"/>
      <c r="M2110" s="100"/>
    </row>
    <row r="2111" spans="3:13">
      <c r="E2111" s="603">
        <v>45534</v>
      </c>
      <c r="F2111" s="256">
        <v>46.1</v>
      </c>
      <c r="G2111" s="256" t="s">
        <v>473</v>
      </c>
      <c r="H2111" s="256">
        <v>45.3</v>
      </c>
      <c r="I2111" s="995"/>
      <c r="J2111" s="996"/>
      <c r="K2111" s="997"/>
      <c r="L2111" s="99"/>
      <c r="M2111" s="100"/>
    </row>
    <row r="2112" spans="3:13">
      <c r="E2112" s="603">
        <v>45504</v>
      </c>
      <c r="F2112" s="256">
        <v>45.3</v>
      </c>
      <c r="G2112" s="256" t="s">
        <v>474</v>
      </c>
      <c r="H2112" s="256">
        <v>47.4</v>
      </c>
      <c r="I2112" s="995"/>
      <c r="J2112" s="996"/>
      <c r="K2112" s="997"/>
      <c r="L2112" s="99"/>
      <c r="M2112" s="100"/>
    </row>
    <row r="2113" spans="4:13" ht="20" thickBot="1">
      <c r="E2113" s="603">
        <v>45471</v>
      </c>
      <c r="F2113" s="256">
        <v>47.4</v>
      </c>
      <c r="G2113" s="256" t="s">
        <v>475</v>
      </c>
      <c r="H2113" s="256">
        <v>35.4</v>
      </c>
      <c r="I2113" s="998"/>
      <c r="J2113" s="999"/>
      <c r="K2113" s="1000"/>
      <c r="L2113" s="102"/>
      <c r="M2113" s="103"/>
    </row>
    <row r="2114" spans="4:13" ht="25" thickBot="1">
      <c r="D2114">
        <v>2</v>
      </c>
      <c r="E2114" s="598" t="s">
        <v>30</v>
      </c>
      <c r="F2114" s="1102" t="s">
        <v>1321</v>
      </c>
      <c r="G2114" s="1103"/>
      <c r="H2114" s="1104"/>
      <c r="I2114" s="1131" t="s">
        <v>633</v>
      </c>
      <c r="J2114" s="1129"/>
      <c r="K2114" s="1130"/>
      <c r="L2114" s="158" t="s">
        <v>430</v>
      </c>
      <c r="M2114" s="105" t="s">
        <v>431</v>
      </c>
    </row>
    <row r="2115" spans="4:13">
      <c r="E2115" s="599" t="s">
        <v>432</v>
      </c>
      <c r="F2115" s="1105"/>
      <c r="G2115" s="1106"/>
      <c r="H2115" s="1107"/>
      <c r="I2115" s="995">
        <v>0</v>
      </c>
      <c r="J2115" s="996"/>
      <c r="K2115" s="997"/>
      <c r="L2115" s="99"/>
      <c r="M2115" s="100"/>
    </row>
    <row r="2116" spans="4:13">
      <c r="E2116" s="600" t="s">
        <v>433</v>
      </c>
      <c r="F2116" s="1117" t="s">
        <v>1090</v>
      </c>
      <c r="G2116" s="1109"/>
      <c r="H2116" s="1110"/>
      <c r="I2116" s="995"/>
      <c r="J2116" s="996"/>
      <c r="K2116" s="997"/>
      <c r="L2116" s="99"/>
      <c r="M2116" s="100"/>
    </row>
    <row r="2117" spans="4:13" ht="20" thickBot="1">
      <c r="E2117" s="600" t="s">
        <v>434</v>
      </c>
      <c r="F2117" s="1117">
        <v>0</v>
      </c>
      <c r="G2117" s="1109"/>
      <c r="H2117" s="1110"/>
      <c r="I2117" s="995"/>
      <c r="J2117" s="996"/>
      <c r="K2117" s="997"/>
      <c r="L2117" s="99"/>
      <c r="M2117" s="100"/>
    </row>
    <row r="2118" spans="4:13" ht="20" thickBot="1">
      <c r="E2118" s="601" t="s">
        <v>435</v>
      </c>
      <c r="F2118" s="1114">
        <v>0</v>
      </c>
      <c r="G2118" s="1115"/>
      <c r="H2118" s="1116"/>
      <c r="I2118" s="995"/>
      <c r="J2118" s="996"/>
      <c r="K2118" s="997"/>
      <c r="L2118" s="106">
        <v>0.22916666666666666</v>
      </c>
      <c r="M2118" s="107">
        <v>8.3333333333333315E-2</v>
      </c>
    </row>
    <row r="2119" spans="4:13" ht="20" thickBot="1">
      <c r="E2119" s="602" t="s">
        <v>436</v>
      </c>
      <c r="F2119" s="252" t="s">
        <v>29</v>
      </c>
      <c r="G2119" s="252" t="s">
        <v>28</v>
      </c>
      <c r="H2119" s="253" t="s">
        <v>27</v>
      </c>
      <c r="I2119" s="995"/>
      <c r="J2119" s="996"/>
      <c r="K2119" s="997"/>
      <c r="L2119" s="99"/>
      <c r="M2119" s="100"/>
    </row>
    <row r="2120" spans="4:13">
      <c r="E2120" s="603">
        <v>45642</v>
      </c>
      <c r="F2120" s="256">
        <v>58.5</v>
      </c>
      <c r="G2120" s="256" t="s">
        <v>1339</v>
      </c>
      <c r="H2120" s="256">
        <v>56.1</v>
      </c>
      <c r="I2120" s="995"/>
      <c r="J2120" s="996"/>
      <c r="K2120" s="997"/>
      <c r="L2120" s="99"/>
      <c r="M2120" s="100"/>
    </row>
    <row r="2121" spans="4:13">
      <c r="E2121" s="603">
        <v>45630</v>
      </c>
      <c r="F2121" s="256">
        <v>56.1</v>
      </c>
      <c r="G2121" s="256" t="s">
        <v>1285</v>
      </c>
      <c r="H2121" s="256">
        <v>55</v>
      </c>
      <c r="I2121" s="995"/>
      <c r="J2121" s="996"/>
      <c r="K2121" s="997"/>
      <c r="L2121" s="99"/>
      <c r="M2121" s="100"/>
    </row>
    <row r="2122" spans="4:13">
      <c r="E2122" s="603">
        <v>45618</v>
      </c>
      <c r="F2122" s="256">
        <v>57</v>
      </c>
      <c r="G2122" s="256" t="s">
        <v>586</v>
      </c>
      <c r="H2122" s="256">
        <v>55</v>
      </c>
      <c r="I2122" s="995"/>
      <c r="J2122" s="996"/>
      <c r="K2122" s="997"/>
      <c r="L2122" s="101"/>
      <c r="M2122" s="100"/>
    </row>
    <row r="2123" spans="4:13">
      <c r="E2123" s="603">
        <v>45601</v>
      </c>
      <c r="F2123" s="256">
        <v>55</v>
      </c>
      <c r="G2123" s="256" t="s">
        <v>585</v>
      </c>
      <c r="H2123" s="256">
        <v>55.2</v>
      </c>
      <c r="I2123" s="995"/>
      <c r="J2123" s="996"/>
      <c r="K2123" s="997"/>
      <c r="L2123" s="99"/>
      <c r="M2123" s="100"/>
    </row>
    <row r="2124" spans="4:13">
      <c r="E2124" s="603">
        <v>45589</v>
      </c>
      <c r="F2124" s="256">
        <v>55.3</v>
      </c>
      <c r="G2124" s="256" t="s">
        <v>604</v>
      </c>
      <c r="H2124" s="256">
        <v>55.2</v>
      </c>
      <c r="I2124" s="995"/>
      <c r="J2124" s="996"/>
      <c r="K2124" s="997"/>
      <c r="L2124" s="99"/>
      <c r="M2124" s="100"/>
    </row>
    <row r="2125" spans="4:13" ht="20" thickBot="1">
      <c r="E2125" s="603">
        <v>45568</v>
      </c>
      <c r="F2125" s="256">
        <v>55.2</v>
      </c>
      <c r="G2125" s="256" t="s">
        <v>759</v>
      </c>
      <c r="H2125" s="256">
        <v>55.7</v>
      </c>
      <c r="I2125" s="998"/>
      <c r="J2125" s="999"/>
      <c r="K2125" s="1000"/>
      <c r="L2125" s="102"/>
      <c r="M2125" s="103"/>
    </row>
    <row r="2126" spans="4:13" ht="25" thickBot="1">
      <c r="D2126">
        <v>3</v>
      </c>
      <c r="E2126" s="598" t="s">
        <v>30</v>
      </c>
      <c r="F2126" s="1102" t="s">
        <v>1322</v>
      </c>
      <c r="G2126" s="1103"/>
      <c r="H2126" s="1104"/>
      <c r="I2126" s="1131" t="s">
        <v>633</v>
      </c>
      <c r="J2126" s="1129"/>
      <c r="K2126" s="1130"/>
      <c r="L2126" s="158" t="s">
        <v>430</v>
      </c>
      <c r="M2126" s="105" t="s">
        <v>431</v>
      </c>
    </row>
    <row r="2127" spans="4:13">
      <c r="E2127" s="599" t="s">
        <v>432</v>
      </c>
      <c r="F2127" s="1105"/>
      <c r="G2127" s="1106"/>
      <c r="H2127" s="1107"/>
      <c r="I2127" s="995" t="s">
        <v>1323</v>
      </c>
      <c r="J2127" s="996"/>
      <c r="K2127" s="997"/>
      <c r="L2127" s="99"/>
      <c r="M2127" s="100"/>
    </row>
    <row r="2128" spans="4:13">
      <c r="E2128" s="600" t="s">
        <v>433</v>
      </c>
      <c r="F2128" s="1141">
        <v>50.3</v>
      </c>
      <c r="G2128" s="1142"/>
      <c r="H2128" s="1143"/>
      <c r="I2128" s="995"/>
      <c r="J2128" s="996"/>
      <c r="K2128" s="997"/>
      <c r="L2128" s="99"/>
      <c r="M2128" s="100"/>
    </row>
    <row r="2129" spans="4:13" ht="20" thickBot="1">
      <c r="E2129" s="600" t="s">
        <v>434</v>
      </c>
      <c r="F2129" s="1141">
        <v>50.3</v>
      </c>
      <c r="G2129" s="1142"/>
      <c r="H2129" s="1143"/>
      <c r="I2129" s="995"/>
      <c r="J2129" s="996"/>
      <c r="K2129" s="997"/>
      <c r="L2129" s="99"/>
      <c r="M2129" s="100"/>
    </row>
    <row r="2130" spans="4:13" ht="20" thickBot="1">
      <c r="E2130" s="601" t="s">
        <v>435</v>
      </c>
      <c r="F2130" s="1114">
        <v>6.2500000000000028E-2</v>
      </c>
      <c r="G2130" s="1115"/>
      <c r="H2130" s="1116"/>
      <c r="I2130" s="995"/>
      <c r="J2130" s="996"/>
      <c r="K2130" s="997"/>
      <c r="L2130" s="106">
        <v>0.29166666666666669</v>
      </c>
      <c r="M2130" s="107">
        <v>0.14583333333333334</v>
      </c>
    </row>
    <row r="2131" spans="4:13" ht="20" thickBot="1">
      <c r="E2131" s="602" t="s">
        <v>436</v>
      </c>
      <c r="F2131" s="252" t="s">
        <v>29</v>
      </c>
      <c r="G2131" s="252" t="s">
        <v>28</v>
      </c>
      <c r="H2131" s="253" t="s">
        <v>27</v>
      </c>
      <c r="I2131" s="995"/>
      <c r="J2131" s="996"/>
      <c r="K2131" s="997"/>
      <c r="L2131" s="330">
        <v>0.1875</v>
      </c>
      <c r="M2131" s="331">
        <v>4.1666666666666664E-2</v>
      </c>
    </row>
    <row r="2132" spans="4:13">
      <c r="E2132" s="603">
        <v>45626</v>
      </c>
      <c r="F2132" s="256">
        <v>50.3</v>
      </c>
      <c r="G2132" s="256" t="s">
        <v>1340</v>
      </c>
      <c r="H2132" s="256">
        <v>50.1</v>
      </c>
      <c r="I2132" s="995"/>
      <c r="J2132" s="996"/>
      <c r="K2132" s="997"/>
      <c r="L2132" s="99"/>
      <c r="M2132" s="100"/>
    </row>
    <row r="2133" spans="4:13">
      <c r="E2133" s="603">
        <v>45596</v>
      </c>
      <c r="F2133" s="256">
        <v>50.1</v>
      </c>
      <c r="G2133" s="256" t="s">
        <v>513</v>
      </c>
      <c r="H2133" s="256">
        <v>49.8</v>
      </c>
      <c r="I2133" s="995"/>
      <c r="J2133" s="996"/>
      <c r="K2133" s="997"/>
      <c r="L2133" s="99"/>
      <c r="M2133" s="100"/>
    </row>
    <row r="2134" spans="4:13">
      <c r="E2134" s="603">
        <v>45565</v>
      </c>
      <c r="F2134" s="256">
        <v>49.8</v>
      </c>
      <c r="G2134" s="256" t="s">
        <v>440</v>
      </c>
      <c r="H2134" s="256">
        <v>49.1</v>
      </c>
      <c r="I2134" s="995"/>
      <c r="J2134" s="996"/>
      <c r="K2134" s="997"/>
      <c r="L2134" s="101"/>
      <c r="M2134" s="100"/>
    </row>
    <row r="2135" spans="4:13">
      <c r="E2135" s="603">
        <v>45535</v>
      </c>
      <c r="F2135" s="256">
        <v>49.1</v>
      </c>
      <c r="G2135" s="256" t="s">
        <v>438</v>
      </c>
      <c r="H2135" s="256">
        <v>49.4</v>
      </c>
      <c r="I2135" s="995"/>
      <c r="J2135" s="996"/>
      <c r="K2135" s="997"/>
      <c r="L2135" s="99"/>
      <c r="M2135" s="100"/>
    </row>
    <row r="2136" spans="4:13">
      <c r="E2136" s="603">
        <v>45504</v>
      </c>
      <c r="F2136" s="256">
        <v>49.4</v>
      </c>
      <c r="G2136" s="256" t="s">
        <v>440</v>
      </c>
      <c r="H2136" s="256">
        <v>49.5</v>
      </c>
      <c r="I2136" s="995"/>
      <c r="J2136" s="996"/>
      <c r="K2136" s="997"/>
      <c r="L2136" s="99"/>
      <c r="M2136" s="100"/>
    </row>
    <row r="2137" spans="4:13" ht="20" thickBot="1">
      <c r="E2137" s="603">
        <v>45473</v>
      </c>
      <c r="F2137" s="256">
        <v>49.5</v>
      </c>
      <c r="G2137" s="256" t="s">
        <v>438</v>
      </c>
      <c r="H2137" s="256">
        <v>49.5</v>
      </c>
      <c r="I2137" s="998"/>
      <c r="J2137" s="999"/>
      <c r="K2137" s="1000"/>
      <c r="L2137" s="102"/>
      <c r="M2137" s="103"/>
    </row>
    <row r="2138" spans="4:13" ht="25" thickBot="1">
      <c r="D2138">
        <v>7</v>
      </c>
      <c r="E2138" s="598" t="s">
        <v>30</v>
      </c>
      <c r="F2138" s="1102" t="s">
        <v>1309</v>
      </c>
      <c r="G2138" s="1103"/>
      <c r="H2138" s="1104"/>
      <c r="I2138" s="1131" t="s">
        <v>633</v>
      </c>
      <c r="J2138" s="1129"/>
      <c r="K2138" s="1130"/>
      <c r="L2138" s="158" t="s">
        <v>430</v>
      </c>
      <c r="M2138" s="105" t="s">
        <v>431</v>
      </c>
    </row>
    <row r="2139" spans="4:13" ht="20" thickBot="1">
      <c r="E2139" s="599" t="s">
        <v>432</v>
      </c>
      <c r="F2139" s="1105"/>
      <c r="G2139" s="1106"/>
      <c r="H2139" s="1107"/>
      <c r="I2139" s="995" t="s">
        <v>1327</v>
      </c>
      <c r="J2139" s="996"/>
      <c r="K2139" s="997"/>
      <c r="L2139" s="99"/>
      <c r="M2139" s="100"/>
    </row>
    <row r="2140" spans="4:13">
      <c r="E2140" s="600" t="s">
        <v>433</v>
      </c>
      <c r="F2140" s="1124" t="s">
        <v>931</v>
      </c>
      <c r="G2140" s="1112"/>
      <c r="H2140" s="1113"/>
      <c r="I2140" s="995"/>
      <c r="J2140" s="996"/>
      <c r="K2140" s="997"/>
      <c r="L2140" s="99"/>
      <c r="M2140" s="100"/>
    </row>
    <row r="2141" spans="4:13" ht="20" thickBot="1">
      <c r="E2141" s="600" t="s">
        <v>434</v>
      </c>
      <c r="F2141" s="1111" t="s">
        <v>345</v>
      </c>
      <c r="G2141" s="1112"/>
      <c r="H2141" s="1113"/>
      <c r="I2141" s="995"/>
      <c r="J2141" s="996"/>
      <c r="K2141" s="997"/>
      <c r="L2141" s="99"/>
      <c r="M2141" s="100"/>
    </row>
    <row r="2142" spans="4:13" ht="20" thickBot="1">
      <c r="E2142" s="601" t="s">
        <v>435</v>
      </c>
      <c r="F2142" s="1114">
        <v>0.5625</v>
      </c>
      <c r="G2142" s="1115"/>
      <c r="H2142" s="1116"/>
      <c r="I2142" s="995"/>
      <c r="J2142" s="996"/>
      <c r="K2142" s="997"/>
      <c r="L2142" s="106">
        <v>0.79166666666666663</v>
      </c>
      <c r="M2142" s="107">
        <v>0.64583333333333326</v>
      </c>
    </row>
    <row r="2143" spans="4:13" ht="20" thickBot="1">
      <c r="E2143" s="602" t="s">
        <v>436</v>
      </c>
      <c r="F2143" s="252" t="s">
        <v>29</v>
      </c>
      <c r="G2143" s="252" t="s">
        <v>28</v>
      </c>
      <c r="H2143" s="253" t="s">
        <v>27</v>
      </c>
      <c r="I2143" s="995"/>
      <c r="J2143" s="996"/>
      <c r="K2143" s="997"/>
      <c r="L2143" s="99"/>
      <c r="M2143" s="100"/>
    </row>
    <row r="2144" spans="4:13">
      <c r="E2144" s="603">
        <v>45652</v>
      </c>
      <c r="F2144" s="345" t="s">
        <v>987</v>
      </c>
      <c r="G2144" s="345" t="s">
        <v>973</v>
      </c>
      <c r="H2144" s="345" t="s">
        <v>1112</v>
      </c>
      <c r="I2144" s="995"/>
      <c r="J2144" s="996"/>
      <c r="K2144" s="997"/>
      <c r="L2144" s="99"/>
      <c r="M2144" s="100"/>
    </row>
    <row r="2145" spans="4:13">
      <c r="E2145" s="603">
        <v>45645</v>
      </c>
      <c r="F2145" s="345" t="s">
        <v>1112</v>
      </c>
      <c r="G2145" s="345" t="s">
        <v>976</v>
      </c>
      <c r="H2145" s="345" t="s">
        <v>980</v>
      </c>
      <c r="I2145" s="995"/>
      <c r="J2145" s="996"/>
      <c r="K2145" s="997"/>
      <c r="L2145" s="99"/>
      <c r="M2145" s="100"/>
    </row>
    <row r="2146" spans="4:13">
      <c r="E2146" s="603">
        <v>45638</v>
      </c>
      <c r="F2146" s="345" t="s">
        <v>980</v>
      </c>
      <c r="G2146" s="345" t="s">
        <v>972</v>
      </c>
      <c r="H2146" s="345" t="s">
        <v>985</v>
      </c>
      <c r="I2146" s="995"/>
      <c r="J2146" s="996"/>
      <c r="K2146" s="997"/>
      <c r="L2146" s="101"/>
      <c r="M2146" s="100"/>
    </row>
    <row r="2147" spans="4:13">
      <c r="E2147" s="603">
        <v>45631</v>
      </c>
      <c r="F2147" s="345" t="s">
        <v>1032</v>
      </c>
      <c r="G2147" s="345" t="s">
        <v>1232</v>
      </c>
      <c r="H2147" s="345" t="s">
        <v>1232</v>
      </c>
      <c r="I2147" s="995"/>
      <c r="J2147" s="996"/>
      <c r="K2147" s="997"/>
      <c r="L2147" s="99"/>
      <c r="M2147" s="100"/>
    </row>
    <row r="2148" spans="4:13">
      <c r="E2148" s="603">
        <v>45623</v>
      </c>
      <c r="F2148" s="345" t="s">
        <v>1111</v>
      </c>
      <c r="G2148" s="345" t="s">
        <v>1232</v>
      </c>
      <c r="H2148" s="345" t="s">
        <v>1232</v>
      </c>
      <c r="I2148" s="995"/>
      <c r="J2148" s="996"/>
      <c r="K2148" s="997"/>
      <c r="L2148" s="99"/>
      <c r="M2148" s="100"/>
    </row>
    <row r="2149" spans="4:13" ht="20" thickBot="1">
      <c r="E2149" s="603">
        <v>45617</v>
      </c>
      <c r="F2149" s="345" t="s">
        <v>1111</v>
      </c>
      <c r="G2149" s="345" t="s">
        <v>1112</v>
      </c>
      <c r="H2149" s="345" t="s">
        <v>987</v>
      </c>
      <c r="I2149" s="998"/>
      <c r="J2149" s="999"/>
      <c r="K2149" s="1000"/>
      <c r="L2149" s="102"/>
      <c r="M2149" s="103"/>
    </row>
    <row r="2150" spans="4:13" ht="25" thickBot="1">
      <c r="D2150">
        <v>8</v>
      </c>
      <c r="E2150" s="598" t="s">
        <v>30</v>
      </c>
      <c r="F2150" s="1102" t="s">
        <v>1328</v>
      </c>
      <c r="G2150" s="1103"/>
      <c r="H2150" s="1104"/>
      <c r="I2150" s="1131" t="s">
        <v>633</v>
      </c>
      <c r="J2150" s="1129"/>
      <c r="K2150" s="1130"/>
      <c r="L2150" s="158" t="s">
        <v>430</v>
      </c>
      <c r="M2150" s="105" t="s">
        <v>431</v>
      </c>
    </row>
    <row r="2151" spans="4:13">
      <c r="E2151" s="599" t="s">
        <v>432</v>
      </c>
      <c r="F2151" s="1105"/>
      <c r="G2151" s="1106"/>
      <c r="H2151" s="1107"/>
      <c r="I2151" s="995" t="s">
        <v>1329</v>
      </c>
      <c r="J2151" s="996"/>
      <c r="K2151" s="997"/>
      <c r="L2151" s="99"/>
      <c r="M2151" s="100"/>
    </row>
    <row r="2152" spans="4:13">
      <c r="E2152" s="600" t="s">
        <v>433</v>
      </c>
      <c r="F2152" s="1117">
        <v>48.3</v>
      </c>
      <c r="G2152" s="1109"/>
      <c r="H2152" s="1110"/>
      <c r="I2152" s="995"/>
      <c r="J2152" s="996"/>
      <c r="K2152" s="997"/>
      <c r="L2152" s="99"/>
      <c r="M2152" s="100"/>
    </row>
    <row r="2153" spans="4:13" ht="20" thickBot="1">
      <c r="E2153" s="600" t="s">
        <v>434</v>
      </c>
      <c r="F2153" s="1117">
        <v>49.7</v>
      </c>
      <c r="G2153" s="1109"/>
      <c r="H2153" s="1110"/>
      <c r="I2153" s="995"/>
      <c r="J2153" s="996"/>
      <c r="K2153" s="997"/>
      <c r="L2153" s="99"/>
      <c r="M2153" s="100"/>
    </row>
    <row r="2154" spans="4:13" ht="20" thickBot="1">
      <c r="E2154" s="601" t="s">
        <v>435</v>
      </c>
      <c r="F2154" s="1114">
        <v>0.61458333333333337</v>
      </c>
      <c r="G2154" s="1115"/>
      <c r="H2154" s="1116"/>
      <c r="I2154" s="995"/>
      <c r="J2154" s="996"/>
      <c r="K2154" s="997"/>
      <c r="L2154" s="106">
        <v>0.84375</v>
      </c>
      <c r="M2154" s="107">
        <v>0.69791666666666663</v>
      </c>
    </row>
    <row r="2155" spans="4:13" ht="20" thickBot="1">
      <c r="E2155" s="602" t="s">
        <v>436</v>
      </c>
      <c r="F2155" s="252" t="s">
        <v>29</v>
      </c>
      <c r="G2155" s="252" t="s">
        <v>28</v>
      </c>
      <c r="H2155" s="253" t="s">
        <v>27</v>
      </c>
      <c r="I2155" s="995"/>
      <c r="J2155" s="996"/>
      <c r="K2155" s="997"/>
      <c r="L2155" s="99"/>
      <c r="M2155" s="100"/>
    </row>
    <row r="2156" spans="4:13">
      <c r="E2156" s="603">
        <v>45642</v>
      </c>
      <c r="F2156" s="256">
        <v>48.3</v>
      </c>
      <c r="G2156" s="256" t="s">
        <v>440</v>
      </c>
      <c r="H2156" s="256">
        <v>49.7</v>
      </c>
      <c r="I2156" s="995"/>
      <c r="J2156" s="996"/>
      <c r="K2156" s="997"/>
      <c r="L2156" s="99"/>
      <c r="M2156" s="100"/>
    </row>
    <row r="2157" spans="4:13">
      <c r="E2157" s="603">
        <v>45628</v>
      </c>
      <c r="F2157" s="256">
        <v>49.7</v>
      </c>
      <c r="G2157" s="256" t="s">
        <v>510</v>
      </c>
      <c r="H2157" s="256">
        <v>48.5</v>
      </c>
      <c r="I2157" s="995"/>
      <c r="J2157" s="996"/>
      <c r="K2157" s="997"/>
      <c r="L2157" s="99"/>
      <c r="M2157" s="100"/>
    </row>
    <row r="2158" spans="4:13">
      <c r="E2158" s="603">
        <v>45618</v>
      </c>
      <c r="F2158" s="256">
        <v>48.8</v>
      </c>
      <c r="G2158" s="256" t="s">
        <v>510</v>
      </c>
      <c r="H2158" s="256">
        <v>48.5</v>
      </c>
      <c r="I2158" s="995"/>
      <c r="J2158" s="996"/>
      <c r="K2158" s="997"/>
      <c r="L2158" s="101"/>
      <c r="M2158" s="100"/>
    </row>
    <row r="2159" spans="4:13">
      <c r="E2159" s="603">
        <v>45597</v>
      </c>
      <c r="F2159" s="256">
        <v>48.5</v>
      </c>
      <c r="G2159" s="256" t="s">
        <v>1054</v>
      </c>
      <c r="H2159" s="256">
        <v>47.8</v>
      </c>
      <c r="I2159" s="995"/>
      <c r="J2159" s="996"/>
      <c r="K2159" s="997"/>
      <c r="L2159" s="99"/>
      <c r="M2159" s="100"/>
    </row>
    <row r="2160" spans="4:13">
      <c r="E2160" s="603">
        <v>45589</v>
      </c>
      <c r="F2160" s="256">
        <v>47.8</v>
      </c>
      <c r="G2160" s="256" t="s">
        <v>509</v>
      </c>
      <c r="H2160" s="256">
        <v>47.3</v>
      </c>
      <c r="I2160" s="995"/>
      <c r="J2160" s="996"/>
      <c r="K2160" s="997"/>
      <c r="L2160" s="99"/>
      <c r="M2160" s="100"/>
    </row>
    <row r="2161" spans="4:13" ht="20" thickBot="1">
      <c r="E2161" s="603">
        <v>45566</v>
      </c>
      <c r="F2161" s="256">
        <v>47.3</v>
      </c>
      <c r="G2161" s="256" t="s">
        <v>758</v>
      </c>
      <c r="H2161" s="256">
        <v>47.9</v>
      </c>
      <c r="I2161" s="998"/>
      <c r="J2161" s="999"/>
      <c r="K2161" s="1000"/>
      <c r="L2161" s="102"/>
      <c r="M2161" s="103"/>
    </row>
    <row r="2162" spans="4:13" ht="25" thickBot="1">
      <c r="D2162">
        <v>10</v>
      </c>
      <c r="E2162" s="598" t="s">
        <v>30</v>
      </c>
      <c r="F2162" s="1102" t="s">
        <v>1330</v>
      </c>
      <c r="G2162" s="1103"/>
      <c r="H2162" s="1104"/>
      <c r="I2162" s="1131" t="s">
        <v>633</v>
      </c>
      <c r="J2162" s="1129"/>
      <c r="K2162" s="1130"/>
      <c r="L2162" s="158" t="s">
        <v>430</v>
      </c>
      <c r="M2162" s="105" t="s">
        <v>431</v>
      </c>
    </row>
    <row r="2163" spans="4:13">
      <c r="D2163" s="89"/>
      <c r="E2163" s="599" t="s">
        <v>432</v>
      </c>
      <c r="F2163" s="1105"/>
      <c r="G2163" s="1106"/>
      <c r="H2163" s="1107"/>
      <c r="I2163" s="995" t="s">
        <v>1331</v>
      </c>
      <c r="J2163" s="996"/>
      <c r="K2163" s="997"/>
      <c r="L2163" s="99"/>
      <c r="M2163" s="100"/>
    </row>
    <row r="2164" spans="4:13">
      <c r="D2164" s="89"/>
      <c r="E2164" s="600" t="s">
        <v>433</v>
      </c>
      <c r="F2164" s="1117">
        <v>0</v>
      </c>
      <c r="G2164" s="1109"/>
      <c r="H2164" s="1110"/>
      <c r="I2164" s="995"/>
      <c r="J2164" s="996"/>
      <c r="K2164" s="997"/>
      <c r="L2164" s="99"/>
      <c r="M2164" s="100"/>
    </row>
    <row r="2165" spans="4:13" ht="20" thickBot="1">
      <c r="D2165" s="89"/>
      <c r="E2165" s="600" t="s">
        <v>434</v>
      </c>
      <c r="F2165" s="1117">
        <v>48.4</v>
      </c>
      <c r="G2165" s="1109"/>
      <c r="H2165" s="1110"/>
      <c r="I2165" s="995"/>
      <c r="J2165" s="996"/>
      <c r="K2165" s="997"/>
      <c r="L2165" s="99"/>
      <c r="M2165" s="100"/>
    </row>
    <row r="2166" spans="4:13" ht="20" thickBot="1">
      <c r="D2166" s="89"/>
      <c r="E2166" s="601" t="s">
        <v>435</v>
      </c>
      <c r="F2166" s="1114">
        <v>0.625</v>
      </c>
      <c r="G2166" s="1115"/>
      <c r="H2166" s="1116"/>
      <c r="I2166" s="995"/>
      <c r="J2166" s="996"/>
      <c r="K2166" s="997"/>
      <c r="L2166" s="106">
        <v>0.85416666666666663</v>
      </c>
      <c r="M2166" s="107">
        <v>0.70833333333333326</v>
      </c>
    </row>
    <row r="2167" spans="4:13" ht="20" thickBot="1">
      <c r="D2167" s="89"/>
      <c r="E2167" s="602" t="s">
        <v>436</v>
      </c>
      <c r="F2167" s="252" t="s">
        <v>29</v>
      </c>
      <c r="G2167" s="252" t="s">
        <v>28</v>
      </c>
      <c r="H2167" s="253" t="s">
        <v>27</v>
      </c>
      <c r="I2167" s="995"/>
      <c r="J2167" s="996"/>
      <c r="K2167" s="997"/>
      <c r="L2167" s="99"/>
      <c r="M2167" s="100"/>
    </row>
    <row r="2168" spans="4:13">
      <c r="D2168" s="89"/>
      <c r="E2168" s="603">
        <v>45628</v>
      </c>
      <c r="F2168" s="256">
        <v>48.4</v>
      </c>
      <c r="G2168" s="256" t="s">
        <v>1341</v>
      </c>
      <c r="H2168" s="256">
        <v>46.5</v>
      </c>
      <c r="I2168" s="995"/>
      <c r="J2168" s="996"/>
      <c r="K2168" s="997"/>
      <c r="L2168" s="99"/>
      <c r="M2168" s="100"/>
    </row>
    <row r="2169" spans="4:13">
      <c r="D2169" s="89"/>
      <c r="E2169" s="603">
        <v>45597</v>
      </c>
      <c r="F2169" s="256">
        <v>46.5</v>
      </c>
      <c r="G2169" s="256" t="s">
        <v>901</v>
      </c>
      <c r="H2169" s="256">
        <v>47.2</v>
      </c>
      <c r="I2169" s="995"/>
      <c r="J2169" s="996"/>
      <c r="K2169" s="997"/>
      <c r="L2169" s="99"/>
      <c r="M2169" s="100"/>
    </row>
    <row r="2170" spans="4:13">
      <c r="D2170" s="89"/>
      <c r="E2170" s="603">
        <v>45566</v>
      </c>
      <c r="F2170" s="256">
        <v>47.2</v>
      </c>
      <c r="G2170" s="256" t="s">
        <v>901</v>
      </c>
      <c r="H2170" s="256">
        <v>47.2</v>
      </c>
      <c r="I2170" s="995"/>
      <c r="J2170" s="996"/>
      <c r="K2170" s="997"/>
      <c r="L2170" s="101"/>
      <c r="M2170" s="100"/>
    </row>
    <row r="2171" spans="4:13">
      <c r="D2171" s="89"/>
      <c r="E2171" s="603">
        <v>45538</v>
      </c>
      <c r="F2171" s="256">
        <v>47.2</v>
      </c>
      <c r="G2171" s="256" t="s">
        <v>509</v>
      </c>
      <c r="H2171" s="256">
        <v>46.8</v>
      </c>
      <c r="I2171" s="995"/>
      <c r="J2171" s="996"/>
      <c r="K2171" s="997"/>
      <c r="L2171" s="99"/>
      <c r="M2171" s="100"/>
    </row>
    <row r="2172" spans="4:13">
      <c r="D2172" s="89"/>
      <c r="E2172" s="603">
        <v>45505</v>
      </c>
      <c r="F2172" s="256">
        <v>46.8</v>
      </c>
      <c r="G2172" s="256" t="s">
        <v>510</v>
      </c>
      <c r="H2172" s="256">
        <v>48.5</v>
      </c>
      <c r="I2172" s="995"/>
      <c r="J2172" s="996"/>
      <c r="K2172" s="997"/>
      <c r="L2172" s="99"/>
      <c r="M2172" s="100"/>
    </row>
    <row r="2173" spans="4:13" ht="20" thickBot="1">
      <c r="D2173" s="89"/>
      <c r="E2173" s="603">
        <v>45474</v>
      </c>
      <c r="F2173" s="256">
        <v>48.5</v>
      </c>
      <c r="G2173" s="256" t="s">
        <v>511</v>
      </c>
      <c r="H2173" s="256">
        <v>48.7</v>
      </c>
      <c r="I2173" s="998"/>
      <c r="J2173" s="999"/>
      <c r="K2173" s="1000"/>
      <c r="L2173" s="102"/>
      <c r="M2173" s="103"/>
    </row>
    <row r="2174" spans="4:13" ht="25" thickBot="1">
      <c r="D2174">
        <v>11</v>
      </c>
      <c r="E2174" s="598" t="s">
        <v>30</v>
      </c>
      <c r="F2174" s="1102" t="s">
        <v>1332</v>
      </c>
      <c r="G2174" s="1103"/>
      <c r="H2174" s="1104"/>
      <c r="I2174" s="1131" t="s">
        <v>633</v>
      </c>
      <c r="J2174" s="1129"/>
      <c r="K2174" s="1130"/>
      <c r="L2174" s="158" t="s">
        <v>430</v>
      </c>
      <c r="M2174" s="105" t="s">
        <v>431</v>
      </c>
    </row>
    <row r="2175" spans="4:13">
      <c r="D2175" s="89"/>
      <c r="E2175" s="599" t="s">
        <v>432</v>
      </c>
      <c r="F2175" s="1105"/>
      <c r="G2175" s="1106"/>
      <c r="H2175" s="1107"/>
      <c r="I2175" s="1135" t="s">
        <v>1333</v>
      </c>
      <c r="J2175" s="1136"/>
      <c r="K2175" s="1137"/>
      <c r="L2175" s="99"/>
      <c r="M2175" s="100"/>
    </row>
    <row r="2176" spans="4:13">
      <c r="D2176" s="89"/>
      <c r="E2176" s="600" t="s">
        <v>433</v>
      </c>
      <c r="F2176" s="1125"/>
      <c r="G2176" s="1126"/>
      <c r="H2176" s="1127"/>
      <c r="I2176" s="1135"/>
      <c r="J2176" s="1136"/>
      <c r="K2176" s="1137"/>
      <c r="L2176" s="99"/>
      <c r="M2176" s="100"/>
    </row>
    <row r="2177" spans="4:13" ht="20" thickBot="1">
      <c r="D2177" s="89"/>
      <c r="E2177" s="600" t="s">
        <v>434</v>
      </c>
      <c r="F2177" s="1117">
        <v>50.3</v>
      </c>
      <c r="G2177" s="1109"/>
      <c r="H2177" s="1110"/>
      <c r="I2177" s="1135"/>
      <c r="J2177" s="1136"/>
      <c r="K2177" s="1137"/>
      <c r="L2177" s="99"/>
      <c r="M2177" s="100"/>
    </row>
    <row r="2178" spans="4:13" ht="20" thickBot="1">
      <c r="D2178" s="89"/>
      <c r="E2178" s="601" t="s">
        <v>435</v>
      </c>
      <c r="F2178" s="1114">
        <v>0.625</v>
      </c>
      <c r="G2178" s="1115"/>
      <c r="H2178" s="1116"/>
      <c r="I2178" s="1135"/>
      <c r="J2178" s="1136"/>
      <c r="K2178" s="1137"/>
      <c r="L2178" s="106">
        <v>0.85416666666666663</v>
      </c>
      <c r="M2178" s="107">
        <v>0.70833333333333326</v>
      </c>
    </row>
    <row r="2179" spans="4:13" ht="20" thickBot="1">
      <c r="D2179" s="89"/>
      <c r="E2179" s="602" t="s">
        <v>436</v>
      </c>
      <c r="F2179" s="252" t="s">
        <v>29</v>
      </c>
      <c r="G2179" s="252" t="s">
        <v>28</v>
      </c>
      <c r="H2179" s="253" t="s">
        <v>27</v>
      </c>
      <c r="I2179" s="1135"/>
      <c r="J2179" s="1136"/>
      <c r="K2179" s="1137"/>
      <c r="L2179" s="99"/>
      <c r="M2179" s="100"/>
    </row>
    <row r="2180" spans="4:13">
      <c r="D2180" s="89"/>
      <c r="E2180" s="603">
        <v>45628</v>
      </c>
      <c r="F2180" s="256">
        <v>50.3</v>
      </c>
      <c r="G2180" s="256" t="s">
        <v>586</v>
      </c>
      <c r="H2180" s="256">
        <v>54.8</v>
      </c>
      <c r="I2180" s="1135"/>
      <c r="J2180" s="1136"/>
      <c r="K2180" s="1137"/>
      <c r="L2180" s="99"/>
      <c r="M2180" s="100"/>
    </row>
    <row r="2181" spans="4:13">
      <c r="D2181" s="89"/>
      <c r="E2181" s="603">
        <v>45597</v>
      </c>
      <c r="F2181" s="256">
        <v>54.8</v>
      </c>
      <c r="G2181" s="256" t="s">
        <v>1173</v>
      </c>
      <c r="H2181" s="256">
        <v>48.3</v>
      </c>
      <c r="I2181" s="1135"/>
      <c r="J2181" s="1136"/>
      <c r="K2181" s="1137"/>
      <c r="L2181" s="99"/>
      <c r="M2181" s="100"/>
    </row>
    <row r="2182" spans="4:13">
      <c r="D2182" s="89"/>
      <c r="E2182" s="603">
        <v>45566</v>
      </c>
      <c r="F2182" s="256">
        <v>48.3</v>
      </c>
      <c r="G2182" s="256" t="s">
        <v>902</v>
      </c>
      <c r="H2182" s="256">
        <v>54</v>
      </c>
      <c r="I2182" s="1135"/>
      <c r="J2182" s="1136"/>
      <c r="K2182" s="1137"/>
      <c r="L2182" s="101"/>
      <c r="M2182" s="100"/>
    </row>
    <row r="2183" spans="4:13">
      <c r="D2183" s="89"/>
      <c r="E2183" s="603">
        <v>45538</v>
      </c>
      <c r="F2183" s="256">
        <v>54</v>
      </c>
      <c r="G2183" s="256" t="s">
        <v>519</v>
      </c>
      <c r="H2183" s="256">
        <v>52.9</v>
      </c>
      <c r="I2183" s="1135"/>
      <c r="J2183" s="1136"/>
      <c r="K2183" s="1137"/>
      <c r="L2183" s="99"/>
      <c r="M2183" s="100"/>
    </row>
    <row r="2184" spans="4:13">
      <c r="D2184" s="89"/>
      <c r="E2184" s="603">
        <v>45505</v>
      </c>
      <c r="F2184" s="256">
        <v>52.9</v>
      </c>
      <c r="G2184" s="256" t="s">
        <v>520</v>
      </c>
      <c r="H2184" s="256">
        <v>52.1</v>
      </c>
      <c r="I2184" s="1135"/>
      <c r="J2184" s="1136"/>
      <c r="K2184" s="1137"/>
      <c r="L2184" s="99"/>
      <c r="M2184" s="100"/>
    </row>
    <row r="2185" spans="4:13" ht="20" thickBot="1">
      <c r="D2185" s="89"/>
      <c r="E2185" s="603">
        <v>45474</v>
      </c>
      <c r="F2185" s="256">
        <v>52.1</v>
      </c>
      <c r="G2185" s="256" t="s">
        <v>521</v>
      </c>
      <c r="H2185" s="256">
        <v>57</v>
      </c>
      <c r="I2185" s="1138"/>
      <c r="J2185" s="1139"/>
      <c r="K2185" s="1140"/>
      <c r="L2185" s="102"/>
      <c r="M2185" s="103"/>
    </row>
    <row r="2186" spans="4:13" ht="25" thickBot="1">
      <c r="D2186">
        <v>12</v>
      </c>
      <c r="E2186" s="598" t="s">
        <v>30</v>
      </c>
      <c r="F2186" s="1102" t="s">
        <v>1334</v>
      </c>
      <c r="G2186" s="1103"/>
      <c r="H2186" s="1104"/>
      <c r="I2186" s="1128" t="s">
        <v>633</v>
      </c>
      <c r="J2186" s="1129"/>
      <c r="K2186" s="1130"/>
      <c r="L2186" s="158" t="s">
        <v>430</v>
      </c>
      <c r="M2186" s="105" t="s">
        <v>431</v>
      </c>
    </row>
    <row r="2187" spans="4:13">
      <c r="D2187" s="89"/>
      <c r="E2187" s="599" t="s">
        <v>432</v>
      </c>
      <c r="F2187" s="1105"/>
      <c r="G2187" s="1106"/>
      <c r="H2187" s="1107"/>
      <c r="I2187" s="995" t="s">
        <v>1336</v>
      </c>
      <c r="J2187" s="996"/>
      <c r="K2187" s="997"/>
      <c r="L2187" s="99"/>
      <c r="M2187" s="100"/>
    </row>
    <row r="2188" spans="4:13">
      <c r="D2188" s="89"/>
      <c r="E2188" s="600" t="s">
        <v>433</v>
      </c>
      <c r="F2188" s="1124">
        <v>0</v>
      </c>
      <c r="G2188" s="1112"/>
      <c r="H2188" s="1113"/>
      <c r="I2188" s="995"/>
      <c r="J2188" s="996"/>
      <c r="K2188" s="997"/>
      <c r="L2188" s="99"/>
      <c r="M2188" s="100"/>
    </row>
    <row r="2189" spans="4:13" ht="20" thickBot="1">
      <c r="D2189" s="89"/>
      <c r="E2189" s="600" t="s">
        <v>434</v>
      </c>
      <c r="F2189" s="1118" t="s">
        <v>1335</v>
      </c>
      <c r="G2189" s="1119"/>
      <c r="H2189" s="1120"/>
      <c r="I2189" s="995"/>
      <c r="J2189" s="996"/>
      <c r="K2189" s="997"/>
      <c r="L2189" s="99"/>
      <c r="M2189" s="100"/>
    </row>
    <row r="2190" spans="4:13" ht="20" thickBot="1">
      <c r="D2190" s="89"/>
      <c r="E2190" s="601" t="s">
        <v>435</v>
      </c>
      <c r="F2190" s="1114">
        <v>0.66666666666666674</v>
      </c>
      <c r="G2190" s="1115"/>
      <c r="H2190" s="1116"/>
      <c r="I2190" s="995"/>
      <c r="J2190" s="996"/>
      <c r="K2190" s="997"/>
      <c r="L2190" s="106">
        <v>0.89583333333333337</v>
      </c>
      <c r="M2190" s="107">
        <v>0.75</v>
      </c>
    </row>
    <row r="2191" spans="4:13" ht="20" thickBot="1">
      <c r="D2191" s="89"/>
      <c r="E2191" s="602" t="s">
        <v>436</v>
      </c>
      <c r="F2191" s="252" t="s">
        <v>29</v>
      </c>
      <c r="G2191" s="252" t="s">
        <v>28</v>
      </c>
      <c r="H2191" s="253" t="s">
        <v>27</v>
      </c>
      <c r="I2191" s="995"/>
      <c r="J2191" s="996"/>
      <c r="K2191" s="997"/>
      <c r="L2191" s="99"/>
      <c r="M2191" s="100"/>
    </row>
    <row r="2192" spans="4:13">
      <c r="D2192" s="89"/>
      <c r="E2192" s="603">
        <v>45653</v>
      </c>
      <c r="F2192" s="611" t="s">
        <v>1342</v>
      </c>
      <c r="G2192" s="611" t="s">
        <v>1343</v>
      </c>
      <c r="H2192" s="611" t="s">
        <v>1318</v>
      </c>
      <c r="I2192" s="995"/>
      <c r="J2192" s="996"/>
      <c r="K2192" s="997"/>
      <c r="L2192" s="99"/>
      <c r="M2192" s="203"/>
    </row>
    <row r="2193" spans="4:13">
      <c r="D2193" s="89"/>
      <c r="E2193" s="603">
        <v>45644</v>
      </c>
      <c r="F2193" s="611" t="s">
        <v>1318</v>
      </c>
      <c r="G2193" s="611" t="s">
        <v>1289</v>
      </c>
      <c r="H2193" s="611" t="s">
        <v>1286</v>
      </c>
      <c r="I2193" s="995"/>
      <c r="J2193" s="996"/>
      <c r="K2193" s="997"/>
      <c r="L2193" s="99"/>
      <c r="M2193" s="100"/>
    </row>
    <row r="2194" spans="4:13">
      <c r="D2194" s="89"/>
      <c r="E2194" s="603">
        <v>45637</v>
      </c>
      <c r="F2194" s="611" t="s">
        <v>1286</v>
      </c>
      <c r="G2194" s="611" t="s">
        <v>1287</v>
      </c>
      <c r="H2194" s="611" t="s">
        <v>1288</v>
      </c>
      <c r="I2194" s="995"/>
      <c r="J2194" s="996"/>
      <c r="K2194" s="997"/>
      <c r="L2194" s="101"/>
      <c r="M2194" s="100"/>
    </row>
    <row r="2195" spans="4:13">
      <c r="D2195" s="89"/>
      <c r="E2195" s="603">
        <v>45630</v>
      </c>
      <c r="F2195" s="611" t="s">
        <v>1288</v>
      </c>
      <c r="G2195" s="611" t="s">
        <v>1289</v>
      </c>
      <c r="H2195" s="611" t="s">
        <v>1290</v>
      </c>
      <c r="I2195" s="995"/>
      <c r="J2195" s="996"/>
      <c r="K2195" s="997"/>
      <c r="L2195" s="99"/>
      <c r="M2195" s="100"/>
    </row>
    <row r="2196" spans="4:13">
      <c r="D2196" s="89"/>
      <c r="E2196" s="603">
        <v>45623</v>
      </c>
      <c r="F2196" s="611" t="s">
        <v>1290</v>
      </c>
      <c r="G2196" s="611" t="s">
        <v>1291</v>
      </c>
      <c r="H2196" s="611" t="s">
        <v>1125</v>
      </c>
      <c r="I2196" s="995"/>
      <c r="J2196" s="996"/>
      <c r="K2196" s="997"/>
      <c r="L2196" s="99"/>
      <c r="M2196" s="100"/>
    </row>
    <row r="2197" spans="4:13" ht="20" thickBot="1">
      <c r="D2197" s="89"/>
      <c r="E2197" s="603">
        <v>45616</v>
      </c>
      <c r="F2197" s="611" t="s">
        <v>1125</v>
      </c>
      <c r="G2197" s="611" t="s">
        <v>1030</v>
      </c>
      <c r="H2197" s="611" t="s">
        <v>1029</v>
      </c>
      <c r="I2197" s="998"/>
      <c r="J2197" s="999"/>
      <c r="K2197" s="1000"/>
      <c r="L2197" s="102"/>
      <c r="M2197" s="103"/>
    </row>
    <row r="2198" spans="4:13" ht="25" thickBot="1">
      <c r="D2198">
        <v>14</v>
      </c>
      <c r="E2198" s="598" t="s">
        <v>30</v>
      </c>
      <c r="F2198" s="1102" t="s">
        <v>1330</v>
      </c>
      <c r="G2198" s="1103"/>
      <c r="H2198" s="1104"/>
      <c r="I2198" s="1128" t="s">
        <v>633</v>
      </c>
      <c r="J2198" s="1129"/>
      <c r="K2198" s="1130"/>
      <c r="L2198" s="158" t="s">
        <v>430</v>
      </c>
      <c r="M2198" s="105" t="s">
        <v>431</v>
      </c>
    </row>
    <row r="2199" spans="4:13">
      <c r="D2199" s="89"/>
      <c r="E2199" s="599" t="s">
        <v>432</v>
      </c>
      <c r="F2199" s="1105"/>
      <c r="G2199" s="1106"/>
      <c r="H2199" s="1107"/>
      <c r="I2199" s="995" t="s">
        <v>1331</v>
      </c>
      <c r="J2199" s="996"/>
      <c r="K2199" s="997"/>
      <c r="L2199" s="99"/>
      <c r="M2199" s="100"/>
    </row>
    <row r="2200" spans="4:13">
      <c r="D2200" s="89"/>
      <c r="E2200" s="600" t="s">
        <v>433</v>
      </c>
      <c r="F2200" s="1124">
        <v>48.3</v>
      </c>
      <c r="G2200" s="1112"/>
      <c r="H2200" s="1113"/>
      <c r="I2200" s="995"/>
      <c r="J2200" s="996"/>
      <c r="K2200" s="997"/>
      <c r="L2200" s="99"/>
      <c r="M2200" s="100"/>
    </row>
    <row r="2201" spans="4:13" ht="20" thickBot="1">
      <c r="D2201" s="89"/>
      <c r="E2201" s="600" t="s">
        <v>434</v>
      </c>
      <c r="F2201" s="1141">
        <v>48.4</v>
      </c>
      <c r="G2201" s="1142"/>
      <c r="H2201" s="1143"/>
      <c r="I2201" s="995"/>
      <c r="J2201" s="996"/>
      <c r="K2201" s="997"/>
      <c r="L2201" s="99"/>
      <c r="M2201" s="100"/>
    </row>
    <row r="2202" spans="4:13" ht="20" thickBot="1">
      <c r="D2202" s="89"/>
      <c r="E2202" s="601" t="s">
        <v>435</v>
      </c>
      <c r="F2202" s="1114">
        <v>0.625</v>
      </c>
      <c r="G2202" s="1115"/>
      <c r="H2202" s="1116"/>
      <c r="I2202" s="995"/>
      <c r="J2202" s="996"/>
      <c r="K2202" s="997"/>
      <c r="L2202" s="106">
        <v>0.85416666666666663</v>
      </c>
      <c r="M2202" s="107">
        <v>0.70833333333333326</v>
      </c>
    </row>
    <row r="2203" spans="4:13" ht="20" thickBot="1">
      <c r="D2203" s="89"/>
      <c r="E2203" s="602" t="s">
        <v>436</v>
      </c>
      <c r="F2203" s="252" t="s">
        <v>29</v>
      </c>
      <c r="G2203" s="252" t="s">
        <v>28</v>
      </c>
      <c r="H2203" s="253" t="s">
        <v>27</v>
      </c>
      <c r="I2203" s="995"/>
      <c r="J2203" s="996"/>
      <c r="K2203" s="997"/>
      <c r="L2203" s="99"/>
      <c r="M2203" s="100"/>
    </row>
    <row r="2204" spans="4:13">
      <c r="D2204" s="89"/>
      <c r="E2204" s="603">
        <v>45659</v>
      </c>
      <c r="F2204" s="256">
        <v>0</v>
      </c>
      <c r="G2204" s="256" t="s">
        <v>754</v>
      </c>
      <c r="H2204" s="256">
        <v>48.4</v>
      </c>
      <c r="I2204" s="995"/>
      <c r="J2204" s="996"/>
      <c r="K2204" s="997"/>
      <c r="L2204" s="99"/>
      <c r="M2204" s="203"/>
    </row>
    <row r="2205" spans="4:13">
      <c r="D2205" s="89"/>
      <c r="E2205" s="603">
        <v>45628</v>
      </c>
      <c r="F2205" s="256">
        <v>48.4</v>
      </c>
      <c r="G2205" s="256" t="s">
        <v>1341</v>
      </c>
      <c r="H2205" s="256">
        <v>46.5</v>
      </c>
      <c r="I2205" s="995"/>
      <c r="J2205" s="996"/>
      <c r="K2205" s="997"/>
      <c r="L2205" s="99"/>
      <c r="M2205" s="100"/>
    </row>
    <row r="2206" spans="4:13">
      <c r="D2206" s="89"/>
      <c r="E2206" s="603">
        <v>45597</v>
      </c>
      <c r="F2206" s="256">
        <v>46.5</v>
      </c>
      <c r="G2206" s="256" t="s">
        <v>901</v>
      </c>
      <c r="H2206" s="256">
        <v>47.2</v>
      </c>
      <c r="I2206" s="995"/>
      <c r="J2206" s="996"/>
      <c r="K2206" s="997"/>
      <c r="L2206" s="101"/>
      <c r="M2206" s="100"/>
    </row>
    <row r="2207" spans="4:13">
      <c r="D2207" s="89"/>
      <c r="E2207" s="603">
        <v>45566</v>
      </c>
      <c r="F2207" s="256">
        <v>47.2</v>
      </c>
      <c r="G2207" s="256" t="s">
        <v>901</v>
      </c>
      <c r="H2207" s="256">
        <v>47.2</v>
      </c>
      <c r="I2207" s="995"/>
      <c r="J2207" s="996"/>
      <c r="K2207" s="997"/>
      <c r="L2207" s="99"/>
      <c r="M2207" s="100"/>
    </row>
    <row r="2208" spans="4:13">
      <c r="D2208" s="89"/>
      <c r="E2208" s="603">
        <v>45538</v>
      </c>
      <c r="F2208" s="256">
        <v>47.2</v>
      </c>
      <c r="G2208" s="256" t="s">
        <v>509</v>
      </c>
      <c r="H2208" s="256">
        <v>46.8</v>
      </c>
      <c r="I2208" s="995"/>
      <c r="J2208" s="996"/>
      <c r="K2208" s="997"/>
      <c r="L2208" s="99"/>
      <c r="M2208" s="100"/>
    </row>
    <row r="2209" spans="2:13" ht="20" thickBot="1">
      <c r="D2209" s="89"/>
      <c r="E2209" s="603">
        <v>45505</v>
      </c>
      <c r="F2209" s="256">
        <v>46.8</v>
      </c>
      <c r="G2209" s="256" t="s">
        <v>510</v>
      </c>
      <c r="H2209" s="256">
        <v>48.5</v>
      </c>
      <c r="I2209" s="998"/>
      <c r="J2209" s="999"/>
      <c r="K2209" s="1000"/>
      <c r="L2209" s="102"/>
      <c r="M2209" s="103"/>
    </row>
    <row r="2210" spans="2:13" ht="25" thickBot="1">
      <c r="D2210">
        <v>15</v>
      </c>
      <c r="E2210" s="598" t="s">
        <v>30</v>
      </c>
      <c r="F2210" s="1102" t="s">
        <v>1332</v>
      </c>
      <c r="G2210" s="1103"/>
      <c r="H2210" s="1104"/>
      <c r="I2210" s="1128" t="s">
        <v>633</v>
      </c>
      <c r="J2210" s="1129"/>
      <c r="K2210" s="1130"/>
      <c r="L2210" s="158" t="s">
        <v>430</v>
      </c>
      <c r="M2210" s="105" t="s">
        <v>431</v>
      </c>
    </row>
    <row r="2211" spans="2:13">
      <c r="D2211" s="89"/>
      <c r="E2211" s="599" t="s">
        <v>432</v>
      </c>
      <c r="F2211" s="1132"/>
      <c r="G2211" s="1133"/>
      <c r="H2211" s="1134"/>
      <c r="I2211" s="1135" t="s">
        <v>1333</v>
      </c>
      <c r="J2211" s="1136"/>
      <c r="K2211" s="1137"/>
      <c r="L2211" s="99"/>
      <c r="M2211" s="100"/>
    </row>
    <row r="2212" spans="2:13">
      <c r="D2212" s="89"/>
      <c r="E2212" s="600" t="s">
        <v>433</v>
      </c>
      <c r="F2212" s="1124">
        <v>52.2</v>
      </c>
      <c r="G2212" s="1112"/>
      <c r="H2212" s="1113"/>
      <c r="I2212" s="1135"/>
      <c r="J2212" s="1136"/>
      <c r="K2212" s="1137"/>
      <c r="L2212" s="99"/>
      <c r="M2212" s="100"/>
    </row>
    <row r="2213" spans="2:13" ht="20" thickBot="1">
      <c r="D2213" s="89"/>
      <c r="E2213" s="600" t="s">
        <v>434</v>
      </c>
      <c r="F2213" s="1124">
        <v>50.3</v>
      </c>
      <c r="G2213" s="1112"/>
      <c r="H2213" s="1113"/>
      <c r="I2213" s="1135"/>
      <c r="J2213" s="1136"/>
      <c r="K2213" s="1137"/>
      <c r="L2213" s="99"/>
      <c r="M2213" s="100"/>
    </row>
    <row r="2214" spans="2:13" ht="20" thickBot="1">
      <c r="D2214" s="89"/>
      <c r="E2214" s="601" t="s">
        <v>435</v>
      </c>
      <c r="F2214" s="1114">
        <v>0.625</v>
      </c>
      <c r="G2214" s="1115"/>
      <c r="H2214" s="1116"/>
      <c r="I2214" s="1135"/>
      <c r="J2214" s="1136"/>
      <c r="K2214" s="1137"/>
      <c r="L2214" s="106">
        <v>0.85416666666666663</v>
      </c>
      <c r="M2214" s="107">
        <v>0.70833333333333326</v>
      </c>
    </row>
    <row r="2215" spans="2:13" ht="20" thickBot="1">
      <c r="D2215" s="89"/>
      <c r="E2215" s="602" t="s">
        <v>436</v>
      </c>
      <c r="F2215" s="252" t="s">
        <v>29</v>
      </c>
      <c r="G2215" s="252" t="s">
        <v>28</v>
      </c>
      <c r="H2215" s="253" t="s">
        <v>27</v>
      </c>
      <c r="I2215" s="1135"/>
      <c r="J2215" s="1136"/>
      <c r="K2215" s="1137"/>
      <c r="L2215" s="99"/>
      <c r="M2215" s="100"/>
    </row>
    <row r="2216" spans="2:13">
      <c r="D2216" s="89"/>
      <c r="E2216" s="603">
        <v>45659</v>
      </c>
      <c r="F2216" s="256">
        <v>0</v>
      </c>
      <c r="G2216" s="256" t="s">
        <v>754</v>
      </c>
      <c r="H2216" s="256">
        <v>50.3</v>
      </c>
      <c r="I2216" s="1135"/>
      <c r="J2216" s="1136"/>
      <c r="K2216" s="1137"/>
      <c r="L2216" s="99"/>
      <c r="M2216" s="100"/>
    </row>
    <row r="2217" spans="2:13">
      <c r="D2217" s="89"/>
      <c r="E2217" s="603">
        <v>45628</v>
      </c>
      <c r="F2217" s="256">
        <v>50.3</v>
      </c>
      <c r="G2217" s="256" t="s">
        <v>586</v>
      </c>
      <c r="H2217" s="256">
        <v>54.8</v>
      </c>
      <c r="I2217" s="1135"/>
      <c r="J2217" s="1136"/>
      <c r="K2217" s="1137"/>
      <c r="L2217" s="99"/>
      <c r="M2217" s="100"/>
    </row>
    <row r="2218" spans="2:13">
      <c r="D2218" s="89"/>
      <c r="E2218" s="603">
        <v>45597</v>
      </c>
      <c r="F2218" s="256">
        <v>54.8</v>
      </c>
      <c r="G2218" s="256" t="s">
        <v>1173</v>
      </c>
      <c r="H2218" s="256">
        <v>48.3</v>
      </c>
      <c r="I2218" s="1135"/>
      <c r="J2218" s="1136"/>
      <c r="K2218" s="1137"/>
      <c r="L2218" s="101"/>
      <c r="M2218" s="100"/>
    </row>
    <row r="2219" spans="2:13">
      <c r="D2219" s="89"/>
      <c r="E2219" s="603">
        <v>45566</v>
      </c>
      <c r="F2219" s="256">
        <v>48.3</v>
      </c>
      <c r="G2219" s="256" t="s">
        <v>902</v>
      </c>
      <c r="H2219" s="256">
        <v>54</v>
      </c>
      <c r="I2219" s="1135"/>
      <c r="J2219" s="1136"/>
      <c r="K2219" s="1137"/>
      <c r="L2219" s="99"/>
      <c r="M2219" s="100"/>
    </row>
    <row r="2220" spans="2:13">
      <c r="D2220" s="89"/>
      <c r="E2220" s="603">
        <v>45538</v>
      </c>
      <c r="F2220" s="256">
        <v>54</v>
      </c>
      <c r="G2220" s="256" t="s">
        <v>519</v>
      </c>
      <c r="H2220" s="256">
        <v>52.9</v>
      </c>
      <c r="I2220" s="1135"/>
      <c r="J2220" s="1136"/>
      <c r="K2220" s="1137"/>
      <c r="L2220" s="99"/>
      <c r="M2220" s="100"/>
    </row>
    <row r="2221" spans="2:13" ht="20" thickBot="1">
      <c r="D2221" s="89"/>
      <c r="E2221" s="607">
        <v>45505</v>
      </c>
      <c r="F2221" s="608">
        <v>52.9</v>
      </c>
      <c r="G2221" s="608" t="s">
        <v>520</v>
      </c>
      <c r="H2221" s="608">
        <v>52.1</v>
      </c>
      <c r="I2221" s="1138"/>
      <c r="J2221" s="1139"/>
      <c r="K2221" s="1140"/>
      <c r="L2221" s="102"/>
      <c r="M2221" s="103"/>
    </row>
    <row r="2222" spans="2:13" ht="25" thickBot="1">
      <c r="B2222" t="s">
        <v>105</v>
      </c>
      <c r="D2222">
        <v>1</v>
      </c>
      <c r="E2222" s="598" t="s">
        <v>30</v>
      </c>
      <c r="F2222" s="1102" t="s">
        <v>1319</v>
      </c>
      <c r="G2222" s="1103"/>
      <c r="H2222" s="1104"/>
      <c r="I2222" s="1060" t="s">
        <v>633</v>
      </c>
      <c r="J2222" s="1061"/>
      <c r="K2222" s="1062"/>
      <c r="L2222" s="158" t="s">
        <v>430</v>
      </c>
      <c r="M2222" s="105" t="s">
        <v>431</v>
      </c>
    </row>
    <row r="2223" spans="2:13">
      <c r="E2223" s="599" t="s">
        <v>432</v>
      </c>
      <c r="F2223" s="1105"/>
      <c r="G2223" s="1106"/>
      <c r="H2223" s="1107"/>
      <c r="I2223" s="995" t="s">
        <v>1320</v>
      </c>
      <c r="J2223" s="996"/>
      <c r="K2223" s="997"/>
      <c r="L2223" s="99"/>
      <c r="M2223" s="100"/>
    </row>
    <row r="2224" spans="2:13">
      <c r="E2224" s="600" t="s">
        <v>433</v>
      </c>
      <c r="F2224" s="1141">
        <v>42.7</v>
      </c>
      <c r="G2224" s="1142"/>
      <c r="H2224" s="1143"/>
      <c r="I2224" s="995"/>
      <c r="J2224" s="996"/>
      <c r="K2224" s="997"/>
      <c r="L2224" s="99"/>
      <c r="M2224" s="100"/>
    </row>
    <row r="2225" spans="4:13" ht="20" thickBot="1">
      <c r="E2225" s="600" t="s">
        <v>434</v>
      </c>
      <c r="F2225" s="1141">
        <v>40.200000000000003</v>
      </c>
      <c r="G2225" s="1142"/>
      <c r="H2225" s="1143"/>
      <c r="I2225" s="995"/>
      <c r="J2225" s="996"/>
      <c r="K2225" s="997"/>
      <c r="L2225" s="99"/>
      <c r="M2225" s="100"/>
    </row>
    <row r="2226" spans="4:13" ht="20" thickBot="1">
      <c r="E2226" s="601" t="s">
        <v>435</v>
      </c>
      <c r="F2226" s="1114">
        <v>0.61458333333333337</v>
      </c>
      <c r="G2226" s="1115"/>
      <c r="H2226" s="1116"/>
      <c r="I2226" s="995"/>
      <c r="J2226" s="996"/>
      <c r="K2226" s="997"/>
      <c r="L2226" s="106">
        <v>0.84375</v>
      </c>
      <c r="M2226" s="107">
        <v>0.69791666666666663</v>
      </c>
    </row>
    <row r="2227" spans="4:13" ht="20" thickBot="1">
      <c r="E2227" s="602" t="s">
        <v>436</v>
      </c>
      <c r="F2227" s="252" t="s">
        <v>29</v>
      </c>
      <c r="G2227" s="252" t="s">
        <v>28</v>
      </c>
      <c r="H2227" s="253" t="s">
        <v>27</v>
      </c>
      <c r="I2227" s="995"/>
      <c r="J2227" s="996"/>
      <c r="K2227" s="997"/>
      <c r="L2227" s="99"/>
      <c r="M2227" s="100"/>
    </row>
    <row r="2228" spans="4:13">
      <c r="E2228" s="603">
        <v>45625</v>
      </c>
      <c r="F2228" s="256">
        <v>40.200000000000003</v>
      </c>
      <c r="G2228" s="256" t="s">
        <v>477</v>
      </c>
      <c r="H2228" s="256">
        <v>41.6</v>
      </c>
      <c r="I2228" s="995"/>
      <c r="J2228" s="996"/>
      <c r="K2228" s="997"/>
      <c r="L2228" s="99"/>
      <c r="M2228" s="100"/>
    </row>
    <row r="2229" spans="4:13">
      <c r="E2229" s="603">
        <v>45596</v>
      </c>
      <c r="F2229" s="256">
        <v>41.6</v>
      </c>
      <c r="G2229" s="256" t="s">
        <v>1126</v>
      </c>
      <c r="H2229" s="256">
        <v>46.6</v>
      </c>
      <c r="I2229" s="995"/>
      <c r="J2229" s="996"/>
      <c r="K2229" s="997"/>
      <c r="L2229" s="99"/>
      <c r="M2229" s="100"/>
    </row>
    <row r="2230" spans="4:13">
      <c r="E2230" s="603">
        <v>45565</v>
      </c>
      <c r="F2230" s="256">
        <v>46.6</v>
      </c>
      <c r="G2230" s="256" t="s">
        <v>899</v>
      </c>
      <c r="H2230" s="256">
        <v>46.1</v>
      </c>
      <c r="I2230" s="995"/>
      <c r="J2230" s="996"/>
      <c r="K2230" s="997"/>
      <c r="L2230" s="101"/>
      <c r="M2230" s="100"/>
    </row>
    <row r="2231" spans="4:13">
      <c r="E2231" s="603">
        <v>45534</v>
      </c>
      <c r="F2231" s="256">
        <v>46.1</v>
      </c>
      <c r="G2231" s="256" t="s">
        <v>473</v>
      </c>
      <c r="H2231" s="256">
        <v>45.3</v>
      </c>
      <c r="I2231" s="995"/>
      <c r="J2231" s="996"/>
      <c r="K2231" s="997"/>
      <c r="L2231" s="99"/>
      <c r="M2231" s="100"/>
    </row>
    <row r="2232" spans="4:13">
      <c r="E2232" s="603">
        <v>45504</v>
      </c>
      <c r="F2232" s="256">
        <v>45.3</v>
      </c>
      <c r="G2232" s="256" t="s">
        <v>474</v>
      </c>
      <c r="H2232" s="256">
        <v>47.4</v>
      </c>
      <c r="I2232" s="995"/>
      <c r="J2232" s="996"/>
      <c r="K2232" s="997"/>
      <c r="L2232" s="99"/>
      <c r="M2232" s="100"/>
    </row>
    <row r="2233" spans="4:13" ht="20" thickBot="1">
      <c r="E2233" s="603">
        <v>45471</v>
      </c>
      <c r="F2233" s="256">
        <v>47.4</v>
      </c>
      <c r="G2233" s="256" t="s">
        <v>475</v>
      </c>
      <c r="H2233" s="256">
        <v>35.4</v>
      </c>
      <c r="I2233" s="998"/>
      <c r="J2233" s="999"/>
      <c r="K2233" s="1000"/>
      <c r="L2233" s="102"/>
      <c r="M2233" s="103"/>
    </row>
    <row r="2234" spans="4:13" ht="25" thickBot="1">
      <c r="D2234">
        <v>2</v>
      </c>
      <c r="E2234" s="598" t="s">
        <v>30</v>
      </c>
      <c r="F2234" s="1102" t="s">
        <v>1321</v>
      </c>
      <c r="G2234" s="1103"/>
      <c r="H2234" s="1104"/>
      <c r="I2234" s="1060" t="s">
        <v>633</v>
      </c>
      <c r="J2234" s="1061"/>
      <c r="K2234" s="1062"/>
      <c r="L2234" s="158" t="s">
        <v>430</v>
      </c>
      <c r="M2234" s="105" t="s">
        <v>431</v>
      </c>
    </row>
    <row r="2235" spans="4:13">
      <c r="E2235" s="599" t="s">
        <v>432</v>
      </c>
      <c r="F2235" s="1105"/>
      <c r="G2235" s="1106"/>
      <c r="H2235" s="1107"/>
      <c r="I2235" s="995">
        <v>0</v>
      </c>
      <c r="J2235" s="996"/>
      <c r="K2235" s="997"/>
      <c r="L2235" s="99"/>
      <c r="M2235" s="100"/>
    </row>
    <row r="2236" spans="4:13">
      <c r="E2236" s="600" t="s">
        <v>433</v>
      </c>
      <c r="F2236" s="1117" t="s">
        <v>1090</v>
      </c>
      <c r="G2236" s="1109"/>
      <c r="H2236" s="1110"/>
      <c r="I2236" s="995"/>
      <c r="J2236" s="996"/>
      <c r="K2236" s="997"/>
      <c r="L2236" s="99"/>
      <c r="M2236" s="100"/>
    </row>
    <row r="2237" spans="4:13" ht="20" thickBot="1">
      <c r="E2237" s="600" t="s">
        <v>434</v>
      </c>
      <c r="F2237" s="1117">
        <v>0</v>
      </c>
      <c r="G2237" s="1109"/>
      <c r="H2237" s="1110"/>
      <c r="I2237" s="995"/>
      <c r="J2237" s="996"/>
      <c r="K2237" s="997"/>
      <c r="L2237" s="99"/>
      <c r="M2237" s="100"/>
    </row>
    <row r="2238" spans="4:13" ht="20" thickBot="1">
      <c r="E2238" s="601" t="s">
        <v>435</v>
      </c>
      <c r="F2238" s="1114">
        <v>0</v>
      </c>
      <c r="G2238" s="1115"/>
      <c r="H2238" s="1116"/>
      <c r="I2238" s="995"/>
      <c r="J2238" s="996"/>
      <c r="K2238" s="997"/>
      <c r="L2238" s="106">
        <v>0.22916666666666666</v>
      </c>
      <c r="M2238" s="107">
        <v>8.3333333333333315E-2</v>
      </c>
    </row>
    <row r="2239" spans="4:13" ht="20" thickBot="1">
      <c r="E2239" s="602" t="s">
        <v>436</v>
      </c>
      <c r="F2239" s="252" t="s">
        <v>29</v>
      </c>
      <c r="G2239" s="252" t="s">
        <v>28</v>
      </c>
      <c r="H2239" s="253" t="s">
        <v>27</v>
      </c>
      <c r="I2239" s="995"/>
      <c r="J2239" s="996"/>
      <c r="K2239" s="997"/>
      <c r="L2239" s="99"/>
      <c r="M2239" s="100"/>
    </row>
    <row r="2240" spans="4:13">
      <c r="E2240" s="603">
        <v>45642</v>
      </c>
      <c r="F2240" s="256">
        <v>58.5</v>
      </c>
      <c r="G2240" s="256" t="s">
        <v>1339</v>
      </c>
      <c r="H2240" s="256">
        <v>56.1</v>
      </c>
      <c r="I2240" s="995"/>
      <c r="J2240" s="996"/>
      <c r="K2240" s="997"/>
      <c r="L2240" s="99"/>
      <c r="M2240" s="100"/>
    </row>
    <row r="2241" spans="4:13">
      <c r="E2241" s="603">
        <v>45630</v>
      </c>
      <c r="F2241" s="256">
        <v>56.1</v>
      </c>
      <c r="G2241" s="256" t="s">
        <v>1285</v>
      </c>
      <c r="H2241" s="256">
        <v>55</v>
      </c>
      <c r="I2241" s="995"/>
      <c r="J2241" s="996"/>
      <c r="K2241" s="997"/>
      <c r="L2241" s="99"/>
      <c r="M2241" s="100"/>
    </row>
    <row r="2242" spans="4:13">
      <c r="E2242" s="603">
        <v>45618</v>
      </c>
      <c r="F2242" s="256">
        <v>57</v>
      </c>
      <c r="G2242" s="256" t="s">
        <v>586</v>
      </c>
      <c r="H2242" s="256">
        <v>55</v>
      </c>
      <c r="I2242" s="995"/>
      <c r="J2242" s="996"/>
      <c r="K2242" s="997"/>
      <c r="L2242" s="101"/>
      <c r="M2242" s="100"/>
    </row>
    <row r="2243" spans="4:13">
      <c r="E2243" s="603">
        <v>45601</v>
      </c>
      <c r="F2243" s="256">
        <v>55</v>
      </c>
      <c r="G2243" s="256" t="s">
        <v>585</v>
      </c>
      <c r="H2243" s="256">
        <v>55.2</v>
      </c>
      <c r="I2243" s="995"/>
      <c r="J2243" s="996"/>
      <c r="K2243" s="997"/>
      <c r="L2243" s="99"/>
      <c r="M2243" s="100"/>
    </row>
    <row r="2244" spans="4:13">
      <c r="E2244" s="603">
        <v>45589</v>
      </c>
      <c r="F2244" s="256">
        <v>55.3</v>
      </c>
      <c r="G2244" s="256" t="s">
        <v>604</v>
      </c>
      <c r="H2244" s="256">
        <v>55.2</v>
      </c>
      <c r="I2244" s="995"/>
      <c r="J2244" s="996"/>
      <c r="K2244" s="997"/>
      <c r="L2244" s="99"/>
      <c r="M2244" s="100"/>
    </row>
    <row r="2245" spans="4:13" ht="20" thickBot="1">
      <c r="E2245" s="603">
        <v>45568</v>
      </c>
      <c r="F2245" s="256">
        <v>55.2</v>
      </c>
      <c r="G2245" s="256" t="s">
        <v>759</v>
      </c>
      <c r="H2245" s="256">
        <v>55.7</v>
      </c>
      <c r="I2245" s="998"/>
      <c r="J2245" s="999"/>
      <c r="K2245" s="1000"/>
      <c r="L2245" s="102"/>
      <c r="M2245" s="103"/>
    </row>
    <row r="2246" spans="4:13" ht="25" thickBot="1">
      <c r="D2246">
        <v>3</v>
      </c>
      <c r="E2246" s="598" t="s">
        <v>30</v>
      </c>
      <c r="F2246" s="1102" t="s">
        <v>1322</v>
      </c>
      <c r="G2246" s="1103"/>
      <c r="H2246" s="1104"/>
      <c r="I2246" s="1060" t="s">
        <v>633</v>
      </c>
      <c r="J2246" s="1061"/>
      <c r="K2246" s="1062"/>
      <c r="L2246" s="158" t="s">
        <v>430</v>
      </c>
      <c r="M2246" s="105" t="s">
        <v>431</v>
      </c>
    </row>
    <row r="2247" spans="4:13">
      <c r="E2247" s="599" t="s">
        <v>432</v>
      </c>
      <c r="F2247" s="1105"/>
      <c r="G2247" s="1106"/>
      <c r="H2247" s="1107"/>
      <c r="I2247" s="995" t="s">
        <v>1323</v>
      </c>
      <c r="J2247" s="996"/>
      <c r="K2247" s="997"/>
      <c r="L2247" s="99"/>
      <c r="M2247" s="100"/>
    </row>
    <row r="2248" spans="4:13">
      <c r="E2248" s="600" t="s">
        <v>433</v>
      </c>
      <c r="F2248" s="1141">
        <v>50.3</v>
      </c>
      <c r="G2248" s="1142"/>
      <c r="H2248" s="1143"/>
      <c r="I2248" s="995"/>
      <c r="J2248" s="996"/>
      <c r="K2248" s="997"/>
      <c r="L2248" s="99"/>
      <c r="M2248" s="100"/>
    </row>
    <row r="2249" spans="4:13" ht="20" thickBot="1">
      <c r="E2249" s="600" t="s">
        <v>434</v>
      </c>
      <c r="F2249" s="1141">
        <v>50.3</v>
      </c>
      <c r="G2249" s="1142"/>
      <c r="H2249" s="1143"/>
      <c r="I2249" s="995"/>
      <c r="J2249" s="996"/>
      <c r="K2249" s="997"/>
      <c r="L2249" s="99"/>
      <c r="M2249" s="100"/>
    </row>
    <row r="2250" spans="4:13" ht="20" thickBot="1">
      <c r="E2250" s="601" t="s">
        <v>435</v>
      </c>
      <c r="F2250" s="1114">
        <v>6.2500000000000028E-2</v>
      </c>
      <c r="G2250" s="1115"/>
      <c r="H2250" s="1116"/>
      <c r="I2250" s="995"/>
      <c r="J2250" s="996"/>
      <c r="K2250" s="997"/>
      <c r="L2250" s="106">
        <v>0.29166666666666669</v>
      </c>
      <c r="M2250" s="107">
        <v>0.14583333333333334</v>
      </c>
    </row>
    <row r="2251" spans="4:13" ht="20" thickBot="1">
      <c r="E2251" s="602" t="s">
        <v>436</v>
      </c>
      <c r="F2251" s="252" t="s">
        <v>29</v>
      </c>
      <c r="G2251" s="252" t="s">
        <v>28</v>
      </c>
      <c r="H2251" s="253" t="s">
        <v>27</v>
      </c>
      <c r="I2251" s="995"/>
      <c r="J2251" s="996"/>
      <c r="K2251" s="997"/>
      <c r="L2251" s="330">
        <v>0.1875</v>
      </c>
      <c r="M2251" s="331">
        <v>4.1666666666666664E-2</v>
      </c>
    </row>
    <row r="2252" spans="4:13">
      <c r="E2252" s="603">
        <v>45626</v>
      </c>
      <c r="F2252" s="256">
        <v>50.3</v>
      </c>
      <c r="G2252" s="256" t="s">
        <v>1340</v>
      </c>
      <c r="H2252" s="256">
        <v>50.1</v>
      </c>
      <c r="I2252" s="995"/>
      <c r="J2252" s="996"/>
      <c r="K2252" s="997"/>
      <c r="L2252" s="99"/>
      <c r="M2252" s="100"/>
    </row>
    <row r="2253" spans="4:13">
      <c r="E2253" s="603">
        <v>45596</v>
      </c>
      <c r="F2253" s="256">
        <v>50.1</v>
      </c>
      <c r="G2253" s="256" t="s">
        <v>513</v>
      </c>
      <c r="H2253" s="256">
        <v>49.8</v>
      </c>
      <c r="I2253" s="995"/>
      <c r="J2253" s="996"/>
      <c r="K2253" s="997"/>
      <c r="L2253" s="99"/>
      <c r="M2253" s="100"/>
    </row>
    <row r="2254" spans="4:13">
      <c r="E2254" s="603">
        <v>45565</v>
      </c>
      <c r="F2254" s="256">
        <v>49.8</v>
      </c>
      <c r="G2254" s="256" t="s">
        <v>440</v>
      </c>
      <c r="H2254" s="256">
        <v>49.1</v>
      </c>
      <c r="I2254" s="995"/>
      <c r="J2254" s="996"/>
      <c r="K2254" s="997"/>
      <c r="L2254" s="101"/>
      <c r="M2254" s="100"/>
    </row>
    <row r="2255" spans="4:13">
      <c r="E2255" s="603">
        <v>45535</v>
      </c>
      <c r="F2255" s="256">
        <v>49.1</v>
      </c>
      <c r="G2255" s="256" t="s">
        <v>438</v>
      </c>
      <c r="H2255" s="256">
        <v>49.4</v>
      </c>
      <c r="I2255" s="995"/>
      <c r="J2255" s="996"/>
      <c r="K2255" s="997"/>
      <c r="L2255" s="99"/>
      <c r="M2255" s="100"/>
    </row>
    <row r="2256" spans="4:13">
      <c r="E2256" s="603">
        <v>45504</v>
      </c>
      <c r="F2256" s="256">
        <v>49.4</v>
      </c>
      <c r="G2256" s="256" t="s">
        <v>440</v>
      </c>
      <c r="H2256" s="256">
        <v>49.5</v>
      </c>
      <c r="I2256" s="995"/>
      <c r="J2256" s="996"/>
      <c r="K2256" s="997"/>
      <c r="L2256" s="99"/>
      <c r="M2256" s="100"/>
    </row>
    <row r="2257" spans="4:13" ht="20" thickBot="1">
      <c r="E2257" s="603">
        <v>45473</v>
      </c>
      <c r="F2257" s="256">
        <v>49.5</v>
      </c>
      <c r="G2257" s="256" t="s">
        <v>438</v>
      </c>
      <c r="H2257" s="256">
        <v>49.5</v>
      </c>
      <c r="I2257" s="998"/>
      <c r="J2257" s="999"/>
      <c r="K2257" s="1000"/>
      <c r="L2257" s="102"/>
      <c r="M2257" s="103"/>
    </row>
    <row r="2258" spans="4:13" ht="25" thickBot="1">
      <c r="D2258">
        <v>4</v>
      </c>
      <c r="E2258" s="598" t="s">
        <v>30</v>
      </c>
      <c r="F2258" s="1102" t="s">
        <v>1324</v>
      </c>
      <c r="G2258" s="1103"/>
      <c r="H2258" s="1104"/>
      <c r="I2258" s="1060" t="s">
        <v>633</v>
      </c>
      <c r="J2258" s="1061"/>
      <c r="K2258" s="1062"/>
      <c r="L2258" s="158" t="s">
        <v>430</v>
      </c>
      <c r="M2258" s="105" t="s">
        <v>431</v>
      </c>
    </row>
    <row r="2259" spans="4:13">
      <c r="E2259" s="599" t="s">
        <v>432</v>
      </c>
      <c r="F2259" s="1105"/>
      <c r="G2259" s="1106"/>
      <c r="H2259" s="1107"/>
      <c r="I2259" s="995">
        <v>0</v>
      </c>
      <c r="J2259" s="996"/>
      <c r="K2259" s="997"/>
      <c r="L2259" s="99"/>
      <c r="M2259" s="100"/>
    </row>
    <row r="2260" spans="4:13">
      <c r="E2260" s="600" t="s">
        <v>433</v>
      </c>
      <c r="F2260" s="1124">
        <v>0</v>
      </c>
      <c r="G2260" s="1112"/>
      <c r="H2260" s="1113"/>
      <c r="I2260" s="995"/>
      <c r="J2260" s="996"/>
      <c r="K2260" s="997"/>
      <c r="L2260" s="99"/>
      <c r="M2260" s="100"/>
    </row>
    <row r="2261" spans="4:13" ht="20" thickBot="1">
      <c r="E2261" s="600" t="s">
        <v>434</v>
      </c>
      <c r="F2261" s="1118">
        <v>0</v>
      </c>
      <c r="G2261" s="1119"/>
      <c r="H2261" s="1120"/>
      <c r="I2261" s="995"/>
      <c r="J2261" s="996"/>
      <c r="K2261" s="997"/>
      <c r="L2261" s="99"/>
      <c r="M2261" s="100"/>
    </row>
    <row r="2262" spans="4:13" ht="20" thickBot="1">
      <c r="E2262" s="601" t="s">
        <v>435</v>
      </c>
      <c r="F2262" s="1114">
        <v>0</v>
      </c>
      <c r="G2262" s="1115"/>
      <c r="H2262" s="1116"/>
      <c r="I2262" s="995"/>
      <c r="J2262" s="996"/>
      <c r="K2262" s="997"/>
      <c r="L2262" s="106">
        <v>0.22916666666666666</v>
      </c>
      <c r="M2262" s="107">
        <v>0.70833333333333326</v>
      </c>
    </row>
    <row r="2263" spans="4:13" ht="20" thickBot="1">
      <c r="E2263" s="602" t="s">
        <v>436</v>
      </c>
      <c r="F2263" s="252" t="s">
        <v>29</v>
      </c>
      <c r="G2263" s="252" t="s">
        <v>28</v>
      </c>
      <c r="H2263" s="253" t="s">
        <v>27</v>
      </c>
      <c r="I2263" s="995"/>
      <c r="J2263" s="996"/>
      <c r="K2263" s="997"/>
      <c r="L2263" s="99"/>
      <c r="M2263" s="100"/>
    </row>
    <row r="2264" spans="4:13">
      <c r="E2264" s="603">
        <v>45630</v>
      </c>
      <c r="F2264" s="604">
        <v>52.1</v>
      </c>
      <c r="G2264" s="604" t="s">
        <v>523</v>
      </c>
      <c r="H2264" s="604">
        <v>56</v>
      </c>
      <c r="I2264" s="995"/>
      <c r="J2264" s="996"/>
      <c r="K2264" s="997"/>
      <c r="L2264" s="99"/>
      <c r="M2264" s="100"/>
    </row>
    <row r="2265" spans="4:13">
      <c r="E2265" s="603">
        <v>45601</v>
      </c>
      <c r="F2265" s="604">
        <v>56</v>
      </c>
      <c r="G2265" s="604" t="s">
        <v>1344</v>
      </c>
      <c r="H2265" s="604">
        <v>54.9</v>
      </c>
      <c r="I2265" s="995"/>
      <c r="J2265" s="996"/>
      <c r="K2265" s="997"/>
      <c r="L2265" s="99"/>
      <c r="M2265" s="100"/>
    </row>
    <row r="2266" spans="4:13">
      <c r="E2266" s="603">
        <v>45568</v>
      </c>
      <c r="F2266" s="604">
        <v>54.9</v>
      </c>
      <c r="G2266" s="604" t="s">
        <v>506</v>
      </c>
      <c r="H2266" s="604">
        <v>51.5</v>
      </c>
      <c r="I2266" s="995"/>
      <c r="J2266" s="996"/>
      <c r="K2266" s="997"/>
      <c r="L2266" s="101"/>
      <c r="M2266" s="100"/>
    </row>
    <row r="2267" spans="4:13">
      <c r="E2267" s="603">
        <v>45540</v>
      </c>
      <c r="F2267" s="604">
        <v>51.5</v>
      </c>
      <c r="G2267" s="604" t="s">
        <v>594</v>
      </c>
      <c r="H2267" s="604">
        <v>51.4</v>
      </c>
      <c r="I2267" s="995"/>
      <c r="J2267" s="996"/>
      <c r="K2267" s="997"/>
      <c r="L2267" s="99"/>
      <c r="M2267" s="100"/>
    </row>
    <row r="2268" spans="4:13">
      <c r="E2268" s="603">
        <v>45509</v>
      </c>
      <c r="F2268" s="604">
        <v>51.4</v>
      </c>
      <c r="G2268" s="604" t="s">
        <v>595</v>
      </c>
      <c r="H2268" s="604">
        <v>48.8</v>
      </c>
      <c r="I2268" s="995"/>
      <c r="J2268" s="996"/>
      <c r="K2268" s="997"/>
      <c r="L2268" s="99"/>
      <c r="M2268" s="100"/>
    </row>
    <row r="2269" spans="4:13" ht="20" thickBot="1">
      <c r="E2269" s="603">
        <v>45476</v>
      </c>
      <c r="F2269" s="604">
        <v>48.8</v>
      </c>
      <c r="G2269" s="604" t="s">
        <v>596</v>
      </c>
      <c r="H2269" s="604">
        <v>53.8</v>
      </c>
      <c r="I2269" s="998"/>
      <c r="J2269" s="999"/>
      <c r="K2269" s="1000"/>
      <c r="L2269" s="102"/>
      <c r="M2269" s="103"/>
    </row>
    <row r="2270" spans="4:13" ht="25" thickBot="1">
      <c r="D2270">
        <v>5</v>
      </c>
      <c r="E2270" s="598" t="s">
        <v>30</v>
      </c>
      <c r="F2270" s="1102" t="e">
        <v>#REF!</v>
      </c>
      <c r="G2270" s="1103"/>
      <c r="H2270" s="1104"/>
      <c r="I2270" s="1060" t="s">
        <v>633</v>
      </c>
      <c r="J2270" s="1061"/>
      <c r="K2270" s="1062"/>
      <c r="L2270" s="158" t="s">
        <v>430</v>
      </c>
      <c r="M2270" s="105" t="s">
        <v>431</v>
      </c>
    </row>
    <row r="2271" spans="4:13">
      <c r="E2271" s="599" t="s">
        <v>432</v>
      </c>
      <c r="F2271" s="1105"/>
      <c r="G2271" s="1106"/>
      <c r="H2271" s="1107"/>
      <c r="I2271" s="995" t="e">
        <v>#REF!</v>
      </c>
      <c r="J2271" s="996"/>
      <c r="K2271" s="997"/>
      <c r="L2271" s="99"/>
      <c r="M2271" s="100"/>
    </row>
    <row r="2272" spans="4:13">
      <c r="E2272" s="600" t="s">
        <v>433</v>
      </c>
      <c r="F2272" s="1124" t="e">
        <v>#REF!</v>
      </c>
      <c r="G2272" s="1112"/>
      <c r="H2272" s="1113"/>
      <c r="I2272" s="995"/>
      <c r="J2272" s="996"/>
      <c r="K2272" s="997"/>
      <c r="L2272" s="99"/>
      <c r="M2272" s="100"/>
    </row>
    <row r="2273" spans="4:13" ht="20" thickBot="1">
      <c r="E2273" s="600" t="s">
        <v>434</v>
      </c>
      <c r="F2273" s="1111" t="e">
        <v>#REF!</v>
      </c>
      <c r="G2273" s="1112"/>
      <c r="H2273" s="1113"/>
      <c r="I2273" s="995"/>
      <c r="J2273" s="996"/>
      <c r="K2273" s="997"/>
      <c r="L2273" s="99"/>
      <c r="M2273" s="100"/>
    </row>
    <row r="2274" spans="4:13" ht="20" thickBot="1">
      <c r="E2274" s="601" t="s">
        <v>435</v>
      </c>
      <c r="F2274" s="1114" t="e">
        <v>#REF!</v>
      </c>
      <c r="G2274" s="1115"/>
      <c r="H2274" s="1116"/>
      <c r="I2274" s="995"/>
      <c r="J2274" s="996"/>
      <c r="K2274" s="997"/>
      <c r="L2274" s="106" t="e">
        <v>#REF!</v>
      </c>
      <c r="M2274" s="107" t="e">
        <v>#REF!</v>
      </c>
    </row>
    <row r="2275" spans="4:13" ht="20" thickBot="1">
      <c r="E2275" s="602" t="s">
        <v>436</v>
      </c>
      <c r="F2275" s="252" t="s">
        <v>29</v>
      </c>
      <c r="G2275" s="252" t="s">
        <v>28</v>
      </c>
      <c r="H2275" s="253" t="s">
        <v>27</v>
      </c>
      <c r="I2275" s="995"/>
      <c r="J2275" s="996"/>
      <c r="K2275" s="997"/>
      <c r="L2275" s="99"/>
      <c r="M2275" s="100"/>
    </row>
    <row r="2276" spans="4:13">
      <c r="E2276" s="603">
        <v>45609</v>
      </c>
      <c r="F2276" s="345">
        <v>2E-3</v>
      </c>
      <c r="G2276" s="345" t="s">
        <v>460</v>
      </c>
      <c r="H2276" s="345">
        <v>2E-3</v>
      </c>
      <c r="I2276" s="995"/>
      <c r="J2276" s="996"/>
      <c r="K2276" s="997"/>
      <c r="L2276" s="99"/>
      <c r="M2276" s="100"/>
    </row>
    <row r="2277" spans="4:13">
      <c r="E2277" s="603">
        <v>45575</v>
      </c>
      <c r="F2277" s="345">
        <v>2E-3</v>
      </c>
      <c r="G2277" s="345" t="s">
        <v>462</v>
      </c>
      <c r="H2277" s="345">
        <v>2E-3</v>
      </c>
      <c r="I2277" s="995"/>
      <c r="J2277" s="996"/>
      <c r="K2277" s="997"/>
      <c r="L2277" s="99"/>
      <c r="M2277" s="100"/>
    </row>
    <row r="2278" spans="4:13">
      <c r="E2278" s="603">
        <v>45546</v>
      </c>
      <c r="F2278" s="345">
        <v>2E-3</v>
      </c>
      <c r="G2278" s="345" t="s">
        <v>460</v>
      </c>
      <c r="H2278" s="345">
        <v>2E-3</v>
      </c>
      <c r="I2278" s="995"/>
      <c r="J2278" s="996"/>
      <c r="K2278" s="997"/>
      <c r="L2278" s="101"/>
      <c r="M2278" s="100"/>
    </row>
    <row r="2279" spans="4:13">
      <c r="E2279" s="603">
        <v>45518</v>
      </c>
      <c r="F2279" s="345">
        <v>2E-3</v>
      </c>
      <c r="G2279" s="345" t="s">
        <v>460</v>
      </c>
      <c r="H2279" s="345">
        <v>-1E-3</v>
      </c>
      <c r="I2279" s="995"/>
      <c r="J2279" s="996"/>
      <c r="K2279" s="997"/>
      <c r="L2279" s="99"/>
      <c r="M2279" s="100"/>
    </row>
    <row r="2280" spans="4:13">
      <c r="E2280" s="603">
        <v>45484</v>
      </c>
      <c r="F2280" s="345">
        <v>-1E-3</v>
      </c>
      <c r="G2280" s="345" t="s">
        <v>462</v>
      </c>
      <c r="H2280" s="345">
        <v>0</v>
      </c>
      <c r="I2280" s="995"/>
      <c r="J2280" s="996"/>
      <c r="K2280" s="997"/>
      <c r="L2280" s="99"/>
      <c r="M2280" s="100"/>
    </row>
    <row r="2281" spans="4:13" ht="20" thickBot="1">
      <c r="E2281" s="603">
        <v>45455</v>
      </c>
      <c r="F2281" s="345">
        <v>0</v>
      </c>
      <c r="G2281" s="345" t="s">
        <v>462</v>
      </c>
      <c r="H2281" s="345">
        <v>3.0000000000000001E-3</v>
      </c>
      <c r="I2281" s="998"/>
      <c r="J2281" s="999"/>
      <c r="K2281" s="1000"/>
      <c r="L2281" s="102"/>
      <c r="M2281" s="103"/>
    </row>
    <row r="2282" spans="4:13" ht="25" thickBot="1">
      <c r="D2282">
        <v>6</v>
      </c>
      <c r="E2282" s="598" t="s">
        <v>30</v>
      </c>
      <c r="F2282" s="1102" t="s">
        <v>1326</v>
      </c>
      <c r="G2282" s="1103"/>
      <c r="H2282" s="1104"/>
      <c r="I2282" s="1060" t="s">
        <v>633</v>
      </c>
      <c r="J2282" s="1061"/>
      <c r="K2282" s="1062"/>
      <c r="L2282" s="158" t="s">
        <v>430</v>
      </c>
      <c r="M2282" s="105" t="s">
        <v>431</v>
      </c>
    </row>
    <row r="2283" spans="4:13">
      <c r="E2283" s="599" t="s">
        <v>432</v>
      </c>
      <c r="F2283" s="1105"/>
      <c r="G2283" s="1106"/>
      <c r="H2283" s="1107"/>
      <c r="I2283" s="995">
        <v>0</v>
      </c>
      <c r="J2283" s="996"/>
      <c r="K2283" s="997"/>
      <c r="L2283" s="99"/>
      <c r="M2283" s="100"/>
    </row>
    <row r="2284" spans="4:13">
      <c r="E2284" s="600" t="s">
        <v>433</v>
      </c>
      <c r="F2284" s="1124">
        <v>0</v>
      </c>
      <c r="G2284" s="1112"/>
      <c r="H2284" s="1113"/>
      <c r="I2284" s="995"/>
      <c r="J2284" s="996"/>
      <c r="K2284" s="997"/>
      <c r="L2284" s="99"/>
      <c r="M2284" s="100"/>
    </row>
    <row r="2285" spans="4:13" ht="20" thickBot="1">
      <c r="E2285" s="600" t="s">
        <v>434</v>
      </c>
      <c r="F2285" s="1117">
        <v>0</v>
      </c>
      <c r="G2285" s="1109"/>
      <c r="H2285" s="1110"/>
      <c r="I2285" s="995"/>
      <c r="J2285" s="996"/>
      <c r="K2285" s="997"/>
      <c r="L2285" s="99"/>
      <c r="M2285" s="100"/>
    </row>
    <row r="2286" spans="4:13" ht="20" thickBot="1">
      <c r="E2286" s="601" t="s">
        <v>435</v>
      </c>
      <c r="F2286" s="1114">
        <v>0</v>
      </c>
      <c r="G2286" s="1115"/>
      <c r="H2286" s="1116"/>
      <c r="I2286" s="995"/>
      <c r="J2286" s="996"/>
      <c r="K2286" s="997"/>
      <c r="L2286" s="106">
        <v>0.22916666666666666</v>
      </c>
      <c r="M2286" s="107">
        <v>0.125</v>
      </c>
    </row>
    <row r="2287" spans="4:13" ht="20" thickBot="1">
      <c r="E2287" s="602" t="s">
        <v>436</v>
      </c>
      <c r="F2287" s="252" t="s">
        <v>29</v>
      </c>
      <c r="G2287" s="252" t="s">
        <v>28</v>
      </c>
      <c r="H2287" s="253" t="s">
        <v>27</v>
      </c>
      <c r="I2287" s="995"/>
      <c r="J2287" s="996"/>
      <c r="K2287" s="997"/>
      <c r="L2287" s="99"/>
      <c r="M2287" s="100"/>
    </row>
    <row r="2288" spans="4:13">
      <c r="E2288" s="603">
        <v>45630</v>
      </c>
      <c r="F2288" s="349">
        <v>58.2</v>
      </c>
      <c r="G2288" s="349" t="s">
        <v>1345</v>
      </c>
      <c r="H2288" s="349">
        <v>58.1</v>
      </c>
      <c r="I2288" s="995"/>
      <c r="J2288" s="996"/>
      <c r="K2288" s="997"/>
      <c r="L2288" s="99"/>
      <c r="M2288" s="100"/>
    </row>
    <row r="2289" spans="4:13">
      <c r="E2289" s="603">
        <v>45601</v>
      </c>
      <c r="F2289" s="349">
        <v>58.1</v>
      </c>
      <c r="G2289" s="349" t="s">
        <v>1346</v>
      </c>
      <c r="H2289" s="349">
        <v>59.4</v>
      </c>
      <c r="I2289" s="995"/>
      <c r="J2289" s="996"/>
      <c r="K2289" s="997"/>
      <c r="L2289" s="99"/>
      <c r="M2289" s="100"/>
    </row>
    <row r="2290" spans="4:13">
      <c r="E2290" s="603">
        <v>45568</v>
      </c>
      <c r="F2290" s="349">
        <v>59.4</v>
      </c>
      <c r="G2290" s="349" t="s">
        <v>943</v>
      </c>
      <c r="H2290" s="349">
        <v>57.3</v>
      </c>
      <c r="I2290" s="995"/>
      <c r="J2290" s="996"/>
      <c r="K2290" s="997"/>
      <c r="L2290" s="101"/>
      <c r="M2290" s="100"/>
    </row>
    <row r="2291" spans="4:13">
      <c r="E2291" s="603">
        <v>45540</v>
      </c>
      <c r="F2291" s="349">
        <v>57.3</v>
      </c>
      <c r="G2291" s="349" t="s">
        <v>589</v>
      </c>
      <c r="H2291" s="349">
        <v>57</v>
      </c>
      <c r="I2291" s="995"/>
      <c r="J2291" s="996"/>
      <c r="K2291" s="997"/>
      <c r="L2291" s="99"/>
      <c r="M2291" s="100"/>
    </row>
    <row r="2292" spans="4:13">
      <c r="E2292" s="603">
        <v>45509</v>
      </c>
      <c r="F2292" s="349">
        <v>57</v>
      </c>
      <c r="G2292" s="349" t="s">
        <v>589</v>
      </c>
      <c r="H2292" s="349">
        <v>56.3</v>
      </c>
      <c r="I2292" s="995"/>
      <c r="J2292" s="996"/>
      <c r="K2292" s="997"/>
      <c r="L2292" s="99"/>
      <c r="M2292" s="100"/>
    </row>
    <row r="2293" spans="4:13" ht="20" thickBot="1">
      <c r="E2293" s="603">
        <v>45476</v>
      </c>
      <c r="F2293" s="349">
        <v>56.3</v>
      </c>
      <c r="G2293" s="349" t="s">
        <v>602</v>
      </c>
      <c r="H2293" s="349">
        <v>58.1</v>
      </c>
      <c r="I2293" s="998"/>
      <c r="J2293" s="999"/>
      <c r="K2293" s="1000"/>
      <c r="L2293" s="102"/>
      <c r="M2293" s="103"/>
    </row>
    <row r="2294" spans="4:13" ht="25" thickBot="1">
      <c r="D2294">
        <v>7</v>
      </c>
      <c r="E2294" s="598" t="s">
        <v>30</v>
      </c>
      <c r="F2294" s="1102" t="s">
        <v>1309</v>
      </c>
      <c r="G2294" s="1103"/>
      <c r="H2294" s="1104"/>
      <c r="I2294" s="1060" t="s">
        <v>633</v>
      </c>
      <c r="J2294" s="1061"/>
      <c r="K2294" s="1062"/>
      <c r="L2294" s="158" t="s">
        <v>430</v>
      </c>
      <c r="M2294" s="105" t="s">
        <v>431</v>
      </c>
    </row>
    <row r="2295" spans="4:13">
      <c r="E2295" s="599" t="s">
        <v>432</v>
      </c>
      <c r="F2295" s="1105"/>
      <c r="G2295" s="1106"/>
      <c r="H2295" s="1107"/>
      <c r="I2295" s="995" t="s">
        <v>1327</v>
      </c>
      <c r="J2295" s="996"/>
      <c r="K2295" s="997"/>
      <c r="L2295" s="99"/>
      <c r="M2295" s="100"/>
    </row>
    <row r="2296" spans="4:13">
      <c r="E2296" s="600" t="s">
        <v>433</v>
      </c>
      <c r="F2296" s="1124" t="s">
        <v>931</v>
      </c>
      <c r="G2296" s="1112"/>
      <c r="H2296" s="1113"/>
      <c r="I2296" s="995"/>
      <c r="J2296" s="996"/>
      <c r="K2296" s="997"/>
      <c r="L2296" s="99"/>
      <c r="M2296" s="100"/>
    </row>
    <row r="2297" spans="4:13" ht="20" thickBot="1">
      <c r="E2297" s="600" t="s">
        <v>434</v>
      </c>
      <c r="F2297" s="1111" t="s">
        <v>345</v>
      </c>
      <c r="G2297" s="1112"/>
      <c r="H2297" s="1113"/>
      <c r="I2297" s="995"/>
      <c r="J2297" s="996"/>
      <c r="K2297" s="997"/>
      <c r="L2297" s="99"/>
      <c r="M2297" s="100"/>
    </row>
    <row r="2298" spans="4:13" ht="20" thickBot="1">
      <c r="E2298" s="601" t="s">
        <v>435</v>
      </c>
      <c r="F2298" s="1114">
        <v>0.5625</v>
      </c>
      <c r="G2298" s="1115"/>
      <c r="H2298" s="1116"/>
      <c r="I2298" s="995"/>
      <c r="J2298" s="996"/>
      <c r="K2298" s="997"/>
      <c r="L2298" s="106">
        <v>0.79166666666666663</v>
      </c>
      <c r="M2298" s="107">
        <v>0.64583333333333326</v>
      </c>
    </row>
    <row r="2299" spans="4:13" ht="20" thickBot="1">
      <c r="E2299" s="602" t="s">
        <v>436</v>
      </c>
      <c r="F2299" s="252" t="s">
        <v>29</v>
      </c>
      <c r="G2299" s="252" t="s">
        <v>28</v>
      </c>
      <c r="H2299" s="253" t="s">
        <v>27</v>
      </c>
      <c r="I2299" s="995"/>
      <c r="J2299" s="996"/>
      <c r="K2299" s="997"/>
      <c r="L2299" s="99"/>
      <c r="M2299" s="100"/>
    </row>
    <row r="2300" spans="4:13">
      <c r="E2300" s="603">
        <v>45652</v>
      </c>
      <c r="F2300" s="345" t="s">
        <v>987</v>
      </c>
      <c r="G2300" s="345" t="s">
        <v>973</v>
      </c>
      <c r="H2300" s="345" t="s">
        <v>1112</v>
      </c>
      <c r="I2300" s="995"/>
      <c r="J2300" s="996"/>
      <c r="K2300" s="997"/>
      <c r="L2300" s="99"/>
      <c r="M2300" s="100"/>
    </row>
    <row r="2301" spans="4:13">
      <c r="E2301" s="603">
        <v>45645</v>
      </c>
      <c r="F2301" s="345" t="s">
        <v>1112</v>
      </c>
      <c r="G2301" s="345" t="s">
        <v>976</v>
      </c>
      <c r="H2301" s="345" t="s">
        <v>980</v>
      </c>
      <c r="I2301" s="995"/>
      <c r="J2301" s="996"/>
      <c r="K2301" s="997"/>
      <c r="L2301" s="99"/>
      <c r="M2301" s="100"/>
    </row>
    <row r="2302" spans="4:13">
      <c r="E2302" s="603">
        <v>45638</v>
      </c>
      <c r="F2302" s="345" t="s">
        <v>980</v>
      </c>
      <c r="G2302" s="345" t="s">
        <v>972</v>
      </c>
      <c r="H2302" s="345" t="s">
        <v>985</v>
      </c>
      <c r="I2302" s="995"/>
      <c r="J2302" s="996"/>
      <c r="K2302" s="997"/>
      <c r="L2302" s="101"/>
      <c r="M2302" s="100"/>
    </row>
    <row r="2303" spans="4:13">
      <c r="E2303" s="603">
        <v>45631</v>
      </c>
      <c r="F2303" s="345" t="s">
        <v>1032</v>
      </c>
      <c r="G2303" s="345" t="s">
        <v>1232</v>
      </c>
      <c r="H2303" s="345" t="s">
        <v>1232</v>
      </c>
      <c r="I2303" s="995"/>
      <c r="J2303" s="996"/>
      <c r="K2303" s="997"/>
      <c r="L2303" s="99"/>
      <c r="M2303" s="100"/>
    </row>
    <row r="2304" spans="4:13">
      <c r="E2304" s="603">
        <v>45623</v>
      </c>
      <c r="F2304" s="345" t="s">
        <v>1111</v>
      </c>
      <c r="G2304" s="345" t="s">
        <v>1232</v>
      </c>
      <c r="H2304" s="345" t="s">
        <v>1232</v>
      </c>
      <c r="I2304" s="995"/>
      <c r="J2304" s="996"/>
      <c r="K2304" s="997"/>
      <c r="L2304" s="99"/>
      <c r="M2304" s="100"/>
    </row>
    <row r="2305" spans="4:13" ht="20" thickBot="1">
      <c r="E2305" s="603">
        <v>45617</v>
      </c>
      <c r="F2305" s="345" t="s">
        <v>1111</v>
      </c>
      <c r="G2305" s="345" t="s">
        <v>1112</v>
      </c>
      <c r="H2305" s="345" t="s">
        <v>987</v>
      </c>
      <c r="I2305" s="998"/>
      <c r="J2305" s="999"/>
      <c r="K2305" s="1000"/>
      <c r="L2305" s="102"/>
      <c r="M2305" s="103"/>
    </row>
    <row r="2306" spans="4:13" ht="25" thickBot="1">
      <c r="D2306">
        <v>8</v>
      </c>
      <c r="E2306" s="598" t="s">
        <v>30</v>
      </c>
      <c r="F2306" s="1102" t="s">
        <v>1328</v>
      </c>
      <c r="G2306" s="1103"/>
      <c r="H2306" s="1104"/>
      <c r="I2306" s="1060" t="s">
        <v>633</v>
      </c>
      <c r="J2306" s="1061"/>
      <c r="K2306" s="1062"/>
      <c r="L2306" s="158" t="s">
        <v>430</v>
      </c>
      <c r="M2306" s="105" t="s">
        <v>431</v>
      </c>
    </row>
    <row r="2307" spans="4:13">
      <c r="E2307" s="599" t="s">
        <v>432</v>
      </c>
      <c r="F2307" s="1105"/>
      <c r="G2307" s="1106"/>
      <c r="H2307" s="1107"/>
      <c r="I2307" s="995" t="s">
        <v>1329</v>
      </c>
      <c r="J2307" s="996"/>
      <c r="K2307" s="997"/>
      <c r="L2307" s="99"/>
      <c r="M2307" s="100"/>
    </row>
    <row r="2308" spans="4:13">
      <c r="E2308" s="600" t="s">
        <v>433</v>
      </c>
      <c r="F2308" s="1117">
        <v>48.3</v>
      </c>
      <c r="G2308" s="1109"/>
      <c r="H2308" s="1110"/>
      <c r="I2308" s="995"/>
      <c r="J2308" s="996"/>
      <c r="K2308" s="997"/>
      <c r="L2308" s="99"/>
      <c r="M2308" s="100"/>
    </row>
    <row r="2309" spans="4:13" ht="20" thickBot="1">
      <c r="E2309" s="600" t="s">
        <v>434</v>
      </c>
      <c r="F2309" s="1117">
        <v>49.7</v>
      </c>
      <c r="G2309" s="1109"/>
      <c r="H2309" s="1110"/>
      <c r="I2309" s="995"/>
      <c r="J2309" s="996"/>
      <c r="K2309" s="997"/>
      <c r="L2309" s="99"/>
      <c r="M2309" s="100"/>
    </row>
    <row r="2310" spans="4:13" ht="20" thickBot="1">
      <c r="E2310" s="601" t="s">
        <v>435</v>
      </c>
      <c r="F2310" s="1114">
        <v>0.61458333333333337</v>
      </c>
      <c r="G2310" s="1115"/>
      <c r="H2310" s="1116"/>
      <c r="I2310" s="995"/>
      <c r="J2310" s="996"/>
      <c r="K2310" s="997"/>
      <c r="L2310" s="106">
        <v>0.84375</v>
      </c>
      <c r="M2310" s="107">
        <v>0.69791666666666663</v>
      </c>
    </row>
    <row r="2311" spans="4:13" ht="20" thickBot="1">
      <c r="E2311" s="602" t="s">
        <v>436</v>
      </c>
      <c r="F2311" s="252" t="s">
        <v>29</v>
      </c>
      <c r="G2311" s="252" t="s">
        <v>28</v>
      </c>
      <c r="H2311" s="253" t="s">
        <v>27</v>
      </c>
      <c r="I2311" s="995"/>
      <c r="J2311" s="996"/>
      <c r="K2311" s="997"/>
      <c r="L2311" s="99"/>
      <c r="M2311" s="100"/>
    </row>
    <row r="2312" spans="4:13">
      <c r="E2312" s="603">
        <v>45642</v>
      </c>
      <c r="F2312" s="256">
        <v>48.3</v>
      </c>
      <c r="G2312" s="256" t="s">
        <v>440</v>
      </c>
      <c r="H2312" s="256">
        <v>49.7</v>
      </c>
      <c r="I2312" s="995"/>
      <c r="J2312" s="996"/>
      <c r="K2312" s="997"/>
      <c r="L2312" s="99"/>
      <c r="M2312" s="100"/>
    </row>
    <row r="2313" spans="4:13">
      <c r="E2313" s="603">
        <v>45628</v>
      </c>
      <c r="F2313" s="256">
        <v>49.7</v>
      </c>
      <c r="G2313" s="256" t="s">
        <v>510</v>
      </c>
      <c r="H2313" s="256">
        <v>48.5</v>
      </c>
      <c r="I2313" s="995"/>
      <c r="J2313" s="996"/>
      <c r="K2313" s="997"/>
      <c r="L2313" s="99"/>
      <c r="M2313" s="100"/>
    </row>
    <row r="2314" spans="4:13">
      <c r="E2314" s="603">
        <v>45618</v>
      </c>
      <c r="F2314" s="256">
        <v>48.8</v>
      </c>
      <c r="G2314" s="256" t="s">
        <v>510</v>
      </c>
      <c r="H2314" s="256">
        <v>48.5</v>
      </c>
      <c r="I2314" s="995"/>
      <c r="J2314" s="996"/>
      <c r="K2314" s="997"/>
      <c r="L2314" s="101"/>
      <c r="M2314" s="100"/>
    </row>
    <row r="2315" spans="4:13">
      <c r="E2315" s="603">
        <v>45597</v>
      </c>
      <c r="F2315" s="256">
        <v>48.5</v>
      </c>
      <c r="G2315" s="256" t="s">
        <v>1054</v>
      </c>
      <c r="H2315" s="256">
        <v>47.8</v>
      </c>
      <c r="I2315" s="995"/>
      <c r="J2315" s="996"/>
      <c r="K2315" s="997"/>
      <c r="L2315" s="99"/>
      <c r="M2315" s="100"/>
    </row>
    <row r="2316" spans="4:13">
      <c r="E2316" s="603">
        <v>45589</v>
      </c>
      <c r="F2316" s="256">
        <v>47.8</v>
      </c>
      <c r="G2316" s="256" t="s">
        <v>509</v>
      </c>
      <c r="H2316" s="256">
        <v>47.3</v>
      </c>
      <c r="I2316" s="995"/>
      <c r="J2316" s="996"/>
      <c r="K2316" s="997"/>
      <c r="L2316" s="99"/>
      <c r="M2316" s="100"/>
    </row>
    <row r="2317" spans="4:13" ht="20" thickBot="1">
      <c r="E2317" s="603">
        <v>45566</v>
      </c>
      <c r="F2317" s="256">
        <v>47.3</v>
      </c>
      <c r="G2317" s="256" t="s">
        <v>758</v>
      </c>
      <c r="H2317" s="256">
        <v>47.9</v>
      </c>
      <c r="I2317" s="998"/>
      <c r="J2317" s="999"/>
      <c r="K2317" s="1000"/>
      <c r="L2317" s="102"/>
      <c r="M2317" s="103"/>
    </row>
    <row r="2318" spans="4:13" ht="25" thickBot="1">
      <c r="D2318">
        <v>9</v>
      </c>
      <c r="E2318" s="598" t="s">
        <v>30</v>
      </c>
      <c r="F2318" s="1102" t="e">
        <v>#REF!</v>
      </c>
      <c r="G2318" s="1103"/>
      <c r="H2318" s="1104"/>
      <c r="I2318" s="1060" t="s">
        <v>633</v>
      </c>
      <c r="J2318" s="1061"/>
      <c r="K2318" s="1062"/>
      <c r="L2318" s="158" t="s">
        <v>430</v>
      </c>
      <c r="M2318" s="105" t="s">
        <v>431</v>
      </c>
    </row>
    <row r="2319" spans="4:13">
      <c r="D2319" s="89"/>
      <c r="E2319" s="599" t="s">
        <v>432</v>
      </c>
      <c r="F2319" s="1105"/>
      <c r="G2319" s="1106"/>
      <c r="H2319" s="1107"/>
      <c r="I2319" s="995" t="e">
        <v>#REF!</v>
      </c>
      <c r="J2319" s="996"/>
      <c r="K2319" s="997"/>
      <c r="L2319" s="99"/>
      <c r="M2319" s="100"/>
    </row>
    <row r="2320" spans="4:13">
      <c r="D2320" s="89"/>
      <c r="E2320" s="600" t="s">
        <v>433</v>
      </c>
      <c r="F2320" s="1117" t="e">
        <v>#REF!</v>
      </c>
      <c r="G2320" s="1109"/>
      <c r="H2320" s="1110"/>
      <c r="I2320" s="995"/>
      <c r="J2320" s="996"/>
      <c r="K2320" s="997"/>
      <c r="L2320" s="99"/>
      <c r="M2320" s="100"/>
    </row>
    <row r="2321" spans="4:13" ht="20" thickBot="1">
      <c r="D2321" s="89"/>
      <c r="E2321" s="600" t="s">
        <v>434</v>
      </c>
      <c r="F2321" s="1117" t="e">
        <v>#REF!</v>
      </c>
      <c r="G2321" s="1109"/>
      <c r="H2321" s="1110"/>
      <c r="I2321" s="995"/>
      <c r="J2321" s="996"/>
      <c r="K2321" s="997"/>
      <c r="L2321" s="99"/>
      <c r="M2321" s="100"/>
    </row>
    <row r="2322" spans="4:13" ht="20" thickBot="1">
      <c r="D2322" s="89"/>
      <c r="E2322" s="601" t="s">
        <v>435</v>
      </c>
      <c r="F2322" s="1114" t="e">
        <v>#REF!</v>
      </c>
      <c r="G2322" s="1115"/>
      <c r="H2322" s="1116"/>
      <c r="I2322" s="995"/>
      <c r="J2322" s="996"/>
      <c r="K2322" s="997"/>
      <c r="L2322" s="106" t="e">
        <v>#REF!</v>
      </c>
      <c r="M2322" s="107" t="e">
        <v>#REF!</v>
      </c>
    </row>
    <row r="2323" spans="4:13" ht="20" thickBot="1">
      <c r="D2323" s="89"/>
      <c r="E2323" s="602" t="s">
        <v>436</v>
      </c>
      <c r="F2323" s="252" t="s">
        <v>29</v>
      </c>
      <c r="G2323" s="252" t="s">
        <v>28</v>
      </c>
      <c r="H2323" s="253" t="s">
        <v>27</v>
      </c>
      <c r="I2323" s="995"/>
      <c r="J2323" s="996"/>
      <c r="K2323" s="997"/>
      <c r="L2323" s="99"/>
      <c r="M2323" s="100"/>
    </row>
    <row r="2324" spans="4:13">
      <c r="D2324" s="89"/>
      <c r="E2324" s="603">
        <v>45601</v>
      </c>
      <c r="F2324" s="612">
        <v>4.3470000000000002E-2</v>
      </c>
      <c r="G2324" s="612" t="s">
        <v>754</v>
      </c>
      <c r="H2324" s="612">
        <v>4.0660000000000002E-2</v>
      </c>
      <c r="I2324" s="995"/>
      <c r="J2324" s="996"/>
      <c r="K2324" s="997"/>
      <c r="L2324" s="99"/>
      <c r="M2324" s="100"/>
    </row>
    <row r="2325" spans="4:13">
      <c r="D2325" s="89"/>
      <c r="E2325" s="603">
        <v>45574</v>
      </c>
      <c r="F2325" s="612">
        <v>4.0660000000000002E-2</v>
      </c>
      <c r="G2325" s="612" t="s">
        <v>754</v>
      </c>
      <c r="H2325" s="612">
        <v>3.6479999999999999E-2</v>
      </c>
      <c r="I2325" s="995"/>
      <c r="J2325" s="996"/>
      <c r="K2325" s="997"/>
      <c r="L2325" s="99"/>
      <c r="M2325" s="100"/>
    </row>
    <row r="2326" spans="4:13">
      <c r="D2326" s="89"/>
      <c r="E2326" s="603">
        <v>45546</v>
      </c>
      <c r="F2326" s="612">
        <v>3.6479999999999999E-2</v>
      </c>
      <c r="G2326" s="612" t="s">
        <v>754</v>
      </c>
      <c r="H2326" s="612">
        <v>3.9600000000000003E-2</v>
      </c>
      <c r="I2326" s="995"/>
      <c r="J2326" s="996"/>
      <c r="K2326" s="997"/>
      <c r="L2326" s="101"/>
      <c r="M2326" s="100"/>
    </row>
    <row r="2327" spans="4:13">
      <c r="D2327" s="89"/>
      <c r="E2327" s="603">
        <v>45511</v>
      </c>
      <c r="F2327" s="612">
        <v>3.9600000000000003E-2</v>
      </c>
      <c r="G2327" s="612" t="s">
        <v>754</v>
      </c>
      <c r="H2327" s="612">
        <v>4.2759999999999999E-2</v>
      </c>
      <c r="I2327" s="995"/>
      <c r="J2327" s="996"/>
      <c r="K2327" s="997"/>
      <c r="L2327" s="99"/>
      <c r="M2327" s="100"/>
    </row>
    <row r="2328" spans="4:13">
      <c r="D2328" s="89"/>
      <c r="E2328" s="603">
        <v>45483</v>
      </c>
      <c r="F2328" s="612">
        <v>4.2759999999999999E-2</v>
      </c>
      <c r="G2328" s="612" t="s">
        <v>754</v>
      </c>
      <c r="H2328" s="612">
        <v>4.4380000000000003E-2</v>
      </c>
      <c r="I2328" s="995"/>
      <c r="J2328" s="996"/>
      <c r="K2328" s="997"/>
      <c r="L2328" s="99"/>
      <c r="M2328" s="100"/>
    </row>
    <row r="2329" spans="4:13" ht="20" thickBot="1">
      <c r="D2329" s="89"/>
      <c r="E2329" s="603">
        <v>45454</v>
      </c>
      <c r="F2329" s="612">
        <v>4.4380000000000003E-2</v>
      </c>
      <c r="G2329" s="612" t="s">
        <v>754</v>
      </c>
      <c r="H2329" s="612">
        <v>4.4830000000000002E-2</v>
      </c>
      <c r="I2329" s="998"/>
      <c r="J2329" s="999"/>
      <c r="K2329" s="1000"/>
      <c r="L2329" s="102"/>
      <c r="M2329" s="103"/>
    </row>
    <row r="2330" spans="4:13" ht="25" thickBot="1">
      <c r="D2330">
        <v>10</v>
      </c>
      <c r="E2330" s="598" t="s">
        <v>30</v>
      </c>
      <c r="F2330" s="1102" t="s">
        <v>1330</v>
      </c>
      <c r="G2330" s="1103"/>
      <c r="H2330" s="1104"/>
      <c r="I2330" s="1060" t="s">
        <v>633</v>
      </c>
      <c r="J2330" s="1061"/>
      <c r="K2330" s="1062"/>
      <c r="L2330" s="158" t="s">
        <v>430</v>
      </c>
      <c r="M2330" s="105" t="s">
        <v>431</v>
      </c>
    </row>
    <row r="2331" spans="4:13">
      <c r="D2331" s="89"/>
      <c r="E2331" s="599" t="s">
        <v>432</v>
      </c>
      <c r="F2331" s="1105"/>
      <c r="G2331" s="1106"/>
      <c r="H2331" s="1107"/>
      <c r="I2331" s="995" t="s">
        <v>1331</v>
      </c>
      <c r="J2331" s="996"/>
      <c r="K2331" s="997"/>
      <c r="L2331" s="99"/>
      <c r="M2331" s="100"/>
    </row>
    <row r="2332" spans="4:13">
      <c r="D2332" s="89"/>
      <c r="E2332" s="600" t="s">
        <v>433</v>
      </c>
      <c r="F2332" s="1117">
        <v>0</v>
      </c>
      <c r="G2332" s="1109"/>
      <c r="H2332" s="1110"/>
      <c r="I2332" s="995"/>
      <c r="J2332" s="996"/>
      <c r="K2332" s="997"/>
      <c r="L2332" s="99"/>
      <c r="M2332" s="100"/>
    </row>
    <row r="2333" spans="4:13" ht="20" thickBot="1">
      <c r="D2333" s="89"/>
      <c r="E2333" s="600" t="s">
        <v>434</v>
      </c>
      <c r="F2333" s="1117">
        <v>48.4</v>
      </c>
      <c r="G2333" s="1109"/>
      <c r="H2333" s="1110"/>
      <c r="I2333" s="995"/>
      <c r="J2333" s="996"/>
      <c r="K2333" s="997"/>
      <c r="L2333" s="99"/>
      <c r="M2333" s="100"/>
    </row>
    <row r="2334" spans="4:13" ht="20" thickBot="1">
      <c r="D2334" s="89"/>
      <c r="E2334" s="601" t="s">
        <v>435</v>
      </c>
      <c r="F2334" s="1114">
        <v>0.625</v>
      </c>
      <c r="G2334" s="1115"/>
      <c r="H2334" s="1116"/>
      <c r="I2334" s="995"/>
      <c r="J2334" s="996"/>
      <c r="K2334" s="997"/>
      <c r="L2334" s="106">
        <v>0.85416666666666663</v>
      </c>
      <c r="M2334" s="107">
        <v>0.70833333333333326</v>
      </c>
    </row>
    <row r="2335" spans="4:13" ht="20" thickBot="1">
      <c r="D2335" s="89"/>
      <c r="E2335" s="602" t="s">
        <v>436</v>
      </c>
      <c r="F2335" s="252" t="s">
        <v>29</v>
      </c>
      <c r="G2335" s="252" t="s">
        <v>28</v>
      </c>
      <c r="H2335" s="253" t="s">
        <v>27</v>
      </c>
      <c r="I2335" s="995"/>
      <c r="J2335" s="996"/>
      <c r="K2335" s="997"/>
      <c r="L2335" s="99"/>
      <c r="M2335" s="100"/>
    </row>
    <row r="2336" spans="4:13">
      <c r="D2336" s="89"/>
      <c r="E2336" s="603">
        <v>45628</v>
      </c>
      <c r="F2336" s="256">
        <v>48.4</v>
      </c>
      <c r="G2336" s="256" t="s">
        <v>1341</v>
      </c>
      <c r="H2336" s="256">
        <v>46.5</v>
      </c>
      <c r="I2336" s="995"/>
      <c r="J2336" s="996"/>
      <c r="K2336" s="997"/>
      <c r="L2336" s="99"/>
      <c r="M2336" s="100"/>
    </row>
    <row r="2337" spans="4:13">
      <c r="D2337" s="89"/>
      <c r="E2337" s="603">
        <v>45597</v>
      </c>
      <c r="F2337" s="256">
        <v>46.5</v>
      </c>
      <c r="G2337" s="256" t="s">
        <v>901</v>
      </c>
      <c r="H2337" s="256">
        <v>47.2</v>
      </c>
      <c r="I2337" s="995"/>
      <c r="J2337" s="996"/>
      <c r="K2337" s="997"/>
      <c r="L2337" s="99"/>
      <c r="M2337" s="100"/>
    </row>
    <row r="2338" spans="4:13">
      <c r="D2338" s="89"/>
      <c r="E2338" s="603">
        <v>45566</v>
      </c>
      <c r="F2338" s="256">
        <v>47.2</v>
      </c>
      <c r="G2338" s="256" t="s">
        <v>901</v>
      </c>
      <c r="H2338" s="256">
        <v>47.2</v>
      </c>
      <c r="I2338" s="995"/>
      <c r="J2338" s="996"/>
      <c r="K2338" s="997"/>
      <c r="L2338" s="101"/>
      <c r="M2338" s="100"/>
    </row>
    <row r="2339" spans="4:13">
      <c r="D2339" s="89"/>
      <c r="E2339" s="603">
        <v>45538</v>
      </c>
      <c r="F2339" s="256">
        <v>47.2</v>
      </c>
      <c r="G2339" s="256" t="s">
        <v>509</v>
      </c>
      <c r="H2339" s="256">
        <v>46.8</v>
      </c>
      <c r="I2339" s="995"/>
      <c r="J2339" s="996"/>
      <c r="K2339" s="997"/>
      <c r="L2339" s="99"/>
      <c r="M2339" s="100"/>
    </row>
    <row r="2340" spans="4:13">
      <c r="D2340" s="89"/>
      <c r="E2340" s="603">
        <v>45505</v>
      </c>
      <c r="F2340" s="256">
        <v>46.8</v>
      </c>
      <c r="G2340" s="256" t="s">
        <v>510</v>
      </c>
      <c r="H2340" s="256">
        <v>48.5</v>
      </c>
      <c r="I2340" s="995"/>
      <c r="J2340" s="996"/>
      <c r="K2340" s="997"/>
      <c r="L2340" s="99"/>
      <c r="M2340" s="100"/>
    </row>
    <row r="2341" spans="4:13" ht="20" thickBot="1">
      <c r="D2341" s="89"/>
      <c r="E2341" s="603">
        <v>45474</v>
      </c>
      <c r="F2341" s="256">
        <v>48.5</v>
      </c>
      <c r="G2341" s="256" t="s">
        <v>511</v>
      </c>
      <c r="H2341" s="256">
        <v>48.7</v>
      </c>
      <c r="I2341" s="998"/>
      <c r="J2341" s="999"/>
      <c r="K2341" s="1000"/>
      <c r="L2341" s="102"/>
      <c r="M2341" s="103"/>
    </row>
    <row r="2342" spans="4:13" ht="25" thickBot="1">
      <c r="D2342">
        <v>11</v>
      </c>
      <c r="E2342" s="598" t="s">
        <v>30</v>
      </c>
      <c r="F2342" s="1102" t="s">
        <v>1332</v>
      </c>
      <c r="G2342" s="1103"/>
      <c r="H2342" s="1104"/>
      <c r="I2342" s="1060" t="s">
        <v>633</v>
      </c>
      <c r="J2342" s="1061"/>
      <c r="K2342" s="1062"/>
      <c r="L2342" s="158" t="s">
        <v>430</v>
      </c>
      <c r="M2342" s="105" t="s">
        <v>431</v>
      </c>
    </row>
    <row r="2343" spans="4:13">
      <c r="D2343" s="89"/>
      <c r="E2343" s="599" t="s">
        <v>432</v>
      </c>
      <c r="F2343" s="1105"/>
      <c r="G2343" s="1106"/>
      <c r="H2343" s="1107"/>
      <c r="I2343" s="995" t="s">
        <v>1333</v>
      </c>
      <c r="J2343" s="996"/>
      <c r="K2343" s="997"/>
      <c r="L2343" s="99"/>
      <c r="M2343" s="100"/>
    </row>
    <row r="2344" spans="4:13">
      <c r="D2344" s="89"/>
      <c r="E2344" s="600" t="s">
        <v>433</v>
      </c>
      <c r="F2344" s="1125"/>
      <c r="G2344" s="1126"/>
      <c r="H2344" s="1127"/>
      <c r="I2344" s="995"/>
      <c r="J2344" s="996"/>
      <c r="K2344" s="997"/>
      <c r="L2344" s="99"/>
      <c r="M2344" s="100"/>
    </row>
    <row r="2345" spans="4:13" ht="20" thickBot="1">
      <c r="D2345" s="89"/>
      <c r="E2345" s="600" t="s">
        <v>434</v>
      </c>
      <c r="F2345" s="1117">
        <v>50.3</v>
      </c>
      <c r="G2345" s="1109"/>
      <c r="H2345" s="1110"/>
      <c r="I2345" s="995"/>
      <c r="J2345" s="996"/>
      <c r="K2345" s="997"/>
      <c r="L2345" s="99"/>
      <c r="M2345" s="100"/>
    </row>
    <row r="2346" spans="4:13" ht="20" thickBot="1">
      <c r="D2346" s="89"/>
      <c r="E2346" s="601" t="s">
        <v>435</v>
      </c>
      <c r="F2346" s="1114">
        <v>0.625</v>
      </c>
      <c r="G2346" s="1115"/>
      <c r="H2346" s="1116"/>
      <c r="I2346" s="995"/>
      <c r="J2346" s="996"/>
      <c r="K2346" s="997"/>
      <c r="L2346" s="106">
        <v>0.85416666666666663</v>
      </c>
      <c r="M2346" s="107">
        <v>0.70833333333333326</v>
      </c>
    </row>
    <row r="2347" spans="4:13" ht="20" thickBot="1">
      <c r="D2347" s="89"/>
      <c r="E2347" s="602" t="s">
        <v>436</v>
      </c>
      <c r="F2347" s="252" t="s">
        <v>29</v>
      </c>
      <c r="G2347" s="252" t="s">
        <v>28</v>
      </c>
      <c r="H2347" s="253" t="s">
        <v>27</v>
      </c>
      <c r="I2347" s="995"/>
      <c r="J2347" s="996"/>
      <c r="K2347" s="997"/>
      <c r="L2347" s="99"/>
      <c r="M2347" s="100"/>
    </row>
    <row r="2348" spans="4:13">
      <c r="D2348" s="89"/>
      <c r="E2348" s="603">
        <v>45628</v>
      </c>
      <c r="F2348" s="256">
        <v>50.3</v>
      </c>
      <c r="G2348" s="256" t="s">
        <v>586</v>
      </c>
      <c r="H2348" s="256">
        <v>54.8</v>
      </c>
      <c r="I2348" s="995"/>
      <c r="J2348" s="996"/>
      <c r="K2348" s="997"/>
      <c r="L2348" s="99"/>
      <c r="M2348" s="100"/>
    </row>
    <row r="2349" spans="4:13">
      <c r="D2349" s="89"/>
      <c r="E2349" s="603">
        <v>45597</v>
      </c>
      <c r="F2349" s="256">
        <v>54.8</v>
      </c>
      <c r="G2349" s="256" t="s">
        <v>1173</v>
      </c>
      <c r="H2349" s="256">
        <v>48.3</v>
      </c>
      <c r="I2349" s="995"/>
      <c r="J2349" s="996"/>
      <c r="K2349" s="997"/>
      <c r="L2349" s="99"/>
      <c r="M2349" s="100"/>
    </row>
    <row r="2350" spans="4:13">
      <c r="D2350" s="89"/>
      <c r="E2350" s="603">
        <v>45566</v>
      </c>
      <c r="F2350" s="256">
        <v>48.3</v>
      </c>
      <c r="G2350" s="256" t="s">
        <v>902</v>
      </c>
      <c r="H2350" s="256">
        <v>54</v>
      </c>
      <c r="I2350" s="995"/>
      <c r="J2350" s="996"/>
      <c r="K2350" s="997"/>
      <c r="L2350" s="101"/>
      <c r="M2350" s="100"/>
    </row>
    <row r="2351" spans="4:13">
      <c r="D2351" s="89"/>
      <c r="E2351" s="603">
        <v>45538</v>
      </c>
      <c r="F2351" s="256">
        <v>54</v>
      </c>
      <c r="G2351" s="256" t="s">
        <v>519</v>
      </c>
      <c r="H2351" s="256">
        <v>52.9</v>
      </c>
      <c r="I2351" s="995"/>
      <c r="J2351" s="996"/>
      <c r="K2351" s="997"/>
      <c r="L2351" s="99"/>
      <c r="M2351" s="100"/>
    </row>
    <row r="2352" spans="4:13">
      <c r="D2352" s="89"/>
      <c r="E2352" s="603">
        <v>45505</v>
      </c>
      <c r="F2352" s="256">
        <v>52.9</v>
      </c>
      <c r="G2352" s="256" t="s">
        <v>520</v>
      </c>
      <c r="H2352" s="256">
        <v>52.1</v>
      </c>
      <c r="I2352" s="995"/>
      <c r="J2352" s="996"/>
      <c r="K2352" s="997"/>
      <c r="L2352" s="99"/>
      <c r="M2352" s="100"/>
    </row>
    <row r="2353" spans="4:13" ht="20" thickBot="1">
      <c r="D2353" s="89"/>
      <c r="E2353" s="603">
        <v>45474</v>
      </c>
      <c r="F2353" s="256">
        <v>52.1</v>
      </c>
      <c r="G2353" s="256" t="s">
        <v>521</v>
      </c>
      <c r="H2353" s="256">
        <v>57</v>
      </c>
      <c r="I2353" s="998"/>
      <c r="J2353" s="999"/>
      <c r="K2353" s="1000"/>
      <c r="L2353" s="102"/>
      <c r="M2353" s="103"/>
    </row>
    <row r="2354" spans="4:13" ht="25" thickBot="1">
      <c r="D2354">
        <v>12</v>
      </c>
      <c r="E2354" s="598" t="s">
        <v>30</v>
      </c>
      <c r="F2354" s="1102" t="s">
        <v>1334</v>
      </c>
      <c r="G2354" s="1103"/>
      <c r="H2354" s="1104"/>
      <c r="I2354" s="1086" t="s">
        <v>633</v>
      </c>
      <c r="J2354" s="1061"/>
      <c r="K2354" s="1062"/>
      <c r="L2354" s="158" t="s">
        <v>430</v>
      </c>
      <c r="M2354" s="105" t="s">
        <v>431</v>
      </c>
    </row>
    <row r="2355" spans="4:13">
      <c r="D2355" s="89"/>
      <c r="E2355" s="599" t="s">
        <v>432</v>
      </c>
      <c r="F2355" s="1105"/>
      <c r="G2355" s="1106"/>
      <c r="H2355" s="1107"/>
      <c r="I2355" s="995" t="s">
        <v>1336</v>
      </c>
      <c r="J2355" s="996"/>
      <c r="K2355" s="997"/>
      <c r="L2355" s="99"/>
      <c r="M2355" s="100"/>
    </row>
    <row r="2356" spans="4:13">
      <c r="D2356" s="89"/>
      <c r="E2356" s="600" t="s">
        <v>433</v>
      </c>
      <c r="F2356" s="1124">
        <v>0</v>
      </c>
      <c r="G2356" s="1112"/>
      <c r="H2356" s="1113"/>
      <c r="I2356" s="995"/>
      <c r="J2356" s="996"/>
      <c r="K2356" s="997"/>
      <c r="L2356" s="99"/>
      <c r="M2356" s="100"/>
    </row>
    <row r="2357" spans="4:13" ht="20" thickBot="1">
      <c r="D2357" s="89"/>
      <c r="E2357" s="600" t="s">
        <v>434</v>
      </c>
      <c r="F2357" s="1118" t="s">
        <v>1335</v>
      </c>
      <c r="G2357" s="1119"/>
      <c r="H2357" s="1120"/>
      <c r="I2357" s="995"/>
      <c r="J2357" s="996"/>
      <c r="K2357" s="997"/>
      <c r="L2357" s="99"/>
      <c r="M2357" s="100"/>
    </row>
    <row r="2358" spans="4:13" ht="20" thickBot="1">
      <c r="D2358" s="89"/>
      <c r="E2358" s="601" t="s">
        <v>435</v>
      </c>
      <c r="F2358" s="1114">
        <v>0.66666666666666674</v>
      </c>
      <c r="G2358" s="1115"/>
      <c r="H2358" s="1116"/>
      <c r="I2358" s="995"/>
      <c r="J2358" s="996"/>
      <c r="K2358" s="997"/>
      <c r="L2358" s="106">
        <v>0.89583333333333337</v>
      </c>
      <c r="M2358" s="107">
        <v>0.75</v>
      </c>
    </row>
    <row r="2359" spans="4:13" ht="20" thickBot="1">
      <c r="D2359" s="89"/>
      <c r="E2359" s="602" t="s">
        <v>436</v>
      </c>
      <c r="F2359" s="252" t="s">
        <v>29</v>
      </c>
      <c r="G2359" s="252" t="s">
        <v>28</v>
      </c>
      <c r="H2359" s="253" t="s">
        <v>27</v>
      </c>
      <c r="I2359" s="995"/>
      <c r="J2359" s="996"/>
      <c r="K2359" s="997"/>
      <c r="L2359" s="99"/>
      <c r="M2359" s="100"/>
    </row>
    <row r="2360" spans="4:13">
      <c r="D2360" s="89"/>
      <c r="E2360" s="603">
        <v>45653</v>
      </c>
      <c r="F2360" s="611" t="s">
        <v>1342</v>
      </c>
      <c r="G2360" s="611" t="s">
        <v>1343</v>
      </c>
      <c r="H2360" s="611" t="s">
        <v>1318</v>
      </c>
      <c r="I2360" s="995"/>
      <c r="J2360" s="996"/>
      <c r="K2360" s="997"/>
      <c r="L2360" s="99"/>
      <c r="M2360" s="203"/>
    </row>
    <row r="2361" spans="4:13">
      <c r="D2361" s="89"/>
      <c r="E2361" s="603">
        <v>45644</v>
      </c>
      <c r="F2361" s="611" t="s">
        <v>1318</v>
      </c>
      <c r="G2361" s="611" t="s">
        <v>1289</v>
      </c>
      <c r="H2361" s="611" t="s">
        <v>1286</v>
      </c>
      <c r="I2361" s="995"/>
      <c r="J2361" s="996"/>
      <c r="K2361" s="997"/>
      <c r="L2361" s="99"/>
      <c r="M2361" s="100"/>
    </row>
    <row r="2362" spans="4:13">
      <c r="D2362" s="89"/>
      <c r="E2362" s="603">
        <v>45637</v>
      </c>
      <c r="F2362" s="611" t="s">
        <v>1286</v>
      </c>
      <c r="G2362" s="611" t="s">
        <v>1287</v>
      </c>
      <c r="H2362" s="611" t="s">
        <v>1288</v>
      </c>
      <c r="I2362" s="995"/>
      <c r="J2362" s="996"/>
      <c r="K2362" s="997"/>
      <c r="L2362" s="101"/>
      <c r="M2362" s="100"/>
    </row>
    <row r="2363" spans="4:13">
      <c r="D2363" s="89"/>
      <c r="E2363" s="603">
        <v>45630</v>
      </c>
      <c r="F2363" s="611" t="s">
        <v>1288</v>
      </c>
      <c r="G2363" s="611" t="s">
        <v>1289</v>
      </c>
      <c r="H2363" s="611" t="s">
        <v>1290</v>
      </c>
      <c r="I2363" s="995"/>
      <c r="J2363" s="996"/>
      <c r="K2363" s="997"/>
      <c r="L2363" s="99"/>
      <c r="M2363" s="100"/>
    </row>
    <row r="2364" spans="4:13">
      <c r="D2364" s="89"/>
      <c r="E2364" s="603">
        <v>45623</v>
      </c>
      <c r="F2364" s="611" t="s">
        <v>1290</v>
      </c>
      <c r="G2364" s="611" t="s">
        <v>1291</v>
      </c>
      <c r="H2364" s="611" t="s">
        <v>1125</v>
      </c>
      <c r="I2364" s="995"/>
      <c r="J2364" s="996"/>
      <c r="K2364" s="997"/>
      <c r="L2364" s="99"/>
      <c r="M2364" s="100"/>
    </row>
    <row r="2365" spans="4:13" ht="20" thickBot="1">
      <c r="D2365" s="89"/>
      <c r="E2365" s="603">
        <v>45616</v>
      </c>
      <c r="F2365" s="611" t="s">
        <v>1125</v>
      </c>
      <c r="G2365" s="611" t="s">
        <v>1030</v>
      </c>
      <c r="H2365" s="611" t="s">
        <v>1029</v>
      </c>
      <c r="I2365" s="998"/>
      <c r="J2365" s="999"/>
      <c r="K2365" s="1000"/>
      <c r="L2365" s="102"/>
      <c r="M2365" s="103"/>
    </row>
    <row r="2366" spans="4:13" ht="25" thickBot="1">
      <c r="D2366">
        <v>13</v>
      </c>
      <c r="E2366" s="598" t="s">
        <v>30</v>
      </c>
      <c r="F2366" s="1102" t="s">
        <v>1334</v>
      </c>
      <c r="G2366" s="1103"/>
      <c r="H2366" s="1104"/>
      <c r="I2366" s="1086" t="s">
        <v>633</v>
      </c>
      <c r="J2366" s="1061"/>
      <c r="K2366" s="1062"/>
      <c r="L2366" s="158" t="s">
        <v>430</v>
      </c>
      <c r="M2366" s="105" t="s">
        <v>431</v>
      </c>
    </row>
    <row r="2367" spans="4:13">
      <c r="D2367" s="89"/>
      <c r="E2367" s="599" t="s">
        <v>432</v>
      </c>
      <c r="F2367" s="1105"/>
      <c r="G2367" s="1106"/>
      <c r="H2367" s="1107"/>
      <c r="I2367" s="995">
        <v>0</v>
      </c>
      <c r="J2367" s="996"/>
      <c r="K2367" s="997"/>
      <c r="L2367" s="99"/>
      <c r="M2367" s="100"/>
    </row>
    <row r="2368" spans="4:13">
      <c r="D2368" s="89"/>
      <c r="E2368" s="600" t="s">
        <v>433</v>
      </c>
      <c r="F2368" s="1111"/>
      <c r="G2368" s="1112"/>
      <c r="H2368" s="1113"/>
      <c r="I2368" s="995"/>
      <c r="J2368" s="996"/>
      <c r="K2368" s="997"/>
      <c r="L2368" s="99"/>
      <c r="M2368" s="100"/>
    </row>
    <row r="2369" spans="4:13" ht="20" thickBot="1">
      <c r="D2369" s="89"/>
      <c r="E2369" s="600" t="s">
        <v>434</v>
      </c>
      <c r="F2369" s="1111">
        <v>0</v>
      </c>
      <c r="G2369" s="1112"/>
      <c r="H2369" s="1113"/>
      <c r="I2369" s="995"/>
      <c r="J2369" s="996"/>
      <c r="K2369" s="997"/>
      <c r="L2369" s="99"/>
      <c r="M2369" s="100"/>
    </row>
    <row r="2370" spans="4:13" ht="20" thickBot="1">
      <c r="D2370" s="89"/>
      <c r="E2370" s="601" t="s">
        <v>435</v>
      </c>
      <c r="F2370" s="1114">
        <v>0</v>
      </c>
      <c r="G2370" s="1115"/>
      <c r="H2370" s="1116"/>
      <c r="I2370" s="995"/>
      <c r="J2370" s="996"/>
      <c r="K2370" s="997"/>
      <c r="L2370" s="106">
        <v>0.22916666666666666</v>
      </c>
      <c r="M2370" s="107">
        <v>8.3333333333333315E-2</v>
      </c>
    </row>
    <row r="2371" spans="4:13" ht="20" thickBot="1">
      <c r="D2371" s="89"/>
      <c r="E2371" s="602" t="s">
        <v>436</v>
      </c>
      <c r="F2371" s="252" t="s">
        <v>29</v>
      </c>
      <c r="G2371" s="252" t="s">
        <v>28</v>
      </c>
      <c r="H2371" s="253" t="s">
        <v>27</v>
      </c>
      <c r="I2371" s="995"/>
      <c r="J2371" s="996"/>
      <c r="K2371" s="997"/>
      <c r="L2371" s="99"/>
      <c r="M2371" s="100"/>
    </row>
    <row r="2372" spans="4:13">
      <c r="D2372" s="89"/>
      <c r="E2372" s="603">
        <v>45631</v>
      </c>
      <c r="F2372" s="341" t="s">
        <v>381</v>
      </c>
      <c r="G2372" s="341" t="s">
        <v>1014</v>
      </c>
      <c r="H2372" s="341" t="s">
        <v>1014</v>
      </c>
      <c r="I2372" s="995"/>
      <c r="J2372" s="996"/>
      <c r="K2372" s="997"/>
      <c r="L2372" s="99"/>
      <c r="M2372" s="203"/>
    </row>
    <row r="2373" spans="4:13">
      <c r="D2373" s="89"/>
      <c r="E2373" s="603">
        <v>45623</v>
      </c>
      <c r="F2373" s="341" t="s">
        <v>1071</v>
      </c>
      <c r="G2373" s="341" t="s">
        <v>1014</v>
      </c>
      <c r="H2373" s="341" t="s">
        <v>1014</v>
      </c>
      <c r="I2373" s="995"/>
      <c r="J2373" s="996"/>
      <c r="K2373" s="997"/>
      <c r="L2373" s="99"/>
      <c r="M2373" s="100"/>
    </row>
    <row r="2374" spans="4:13">
      <c r="D2374" s="89"/>
      <c r="E2374" s="603">
        <v>45617</v>
      </c>
      <c r="F2374" s="341" t="s">
        <v>1071</v>
      </c>
      <c r="G2374" s="341" t="s">
        <v>931</v>
      </c>
      <c r="H2374" s="341" t="s">
        <v>345</v>
      </c>
      <c r="I2374" s="995"/>
      <c r="J2374" s="996"/>
      <c r="K2374" s="997"/>
      <c r="L2374" s="101"/>
      <c r="M2374" s="100"/>
    </row>
    <row r="2375" spans="4:13">
      <c r="D2375" s="89"/>
      <c r="E2375" s="603">
        <v>45610</v>
      </c>
      <c r="F2375" s="341" t="s">
        <v>1015</v>
      </c>
      <c r="G2375" s="341" t="s">
        <v>381</v>
      </c>
      <c r="H2375" s="341" t="s">
        <v>413</v>
      </c>
      <c r="I2375" s="995"/>
      <c r="J2375" s="996"/>
      <c r="K2375" s="997"/>
      <c r="L2375" s="99"/>
      <c r="M2375" s="100"/>
    </row>
    <row r="2376" spans="4:13">
      <c r="D2376" s="89"/>
      <c r="E2376" s="603">
        <v>45603</v>
      </c>
      <c r="F2376" s="341" t="s">
        <v>413</v>
      </c>
      <c r="G2376" s="341" t="s">
        <v>1347</v>
      </c>
      <c r="H2376" s="341" t="s">
        <v>382</v>
      </c>
      <c r="I2376" s="995"/>
      <c r="J2376" s="996"/>
      <c r="K2376" s="997"/>
      <c r="L2376" s="99"/>
      <c r="M2376" s="100"/>
    </row>
    <row r="2377" spans="4:13" ht="20" thickBot="1">
      <c r="D2377" s="89"/>
      <c r="E2377" s="603">
        <v>45596</v>
      </c>
      <c r="F2377" s="341" t="s">
        <v>932</v>
      </c>
      <c r="G2377" s="341" t="s">
        <v>321</v>
      </c>
      <c r="H2377" s="341" t="s">
        <v>579</v>
      </c>
      <c r="I2377" s="998"/>
      <c r="J2377" s="999"/>
      <c r="K2377" s="1000"/>
      <c r="L2377" s="102"/>
      <c r="M2377" s="103"/>
    </row>
    <row r="2378" spans="4:13" ht="25" thickBot="1">
      <c r="D2378">
        <v>14</v>
      </c>
      <c r="E2378" s="598" t="s">
        <v>30</v>
      </c>
      <c r="F2378" s="1102" t="s">
        <v>1330</v>
      </c>
      <c r="G2378" s="1103"/>
      <c r="H2378" s="1104"/>
      <c r="I2378" s="1086" t="s">
        <v>633</v>
      </c>
      <c r="J2378" s="1061"/>
      <c r="K2378" s="1062"/>
      <c r="L2378" s="158" t="s">
        <v>430</v>
      </c>
      <c r="M2378" s="105" t="s">
        <v>431</v>
      </c>
    </row>
    <row r="2379" spans="4:13">
      <c r="D2379" s="89"/>
      <c r="E2379" s="599" t="s">
        <v>432</v>
      </c>
      <c r="F2379" s="1105"/>
      <c r="G2379" s="1106"/>
      <c r="H2379" s="1107"/>
      <c r="I2379" s="995" t="s">
        <v>1331</v>
      </c>
      <c r="J2379" s="996"/>
      <c r="K2379" s="997"/>
      <c r="L2379" s="99"/>
      <c r="M2379" s="100"/>
    </row>
    <row r="2380" spans="4:13">
      <c r="D2380" s="89"/>
      <c r="E2380" s="600" t="s">
        <v>433</v>
      </c>
      <c r="F2380" s="1124">
        <v>48.3</v>
      </c>
      <c r="G2380" s="1112"/>
      <c r="H2380" s="1113"/>
      <c r="I2380" s="995"/>
      <c r="J2380" s="996"/>
      <c r="K2380" s="997"/>
      <c r="L2380" s="99"/>
      <c r="M2380" s="100"/>
    </row>
    <row r="2381" spans="4:13" ht="20" thickBot="1">
      <c r="D2381" s="89"/>
      <c r="E2381" s="600" t="s">
        <v>434</v>
      </c>
      <c r="F2381" s="1141">
        <v>48.4</v>
      </c>
      <c r="G2381" s="1142"/>
      <c r="H2381" s="1143"/>
      <c r="I2381" s="995"/>
      <c r="J2381" s="996"/>
      <c r="K2381" s="997"/>
      <c r="L2381" s="99"/>
      <c r="M2381" s="100"/>
    </row>
    <row r="2382" spans="4:13" ht="20" thickBot="1">
      <c r="D2382" s="89"/>
      <c r="E2382" s="601" t="s">
        <v>435</v>
      </c>
      <c r="F2382" s="1114">
        <v>0.625</v>
      </c>
      <c r="G2382" s="1115"/>
      <c r="H2382" s="1116"/>
      <c r="I2382" s="995"/>
      <c r="J2382" s="996"/>
      <c r="K2382" s="997"/>
      <c r="L2382" s="106">
        <v>0.85416666666666663</v>
      </c>
      <c r="M2382" s="107">
        <v>0.70833333333333326</v>
      </c>
    </row>
    <row r="2383" spans="4:13" ht="20" thickBot="1">
      <c r="D2383" s="89"/>
      <c r="E2383" s="602" t="s">
        <v>436</v>
      </c>
      <c r="F2383" s="252" t="s">
        <v>29</v>
      </c>
      <c r="G2383" s="252" t="s">
        <v>28</v>
      </c>
      <c r="H2383" s="253" t="s">
        <v>27</v>
      </c>
      <c r="I2383" s="995"/>
      <c r="J2383" s="996"/>
      <c r="K2383" s="997"/>
      <c r="L2383" s="99"/>
      <c r="M2383" s="100"/>
    </row>
    <row r="2384" spans="4:13">
      <c r="D2384" s="89"/>
      <c r="E2384" s="603">
        <v>45659</v>
      </c>
      <c r="F2384" s="256">
        <v>0</v>
      </c>
      <c r="G2384" s="256" t="s">
        <v>754</v>
      </c>
      <c r="H2384" s="256">
        <v>48.4</v>
      </c>
      <c r="I2384" s="995"/>
      <c r="J2384" s="996"/>
      <c r="K2384" s="997"/>
      <c r="L2384" s="99"/>
      <c r="M2384" s="203"/>
    </row>
    <row r="2385" spans="4:13">
      <c r="D2385" s="89"/>
      <c r="E2385" s="603">
        <v>45628</v>
      </c>
      <c r="F2385" s="256">
        <v>48.4</v>
      </c>
      <c r="G2385" s="256" t="s">
        <v>1341</v>
      </c>
      <c r="H2385" s="256">
        <v>46.5</v>
      </c>
      <c r="I2385" s="995"/>
      <c r="J2385" s="996"/>
      <c r="K2385" s="997"/>
      <c r="L2385" s="99"/>
      <c r="M2385" s="100"/>
    </row>
    <row r="2386" spans="4:13">
      <c r="D2386" s="89"/>
      <c r="E2386" s="603">
        <v>45597</v>
      </c>
      <c r="F2386" s="256">
        <v>46.5</v>
      </c>
      <c r="G2386" s="256" t="s">
        <v>901</v>
      </c>
      <c r="H2386" s="256">
        <v>47.2</v>
      </c>
      <c r="I2386" s="995"/>
      <c r="J2386" s="996"/>
      <c r="K2386" s="997"/>
      <c r="L2386" s="101"/>
      <c r="M2386" s="100"/>
    </row>
    <row r="2387" spans="4:13">
      <c r="D2387" s="89"/>
      <c r="E2387" s="603">
        <v>45566</v>
      </c>
      <c r="F2387" s="256">
        <v>47.2</v>
      </c>
      <c r="G2387" s="256" t="s">
        <v>901</v>
      </c>
      <c r="H2387" s="256">
        <v>47.2</v>
      </c>
      <c r="I2387" s="995"/>
      <c r="J2387" s="996"/>
      <c r="K2387" s="997"/>
      <c r="L2387" s="99"/>
      <c r="M2387" s="100"/>
    </row>
    <row r="2388" spans="4:13">
      <c r="D2388" s="89"/>
      <c r="E2388" s="603">
        <v>45538</v>
      </c>
      <c r="F2388" s="256">
        <v>47.2</v>
      </c>
      <c r="G2388" s="256" t="s">
        <v>509</v>
      </c>
      <c r="H2388" s="256">
        <v>46.8</v>
      </c>
      <c r="I2388" s="995"/>
      <c r="J2388" s="996"/>
      <c r="K2388" s="997"/>
      <c r="L2388" s="99"/>
      <c r="M2388" s="100"/>
    </row>
    <row r="2389" spans="4:13" ht="20" thickBot="1">
      <c r="D2389" s="89"/>
      <c r="E2389" s="613">
        <v>45505</v>
      </c>
      <c r="F2389" s="614">
        <v>46.8</v>
      </c>
      <c r="G2389" s="614" t="s">
        <v>510</v>
      </c>
      <c r="H2389" s="614">
        <v>48.5</v>
      </c>
      <c r="I2389" s="995"/>
      <c r="J2389" s="996"/>
      <c r="K2389" s="997"/>
      <c r="L2389" s="99"/>
      <c r="M2389" s="100"/>
    </row>
    <row r="2390" spans="4:13" ht="25" thickBot="1">
      <c r="D2390">
        <v>15</v>
      </c>
      <c r="E2390" s="615" t="s">
        <v>30</v>
      </c>
      <c r="F2390" s="1196" t="s">
        <v>1332</v>
      </c>
      <c r="G2390" s="1197"/>
      <c r="H2390" s="1198"/>
      <c r="I2390" s="1199" t="s">
        <v>633</v>
      </c>
      <c r="J2390" s="1200"/>
      <c r="K2390" s="1201"/>
      <c r="L2390" s="550" t="s">
        <v>430</v>
      </c>
      <c r="M2390" s="551" t="s">
        <v>431</v>
      </c>
    </row>
    <row r="2391" spans="4:13">
      <c r="D2391" s="89"/>
      <c r="E2391" s="499" t="s">
        <v>432</v>
      </c>
      <c r="F2391" s="1132"/>
      <c r="G2391" s="1133"/>
      <c r="H2391" s="1134"/>
      <c r="I2391" s="995" t="s">
        <v>1333</v>
      </c>
      <c r="J2391" s="996"/>
      <c r="K2391" s="997"/>
      <c r="L2391" s="99"/>
      <c r="M2391" s="552"/>
    </row>
    <row r="2392" spans="4:13">
      <c r="D2392" s="89"/>
      <c r="E2392" s="500" t="s">
        <v>433</v>
      </c>
      <c r="F2392" s="1124">
        <v>52.2</v>
      </c>
      <c r="G2392" s="1112"/>
      <c r="H2392" s="1113"/>
      <c r="I2392" s="995"/>
      <c r="J2392" s="996"/>
      <c r="K2392" s="997"/>
      <c r="L2392" s="99"/>
      <c r="M2392" s="552"/>
    </row>
    <row r="2393" spans="4:13" ht="20" thickBot="1">
      <c r="D2393" s="89"/>
      <c r="E2393" s="500" t="s">
        <v>434</v>
      </c>
      <c r="F2393" s="1124">
        <v>50.3</v>
      </c>
      <c r="G2393" s="1112"/>
      <c r="H2393" s="1113"/>
      <c r="I2393" s="995"/>
      <c r="J2393" s="996"/>
      <c r="K2393" s="997"/>
      <c r="L2393" s="99"/>
      <c r="M2393" s="552"/>
    </row>
    <row r="2394" spans="4:13" ht="20" thickBot="1">
      <c r="D2394" s="89"/>
      <c r="E2394" s="501" t="s">
        <v>435</v>
      </c>
      <c r="F2394" s="1114">
        <v>0.625</v>
      </c>
      <c r="G2394" s="1115"/>
      <c r="H2394" s="1116"/>
      <c r="I2394" s="995"/>
      <c r="J2394" s="996"/>
      <c r="K2394" s="997"/>
      <c r="L2394" s="106">
        <v>0.85416666666666663</v>
      </c>
      <c r="M2394" s="553">
        <v>0.70833333333333326</v>
      </c>
    </row>
    <row r="2395" spans="4:13" ht="20" thickBot="1">
      <c r="D2395" s="89"/>
      <c r="E2395" s="502" t="s">
        <v>436</v>
      </c>
      <c r="F2395" s="252" t="s">
        <v>29</v>
      </c>
      <c r="G2395" s="252" t="s">
        <v>28</v>
      </c>
      <c r="H2395" s="253" t="s">
        <v>27</v>
      </c>
      <c r="I2395" s="995"/>
      <c r="J2395" s="996"/>
      <c r="K2395" s="997"/>
      <c r="L2395" s="99"/>
      <c r="M2395" s="552"/>
    </row>
    <row r="2396" spans="4:13">
      <c r="D2396" s="89"/>
      <c r="E2396" s="503">
        <v>45659</v>
      </c>
      <c r="F2396" s="256">
        <v>0</v>
      </c>
      <c r="G2396" s="256" t="s">
        <v>754</v>
      </c>
      <c r="H2396" s="256">
        <v>50.3</v>
      </c>
      <c r="I2396" s="995"/>
      <c r="J2396" s="996"/>
      <c r="K2396" s="997"/>
      <c r="L2396" s="99"/>
      <c r="M2396" s="552"/>
    </row>
    <row r="2397" spans="4:13">
      <c r="D2397" s="89"/>
      <c r="E2397" s="503">
        <v>45628</v>
      </c>
      <c r="F2397" s="256">
        <v>50.3</v>
      </c>
      <c r="G2397" s="256" t="s">
        <v>586</v>
      </c>
      <c r="H2397" s="256">
        <v>54.8</v>
      </c>
      <c r="I2397" s="995"/>
      <c r="J2397" s="996"/>
      <c r="K2397" s="997"/>
      <c r="L2397" s="99"/>
      <c r="M2397" s="552"/>
    </row>
    <row r="2398" spans="4:13">
      <c r="D2398" s="89"/>
      <c r="E2398" s="503">
        <v>45597</v>
      </c>
      <c r="F2398" s="256">
        <v>54.8</v>
      </c>
      <c r="G2398" s="256" t="s">
        <v>1173</v>
      </c>
      <c r="H2398" s="256">
        <v>48.3</v>
      </c>
      <c r="I2398" s="995"/>
      <c r="J2398" s="996"/>
      <c r="K2398" s="997"/>
      <c r="L2398" s="101"/>
      <c r="M2398" s="552"/>
    </row>
    <row r="2399" spans="4:13">
      <c r="D2399" s="89"/>
      <c r="E2399" s="503">
        <v>45566</v>
      </c>
      <c r="F2399" s="256">
        <v>48.3</v>
      </c>
      <c r="G2399" s="256" t="s">
        <v>902</v>
      </c>
      <c r="H2399" s="256">
        <v>54</v>
      </c>
      <c r="I2399" s="995"/>
      <c r="J2399" s="996"/>
      <c r="K2399" s="997"/>
      <c r="L2399" s="99"/>
      <c r="M2399" s="552"/>
    </row>
    <row r="2400" spans="4:13">
      <c r="D2400" s="89"/>
      <c r="E2400" s="503">
        <v>45538</v>
      </c>
      <c r="F2400" s="256">
        <v>54</v>
      </c>
      <c r="G2400" s="256" t="s">
        <v>519</v>
      </c>
      <c r="H2400" s="256">
        <v>52.9</v>
      </c>
      <c r="I2400" s="995"/>
      <c r="J2400" s="996"/>
      <c r="K2400" s="997"/>
      <c r="L2400" s="99"/>
      <c r="M2400" s="552"/>
    </row>
    <row r="2401" spans="3:13" ht="20" thickBot="1">
      <c r="D2401" s="89"/>
      <c r="E2401" s="616">
        <v>45505</v>
      </c>
      <c r="F2401" s="617">
        <v>52.9</v>
      </c>
      <c r="G2401" s="617" t="s">
        <v>520</v>
      </c>
      <c r="H2401" s="617">
        <v>52.1</v>
      </c>
      <c r="I2401" s="1202"/>
      <c r="J2401" s="1203"/>
      <c r="K2401" s="1204"/>
      <c r="L2401" s="554"/>
      <c r="M2401" s="555"/>
    </row>
    <row r="2402" spans="3:13" ht="25" thickBot="1">
      <c r="C2402" t="s">
        <v>105</v>
      </c>
      <c r="D2402">
        <v>1</v>
      </c>
      <c r="E2402" s="598" t="s">
        <v>30</v>
      </c>
      <c r="F2402" s="1102" t="s">
        <v>1348</v>
      </c>
      <c r="G2402" s="1103"/>
      <c r="H2402" s="1104"/>
      <c r="I2402" s="1060" t="s">
        <v>633</v>
      </c>
      <c r="J2402" s="1061"/>
      <c r="K2402" s="1062"/>
      <c r="L2402" s="158" t="s">
        <v>430</v>
      </c>
      <c r="M2402" s="105" t="s">
        <v>431</v>
      </c>
    </row>
    <row r="2403" spans="3:13">
      <c r="E2403" s="599" t="s">
        <v>432</v>
      </c>
      <c r="F2403" s="1105"/>
      <c r="G2403" s="1106"/>
      <c r="H2403" s="1107"/>
      <c r="I2403" s="995" t="s">
        <v>1349</v>
      </c>
      <c r="J2403" s="996"/>
      <c r="K2403" s="997"/>
      <c r="L2403" s="99"/>
      <c r="M2403" s="100"/>
    </row>
    <row r="2404" spans="3:13">
      <c r="E2404" s="600" t="s">
        <v>433</v>
      </c>
      <c r="F2404" s="1108" t="s">
        <v>1090</v>
      </c>
      <c r="G2404" s="1109"/>
      <c r="H2404" s="1110"/>
      <c r="I2404" s="995"/>
      <c r="J2404" s="996"/>
      <c r="K2404" s="997"/>
      <c r="L2404" s="99"/>
      <c r="M2404" s="100"/>
    </row>
    <row r="2405" spans="3:13" ht="20" thickBot="1">
      <c r="E2405" s="600" t="s">
        <v>434</v>
      </c>
      <c r="F2405" s="1108">
        <v>-2E-3</v>
      </c>
      <c r="G2405" s="1109"/>
      <c r="H2405" s="1110"/>
      <c r="I2405" s="995"/>
      <c r="J2405" s="996"/>
      <c r="K2405" s="997"/>
      <c r="L2405" s="99"/>
      <c r="M2405" s="100"/>
    </row>
    <row r="2406" spans="3:13" ht="20" thickBot="1">
      <c r="E2406" s="601" t="s">
        <v>435</v>
      </c>
      <c r="F2406" s="1114">
        <v>0.54166666666666674</v>
      </c>
      <c r="G2406" s="1115"/>
      <c r="H2406" s="1116"/>
      <c r="I2406" s="995"/>
      <c r="J2406" s="996"/>
      <c r="K2406" s="997"/>
      <c r="L2406" s="106">
        <v>0.77083333333333337</v>
      </c>
      <c r="M2406" s="107">
        <v>0.625</v>
      </c>
    </row>
    <row r="2407" spans="3:13" ht="20" thickBot="1">
      <c r="E2407" s="602" t="s">
        <v>436</v>
      </c>
      <c r="F2407" s="252" t="s">
        <v>29</v>
      </c>
      <c r="G2407" s="252" t="s">
        <v>28</v>
      </c>
      <c r="H2407" s="253" t="s">
        <v>27</v>
      </c>
      <c r="I2407" s="995"/>
      <c r="J2407" s="996"/>
      <c r="K2407" s="997"/>
      <c r="L2407" s="99"/>
      <c r="M2407" s="100"/>
    </row>
    <row r="2408" spans="3:13">
      <c r="E2408" s="603">
        <v>45636</v>
      </c>
      <c r="F2408" s="341">
        <v>-2E-3</v>
      </c>
      <c r="G2408" s="341" t="s">
        <v>461</v>
      </c>
      <c r="H2408" s="341">
        <v>4.0000000000000001E-3</v>
      </c>
      <c r="I2408" s="995"/>
      <c r="J2408" s="996"/>
      <c r="K2408" s="997"/>
      <c r="L2408" s="99"/>
      <c r="M2408" s="100"/>
    </row>
    <row r="2409" spans="3:13">
      <c r="E2409" s="603">
        <v>45624</v>
      </c>
      <c r="F2409" s="341">
        <v>-2E-3</v>
      </c>
      <c r="G2409" s="341" t="s">
        <v>461</v>
      </c>
      <c r="H2409" s="341">
        <v>4.0000000000000001E-3</v>
      </c>
      <c r="I2409" s="995"/>
      <c r="J2409" s="996"/>
      <c r="K2409" s="997"/>
      <c r="L2409" s="99"/>
      <c r="M2409" s="100"/>
    </row>
    <row r="2410" spans="3:13">
      <c r="E2410" s="603">
        <v>45608</v>
      </c>
      <c r="F2410" s="341">
        <v>4.0000000000000001E-3</v>
      </c>
      <c r="G2410" s="341" t="s">
        <v>452</v>
      </c>
      <c r="H2410" s="341">
        <v>0</v>
      </c>
      <c r="I2410" s="995"/>
      <c r="J2410" s="996"/>
      <c r="K2410" s="997"/>
      <c r="L2410" s="101"/>
      <c r="M2410" s="100"/>
    </row>
    <row r="2411" spans="3:13">
      <c r="E2411" s="603">
        <v>45595</v>
      </c>
      <c r="F2411" s="341">
        <v>4.0000000000000001E-3</v>
      </c>
      <c r="G2411" s="341" t="s">
        <v>460</v>
      </c>
      <c r="H2411" s="341">
        <v>0</v>
      </c>
      <c r="I2411" s="995"/>
      <c r="J2411" s="996"/>
      <c r="K2411" s="997"/>
      <c r="L2411" s="99"/>
      <c r="M2411" s="100"/>
    </row>
    <row r="2412" spans="3:13">
      <c r="E2412" s="603">
        <v>45576</v>
      </c>
      <c r="F2412" s="341">
        <v>0</v>
      </c>
      <c r="G2412" s="341" t="s">
        <v>458</v>
      </c>
      <c r="H2412" s="341">
        <v>-1E-3</v>
      </c>
      <c r="I2412" s="995"/>
      <c r="J2412" s="996"/>
      <c r="K2412" s="997"/>
      <c r="L2412" s="99"/>
      <c r="M2412" s="100"/>
    </row>
    <row r="2413" spans="3:13" ht="20" thickBot="1">
      <c r="E2413" s="603">
        <v>45565</v>
      </c>
      <c r="F2413" s="341">
        <v>0</v>
      </c>
      <c r="G2413" s="341" t="s">
        <v>462</v>
      </c>
      <c r="H2413" s="341">
        <v>-1E-3</v>
      </c>
      <c r="I2413" s="998"/>
      <c r="J2413" s="999"/>
      <c r="K2413" s="1000"/>
      <c r="L2413" s="102"/>
      <c r="M2413" s="103"/>
    </row>
    <row r="2414" spans="3:13" ht="25" thickBot="1">
      <c r="D2414">
        <v>2</v>
      </c>
      <c r="E2414" s="598" t="s">
        <v>30</v>
      </c>
      <c r="F2414" s="1102" t="s">
        <v>1350</v>
      </c>
      <c r="G2414" s="1103"/>
      <c r="H2414" s="1104"/>
      <c r="I2414" s="1060" t="s">
        <v>633</v>
      </c>
      <c r="J2414" s="1061"/>
      <c r="K2414" s="1062"/>
      <c r="L2414" s="158" t="s">
        <v>430</v>
      </c>
      <c r="M2414" s="105" t="s">
        <v>431</v>
      </c>
    </row>
    <row r="2415" spans="3:13">
      <c r="E2415" s="599" t="s">
        <v>432</v>
      </c>
      <c r="F2415" s="1105"/>
      <c r="G2415" s="1106"/>
      <c r="H2415" s="1107"/>
      <c r="I2415" s="995" t="s">
        <v>1351</v>
      </c>
      <c r="J2415" s="996"/>
      <c r="K2415" s="997"/>
      <c r="L2415" s="99"/>
      <c r="M2415" s="100"/>
    </row>
    <row r="2416" spans="3:13">
      <c r="E2416" s="600" t="s">
        <v>433</v>
      </c>
      <c r="F2416" s="1117">
        <v>58.5</v>
      </c>
      <c r="G2416" s="1109"/>
      <c r="H2416" s="1110"/>
      <c r="I2416" s="995"/>
      <c r="J2416" s="996"/>
      <c r="K2416" s="997"/>
      <c r="L2416" s="99"/>
      <c r="M2416" s="100"/>
    </row>
    <row r="2417" spans="4:13" ht="20" thickBot="1">
      <c r="E2417" s="600" t="s">
        <v>434</v>
      </c>
      <c r="F2417" s="1117">
        <v>56.1</v>
      </c>
      <c r="G2417" s="1109"/>
      <c r="H2417" s="1110"/>
      <c r="I2417" s="995"/>
      <c r="J2417" s="996"/>
      <c r="K2417" s="997"/>
      <c r="L2417" s="99"/>
      <c r="M2417" s="100"/>
    </row>
    <row r="2418" spans="4:13" ht="20" thickBot="1">
      <c r="E2418" s="601" t="s">
        <v>435</v>
      </c>
      <c r="F2418" s="1114">
        <v>0.61458333333333337</v>
      </c>
      <c r="G2418" s="1115"/>
      <c r="H2418" s="1116"/>
      <c r="I2418" s="995"/>
      <c r="J2418" s="996"/>
      <c r="K2418" s="997"/>
      <c r="L2418" s="106">
        <v>0.84375</v>
      </c>
      <c r="M2418" s="107">
        <v>0.69791666666666663</v>
      </c>
    </row>
    <row r="2419" spans="4:13" ht="20" thickBot="1">
      <c r="E2419" s="602" t="s">
        <v>436</v>
      </c>
      <c r="F2419" s="252" t="s">
        <v>29</v>
      </c>
      <c r="G2419" s="252" t="s">
        <v>28</v>
      </c>
      <c r="H2419" s="253" t="s">
        <v>27</v>
      </c>
      <c r="I2419" s="995"/>
      <c r="J2419" s="996"/>
      <c r="K2419" s="997"/>
      <c r="L2419" s="99"/>
      <c r="M2419" s="100"/>
    </row>
    <row r="2420" spans="4:13">
      <c r="E2420" s="603">
        <v>45642</v>
      </c>
      <c r="F2420" s="256">
        <v>58.5</v>
      </c>
      <c r="G2420" s="256" t="s">
        <v>1339</v>
      </c>
      <c r="H2420" s="256">
        <v>56.1</v>
      </c>
      <c r="I2420" s="995"/>
      <c r="J2420" s="996"/>
      <c r="K2420" s="997"/>
      <c r="L2420" s="99"/>
      <c r="M2420" s="100"/>
    </row>
    <row r="2421" spans="4:13">
      <c r="E2421" s="603">
        <v>45630</v>
      </c>
      <c r="F2421" s="256">
        <v>56.1</v>
      </c>
      <c r="G2421" s="256" t="s">
        <v>1285</v>
      </c>
      <c r="H2421" s="256">
        <v>55</v>
      </c>
      <c r="I2421" s="995"/>
      <c r="J2421" s="996"/>
      <c r="K2421" s="997"/>
      <c r="L2421" s="99"/>
      <c r="M2421" s="100"/>
    </row>
    <row r="2422" spans="4:13">
      <c r="E2422" s="603">
        <v>45618</v>
      </c>
      <c r="F2422" s="256">
        <v>57</v>
      </c>
      <c r="G2422" s="256" t="s">
        <v>586</v>
      </c>
      <c r="H2422" s="256">
        <v>55</v>
      </c>
      <c r="I2422" s="995"/>
      <c r="J2422" s="996"/>
      <c r="K2422" s="997"/>
      <c r="L2422" s="101"/>
      <c r="M2422" s="100"/>
    </row>
    <row r="2423" spans="4:13">
      <c r="E2423" s="603">
        <v>45601</v>
      </c>
      <c r="F2423" s="256">
        <v>55</v>
      </c>
      <c r="G2423" s="256" t="s">
        <v>585</v>
      </c>
      <c r="H2423" s="256">
        <v>55.2</v>
      </c>
      <c r="I2423" s="995"/>
      <c r="J2423" s="996"/>
      <c r="K2423" s="997"/>
      <c r="L2423" s="99"/>
      <c r="M2423" s="100"/>
    </row>
    <row r="2424" spans="4:13">
      <c r="E2424" s="603">
        <v>45589</v>
      </c>
      <c r="F2424" s="256">
        <v>55.3</v>
      </c>
      <c r="G2424" s="256" t="s">
        <v>604</v>
      </c>
      <c r="H2424" s="256">
        <v>55.2</v>
      </c>
      <c r="I2424" s="995"/>
      <c r="J2424" s="996"/>
      <c r="K2424" s="997"/>
      <c r="L2424" s="99"/>
      <c r="M2424" s="100"/>
    </row>
    <row r="2425" spans="4:13" ht="20" thickBot="1">
      <c r="E2425" s="603">
        <v>45568</v>
      </c>
      <c r="F2425" s="256">
        <v>55.2</v>
      </c>
      <c r="G2425" s="256" t="s">
        <v>759</v>
      </c>
      <c r="H2425" s="256">
        <v>55.7</v>
      </c>
      <c r="I2425" s="998"/>
      <c r="J2425" s="999"/>
      <c r="K2425" s="1000"/>
      <c r="L2425" s="102"/>
      <c r="M2425" s="103"/>
    </row>
    <row r="2426" spans="4:13" ht="25" thickBot="1">
      <c r="D2426">
        <v>1</v>
      </c>
      <c r="E2426" s="598" t="s">
        <v>30</v>
      </c>
      <c r="F2426" s="1102" t="s">
        <v>1352</v>
      </c>
      <c r="G2426" s="1103"/>
      <c r="H2426" s="1104"/>
      <c r="I2426" s="1060" t="s">
        <v>633</v>
      </c>
      <c r="J2426" s="1061"/>
      <c r="K2426" s="1062"/>
      <c r="L2426" s="158" t="s">
        <v>430</v>
      </c>
      <c r="M2426" s="105" t="s">
        <v>431</v>
      </c>
    </row>
    <row r="2427" spans="4:13">
      <c r="E2427" s="599" t="s">
        <v>432</v>
      </c>
      <c r="F2427" s="1105"/>
      <c r="G2427" s="1106"/>
      <c r="H2427" s="1107"/>
      <c r="I2427" s="995" t="s">
        <v>1353</v>
      </c>
      <c r="J2427" s="996"/>
      <c r="K2427" s="997"/>
      <c r="L2427" s="99"/>
      <c r="M2427" s="100"/>
    </row>
    <row r="2428" spans="4:13">
      <c r="E2428" s="600" t="s">
        <v>433</v>
      </c>
      <c r="F2428" s="1108" t="s">
        <v>1090</v>
      </c>
      <c r="G2428" s="1109"/>
      <c r="H2428" s="1110"/>
      <c r="I2428" s="995"/>
      <c r="J2428" s="996"/>
      <c r="K2428" s="997"/>
      <c r="L2428" s="99"/>
      <c r="M2428" s="100"/>
    </row>
    <row r="2429" spans="4:13" ht="20" thickBot="1">
      <c r="E2429" s="600" t="s">
        <v>434</v>
      </c>
      <c r="F2429" s="1108">
        <v>7.0000000000000001E-3</v>
      </c>
      <c r="G2429" s="1109"/>
      <c r="H2429" s="1110"/>
      <c r="I2429" s="995"/>
      <c r="J2429" s="996"/>
      <c r="K2429" s="997"/>
      <c r="L2429" s="99"/>
      <c r="M2429" s="100"/>
    </row>
    <row r="2430" spans="4:13" ht="20" thickBot="1">
      <c r="E2430" s="601" t="s">
        <v>435</v>
      </c>
      <c r="F2430" s="1114">
        <v>0.3125</v>
      </c>
      <c r="G2430" s="1115"/>
      <c r="H2430" s="1116"/>
      <c r="I2430" s="995"/>
      <c r="J2430" s="996"/>
      <c r="K2430" s="997"/>
      <c r="L2430" s="106">
        <v>0.54166666666666663</v>
      </c>
      <c r="M2430" s="107">
        <v>0.39583333333333326</v>
      </c>
    </row>
    <row r="2431" spans="4:13" ht="20" thickBot="1">
      <c r="E2431" s="602" t="s">
        <v>436</v>
      </c>
      <c r="F2431" s="252" t="s">
        <v>29</v>
      </c>
      <c r="G2431" s="252" t="s">
        <v>28</v>
      </c>
      <c r="H2431" s="253" t="s">
        <v>27</v>
      </c>
      <c r="I2431" s="995"/>
      <c r="J2431" s="996"/>
      <c r="K2431" s="997"/>
      <c r="L2431" s="99"/>
      <c r="M2431" s="100"/>
    </row>
    <row r="2432" spans="4:13">
      <c r="E2432" s="603">
        <v>45629</v>
      </c>
      <c r="F2432" s="341">
        <v>7.0000000000000001E-3</v>
      </c>
      <c r="G2432" s="341" t="s">
        <v>1001</v>
      </c>
      <c r="H2432" s="341">
        <v>6.0000000000000001E-3</v>
      </c>
      <c r="I2432" s="995"/>
      <c r="J2432" s="996"/>
      <c r="K2432" s="997"/>
      <c r="L2432" s="99"/>
      <c r="M2432" s="100"/>
    </row>
    <row r="2433" spans="4:13">
      <c r="E2433" s="603">
        <v>45597</v>
      </c>
      <c r="F2433" s="341">
        <v>6.0000000000000001E-3</v>
      </c>
      <c r="G2433" s="341" t="s">
        <v>1001</v>
      </c>
      <c r="H2433" s="341">
        <v>8.0000000000000002E-3</v>
      </c>
      <c r="I2433" s="995"/>
      <c r="J2433" s="996"/>
      <c r="K2433" s="997"/>
      <c r="L2433" s="99"/>
      <c r="M2433" s="100"/>
    </row>
    <row r="2434" spans="4:13">
      <c r="E2434" s="603">
        <v>45568</v>
      </c>
      <c r="F2434" s="341">
        <v>8.0000000000000002E-3</v>
      </c>
      <c r="G2434" s="341" t="s">
        <v>1382</v>
      </c>
      <c r="H2434" s="341">
        <v>1.0999999999999999E-2</v>
      </c>
      <c r="I2434" s="995"/>
      <c r="J2434" s="996"/>
      <c r="K2434" s="997"/>
      <c r="L2434" s="101"/>
      <c r="M2434" s="100"/>
    </row>
    <row r="2435" spans="4:13">
      <c r="E2435" s="603">
        <v>45538</v>
      </c>
      <c r="F2435" s="341">
        <v>1.0999999999999999E-2</v>
      </c>
      <c r="G2435" s="341" t="s">
        <v>1383</v>
      </c>
      <c r="H2435" s="341">
        <v>1.2999999999999999E-2</v>
      </c>
      <c r="I2435" s="995"/>
      <c r="J2435" s="996"/>
      <c r="K2435" s="997"/>
      <c r="L2435" s="99"/>
      <c r="M2435" s="100"/>
    </row>
    <row r="2436" spans="4:13">
      <c r="E2436" s="603">
        <v>45506</v>
      </c>
      <c r="F2436" s="341">
        <v>1.2999999999999999E-2</v>
      </c>
      <c r="G2436" s="341" t="s">
        <v>889</v>
      </c>
      <c r="H2436" s="341">
        <v>1.2999999999999999E-2</v>
      </c>
      <c r="I2436" s="995"/>
      <c r="J2436" s="996"/>
      <c r="K2436" s="997"/>
      <c r="L2436" s="99"/>
      <c r="M2436" s="100"/>
    </row>
    <row r="2437" spans="4:13" ht="20" thickBot="1">
      <c r="E2437" s="603">
        <v>45477</v>
      </c>
      <c r="F2437" s="341">
        <v>1.2999999999999999E-2</v>
      </c>
      <c r="G2437" s="341" t="s">
        <v>1384</v>
      </c>
      <c r="H2437" s="341">
        <v>1.4E-2</v>
      </c>
      <c r="I2437" s="998"/>
      <c r="J2437" s="999"/>
      <c r="K2437" s="1000"/>
      <c r="L2437" s="102"/>
      <c r="M2437" s="103"/>
    </row>
    <row r="2438" spans="4:13" ht="25" thickBot="1">
      <c r="D2438">
        <v>3</v>
      </c>
      <c r="E2438" s="598" t="s">
        <v>30</v>
      </c>
      <c r="F2438" s="1102" t="s">
        <v>1354</v>
      </c>
      <c r="G2438" s="1103"/>
      <c r="H2438" s="1104"/>
      <c r="I2438" s="1060" t="s">
        <v>633</v>
      </c>
      <c r="J2438" s="1061"/>
      <c r="K2438" s="1062"/>
      <c r="L2438" s="158" t="s">
        <v>430</v>
      </c>
      <c r="M2438" s="105" t="s">
        <v>431</v>
      </c>
    </row>
    <row r="2439" spans="4:13">
      <c r="E2439" s="599" t="s">
        <v>432</v>
      </c>
      <c r="F2439" s="1105"/>
      <c r="G2439" s="1106"/>
      <c r="H2439" s="1107"/>
      <c r="I2439" s="995" t="s">
        <v>1353</v>
      </c>
      <c r="J2439" s="996"/>
      <c r="K2439" s="997"/>
      <c r="L2439" s="99"/>
      <c r="M2439" s="100"/>
    </row>
    <row r="2440" spans="4:13">
      <c r="E2440" s="600" t="s">
        <v>433</v>
      </c>
      <c r="F2440" s="1111">
        <v>0</v>
      </c>
      <c r="G2440" s="1112"/>
      <c r="H2440" s="1113"/>
      <c r="I2440" s="995"/>
      <c r="J2440" s="996"/>
      <c r="K2440" s="997"/>
      <c r="L2440" s="99"/>
      <c r="M2440" s="100"/>
    </row>
    <row r="2441" spans="4:13" ht="20" thickBot="1">
      <c r="E2441" s="600" t="s">
        <v>434</v>
      </c>
      <c r="F2441" s="1111">
        <v>2.1999999999999999E-2</v>
      </c>
      <c r="G2441" s="1112"/>
      <c r="H2441" s="1113"/>
      <c r="I2441" s="995"/>
      <c r="J2441" s="996"/>
      <c r="K2441" s="997"/>
      <c r="L2441" s="99"/>
      <c r="M2441" s="100"/>
    </row>
    <row r="2442" spans="4:13" ht="20" thickBot="1">
      <c r="E2442" s="601" t="s">
        <v>435</v>
      </c>
      <c r="F2442" s="1114">
        <v>0.41666666666666674</v>
      </c>
      <c r="G2442" s="1115"/>
      <c r="H2442" s="1116"/>
      <c r="I2442" s="995"/>
      <c r="J2442" s="996"/>
      <c r="K2442" s="997"/>
      <c r="L2442" s="106">
        <v>0.64583333333333337</v>
      </c>
      <c r="M2442" s="107">
        <v>0.5</v>
      </c>
    </row>
    <row r="2443" spans="4:13" ht="20" thickBot="1">
      <c r="E2443" s="602" t="s">
        <v>436</v>
      </c>
      <c r="F2443" s="252" t="s">
        <v>29</v>
      </c>
      <c r="G2443" s="252" t="s">
        <v>28</v>
      </c>
      <c r="H2443" s="253" t="s">
        <v>27</v>
      </c>
      <c r="I2443" s="995"/>
      <c r="J2443" s="996"/>
      <c r="K2443" s="997"/>
      <c r="L2443" s="330"/>
      <c r="M2443" s="331"/>
    </row>
    <row r="2444" spans="4:13">
      <c r="E2444" s="603">
        <v>45644</v>
      </c>
      <c r="F2444" s="606">
        <v>2.1999999999999999E-2</v>
      </c>
      <c r="G2444" s="606" t="s">
        <v>971</v>
      </c>
      <c r="H2444" s="606">
        <v>0.02</v>
      </c>
      <c r="I2444" s="995"/>
      <c r="J2444" s="996"/>
      <c r="K2444" s="997"/>
      <c r="L2444" s="99"/>
      <c r="M2444" s="100"/>
    </row>
    <row r="2445" spans="4:13">
      <c r="E2445" s="603">
        <v>45625</v>
      </c>
      <c r="F2445" s="606">
        <v>2.3E-2</v>
      </c>
      <c r="G2445" s="606" t="s">
        <v>971</v>
      </c>
      <c r="H2445" s="606">
        <v>0.02</v>
      </c>
      <c r="I2445" s="995"/>
      <c r="J2445" s="996"/>
      <c r="K2445" s="997"/>
      <c r="L2445" s="99"/>
      <c r="M2445" s="100"/>
    </row>
    <row r="2446" spans="4:13">
      <c r="E2446" s="603">
        <v>45615</v>
      </c>
      <c r="F2446" s="606">
        <v>0.02</v>
      </c>
      <c r="G2446" s="606" t="s">
        <v>788</v>
      </c>
      <c r="H2446" s="606">
        <v>0.02</v>
      </c>
      <c r="I2446" s="995"/>
      <c r="J2446" s="996"/>
      <c r="K2446" s="997"/>
      <c r="L2446" s="101"/>
      <c r="M2446" s="100"/>
    </row>
    <row r="2447" spans="4:13">
      <c r="E2447" s="603">
        <v>45596</v>
      </c>
      <c r="F2447" s="606">
        <v>0.02</v>
      </c>
      <c r="G2447" s="606" t="s">
        <v>789</v>
      </c>
      <c r="H2447" s="606">
        <v>1.7000000000000001E-2</v>
      </c>
      <c r="I2447" s="995"/>
      <c r="J2447" s="996"/>
      <c r="K2447" s="997"/>
      <c r="L2447" s="99"/>
      <c r="M2447" s="100"/>
    </row>
    <row r="2448" spans="4:13">
      <c r="E2448" s="603">
        <v>45582</v>
      </c>
      <c r="F2448" s="606">
        <v>1.7000000000000001E-2</v>
      </c>
      <c r="G2448" s="606" t="s">
        <v>895</v>
      </c>
      <c r="H2448" s="606">
        <v>2.1999999999999999E-2</v>
      </c>
      <c r="I2448" s="995"/>
      <c r="J2448" s="996"/>
      <c r="K2448" s="997"/>
      <c r="L2448" s="99"/>
      <c r="M2448" s="100"/>
    </row>
    <row r="2449" spans="4:13" ht="20" thickBot="1">
      <c r="E2449" s="603">
        <v>45566</v>
      </c>
      <c r="F2449" s="606">
        <v>1.7999999999999999E-2</v>
      </c>
      <c r="G2449" s="606" t="s">
        <v>895</v>
      </c>
      <c r="H2449" s="606">
        <v>2.1999999999999999E-2</v>
      </c>
      <c r="I2449" s="998"/>
      <c r="J2449" s="999"/>
      <c r="K2449" s="1000"/>
      <c r="L2449" s="102"/>
      <c r="M2449" s="103"/>
    </row>
    <row r="2450" spans="4:13" ht="25" thickBot="1">
      <c r="D2450">
        <v>4</v>
      </c>
      <c r="E2450" s="598" t="s">
        <v>30</v>
      </c>
      <c r="F2450" s="1102" t="s">
        <v>1355</v>
      </c>
      <c r="G2450" s="1103"/>
      <c r="H2450" s="1104"/>
      <c r="I2450" s="1060" t="s">
        <v>633</v>
      </c>
      <c r="J2450" s="1061"/>
      <c r="K2450" s="1062"/>
      <c r="L2450" s="158" t="s">
        <v>430</v>
      </c>
      <c r="M2450" s="105" t="s">
        <v>431</v>
      </c>
    </row>
    <row r="2451" spans="4:13">
      <c r="E2451" s="599" t="s">
        <v>432</v>
      </c>
      <c r="F2451" s="1105"/>
      <c r="G2451" s="1106"/>
      <c r="H2451" s="1107"/>
      <c r="I2451" s="995" t="s">
        <v>1356</v>
      </c>
      <c r="J2451" s="996"/>
      <c r="K2451" s="997"/>
      <c r="L2451" s="99"/>
      <c r="M2451" s="100"/>
    </row>
    <row r="2452" spans="4:13">
      <c r="E2452" s="600" t="s">
        <v>433</v>
      </c>
      <c r="F2452" s="1124">
        <v>53.5</v>
      </c>
      <c r="G2452" s="1112"/>
      <c r="H2452" s="1113"/>
      <c r="I2452" s="995"/>
      <c r="J2452" s="996"/>
      <c r="K2452" s="997"/>
      <c r="L2452" s="99"/>
      <c r="M2452" s="100"/>
    </row>
    <row r="2453" spans="4:13" ht="20" thickBot="1">
      <c r="E2453" s="600" t="s">
        <v>434</v>
      </c>
      <c r="F2453" s="1124">
        <v>52.1</v>
      </c>
      <c r="G2453" s="1112"/>
      <c r="H2453" s="1113"/>
      <c r="I2453" s="995"/>
      <c r="J2453" s="996"/>
      <c r="K2453" s="997"/>
      <c r="L2453" s="99"/>
      <c r="M2453" s="100"/>
    </row>
    <row r="2454" spans="4:13" ht="20" thickBot="1">
      <c r="E2454" s="601" t="s">
        <v>435</v>
      </c>
      <c r="F2454" s="1114">
        <v>0.625</v>
      </c>
      <c r="G2454" s="1115"/>
      <c r="H2454" s="1116"/>
      <c r="I2454" s="995"/>
      <c r="J2454" s="996"/>
      <c r="K2454" s="997"/>
      <c r="L2454" s="106">
        <v>0.85416666666666663</v>
      </c>
      <c r="M2454" s="107">
        <v>0.70833333333333326</v>
      </c>
    </row>
    <row r="2455" spans="4:13" ht="20" thickBot="1">
      <c r="E2455" s="602" t="s">
        <v>436</v>
      </c>
      <c r="F2455" s="252" t="s">
        <v>29</v>
      </c>
      <c r="G2455" s="252" t="s">
        <v>28</v>
      </c>
      <c r="H2455" s="253" t="s">
        <v>27</v>
      </c>
      <c r="I2455" s="995"/>
      <c r="J2455" s="996"/>
      <c r="K2455" s="997"/>
      <c r="L2455" s="99"/>
      <c r="M2455" s="100"/>
    </row>
    <row r="2456" spans="4:13">
      <c r="E2456" s="603">
        <v>45630</v>
      </c>
      <c r="F2456" s="604">
        <v>52.1</v>
      </c>
      <c r="G2456" s="604" t="s">
        <v>523</v>
      </c>
      <c r="H2456" s="604">
        <v>56</v>
      </c>
      <c r="I2456" s="995"/>
      <c r="J2456" s="996"/>
      <c r="K2456" s="997"/>
      <c r="L2456" s="99"/>
      <c r="M2456" s="100"/>
    </row>
    <row r="2457" spans="4:13">
      <c r="E2457" s="603">
        <v>45601</v>
      </c>
      <c r="F2457" s="604">
        <v>56</v>
      </c>
      <c r="G2457" s="604" t="s">
        <v>1344</v>
      </c>
      <c r="H2457" s="604">
        <v>54.9</v>
      </c>
      <c r="I2457" s="995"/>
      <c r="J2457" s="996"/>
      <c r="K2457" s="997"/>
      <c r="L2457" s="99"/>
      <c r="M2457" s="100"/>
    </row>
    <row r="2458" spans="4:13">
      <c r="E2458" s="603">
        <v>45568</v>
      </c>
      <c r="F2458" s="604">
        <v>54.9</v>
      </c>
      <c r="G2458" s="604" t="s">
        <v>506</v>
      </c>
      <c r="H2458" s="604">
        <v>51.5</v>
      </c>
      <c r="I2458" s="995"/>
      <c r="J2458" s="996"/>
      <c r="K2458" s="997"/>
      <c r="L2458" s="101"/>
      <c r="M2458" s="100"/>
    </row>
    <row r="2459" spans="4:13">
      <c r="E2459" s="603">
        <v>45540</v>
      </c>
      <c r="F2459" s="604">
        <v>51.5</v>
      </c>
      <c r="G2459" s="604" t="s">
        <v>594</v>
      </c>
      <c r="H2459" s="604">
        <v>51.4</v>
      </c>
      <c r="I2459" s="995"/>
      <c r="J2459" s="996"/>
      <c r="K2459" s="997"/>
      <c r="L2459" s="99"/>
      <c r="M2459" s="100"/>
    </row>
    <row r="2460" spans="4:13">
      <c r="E2460" s="603">
        <v>45509</v>
      </c>
      <c r="F2460" s="604">
        <v>51.4</v>
      </c>
      <c r="G2460" s="604" t="s">
        <v>595</v>
      </c>
      <c r="H2460" s="604">
        <v>48.8</v>
      </c>
      <c r="I2460" s="995"/>
      <c r="J2460" s="996"/>
      <c r="K2460" s="997"/>
      <c r="L2460" s="99"/>
      <c r="M2460" s="100"/>
    </row>
    <row r="2461" spans="4:13" ht="20" thickBot="1">
      <c r="E2461" s="603">
        <v>45476</v>
      </c>
      <c r="F2461" s="604">
        <v>48.8</v>
      </c>
      <c r="G2461" s="604" t="s">
        <v>596</v>
      </c>
      <c r="H2461" s="604">
        <v>53.8</v>
      </c>
      <c r="I2461" s="998"/>
      <c r="J2461" s="999"/>
      <c r="K2461" s="1000"/>
      <c r="L2461" s="102"/>
      <c r="M2461" s="103"/>
    </row>
    <row r="2462" spans="4:13" ht="25" thickBot="1">
      <c r="D2462">
        <v>6</v>
      </c>
      <c r="E2462" s="598" t="s">
        <v>30</v>
      </c>
      <c r="F2462" s="1102" t="s">
        <v>1357</v>
      </c>
      <c r="G2462" s="1103"/>
      <c r="H2462" s="1104"/>
      <c r="I2462" s="1060" t="s">
        <v>633</v>
      </c>
      <c r="J2462" s="1061"/>
      <c r="K2462" s="1062"/>
      <c r="L2462" s="158" t="s">
        <v>430</v>
      </c>
      <c r="M2462" s="105" t="s">
        <v>431</v>
      </c>
    </row>
    <row r="2463" spans="4:13">
      <c r="E2463" s="599" t="s">
        <v>432</v>
      </c>
      <c r="F2463" s="1105"/>
      <c r="G2463" s="1106"/>
      <c r="H2463" s="1107"/>
      <c r="I2463" s="995" t="s">
        <v>1358</v>
      </c>
      <c r="J2463" s="996"/>
      <c r="K2463" s="997"/>
      <c r="L2463" s="99"/>
      <c r="M2463" s="100"/>
    </row>
    <row r="2464" spans="4:13">
      <c r="E2464" s="600" t="s">
        <v>433</v>
      </c>
      <c r="F2464" s="1111">
        <v>0</v>
      </c>
      <c r="G2464" s="1112"/>
      <c r="H2464" s="1113"/>
      <c r="I2464" s="995"/>
      <c r="J2464" s="996"/>
      <c r="K2464" s="997"/>
      <c r="L2464" s="99"/>
      <c r="M2464" s="100"/>
    </row>
    <row r="2465" spans="4:13" ht="20" thickBot="1">
      <c r="E2465" s="600" t="s">
        <v>434</v>
      </c>
      <c r="F2465" s="1117">
        <v>58.2</v>
      </c>
      <c r="G2465" s="1109"/>
      <c r="H2465" s="1110"/>
      <c r="I2465" s="995"/>
      <c r="J2465" s="996"/>
      <c r="K2465" s="997"/>
      <c r="L2465" s="99"/>
      <c r="M2465" s="100"/>
    </row>
    <row r="2466" spans="4:13" ht="20" thickBot="1">
      <c r="E2466" s="601" t="s">
        <v>435</v>
      </c>
      <c r="F2466" s="1114">
        <v>0.625</v>
      </c>
      <c r="G2466" s="1115"/>
      <c r="H2466" s="1116"/>
      <c r="I2466" s="995"/>
      <c r="J2466" s="996"/>
      <c r="K2466" s="997"/>
      <c r="L2466" s="106">
        <v>0.85416666666666663</v>
      </c>
      <c r="M2466" s="107">
        <v>0.75</v>
      </c>
    </row>
    <row r="2467" spans="4:13" ht="20" thickBot="1">
      <c r="E2467" s="602" t="s">
        <v>436</v>
      </c>
      <c r="F2467" s="252" t="s">
        <v>29</v>
      </c>
      <c r="G2467" s="252" t="s">
        <v>28</v>
      </c>
      <c r="H2467" s="253" t="s">
        <v>27</v>
      </c>
      <c r="I2467" s="995"/>
      <c r="J2467" s="996"/>
      <c r="K2467" s="997"/>
      <c r="L2467" s="99"/>
      <c r="M2467" s="100"/>
    </row>
    <row r="2468" spans="4:13">
      <c r="E2468" s="603">
        <v>45630</v>
      </c>
      <c r="F2468" s="349">
        <v>58.2</v>
      </c>
      <c r="G2468" s="349" t="s">
        <v>1345</v>
      </c>
      <c r="H2468" s="349">
        <v>58.1</v>
      </c>
      <c r="I2468" s="995"/>
      <c r="J2468" s="996"/>
      <c r="K2468" s="997"/>
      <c r="L2468" s="99"/>
      <c r="M2468" s="100"/>
    </row>
    <row r="2469" spans="4:13" ht="20" thickBot="1">
      <c r="E2469" s="603">
        <v>45601</v>
      </c>
      <c r="F2469" s="349">
        <v>58.1</v>
      </c>
      <c r="G2469" s="349" t="s">
        <v>1346</v>
      </c>
      <c r="H2469" s="349">
        <v>59.4</v>
      </c>
      <c r="I2469" s="995"/>
      <c r="J2469" s="996"/>
      <c r="K2469" s="997"/>
      <c r="L2469" s="99"/>
      <c r="M2469" s="100"/>
    </row>
    <row r="2470" spans="4:13">
      <c r="E2470" s="603">
        <v>45568</v>
      </c>
      <c r="F2470" s="349">
        <v>59.4</v>
      </c>
      <c r="G2470" s="349" t="s">
        <v>943</v>
      </c>
      <c r="H2470" s="349">
        <v>57.3</v>
      </c>
      <c r="I2470" s="995"/>
      <c r="J2470" s="996"/>
      <c r="K2470" s="997"/>
      <c r="L2470" s="101"/>
      <c r="M2470" s="100"/>
    </row>
    <row r="2471" spans="4:13">
      <c r="E2471" s="603">
        <v>45540</v>
      </c>
      <c r="F2471" s="349">
        <v>57.3</v>
      </c>
      <c r="G2471" s="349" t="s">
        <v>589</v>
      </c>
      <c r="H2471" s="349">
        <v>57</v>
      </c>
      <c r="I2471" s="995"/>
      <c r="J2471" s="996"/>
      <c r="K2471" s="997"/>
      <c r="L2471" s="99"/>
      <c r="M2471" s="100"/>
    </row>
    <row r="2472" spans="4:13">
      <c r="E2472" s="603">
        <v>45509</v>
      </c>
      <c r="F2472" s="349">
        <v>57</v>
      </c>
      <c r="G2472" s="349" t="s">
        <v>589</v>
      </c>
      <c r="H2472" s="349">
        <v>56.3</v>
      </c>
      <c r="I2472" s="995"/>
      <c r="J2472" s="996"/>
      <c r="K2472" s="997"/>
      <c r="L2472" s="99"/>
      <c r="M2472" s="100"/>
    </row>
    <row r="2473" spans="4:13" ht="20" thickBot="1">
      <c r="E2473" s="603">
        <v>45476</v>
      </c>
      <c r="F2473" s="349">
        <v>56.3</v>
      </c>
      <c r="G2473" s="349" t="s">
        <v>602</v>
      </c>
      <c r="H2473" s="349">
        <v>58.1</v>
      </c>
      <c r="I2473" s="998"/>
      <c r="J2473" s="999"/>
      <c r="K2473" s="1000"/>
      <c r="L2473" s="102"/>
      <c r="M2473" s="103"/>
    </row>
    <row r="2474" spans="4:13" ht="25" thickBot="1">
      <c r="D2474">
        <v>7</v>
      </c>
      <c r="E2474" s="598" t="s">
        <v>30</v>
      </c>
      <c r="F2474" s="1102" t="s">
        <v>1359</v>
      </c>
      <c r="G2474" s="1103"/>
      <c r="H2474" s="1104"/>
      <c r="I2474" s="1060" t="s">
        <v>633</v>
      </c>
      <c r="J2474" s="1061"/>
      <c r="K2474" s="1062"/>
      <c r="L2474" s="158" t="s">
        <v>430</v>
      </c>
      <c r="M2474" s="105" t="s">
        <v>431</v>
      </c>
    </row>
    <row r="2475" spans="4:13">
      <c r="E2475" s="599" t="s">
        <v>432</v>
      </c>
      <c r="F2475" s="1105"/>
      <c r="G2475" s="1106"/>
      <c r="H2475" s="1107"/>
      <c r="I2475" s="995" t="s">
        <v>1362</v>
      </c>
      <c r="J2475" s="996"/>
      <c r="K2475" s="997"/>
      <c r="L2475" s="99"/>
      <c r="M2475" s="100"/>
    </row>
    <row r="2476" spans="4:13">
      <c r="E2476" s="600" t="s">
        <v>433</v>
      </c>
      <c r="F2476" s="1124" t="s">
        <v>1360</v>
      </c>
      <c r="G2476" s="1112"/>
      <c r="H2476" s="1113"/>
      <c r="I2476" s="995"/>
      <c r="J2476" s="996"/>
      <c r="K2476" s="997"/>
      <c r="L2476" s="99"/>
      <c r="M2476" s="100"/>
    </row>
    <row r="2477" spans="4:13" ht="20" thickBot="1">
      <c r="E2477" s="600" t="s">
        <v>434</v>
      </c>
      <c r="F2477" s="1124" t="s">
        <v>1361</v>
      </c>
      <c r="G2477" s="1112"/>
      <c r="H2477" s="1113"/>
      <c r="I2477" s="995"/>
      <c r="J2477" s="996"/>
      <c r="K2477" s="997"/>
      <c r="L2477" s="99"/>
      <c r="M2477" s="100"/>
    </row>
    <row r="2478" spans="4:13" ht="20" thickBot="1">
      <c r="E2478" s="601" t="s">
        <v>435</v>
      </c>
      <c r="F2478" s="1114">
        <v>0.625</v>
      </c>
      <c r="G2478" s="1115"/>
      <c r="H2478" s="1116"/>
      <c r="I2478" s="995"/>
      <c r="J2478" s="996"/>
      <c r="K2478" s="997"/>
      <c r="L2478" s="106">
        <v>0.85416666666666663</v>
      </c>
      <c r="M2478" s="107">
        <v>0.70833333333333326</v>
      </c>
    </row>
    <row r="2479" spans="4:13" ht="20" thickBot="1">
      <c r="E2479" s="602" t="s">
        <v>436</v>
      </c>
      <c r="F2479" s="252" t="s">
        <v>29</v>
      </c>
      <c r="G2479" s="252" t="s">
        <v>28</v>
      </c>
      <c r="H2479" s="253" t="s">
        <v>27</v>
      </c>
      <c r="I2479" s="995"/>
      <c r="J2479" s="996"/>
      <c r="K2479" s="997"/>
      <c r="L2479" s="99"/>
      <c r="M2479" s="100"/>
    </row>
    <row r="2480" spans="4:13">
      <c r="E2480" s="603">
        <v>45629</v>
      </c>
      <c r="F2480" s="345" t="s">
        <v>1385</v>
      </c>
      <c r="G2480" s="345" t="s">
        <v>1386</v>
      </c>
      <c r="H2480" s="345" t="s">
        <v>1387</v>
      </c>
      <c r="I2480" s="995"/>
      <c r="J2480" s="996"/>
      <c r="K2480" s="997"/>
      <c r="L2480" s="99"/>
      <c r="M2480" s="100"/>
    </row>
    <row r="2481" spans="4:13">
      <c r="E2481" s="603">
        <v>45594</v>
      </c>
      <c r="F2481" s="345" t="s">
        <v>1174</v>
      </c>
      <c r="G2481" s="345" t="s">
        <v>1175</v>
      </c>
      <c r="H2481" s="345" t="s">
        <v>1176</v>
      </c>
      <c r="I2481" s="995"/>
      <c r="J2481" s="996"/>
      <c r="K2481" s="997"/>
      <c r="L2481" s="99"/>
      <c r="M2481" s="100"/>
    </row>
    <row r="2482" spans="4:13">
      <c r="E2482" s="603">
        <v>45566</v>
      </c>
      <c r="F2482" s="345" t="s">
        <v>1177</v>
      </c>
      <c r="G2482" s="345" t="s">
        <v>1178</v>
      </c>
      <c r="H2482" s="345" t="s">
        <v>1179</v>
      </c>
      <c r="I2482" s="995"/>
      <c r="J2482" s="996"/>
      <c r="K2482" s="997"/>
      <c r="L2482" s="101"/>
      <c r="M2482" s="100"/>
    </row>
    <row r="2483" spans="4:13">
      <c r="E2483" s="603">
        <v>45539</v>
      </c>
      <c r="F2483" s="345" t="s">
        <v>1180</v>
      </c>
      <c r="G2483" s="345" t="s">
        <v>1181</v>
      </c>
      <c r="H2483" s="345" t="s">
        <v>1182</v>
      </c>
      <c r="I2483" s="995"/>
      <c r="J2483" s="996"/>
      <c r="K2483" s="997"/>
      <c r="L2483" s="99"/>
      <c r="M2483" s="100"/>
    </row>
    <row r="2484" spans="4:13">
      <c r="E2484" s="603">
        <v>45503</v>
      </c>
      <c r="F2484" s="345" t="s">
        <v>1183</v>
      </c>
      <c r="G2484" s="345" t="s">
        <v>1184</v>
      </c>
      <c r="H2484" s="345" t="s">
        <v>1185</v>
      </c>
      <c r="I2484" s="995"/>
      <c r="J2484" s="996"/>
      <c r="K2484" s="997"/>
      <c r="L2484" s="99"/>
      <c r="M2484" s="100"/>
    </row>
    <row r="2485" spans="4:13" ht="20" thickBot="1">
      <c r="E2485" s="603">
        <v>45475</v>
      </c>
      <c r="F2485" s="345" t="s">
        <v>1186</v>
      </c>
      <c r="G2485" s="345" t="s">
        <v>1187</v>
      </c>
      <c r="H2485" s="345" t="s">
        <v>1188</v>
      </c>
      <c r="I2485" s="998"/>
      <c r="J2485" s="999"/>
      <c r="K2485" s="1000"/>
      <c r="L2485" s="102"/>
      <c r="M2485" s="103"/>
    </row>
    <row r="2486" spans="4:13" ht="25" thickBot="1">
      <c r="D2486">
        <v>8</v>
      </c>
      <c r="E2486" s="598" t="s">
        <v>30</v>
      </c>
      <c r="F2486" s="1102" t="s">
        <v>1364</v>
      </c>
      <c r="G2486" s="1103"/>
      <c r="H2486" s="1104"/>
      <c r="I2486" s="1060" t="s">
        <v>633</v>
      </c>
      <c r="J2486" s="1061"/>
      <c r="K2486" s="1062"/>
      <c r="L2486" s="158" t="s">
        <v>430</v>
      </c>
      <c r="M2486" s="105" t="s">
        <v>431</v>
      </c>
    </row>
    <row r="2487" spans="4:13">
      <c r="E2487" s="599" t="s">
        <v>432</v>
      </c>
      <c r="F2487" s="1105"/>
      <c r="G2487" s="1106"/>
      <c r="H2487" s="1107"/>
      <c r="I2487" s="995" t="s">
        <v>1366</v>
      </c>
      <c r="J2487" s="996"/>
      <c r="K2487" s="997"/>
      <c r="L2487" s="99"/>
      <c r="M2487" s="100"/>
    </row>
    <row r="2488" spans="4:13">
      <c r="E2488" s="600" t="s">
        <v>433</v>
      </c>
      <c r="F2488" s="1117" t="s">
        <v>635</v>
      </c>
      <c r="G2488" s="1109"/>
      <c r="H2488" s="1110"/>
      <c r="I2488" s="995"/>
      <c r="J2488" s="996"/>
      <c r="K2488" s="997"/>
      <c r="L2488" s="99"/>
      <c r="M2488" s="100"/>
    </row>
    <row r="2489" spans="4:13" ht="20" thickBot="1">
      <c r="E2489" s="600" t="s">
        <v>434</v>
      </c>
      <c r="F2489" s="1117" t="s">
        <v>1365</v>
      </c>
      <c r="G2489" s="1109"/>
      <c r="H2489" s="1110"/>
      <c r="I2489" s="995"/>
      <c r="J2489" s="996"/>
      <c r="K2489" s="997"/>
      <c r="L2489" s="99"/>
      <c r="M2489" s="100"/>
    </row>
    <row r="2490" spans="4:13" ht="20" thickBot="1">
      <c r="E2490" s="601" t="s">
        <v>435</v>
      </c>
      <c r="F2490" s="1114">
        <v>0.75</v>
      </c>
      <c r="G2490" s="1115"/>
      <c r="H2490" s="1116"/>
      <c r="I2490" s="995"/>
      <c r="J2490" s="996"/>
      <c r="K2490" s="997"/>
      <c r="L2490" s="106">
        <v>0.97916666666666663</v>
      </c>
      <c r="M2490" s="107">
        <v>0.83333333333333326</v>
      </c>
    </row>
    <row r="2491" spans="4:13" ht="20" thickBot="1">
      <c r="E2491" s="602" t="s">
        <v>436</v>
      </c>
      <c r="F2491" s="252" t="s">
        <v>29</v>
      </c>
      <c r="G2491" s="252" t="s">
        <v>28</v>
      </c>
      <c r="H2491" s="253" t="s">
        <v>27</v>
      </c>
      <c r="I2491" s="995"/>
      <c r="J2491" s="996"/>
      <c r="K2491" s="997"/>
      <c r="L2491" s="99"/>
      <c r="M2491" s="100"/>
    </row>
    <row r="2492" spans="4:13">
      <c r="E2492" s="603">
        <v>45630</v>
      </c>
      <c r="F2492" s="256" t="s">
        <v>1388</v>
      </c>
      <c r="G2492" s="256" t="s">
        <v>1389</v>
      </c>
      <c r="H2492" s="256" t="s">
        <v>1390</v>
      </c>
      <c r="I2492" s="995"/>
      <c r="J2492" s="996"/>
      <c r="K2492" s="997"/>
      <c r="L2492" s="99"/>
      <c r="M2492" s="100"/>
    </row>
    <row r="2493" spans="4:13">
      <c r="E2493" s="603">
        <v>45595</v>
      </c>
      <c r="F2493" s="256" t="s">
        <v>1192</v>
      </c>
      <c r="G2493" s="256" t="s">
        <v>1193</v>
      </c>
      <c r="H2493" s="256" t="s">
        <v>1194</v>
      </c>
      <c r="I2493" s="995"/>
      <c r="J2493" s="996"/>
      <c r="K2493" s="997"/>
      <c r="L2493" s="99"/>
      <c r="M2493" s="100"/>
    </row>
    <row r="2494" spans="4:13">
      <c r="E2494" s="603">
        <v>45567</v>
      </c>
      <c r="F2494" s="256" t="s">
        <v>1195</v>
      </c>
      <c r="G2494" s="256" t="s">
        <v>1196</v>
      </c>
      <c r="H2494" s="256" t="s">
        <v>1197</v>
      </c>
      <c r="I2494" s="995"/>
      <c r="J2494" s="996"/>
      <c r="K2494" s="997"/>
      <c r="L2494" s="101"/>
      <c r="M2494" s="100"/>
    </row>
    <row r="2495" spans="4:13">
      <c r="E2495" s="603">
        <v>45540</v>
      </c>
      <c r="F2495" s="256" t="s">
        <v>407</v>
      </c>
      <c r="G2495" s="256" t="s">
        <v>1199</v>
      </c>
      <c r="H2495" s="256" t="s">
        <v>1200</v>
      </c>
      <c r="I2495" s="995"/>
      <c r="J2495" s="996"/>
      <c r="K2495" s="997"/>
      <c r="L2495" s="99"/>
      <c r="M2495" s="100"/>
    </row>
    <row r="2496" spans="4:13">
      <c r="E2496" s="603">
        <v>45504</v>
      </c>
      <c r="F2496" s="256" t="s">
        <v>1201</v>
      </c>
      <c r="G2496" s="256" t="s">
        <v>1202</v>
      </c>
      <c r="H2496" s="256" t="s">
        <v>1203</v>
      </c>
      <c r="I2496" s="995"/>
      <c r="J2496" s="996"/>
      <c r="K2496" s="997"/>
      <c r="L2496" s="99"/>
      <c r="M2496" s="100"/>
    </row>
    <row r="2497" spans="4:13" ht="20" thickBot="1">
      <c r="E2497" s="603">
        <v>45476</v>
      </c>
      <c r="F2497" s="256" t="s">
        <v>1204</v>
      </c>
      <c r="G2497" s="256" t="s">
        <v>1205</v>
      </c>
      <c r="H2497" s="256" t="s">
        <v>1206</v>
      </c>
      <c r="I2497" s="998"/>
      <c r="J2497" s="999"/>
      <c r="K2497" s="1000"/>
      <c r="L2497" s="102"/>
      <c r="M2497" s="103"/>
    </row>
    <row r="2498" spans="4:13" ht="25" thickBot="1">
      <c r="D2498">
        <v>9</v>
      </c>
      <c r="E2498" s="598" t="s">
        <v>30</v>
      </c>
      <c r="F2498" s="1102" t="s">
        <v>9</v>
      </c>
      <c r="G2498" s="1103"/>
      <c r="H2498" s="1104"/>
      <c r="I2498" s="1060" t="s">
        <v>633</v>
      </c>
      <c r="J2498" s="1061"/>
      <c r="K2498" s="1062"/>
      <c r="L2498" s="158" t="s">
        <v>430</v>
      </c>
      <c r="M2498" s="105" t="s">
        <v>431</v>
      </c>
    </row>
    <row r="2499" spans="4:13">
      <c r="D2499" s="89"/>
      <c r="E2499" s="599" t="s">
        <v>432</v>
      </c>
      <c r="F2499" s="1105"/>
      <c r="G2499" s="1106"/>
      <c r="H2499" s="1107"/>
      <c r="I2499" s="995" t="s">
        <v>1370</v>
      </c>
      <c r="J2499" s="996"/>
      <c r="K2499" s="997"/>
      <c r="L2499" s="99"/>
      <c r="M2499" s="100"/>
    </row>
    <row r="2500" spans="4:13">
      <c r="D2500" s="89"/>
      <c r="E2500" s="600" t="s">
        <v>433</v>
      </c>
      <c r="F2500" s="1117"/>
      <c r="G2500" s="1109"/>
      <c r="H2500" s="1110"/>
      <c r="I2500" s="995"/>
      <c r="J2500" s="996"/>
      <c r="K2500" s="997"/>
      <c r="L2500" s="99"/>
      <c r="M2500" s="100"/>
    </row>
    <row r="2501" spans="4:13" ht="20" thickBot="1">
      <c r="D2501" s="89"/>
      <c r="E2501" s="600" t="s">
        <v>434</v>
      </c>
      <c r="F2501" s="1117" t="s">
        <v>1369</v>
      </c>
      <c r="G2501" s="1109"/>
      <c r="H2501" s="1110"/>
      <c r="I2501" s="995"/>
      <c r="J2501" s="996"/>
      <c r="K2501" s="997"/>
      <c r="L2501" s="99"/>
      <c r="M2501" s="100"/>
    </row>
    <row r="2502" spans="4:13" ht="20" thickBot="1">
      <c r="D2502" s="89"/>
      <c r="E2502" s="601" t="s">
        <v>435</v>
      </c>
      <c r="F2502" s="1114">
        <v>0.55208333333333337</v>
      </c>
      <c r="G2502" s="1115"/>
      <c r="H2502" s="1116"/>
      <c r="I2502" s="995"/>
      <c r="J2502" s="996"/>
      <c r="K2502" s="997"/>
      <c r="L2502" s="106">
        <v>0.78125</v>
      </c>
      <c r="M2502" s="107">
        <v>0.63541666666666663</v>
      </c>
    </row>
    <row r="2503" spans="4:13" ht="20" thickBot="1">
      <c r="D2503" s="89"/>
      <c r="E2503" s="602" t="s">
        <v>436</v>
      </c>
      <c r="F2503" s="252" t="s">
        <v>29</v>
      </c>
      <c r="G2503" s="252" t="s">
        <v>28</v>
      </c>
      <c r="H2503" s="253" t="s">
        <v>27</v>
      </c>
      <c r="I2503" s="995"/>
      <c r="J2503" s="996"/>
      <c r="K2503" s="997"/>
      <c r="L2503" s="99"/>
      <c r="M2503" s="100"/>
    </row>
    <row r="2504" spans="4:13">
      <c r="D2504" s="89"/>
      <c r="E2504" s="603">
        <v>45659</v>
      </c>
      <c r="F2504" s="612" t="s">
        <v>1391</v>
      </c>
      <c r="G2504" s="612" t="s">
        <v>1392</v>
      </c>
      <c r="H2504" s="612" t="s">
        <v>1342</v>
      </c>
      <c r="I2504" s="995"/>
      <c r="J2504" s="996"/>
      <c r="K2504" s="997"/>
      <c r="L2504" s="99"/>
      <c r="M2504" s="100"/>
    </row>
    <row r="2505" spans="4:13">
      <c r="D2505" s="89"/>
      <c r="E2505" s="603">
        <v>45653</v>
      </c>
      <c r="F2505" s="612" t="s">
        <v>1342</v>
      </c>
      <c r="G2505" s="612" t="s">
        <v>1343</v>
      </c>
      <c r="H2505" s="612" t="s">
        <v>1318</v>
      </c>
      <c r="I2505" s="995"/>
      <c r="J2505" s="996"/>
      <c r="K2505" s="997"/>
      <c r="L2505" s="99"/>
      <c r="M2505" s="100"/>
    </row>
    <row r="2506" spans="4:13">
      <c r="D2506" s="89"/>
      <c r="E2506" s="603">
        <v>45644</v>
      </c>
      <c r="F2506" s="612" t="s">
        <v>1318</v>
      </c>
      <c r="G2506" s="612" t="s">
        <v>1289</v>
      </c>
      <c r="H2506" s="612" t="s">
        <v>1393</v>
      </c>
      <c r="I2506" s="995"/>
      <c r="J2506" s="996"/>
      <c r="K2506" s="997"/>
      <c r="L2506" s="101"/>
      <c r="M2506" s="100"/>
    </row>
    <row r="2507" spans="4:13">
      <c r="D2507" s="89"/>
      <c r="E2507" s="603">
        <v>45637</v>
      </c>
      <c r="F2507" s="612" t="s">
        <v>1393</v>
      </c>
      <c r="G2507" s="612" t="s">
        <v>1394</v>
      </c>
      <c r="H2507" s="612" t="s">
        <v>1395</v>
      </c>
      <c r="I2507" s="995"/>
      <c r="J2507" s="996"/>
      <c r="K2507" s="997"/>
      <c r="L2507" s="99"/>
      <c r="M2507" s="100"/>
    </row>
    <row r="2508" spans="4:13">
      <c r="D2508" s="89"/>
      <c r="E2508" s="603">
        <v>45630</v>
      </c>
      <c r="F2508" s="612" t="s">
        <v>1395</v>
      </c>
      <c r="G2508" s="612" t="s">
        <v>1396</v>
      </c>
      <c r="H2508" s="612" t="s">
        <v>1230</v>
      </c>
      <c r="I2508" s="995"/>
      <c r="J2508" s="996"/>
      <c r="K2508" s="997"/>
      <c r="L2508" s="99"/>
      <c r="M2508" s="100"/>
    </row>
    <row r="2509" spans="4:13" ht="20" thickBot="1">
      <c r="D2509" s="89"/>
      <c r="E2509" s="603">
        <v>45623</v>
      </c>
      <c r="F2509" s="612" t="s">
        <v>1230</v>
      </c>
      <c r="G2509" s="612" t="s">
        <v>1231</v>
      </c>
      <c r="H2509" s="612" t="s">
        <v>1125</v>
      </c>
      <c r="I2509" s="998"/>
      <c r="J2509" s="999"/>
      <c r="K2509" s="1000"/>
      <c r="L2509" s="102"/>
      <c r="M2509" s="103"/>
    </row>
    <row r="2510" spans="4:13" ht="25" thickBot="1">
      <c r="D2510">
        <v>10</v>
      </c>
      <c r="E2510" s="598" t="s">
        <v>30</v>
      </c>
      <c r="F2510" s="1102" t="s">
        <v>927</v>
      </c>
      <c r="G2510" s="1103"/>
      <c r="H2510" s="1104"/>
      <c r="I2510" s="1060" t="s">
        <v>633</v>
      </c>
      <c r="J2510" s="1061"/>
      <c r="K2510" s="1062"/>
      <c r="L2510" s="158" t="s">
        <v>430</v>
      </c>
      <c r="M2510" s="105" t="s">
        <v>431</v>
      </c>
    </row>
    <row r="2511" spans="4:13">
      <c r="D2511" s="89"/>
      <c r="E2511" s="599" t="s">
        <v>432</v>
      </c>
      <c r="F2511" s="1105"/>
      <c r="G2511" s="1106"/>
      <c r="H2511" s="1107"/>
      <c r="I2511" s="995" t="s">
        <v>1371</v>
      </c>
      <c r="J2511" s="996"/>
      <c r="K2511" s="997"/>
      <c r="L2511" s="99"/>
      <c r="M2511" s="100"/>
    </row>
    <row r="2512" spans="4:13">
      <c r="D2512" s="89"/>
      <c r="E2512" s="600" t="s">
        <v>433</v>
      </c>
      <c r="F2512" s="1117">
        <v>0</v>
      </c>
      <c r="G2512" s="1109"/>
      <c r="H2512" s="1110"/>
      <c r="I2512" s="995"/>
      <c r="J2512" s="996"/>
      <c r="K2512" s="997"/>
      <c r="L2512" s="99"/>
      <c r="M2512" s="100"/>
    </row>
    <row r="2513" spans="4:13" ht="20" thickBot="1">
      <c r="D2513" s="89"/>
      <c r="E2513" s="600" t="s">
        <v>434</v>
      </c>
      <c r="F2513" s="1125">
        <v>4.5350000000000001E-2</v>
      </c>
      <c r="G2513" s="1126"/>
      <c r="H2513" s="1127"/>
      <c r="I2513" s="995"/>
      <c r="J2513" s="996"/>
      <c r="K2513" s="997"/>
      <c r="L2513" s="99"/>
      <c r="M2513" s="100"/>
    </row>
    <row r="2514" spans="4:13" ht="20" thickBot="1">
      <c r="D2514" s="89"/>
      <c r="E2514" s="601" t="s">
        <v>435</v>
      </c>
      <c r="F2514" s="1114">
        <v>0.5625</v>
      </c>
      <c r="G2514" s="1115"/>
      <c r="H2514" s="1116"/>
      <c r="I2514" s="995"/>
      <c r="J2514" s="996"/>
      <c r="K2514" s="997"/>
      <c r="L2514" s="106">
        <v>0.79166666666666663</v>
      </c>
      <c r="M2514" s="107">
        <v>0.64583333333333326</v>
      </c>
    </row>
    <row r="2515" spans="4:13" ht="20" thickBot="1">
      <c r="D2515" s="89"/>
      <c r="E2515" s="602" t="s">
        <v>436</v>
      </c>
      <c r="F2515" s="252" t="s">
        <v>29</v>
      </c>
      <c r="G2515" s="252" t="s">
        <v>28</v>
      </c>
      <c r="H2515" s="253" t="s">
        <v>27</v>
      </c>
      <c r="I2515" s="995"/>
      <c r="J2515" s="996"/>
      <c r="K2515" s="997"/>
      <c r="L2515" s="99"/>
      <c r="M2515" s="100"/>
    </row>
    <row r="2516" spans="4:13">
      <c r="D2516" s="89"/>
      <c r="E2516" s="603">
        <v>45637</v>
      </c>
      <c r="F2516" s="618">
        <v>4.2349999999999999E-2</v>
      </c>
      <c r="G2516" s="618" t="s">
        <v>754</v>
      </c>
      <c r="H2516" s="618">
        <v>4.3470000000000002E-2</v>
      </c>
      <c r="I2516" s="995"/>
      <c r="J2516" s="996"/>
      <c r="K2516" s="997"/>
      <c r="L2516" s="99"/>
      <c r="M2516" s="100"/>
    </row>
    <row r="2517" spans="4:13">
      <c r="D2517" s="89"/>
      <c r="E2517" s="603">
        <v>45601</v>
      </c>
      <c r="F2517" s="618">
        <v>4.3470000000000002E-2</v>
      </c>
      <c r="G2517" s="618" t="s">
        <v>754</v>
      </c>
      <c r="H2517" s="618">
        <v>4.0660000000000002E-2</v>
      </c>
      <c r="I2517" s="995"/>
      <c r="J2517" s="996"/>
      <c r="K2517" s="997"/>
      <c r="L2517" s="99"/>
      <c r="M2517" s="100"/>
    </row>
    <row r="2518" spans="4:13">
      <c r="D2518" s="89"/>
      <c r="E2518" s="603">
        <v>45574</v>
      </c>
      <c r="F2518" s="618">
        <v>4.0660000000000002E-2</v>
      </c>
      <c r="G2518" s="618" t="s">
        <v>754</v>
      </c>
      <c r="H2518" s="618">
        <v>3.6479999999999999E-2</v>
      </c>
      <c r="I2518" s="995"/>
      <c r="J2518" s="996"/>
      <c r="K2518" s="997"/>
      <c r="L2518" s="101"/>
      <c r="M2518" s="100"/>
    </row>
    <row r="2519" spans="4:13">
      <c r="D2519" s="89"/>
      <c r="E2519" s="603">
        <v>45546</v>
      </c>
      <c r="F2519" s="618">
        <v>3.6479999999999999E-2</v>
      </c>
      <c r="G2519" s="618" t="s">
        <v>754</v>
      </c>
      <c r="H2519" s="618">
        <v>3.9600000000000003E-2</v>
      </c>
      <c r="I2519" s="995"/>
      <c r="J2519" s="996"/>
      <c r="K2519" s="997"/>
      <c r="L2519" s="99"/>
      <c r="M2519" s="100"/>
    </row>
    <row r="2520" spans="4:13">
      <c r="D2520" s="89"/>
      <c r="E2520" s="603">
        <v>45511</v>
      </c>
      <c r="F2520" s="618">
        <v>3.9600000000000003E-2</v>
      </c>
      <c r="G2520" s="618" t="s">
        <v>754</v>
      </c>
      <c r="H2520" s="618">
        <v>4.2759999999999999E-2</v>
      </c>
      <c r="I2520" s="995"/>
      <c r="J2520" s="996"/>
      <c r="K2520" s="997"/>
      <c r="L2520" s="99"/>
      <c r="M2520" s="100"/>
    </row>
    <row r="2521" spans="4:13" ht="20" thickBot="1">
      <c r="D2521" s="89"/>
      <c r="E2521" s="603">
        <v>45483</v>
      </c>
      <c r="F2521" s="618">
        <v>4.2759999999999999E-2</v>
      </c>
      <c r="G2521" s="618" t="s">
        <v>754</v>
      </c>
      <c r="H2521" s="618">
        <v>4.4380000000000003E-2</v>
      </c>
      <c r="I2521" s="998"/>
      <c r="J2521" s="999"/>
      <c r="K2521" s="1000"/>
      <c r="L2521" s="102"/>
      <c r="M2521" s="103"/>
    </row>
    <row r="2522" spans="4:13" ht="25" thickBot="1">
      <c r="D2522">
        <v>11</v>
      </c>
      <c r="E2522" s="598" t="s">
        <v>30</v>
      </c>
      <c r="F2522" s="1102" t="s">
        <v>7</v>
      </c>
      <c r="G2522" s="1103"/>
      <c r="H2522" s="1104"/>
      <c r="I2522" s="1060" t="s">
        <v>633</v>
      </c>
      <c r="J2522" s="1061"/>
      <c r="K2522" s="1062"/>
      <c r="L2522" s="158" t="s">
        <v>430</v>
      </c>
      <c r="M2522" s="105" t="s">
        <v>431</v>
      </c>
    </row>
    <row r="2523" spans="4:13">
      <c r="D2523" s="89"/>
      <c r="E2523" s="599" t="s">
        <v>432</v>
      </c>
      <c r="F2523" s="1105"/>
      <c r="G2523" s="1106"/>
      <c r="H2523" s="1107"/>
      <c r="I2523" s="995" t="s">
        <v>1374</v>
      </c>
      <c r="J2523" s="996"/>
      <c r="K2523" s="997"/>
      <c r="L2523" s="99"/>
      <c r="M2523" s="100"/>
    </row>
    <row r="2524" spans="4:13">
      <c r="D2524" s="89"/>
      <c r="E2524" s="600" t="s">
        <v>433</v>
      </c>
      <c r="F2524" s="1117">
        <v>0</v>
      </c>
      <c r="G2524" s="1109"/>
      <c r="H2524" s="1110"/>
      <c r="I2524" s="995"/>
      <c r="J2524" s="996"/>
      <c r="K2524" s="997"/>
      <c r="L2524" s="99"/>
      <c r="M2524" s="100"/>
    </row>
    <row r="2525" spans="4:13" ht="20" thickBot="1">
      <c r="D2525" s="89"/>
      <c r="E2525" s="600" t="s">
        <v>434</v>
      </c>
      <c r="F2525" s="1117"/>
      <c r="G2525" s="1109"/>
      <c r="H2525" s="1110"/>
      <c r="I2525" s="995"/>
      <c r="J2525" s="996"/>
      <c r="K2525" s="997"/>
      <c r="L2525" s="99"/>
      <c r="M2525" s="100"/>
    </row>
    <row r="2526" spans="4:13" ht="20" thickBot="1">
      <c r="D2526" s="89"/>
      <c r="E2526" s="601" t="s">
        <v>435</v>
      </c>
      <c r="F2526" s="1144">
        <v>0.79166666666666663</v>
      </c>
      <c r="G2526" s="1145"/>
      <c r="H2526" s="1146"/>
      <c r="I2526" s="995"/>
      <c r="J2526" s="996"/>
      <c r="K2526" s="997"/>
      <c r="L2526" s="106">
        <v>2.0833333333333332E-2</v>
      </c>
      <c r="M2526" s="556">
        <v>0.875</v>
      </c>
    </row>
    <row r="2527" spans="4:13" ht="20" thickBot="1">
      <c r="D2527" s="89"/>
      <c r="E2527" s="602" t="s">
        <v>436</v>
      </c>
      <c r="F2527" s="252" t="s">
        <v>29</v>
      </c>
      <c r="G2527" s="252" t="s">
        <v>28</v>
      </c>
      <c r="H2527" s="253" t="s">
        <v>27</v>
      </c>
      <c r="I2527" s="995"/>
      <c r="J2527" s="996"/>
      <c r="K2527" s="997"/>
      <c r="L2527" s="99"/>
      <c r="M2527" s="100"/>
    </row>
    <row r="2528" spans="4:13">
      <c r="D2528" s="89"/>
      <c r="E2528" s="619">
        <v>45622</v>
      </c>
      <c r="F2528" s="612" t="s">
        <v>1090</v>
      </c>
      <c r="G2528" s="612" t="s">
        <v>754</v>
      </c>
      <c r="H2528" s="612" t="s">
        <v>1090</v>
      </c>
      <c r="I2528" s="995"/>
      <c r="J2528" s="996"/>
      <c r="K2528" s="997"/>
      <c r="L2528" s="99"/>
      <c r="M2528" s="100"/>
    </row>
    <row r="2529" spans="4:13">
      <c r="D2529" s="89"/>
      <c r="E2529" s="619">
        <v>45574</v>
      </c>
      <c r="F2529" s="612" t="s">
        <v>1090</v>
      </c>
      <c r="G2529" s="612" t="s">
        <v>754</v>
      </c>
      <c r="H2529" s="612" t="s">
        <v>1090</v>
      </c>
      <c r="I2529" s="995"/>
      <c r="J2529" s="996"/>
      <c r="K2529" s="997"/>
      <c r="L2529" s="99"/>
      <c r="M2529" s="100"/>
    </row>
    <row r="2530" spans="4:13">
      <c r="D2530" s="89"/>
      <c r="E2530" s="619">
        <v>45525</v>
      </c>
      <c r="F2530" s="612" t="s">
        <v>1090</v>
      </c>
      <c r="G2530" s="612" t="s">
        <v>754</v>
      </c>
      <c r="H2530" s="612" t="s">
        <v>1090</v>
      </c>
      <c r="I2530" s="995"/>
      <c r="J2530" s="996"/>
      <c r="K2530" s="997"/>
      <c r="L2530" s="101"/>
      <c r="M2530" s="100"/>
    </row>
    <row r="2531" spans="4:13">
      <c r="D2531" s="89"/>
      <c r="E2531" s="619">
        <v>45476</v>
      </c>
      <c r="F2531" s="612" t="s">
        <v>1090</v>
      </c>
      <c r="G2531" s="612" t="s">
        <v>754</v>
      </c>
      <c r="H2531" s="612" t="s">
        <v>1090</v>
      </c>
      <c r="I2531" s="995"/>
      <c r="J2531" s="996"/>
      <c r="K2531" s="997"/>
      <c r="L2531" s="99"/>
      <c r="M2531" s="100"/>
    </row>
    <row r="2532" spans="4:13">
      <c r="D2532" s="89"/>
      <c r="E2532" s="619">
        <v>45434</v>
      </c>
      <c r="F2532" s="612" t="s">
        <v>1090</v>
      </c>
      <c r="G2532" s="612" t="s">
        <v>754</v>
      </c>
      <c r="H2532" s="612" t="s">
        <v>1090</v>
      </c>
      <c r="I2532" s="995"/>
      <c r="J2532" s="996"/>
      <c r="K2532" s="997"/>
      <c r="L2532" s="99"/>
      <c r="M2532" s="100"/>
    </row>
    <row r="2533" spans="4:13" ht="20" thickBot="1">
      <c r="D2533" s="89"/>
      <c r="E2533" s="619">
        <v>45392</v>
      </c>
      <c r="F2533" s="612" t="s">
        <v>1090</v>
      </c>
      <c r="G2533" s="612" t="s">
        <v>754</v>
      </c>
      <c r="H2533" s="612" t="s">
        <v>1090</v>
      </c>
      <c r="I2533" s="998"/>
      <c r="J2533" s="999"/>
      <c r="K2533" s="1000"/>
      <c r="L2533" s="102"/>
      <c r="M2533" s="103"/>
    </row>
    <row r="2534" spans="4:13" ht="25" thickBot="1">
      <c r="D2534">
        <v>10</v>
      </c>
      <c r="E2534" s="598" t="s">
        <v>30</v>
      </c>
      <c r="F2534" s="1102" t="s">
        <v>1376</v>
      </c>
      <c r="G2534" s="1103"/>
      <c r="H2534" s="1104"/>
      <c r="I2534" s="1060" t="s">
        <v>633</v>
      </c>
      <c r="J2534" s="1061"/>
      <c r="K2534" s="1062"/>
      <c r="L2534" s="158" t="s">
        <v>430</v>
      </c>
      <c r="M2534" s="105" t="s">
        <v>431</v>
      </c>
    </row>
    <row r="2535" spans="4:13" ht="20" thickBot="1">
      <c r="D2535" s="89"/>
      <c r="E2535" s="599" t="s">
        <v>432</v>
      </c>
      <c r="F2535" s="1105"/>
      <c r="G2535" s="1106"/>
      <c r="H2535" s="1107"/>
      <c r="I2535" s="995" t="s">
        <v>1375</v>
      </c>
      <c r="J2535" s="996"/>
      <c r="K2535" s="997"/>
      <c r="L2535" s="99"/>
      <c r="M2535" s="100"/>
    </row>
    <row r="2536" spans="4:13">
      <c r="D2536" s="89"/>
      <c r="E2536" s="600" t="s">
        <v>433</v>
      </c>
      <c r="F2536" s="1108">
        <v>3.0000000000000001E-3</v>
      </c>
      <c r="G2536" s="1109"/>
      <c r="H2536" s="1110"/>
      <c r="I2536" s="995"/>
      <c r="J2536" s="996"/>
      <c r="K2536" s="997"/>
      <c r="L2536" s="99"/>
      <c r="M2536" s="100"/>
    </row>
    <row r="2537" spans="4:13" ht="20" thickBot="1">
      <c r="D2537" s="89"/>
      <c r="E2537" s="600" t="s">
        <v>434</v>
      </c>
      <c r="F2537" s="1111">
        <v>4.0000000000000001E-3</v>
      </c>
      <c r="G2537" s="1112"/>
      <c r="H2537" s="1113"/>
      <c r="I2537" s="995"/>
      <c r="J2537" s="996"/>
      <c r="K2537" s="997"/>
      <c r="L2537" s="99"/>
      <c r="M2537" s="100"/>
    </row>
    <row r="2538" spans="4:13" ht="20" thickBot="1">
      <c r="D2538" s="89"/>
      <c r="E2538" s="601" t="s">
        <v>435</v>
      </c>
      <c r="F2538" s="1114">
        <v>0.5625</v>
      </c>
      <c r="G2538" s="1115"/>
      <c r="H2538" s="1116"/>
      <c r="I2538" s="995"/>
      <c r="J2538" s="996"/>
      <c r="K2538" s="997"/>
      <c r="L2538" s="106">
        <v>0.79166666666666663</v>
      </c>
      <c r="M2538" s="107">
        <v>0.64583333333333326</v>
      </c>
    </row>
    <row r="2539" spans="4:13" ht="20" thickBot="1">
      <c r="D2539" s="89"/>
      <c r="E2539" s="602" t="s">
        <v>436</v>
      </c>
      <c r="F2539" s="252" t="s">
        <v>29</v>
      </c>
      <c r="G2539" s="252" t="s">
        <v>28</v>
      </c>
      <c r="H2539" s="253" t="s">
        <v>27</v>
      </c>
      <c r="I2539" s="995"/>
      <c r="J2539" s="996"/>
      <c r="K2539" s="997"/>
      <c r="L2539" s="99"/>
      <c r="M2539" s="100"/>
    </row>
    <row r="2540" spans="4:13">
      <c r="D2540" s="89"/>
      <c r="E2540" s="603">
        <v>45632</v>
      </c>
      <c r="F2540" s="341">
        <v>4.0000000000000001E-3</v>
      </c>
      <c r="G2540" s="341" t="s">
        <v>467</v>
      </c>
      <c r="H2540" s="341">
        <v>4.0000000000000001E-3</v>
      </c>
      <c r="I2540" s="995"/>
      <c r="J2540" s="996"/>
      <c r="K2540" s="997"/>
      <c r="L2540" s="99"/>
      <c r="M2540" s="100"/>
    </row>
    <row r="2541" spans="4:13">
      <c r="D2541" s="89"/>
      <c r="E2541" s="603">
        <v>45597</v>
      </c>
      <c r="F2541" s="341">
        <v>4.0000000000000001E-3</v>
      </c>
      <c r="G2541" s="341" t="s">
        <v>467</v>
      </c>
      <c r="H2541" s="341">
        <v>3.0000000000000001E-3</v>
      </c>
      <c r="I2541" s="995"/>
      <c r="J2541" s="996"/>
      <c r="K2541" s="997"/>
      <c r="L2541" s="99"/>
      <c r="M2541" s="100"/>
    </row>
    <row r="2542" spans="4:13">
      <c r="D2542" s="89"/>
      <c r="E2542" s="603">
        <v>45569</v>
      </c>
      <c r="F2542" s="341">
        <v>4.0000000000000001E-3</v>
      </c>
      <c r="G2542" s="341" t="s">
        <v>467</v>
      </c>
      <c r="H2542" s="341">
        <v>5.0000000000000001E-3</v>
      </c>
      <c r="I2542" s="995"/>
      <c r="J2542" s="996"/>
      <c r="K2542" s="997"/>
      <c r="L2542" s="101"/>
      <c r="M2542" s="100"/>
    </row>
    <row r="2543" spans="4:13">
      <c r="D2543" s="89"/>
      <c r="E2543" s="603">
        <v>45541</v>
      </c>
      <c r="F2543" s="341">
        <v>4.0000000000000001E-3</v>
      </c>
      <c r="G2543" s="341" t="s">
        <v>467</v>
      </c>
      <c r="H2543" s="341">
        <v>-1E-3</v>
      </c>
      <c r="I2543" s="995"/>
      <c r="J2543" s="996"/>
      <c r="K2543" s="997"/>
      <c r="L2543" s="99"/>
      <c r="M2543" s="100"/>
    </row>
    <row r="2544" spans="4:13">
      <c r="D2544" s="89"/>
      <c r="E2544" s="603">
        <v>45506</v>
      </c>
      <c r="F2544" s="341">
        <v>2E-3</v>
      </c>
      <c r="G2544" s="341" t="s">
        <v>467</v>
      </c>
      <c r="H2544" s="341">
        <v>3.0000000000000001E-3</v>
      </c>
      <c r="I2544" s="995"/>
      <c r="J2544" s="996"/>
      <c r="K2544" s="997"/>
      <c r="L2544" s="99"/>
      <c r="M2544" s="100"/>
    </row>
    <row r="2545" spans="4:13" ht="20" thickBot="1">
      <c r="D2545" s="89"/>
      <c r="E2545" s="603">
        <v>45478</v>
      </c>
      <c r="F2545" s="341">
        <v>3.0000000000000001E-3</v>
      </c>
      <c r="G2545" s="341" t="s">
        <v>467</v>
      </c>
      <c r="H2545" s="341">
        <v>4.0000000000000001E-3</v>
      </c>
      <c r="I2545" s="998"/>
      <c r="J2545" s="999"/>
      <c r="K2545" s="1000"/>
      <c r="L2545" s="102"/>
      <c r="M2545" s="103"/>
    </row>
    <row r="2546" spans="4:13" ht="25" thickBot="1">
      <c r="D2546">
        <v>11</v>
      </c>
      <c r="E2546" s="598" t="s">
        <v>30</v>
      </c>
      <c r="F2546" s="1102" t="s">
        <v>1378</v>
      </c>
      <c r="G2546" s="1103"/>
      <c r="H2546" s="1104"/>
      <c r="I2546" s="1060" t="s">
        <v>633</v>
      </c>
      <c r="J2546" s="1061"/>
      <c r="K2546" s="1062"/>
      <c r="L2546" s="158" t="s">
        <v>430</v>
      </c>
      <c r="M2546" s="105" t="s">
        <v>431</v>
      </c>
    </row>
    <row r="2547" spans="4:13">
      <c r="D2547" s="89"/>
      <c r="E2547" s="599" t="s">
        <v>432</v>
      </c>
      <c r="F2547" s="1105"/>
      <c r="G2547" s="1106"/>
      <c r="H2547" s="1107"/>
      <c r="I2547" s="995" t="s">
        <v>1375</v>
      </c>
      <c r="J2547" s="996"/>
      <c r="K2547" s="997"/>
      <c r="L2547" s="99"/>
      <c r="M2547" s="100"/>
    </row>
    <row r="2548" spans="4:13">
      <c r="D2548" s="89"/>
      <c r="E2548" s="600" t="s">
        <v>433</v>
      </c>
      <c r="F2548" s="1125" t="s">
        <v>1377</v>
      </c>
      <c r="G2548" s="1126"/>
      <c r="H2548" s="1127"/>
      <c r="I2548" s="995"/>
      <c r="J2548" s="996"/>
      <c r="K2548" s="997"/>
      <c r="L2548" s="99"/>
      <c r="M2548" s="100"/>
    </row>
    <row r="2549" spans="4:13" ht="20" thickBot="1">
      <c r="D2549" s="89"/>
      <c r="E2549" s="600" t="s">
        <v>434</v>
      </c>
      <c r="F2549" s="1124" t="s">
        <v>209</v>
      </c>
      <c r="G2549" s="1112"/>
      <c r="H2549" s="1113"/>
      <c r="I2549" s="995"/>
      <c r="J2549" s="996"/>
      <c r="K2549" s="997"/>
      <c r="L2549" s="99"/>
      <c r="M2549" s="100"/>
    </row>
    <row r="2550" spans="4:13" ht="20" thickBot="1">
      <c r="D2550" s="89"/>
      <c r="E2550" s="601" t="s">
        <v>435</v>
      </c>
      <c r="F2550" s="1114">
        <v>0.5625</v>
      </c>
      <c r="G2550" s="1115"/>
      <c r="H2550" s="1116"/>
      <c r="I2550" s="995"/>
      <c r="J2550" s="996"/>
      <c r="K2550" s="997"/>
      <c r="L2550" s="106">
        <v>0.79166666666666663</v>
      </c>
      <c r="M2550" s="107">
        <v>0.64583333333333326</v>
      </c>
    </row>
    <row r="2551" spans="4:13" ht="20" thickBot="1">
      <c r="D2551" s="89"/>
      <c r="E2551" s="602" t="s">
        <v>436</v>
      </c>
      <c r="F2551" s="252" t="s">
        <v>29</v>
      </c>
      <c r="G2551" s="252" t="s">
        <v>28</v>
      </c>
      <c r="H2551" s="253" t="s">
        <v>27</v>
      </c>
      <c r="I2551" s="995"/>
      <c r="J2551" s="996"/>
      <c r="K2551" s="997"/>
      <c r="L2551" s="99"/>
      <c r="M2551" s="100"/>
    </row>
    <row r="2552" spans="4:13">
      <c r="D2552" s="89"/>
      <c r="E2552" s="603">
        <v>45632</v>
      </c>
      <c r="F2552" s="345" t="s">
        <v>978</v>
      </c>
      <c r="G2552" s="345" t="s">
        <v>1397</v>
      </c>
      <c r="H2552" s="345" t="s">
        <v>1398</v>
      </c>
      <c r="I2552" s="995"/>
      <c r="J2552" s="996"/>
      <c r="K2552" s="997"/>
      <c r="L2552" s="99"/>
      <c r="M2552" s="100"/>
    </row>
    <row r="2553" spans="4:13">
      <c r="D2553" s="89"/>
      <c r="E2553" s="603">
        <v>45597</v>
      </c>
      <c r="F2553" s="345" t="s">
        <v>1233</v>
      </c>
      <c r="G2553" s="345" t="s">
        <v>1234</v>
      </c>
      <c r="H2553" s="345" t="s">
        <v>973</v>
      </c>
      <c r="I2553" s="995"/>
      <c r="J2553" s="996"/>
      <c r="K2553" s="997"/>
      <c r="L2553" s="99"/>
      <c r="M2553" s="100"/>
    </row>
    <row r="2554" spans="4:13">
      <c r="D2554" s="89"/>
      <c r="E2554" s="603">
        <v>45569</v>
      </c>
      <c r="F2554" s="345" t="s">
        <v>1235</v>
      </c>
      <c r="G2554" s="345" t="s">
        <v>1202</v>
      </c>
      <c r="H2554" s="345" t="s">
        <v>1194</v>
      </c>
      <c r="I2554" s="995"/>
      <c r="J2554" s="996"/>
      <c r="K2554" s="997"/>
      <c r="L2554" s="101"/>
      <c r="M2554" s="100"/>
    </row>
    <row r="2555" spans="4:13">
      <c r="D2555" s="89"/>
      <c r="E2555" s="603">
        <v>45541</v>
      </c>
      <c r="F2555" s="345" t="s">
        <v>1236</v>
      </c>
      <c r="G2555" s="345" t="s">
        <v>1237</v>
      </c>
      <c r="H2555" s="345" t="s">
        <v>1399</v>
      </c>
      <c r="I2555" s="995"/>
      <c r="J2555" s="996"/>
      <c r="K2555" s="997"/>
      <c r="L2555" s="99"/>
      <c r="M2555" s="100"/>
    </row>
    <row r="2556" spans="4:13">
      <c r="D2556" s="89"/>
      <c r="E2556" s="603">
        <v>45506</v>
      </c>
      <c r="F2556" s="345" t="s">
        <v>1238</v>
      </c>
      <c r="G2556" s="345" t="s">
        <v>1239</v>
      </c>
      <c r="H2556" s="345" t="s">
        <v>1240</v>
      </c>
      <c r="I2556" s="995"/>
      <c r="J2556" s="996"/>
      <c r="K2556" s="997"/>
      <c r="L2556" s="99"/>
      <c r="M2556" s="100"/>
    </row>
    <row r="2557" spans="4:13" ht="20" thickBot="1">
      <c r="D2557" s="89"/>
      <c r="E2557" s="603">
        <v>45478</v>
      </c>
      <c r="F2557" s="345" t="s">
        <v>1241</v>
      </c>
      <c r="G2557" s="345" t="s">
        <v>1242</v>
      </c>
      <c r="H2557" s="345" t="s">
        <v>974</v>
      </c>
      <c r="I2557" s="998"/>
      <c r="J2557" s="999"/>
      <c r="K2557" s="1000"/>
      <c r="L2557" s="102"/>
      <c r="M2557" s="103"/>
    </row>
    <row r="2558" spans="4:13" ht="25" thickBot="1">
      <c r="D2558">
        <v>12</v>
      </c>
      <c r="E2558" s="598" t="s">
        <v>30</v>
      </c>
      <c r="F2558" s="1102" t="s">
        <v>1379</v>
      </c>
      <c r="G2558" s="1103"/>
      <c r="H2558" s="1104"/>
      <c r="I2558" s="1086" t="s">
        <v>633</v>
      </c>
      <c r="J2558" s="1061"/>
      <c r="K2558" s="1062"/>
      <c r="L2558" s="158" t="s">
        <v>430</v>
      </c>
      <c r="M2558" s="105" t="s">
        <v>431</v>
      </c>
    </row>
    <row r="2559" spans="4:13">
      <c r="D2559" s="89"/>
      <c r="E2559" s="599" t="s">
        <v>432</v>
      </c>
      <c r="F2559" s="1105"/>
      <c r="G2559" s="1106"/>
      <c r="H2559" s="1107"/>
      <c r="I2559" s="995" t="s">
        <v>1375</v>
      </c>
      <c r="J2559" s="996"/>
      <c r="K2559" s="997"/>
      <c r="L2559" s="99"/>
      <c r="M2559" s="100"/>
    </row>
    <row r="2560" spans="4:13">
      <c r="D2560" s="89"/>
      <c r="E2560" s="600" t="s">
        <v>433</v>
      </c>
      <c r="F2560" s="1118">
        <v>4.2000000000000003E-2</v>
      </c>
      <c r="G2560" s="1119"/>
      <c r="H2560" s="1120"/>
      <c r="I2560" s="995"/>
      <c r="J2560" s="996"/>
      <c r="K2560" s="997"/>
      <c r="L2560" s="99"/>
      <c r="M2560" s="100"/>
    </row>
    <row r="2561" spans="3:13" ht="20" thickBot="1">
      <c r="D2561" s="89"/>
      <c r="E2561" s="600" t="s">
        <v>434</v>
      </c>
      <c r="F2561" s="1118">
        <v>4.2000000000000003E-2</v>
      </c>
      <c r="G2561" s="1119"/>
      <c r="H2561" s="1120"/>
      <c r="I2561" s="995"/>
      <c r="J2561" s="996"/>
      <c r="K2561" s="997"/>
      <c r="L2561" s="99"/>
      <c r="M2561" s="100"/>
    </row>
    <row r="2562" spans="3:13" ht="20" thickBot="1">
      <c r="D2562" s="89"/>
      <c r="E2562" s="601" t="s">
        <v>435</v>
      </c>
      <c r="F2562" s="1114">
        <v>0.5625</v>
      </c>
      <c r="G2562" s="1115"/>
      <c r="H2562" s="1116"/>
      <c r="I2562" s="995"/>
      <c r="J2562" s="996"/>
      <c r="K2562" s="997"/>
      <c r="L2562" s="106">
        <v>0.79166666666666663</v>
      </c>
      <c r="M2562" s="107">
        <v>0.64583333333333326</v>
      </c>
    </row>
    <row r="2563" spans="3:13" ht="20" thickBot="1">
      <c r="D2563" s="89"/>
      <c r="E2563" s="602" t="s">
        <v>436</v>
      </c>
      <c r="F2563" s="252" t="s">
        <v>29</v>
      </c>
      <c r="G2563" s="252" t="s">
        <v>28</v>
      </c>
      <c r="H2563" s="253" t="s">
        <v>27</v>
      </c>
      <c r="I2563" s="995"/>
      <c r="J2563" s="996"/>
      <c r="K2563" s="997"/>
      <c r="L2563" s="99"/>
      <c r="M2563" s="100"/>
    </row>
    <row r="2564" spans="3:13">
      <c r="D2564" s="89"/>
      <c r="E2564" s="603">
        <v>45632</v>
      </c>
      <c r="F2564" s="611">
        <v>4.2000000000000003E-2</v>
      </c>
      <c r="G2564" s="611" t="s">
        <v>628</v>
      </c>
      <c r="H2564" s="611">
        <v>4.1000000000000002E-2</v>
      </c>
      <c r="I2564" s="995"/>
      <c r="J2564" s="996"/>
      <c r="K2564" s="997"/>
      <c r="L2564" s="99"/>
      <c r="M2564" s="203"/>
    </row>
    <row r="2565" spans="3:13">
      <c r="D2565" s="89"/>
      <c r="E2565" s="603">
        <v>45597</v>
      </c>
      <c r="F2565" s="611">
        <v>4.1000000000000002E-2</v>
      </c>
      <c r="G2565" s="611" t="s">
        <v>629</v>
      </c>
      <c r="H2565" s="611">
        <v>4.1000000000000002E-2</v>
      </c>
      <c r="I2565" s="995"/>
      <c r="J2565" s="996"/>
      <c r="K2565" s="997"/>
      <c r="L2565" s="99"/>
      <c r="M2565" s="100"/>
    </row>
    <row r="2566" spans="3:13">
      <c r="D2566" s="89"/>
      <c r="E2566" s="603">
        <v>45569</v>
      </c>
      <c r="F2566" s="611">
        <v>4.1000000000000002E-2</v>
      </c>
      <c r="G2566" s="611" t="s">
        <v>628</v>
      </c>
      <c r="H2566" s="611">
        <v>4.2000000000000003E-2</v>
      </c>
      <c r="I2566" s="995"/>
      <c r="J2566" s="996"/>
      <c r="K2566" s="997"/>
      <c r="L2566" s="101"/>
      <c r="M2566" s="100"/>
    </row>
    <row r="2567" spans="3:13">
      <c r="D2567" s="89"/>
      <c r="E2567" s="603">
        <v>45541</v>
      </c>
      <c r="F2567" s="611">
        <v>4.2000000000000003E-2</v>
      </c>
      <c r="G2567" s="611" t="s">
        <v>628</v>
      </c>
      <c r="H2567" s="611">
        <v>4.2999999999999997E-2</v>
      </c>
      <c r="I2567" s="995"/>
      <c r="J2567" s="996"/>
      <c r="K2567" s="997"/>
      <c r="L2567" s="99"/>
      <c r="M2567" s="100"/>
    </row>
    <row r="2568" spans="3:13">
      <c r="D2568" s="89"/>
      <c r="E2568" s="603">
        <v>45506</v>
      </c>
      <c r="F2568" s="611">
        <v>4.2999999999999997E-2</v>
      </c>
      <c r="G2568" s="611" t="s">
        <v>629</v>
      </c>
      <c r="H2568" s="611">
        <v>4.1000000000000002E-2</v>
      </c>
      <c r="I2568" s="995"/>
      <c r="J2568" s="996"/>
      <c r="K2568" s="997"/>
      <c r="L2568" s="99"/>
      <c r="M2568" s="100"/>
    </row>
    <row r="2569" spans="3:13" ht="20" thickBot="1">
      <c r="D2569" s="89"/>
      <c r="E2569" s="607">
        <v>45478</v>
      </c>
      <c r="F2569" s="620">
        <v>4.1000000000000002E-2</v>
      </c>
      <c r="G2569" s="620" t="s">
        <v>630</v>
      </c>
      <c r="H2569" s="620">
        <v>0.04</v>
      </c>
      <c r="I2569" s="998"/>
      <c r="J2569" s="999"/>
      <c r="K2569" s="1000"/>
      <c r="L2569" s="102"/>
      <c r="M2569" s="103"/>
    </row>
    <row r="2570" spans="3:13" ht="25" thickBot="1">
      <c r="C2570" t="s">
        <v>105</v>
      </c>
      <c r="D2570">
        <v>1</v>
      </c>
      <c r="E2570" s="598" t="s">
        <v>30</v>
      </c>
      <c r="F2570" s="1102" t="s">
        <v>1402</v>
      </c>
      <c r="G2570" s="1103"/>
      <c r="H2570" s="1104"/>
      <c r="I2570" s="1060" t="s">
        <v>633</v>
      </c>
      <c r="J2570" s="1061"/>
      <c r="K2570" s="1062"/>
      <c r="L2570" s="158" t="s">
        <v>430</v>
      </c>
      <c r="M2570" s="105" t="s">
        <v>431</v>
      </c>
    </row>
    <row r="2571" spans="3:13">
      <c r="E2571" s="599" t="s">
        <v>432</v>
      </c>
      <c r="F2571" s="1105"/>
      <c r="G2571" s="1106"/>
      <c r="H2571" s="1107"/>
      <c r="I2571" s="995" t="s">
        <v>1403</v>
      </c>
      <c r="J2571" s="996"/>
      <c r="K2571" s="997"/>
      <c r="L2571" s="99"/>
      <c r="M2571" s="100"/>
    </row>
    <row r="2572" spans="3:13">
      <c r="E2572" s="600" t="s">
        <v>433</v>
      </c>
      <c r="F2572" s="1108"/>
      <c r="G2572" s="1109"/>
      <c r="H2572" s="1110"/>
      <c r="I2572" s="995"/>
      <c r="J2572" s="996"/>
      <c r="K2572" s="997"/>
      <c r="L2572" s="99"/>
      <c r="M2572" s="100"/>
    </row>
    <row r="2573" spans="3:13" ht="20" thickBot="1">
      <c r="E2573" s="600" t="s">
        <v>434</v>
      </c>
      <c r="F2573" s="1108"/>
      <c r="G2573" s="1109"/>
      <c r="H2573" s="1110"/>
      <c r="I2573" s="995"/>
      <c r="J2573" s="996"/>
      <c r="K2573" s="997"/>
      <c r="L2573" s="99"/>
      <c r="M2573" s="100"/>
    </row>
    <row r="2574" spans="3:13" ht="20" thickBot="1">
      <c r="E2574" s="601" t="s">
        <v>435</v>
      </c>
      <c r="F2574" s="1114"/>
      <c r="G2574" s="1115"/>
      <c r="H2574" s="1116"/>
      <c r="I2574" s="995"/>
      <c r="J2574" s="996"/>
      <c r="K2574" s="997"/>
      <c r="L2574" s="106">
        <v>0</v>
      </c>
      <c r="M2574" s="107">
        <v>-0.14583333333333334</v>
      </c>
    </row>
    <row r="2575" spans="3:13" ht="20" thickBot="1">
      <c r="E2575" s="602" t="s">
        <v>436</v>
      </c>
      <c r="F2575" s="252" t="s">
        <v>29</v>
      </c>
      <c r="G2575" s="252" t="s">
        <v>28</v>
      </c>
      <c r="H2575" s="253" t="s">
        <v>27</v>
      </c>
      <c r="I2575" s="995"/>
      <c r="J2575" s="996"/>
      <c r="K2575" s="997"/>
      <c r="L2575" s="99"/>
      <c r="M2575" s="100"/>
    </row>
    <row r="2576" spans="3:13" ht="18">
      <c r="E2576" s="603"/>
      <c r="F2576" s="341"/>
      <c r="G2576" s="341"/>
      <c r="H2576" s="341"/>
      <c r="I2576" s="995"/>
      <c r="J2576" s="996"/>
      <c r="K2576" s="997"/>
      <c r="L2576" s="99"/>
      <c r="M2576" s="100"/>
    </row>
    <row r="2577" spans="4:13" ht="18">
      <c r="E2577" s="603"/>
      <c r="F2577" s="341"/>
      <c r="G2577" s="341"/>
      <c r="H2577" s="341"/>
      <c r="I2577" s="995"/>
      <c r="J2577" s="996"/>
      <c r="K2577" s="997"/>
      <c r="L2577" s="99"/>
      <c r="M2577" s="100"/>
    </row>
    <row r="2578" spans="4:13" ht="18">
      <c r="E2578" s="603"/>
      <c r="F2578" s="341"/>
      <c r="G2578" s="341"/>
      <c r="H2578" s="341"/>
      <c r="I2578" s="995"/>
      <c r="J2578" s="996"/>
      <c r="K2578" s="997"/>
      <c r="L2578" s="101"/>
      <c r="M2578" s="100"/>
    </row>
    <row r="2579" spans="4:13" ht="18">
      <c r="E2579" s="603"/>
      <c r="F2579" s="341"/>
      <c r="G2579" s="341"/>
      <c r="H2579" s="341"/>
      <c r="I2579" s="995"/>
      <c r="J2579" s="996"/>
      <c r="K2579" s="997"/>
      <c r="L2579" s="99"/>
      <c r="M2579" s="100"/>
    </row>
    <row r="2580" spans="4:13" ht="18">
      <c r="E2580" s="603"/>
      <c r="F2580" s="341"/>
      <c r="G2580" s="341"/>
      <c r="H2580" s="341"/>
      <c r="I2580" s="995"/>
      <c r="J2580" s="996"/>
      <c r="K2580" s="997"/>
      <c r="L2580" s="99"/>
      <c r="M2580" s="100"/>
    </row>
    <row r="2581" spans="4:13" thickBot="1">
      <c r="E2581" s="603"/>
      <c r="F2581" s="341"/>
      <c r="G2581" s="341"/>
      <c r="H2581" s="341"/>
      <c r="I2581" s="998"/>
      <c r="J2581" s="999"/>
      <c r="K2581" s="1000"/>
      <c r="L2581" s="102"/>
      <c r="M2581" s="103"/>
    </row>
    <row r="2582" spans="4:13" ht="25" thickBot="1">
      <c r="D2582">
        <v>2</v>
      </c>
      <c r="E2582" s="598" t="s">
        <v>30</v>
      </c>
      <c r="F2582" s="1102" t="s">
        <v>1404</v>
      </c>
      <c r="G2582" s="1103"/>
      <c r="H2582" s="1104"/>
      <c r="I2582" s="1060" t="s">
        <v>633</v>
      </c>
      <c r="J2582" s="1061"/>
      <c r="K2582" s="1062"/>
      <c r="L2582" s="158" t="s">
        <v>430</v>
      </c>
      <c r="M2582" s="105" t="s">
        <v>431</v>
      </c>
    </row>
    <row r="2583" spans="4:13">
      <c r="E2583" s="599" t="s">
        <v>432</v>
      </c>
      <c r="F2583" s="1105"/>
      <c r="G2583" s="1106"/>
      <c r="H2583" s="1107"/>
      <c r="I2583" s="995" t="s">
        <v>1405</v>
      </c>
      <c r="J2583" s="996"/>
      <c r="K2583" s="997"/>
      <c r="L2583" s="99"/>
      <c r="M2583" s="100"/>
    </row>
    <row r="2584" spans="4:13">
      <c r="E2584" s="600" t="s">
        <v>433</v>
      </c>
      <c r="F2584" s="1111">
        <v>4.0000000000000001E-3</v>
      </c>
      <c r="G2584" s="1112"/>
      <c r="H2584" s="1113"/>
      <c r="I2584" s="995"/>
      <c r="J2584" s="996"/>
      <c r="K2584" s="997"/>
      <c r="L2584" s="99"/>
      <c r="M2584" s="100"/>
    </row>
    <row r="2585" spans="4:13" ht="20" thickBot="1">
      <c r="E2585" s="600" t="s">
        <v>434</v>
      </c>
      <c r="F2585" s="1111">
        <v>4.0000000000000001E-3</v>
      </c>
      <c r="G2585" s="1112"/>
      <c r="H2585" s="1113"/>
      <c r="I2585" s="995"/>
      <c r="J2585" s="996"/>
      <c r="K2585" s="997"/>
      <c r="L2585" s="99"/>
      <c r="M2585" s="100"/>
    </row>
    <row r="2586" spans="4:13" ht="20" thickBot="1">
      <c r="E2586" s="601" t="s">
        <v>435</v>
      </c>
      <c r="F2586" s="1114">
        <v>0.5625</v>
      </c>
      <c r="G2586" s="1115"/>
      <c r="H2586" s="1116"/>
      <c r="I2586" s="995"/>
      <c r="J2586" s="996"/>
      <c r="K2586" s="997"/>
      <c r="L2586" s="106">
        <v>0.79166666666666663</v>
      </c>
      <c r="M2586" s="107">
        <v>0.64583333333333326</v>
      </c>
    </row>
    <row r="2587" spans="4:13" ht="20" thickBot="1">
      <c r="E2587" s="602" t="s">
        <v>436</v>
      </c>
      <c r="F2587" s="252" t="s">
        <v>29</v>
      </c>
      <c r="G2587" s="252" t="s">
        <v>28</v>
      </c>
      <c r="H2587" s="253" t="s">
        <v>27</v>
      </c>
      <c r="I2587" s="995"/>
      <c r="J2587" s="996"/>
      <c r="K2587" s="997"/>
      <c r="L2587" s="99"/>
      <c r="M2587" s="100"/>
    </row>
    <row r="2588" spans="4:13">
      <c r="E2588" s="603">
        <v>45638</v>
      </c>
      <c r="F2588" s="341">
        <v>4.0000000000000001E-3</v>
      </c>
      <c r="G2588" s="341" t="s">
        <v>460</v>
      </c>
      <c r="H2588" s="341">
        <v>3.0000000000000001E-3</v>
      </c>
      <c r="I2588" s="995"/>
      <c r="J2588" s="996"/>
      <c r="K2588" s="997"/>
      <c r="L2588" s="99"/>
      <c r="M2588" s="100"/>
    </row>
    <row r="2589" spans="4:13">
      <c r="E2589" s="603">
        <v>45610</v>
      </c>
      <c r="F2589" s="341">
        <v>2E-3</v>
      </c>
      <c r="G2589" s="341" t="s">
        <v>460</v>
      </c>
      <c r="H2589" s="341">
        <v>1E-3</v>
      </c>
      <c r="I2589" s="995"/>
      <c r="J2589" s="996"/>
      <c r="K2589" s="997"/>
      <c r="L2589" s="99"/>
      <c r="M2589" s="100"/>
    </row>
    <row r="2590" spans="4:13">
      <c r="E2590" s="603">
        <v>45576</v>
      </c>
      <c r="F2590" s="341">
        <v>0</v>
      </c>
      <c r="G2590" s="341" t="s">
        <v>462</v>
      </c>
      <c r="H2590" s="341">
        <v>2E-3</v>
      </c>
      <c r="I2590" s="995"/>
      <c r="J2590" s="996"/>
      <c r="K2590" s="997"/>
      <c r="L2590" s="101"/>
      <c r="M2590" s="100"/>
    </row>
    <row r="2591" spans="4:13">
      <c r="E2591" s="603">
        <v>45547</v>
      </c>
      <c r="F2591" s="341">
        <v>2E-3</v>
      </c>
      <c r="G2591" s="341" t="s">
        <v>462</v>
      </c>
      <c r="H2591" s="341">
        <v>0</v>
      </c>
      <c r="I2591" s="995"/>
      <c r="J2591" s="996"/>
      <c r="K2591" s="997"/>
      <c r="L2591" s="99"/>
      <c r="M2591" s="100"/>
    </row>
    <row r="2592" spans="4:13">
      <c r="E2592" s="603">
        <v>45517</v>
      </c>
      <c r="F2592" s="341">
        <v>1E-3</v>
      </c>
      <c r="G2592" s="341" t="s">
        <v>460</v>
      </c>
      <c r="H2592" s="341">
        <v>2E-3</v>
      </c>
      <c r="I2592" s="995"/>
      <c r="J2592" s="996"/>
      <c r="K2592" s="997"/>
      <c r="L2592" s="99"/>
      <c r="M2592" s="100"/>
    </row>
    <row r="2593" spans="4:13" ht="20" thickBot="1">
      <c r="E2593" s="603">
        <v>45485</v>
      </c>
      <c r="F2593" s="341">
        <v>2E-3</v>
      </c>
      <c r="G2593" s="341" t="s">
        <v>462</v>
      </c>
      <c r="H2593" s="341">
        <v>0</v>
      </c>
      <c r="I2593" s="998"/>
      <c r="J2593" s="999"/>
      <c r="K2593" s="1000"/>
      <c r="L2593" s="102"/>
      <c r="M2593" s="103"/>
    </row>
    <row r="2594" spans="4:13" ht="25" thickBot="1">
      <c r="D2594">
        <v>1</v>
      </c>
      <c r="E2594" s="598" t="s">
        <v>30</v>
      </c>
      <c r="F2594" s="1102" t="s">
        <v>1406</v>
      </c>
      <c r="G2594" s="1103"/>
      <c r="H2594" s="1104"/>
      <c r="I2594" s="1060" t="s">
        <v>633</v>
      </c>
      <c r="J2594" s="1061"/>
      <c r="K2594" s="1062"/>
      <c r="L2594" s="158" t="s">
        <v>430</v>
      </c>
      <c r="M2594" s="105" t="s">
        <v>431</v>
      </c>
    </row>
    <row r="2595" spans="4:13">
      <c r="E2595" s="599" t="s">
        <v>432</v>
      </c>
      <c r="F2595" s="1105"/>
      <c r="G2595" s="1106"/>
      <c r="H2595" s="1107"/>
      <c r="I2595" s="995" t="s">
        <v>1407</v>
      </c>
      <c r="J2595" s="996"/>
      <c r="K2595" s="997"/>
      <c r="L2595" s="99"/>
      <c r="M2595" s="100"/>
    </row>
    <row r="2596" spans="4:13">
      <c r="E2596" s="600" t="s">
        <v>433</v>
      </c>
      <c r="F2596" s="1108">
        <v>2.5999999999999999E-2</v>
      </c>
      <c r="G2596" s="1109"/>
      <c r="H2596" s="1110"/>
      <c r="I2596" s="995"/>
      <c r="J2596" s="996"/>
      <c r="K2596" s="997"/>
      <c r="L2596" s="99"/>
      <c r="M2596" s="100"/>
    </row>
    <row r="2597" spans="4:13" ht="20" thickBot="1">
      <c r="E2597" s="600" t="s">
        <v>434</v>
      </c>
      <c r="F2597" s="1108">
        <v>2.5999999999999999E-2</v>
      </c>
      <c r="G2597" s="1109"/>
      <c r="H2597" s="1110"/>
      <c r="I2597" s="995"/>
      <c r="J2597" s="996"/>
      <c r="K2597" s="997"/>
      <c r="L2597" s="99"/>
      <c r="M2597" s="100"/>
    </row>
    <row r="2598" spans="4:13" ht="20" thickBot="1">
      <c r="E2598" s="601" t="s">
        <v>435</v>
      </c>
      <c r="F2598" s="1114">
        <v>0.29166666666666674</v>
      </c>
      <c r="G2598" s="1115"/>
      <c r="H2598" s="1116"/>
      <c r="I2598" s="995"/>
      <c r="J2598" s="996"/>
      <c r="K2598" s="997"/>
      <c r="L2598" s="106">
        <v>0.52083333333333337</v>
      </c>
      <c r="M2598" s="107">
        <v>0.375</v>
      </c>
    </row>
    <row r="2599" spans="4:13" ht="20" thickBot="1">
      <c r="E2599" s="602" t="s">
        <v>436</v>
      </c>
      <c r="F2599" s="252" t="s">
        <v>29</v>
      </c>
      <c r="G2599" s="252" t="s">
        <v>28</v>
      </c>
      <c r="H2599" s="253" t="s">
        <v>27</v>
      </c>
      <c r="I2599" s="995"/>
      <c r="J2599" s="996"/>
      <c r="K2599" s="997"/>
      <c r="L2599" s="99"/>
      <c r="M2599" s="100"/>
    </row>
    <row r="2600" spans="4:13">
      <c r="E2600" s="603">
        <v>45644</v>
      </c>
      <c r="F2600" s="341">
        <v>2.5999999999999999E-2</v>
      </c>
      <c r="G2600" s="341" t="s">
        <v>493</v>
      </c>
      <c r="H2600" s="341">
        <v>2.3E-2</v>
      </c>
      <c r="I2600" s="995"/>
      <c r="J2600" s="996"/>
      <c r="K2600" s="997"/>
      <c r="L2600" s="99"/>
      <c r="M2600" s="100"/>
    </row>
    <row r="2601" spans="4:13">
      <c r="E2601" s="603">
        <v>45616</v>
      </c>
      <c r="F2601" s="341">
        <v>2.3E-2</v>
      </c>
      <c r="G2601" s="341" t="s">
        <v>490</v>
      </c>
      <c r="H2601" s="341">
        <v>1.7000000000000001E-2</v>
      </c>
      <c r="I2601" s="995"/>
      <c r="J2601" s="996"/>
      <c r="K2601" s="997"/>
      <c r="L2601" s="99"/>
      <c r="M2601" s="100"/>
    </row>
    <row r="2602" spans="4:13">
      <c r="E2602" s="603">
        <v>45581</v>
      </c>
      <c r="F2602" s="341">
        <v>1.7000000000000001E-2</v>
      </c>
      <c r="G2602" s="341" t="s">
        <v>789</v>
      </c>
      <c r="H2602" s="341">
        <v>2.1999999999999999E-2</v>
      </c>
      <c r="I2602" s="995"/>
      <c r="J2602" s="996"/>
      <c r="K2602" s="997"/>
      <c r="L2602" s="101"/>
      <c r="M2602" s="100"/>
    </row>
    <row r="2603" spans="4:13">
      <c r="E2603" s="603">
        <v>45553</v>
      </c>
      <c r="F2603" s="341">
        <v>2.1999999999999999E-2</v>
      </c>
      <c r="G2603" s="341" t="s">
        <v>490</v>
      </c>
      <c r="H2603" s="341">
        <v>2.1999999999999999E-2</v>
      </c>
      <c r="I2603" s="995"/>
      <c r="J2603" s="996"/>
      <c r="K2603" s="997"/>
      <c r="L2603" s="99"/>
      <c r="M2603" s="100"/>
    </row>
    <row r="2604" spans="4:13">
      <c r="E2604" s="603">
        <v>45518</v>
      </c>
      <c r="F2604" s="341">
        <v>2.1999999999999999E-2</v>
      </c>
      <c r="G2604" s="341" t="s">
        <v>971</v>
      </c>
      <c r="H2604" s="341">
        <v>0.02</v>
      </c>
      <c r="I2604" s="995"/>
      <c r="J2604" s="996"/>
      <c r="K2604" s="997"/>
      <c r="L2604" s="99"/>
      <c r="M2604" s="100"/>
    </row>
    <row r="2605" spans="4:13" ht="20" thickBot="1">
      <c r="E2605" s="603">
        <v>45490</v>
      </c>
      <c r="F2605" s="341">
        <v>0.02</v>
      </c>
      <c r="G2605" s="341" t="s">
        <v>789</v>
      </c>
      <c r="H2605" s="341">
        <v>0.02</v>
      </c>
      <c r="I2605" s="998"/>
      <c r="J2605" s="999"/>
      <c r="K2605" s="1000"/>
      <c r="L2605" s="102"/>
      <c r="M2605" s="103"/>
    </row>
    <row r="2606" spans="4:13" ht="25" thickBot="1">
      <c r="D2606">
        <v>3</v>
      </c>
      <c r="E2606" s="598" t="s">
        <v>30</v>
      </c>
      <c r="F2606" s="1102" t="s">
        <v>1408</v>
      </c>
      <c r="G2606" s="1103"/>
      <c r="H2606" s="1104"/>
      <c r="I2606" s="1121" t="s">
        <v>633</v>
      </c>
      <c r="J2606" s="1122"/>
      <c r="K2606" s="1123"/>
      <c r="L2606" s="158" t="s">
        <v>430</v>
      </c>
      <c r="M2606" s="105" t="s">
        <v>431</v>
      </c>
    </row>
    <row r="2607" spans="4:13">
      <c r="E2607" s="599" t="s">
        <v>432</v>
      </c>
      <c r="F2607" s="1105"/>
      <c r="G2607" s="1106"/>
      <c r="H2607" s="1107"/>
      <c r="I2607" s="995" t="s">
        <v>1409</v>
      </c>
      <c r="J2607" s="996"/>
      <c r="K2607" s="997"/>
      <c r="L2607" s="99"/>
      <c r="M2607" s="100"/>
    </row>
    <row r="2608" spans="4:13">
      <c r="E2608" s="600" t="s">
        <v>433</v>
      </c>
      <c r="F2608" s="1111">
        <v>2E-3</v>
      </c>
      <c r="G2608" s="1112"/>
      <c r="H2608" s="1113"/>
      <c r="I2608" s="995"/>
      <c r="J2608" s="996"/>
      <c r="K2608" s="997"/>
      <c r="L2608" s="99"/>
      <c r="M2608" s="100"/>
    </row>
    <row r="2609" spans="4:13" ht="20" thickBot="1">
      <c r="E2609" s="600" t="s">
        <v>434</v>
      </c>
      <c r="F2609" s="1111">
        <v>3.0000000000000001E-3</v>
      </c>
      <c r="G2609" s="1112"/>
      <c r="H2609" s="1113"/>
      <c r="I2609" s="995"/>
      <c r="J2609" s="996"/>
      <c r="K2609" s="997"/>
      <c r="L2609" s="99"/>
      <c r="M2609" s="100"/>
    </row>
    <row r="2610" spans="4:13" ht="20" thickBot="1">
      <c r="E2610" s="601" t="s">
        <v>435</v>
      </c>
      <c r="F2610" s="1114">
        <v>0.5625</v>
      </c>
      <c r="G2610" s="1115"/>
      <c r="H2610" s="1116"/>
      <c r="I2610" s="995"/>
      <c r="J2610" s="996"/>
      <c r="K2610" s="997"/>
      <c r="L2610" s="106">
        <v>0.79166666666666663</v>
      </c>
      <c r="M2610" s="107">
        <v>0.64583333333333326</v>
      </c>
    </row>
    <row r="2611" spans="4:13" ht="20" thickBot="1">
      <c r="E2611" s="602" t="s">
        <v>436</v>
      </c>
      <c r="F2611" s="252" t="s">
        <v>29</v>
      </c>
      <c r="G2611" s="252" t="s">
        <v>28</v>
      </c>
      <c r="H2611" s="253" t="s">
        <v>27</v>
      </c>
      <c r="I2611" s="995"/>
      <c r="J2611" s="996"/>
      <c r="K2611" s="997"/>
      <c r="L2611" s="330"/>
      <c r="M2611" s="331"/>
    </row>
    <row r="2612" spans="4:13">
      <c r="E2612" s="603">
        <v>45637</v>
      </c>
      <c r="F2612" s="606">
        <v>3.0000000000000001E-3</v>
      </c>
      <c r="G2612" s="606" t="s">
        <v>467</v>
      </c>
      <c r="H2612" s="606">
        <v>3.0000000000000001E-3</v>
      </c>
      <c r="I2612" s="995"/>
      <c r="J2612" s="996"/>
      <c r="K2612" s="997"/>
      <c r="L2612" s="99"/>
      <c r="M2612" s="100"/>
    </row>
    <row r="2613" spans="4:13">
      <c r="E2613" s="603">
        <v>45609</v>
      </c>
      <c r="F2613" s="606">
        <v>3.0000000000000001E-3</v>
      </c>
      <c r="G2613" s="606" t="s">
        <v>467</v>
      </c>
      <c r="H2613" s="606">
        <v>3.0000000000000001E-3</v>
      </c>
      <c r="I2613" s="995"/>
      <c r="J2613" s="996"/>
      <c r="K2613" s="997"/>
      <c r="L2613" s="99"/>
      <c r="M2613" s="100"/>
    </row>
    <row r="2614" spans="4:13">
      <c r="E2614" s="603">
        <v>45575</v>
      </c>
      <c r="F2614" s="606">
        <v>3.0000000000000001E-3</v>
      </c>
      <c r="G2614" s="606" t="s">
        <v>460</v>
      </c>
      <c r="H2614" s="606">
        <v>3.0000000000000001E-3</v>
      </c>
      <c r="I2614" s="995"/>
      <c r="J2614" s="996"/>
      <c r="K2614" s="997"/>
      <c r="L2614" s="101"/>
      <c r="M2614" s="100"/>
    </row>
    <row r="2615" spans="4:13">
      <c r="E2615" s="603">
        <v>45546</v>
      </c>
      <c r="F2615" s="606">
        <v>3.0000000000000001E-3</v>
      </c>
      <c r="G2615" s="606" t="s">
        <v>460</v>
      </c>
      <c r="H2615" s="606">
        <v>2E-3</v>
      </c>
      <c r="I2615" s="995"/>
      <c r="J2615" s="996"/>
      <c r="K2615" s="997"/>
      <c r="L2615" s="99"/>
      <c r="M2615" s="100"/>
    </row>
    <row r="2616" spans="4:13">
      <c r="E2616" s="603">
        <v>45518</v>
      </c>
      <c r="F2616" s="606">
        <v>2E-3</v>
      </c>
      <c r="G2616" s="606" t="s">
        <v>460</v>
      </c>
      <c r="H2616" s="606">
        <v>1E-3</v>
      </c>
      <c r="I2616" s="995"/>
      <c r="J2616" s="996"/>
      <c r="K2616" s="997"/>
      <c r="L2616" s="99"/>
      <c r="M2616" s="100"/>
    </row>
    <row r="2617" spans="4:13" ht="20" thickBot="1">
      <c r="E2617" s="603">
        <v>45484</v>
      </c>
      <c r="F2617" s="606">
        <v>1E-3</v>
      </c>
      <c r="G2617" s="606" t="s">
        <v>460</v>
      </c>
      <c r="H2617" s="606">
        <v>2E-3</v>
      </c>
      <c r="I2617" s="998"/>
      <c r="J2617" s="999"/>
      <c r="K2617" s="1000"/>
      <c r="L2617" s="102"/>
      <c r="M2617" s="103"/>
    </row>
    <row r="2618" spans="4:13" ht="25" thickBot="1">
      <c r="D2618">
        <v>4</v>
      </c>
      <c r="E2618" s="598" t="s">
        <v>30</v>
      </c>
      <c r="F2618" s="1102" t="s">
        <v>1410</v>
      </c>
      <c r="G2618" s="1103"/>
      <c r="H2618" s="1104"/>
      <c r="I2618" s="1121" t="s">
        <v>633</v>
      </c>
      <c r="J2618" s="1122"/>
      <c r="K2618" s="1123"/>
      <c r="L2618" s="158" t="s">
        <v>430</v>
      </c>
      <c r="M2618" s="105" t="s">
        <v>431</v>
      </c>
    </row>
    <row r="2619" spans="4:13">
      <c r="E2619" s="599" t="s">
        <v>432</v>
      </c>
      <c r="F2619" s="1105"/>
      <c r="G2619" s="1106"/>
      <c r="H2619" s="1107"/>
      <c r="I2619" s="995" t="s">
        <v>1409</v>
      </c>
      <c r="J2619" s="996"/>
      <c r="K2619" s="997"/>
      <c r="L2619" s="99"/>
      <c r="M2619" s="100"/>
    </row>
    <row r="2620" spans="4:13">
      <c r="E2620" s="600" t="s">
        <v>433</v>
      </c>
      <c r="F2620" s="1111">
        <v>2.9000000000000001E-2</v>
      </c>
      <c r="G2620" s="1112"/>
      <c r="H2620" s="1113"/>
      <c r="I2620" s="995"/>
      <c r="J2620" s="996"/>
      <c r="K2620" s="997"/>
      <c r="L2620" s="99"/>
      <c r="M2620" s="100"/>
    </row>
    <row r="2621" spans="4:13" ht="20" thickBot="1">
      <c r="E2621" s="600" t="s">
        <v>434</v>
      </c>
      <c r="F2621" s="1111">
        <v>2.7E-2</v>
      </c>
      <c r="G2621" s="1112"/>
      <c r="H2621" s="1113"/>
      <c r="I2621" s="995"/>
      <c r="J2621" s="996"/>
      <c r="K2621" s="997"/>
      <c r="L2621" s="99"/>
      <c r="M2621" s="100"/>
    </row>
    <row r="2622" spans="4:13" ht="20" thickBot="1">
      <c r="E2622" s="601" t="s">
        <v>435</v>
      </c>
      <c r="F2622" s="1114">
        <v>0.5625</v>
      </c>
      <c r="G2622" s="1115"/>
      <c r="H2622" s="1116"/>
      <c r="I2622" s="995"/>
      <c r="J2622" s="996"/>
      <c r="K2622" s="997"/>
      <c r="L2622" s="106">
        <v>0.79166666666666663</v>
      </c>
      <c r="M2622" s="107">
        <v>0.64583333333333326</v>
      </c>
    </row>
    <row r="2623" spans="4:13" ht="20" thickBot="1">
      <c r="E2623" s="602" t="s">
        <v>436</v>
      </c>
      <c r="F2623" s="252" t="s">
        <v>29</v>
      </c>
      <c r="G2623" s="252" t="s">
        <v>28</v>
      </c>
      <c r="H2623" s="253" t="s">
        <v>27</v>
      </c>
      <c r="I2623" s="995"/>
      <c r="J2623" s="996"/>
      <c r="K2623" s="997"/>
      <c r="L2623" s="99"/>
      <c r="M2623" s="100"/>
    </row>
    <row r="2624" spans="4:13">
      <c r="E2624" s="603">
        <v>45637</v>
      </c>
      <c r="F2624" s="606">
        <v>2.7E-2</v>
      </c>
      <c r="G2624" s="606" t="s">
        <v>665</v>
      </c>
      <c r="H2624" s="606">
        <v>2.5999999999999999E-2</v>
      </c>
      <c r="I2624" s="995"/>
      <c r="J2624" s="996"/>
      <c r="K2624" s="997"/>
      <c r="L2624" s="99"/>
      <c r="M2624" s="100"/>
    </row>
    <row r="2625" spans="4:13">
      <c r="E2625" s="603">
        <v>45609</v>
      </c>
      <c r="F2625" s="606">
        <v>2.5999999999999999E-2</v>
      </c>
      <c r="G2625" s="606" t="s">
        <v>493</v>
      </c>
      <c r="H2625" s="606">
        <v>2.4E-2</v>
      </c>
      <c r="I2625" s="995"/>
      <c r="J2625" s="996"/>
      <c r="K2625" s="997"/>
      <c r="L2625" s="99"/>
      <c r="M2625" s="100"/>
    </row>
    <row r="2626" spans="4:13">
      <c r="E2626" s="603">
        <v>45575</v>
      </c>
      <c r="F2626" s="606">
        <v>2.4E-2</v>
      </c>
      <c r="G2626" s="606" t="s">
        <v>971</v>
      </c>
      <c r="H2626" s="606">
        <v>2.5000000000000001E-2</v>
      </c>
      <c r="I2626" s="995"/>
      <c r="J2626" s="996"/>
      <c r="K2626" s="997"/>
      <c r="L2626" s="101"/>
      <c r="M2626" s="100"/>
    </row>
    <row r="2627" spans="4:13">
      <c r="E2627" s="603">
        <v>45546</v>
      </c>
      <c r="F2627" s="606">
        <v>2.5000000000000001E-2</v>
      </c>
      <c r="G2627" s="606" t="s">
        <v>495</v>
      </c>
      <c r="H2627" s="606">
        <v>2.9000000000000001E-2</v>
      </c>
      <c r="I2627" s="995"/>
      <c r="J2627" s="996"/>
      <c r="K2627" s="997"/>
      <c r="L2627" s="99"/>
      <c r="M2627" s="100"/>
    </row>
    <row r="2628" spans="4:13">
      <c r="E2628" s="603">
        <v>45518</v>
      </c>
      <c r="F2628" s="606">
        <v>2.9000000000000001E-2</v>
      </c>
      <c r="G2628" s="606" t="s">
        <v>669</v>
      </c>
      <c r="H2628" s="606">
        <v>0.03</v>
      </c>
      <c r="I2628" s="995"/>
      <c r="J2628" s="996"/>
      <c r="K2628" s="997"/>
      <c r="L2628" s="99"/>
      <c r="M2628" s="100"/>
    </row>
    <row r="2629" spans="4:13" ht="20" thickBot="1">
      <c r="E2629" s="603">
        <v>45484</v>
      </c>
      <c r="F2629" s="606">
        <v>0.03</v>
      </c>
      <c r="G2629" s="606" t="s">
        <v>668</v>
      </c>
      <c r="H2629" s="606">
        <v>3.3000000000000002E-2</v>
      </c>
      <c r="I2629" s="998"/>
      <c r="J2629" s="999"/>
      <c r="K2629" s="1000"/>
      <c r="L2629" s="102"/>
      <c r="M2629" s="103"/>
    </row>
    <row r="2630" spans="4:13" ht="25" thickBot="1">
      <c r="D2630">
        <v>6</v>
      </c>
      <c r="E2630" s="598" t="s">
        <v>30</v>
      </c>
      <c r="F2630" s="1102" t="s">
        <v>1411</v>
      </c>
      <c r="G2630" s="1103"/>
      <c r="H2630" s="1104"/>
      <c r="I2630" s="1121" t="s">
        <v>633</v>
      </c>
      <c r="J2630" s="1122"/>
      <c r="K2630" s="1123"/>
      <c r="L2630" s="158" t="s">
        <v>430</v>
      </c>
      <c r="M2630" s="105" t="s">
        <v>431</v>
      </c>
    </row>
    <row r="2631" spans="4:13">
      <c r="E2631" s="599" t="s">
        <v>432</v>
      </c>
      <c r="F2631" s="1105"/>
      <c r="G2631" s="1106"/>
      <c r="H2631" s="1107"/>
      <c r="I2631" s="995" t="s">
        <v>1409</v>
      </c>
      <c r="J2631" s="996"/>
      <c r="K2631" s="997"/>
      <c r="L2631" s="99"/>
      <c r="M2631" s="100"/>
    </row>
    <row r="2632" spans="4:13">
      <c r="E2632" s="600" t="s">
        <v>433</v>
      </c>
      <c r="F2632" s="1111">
        <v>3.0000000000000001E-3</v>
      </c>
      <c r="G2632" s="1112"/>
      <c r="H2632" s="1113"/>
      <c r="I2632" s="995"/>
      <c r="J2632" s="996"/>
      <c r="K2632" s="997"/>
      <c r="L2632" s="99"/>
      <c r="M2632" s="100"/>
    </row>
    <row r="2633" spans="4:13" ht="20" thickBot="1">
      <c r="E2633" s="600" t="s">
        <v>434</v>
      </c>
      <c r="F2633" s="1111">
        <v>3.0000000000000001E-3</v>
      </c>
      <c r="G2633" s="1112"/>
      <c r="H2633" s="1113"/>
      <c r="I2633" s="995"/>
      <c r="J2633" s="996"/>
      <c r="K2633" s="997"/>
      <c r="L2633" s="99"/>
      <c r="M2633" s="100"/>
    </row>
    <row r="2634" spans="4:13" ht="20" thickBot="1">
      <c r="E2634" s="601" t="s">
        <v>435</v>
      </c>
      <c r="F2634" s="1114">
        <v>0.5625</v>
      </c>
      <c r="G2634" s="1115"/>
      <c r="H2634" s="1116"/>
      <c r="I2634" s="995"/>
      <c r="J2634" s="996"/>
      <c r="K2634" s="997"/>
      <c r="L2634" s="106">
        <v>0.79166666666666663</v>
      </c>
      <c r="M2634" s="107">
        <v>0.6875</v>
      </c>
    </row>
    <row r="2635" spans="4:13" ht="20" thickBot="1">
      <c r="E2635" s="602" t="s">
        <v>436</v>
      </c>
      <c r="F2635" s="252" t="s">
        <v>29</v>
      </c>
      <c r="G2635" s="252" t="s">
        <v>28</v>
      </c>
      <c r="H2635" s="253" t="s">
        <v>27</v>
      </c>
      <c r="I2635" s="995"/>
      <c r="J2635" s="996"/>
      <c r="K2635" s="997"/>
      <c r="L2635" s="99"/>
      <c r="M2635" s="100"/>
    </row>
    <row r="2636" spans="4:13">
      <c r="E2636" s="603">
        <v>45637</v>
      </c>
      <c r="F2636" s="606">
        <v>3.0000000000000001E-3</v>
      </c>
      <c r="G2636" s="606" t="s">
        <v>467</v>
      </c>
      <c r="H2636" s="606">
        <v>2E-3</v>
      </c>
      <c r="I2636" s="995"/>
      <c r="J2636" s="996"/>
      <c r="K2636" s="997"/>
      <c r="L2636" s="99"/>
      <c r="M2636" s="100"/>
    </row>
    <row r="2637" spans="4:13">
      <c r="E2637" s="603">
        <v>45609</v>
      </c>
      <c r="F2637" s="606">
        <v>2E-3</v>
      </c>
      <c r="G2637" s="606" t="s">
        <v>460</v>
      </c>
      <c r="H2637" s="606">
        <v>2E-3</v>
      </c>
      <c r="I2637" s="995"/>
      <c r="J2637" s="996"/>
      <c r="K2637" s="997"/>
      <c r="L2637" s="99"/>
      <c r="M2637" s="100"/>
    </row>
    <row r="2638" spans="4:13">
      <c r="E2638" s="603">
        <v>45575</v>
      </c>
      <c r="F2638" s="606">
        <v>2E-3</v>
      </c>
      <c r="G2638" s="606" t="s">
        <v>462</v>
      </c>
      <c r="H2638" s="606">
        <v>2E-3</v>
      </c>
      <c r="I2638" s="995"/>
      <c r="J2638" s="996"/>
      <c r="K2638" s="997"/>
      <c r="L2638" s="101"/>
      <c r="M2638" s="100"/>
    </row>
    <row r="2639" spans="4:13">
      <c r="E2639" s="603">
        <v>45546</v>
      </c>
      <c r="F2639" s="606">
        <v>2E-3</v>
      </c>
      <c r="G2639" s="606" t="s">
        <v>460</v>
      </c>
      <c r="H2639" s="606">
        <v>2E-3</v>
      </c>
      <c r="I2639" s="995"/>
      <c r="J2639" s="996"/>
      <c r="K2639" s="997"/>
      <c r="L2639" s="99"/>
      <c r="M2639" s="100"/>
    </row>
    <row r="2640" spans="4:13">
      <c r="E2640" s="603">
        <v>45518</v>
      </c>
      <c r="F2640" s="606">
        <v>2E-3</v>
      </c>
      <c r="G2640" s="606" t="s">
        <v>460</v>
      </c>
      <c r="H2640" s="606">
        <v>-1E-3</v>
      </c>
      <c r="I2640" s="995"/>
      <c r="J2640" s="996"/>
      <c r="K2640" s="997"/>
      <c r="L2640" s="99"/>
      <c r="M2640" s="100"/>
    </row>
    <row r="2641" spans="4:13" ht="20" thickBot="1">
      <c r="E2641" s="603">
        <v>45484</v>
      </c>
      <c r="F2641" s="606">
        <v>-1E-3</v>
      </c>
      <c r="G2641" s="606" t="s">
        <v>462</v>
      </c>
      <c r="H2641" s="606">
        <v>0</v>
      </c>
      <c r="I2641" s="998"/>
      <c r="J2641" s="999"/>
      <c r="K2641" s="1000"/>
      <c r="L2641" s="102"/>
      <c r="M2641" s="103"/>
    </row>
    <row r="2642" spans="4:13" ht="25" thickBot="1">
      <c r="D2642">
        <v>7</v>
      </c>
      <c r="E2642" s="598" t="s">
        <v>30</v>
      </c>
      <c r="F2642" s="1102" t="s">
        <v>1412</v>
      </c>
      <c r="G2642" s="1103"/>
      <c r="H2642" s="1104"/>
      <c r="I2642" s="1121" t="s">
        <v>633</v>
      </c>
      <c r="J2642" s="1122"/>
      <c r="K2642" s="1123"/>
      <c r="L2642" s="158" t="s">
        <v>430</v>
      </c>
      <c r="M2642" s="105" t="s">
        <v>431</v>
      </c>
    </row>
    <row r="2643" spans="4:13">
      <c r="E2643" s="599" t="s">
        <v>432</v>
      </c>
      <c r="F2643" s="1105"/>
      <c r="G2643" s="1106"/>
      <c r="H2643" s="1107"/>
      <c r="I2643" s="995" t="s">
        <v>1414</v>
      </c>
      <c r="J2643" s="996"/>
      <c r="K2643" s="997"/>
      <c r="L2643" s="99"/>
      <c r="M2643" s="100"/>
    </row>
    <row r="2644" spans="4:13">
      <c r="E2644" s="600" t="s">
        <v>433</v>
      </c>
      <c r="F2644" s="1124">
        <v>0</v>
      </c>
      <c r="G2644" s="1112"/>
      <c r="H2644" s="1113"/>
      <c r="I2644" s="995"/>
      <c r="J2644" s="996"/>
      <c r="K2644" s="997"/>
      <c r="L2644" s="99"/>
      <c r="M2644" s="100"/>
    </row>
    <row r="2645" spans="4:13" ht="20" thickBot="1">
      <c r="E2645" s="600" t="s">
        <v>434</v>
      </c>
      <c r="F2645" s="1111" t="s">
        <v>1413</v>
      </c>
      <c r="G2645" s="1112"/>
      <c r="H2645" s="1113"/>
      <c r="I2645" s="995"/>
      <c r="J2645" s="996"/>
      <c r="K2645" s="997"/>
      <c r="L2645" s="99"/>
      <c r="M2645" s="100"/>
    </row>
    <row r="2646" spans="4:13" ht="20" thickBot="1">
      <c r="E2646" s="601" t="s">
        <v>435</v>
      </c>
      <c r="F2646" s="1114">
        <v>0.64583333333333337</v>
      </c>
      <c r="G2646" s="1115"/>
      <c r="H2646" s="1116"/>
      <c r="I2646" s="995"/>
      <c r="J2646" s="996"/>
      <c r="K2646" s="997"/>
      <c r="L2646" s="106">
        <v>0.875</v>
      </c>
      <c r="M2646" s="107">
        <v>0.72916666666666663</v>
      </c>
    </row>
    <row r="2647" spans="4:13" ht="20" thickBot="1">
      <c r="E2647" s="602" t="s">
        <v>436</v>
      </c>
      <c r="F2647" s="252" t="s">
        <v>29</v>
      </c>
      <c r="G2647" s="252" t="s">
        <v>28</v>
      </c>
      <c r="H2647" s="253" t="s">
        <v>27</v>
      </c>
      <c r="I2647" s="995"/>
      <c r="J2647" s="996"/>
      <c r="K2647" s="997"/>
      <c r="L2647" s="99"/>
      <c r="M2647" s="100"/>
    </row>
    <row r="2648" spans="4:13">
      <c r="E2648" s="603">
        <v>45665</v>
      </c>
      <c r="F2648" s="345" t="s">
        <v>1436</v>
      </c>
      <c r="G2648" s="345" t="s">
        <v>1437</v>
      </c>
      <c r="H2648" s="345" t="s">
        <v>1391</v>
      </c>
      <c r="I2648" s="995"/>
      <c r="J2648" s="996"/>
      <c r="K2648" s="997"/>
      <c r="L2648" s="99"/>
      <c r="M2648" s="100"/>
    </row>
    <row r="2649" spans="4:13">
      <c r="E2649" s="603">
        <v>45659</v>
      </c>
      <c r="F2649" s="345" t="s">
        <v>1391</v>
      </c>
      <c r="G2649" s="345" t="s">
        <v>1392</v>
      </c>
      <c r="H2649" s="345" t="s">
        <v>1342</v>
      </c>
      <c r="I2649" s="995"/>
      <c r="J2649" s="996"/>
      <c r="K2649" s="997"/>
      <c r="L2649" s="99"/>
      <c r="M2649" s="100"/>
    </row>
    <row r="2650" spans="4:13">
      <c r="E2650" s="603">
        <v>45653</v>
      </c>
      <c r="F2650" s="345" t="s">
        <v>1342</v>
      </c>
      <c r="G2650" s="345" t="s">
        <v>1343</v>
      </c>
      <c r="H2650" s="345" t="s">
        <v>1318</v>
      </c>
      <c r="I2650" s="995"/>
      <c r="J2650" s="996"/>
      <c r="K2650" s="997"/>
      <c r="L2650" s="101"/>
      <c r="M2650" s="100"/>
    </row>
    <row r="2651" spans="4:13">
      <c r="E2651" s="603">
        <v>45644</v>
      </c>
      <c r="F2651" s="345" t="s">
        <v>1318</v>
      </c>
      <c r="G2651" s="345" t="s">
        <v>1289</v>
      </c>
      <c r="H2651" s="345" t="s">
        <v>1286</v>
      </c>
      <c r="I2651" s="995"/>
      <c r="J2651" s="996"/>
      <c r="K2651" s="997"/>
      <c r="L2651" s="99"/>
      <c r="M2651" s="100"/>
    </row>
    <row r="2652" spans="4:13">
      <c r="E2652" s="603">
        <v>45637</v>
      </c>
      <c r="F2652" s="345" t="s">
        <v>1286</v>
      </c>
      <c r="G2652" s="345" t="s">
        <v>1287</v>
      </c>
      <c r="H2652" s="345" t="s">
        <v>1288</v>
      </c>
      <c r="I2652" s="995"/>
      <c r="J2652" s="996"/>
      <c r="K2652" s="997"/>
      <c r="L2652" s="99"/>
      <c r="M2652" s="100"/>
    </row>
    <row r="2653" spans="4:13" ht="20" thickBot="1">
      <c r="E2653" s="603">
        <v>45630</v>
      </c>
      <c r="F2653" s="345" t="s">
        <v>1288</v>
      </c>
      <c r="G2653" s="345" t="s">
        <v>1289</v>
      </c>
      <c r="H2653" s="345" t="s">
        <v>1290</v>
      </c>
      <c r="I2653" s="998"/>
      <c r="J2653" s="999"/>
      <c r="K2653" s="1000"/>
      <c r="L2653" s="102"/>
      <c r="M2653" s="103"/>
    </row>
    <row r="2654" spans="4:13" ht="25" thickBot="1">
      <c r="D2654">
        <v>8</v>
      </c>
      <c r="E2654" s="598" t="s">
        <v>30</v>
      </c>
      <c r="F2654" s="1102" t="s">
        <v>1415</v>
      </c>
      <c r="G2654" s="1103"/>
      <c r="H2654" s="1104"/>
      <c r="I2654" s="1060" t="s">
        <v>633</v>
      </c>
      <c r="J2654" s="1061"/>
      <c r="K2654" s="1062"/>
      <c r="L2654" s="158" t="s">
        <v>430</v>
      </c>
      <c r="M2654" s="105" t="s">
        <v>431</v>
      </c>
    </row>
    <row r="2655" spans="4:13">
      <c r="E2655" s="599" t="s">
        <v>432</v>
      </c>
      <c r="F2655" s="1105"/>
      <c r="G2655" s="1106"/>
      <c r="H2655" s="1107"/>
      <c r="I2655" s="995" t="s">
        <v>1416</v>
      </c>
      <c r="J2655" s="996"/>
      <c r="K2655" s="997"/>
      <c r="L2655" s="99"/>
      <c r="M2655" s="100"/>
    </row>
    <row r="2656" spans="4:13">
      <c r="E2656" s="600" t="s">
        <v>433</v>
      </c>
      <c r="F2656" s="1117">
        <v>2E-3</v>
      </c>
      <c r="G2656" s="1109"/>
      <c r="H2656" s="1110"/>
      <c r="I2656" s="995"/>
      <c r="J2656" s="996"/>
      <c r="K2656" s="997"/>
      <c r="L2656" s="99"/>
      <c r="M2656" s="100"/>
    </row>
    <row r="2657" spans="4:13" ht="20" thickBot="1">
      <c r="E2657" s="600" t="s">
        <v>434</v>
      </c>
      <c r="F2657" s="1111">
        <v>-1E-3</v>
      </c>
      <c r="G2657" s="1112"/>
      <c r="H2657" s="1113"/>
      <c r="I2657" s="995"/>
      <c r="J2657" s="996"/>
      <c r="K2657" s="997"/>
      <c r="L2657" s="99"/>
      <c r="M2657" s="100"/>
    </row>
    <row r="2658" spans="4:13" ht="20" thickBot="1">
      <c r="E2658" s="601" t="s">
        <v>435</v>
      </c>
      <c r="F2658" s="1114">
        <v>0.29166666666666674</v>
      </c>
      <c r="G2658" s="1115"/>
      <c r="H2658" s="1116"/>
      <c r="I2658" s="995"/>
      <c r="J2658" s="996"/>
      <c r="K2658" s="997"/>
      <c r="L2658" s="106">
        <v>0.52083333333333337</v>
      </c>
      <c r="M2658" s="107">
        <v>0.375</v>
      </c>
    </row>
    <row r="2659" spans="4:13" ht="20" thickBot="1">
      <c r="E2659" s="602" t="s">
        <v>436</v>
      </c>
      <c r="F2659" s="252" t="s">
        <v>29</v>
      </c>
      <c r="G2659" s="252" t="s">
        <v>28</v>
      </c>
      <c r="H2659" s="253" t="s">
        <v>27</v>
      </c>
      <c r="I2659" s="995"/>
      <c r="J2659" s="996"/>
      <c r="K2659" s="997"/>
      <c r="L2659" s="99"/>
      <c r="M2659" s="100"/>
    </row>
    <row r="2660" spans="4:13">
      <c r="E2660" s="603">
        <v>45639</v>
      </c>
      <c r="F2660" s="606">
        <v>-1E-3</v>
      </c>
      <c r="G2660" s="606" t="s">
        <v>462</v>
      </c>
      <c r="H2660" s="606">
        <v>-1E-3</v>
      </c>
      <c r="I2660" s="995"/>
      <c r="J2660" s="996"/>
      <c r="K2660" s="997"/>
      <c r="L2660" s="99"/>
      <c r="M2660" s="100"/>
    </row>
    <row r="2661" spans="4:13">
      <c r="E2661" s="603">
        <v>45611</v>
      </c>
      <c r="F2661" s="606">
        <v>-1E-3</v>
      </c>
      <c r="G2661" s="606" t="s">
        <v>460</v>
      </c>
      <c r="H2661" s="606">
        <v>2E-3</v>
      </c>
      <c r="I2661" s="995"/>
      <c r="J2661" s="996"/>
      <c r="K2661" s="997"/>
      <c r="L2661" s="99"/>
      <c r="M2661" s="100"/>
    </row>
    <row r="2662" spans="4:13">
      <c r="E2662" s="603">
        <v>45576</v>
      </c>
      <c r="F2662" s="606">
        <v>2E-3</v>
      </c>
      <c r="G2662" s="606" t="s">
        <v>460</v>
      </c>
      <c r="H2662" s="606">
        <v>0</v>
      </c>
      <c r="I2662" s="995"/>
      <c r="J2662" s="996"/>
      <c r="K2662" s="997"/>
      <c r="L2662" s="101"/>
      <c r="M2662" s="100"/>
    </row>
    <row r="2663" spans="4:13">
      <c r="E2663" s="603">
        <v>45546</v>
      </c>
      <c r="F2663" s="606">
        <v>0</v>
      </c>
      <c r="G2663" s="606" t="s">
        <v>460</v>
      </c>
      <c r="H2663" s="606">
        <v>0</v>
      </c>
      <c r="I2663" s="995"/>
      <c r="J2663" s="996"/>
      <c r="K2663" s="997"/>
      <c r="L2663" s="99"/>
      <c r="M2663" s="100"/>
    </row>
    <row r="2664" spans="4:13">
      <c r="E2664" s="603">
        <v>45519</v>
      </c>
      <c r="F2664" s="606">
        <v>0</v>
      </c>
      <c r="G2664" s="606" t="s">
        <v>458</v>
      </c>
      <c r="H2664" s="606">
        <v>4.0000000000000001E-3</v>
      </c>
      <c r="I2664" s="995"/>
      <c r="J2664" s="996"/>
      <c r="K2664" s="997"/>
      <c r="L2664" s="99"/>
      <c r="M2664" s="100"/>
    </row>
    <row r="2665" spans="4:13" ht="20" thickBot="1">
      <c r="E2665" s="603">
        <v>45484</v>
      </c>
      <c r="F2665" s="606">
        <v>4.0000000000000001E-3</v>
      </c>
      <c r="G2665" s="606" t="s">
        <v>460</v>
      </c>
      <c r="H2665" s="606">
        <v>0</v>
      </c>
      <c r="I2665" s="998"/>
      <c r="J2665" s="999"/>
      <c r="K2665" s="1000"/>
      <c r="L2665" s="102"/>
      <c r="M2665" s="103"/>
    </row>
    <row r="2666" spans="4:13" ht="25" thickBot="1">
      <c r="D2666">
        <v>9</v>
      </c>
      <c r="E2666" s="598" t="s">
        <v>30</v>
      </c>
      <c r="F2666" s="1102" t="s">
        <v>1417</v>
      </c>
      <c r="G2666" s="1103"/>
      <c r="H2666" s="1104"/>
      <c r="I2666" s="1060" t="s">
        <v>633</v>
      </c>
      <c r="J2666" s="1061"/>
      <c r="K2666" s="1062"/>
      <c r="L2666" s="158" t="s">
        <v>430</v>
      </c>
      <c r="M2666" s="105" t="s">
        <v>431</v>
      </c>
    </row>
    <row r="2667" spans="4:13">
      <c r="D2667" s="89"/>
      <c r="E2667" s="599" t="s">
        <v>432</v>
      </c>
      <c r="F2667" s="1105"/>
      <c r="G2667" s="1106"/>
      <c r="H2667" s="1107"/>
      <c r="I2667" s="995" t="s">
        <v>1418</v>
      </c>
      <c r="J2667" s="996"/>
      <c r="K2667" s="997"/>
      <c r="L2667" s="99"/>
      <c r="M2667" s="100"/>
    </row>
    <row r="2668" spans="4:13">
      <c r="D2668" s="89"/>
      <c r="E2668" s="600" t="s">
        <v>433</v>
      </c>
      <c r="F2668" s="1111">
        <v>4.0000000000000001E-3</v>
      </c>
      <c r="G2668" s="1112"/>
      <c r="H2668" s="1113"/>
      <c r="I2668" s="995"/>
      <c r="J2668" s="996"/>
      <c r="K2668" s="997"/>
      <c r="L2668" s="99"/>
      <c r="M2668" s="100"/>
    </row>
    <row r="2669" spans="4:13" ht="20" thickBot="1">
      <c r="D2669" s="89"/>
      <c r="E2669" s="600" t="s">
        <v>434</v>
      </c>
      <c r="F2669" s="1111">
        <v>4.0000000000000001E-3</v>
      </c>
      <c r="G2669" s="1112"/>
      <c r="H2669" s="1113"/>
      <c r="I2669" s="995"/>
      <c r="J2669" s="996"/>
      <c r="K2669" s="997"/>
      <c r="L2669" s="99"/>
      <c r="M2669" s="100"/>
    </row>
    <row r="2670" spans="4:13" ht="20" thickBot="1">
      <c r="D2670" s="89"/>
      <c r="E2670" s="601" t="s">
        <v>435</v>
      </c>
      <c r="F2670" s="1114">
        <v>0.29166666666666674</v>
      </c>
      <c r="G2670" s="1115"/>
      <c r="H2670" s="1116"/>
      <c r="I2670" s="995"/>
      <c r="J2670" s="996"/>
      <c r="K2670" s="997"/>
      <c r="L2670" s="106">
        <v>0.52083333333333337</v>
      </c>
      <c r="M2670" s="107">
        <v>0.375</v>
      </c>
    </row>
    <row r="2671" spans="4:13" ht="20" thickBot="1">
      <c r="D2671" s="89"/>
      <c r="E2671" s="602" t="s">
        <v>436</v>
      </c>
      <c r="F2671" s="252" t="s">
        <v>29</v>
      </c>
      <c r="G2671" s="252" t="s">
        <v>28</v>
      </c>
      <c r="H2671" s="253" t="s">
        <v>27</v>
      </c>
      <c r="I2671" s="995"/>
      <c r="J2671" s="996"/>
      <c r="K2671" s="997"/>
      <c r="L2671" s="99"/>
      <c r="M2671" s="100"/>
    </row>
    <row r="2672" spans="4:13">
      <c r="D2672" s="89"/>
      <c r="E2672" s="603">
        <v>45663</v>
      </c>
      <c r="F2672" s="606">
        <v>4.0000000000000001E-3</v>
      </c>
      <c r="G2672" s="606" t="s">
        <v>467</v>
      </c>
      <c r="H2672" s="606">
        <v>-2E-3</v>
      </c>
      <c r="I2672" s="995"/>
      <c r="J2672" s="996"/>
      <c r="K2672" s="997"/>
      <c r="L2672" s="99"/>
      <c r="M2672" s="100"/>
    </row>
    <row r="2673" spans="4:13">
      <c r="D2673" s="89"/>
      <c r="E2673" s="603">
        <v>45636</v>
      </c>
      <c r="F2673" s="606">
        <v>-2E-3</v>
      </c>
      <c r="G2673" s="606" t="s">
        <v>461</v>
      </c>
      <c r="H2673" s="606">
        <v>4.0000000000000001E-3</v>
      </c>
      <c r="I2673" s="995"/>
      <c r="J2673" s="996"/>
      <c r="K2673" s="997"/>
      <c r="L2673" s="99"/>
      <c r="M2673" s="100"/>
    </row>
    <row r="2674" spans="4:13">
      <c r="D2674" s="89"/>
      <c r="E2674" s="603">
        <v>45624</v>
      </c>
      <c r="F2674" s="606">
        <v>-2E-3</v>
      </c>
      <c r="G2674" s="606" t="s">
        <v>461</v>
      </c>
      <c r="H2674" s="606">
        <v>4.0000000000000001E-3</v>
      </c>
      <c r="I2674" s="995"/>
      <c r="J2674" s="996"/>
      <c r="K2674" s="997"/>
      <c r="L2674" s="101"/>
      <c r="M2674" s="100"/>
    </row>
    <row r="2675" spans="4:13">
      <c r="D2675" s="89"/>
      <c r="E2675" s="603">
        <v>45608</v>
      </c>
      <c r="F2675" s="606">
        <v>4.0000000000000001E-3</v>
      </c>
      <c r="G2675" s="606" t="s">
        <v>452</v>
      </c>
      <c r="H2675" s="606">
        <v>0</v>
      </c>
      <c r="I2675" s="995"/>
      <c r="J2675" s="996"/>
      <c r="K2675" s="997"/>
      <c r="L2675" s="99"/>
      <c r="M2675" s="100"/>
    </row>
    <row r="2676" spans="4:13">
      <c r="D2676" s="89"/>
      <c r="E2676" s="603">
        <v>45595</v>
      </c>
      <c r="F2676" s="606">
        <v>4.0000000000000001E-3</v>
      </c>
      <c r="G2676" s="606" t="s">
        <v>460</v>
      </c>
      <c r="H2676" s="606">
        <v>0</v>
      </c>
      <c r="I2676" s="995"/>
      <c r="J2676" s="996"/>
      <c r="K2676" s="997"/>
      <c r="L2676" s="99"/>
      <c r="M2676" s="100"/>
    </row>
    <row r="2677" spans="4:13" ht="20" thickBot="1">
      <c r="D2677" s="89"/>
      <c r="E2677" s="603">
        <v>45576</v>
      </c>
      <c r="F2677" s="606">
        <v>0</v>
      </c>
      <c r="G2677" s="606" t="s">
        <v>458</v>
      </c>
      <c r="H2677" s="606">
        <v>-1E-3</v>
      </c>
      <c r="I2677" s="998"/>
      <c r="J2677" s="999"/>
      <c r="K2677" s="1000"/>
      <c r="L2677" s="102"/>
      <c r="M2677" s="103"/>
    </row>
    <row r="2678" spans="4:13" ht="25" thickBot="1">
      <c r="D2678">
        <v>10</v>
      </c>
      <c r="E2678" s="598" t="s">
        <v>30</v>
      </c>
      <c r="F2678" s="1102" t="s">
        <v>1419</v>
      </c>
      <c r="G2678" s="1103"/>
      <c r="H2678" s="1104"/>
      <c r="I2678" s="1060" t="s">
        <v>633</v>
      </c>
      <c r="J2678" s="1061"/>
      <c r="K2678" s="1062"/>
      <c r="L2678" s="158" t="s">
        <v>430</v>
      </c>
      <c r="M2678" s="105" t="s">
        <v>431</v>
      </c>
    </row>
    <row r="2679" spans="4:13">
      <c r="D2679" s="89"/>
      <c r="E2679" s="599" t="s">
        <v>432</v>
      </c>
      <c r="F2679" s="1105"/>
      <c r="G2679" s="1106"/>
      <c r="H2679" s="1107"/>
      <c r="I2679" s="995" t="s">
        <v>1420</v>
      </c>
      <c r="J2679" s="996"/>
      <c r="K2679" s="997"/>
      <c r="L2679" s="99"/>
      <c r="M2679" s="100"/>
    </row>
    <row r="2680" spans="4:13">
      <c r="D2680" s="89"/>
      <c r="E2680" s="600" t="s">
        <v>433</v>
      </c>
      <c r="F2680" s="1111">
        <v>4.0000000000000001E-3</v>
      </c>
      <c r="G2680" s="1112"/>
      <c r="H2680" s="1113"/>
      <c r="I2680" s="995"/>
      <c r="J2680" s="996"/>
      <c r="K2680" s="997"/>
      <c r="L2680" s="99"/>
      <c r="M2680" s="100"/>
    </row>
    <row r="2681" spans="4:13" ht="20" thickBot="1">
      <c r="D2681" s="89"/>
      <c r="E2681" s="600" t="s">
        <v>434</v>
      </c>
      <c r="F2681" s="1111">
        <v>2E-3</v>
      </c>
      <c r="G2681" s="1112"/>
      <c r="H2681" s="1113"/>
      <c r="I2681" s="995"/>
      <c r="J2681" s="996"/>
      <c r="K2681" s="997"/>
      <c r="L2681" s="99"/>
      <c r="M2681" s="100"/>
    </row>
    <row r="2682" spans="4:13" ht="20" thickBot="1">
      <c r="D2682" s="89"/>
      <c r="E2682" s="601" t="s">
        <v>435</v>
      </c>
      <c r="F2682" s="1114">
        <v>0.5625</v>
      </c>
      <c r="G2682" s="1115"/>
      <c r="H2682" s="1116"/>
      <c r="I2682" s="995"/>
      <c r="J2682" s="996"/>
      <c r="K2682" s="997"/>
      <c r="L2682" s="106">
        <v>0.79166666666666663</v>
      </c>
      <c r="M2682" s="107">
        <v>0.64583333333333326</v>
      </c>
    </row>
    <row r="2683" spans="4:13" ht="20" thickBot="1">
      <c r="D2683" s="89"/>
      <c r="E2683" s="602" t="s">
        <v>436</v>
      </c>
      <c r="F2683" s="252" t="s">
        <v>29</v>
      </c>
      <c r="G2683" s="252" t="s">
        <v>28</v>
      </c>
      <c r="H2683" s="253" t="s">
        <v>27</v>
      </c>
      <c r="I2683" s="995"/>
      <c r="J2683" s="996"/>
      <c r="K2683" s="997"/>
      <c r="L2683" s="99"/>
      <c r="M2683" s="100"/>
    </row>
    <row r="2684" spans="4:13">
      <c r="D2684" s="89"/>
      <c r="E2684" s="603">
        <v>45643</v>
      </c>
      <c r="F2684" s="606">
        <v>2E-3</v>
      </c>
      <c r="G2684" s="606" t="s">
        <v>452</v>
      </c>
      <c r="H2684" s="606">
        <v>2E-3</v>
      </c>
      <c r="I2684" s="995"/>
      <c r="J2684" s="996"/>
      <c r="K2684" s="997"/>
      <c r="L2684" s="99"/>
      <c r="M2684" s="100"/>
    </row>
    <row r="2685" spans="4:13">
      <c r="D2685" s="89"/>
      <c r="E2685" s="603">
        <v>45611</v>
      </c>
      <c r="F2685" s="606">
        <v>1E-3</v>
      </c>
      <c r="G2685" s="606" t="s">
        <v>467</v>
      </c>
      <c r="H2685" s="606">
        <v>0.01</v>
      </c>
      <c r="I2685" s="995"/>
      <c r="J2685" s="996"/>
      <c r="K2685" s="997"/>
      <c r="L2685" s="99"/>
      <c r="M2685" s="100"/>
    </row>
    <row r="2686" spans="4:13">
      <c r="D2686" s="89"/>
      <c r="E2686" s="603">
        <v>45582</v>
      </c>
      <c r="F2686" s="606">
        <v>5.0000000000000001E-3</v>
      </c>
      <c r="G2686" s="606" t="s">
        <v>462</v>
      </c>
      <c r="H2686" s="606">
        <v>2E-3</v>
      </c>
      <c r="I2686" s="995"/>
      <c r="J2686" s="996"/>
      <c r="K2686" s="997"/>
      <c r="L2686" s="101"/>
      <c r="M2686" s="100"/>
    </row>
    <row r="2687" spans="4:13">
      <c r="D2687" s="89"/>
      <c r="E2687" s="603">
        <v>45552</v>
      </c>
      <c r="F2687" s="606">
        <v>1E-3</v>
      </c>
      <c r="G2687" s="606" t="s">
        <v>460</v>
      </c>
      <c r="H2687" s="606">
        <v>4.0000000000000001E-3</v>
      </c>
      <c r="I2687" s="995"/>
      <c r="J2687" s="996"/>
      <c r="K2687" s="997"/>
      <c r="L2687" s="99"/>
      <c r="M2687" s="100"/>
    </row>
    <row r="2688" spans="4:13">
      <c r="D2688" s="89"/>
      <c r="E2688" s="603">
        <v>45519</v>
      </c>
      <c r="F2688" s="606">
        <v>4.0000000000000001E-3</v>
      </c>
      <c r="G2688" s="606" t="s">
        <v>462</v>
      </c>
      <c r="H2688" s="606">
        <v>5.0000000000000001E-3</v>
      </c>
      <c r="I2688" s="995"/>
      <c r="J2688" s="996"/>
      <c r="K2688" s="997"/>
      <c r="L2688" s="99"/>
      <c r="M2688" s="100"/>
    </row>
    <row r="2689" spans="4:13" ht="20" thickBot="1">
      <c r="D2689" s="89"/>
      <c r="E2689" s="603">
        <v>45489</v>
      </c>
      <c r="F2689" s="606">
        <v>4.0000000000000001E-3</v>
      </c>
      <c r="G2689" s="606" t="s">
        <v>462</v>
      </c>
      <c r="H2689" s="606">
        <v>1E-3</v>
      </c>
      <c r="I2689" s="998"/>
      <c r="J2689" s="999"/>
      <c r="K2689" s="1000"/>
      <c r="L2689" s="102"/>
      <c r="M2689" s="103"/>
    </row>
    <row r="2690" spans="4:13" ht="25" thickBot="1">
      <c r="D2690">
        <v>11</v>
      </c>
      <c r="E2690" s="598" t="s">
        <v>30</v>
      </c>
      <c r="F2690" s="1102" t="s">
        <v>1421</v>
      </c>
      <c r="G2690" s="1103"/>
      <c r="H2690" s="1104"/>
      <c r="I2690" s="1060" t="s">
        <v>633</v>
      </c>
      <c r="J2690" s="1061"/>
      <c r="K2690" s="1062"/>
      <c r="L2690" s="158" t="s">
        <v>430</v>
      </c>
      <c r="M2690" s="105" t="s">
        <v>431</v>
      </c>
    </row>
    <row r="2691" spans="4:13">
      <c r="D2691" s="89"/>
      <c r="E2691" s="599" t="s">
        <v>432</v>
      </c>
      <c r="F2691" s="1105"/>
      <c r="G2691" s="1106"/>
      <c r="H2691" s="1107"/>
      <c r="I2691" s="995" t="s">
        <v>1424</v>
      </c>
      <c r="J2691" s="996"/>
      <c r="K2691" s="997"/>
      <c r="L2691" s="99"/>
      <c r="M2691" s="100"/>
    </row>
    <row r="2692" spans="4:13">
      <c r="D2692" s="89"/>
      <c r="E2692" s="600" t="s">
        <v>433</v>
      </c>
      <c r="F2692" s="1111" t="s">
        <v>1422</v>
      </c>
      <c r="G2692" s="1112"/>
      <c r="H2692" s="1113"/>
      <c r="I2692" s="995"/>
      <c r="J2692" s="996"/>
      <c r="K2692" s="997"/>
      <c r="L2692" s="99"/>
      <c r="M2692" s="100"/>
    </row>
    <row r="2693" spans="4:13" ht="20" thickBot="1">
      <c r="D2693" s="89"/>
      <c r="E2693" s="600" t="s">
        <v>434</v>
      </c>
      <c r="F2693" s="1111" t="s">
        <v>1423</v>
      </c>
      <c r="G2693" s="1112"/>
      <c r="H2693" s="1113"/>
      <c r="I2693" s="995"/>
      <c r="J2693" s="996"/>
      <c r="K2693" s="997"/>
      <c r="L2693" s="99"/>
      <c r="M2693" s="100"/>
    </row>
    <row r="2694" spans="4:13" ht="20" thickBot="1">
      <c r="D2694" s="89"/>
      <c r="E2694" s="601" t="s">
        <v>435</v>
      </c>
      <c r="F2694" s="1114">
        <v>0.5625</v>
      </c>
      <c r="G2694" s="1115"/>
      <c r="H2694" s="1116"/>
      <c r="I2694" s="995"/>
      <c r="J2694" s="996"/>
      <c r="K2694" s="997"/>
      <c r="L2694" s="106">
        <v>0.79166666666666663</v>
      </c>
      <c r="M2694" s="107">
        <v>0.64583333333333326</v>
      </c>
    </row>
    <row r="2695" spans="4:13" ht="20" thickBot="1">
      <c r="D2695" s="89"/>
      <c r="E2695" s="602" t="s">
        <v>436</v>
      </c>
      <c r="F2695" s="252" t="s">
        <v>29</v>
      </c>
      <c r="G2695" s="252" t="s">
        <v>28</v>
      </c>
      <c r="H2695" s="253" t="s">
        <v>27</v>
      </c>
      <c r="I2695" s="995"/>
      <c r="J2695" s="996"/>
      <c r="K2695" s="997"/>
      <c r="L2695" s="99"/>
      <c r="M2695" s="100"/>
    </row>
    <row r="2696" spans="4:13">
      <c r="D2696" s="89"/>
      <c r="E2696" s="603">
        <v>45665</v>
      </c>
      <c r="F2696" s="606" t="s">
        <v>1438</v>
      </c>
      <c r="G2696" s="606" t="s">
        <v>1439</v>
      </c>
      <c r="H2696" s="606" t="s">
        <v>1440</v>
      </c>
      <c r="I2696" s="995"/>
      <c r="J2696" s="996"/>
      <c r="K2696" s="997"/>
      <c r="L2696" s="99"/>
      <c r="M2696" s="100"/>
    </row>
    <row r="2697" spans="4:13">
      <c r="D2697" s="89"/>
      <c r="E2697" s="603">
        <v>45659</v>
      </c>
      <c r="F2697" s="606" t="s">
        <v>1440</v>
      </c>
      <c r="G2697" s="606" t="s">
        <v>986</v>
      </c>
      <c r="H2697" s="606" t="s">
        <v>1112</v>
      </c>
      <c r="I2697" s="995"/>
      <c r="J2697" s="996"/>
      <c r="K2697" s="997"/>
      <c r="L2697" s="99"/>
      <c r="M2697" s="100"/>
    </row>
    <row r="2698" spans="4:13">
      <c r="D2698" s="89"/>
      <c r="E2698" s="603">
        <v>45652</v>
      </c>
      <c r="F2698" s="606" t="s">
        <v>987</v>
      </c>
      <c r="G2698" s="606" t="s">
        <v>973</v>
      </c>
      <c r="H2698" s="606" t="s">
        <v>1112</v>
      </c>
      <c r="I2698" s="995"/>
      <c r="J2698" s="996"/>
      <c r="K2698" s="997"/>
      <c r="L2698" s="101"/>
      <c r="M2698" s="100"/>
    </row>
    <row r="2699" spans="4:13">
      <c r="D2699" s="89"/>
      <c r="E2699" s="603">
        <v>45645</v>
      </c>
      <c r="F2699" s="606" t="s">
        <v>1112</v>
      </c>
      <c r="G2699" s="606" t="s">
        <v>976</v>
      </c>
      <c r="H2699" s="606" t="s">
        <v>980</v>
      </c>
      <c r="I2699" s="995"/>
      <c r="J2699" s="996"/>
      <c r="K2699" s="997"/>
      <c r="L2699" s="99"/>
      <c r="M2699" s="100"/>
    </row>
    <row r="2700" spans="4:13">
      <c r="D2700" s="89"/>
      <c r="E2700" s="603">
        <v>45638</v>
      </c>
      <c r="F2700" s="606" t="s">
        <v>980</v>
      </c>
      <c r="G2700" s="606" t="s">
        <v>972</v>
      </c>
      <c r="H2700" s="606" t="s">
        <v>985</v>
      </c>
      <c r="I2700" s="995"/>
      <c r="J2700" s="996"/>
      <c r="K2700" s="997"/>
      <c r="L2700" s="99"/>
      <c r="M2700" s="100"/>
    </row>
    <row r="2701" spans="4:13" ht="20" thickBot="1">
      <c r="D2701" s="89"/>
      <c r="E2701" s="603">
        <v>45631</v>
      </c>
      <c r="F2701" s="606" t="s">
        <v>1032</v>
      </c>
      <c r="G2701" s="606" t="s">
        <v>1232</v>
      </c>
      <c r="H2701" s="606" t="s">
        <v>1232</v>
      </c>
      <c r="I2701" s="998"/>
      <c r="J2701" s="999"/>
      <c r="K2701" s="1000"/>
      <c r="L2701" s="102"/>
      <c r="M2701" s="103"/>
    </row>
    <row r="2702" spans="4:13" ht="25" thickBot="1">
      <c r="D2702">
        <v>11</v>
      </c>
      <c r="E2702" s="598" t="s">
        <v>30</v>
      </c>
      <c r="F2702" s="1102" t="s">
        <v>1425</v>
      </c>
      <c r="G2702" s="1103"/>
      <c r="H2702" s="1104"/>
      <c r="I2702" s="1060" t="s">
        <v>633</v>
      </c>
      <c r="J2702" s="1061"/>
      <c r="K2702" s="1062"/>
      <c r="L2702" s="158" t="s">
        <v>430</v>
      </c>
      <c r="M2702" s="105" t="s">
        <v>431</v>
      </c>
    </row>
    <row r="2703" spans="4:13">
      <c r="D2703" s="89"/>
      <c r="E2703" s="599" t="s">
        <v>432</v>
      </c>
      <c r="F2703" s="1105"/>
      <c r="G2703" s="1106"/>
      <c r="H2703" s="1107"/>
      <c r="I2703" s="995" t="s">
        <v>1428</v>
      </c>
      <c r="J2703" s="996"/>
      <c r="K2703" s="997"/>
      <c r="L2703" s="99"/>
      <c r="M2703" s="100"/>
    </row>
    <row r="2704" spans="4:13">
      <c r="D2704" s="89"/>
      <c r="E2704" s="600" t="s">
        <v>433</v>
      </c>
      <c r="F2704" s="1117" t="s">
        <v>1426</v>
      </c>
      <c r="G2704" s="1109"/>
      <c r="H2704" s="1110"/>
      <c r="I2704" s="995"/>
      <c r="J2704" s="996"/>
      <c r="K2704" s="997"/>
      <c r="L2704" s="99"/>
      <c r="M2704" s="100"/>
    </row>
    <row r="2705" spans="4:13" ht="20" thickBot="1">
      <c r="D2705" s="89"/>
      <c r="E2705" s="600" t="s">
        <v>434</v>
      </c>
      <c r="F2705" s="1117" t="s">
        <v>1427</v>
      </c>
      <c r="G2705" s="1109"/>
      <c r="H2705" s="1110"/>
      <c r="I2705" s="995"/>
      <c r="J2705" s="996"/>
      <c r="K2705" s="997"/>
      <c r="L2705" s="99"/>
      <c r="M2705" s="100"/>
    </row>
    <row r="2706" spans="4:13" ht="20" thickBot="1">
      <c r="D2706" s="89"/>
      <c r="E2706" s="601" t="s">
        <v>435</v>
      </c>
      <c r="F2706" s="1114">
        <v>0.5625</v>
      </c>
      <c r="G2706" s="1115"/>
      <c r="H2706" s="1116"/>
      <c r="I2706" s="995"/>
      <c r="J2706" s="996"/>
      <c r="K2706" s="997"/>
      <c r="L2706" s="106">
        <v>0.79166666666666663</v>
      </c>
      <c r="M2706" s="556">
        <v>0.875</v>
      </c>
    </row>
    <row r="2707" spans="4:13" ht="20" thickBot="1">
      <c r="D2707" s="89"/>
      <c r="E2707" s="602" t="s">
        <v>436</v>
      </c>
      <c r="F2707" s="252" t="s">
        <v>29</v>
      </c>
      <c r="G2707" s="252" t="s">
        <v>28</v>
      </c>
      <c r="H2707" s="253" t="s">
        <v>27</v>
      </c>
      <c r="I2707" s="995"/>
      <c r="J2707" s="996"/>
      <c r="K2707" s="997"/>
      <c r="L2707" s="99"/>
      <c r="M2707" s="100"/>
    </row>
    <row r="2708" spans="4:13">
      <c r="D2708" s="89"/>
      <c r="E2708" s="603">
        <v>45645</v>
      </c>
      <c r="F2708" s="621">
        <v>-16.399999999999999</v>
      </c>
      <c r="G2708" s="621" t="s">
        <v>1441</v>
      </c>
      <c r="H2708" s="621">
        <v>-5.5</v>
      </c>
      <c r="I2708" s="995"/>
      <c r="J2708" s="996"/>
      <c r="K2708" s="997"/>
      <c r="L2708" s="99"/>
      <c r="M2708" s="100"/>
    </row>
    <row r="2709" spans="4:13">
      <c r="D2709" s="89"/>
      <c r="E2709" s="603">
        <v>45617</v>
      </c>
      <c r="F2709" s="621">
        <v>-5.5</v>
      </c>
      <c r="G2709" s="621" t="s">
        <v>1292</v>
      </c>
      <c r="H2709" s="621">
        <v>10.3</v>
      </c>
      <c r="I2709" s="995"/>
      <c r="J2709" s="996"/>
      <c r="K2709" s="997"/>
      <c r="L2709" s="99"/>
      <c r="M2709" s="100"/>
    </row>
    <row r="2710" spans="4:13">
      <c r="D2710" s="89"/>
      <c r="E2710" s="603">
        <v>45582</v>
      </c>
      <c r="F2710" s="621">
        <v>10.3</v>
      </c>
      <c r="G2710" s="621" t="s">
        <v>1033</v>
      </c>
      <c r="H2710" s="621">
        <v>1.7</v>
      </c>
      <c r="I2710" s="995"/>
      <c r="J2710" s="996"/>
      <c r="K2710" s="997"/>
      <c r="L2710" s="101"/>
      <c r="M2710" s="100"/>
    </row>
    <row r="2711" spans="4:13">
      <c r="D2711" s="89"/>
      <c r="E2711" s="603">
        <v>45554</v>
      </c>
      <c r="F2711" s="621">
        <v>1.7</v>
      </c>
      <c r="G2711" s="621" t="s">
        <v>1034</v>
      </c>
      <c r="H2711" s="621">
        <v>-7</v>
      </c>
      <c r="I2711" s="995"/>
      <c r="J2711" s="996"/>
      <c r="K2711" s="997"/>
      <c r="L2711" s="99"/>
      <c r="M2711" s="100"/>
    </row>
    <row r="2712" spans="4:13">
      <c r="D2712" s="89"/>
      <c r="E2712" s="603">
        <v>45519</v>
      </c>
      <c r="F2712" s="621">
        <v>-7</v>
      </c>
      <c r="G2712" s="621" t="s">
        <v>1035</v>
      </c>
      <c r="H2712" s="621">
        <v>13.9</v>
      </c>
      <c r="I2712" s="995"/>
      <c r="J2712" s="996"/>
      <c r="K2712" s="997"/>
      <c r="L2712" s="99"/>
      <c r="M2712" s="100"/>
    </row>
    <row r="2713" spans="4:13" ht="20" thickBot="1">
      <c r="D2713" s="89"/>
      <c r="E2713" s="603">
        <v>45491</v>
      </c>
      <c r="F2713" s="621">
        <v>13.9</v>
      </c>
      <c r="G2713" s="621" t="s">
        <v>1036</v>
      </c>
      <c r="H2713" s="621">
        <v>1.3</v>
      </c>
      <c r="I2713" s="998"/>
      <c r="J2713" s="999"/>
      <c r="K2713" s="1000"/>
      <c r="L2713" s="102"/>
      <c r="M2713" s="103"/>
    </row>
    <row r="2714" spans="4:13" ht="25" thickBot="1">
      <c r="D2714">
        <v>12</v>
      </c>
      <c r="E2714" s="598" t="s">
        <v>30</v>
      </c>
      <c r="F2714" s="1102" t="s">
        <v>1429</v>
      </c>
      <c r="G2714" s="1103"/>
      <c r="H2714" s="1104"/>
      <c r="I2714" s="1060" t="s">
        <v>633</v>
      </c>
      <c r="J2714" s="1061"/>
      <c r="K2714" s="1062"/>
      <c r="L2714" s="158" t="s">
        <v>430</v>
      </c>
      <c r="M2714" s="105" t="s">
        <v>431</v>
      </c>
    </row>
    <row r="2715" spans="4:13">
      <c r="D2715" s="89"/>
      <c r="E2715" s="599" t="s">
        <v>432</v>
      </c>
      <c r="F2715" s="1105"/>
      <c r="G2715" s="1106"/>
      <c r="H2715" s="1107"/>
      <c r="I2715" s="995" t="s">
        <v>1430</v>
      </c>
      <c r="J2715" s="996"/>
      <c r="K2715" s="997"/>
      <c r="L2715" s="99"/>
      <c r="M2715" s="100"/>
    </row>
    <row r="2716" spans="4:13">
      <c r="D2716" s="89"/>
      <c r="E2716" s="600" t="s">
        <v>433</v>
      </c>
      <c r="F2716" s="1111">
        <v>5.0000000000000001E-3</v>
      </c>
      <c r="G2716" s="1112"/>
      <c r="H2716" s="1113"/>
      <c r="I2716" s="995"/>
      <c r="J2716" s="996"/>
      <c r="K2716" s="997"/>
      <c r="L2716" s="99"/>
      <c r="M2716" s="100"/>
    </row>
    <row r="2717" spans="4:13" ht="20" thickBot="1">
      <c r="D2717" s="89"/>
      <c r="E2717" s="600" t="s">
        <v>434</v>
      </c>
      <c r="F2717" s="1111">
        <v>7.0000000000000001E-3</v>
      </c>
      <c r="G2717" s="1112"/>
      <c r="H2717" s="1113"/>
      <c r="I2717" s="995"/>
      <c r="J2717" s="996"/>
      <c r="K2717" s="997"/>
      <c r="L2717" s="99"/>
      <c r="M2717" s="100"/>
    </row>
    <row r="2718" spans="4:13" ht="20" thickBot="1">
      <c r="D2718" s="89"/>
      <c r="E2718" s="601" t="s">
        <v>435</v>
      </c>
      <c r="F2718" s="1114">
        <v>0.5625</v>
      </c>
      <c r="G2718" s="1115"/>
      <c r="H2718" s="1116"/>
      <c r="I2718" s="995"/>
      <c r="J2718" s="996"/>
      <c r="K2718" s="997"/>
      <c r="L2718" s="106">
        <v>0.79166666666666663</v>
      </c>
      <c r="M2718" s="107">
        <v>0.64583333333333326</v>
      </c>
    </row>
    <row r="2719" spans="4:13" ht="20" thickBot="1">
      <c r="D2719" s="89"/>
      <c r="E2719" s="602" t="s">
        <v>436</v>
      </c>
      <c r="F2719" s="252" t="s">
        <v>29</v>
      </c>
      <c r="G2719" s="252" t="s">
        <v>28</v>
      </c>
      <c r="H2719" s="253" t="s">
        <v>27</v>
      </c>
      <c r="I2719" s="995"/>
      <c r="J2719" s="996"/>
      <c r="K2719" s="997"/>
      <c r="L2719" s="99"/>
      <c r="M2719" s="100"/>
    </row>
    <row r="2720" spans="4:13">
      <c r="D2720" s="89"/>
      <c r="E2720" s="603">
        <v>45643</v>
      </c>
      <c r="F2720" s="606">
        <v>7.0000000000000001E-3</v>
      </c>
      <c r="G2720" s="606" t="s">
        <v>449</v>
      </c>
      <c r="H2720" s="606">
        <v>5.0000000000000001E-3</v>
      </c>
      <c r="I2720" s="995"/>
      <c r="J2720" s="996"/>
      <c r="K2720" s="997"/>
      <c r="L2720" s="99"/>
      <c r="M2720" s="100"/>
    </row>
    <row r="2721" spans="4:13">
      <c r="D2721" s="89"/>
      <c r="E2721" s="603">
        <v>45611</v>
      </c>
      <c r="F2721" s="606">
        <v>4.0000000000000001E-3</v>
      </c>
      <c r="G2721" s="606" t="s">
        <v>467</v>
      </c>
      <c r="H2721" s="606">
        <v>8.0000000000000002E-3</v>
      </c>
      <c r="I2721" s="995"/>
      <c r="J2721" s="996"/>
      <c r="K2721" s="997"/>
      <c r="L2721" s="99"/>
      <c r="M2721" s="100"/>
    </row>
    <row r="2722" spans="4:13">
      <c r="D2722" s="89"/>
      <c r="E2722" s="603">
        <v>45582</v>
      </c>
      <c r="F2722" s="606">
        <v>4.0000000000000001E-3</v>
      </c>
      <c r="G2722" s="606" t="s">
        <v>467</v>
      </c>
      <c r="H2722" s="606">
        <v>1E-3</v>
      </c>
      <c r="I2722" s="995"/>
      <c r="J2722" s="996"/>
      <c r="K2722" s="997"/>
      <c r="L2722" s="101"/>
      <c r="M2722" s="100"/>
    </row>
    <row r="2723" spans="4:13">
      <c r="D2723" s="89"/>
      <c r="E2723" s="603">
        <v>45552</v>
      </c>
      <c r="F2723" s="606">
        <v>1E-3</v>
      </c>
      <c r="G2723" s="606" t="s">
        <v>461</v>
      </c>
      <c r="H2723" s="606">
        <v>1.0999999999999999E-2</v>
      </c>
      <c r="I2723" s="995"/>
      <c r="J2723" s="996"/>
      <c r="K2723" s="997"/>
      <c r="L2723" s="99"/>
      <c r="M2723" s="100"/>
    </row>
    <row r="2724" spans="4:13">
      <c r="D2724" s="89"/>
      <c r="E2724" s="603">
        <v>45519</v>
      </c>
      <c r="F2724" s="606">
        <v>0.01</v>
      </c>
      <c r="G2724" s="606" t="s">
        <v>452</v>
      </c>
      <c r="H2724" s="606">
        <v>-2E-3</v>
      </c>
      <c r="I2724" s="995"/>
      <c r="J2724" s="996"/>
      <c r="K2724" s="997"/>
      <c r="L2724" s="99"/>
      <c r="M2724" s="100"/>
    </row>
    <row r="2725" spans="4:13" ht="20" thickBot="1">
      <c r="D2725" s="89"/>
      <c r="E2725" s="603">
        <v>45489</v>
      </c>
      <c r="F2725" s="606">
        <v>0</v>
      </c>
      <c r="G2725" s="606" t="s">
        <v>454</v>
      </c>
      <c r="H2725" s="606">
        <v>3.0000000000000001E-3</v>
      </c>
      <c r="I2725" s="998"/>
      <c r="J2725" s="999"/>
      <c r="K2725" s="1000"/>
      <c r="L2725" s="102"/>
      <c r="M2725" s="103"/>
    </row>
    <row r="2726" spans="4:13" ht="25" thickBot="1">
      <c r="D2726">
        <v>13</v>
      </c>
      <c r="E2726" s="598" t="s">
        <v>30</v>
      </c>
      <c r="F2726" s="1102" t="s">
        <v>1431</v>
      </c>
      <c r="G2726" s="1103"/>
      <c r="H2726" s="1104"/>
      <c r="I2726" s="1060" t="s">
        <v>633</v>
      </c>
      <c r="J2726" s="1061"/>
      <c r="K2726" s="1062"/>
      <c r="L2726" s="158" t="s">
        <v>430</v>
      </c>
      <c r="M2726" s="105" t="s">
        <v>431</v>
      </c>
    </row>
    <row r="2727" spans="4:13">
      <c r="D2727" s="89"/>
      <c r="E2727" s="599" t="s">
        <v>432</v>
      </c>
      <c r="F2727" s="1105"/>
      <c r="G2727" s="1106"/>
      <c r="H2727" s="1107"/>
      <c r="I2727" s="995" t="s">
        <v>1432</v>
      </c>
      <c r="J2727" s="996"/>
      <c r="K2727" s="997"/>
      <c r="L2727" s="99"/>
      <c r="M2727" s="100"/>
    </row>
    <row r="2728" spans="4:13">
      <c r="D2728" s="89"/>
      <c r="E2728" s="600" t="s">
        <v>433</v>
      </c>
      <c r="F2728" s="1118">
        <v>5.0999999999999997E-2</v>
      </c>
      <c r="G2728" s="1119"/>
      <c r="H2728" s="1120"/>
      <c r="I2728" s="995"/>
      <c r="J2728" s="996"/>
      <c r="K2728" s="997"/>
      <c r="L2728" s="99"/>
      <c r="M2728" s="100"/>
    </row>
    <row r="2729" spans="4:13" ht="20" thickBot="1">
      <c r="D2729" s="89"/>
      <c r="E2729" s="600" t="s">
        <v>434</v>
      </c>
      <c r="F2729" s="1118">
        <v>4.5999999999999999E-2</v>
      </c>
      <c r="G2729" s="1119"/>
      <c r="H2729" s="1120"/>
      <c r="I2729" s="995"/>
      <c r="J2729" s="996"/>
      <c r="K2729" s="997"/>
      <c r="L2729" s="99"/>
      <c r="M2729" s="100"/>
    </row>
    <row r="2730" spans="4:13" ht="20" thickBot="1">
      <c r="D2730" s="89"/>
      <c r="E2730" s="601" t="s">
        <v>435</v>
      </c>
      <c r="F2730" s="1114">
        <v>8.3333333333333343E-2</v>
      </c>
      <c r="G2730" s="1115"/>
      <c r="H2730" s="1116"/>
      <c r="I2730" s="995"/>
      <c r="J2730" s="996"/>
      <c r="K2730" s="997"/>
      <c r="L2730" s="106">
        <v>0.3125</v>
      </c>
      <c r="M2730" s="107">
        <v>0.16666666666666666</v>
      </c>
    </row>
    <row r="2731" spans="4:13" ht="20" thickBot="1">
      <c r="D2731" s="89"/>
      <c r="E2731" s="602" t="s">
        <v>436</v>
      </c>
      <c r="F2731" s="252" t="s">
        <v>29</v>
      </c>
      <c r="G2731" s="252" t="s">
        <v>28</v>
      </c>
      <c r="H2731" s="253" t="s">
        <v>27</v>
      </c>
      <c r="I2731" s="995"/>
      <c r="J2731" s="996"/>
      <c r="K2731" s="997"/>
      <c r="L2731" s="99"/>
      <c r="M2731" s="100"/>
    </row>
    <row r="2732" spans="4:13">
      <c r="D2732" s="89"/>
      <c r="E2732" s="603">
        <v>45583</v>
      </c>
      <c r="F2732" s="606">
        <v>4.5999999999999999E-2</v>
      </c>
      <c r="G2732" s="606" t="s">
        <v>1442</v>
      </c>
      <c r="H2732" s="606">
        <v>4.7E-2</v>
      </c>
      <c r="I2732" s="995"/>
      <c r="J2732" s="996"/>
      <c r="K2732" s="997"/>
      <c r="L2732" s="99"/>
      <c r="M2732" s="100"/>
    </row>
    <row r="2733" spans="4:13">
      <c r="D2733" s="89"/>
      <c r="E2733" s="603">
        <v>45488</v>
      </c>
      <c r="F2733" s="606">
        <v>4.7E-2</v>
      </c>
      <c r="G2733" s="606" t="s">
        <v>1443</v>
      </c>
      <c r="H2733" s="606">
        <v>5.2999999999999999E-2</v>
      </c>
      <c r="I2733" s="995"/>
      <c r="J2733" s="996"/>
      <c r="K2733" s="997"/>
      <c r="L2733" s="99"/>
      <c r="M2733" s="100"/>
    </row>
    <row r="2734" spans="4:13">
      <c r="D2734" s="89"/>
      <c r="E2734" s="603">
        <v>45398</v>
      </c>
      <c r="F2734" s="606">
        <v>5.2999999999999999E-2</v>
      </c>
      <c r="G2734" s="606" t="s">
        <v>1444</v>
      </c>
      <c r="H2734" s="606">
        <v>5.1999999999999998E-2</v>
      </c>
      <c r="I2734" s="995"/>
      <c r="J2734" s="996"/>
      <c r="K2734" s="997"/>
      <c r="L2734" s="101"/>
      <c r="M2734" s="100"/>
    </row>
    <row r="2735" spans="4:13">
      <c r="D2735" s="89"/>
      <c r="E2735" s="603">
        <v>45308</v>
      </c>
      <c r="F2735" s="606">
        <v>5.1999999999999998E-2</v>
      </c>
      <c r="G2735" s="606" t="s">
        <v>884</v>
      </c>
      <c r="H2735" s="606">
        <v>4.9000000000000002E-2</v>
      </c>
      <c r="I2735" s="995"/>
      <c r="J2735" s="996"/>
      <c r="K2735" s="997"/>
      <c r="L2735" s="99"/>
      <c r="M2735" s="100"/>
    </row>
    <row r="2736" spans="4:13">
      <c r="D2736" s="89"/>
      <c r="E2736" s="603">
        <v>45217</v>
      </c>
      <c r="F2736" s="606">
        <v>4.9000000000000002E-2</v>
      </c>
      <c r="G2736" s="606" t="s">
        <v>1445</v>
      </c>
      <c r="H2736" s="606">
        <v>6.3E-2</v>
      </c>
      <c r="I2736" s="995"/>
      <c r="J2736" s="996"/>
      <c r="K2736" s="997"/>
      <c r="L2736" s="99"/>
      <c r="M2736" s="100"/>
    </row>
    <row r="2737" spans="4:13" ht="20" thickBot="1">
      <c r="D2737" s="89"/>
      <c r="E2737" s="603">
        <v>45124</v>
      </c>
      <c r="F2737" s="606">
        <v>6.3E-2</v>
      </c>
      <c r="G2737" s="606" t="s">
        <v>1446</v>
      </c>
      <c r="H2737" s="606">
        <v>4.4999999999999998E-2</v>
      </c>
      <c r="I2737" s="998"/>
      <c r="J2737" s="999"/>
      <c r="K2737" s="1000"/>
      <c r="L2737" s="102"/>
      <c r="M2737" s="103"/>
    </row>
    <row r="2738" spans="4:13" ht="25" thickBot="1">
      <c r="D2738">
        <v>10</v>
      </c>
      <c r="E2738" s="598" t="s">
        <v>30</v>
      </c>
      <c r="F2738" s="1102" t="s">
        <v>1433</v>
      </c>
      <c r="G2738" s="1103"/>
      <c r="H2738" s="1104"/>
      <c r="I2738" s="1060" t="s">
        <v>633</v>
      </c>
      <c r="J2738" s="1061"/>
      <c r="K2738" s="1062"/>
      <c r="L2738" s="158" t="s">
        <v>430</v>
      </c>
      <c r="M2738" s="105" t="s">
        <v>431</v>
      </c>
    </row>
    <row r="2739" spans="4:13">
      <c r="D2739" s="89"/>
      <c r="E2739" s="599" t="s">
        <v>432</v>
      </c>
      <c r="F2739" s="1105"/>
      <c r="G2739" s="1106"/>
      <c r="H2739" s="1107"/>
      <c r="I2739" s="995" t="s">
        <v>1434</v>
      </c>
      <c r="J2739" s="996"/>
      <c r="K2739" s="997"/>
      <c r="L2739" s="99"/>
      <c r="M2739" s="100"/>
    </row>
    <row r="2740" spans="4:13">
      <c r="D2740" s="89"/>
      <c r="E2740" s="600" t="s">
        <v>433</v>
      </c>
      <c r="F2740" s="1108">
        <v>2.4E-2</v>
      </c>
      <c r="G2740" s="1109"/>
      <c r="H2740" s="1110"/>
      <c r="I2740" s="995"/>
      <c r="J2740" s="996"/>
      <c r="K2740" s="997"/>
      <c r="L2740" s="99"/>
      <c r="M2740" s="100"/>
    </row>
    <row r="2741" spans="4:13" ht="20" thickBot="1">
      <c r="D2741" s="89"/>
      <c r="E2741" s="600" t="s">
        <v>434</v>
      </c>
      <c r="F2741" s="1111">
        <v>2.4E-2</v>
      </c>
      <c r="G2741" s="1112"/>
      <c r="H2741" s="1113"/>
      <c r="I2741" s="995"/>
      <c r="J2741" s="996"/>
      <c r="K2741" s="997"/>
      <c r="L2741" s="99"/>
      <c r="M2741" s="100"/>
    </row>
    <row r="2742" spans="4:13" ht="20" thickBot="1">
      <c r="D2742" s="89"/>
      <c r="E2742" s="601" t="s">
        <v>435</v>
      </c>
      <c r="F2742" s="1114">
        <v>0.41666666666666674</v>
      </c>
      <c r="G2742" s="1115"/>
      <c r="H2742" s="1116"/>
      <c r="I2742" s="995"/>
      <c r="J2742" s="996"/>
      <c r="K2742" s="997"/>
      <c r="L2742" s="106">
        <v>0.64583333333333337</v>
      </c>
      <c r="M2742" s="107">
        <v>0.5</v>
      </c>
    </row>
    <row r="2743" spans="4:13" ht="20" thickBot="1">
      <c r="D2743" s="89"/>
      <c r="E2743" s="602" t="s">
        <v>436</v>
      </c>
      <c r="F2743" s="252" t="s">
        <v>29</v>
      </c>
      <c r="G2743" s="252" t="s">
        <v>28</v>
      </c>
      <c r="H2743" s="253" t="s">
        <v>27</v>
      </c>
      <c r="I2743" s="995"/>
      <c r="J2743" s="996"/>
      <c r="K2743" s="997"/>
      <c r="L2743" s="99"/>
      <c r="M2743" s="100"/>
    </row>
    <row r="2744" spans="4:13">
      <c r="D2744" s="89"/>
      <c r="E2744" s="603">
        <v>45664</v>
      </c>
      <c r="F2744" s="341">
        <v>2.4E-2</v>
      </c>
      <c r="G2744" s="341" t="s">
        <v>1447</v>
      </c>
      <c r="H2744" s="341">
        <v>2.1999999999999999E-2</v>
      </c>
      <c r="I2744" s="995"/>
      <c r="J2744" s="996"/>
      <c r="K2744" s="997"/>
      <c r="L2744" s="99"/>
      <c r="M2744" s="100"/>
    </row>
    <row r="2745" spans="4:13">
      <c r="D2745" s="89"/>
      <c r="E2745" s="603">
        <v>45644</v>
      </c>
      <c r="F2745" s="341">
        <v>2.1999999999999999E-2</v>
      </c>
      <c r="G2745" s="341" t="s">
        <v>971</v>
      </c>
      <c r="H2745" s="341">
        <v>0.02</v>
      </c>
      <c r="I2745" s="995"/>
      <c r="J2745" s="996"/>
      <c r="K2745" s="997"/>
      <c r="L2745" s="99"/>
      <c r="M2745" s="100"/>
    </row>
    <row r="2746" spans="4:13">
      <c r="D2746" s="89"/>
      <c r="E2746" s="603">
        <v>45625</v>
      </c>
      <c r="F2746" s="341">
        <v>2.3E-2</v>
      </c>
      <c r="G2746" s="341" t="s">
        <v>971</v>
      </c>
      <c r="H2746" s="341">
        <v>0.02</v>
      </c>
      <c r="I2746" s="995"/>
      <c r="J2746" s="996"/>
      <c r="K2746" s="997"/>
      <c r="L2746" s="101"/>
      <c r="M2746" s="100"/>
    </row>
    <row r="2747" spans="4:13">
      <c r="D2747" s="89"/>
      <c r="E2747" s="603">
        <v>45615</v>
      </c>
      <c r="F2747" s="341">
        <v>0.02</v>
      </c>
      <c r="G2747" s="341" t="s">
        <v>788</v>
      </c>
      <c r="H2747" s="341">
        <v>0.02</v>
      </c>
      <c r="I2747" s="995"/>
      <c r="J2747" s="996"/>
      <c r="K2747" s="997"/>
      <c r="L2747" s="99"/>
      <c r="M2747" s="100"/>
    </row>
    <row r="2748" spans="4:13">
      <c r="D2748" s="89"/>
      <c r="E2748" s="603">
        <v>45596</v>
      </c>
      <c r="F2748" s="341">
        <v>0.02</v>
      </c>
      <c r="G2748" s="341" t="s">
        <v>789</v>
      </c>
      <c r="H2748" s="341">
        <v>1.7000000000000001E-2</v>
      </c>
      <c r="I2748" s="995"/>
      <c r="J2748" s="996"/>
      <c r="K2748" s="997"/>
      <c r="L2748" s="99"/>
      <c r="M2748" s="100"/>
    </row>
    <row r="2749" spans="4:13" ht="20" thickBot="1">
      <c r="D2749" s="89"/>
      <c r="E2749" s="603">
        <v>45582</v>
      </c>
      <c r="F2749" s="341">
        <v>1.7000000000000001E-2</v>
      </c>
      <c r="G2749" s="341" t="s">
        <v>895</v>
      </c>
      <c r="H2749" s="341">
        <v>2.1999999999999999E-2</v>
      </c>
      <c r="I2749" s="998"/>
      <c r="J2749" s="999"/>
      <c r="K2749" s="1000"/>
      <c r="L2749" s="102"/>
      <c r="M2749" s="103"/>
    </row>
    <row r="2750" spans="4:13" ht="25" thickBot="1">
      <c r="D2750">
        <v>2</v>
      </c>
      <c r="E2750" s="624" t="s">
        <v>30</v>
      </c>
      <c r="F2750" s="1057" t="s">
        <v>1477</v>
      </c>
      <c r="G2750" s="1058"/>
      <c r="H2750" s="1059"/>
      <c r="I2750" s="1060" t="s">
        <v>633</v>
      </c>
      <c r="J2750" s="1061"/>
      <c r="K2750" s="1062"/>
      <c r="L2750" s="158" t="s">
        <v>430</v>
      </c>
      <c r="M2750" s="105" t="s">
        <v>431</v>
      </c>
    </row>
    <row r="2751" spans="4:13" ht="24">
      <c r="E2751" s="625" t="s">
        <v>432</v>
      </c>
      <c r="F2751" s="992"/>
      <c r="G2751" s="993"/>
      <c r="H2751" s="994"/>
      <c r="I2751" s="995" t="s">
        <v>1478</v>
      </c>
      <c r="J2751" s="996"/>
      <c r="K2751" s="997"/>
      <c r="L2751" s="99"/>
      <c r="M2751" s="100"/>
    </row>
    <row r="2752" spans="4:13" ht="24">
      <c r="E2752" s="626" t="s">
        <v>433</v>
      </c>
      <c r="F2752" s="1075">
        <v>50.1</v>
      </c>
      <c r="G2752" s="1073"/>
      <c r="H2752" s="1074"/>
      <c r="I2752" s="995"/>
      <c r="J2752" s="996"/>
      <c r="K2752" s="997"/>
      <c r="L2752" s="99"/>
      <c r="M2752" s="100"/>
    </row>
    <row r="2753" spans="4:13" ht="25" thickBot="1">
      <c r="E2753" s="626" t="s">
        <v>434</v>
      </c>
      <c r="F2753" s="1075">
        <v>50.1</v>
      </c>
      <c r="G2753" s="1073"/>
      <c r="H2753" s="1074"/>
      <c r="I2753" s="995"/>
      <c r="J2753" s="996"/>
      <c r="K2753" s="997"/>
      <c r="L2753" s="99"/>
      <c r="M2753" s="100"/>
    </row>
    <row r="2754" spans="4:13" ht="25" thickBot="1">
      <c r="E2754" s="627" t="s">
        <v>435</v>
      </c>
      <c r="F2754" s="1007">
        <v>6.2500000000000028E-2</v>
      </c>
      <c r="G2754" s="1008"/>
      <c r="H2754" s="1009"/>
      <c r="I2754" s="995"/>
      <c r="J2754" s="996"/>
      <c r="K2754" s="997"/>
      <c r="L2754" s="106">
        <v>0.29166666666666669</v>
      </c>
      <c r="M2754" s="107">
        <v>0.14583333333333334</v>
      </c>
    </row>
    <row r="2755" spans="4:13" ht="25" thickBot="1">
      <c r="E2755" s="628" t="s">
        <v>436</v>
      </c>
      <c r="F2755" s="200" t="s">
        <v>29</v>
      </c>
      <c r="G2755" s="200" t="s">
        <v>28</v>
      </c>
      <c r="H2755" s="201" t="s">
        <v>27</v>
      </c>
      <c r="I2755" s="995"/>
      <c r="J2755" s="996"/>
      <c r="K2755" s="997"/>
      <c r="L2755" s="99"/>
      <c r="M2755" s="100"/>
    </row>
    <row r="2756" spans="4:13" ht="24">
      <c r="E2756" s="629">
        <v>45657</v>
      </c>
      <c r="F2756" s="217">
        <v>50.1</v>
      </c>
      <c r="G2756" s="217" t="s">
        <v>445</v>
      </c>
      <c r="H2756" s="217">
        <v>50.3</v>
      </c>
      <c r="I2756" s="995"/>
      <c r="J2756" s="996"/>
      <c r="K2756" s="997"/>
      <c r="L2756" s="99"/>
      <c r="M2756" s="100"/>
    </row>
    <row r="2757" spans="4:13" ht="24">
      <c r="E2757" s="629">
        <v>45626</v>
      </c>
      <c r="F2757" s="217">
        <v>50.3</v>
      </c>
      <c r="G2757" s="217" t="s">
        <v>1340</v>
      </c>
      <c r="H2757" s="217">
        <v>50.1</v>
      </c>
      <c r="I2757" s="995"/>
      <c r="J2757" s="996"/>
      <c r="K2757" s="997"/>
      <c r="L2757" s="99"/>
      <c r="M2757" s="100"/>
    </row>
    <row r="2758" spans="4:13" ht="24">
      <c r="E2758" s="629">
        <v>45596</v>
      </c>
      <c r="F2758" s="217">
        <v>50.1</v>
      </c>
      <c r="G2758" s="217" t="s">
        <v>513</v>
      </c>
      <c r="H2758" s="217">
        <v>49.8</v>
      </c>
      <c r="I2758" s="995"/>
      <c r="J2758" s="996"/>
      <c r="K2758" s="997"/>
      <c r="L2758" s="101"/>
      <c r="M2758" s="100"/>
    </row>
    <row r="2759" spans="4:13" ht="24">
      <c r="E2759" s="629">
        <v>45565</v>
      </c>
      <c r="F2759" s="217">
        <v>49.8</v>
      </c>
      <c r="G2759" s="217" t="s">
        <v>440</v>
      </c>
      <c r="H2759" s="217">
        <v>49.1</v>
      </c>
      <c r="I2759" s="995"/>
      <c r="J2759" s="996"/>
      <c r="K2759" s="997"/>
      <c r="L2759" s="99"/>
      <c r="M2759" s="100"/>
    </row>
    <row r="2760" spans="4:13" ht="24">
      <c r="E2760" s="629">
        <v>45535</v>
      </c>
      <c r="F2760" s="217">
        <v>49.1</v>
      </c>
      <c r="G2760" s="217" t="s">
        <v>438</v>
      </c>
      <c r="H2760" s="217">
        <v>49.4</v>
      </c>
      <c r="I2760" s="995"/>
      <c r="J2760" s="996"/>
      <c r="K2760" s="997"/>
      <c r="L2760" s="99"/>
      <c r="M2760" s="100"/>
    </row>
    <row r="2761" spans="4:13" ht="25" thickBot="1">
      <c r="E2761" s="629">
        <v>45504</v>
      </c>
      <c r="F2761" s="217">
        <v>49.4</v>
      </c>
      <c r="G2761" s="217" t="s">
        <v>440</v>
      </c>
      <c r="H2761" s="217">
        <v>49.5</v>
      </c>
      <c r="I2761" s="998"/>
      <c r="J2761" s="999"/>
      <c r="K2761" s="1000"/>
      <c r="L2761" s="102"/>
      <c r="M2761" s="103"/>
    </row>
    <row r="2762" spans="4:13" ht="25" thickBot="1">
      <c r="D2762">
        <v>3</v>
      </c>
      <c r="E2762" s="624" t="s">
        <v>30</v>
      </c>
      <c r="F2762" s="1057" t="s">
        <v>1479</v>
      </c>
      <c r="G2762" s="1058"/>
      <c r="H2762" s="1059"/>
      <c r="I2762" s="1060" t="s">
        <v>633</v>
      </c>
      <c r="J2762" s="1061"/>
      <c r="K2762" s="1062"/>
      <c r="L2762" s="158" t="s">
        <v>430</v>
      </c>
      <c r="M2762" s="105" t="s">
        <v>431</v>
      </c>
    </row>
    <row r="2763" spans="4:13" ht="24">
      <c r="E2763" s="625" t="s">
        <v>432</v>
      </c>
      <c r="F2763" s="992"/>
      <c r="G2763" s="993"/>
      <c r="H2763" s="994"/>
      <c r="I2763" s="995" t="s">
        <v>1482</v>
      </c>
      <c r="J2763" s="996"/>
      <c r="K2763" s="997"/>
      <c r="L2763" s="99"/>
      <c r="M2763" s="100"/>
    </row>
    <row r="2764" spans="4:13" ht="24">
      <c r="E2764" s="626" t="s">
        <v>433</v>
      </c>
      <c r="F2764" s="1063"/>
      <c r="G2764" s="1064"/>
      <c r="H2764" s="1065"/>
      <c r="I2764" s="995"/>
      <c r="J2764" s="996"/>
      <c r="K2764" s="997"/>
      <c r="L2764" s="99"/>
      <c r="M2764" s="100"/>
    </row>
    <row r="2765" spans="4:13" ht="25" thickBot="1">
      <c r="E2765" s="626" t="s">
        <v>434</v>
      </c>
      <c r="F2765" s="1063" t="s">
        <v>1481</v>
      </c>
      <c r="G2765" s="1064"/>
      <c r="H2765" s="1065"/>
      <c r="I2765" s="995"/>
      <c r="J2765" s="996"/>
      <c r="K2765" s="997"/>
      <c r="L2765" s="99"/>
      <c r="M2765" s="100"/>
    </row>
    <row r="2766" spans="4:13" ht="25" thickBot="1">
      <c r="E2766" s="627" t="s">
        <v>435</v>
      </c>
      <c r="F2766" s="1007">
        <v>0.625</v>
      </c>
      <c r="G2766" s="1008"/>
      <c r="H2766" s="1009"/>
      <c r="I2766" s="995"/>
      <c r="J2766" s="996"/>
      <c r="K2766" s="997"/>
      <c r="L2766" s="106">
        <v>0.85416666666666663</v>
      </c>
      <c r="M2766" s="107">
        <v>0.70833333333333326</v>
      </c>
    </row>
    <row r="2767" spans="4:13" ht="25" thickBot="1">
      <c r="E2767" s="628" t="s">
        <v>436</v>
      </c>
      <c r="F2767" s="200" t="s">
        <v>29</v>
      </c>
      <c r="G2767" s="200" t="s">
        <v>28</v>
      </c>
      <c r="H2767" s="201" t="s">
        <v>27</v>
      </c>
      <c r="I2767" s="995"/>
      <c r="J2767" s="996"/>
      <c r="K2767" s="997"/>
      <c r="L2767" s="99"/>
      <c r="M2767" s="100"/>
    </row>
    <row r="2768" spans="4:13" ht="24">
      <c r="E2768" s="629">
        <v>45649</v>
      </c>
      <c r="F2768" s="202" t="s">
        <v>1532</v>
      </c>
      <c r="G2768" s="202" t="s">
        <v>1533</v>
      </c>
      <c r="H2768" s="202" t="s">
        <v>1534</v>
      </c>
      <c r="I2768" s="995"/>
      <c r="J2768" s="996"/>
      <c r="K2768" s="997"/>
      <c r="L2768" s="99"/>
      <c r="M2768" s="100"/>
    </row>
    <row r="2769" spans="4:13" ht="24">
      <c r="E2769" s="629">
        <v>45622</v>
      </c>
      <c r="F2769" s="202" t="s">
        <v>1316</v>
      </c>
      <c r="G2769" s="202" t="s">
        <v>1317</v>
      </c>
      <c r="H2769" s="202" t="s">
        <v>1092</v>
      </c>
      <c r="I2769" s="995"/>
      <c r="J2769" s="996"/>
      <c r="K2769" s="997"/>
      <c r="L2769" s="99"/>
      <c r="M2769" s="100"/>
    </row>
    <row r="2770" spans="4:13" ht="24">
      <c r="E2770" s="629">
        <v>45589</v>
      </c>
      <c r="F2770" s="202" t="s">
        <v>1092</v>
      </c>
      <c r="G2770" s="202" t="s">
        <v>1093</v>
      </c>
      <c r="H2770" s="202" t="s">
        <v>1094</v>
      </c>
      <c r="I2770" s="995"/>
      <c r="J2770" s="996"/>
      <c r="K2770" s="997"/>
      <c r="L2770" s="101"/>
      <c r="M2770" s="100"/>
    </row>
    <row r="2771" spans="4:13" ht="24">
      <c r="E2771" s="629">
        <v>45560</v>
      </c>
      <c r="F2771" s="202" t="s">
        <v>1095</v>
      </c>
      <c r="G2771" s="202" t="s">
        <v>1096</v>
      </c>
      <c r="H2771" s="202" t="s">
        <v>1097</v>
      </c>
      <c r="I2771" s="995"/>
      <c r="J2771" s="996"/>
      <c r="K2771" s="997"/>
      <c r="L2771" s="99"/>
      <c r="M2771" s="100"/>
    </row>
    <row r="2772" spans="4:13" ht="24">
      <c r="E2772" s="629">
        <v>45527</v>
      </c>
      <c r="F2772" s="202" t="s">
        <v>1098</v>
      </c>
      <c r="G2772" s="202" t="s">
        <v>1099</v>
      </c>
      <c r="H2772" s="202" t="s">
        <v>1100</v>
      </c>
      <c r="I2772" s="995"/>
      <c r="J2772" s="996"/>
      <c r="K2772" s="997"/>
      <c r="L2772" s="99"/>
      <c r="M2772" s="100"/>
    </row>
    <row r="2773" spans="4:13" ht="25" thickBot="1">
      <c r="E2773" s="629">
        <v>45497</v>
      </c>
      <c r="F2773" s="202" t="s">
        <v>1101</v>
      </c>
      <c r="G2773" s="202" t="s">
        <v>1102</v>
      </c>
      <c r="H2773" s="202" t="s">
        <v>1103</v>
      </c>
      <c r="I2773" s="998"/>
      <c r="J2773" s="999"/>
      <c r="K2773" s="1000"/>
      <c r="L2773" s="102"/>
      <c r="M2773" s="103"/>
    </row>
    <row r="2774" spans="4:13" ht="25" thickBot="1">
      <c r="D2774">
        <v>5</v>
      </c>
      <c r="E2774" s="624" t="s">
        <v>30</v>
      </c>
      <c r="F2774" s="1057" t="s">
        <v>1483</v>
      </c>
      <c r="G2774" s="1058"/>
      <c r="H2774" s="1059"/>
      <c r="I2774" s="1060" t="s">
        <v>633</v>
      </c>
      <c r="J2774" s="1061"/>
      <c r="K2774" s="1062"/>
      <c r="L2774" s="158" t="s">
        <v>430</v>
      </c>
      <c r="M2774" s="105" t="s">
        <v>431</v>
      </c>
    </row>
    <row r="2775" spans="4:13" ht="24">
      <c r="E2775" s="625" t="s">
        <v>432</v>
      </c>
      <c r="F2775" s="992"/>
      <c r="G2775" s="993"/>
      <c r="H2775" s="994"/>
      <c r="I2775" s="995" t="s">
        <v>1484</v>
      </c>
      <c r="J2775" s="996"/>
      <c r="K2775" s="997"/>
      <c r="L2775" s="99"/>
      <c r="M2775" s="100"/>
    </row>
    <row r="2776" spans="4:13" ht="24">
      <c r="E2776" s="626" t="s">
        <v>433</v>
      </c>
      <c r="F2776" s="1063">
        <v>0</v>
      </c>
      <c r="G2776" s="1064"/>
      <c r="H2776" s="1065"/>
      <c r="I2776" s="995"/>
      <c r="J2776" s="996"/>
      <c r="K2776" s="997"/>
      <c r="L2776" s="99"/>
      <c r="M2776" s="100"/>
    </row>
    <row r="2777" spans="4:13" ht="25" thickBot="1">
      <c r="E2777" s="626" t="s">
        <v>434</v>
      </c>
      <c r="F2777" s="1063">
        <v>0</v>
      </c>
      <c r="G2777" s="1064"/>
      <c r="H2777" s="1065"/>
      <c r="I2777" s="995"/>
      <c r="J2777" s="996"/>
      <c r="K2777" s="997"/>
      <c r="L2777" s="99"/>
      <c r="M2777" s="100"/>
    </row>
    <row r="2778" spans="4:13" ht="25" thickBot="1">
      <c r="E2778" s="627" t="s">
        <v>435</v>
      </c>
      <c r="F2778" s="1007" t="e">
        <v>#VALUE!</v>
      </c>
      <c r="G2778" s="1008"/>
      <c r="H2778" s="1009"/>
      <c r="I2778" s="995"/>
      <c r="J2778" s="996"/>
      <c r="K2778" s="997"/>
      <c r="L2778" s="106" t="s">
        <v>1449</v>
      </c>
      <c r="M2778" s="107" t="e">
        <v>#VALUE!</v>
      </c>
    </row>
    <row r="2779" spans="4:13" ht="25" thickBot="1">
      <c r="E2779" s="628" t="s">
        <v>436</v>
      </c>
      <c r="F2779" s="200" t="s">
        <v>29</v>
      </c>
      <c r="G2779" s="200" t="s">
        <v>28</v>
      </c>
      <c r="H2779" s="201" t="s">
        <v>27</v>
      </c>
      <c r="I2779" s="995"/>
      <c r="J2779" s="996"/>
      <c r="K2779" s="997"/>
      <c r="L2779" s="99"/>
      <c r="M2779" s="100"/>
    </row>
    <row r="2780" spans="4:13" ht="24">
      <c r="E2780" s="629">
        <v>45643</v>
      </c>
      <c r="F2780" s="202">
        <v>0.02</v>
      </c>
      <c r="G2780" s="202" t="s">
        <v>1028</v>
      </c>
      <c r="H2780" s="202">
        <v>2.1999999999999999E-2</v>
      </c>
      <c r="I2780" s="995"/>
      <c r="J2780" s="996"/>
      <c r="K2780" s="997"/>
      <c r="L2780" s="99"/>
      <c r="M2780" s="100"/>
    </row>
    <row r="2781" spans="4:13" ht="24">
      <c r="E2781" s="629">
        <v>45615</v>
      </c>
      <c r="F2781" s="202">
        <v>2.1999999999999999E-2</v>
      </c>
      <c r="G2781" s="202" t="s">
        <v>1028</v>
      </c>
      <c r="H2781" s="202">
        <v>2.1000000000000001E-2</v>
      </c>
      <c r="I2781" s="995"/>
      <c r="J2781" s="996"/>
      <c r="K2781" s="997"/>
      <c r="L2781" s="99"/>
      <c r="M2781" s="100"/>
    </row>
    <row r="2782" spans="4:13" ht="24">
      <c r="E2782" s="629">
        <v>45580</v>
      </c>
      <c r="F2782" s="202">
        <v>2.1000000000000001E-2</v>
      </c>
      <c r="G2782" s="202" t="s">
        <v>1028</v>
      </c>
      <c r="H2782" s="202">
        <v>1.9E-2</v>
      </c>
      <c r="I2782" s="995"/>
      <c r="J2782" s="996"/>
      <c r="K2782" s="997"/>
      <c r="L2782" s="101"/>
      <c r="M2782" s="100"/>
    </row>
    <row r="2783" spans="4:13" ht="24">
      <c r="E2783" s="629">
        <v>45552</v>
      </c>
      <c r="F2783" s="202">
        <v>0.02</v>
      </c>
      <c r="G2783" s="202" t="s">
        <v>490</v>
      </c>
      <c r="H2783" s="202">
        <v>2.1999999999999999E-2</v>
      </c>
      <c r="I2783" s="995"/>
      <c r="J2783" s="996"/>
      <c r="K2783" s="997"/>
      <c r="L2783" s="99"/>
      <c r="M2783" s="100"/>
    </row>
    <row r="2784" spans="4:13" ht="24">
      <c r="E2784" s="629">
        <v>45524</v>
      </c>
      <c r="F2784" s="202">
        <v>2.1999999999999999E-2</v>
      </c>
      <c r="G2784" s="202" t="s">
        <v>490</v>
      </c>
      <c r="H2784" s="202">
        <v>2.3E-2</v>
      </c>
      <c r="I2784" s="995"/>
      <c r="J2784" s="996"/>
      <c r="K2784" s="997"/>
      <c r="L2784" s="99"/>
      <c r="M2784" s="100"/>
    </row>
    <row r="2785" spans="4:13" ht="25" thickBot="1">
      <c r="E2785" s="629">
        <v>45489</v>
      </c>
      <c r="F2785" s="202">
        <v>2.3E-2</v>
      </c>
      <c r="G2785" s="202" t="s">
        <v>1447</v>
      </c>
      <c r="H2785" s="202">
        <v>2.4E-2</v>
      </c>
      <c r="I2785" s="998"/>
      <c r="J2785" s="999"/>
      <c r="K2785" s="1000"/>
      <c r="L2785" s="102"/>
      <c r="M2785" s="103"/>
    </row>
    <row r="2786" spans="4:13" ht="25" thickBot="1">
      <c r="D2786">
        <v>4</v>
      </c>
      <c r="E2786" s="624" t="s">
        <v>30</v>
      </c>
      <c r="F2786" s="1057" t="s">
        <v>1486</v>
      </c>
      <c r="G2786" s="1058"/>
      <c r="H2786" s="1059"/>
      <c r="I2786" s="1060" t="s">
        <v>633</v>
      </c>
      <c r="J2786" s="1061"/>
      <c r="K2786" s="1062"/>
      <c r="L2786" s="158" t="s">
        <v>430</v>
      </c>
      <c r="M2786" s="105" t="s">
        <v>431</v>
      </c>
    </row>
    <row r="2787" spans="4:13" ht="24">
      <c r="E2787" s="625" t="s">
        <v>432</v>
      </c>
      <c r="F2787" s="992"/>
      <c r="G2787" s="993"/>
      <c r="H2787" s="994"/>
      <c r="I2787" s="995" t="s">
        <v>1487</v>
      </c>
      <c r="J2787" s="996"/>
      <c r="K2787" s="997"/>
      <c r="L2787" s="99"/>
      <c r="M2787" s="100"/>
    </row>
    <row r="2788" spans="4:13" ht="24">
      <c r="E2788" s="626" t="s">
        <v>433</v>
      </c>
      <c r="F2788" s="1063">
        <v>0</v>
      </c>
      <c r="G2788" s="1064"/>
      <c r="H2788" s="1065"/>
      <c r="I2788" s="995"/>
      <c r="J2788" s="996"/>
      <c r="K2788" s="997"/>
      <c r="L2788" s="99"/>
      <c r="M2788" s="100"/>
    </row>
    <row r="2789" spans="4:13" ht="25" thickBot="1">
      <c r="E2789" s="626" t="s">
        <v>434</v>
      </c>
      <c r="F2789" s="1063">
        <v>0</v>
      </c>
      <c r="G2789" s="1064"/>
      <c r="H2789" s="1065"/>
      <c r="I2789" s="995"/>
      <c r="J2789" s="996"/>
      <c r="K2789" s="997"/>
      <c r="L2789" s="99"/>
      <c r="M2789" s="100"/>
    </row>
    <row r="2790" spans="4:13" ht="25" thickBot="1">
      <c r="E2790" s="627" t="s">
        <v>435</v>
      </c>
      <c r="F2790" s="1205">
        <v>0.90625</v>
      </c>
      <c r="G2790" s="1206"/>
      <c r="H2790" s="1207"/>
      <c r="I2790" s="995"/>
      <c r="J2790" s="996"/>
      <c r="K2790" s="997"/>
      <c r="L2790" s="106" t="s">
        <v>1449</v>
      </c>
      <c r="M2790" s="630">
        <v>0.98958333333333337</v>
      </c>
    </row>
    <row r="2791" spans="4:13" ht="25" thickBot="1">
      <c r="E2791" s="628" t="s">
        <v>436</v>
      </c>
      <c r="F2791" s="200" t="s">
        <v>29</v>
      </c>
      <c r="G2791" s="200" t="s">
        <v>28</v>
      </c>
      <c r="H2791" s="201" t="s">
        <v>27</v>
      </c>
      <c r="I2791" s="995"/>
      <c r="J2791" s="996"/>
      <c r="K2791" s="997"/>
      <c r="L2791" s="99"/>
      <c r="M2791" s="100"/>
    </row>
    <row r="2792" spans="4:13" ht="24">
      <c r="E2792" s="631">
        <v>45580</v>
      </c>
      <c r="F2792" s="202">
        <v>6.0000000000000001E-3</v>
      </c>
      <c r="G2792" s="202" t="s">
        <v>1535</v>
      </c>
      <c r="H2792" s="202">
        <v>4.0000000000000001E-3</v>
      </c>
      <c r="I2792" s="995"/>
      <c r="J2792" s="996"/>
      <c r="K2792" s="997"/>
      <c r="L2792" s="99"/>
      <c r="M2792" s="100"/>
    </row>
    <row r="2793" spans="4:13" ht="24">
      <c r="E2793" s="631">
        <v>45489</v>
      </c>
      <c r="F2793" s="202">
        <v>4.0000000000000001E-3</v>
      </c>
      <c r="G2793" s="202" t="s">
        <v>903</v>
      </c>
      <c r="H2793" s="202">
        <v>6.0000000000000001E-3</v>
      </c>
      <c r="I2793" s="995"/>
      <c r="J2793" s="996"/>
      <c r="K2793" s="997"/>
      <c r="L2793" s="99"/>
      <c r="M2793" s="100"/>
    </row>
    <row r="2794" spans="4:13" ht="24">
      <c r="E2794" s="631">
        <v>45398</v>
      </c>
      <c r="F2794" s="202">
        <v>6.0000000000000001E-3</v>
      </c>
      <c r="G2794" s="202" t="s">
        <v>449</v>
      </c>
      <c r="H2794" s="202">
        <v>5.0000000000000001E-3</v>
      </c>
      <c r="I2794" s="995"/>
      <c r="J2794" s="996"/>
      <c r="K2794" s="997"/>
      <c r="L2794" s="101"/>
      <c r="M2794" s="100"/>
    </row>
    <row r="2795" spans="4:13" ht="24">
      <c r="E2795" s="631">
        <v>45314</v>
      </c>
      <c r="F2795" s="202">
        <v>5.0000000000000001E-3</v>
      </c>
      <c r="G2795" s="202" t="s">
        <v>903</v>
      </c>
      <c r="H2795" s="202">
        <v>1.7999999999999999E-2</v>
      </c>
      <c r="I2795" s="995"/>
      <c r="J2795" s="996"/>
      <c r="K2795" s="997"/>
      <c r="L2795" s="99"/>
      <c r="M2795" s="100"/>
    </row>
    <row r="2796" spans="4:13" ht="24">
      <c r="E2796" s="631">
        <v>45215</v>
      </c>
      <c r="F2796" s="202">
        <v>1.7999999999999999E-2</v>
      </c>
      <c r="G2796" s="202" t="s">
        <v>788</v>
      </c>
      <c r="H2796" s="202">
        <v>1.0999999999999999E-2</v>
      </c>
      <c r="I2796" s="995"/>
      <c r="J2796" s="996"/>
      <c r="K2796" s="997"/>
      <c r="L2796" s="99"/>
      <c r="M2796" s="100"/>
    </row>
    <row r="2797" spans="4:13" ht="25" thickBot="1">
      <c r="E2797" s="631">
        <v>45125</v>
      </c>
      <c r="F2797" s="202">
        <v>1.0999999999999999E-2</v>
      </c>
      <c r="G2797" s="202" t="s">
        <v>1536</v>
      </c>
      <c r="H2797" s="202">
        <v>1.2E-2</v>
      </c>
      <c r="I2797" s="998"/>
      <c r="J2797" s="999"/>
      <c r="K2797" s="1000"/>
      <c r="L2797" s="102"/>
      <c r="M2797" s="103"/>
    </row>
    <row r="2798" spans="4:13" ht="25" thickBot="1">
      <c r="D2798">
        <v>2</v>
      </c>
      <c r="E2798" s="624" t="s">
        <v>30</v>
      </c>
      <c r="F2798" s="1057" t="s">
        <v>1488</v>
      </c>
      <c r="G2798" s="1058"/>
      <c r="H2798" s="1059"/>
      <c r="I2798" s="1060" t="s">
        <v>633</v>
      </c>
      <c r="J2798" s="1061"/>
      <c r="K2798" s="1062"/>
      <c r="L2798" s="158" t="s">
        <v>430</v>
      </c>
      <c r="M2798" s="105" t="s">
        <v>431</v>
      </c>
    </row>
    <row r="2799" spans="4:13" ht="24">
      <c r="E2799" s="625" t="s">
        <v>432</v>
      </c>
      <c r="F2799" s="992"/>
      <c r="G2799" s="993"/>
      <c r="H2799" s="994"/>
      <c r="I2799" s="995" t="s">
        <v>1489</v>
      </c>
      <c r="J2799" s="996"/>
      <c r="K2799" s="997"/>
      <c r="L2799" s="99"/>
      <c r="M2799" s="100"/>
    </row>
    <row r="2800" spans="4:13" ht="24">
      <c r="E2800" s="626" t="s">
        <v>433</v>
      </c>
      <c r="F2800" s="1063">
        <v>8.0000000000000002E-3</v>
      </c>
      <c r="G2800" s="1064"/>
      <c r="H2800" s="1065"/>
      <c r="I2800" s="995"/>
      <c r="J2800" s="996"/>
      <c r="K2800" s="997"/>
      <c r="L2800" s="99"/>
      <c r="M2800" s="100"/>
    </row>
    <row r="2801" spans="4:13" ht="25" thickBot="1">
      <c r="E2801" s="626" t="s">
        <v>434</v>
      </c>
      <c r="F2801" s="1063">
        <v>-1.2E-2</v>
      </c>
      <c r="G2801" s="1064"/>
      <c r="H2801" s="1065"/>
      <c r="I2801" s="995"/>
      <c r="J2801" s="996"/>
      <c r="K2801" s="997"/>
      <c r="L2801" s="99"/>
      <c r="M2801" s="100"/>
    </row>
    <row r="2802" spans="4:13" ht="25" thickBot="1">
      <c r="E2802" s="627" t="s">
        <v>435</v>
      </c>
      <c r="F2802" s="1007">
        <v>0.5625</v>
      </c>
      <c r="G2802" s="1008"/>
      <c r="H2802" s="1009"/>
      <c r="I2802" s="995"/>
      <c r="J2802" s="996"/>
      <c r="K2802" s="997"/>
      <c r="L2802" s="106">
        <v>0.79166666666666663</v>
      </c>
      <c r="M2802" s="107">
        <v>0.64583333333333326</v>
      </c>
    </row>
    <row r="2803" spans="4:13" ht="25" thickBot="1">
      <c r="E2803" s="628" t="s">
        <v>436</v>
      </c>
      <c r="F2803" s="200" t="s">
        <v>29</v>
      </c>
      <c r="G2803" s="200" t="s">
        <v>28</v>
      </c>
      <c r="H2803" s="201" t="s">
        <v>27</v>
      </c>
      <c r="I2803" s="995"/>
      <c r="J2803" s="996"/>
      <c r="K2803" s="997"/>
      <c r="L2803" s="99"/>
      <c r="M2803" s="100"/>
    </row>
    <row r="2804" spans="4:13" ht="24">
      <c r="E2804" s="629">
        <v>45649</v>
      </c>
      <c r="F2804" s="202">
        <v>-1.0999999999999999E-2</v>
      </c>
      <c r="G2804" s="202" t="s">
        <v>454</v>
      </c>
      <c r="H2804" s="202">
        <v>8.0000000000000002E-3</v>
      </c>
      <c r="I2804" s="995"/>
      <c r="J2804" s="996"/>
      <c r="K2804" s="997"/>
      <c r="L2804" s="99"/>
      <c r="M2804" s="100"/>
    </row>
    <row r="2805" spans="4:13" ht="24">
      <c r="E2805" s="629">
        <v>45623</v>
      </c>
      <c r="F2805" s="202">
        <v>2E-3</v>
      </c>
      <c r="G2805" s="202" t="s">
        <v>1315</v>
      </c>
      <c r="H2805" s="202">
        <v>-4.0000000000000001E-3</v>
      </c>
      <c r="I2805" s="995"/>
      <c r="J2805" s="996"/>
      <c r="K2805" s="997"/>
      <c r="L2805" s="99"/>
      <c r="M2805" s="100"/>
    </row>
    <row r="2806" spans="4:13" ht="24">
      <c r="E2806" s="629">
        <v>45590</v>
      </c>
      <c r="F2806" s="202">
        <v>-8.0000000000000002E-3</v>
      </c>
      <c r="G2806" s="202" t="s">
        <v>1110</v>
      </c>
      <c r="H2806" s="202">
        <v>-8.0000000000000002E-3</v>
      </c>
      <c r="I2806" s="995"/>
      <c r="J2806" s="996"/>
      <c r="K2806" s="997"/>
      <c r="L2806" s="101"/>
      <c r="M2806" s="100"/>
    </row>
    <row r="2807" spans="4:13" ht="24">
      <c r="E2807" s="629">
        <v>45561</v>
      </c>
      <c r="F2807" s="202">
        <v>0</v>
      </c>
      <c r="G2807" s="202" t="s">
        <v>778</v>
      </c>
      <c r="H2807" s="202">
        <v>9.9000000000000005E-2</v>
      </c>
      <c r="I2807" s="995"/>
      <c r="J2807" s="996"/>
      <c r="K2807" s="997"/>
      <c r="L2807" s="99"/>
      <c r="M2807" s="100"/>
    </row>
    <row r="2808" spans="4:13" ht="24">
      <c r="E2808" s="629">
        <v>45530</v>
      </c>
      <c r="F2808" s="202">
        <v>9.9000000000000005E-2</v>
      </c>
      <c r="G2808" s="202" t="s">
        <v>630</v>
      </c>
      <c r="H2808" s="202">
        <v>-6.9000000000000006E-2</v>
      </c>
      <c r="I2808" s="995"/>
      <c r="J2808" s="996"/>
      <c r="K2808" s="997"/>
      <c r="L2808" s="99"/>
      <c r="M2808" s="100"/>
    </row>
    <row r="2809" spans="4:13" ht="25" thickBot="1">
      <c r="E2809" s="629">
        <v>45498</v>
      </c>
      <c r="F2809" s="202">
        <v>-6.6000000000000003E-2</v>
      </c>
      <c r="G2809" s="202" t="s">
        <v>467</v>
      </c>
      <c r="H2809" s="202">
        <v>1E-3</v>
      </c>
      <c r="I2809" s="998"/>
      <c r="J2809" s="999"/>
      <c r="K2809" s="1000"/>
      <c r="L2809" s="102"/>
      <c r="M2809" s="103"/>
    </row>
    <row r="2810" spans="4:13" ht="25" thickBot="1">
      <c r="D2810">
        <v>1</v>
      </c>
      <c r="E2810" s="624" t="s">
        <v>30</v>
      </c>
      <c r="F2810" s="1057" t="s">
        <v>1490</v>
      </c>
      <c r="G2810" s="1058"/>
      <c r="H2810" s="1059"/>
      <c r="I2810" s="1060" t="s">
        <v>633</v>
      </c>
      <c r="J2810" s="1061"/>
      <c r="K2810" s="1062"/>
      <c r="L2810" s="158" t="s">
        <v>430</v>
      </c>
      <c r="M2810" s="105" t="s">
        <v>431</v>
      </c>
    </row>
    <row r="2811" spans="4:13" ht="24">
      <c r="E2811" s="625" t="s">
        <v>432</v>
      </c>
      <c r="F2811" s="992"/>
      <c r="G2811" s="993"/>
      <c r="H2811" s="994"/>
      <c r="I2811" s="995" t="s">
        <v>1491</v>
      </c>
      <c r="J2811" s="996"/>
      <c r="K2811" s="997"/>
      <c r="L2811" s="99"/>
      <c r="M2811" s="100"/>
    </row>
    <row r="2812" spans="4:13" ht="24">
      <c r="E2812" s="626" t="s">
        <v>433</v>
      </c>
      <c r="F2812" s="1072">
        <v>106</v>
      </c>
      <c r="G2812" s="1073"/>
      <c r="H2812" s="1074"/>
      <c r="I2812" s="995"/>
      <c r="J2812" s="996"/>
      <c r="K2812" s="997"/>
      <c r="L2812" s="99"/>
      <c r="M2812" s="100"/>
    </row>
    <row r="2813" spans="4:13" ht="25" thickBot="1">
      <c r="E2813" s="626" t="s">
        <v>434</v>
      </c>
      <c r="F2813" s="1072">
        <v>104.7</v>
      </c>
      <c r="G2813" s="1073"/>
      <c r="H2813" s="1074"/>
      <c r="I2813" s="995"/>
      <c r="J2813" s="996"/>
      <c r="K2813" s="997"/>
      <c r="L2813" s="99"/>
      <c r="M2813" s="100"/>
    </row>
    <row r="2814" spans="4:13" ht="25" thickBot="1">
      <c r="E2814" s="627" t="s">
        <v>435</v>
      </c>
      <c r="F2814" s="1007">
        <v>0.625</v>
      </c>
      <c r="G2814" s="1008"/>
      <c r="H2814" s="1009"/>
      <c r="I2814" s="995"/>
      <c r="J2814" s="996"/>
      <c r="K2814" s="997"/>
      <c r="L2814" s="106">
        <v>0.85416666666666663</v>
      </c>
      <c r="M2814" s="107">
        <v>0.70833333333333326</v>
      </c>
    </row>
    <row r="2815" spans="4:13" ht="25" thickBot="1">
      <c r="E2815" s="628" t="s">
        <v>436</v>
      </c>
      <c r="F2815" s="200" t="s">
        <v>29</v>
      </c>
      <c r="G2815" s="200" t="s">
        <v>28</v>
      </c>
      <c r="H2815" s="201" t="s">
        <v>27</v>
      </c>
      <c r="I2815" s="995"/>
      <c r="J2815" s="996"/>
      <c r="K2815" s="997"/>
      <c r="L2815" s="99"/>
      <c r="M2815" s="100"/>
    </row>
    <row r="2816" spans="4:13" ht="24">
      <c r="E2816" s="629">
        <v>45649</v>
      </c>
      <c r="F2816" s="204">
        <v>104.7</v>
      </c>
      <c r="G2816" s="204" t="s">
        <v>1537</v>
      </c>
      <c r="H2816" s="204">
        <v>112.8</v>
      </c>
      <c r="I2816" s="995"/>
      <c r="J2816" s="996"/>
      <c r="K2816" s="997"/>
      <c r="L2816" s="99"/>
      <c r="M2816" s="100"/>
    </row>
    <row r="2817" spans="4:13" ht="24">
      <c r="E2817" s="629">
        <v>45622</v>
      </c>
      <c r="F2817" s="204">
        <v>111.7</v>
      </c>
      <c r="G2817" s="204" t="s">
        <v>1314</v>
      </c>
      <c r="H2817" s="204">
        <v>109.6</v>
      </c>
      <c r="I2817" s="995"/>
      <c r="J2817" s="996"/>
      <c r="K2817" s="997"/>
      <c r="L2817" s="99"/>
      <c r="M2817" s="100"/>
    </row>
    <row r="2818" spans="4:13" ht="24">
      <c r="E2818" s="629">
        <v>45594</v>
      </c>
      <c r="F2818" s="204">
        <v>108.7</v>
      </c>
      <c r="G2818" s="204" t="s">
        <v>1091</v>
      </c>
      <c r="H2818" s="204">
        <v>99.2</v>
      </c>
      <c r="I2818" s="995"/>
      <c r="J2818" s="996"/>
      <c r="K2818" s="997"/>
      <c r="L2818" s="101"/>
      <c r="M2818" s="100"/>
    </row>
    <row r="2819" spans="4:13" ht="24">
      <c r="E2819" s="629">
        <v>45559</v>
      </c>
      <c r="F2819" s="204">
        <v>98.7</v>
      </c>
      <c r="G2819" s="204" t="s">
        <v>874</v>
      </c>
      <c r="H2819" s="204">
        <v>105.6</v>
      </c>
      <c r="I2819" s="995"/>
      <c r="J2819" s="996"/>
      <c r="K2819" s="997"/>
      <c r="L2819" s="99"/>
      <c r="M2819" s="100"/>
    </row>
    <row r="2820" spans="4:13" ht="24">
      <c r="E2820" s="629">
        <v>45531</v>
      </c>
      <c r="F2820" s="204">
        <v>103.3</v>
      </c>
      <c r="G2820" s="204" t="s">
        <v>875</v>
      </c>
      <c r="H2820" s="204">
        <v>101.9</v>
      </c>
      <c r="I2820" s="995"/>
      <c r="J2820" s="996"/>
      <c r="K2820" s="997"/>
      <c r="L2820" s="99"/>
      <c r="M2820" s="100"/>
    </row>
    <row r="2821" spans="4:13" ht="25" thickBot="1">
      <c r="E2821" s="629">
        <v>45503</v>
      </c>
      <c r="F2821" s="204">
        <v>100.3</v>
      </c>
      <c r="G2821" s="204" t="s">
        <v>876</v>
      </c>
      <c r="H2821" s="204">
        <v>97.8</v>
      </c>
      <c r="I2821" s="998"/>
      <c r="J2821" s="999"/>
      <c r="K2821" s="1000"/>
      <c r="L2821" s="102"/>
      <c r="M2821" s="103"/>
    </row>
    <row r="2822" spans="4:13" ht="25" thickBot="1">
      <c r="D2822">
        <v>3</v>
      </c>
      <c r="E2822" s="624" t="s">
        <v>30</v>
      </c>
      <c r="F2822" s="1057" t="s">
        <v>1483</v>
      </c>
      <c r="G2822" s="1058"/>
      <c r="H2822" s="1059"/>
      <c r="I2822" s="1060" t="s">
        <v>633</v>
      </c>
      <c r="J2822" s="1061"/>
      <c r="K2822" s="1062"/>
      <c r="L2822" s="158" t="s">
        <v>430</v>
      </c>
      <c r="M2822" s="105" t="s">
        <v>431</v>
      </c>
    </row>
    <row r="2823" spans="4:13" ht="24">
      <c r="E2823" s="625" t="s">
        <v>432</v>
      </c>
      <c r="F2823" s="992"/>
      <c r="G2823" s="993"/>
      <c r="H2823" s="994"/>
      <c r="I2823" s="995" t="s">
        <v>1484</v>
      </c>
      <c r="J2823" s="996"/>
      <c r="K2823" s="997"/>
      <c r="L2823" s="99"/>
      <c r="M2823" s="100"/>
    </row>
    <row r="2824" spans="4:13" ht="24">
      <c r="E2824" s="626" t="s">
        <v>433</v>
      </c>
      <c r="F2824" s="1063">
        <v>0</v>
      </c>
      <c r="G2824" s="1064"/>
      <c r="H2824" s="1065"/>
      <c r="I2824" s="995"/>
      <c r="J2824" s="996"/>
      <c r="K2824" s="997"/>
      <c r="L2824" s="99"/>
      <c r="M2824" s="100"/>
    </row>
    <row r="2825" spans="4:13" ht="25" thickBot="1">
      <c r="E2825" s="626" t="s">
        <v>434</v>
      </c>
      <c r="F2825" s="1063">
        <v>0</v>
      </c>
      <c r="G2825" s="1064"/>
      <c r="H2825" s="1065"/>
      <c r="I2825" s="995"/>
      <c r="J2825" s="996"/>
      <c r="K2825" s="997"/>
      <c r="L2825" s="99"/>
      <c r="M2825" s="100"/>
    </row>
    <row r="2826" spans="4:13" ht="25" thickBot="1">
      <c r="E2826" s="627" t="s">
        <v>435</v>
      </c>
      <c r="F2826" s="1007" t="e">
        <v>#VALUE!</v>
      </c>
      <c r="G2826" s="1008"/>
      <c r="H2826" s="1009"/>
      <c r="I2826" s="995"/>
      <c r="J2826" s="996"/>
      <c r="K2826" s="997"/>
      <c r="L2826" s="106" t="s">
        <v>1449</v>
      </c>
      <c r="M2826" s="107" t="e">
        <v>#VALUE!</v>
      </c>
    </row>
    <row r="2827" spans="4:13" ht="25" thickBot="1">
      <c r="E2827" s="628" t="s">
        <v>436</v>
      </c>
      <c r="F2827" s="200" t="s">
        <v>29</v>
      </c>
      <c r="G2827" s="200" t="s">
        <v>28</v>
      </c>
      <c r="H2827" s="201" t="s">
        <v>27</v>
      </c>
      <c r="I2827" s="995"/>
      <c r="J2827" s="996"/>
      <c r="K2827" s="997"/>
      <c r="L2827" s="330"/>
      <c r="M2827" s="331"/>
    </row>
    <row r="2828" spans="4:13" ht="24">
      <c r="E2828" s="629">
        <v>45645</v>
      </c>
      <c r="F2828" s="632">
        <v>2.5000000000000001E-3</v>
      </c>
      <c r="G2828" s="632" t="s">
        <v>892</v>
      </c>
      <c r="H2828" s="632">
        <v>2.5000000000000001E-3</v>
      </c>
      <c r="I2828" s="995"/>
      <c r="J2828" s="996"/>
      <c r="K2828" s="997"/>
      <c r="L2828" s="99"/>
      <c r="M2828" s="100"/>
    </row>
    <row r="2829" spans="4:13" ht="24">
      <c r="E2829" s="629">
        <v>45596</v>
      </c>
      <c r="F2829" s="632">
        <v>2.5000000000000001E-3</v>
      </c>
      <c r="G2829" s="632" t="s">
        <v>892</v>
      </c>
      <c r="H2829" s="632">
        <v>2.5000000000000001E-3</v>
      </c>
      <c r="I2829" s="995"/>
      <c r="J2829" s="996"/>
      <c r="K2829" s="997"/>
      <c r="L2829" s="99"/>
      <c r="M2829" s="100"/>
    </row>
    <row r="2830" spans="4:13" ht="24">
      <c r="E2830" s="629">
        <v>45555</v>
      </c>
      <c r="F2830" s="632">
        <v>2.5000000000000001E-3</v>
      </c>
      <c r="G2830" s="632" t="s">
        <v>892</v>
      </c>
      <c r="H2830" s="632">
        <v>2.5000000000000001E-3</v>
      </c>
      <c r="I2830" s="995"/>
      <c r="J2830" s="996"/>
      <c r="K2830" s="997"/>
      <c r="L2830" s="101"/>
      <c r="M2830" s="100"/>
    </row>
    <row r="2831" spans="4:13" ht="24">
      <c r="E2831" s="629">
        <v>45504</v>
      </c>
      <c r="F2831" s="632">
        <v>2.5000000000000001E-3</v>
      </c>
      <c r="G2831" s="632" t="s">
        <v>893</v>
      </c>
      <c r="H2831" s="632">
        <v>1E-3</v>
      </c>
      <c r="I2831" s="995"/>
      <c r="J2831" s="996"/>
      <c r="K2831" s="997"/>
      <c r="L2831" s="99"/>
      <c r="M2831" s="100"/>
    </row>
    <row r="2832" spans="4:13" ht="24">
      <c r="E2832" s="629">
        <v>45457</v>
      </c>
      <c r="F2832" s="632">
        <v>1E-3</v>
      </c>
      <c r="G2832" s="632" t="s">
        <v>893</v>
      </c>
      <c r="H2832" s="632">
        <v>1E-3</v>
      </c>
      <c r="I2832" s="995"/>
      <c r="J2832" s="996"/>
      <c r="K2832" s="997"/>
      <c r="L2832" s="99"/>
      <c r="M2832" s="100"/>
    </row>
    <row r="2833" spans="4:13" ht="25" thickBot="1">
      <c r="E2833" s="629">
        <v>45408</v>
      </c>
      <c r="F2833" s="632">
        <v>1E-3</v>
      </c>
      <c r="G2833" s="632" t="s">
        <v>893</v>
      </c>
      <c r="H2833" s="632">
        <v>1E-3</v>
      </c>
      <c r="I2833" s="998"/>
      <c r="J2833" s="999"/>
      <c r="K2833" s="1000"/>
      <c r="L2833" s="102"/>
      <c r="M2833" s="103"/>
    </row>
    <row r="2834" spans="4:13" ht="25" thickBot="1">
      <c r="D2834">
        <v>4</v>
      </c>
      <c r="E2834" s="624" t="s">
        <v>30</v>
      </c>
      <c r="F2834" s="1057" t="s">
        <v>1486</v>
      </c>
      <c r="G2834" s="1058"/>
      <c r="H2834" s="1059"/>
      <c r="I2834" s="1060" t="s">
        <v>633</v>
      </c>
      <c r="J2834" s="1061"/>
      <c r="K2834" s="1062"/>
      <c r="L2834" s="158" t="s">
        <v>430</v>
      </c>
      <c r="M2834" s="105" t="s">
        <v>431</v>
      </c>
    </row>
    <row r="2835" spans="4:13" ht="24">
      <c r="E2835" s="625" t="s">
        <v>432</v>
      </c>
      <c r="F2835" s="992"/>
      <c r="G2835" s="993"/>
      <c r="H2835" s="994"/>
      <c r="I2835" s="995" t="s">
        <v>1487</v>
      </c>
      <c r="J2835" s="996"/>
      <c r="K2835" s="997"/>
      <c r="L2835" s="99"/>
      <c r="M2835" s="100"/>
    </row>
    <row r="2836" spans="4:13" ht="24">
      <c r="E2836" s="626" t="s">
        <v>433</v>
      </c>
      <c r="F2836" s="1075">
        <v>0</v>
      </c>
      <c r="G2836" s="1073"/>
      <c r="H2836" s="1074"/>
      <c r="I2836" s="995"/>
      <c r="J2836" s="996"/>
      <c r="K2836" s="997"/>
      <c r="L2836" s="99"/>
      <c r="M2836" s="100"/>
    </row>
    <row r="2837" spans="4:13" ht="25" thickBot="1">
      <c r="E2837" s="626" t="s">
        <v>434</v>
      </c>
      <c r="F2837" s="1075">
        <v>0</v>
      </c>
      <c r="G2837" s="1073"/>
      <c r="H2837" s="1074"/>
      <c r="I2837" s="995"/>
      <c r="J2837" s="996"/>
      <c r="K2837" s="997"/>
      <c r="L2837" s="99"/>
      <c r="M2837" s="100"/>
    </row>
    <row r="2838" spans="4:13" ht="25" thickBot="1">
      <c r="E2838" s="627" t="s">
        <v>435</v>
      </c>
      <c r="F2838" s="1007" t="e">
        <v>#VALUE!</v>
      </c>
      <c r="G2838" s="1008"/>
      <c r="H2838" s="1009"/>
      <c r="I2838" s="995"/>
      <c r="J2838" s="996"/>
      <c r="K2838" s="997"/>
      <c r="L2838" s="106" t="s">
        <v>1449</v>
      </c>
      <c r="M2838" s="107" t="e">
        <v>#VALUE!</v>
      </c>
    </row>
    <row r="2839" spans="4:13" ht="25" thickBot="1">
      <c r="E2839" s="628" t="s">
        <v>436</v>
      </c>
      <c r="F2839" s="200" t="s">
        <v>29</v>
      </c>
      <c r="G2839" s="200" t="s">
        <v>28</v>
      </c>
      <c r="H2839" s="201" t="s">
        <v>27</v>
      </c>
      <c r="I2839" s="995"/>
      <c r="J2839" s="996"/>
      <c r="K2839" s="997"/>
      <c r="L2839" s="99"/>
      <c r="M2839" s="100"/>
    </row>
    <row r="2840" spans="4:13" ht="24">
      <c r="E2840" s="629">
        <v>45659</v>
      </c>
      <c r="F2840" s="633">
        <v>49.4</v>
      </c>
      <c r="G2840" s="633" t="s">
        <v>1538</v>
      </c>
      <c r="H2840" s="633">
        <v>49.7</v>
      </c>
      <c r="I2840" s="995"/>
      <c r="J2840" s="996"/>
      <c r="K2840" s="997"/>
      <c r="L2840" s="99"/>
      <c r="M2840" s="100"/>
    </row>
    <row r="2841" spans="4:13" ht="24">
      <c r="E2841" s="629">
        <v>45642</v>
      </c>
      <c r="F2841" s="633">
        <v>48.3</v>
      </c>
      <c r="G2841" s="633" t="s">
        <v>440</v>
      </c>
      <c r="H2841" s="633">
        <v>49.7</v>
      </c>
      <c r="I2841" s="995"/>
      <c r="J2841" s="996"/>
      <c r="K2841" s="997"/>
      <c r="L2841" s="99"/>
      <c r="M2841" s="100"/>
    </row>
    <row r="2842" spans="4:13" ht="24">
      <c r="E2842" s="629">
        <v>45628</v>
      </c>
      <c r="F2842" s="633">
        <v>49.7</v>
      </c>
      <c r="G2842" s="633" t="s">
        <v>510</v>
      </c>
      <c r="H2842" s="633">
        <v>48.5</v>
      </c>
      <c r="I2842" s="995"/>
      <c r="J2842" s="996"/>
      <c r="K2842" s="997"/>
      <c r="L2842" s="101"/>
      <c r="M2842" s="100"/>
    </row>
    <row r="2843" spans="4:13" ht="24">
      <c r="E2843" s="629">
        <v>45618</v>
      </c>
      <c r="F2843" s="633">
        <v>48.8</v>
      </c>
      <c r="G2843" s="633" t="s">
        <v>510</v>
      </c>
      <c r="H2843" s="633">
        <v>48.5</v>
      </c>
      <c r="I2843" s="995"/>
      <c r="J2843" s="996"/>
      <c r="K2843" s="997"/>
      <c r="L2843" s="99"/>
      <c r="M2843" s="100"/>
    </row>
    <row r="2844" spans="4:13" ht="24">
      <c r="E2844" s="629">
        <v>45597</v>
      </c>
      <c r="F2844" s="633">
        <v>48.5</v>
      </c>
      <c r="G2844" s="633" t="s">
        <v>1054</v>
      </c>
      <c r="H2844" s="633">
        <v>47.8</v>
      </c>
      <c r="I2844" s="995"/>
      <c r="J2844" s="996"/>
      <c r="K2844" s="997"/>
      <c r="L2844" s="99"/>
      <c r="M2844" s="100"/>
    </row>
    <row r="2845" spans="4:13" ht="25" thickBot="1">
      <c r="E2845" s="629">
        <v>45589</v>
      </c>
      <c r="F2845" s="633">
        <v>47.8</v>
      </c>
      <c r="G2845" s="633" t="s">
        <v>509</v>
      </c>
      <c r="H2845" s="633">
        <v>47.3</v>
      </c>
      <c r="I2845" s="998"/>
      <c r="J2845" s="999"/>
      <c r="K2845" s="1000"/>
      <c r="L2845" s="102"/>
      <c r="M2845" s="103"/>
    </row>
    <row r="2846" spans="4:13" ht="25" thickBot="1">
      <c r="D2846">
        <v>5</v>
      </c>
      <c r="E2846" s="624" t="s">
        <v>30</v>
      </c>
      <c r="F2846" s="1057" t="e">
        <v>#REF!</v>
      </c>
      <c r="G2846" s="1058"/>
      <c r="H2846" s="1059"/>
      <c r="I2846" s="1060" t="s">
        <v>633</v>
      </c>
      <c r="J2846" s="1061"/>
      <c r="K2846" s="1062"/>
      <c r="L2846" s="158" t="s">
        <v>430</v>
      </c>
      <c r="M2846" s="105" t="s">
        <v>431</v>
      </c>
    </row>
    <row r="2847" spans="4:13" ht="24">
      <c r="E2847" s="625" t="s">
        <v>432</v>
      </c>
      <c r="F2847" s="992"/>
      <c r="G2847" s="993"/>
      <c r="H2847" s="994"/>
      <c r="I2847" s="995" t="e">
        <v>#REF!</v>
      </c>
      <c r="J2847" s="996"/>
      <c r="K2847" s="997"/>
      <c r="L2847" s="99"/>
      <c r="M2847" s="100"/>
    </row>
    <row r="2848" spans="4:13" ht="24">
      <c r="E2848" s="626" t="s">
        <v>433</v>
      </c>
      <c r="F2848" s="1076" t="e">
        <v>#REF!</v>
      </c>
      <c r="G2848" s="1064"/>
      <c r="H2848" s="1065"/>
      <c r="I2848" s="995"/>
      <c r="J2848" s="996"/>
      <c r="K2848" s="997"/>
      <c r="L2848" s="99"/>
      <c r="M2848" s="100"/>
    </row>
    <row r="2849" spans="4:13" ht="25" thickBot="1">
      <c r="E2849" s="626" t="s">
        <v>434</v>
      </c>
      <c r="F2849" s="1063" t="e">
        <v>#REF!</v>
      </c>
      <c r="G2849" s="1064"/>
      <c r="H2849" s="1065"/>
      <c r="I2849" s="995"/>
      <c r="J2849" s="996"/>
      <c r="K2849" s="997"/>
      <c r="L2849" s="99"/>
      <c r="M2849" s="100"/>
    </row>
    <row r="2850" spans="4:13" ht="25" thickBot="1">
      <c r="E2850" s="627" t="s">
        <v>435</v>
      </c>
      <c r="F2850" s="1007" t="e">
        <v>#REF!</v>
      </c>
      <c r="G2850" s="1008"/>
      <c r="H2850" s="1009"/>
      <c r="I2850" s="995"/>
      <c r="J2850" s="996"/>
      <c r="K2850" s="997"/>
      <c r="L2850" s="106" t="e">
        <v>#REF!</v>
      </c>
      <c r="M2850" s="107" t="e">
        <v>#REF!</v>
      </c>
    </row>
    <row r="2851" spans="4:13" ht="25" thickBot="1">
      <c r="E2851" s="628" t="s">
        <v>436</v>
      </c>
      <c r="F2851" s="200" t="s">
        <v>29</v>
      </c>
      <c r="G2851" s="200" t="s">
        <v>28</v>
      </c>
      <c r="H2851" s="201" t="s">
        <v>27</v>
      </c>
      <c r="I2851" s="995"/>
      <c r="J2851" s="996"/>
      <c r="K2851" s="997"/>
      <c r="L2851" s="99"/>
      <c r="M2851" s="100"/>
    </row>
    <row r="2852" spans="4:13" ht="24">
      <c r="E2852" s="629">
        <v>45609</v>
      </c>
      <c r="F2852" s="634">
        <v>2E-3</v>
      </c>
      <c r="G2852" s="634" t="s">
        <v>460</v>
      </c>
      <c r="H2852" s="634">
        <v>2E-3</v>
      </c>
      <c r="I2852" s="995"/>
      <c r="J2852" s="996"/>
      <c r="K2852" s="997"/>
      <c r="L2852" s="99"/>
      <c r="M2852" s="100"/>
    </row>
    <row r="2853" spans="4:13" ht="24">
      <c r="E2853" s="629">
        <v>45575</v>
      </c>
      <c r="F2853" s="634">
        <v>2E-3</v>
      </c>
      <c r="G2853" s="634" t="s">
        <v>462</v>
      </c>
      <c r="H2853" s="634">
        <v>2E-3</v>
      </c>
      <c r="I2853" s="995"/>
      <c r="J2853" s="996"/>
      <c r="K2853" s="997"/>
      <c r="L2853" s="99"/>
      <c r="M2853" s="100"/>
    </row>
    <row r="2854" spans="4:13" ht="24">
      <c r="E2854" s="629">
        <v>45546</v>
      </c>
      <c r="F2854" s="634">
        <v>2E-3</v>
      </c>
      <c r="G2854" s="634" t="s">
        <v>460</v>
      </c>
      <c r="H2854" s="634">
        <v>2E-3</v>
      </c>
      <c r="I2854" s="995"/>
      <c r="J2854" s="996"/>
      <c r="K2854" s="997"/>
      <c r="L2854" s="101"/>
      <c r="M2854" s="100"/>
    </row>
    <row r="2855" spans="4:13" ht="24">
      <c r="E2855" s="629">
        <v>45518</v>
      </c>
      <c r="F2855" s="634">
        <v>2E-3</v>
      </c>
      <c r="G2855" s="634" t="s">
        <v>460</v>
      </c>
      <c r="H2855" s="634">
        <v>-1E-3</v>
      </c>
      <c r="I2855" s="995"/>
      <c r="J2855" s="996"/>
      <c r="K2855" s="997"/>
      <c r="L2855" s="99"/>
      <c r="M2855" s="100"/>
    </row>
    <row r="2856" spans="4:13" ht="24">
      <c r="E2856" s="629">
        <v>45484</v>
      </c>
      <c r="F2856" s="634">
        <v>-1E-3</v>
      </c>
      <c r="G2856" s="634" t="s">
        <v>462</v>
      </c>
      <c r="H2856" s="634">
        <v>0</v>
      </c>
      <c r="I2856" s="995"/>
      <c r="J2856" s="996"/>
      <c r="K2856" s="997"/>
      <c r="L2856" s="99"/>
      <c r="M2856" s="100"/>
    </row>
    <row r="2857" spans="4:13" ht="25" thickBot="1">
      <c r="E2857" s="629">
        <v>45455</v>
      </c>
      <c r="F2857" s="634">
        <v>0</v>
      </c>
      <c r="G2857" s="634" t="s">
        <v>462</v>
      </c>
      <c r="H2857" s="634">
        <v>3.0000000000000001E-3</v>
      </c>
      <c r="I2857" s="998"/>
      <c r="J2857" s="999"/>
      <c r="K2857" s="1000"/>
      <c r="L2857" s="102"/>
      <c r="M2857" s="103"/>
    </row>
    <row r="2858" spans="4:13" ht="25" thickBot="1">
      <c r="D2858">
        <v>6</v>
      </c>
      <c r="E2858" s="624" t="s">
        <v>30</v>
      </c>
      <c r="F2858" s="1057" t="s">
        <v>1493</v>
      </c>
      <c r="G2858" s="1058"/>
      <c r="H2858" s="1059"/>
      <c r="I2858" s="1060" t="s">
        <v>633</v>
      </c>
      <c r="J2858" s="1061"/>
      <c r="K2858" s="1062"/>
      <c r="L2858" s="158" t="s">
        <v>430</v>
      </c>
      <c r="M2858" s="105" t="s">
        <v>431</v>
      </c>
    </row>
    <row r="2859" spans="4:13" ht="24">
      <c r="E2859" s="625" t="s">
        <v>432</v>
      </c>
      <c r="F2859" s="992"/>
      <c r="G2859" s="993"/>
      <c r="H2859" s="994"/>
      <c r="I2859" s="995" t="s">
        <v>1494</v>
      </c>
      <c r="J2859" s="996"/>
      <c r="K2859" s="997"/>
      <c r="L2859" s="99"/>
      <c r="M2859" s="100"/>
    </row>
    <row r="2860" spans="4:13" ht="24">
      <c r="E2860" s="626" t="s">
        <v>433</v>
      </c>
      <c r="F2860" s="1075">
        <v>0</v>
      </c>
      <c r="G2860" s="1073"/>
      <c r="H2860" s="1074"/>
      <c r="I2860" s="995"/>
      <c r="J2860" s="996"/>
      <c r="K2860" s="997"/>
      <c r="L2860" s="99"/>
      <c r="M2860" s="100"/>
    </row>
    <row r="2861" spans="4:13" ht="25" thickBot="1">
      <c r="E2861" s="626" t="s">
        <v>434</v>
      </c>
      <c r="F2861" s="1075">
        <v>0</v>
      </c>
      <c r="G2861" s="1073"/>
      <c r="H2861" s="1074"/>
      <c r="I2861" s="995"/>
      <c r="J2861" s="996"/>
      <c r="K2861" s="997"/>
      <c r="L2861" s="99"/>
      <c r="M2861" s="100"/>
    </row>
    <row r="2862" spans="4:13" ht="25" thickBot="1">
      <c r="E2862" s="627" t="s">
        <v>435</v>
      </c>
      <c r="F2862" s="1007" t="e">
        <v>#VALUE!</v>
      </c>
      <c r="G2862" s="1008"/>
      <c r="H2862" s="1009"/>
      <c r="I2862" s="995"/>
      <c r="J2862" s="996"/>
      <c r="K2862" s="997"/>
      <c r="L2862" s="106" t="s">
        <v>1449</v>
      </c>
      <c r="M2862" s="107" t="e">
        <v>#VALUE!</v>
      </c>
    </row>
    <row r="2863" spans="4:13" ht="25" thickBot="1">
      <c r="E2863" s="628" t="s">
        <v>436</v>
      </c>
      <c r="F2863" s="200" t="s">
        <v>29</v>
      </c>
      <c r="G2863" s="200" t="s">
        <v>28</v>
      </c>
      <c r="H2863" s="201" t="s">
        <v>27</v>
      </c>
      <c r="I2863" s="995"/>
      <c r="J2863" s="996"/>
      <c r="K2863" s="997"/>
      <c r="L2863" s="99"/>
      <c r="M2863" s="100"/>
    </row>
    <row r="2864" spans="4:13" ht="24">
      <c r="E2864" s="629">
        <v>45663</v>
      </c>
      <c r="F2864" s="633">
        <v>56.8</v>
      </c>
      <c r="G2864" s="633" t="s">
        <v>1539</v>
      </c>
      <c r="H2864" s="633">
        <v>56.1</v>
      </c>
      <c r="I2864" s="995"/>
      <c r="J2864" s="996"/>
      <c r="K2864" s="997"/>
      <c r="L2864" s="99"/>
      <c r="M2864" s="100"/>
    </row>
    <row r="2865" spans="4:13" ht="24">
      <c r="E2865" s="629">
        <v>45642</v>
      </c>
      <c r="F2865" s="633">
        <v>58.5</v>
      </c>
      <c r="G2865" s="633" t="s">
        <v>1339</v>
      </c>
      <c r="H2865" s="633">
        <v>56.1</v>
      </c>
      <c r="I2865" s="995"/>
      <c r="J2865" s="996"/>
      <c r="K2865" s="997"/>
      <c r="L2865" s="99"/>
      <c r="M2865" s="100"/>
    </row>
    <row r="2866" spans="4:13" ht="24">
      <c r="E2866" s="629">
        <v>45630</v>
      </c>
      <c r="F2866" s="633">
        <v>56.1</v>
      </c>
      <c r="G2866" s="633" t="s">
        <v>1285</v>
      </c>
      <c r="H2866" s="633">
        <v>55</v>
      </c>
      <c r="I2866" s="995"/>
      <c r="J2866" s="996"/>
      <c r="K2866" s="997"/>
      <c r="L2866" s="101"/>
      <c r="M2866" s="100"/>
    </row>
    <row r="2867" spans="4:13" ht="24">
      <c r="E2867" s="629">
        <v>45618</v>
      </c>
      <c r="F2867" s="633">
        <v>57</v>
      </c>
      <c r="G2867" s="633" t="s">
        <v>586</v>
      </c>
      <c r="H2867" s="633">
        <v>55</v>
      </c>
      <c r="I2867" s="995"/>
      <c r="J2867" s="996"/>
      <c r="K2867" s="997"/>
      <c r="L2867" s="99"/>
      <c r="M2867" s="100"/>
    </row>
    <row r="2868" spans="4:13" ht="24">
      <c r="E2868" s="629">
        <v>45601</v>
      </c>
      <c r="F2868" s="633">
        <v>55</v>
      </c>
      <c r="G2868" s="633" t="s">
        <v>585</v>
      </c>
      <c r="H2868" s="633">
        <v>55.2</v>
      </c>
      <c r="I2868" s="995"/>
      <c r="J2868" s="996"/>
      <c r="K2868" s="997"/>
      <c r="L2868" s="99"/>
      <c r="M2868" s="100"/>
    </row>
    <row r="2869" spans="4:13" ht="25" thickBot="1">
      <c r="E2869" s="629">
        <v>45589</v>
      </c>
      <c r="F2869" s="633">
        <v>55.3</v>
      </c>
      <c r="G2869" s="633" t="s">
        <v>604</v>
      </c>
      <c r="H2869" s="633">
        <v>55.2</v>
      </c>
      <c r="I2869" s="998"/>
      <c r="J2869" s="999"/>
      <c r="K2869" s="1000"/>
      <c r="L2869" s="102"/>
      <c r="M2869" s="103"/>
    </row>
    <row r="2870" spans="4:13" ht="25" thickBot="1">
      <c r="D2870">
        <v>7</v>
      </c>
      <c r="E2870" s="624" t="s">
        <v>30</v>
      </c>
      <c r="F2870" s="1057" t="s">
        <v>1496</v>
      </c>
      <c r="G2870" s="1058"/>
      <c r="H2870" s="1059"/>
      <c r="I2870" s="1060" t="s">
        <v>633</v>
      </c>
      <c r="J2870" s="1061"/>
      <c r="K2870" s="1062"/>
      <c r="L2870" s="158" t="s">
        <v>430</v>
      </c>
      <c r="M2870" s="105" t="s">
        <v>431</v>
      </c>
    </row>
    <row r="2871" spans="4:13" ht="24">
      <c r="E2871" s="625" t="s">
        <v>432</v>
      </c>
      <c r="F2871" s="992"/>
      <c r="G2871" s="993"/>
      <c r="H2871" s="994"/>
      <c r="I2871" s="995" t="s">
        <v>1497</v>
      </c>
      <c r="J2871" s="996"/>
      <c r="K2871" s="997"/>
      <c r="L2871" s="99"/>
      <c r="M2871" s="100"/>
    </row>
    <row r="2872" spans="4:13" ht="24">
      <c r="E2872" s="626" t="s">
        <v>433</v>
      </c>
      <c r="F2872" s="1076">
        <v>0</v>
      </c>
      <c r="G2872" s="1064"/>
      <c r="H2872" s="1065"/>
      <c r="I2872" s="995"/>
      <c r="J2872" s="996"/>
      <c r="K2872" s="997"/>
      <c r="L2872" s="99"/>
      <c r="M2872" s="100"/>
    </row>
    <row r="2873" spans="4:13" ht="25" thickBot="1">
      <c r="E2873" s="626" t="s">
        <v>434</v>
      </c>
      <c r="F2873" s="1063">
        <v>0</v>
      </c>
      <c r="G2873" s="1064"/>
      <c r="H2873" s="1065"/>
      <c r="I2873" s="995"/>
      <c r="J2873" s="996"/>
      <c r="K2873" s="997"/>
      <c r="L2873" s="99"/>
      <c r="M2873" s="100"/>
    </row>
    <row r="2874" spans="4:13" ht="25" thickBot="1">
      <c r="E2874" s="627" t="s">
        <v>435</v>
      </c>
      <c r="F2874" s="1007" t="e">
        <v>#VALUE!</v>
      </c>
      <c r="G2874" s="1008"/>
      <c r="H2874" s="1009"/>
      <c r="I2874" s="995"/>
      <c r="J2874" s="996"/>
      <c r="K2874" s="997"/>
      <c r="L2874" s="106" t="s">
        <v>1449</v>
      </c>
      <c r="M2874" s="107" t="e">
        <v>#VALUE!</v>
      </c>
    </row>
    <row r="2875" spans="4:13" ht="25" thickBot="1">
      <c r="E2875" s="628" t="s">
        <v>436</v>
      </c>
      <c r="F2875" s="200" t="s">
        <v>29</v>
      </c>
      <c r="G2875" s="200" t="s">
        <v>28</v>
      </c>
      <c r="H2875" s="201" t="s">
        <v>27</v>
      </c>
      <c r="I2875" s="995"/>
      <c r="J2875" s="996"/>
      <c r="K2875" s="997"/>
      <c r="L2875" s="99"/>
      <c r="M2875" s="100"/>
    </row>
    <row r="2876" spans="4:13" ht="24">
      <c r="E2876" s="629">
        <v>45645</v>
      </c>
      <c r="F2876" s="634" t="s">
        <v>1540</v>
      </c>
      <c r="G2876" s="634" t="s">
        <v>1541</v>
      </c>
      <c r="H2876" s="634" t="s">
        <v>1043</v>
      </c>
      <c r="I2876" s="995"/>
      <c r="J2876" s="996"/>
      <c r="K2876" s="997"/>
      <c r="L2876" s="99"/>
      <c r="M2876" s="100"/>
    </row>
    <row r="2877" spans="4:13" ht="24">
      <c r="E2877" s="629">
        <v>45617</v>
      </c>
      <c r="F2877" s="634" t="s">
        <v>1043</v>
      </c>
      <c r="G2877" s="634" t="s">
        <v>1044</v>
      </c>
      <c r="H2877" s="634" t="s">
        <v>1293</v>
      </c>
      <c r="I2877" s="995"/>
      <c r="J2877" s="996"/>
      <c r="K2877" s="997"/>
      <c r="L2877" s="99"/>
      <c r="M2877" s="100"/>
    </row>
    <row r="2878" spans="4:13" ht="24">
      <c r="E2878" s="629">
        <v>45588</v>
      </c>
      <c r="F2878" s="634" t="s">
        <v>1039</v>
      </c>
      <c r="G2878" s="634" t="s">
        <v>1040</v>
      </c>
      <c r="H2878" s="634" t="s">
        <v>1040</v>
      </c>
      <c r="I2878" s="995"/>
      <c r="J2878" s="996"/>
      <c r="K2878" s="997"/>
      <c r="L2878" s="101"/>
      <c r="M2878" s="100"/>
    </row>
    <row r="2879" spans="4:13" ht="24">
      <c r="E2879" s="629">
        <v>45554</v>
      </c>
      <c r="F2879" s="634" t="s">
        <v>1041</v>
      </c>
      <c r="G2879" s="634" t="s">
        <v>1042</v>
      </c>
      <c r="H2879" s="634" t="s">
        <v>1043</v>
      </c>
      <c r="I2879" s="995"/>
      <c r="J2879" s="996"/>
      <c r="K2879" s="997"/>
      <c r="L2879" s="99"/>
      <c r="M2879" s="100"/>
    </row>
    <row r="2880" spans="4:13" ht="24">
      <c r="E2880" s="629">
        <v>45526</v>
      </c>
      <c r="F2880" s="634" t="s">
        <v>1044</v>
      </c>
      <c r="G2880" s="634" t="s">
        <v>1045</v>
      </c>
      <c r="H2880" s="634" t="s">
        <v>1046</v>
      </c>
      <c r="I2880" s="995"/>
      <c r="J2880" s="996"/>
      <c r="K2880" s="997"/>
      <c r="L2880" s="99"/>
      <c r="M2880" s="100"/>
    </row>
    <row r="2881" spans="4:13" ht="25" thickBot="1">
      <c r="E2881" s="629">
        <v>45496</v>
      </c>
      <c r="F2881" s="634" t="s">
        <v>1047</v>
      </c>
      <c r="G2881" s="634" t="s">
        <v>1048</v>
      </c>
      <c r="H2881" s="634" t="s">
        <v>1049</v>
      </c>
      <c r="I2881" s="998"/>
      <c r="J2881" s="999"/>
      <c r="K2881" s="1000"/>
      <c r="L2881" s="102"/>
      <c r="M2881" s="103"/>
    </row>
    <row r="2882" spans="4:13" ht="25" thickBot="1">
      <c r="D2882">
        <v>1</v>
      </c>
      <c r="E2882" s="624" t="s">
        <v>30</v>
      </c>
      <c r="F2882" s="1057" t="s">
        <v>1498</v>
      </c>
      <c r="G2882" s="1058"/>
      <c r="H2882" s="1059"/>
      <c r="I2882" s="1060" t="s">
        <v>633</v>
      </c>
      <c r="J2882" s="1061"/>
      <c r="K2882" s="1062"/>
      <c r="L2882" s="158" t="s">
        <v>430</v>
      </c>
      <c r="M2882" s="105" t="s">
        <v>431</v>
      </c>
    </row>
    <row r="2883" spans="4:13" ht="24">
      <c r="E2883" s="625" t="s">
        <v>432</v>
      </c>
      <c r="F2883" s="992"/>
      <c r="G2883" s="993"/>
      <c r="H2883" s="994"/>
      <c r="I2883" s="995" t="s">
        <v>1499</v>
      </c>
      <c r="J2883" s="996"/>
      <c r="K2883" s="997"/>
      <c r="L2883" s="99"/>
      <c r="M2883" s="100"/>
    </row>
    <row r="2884" spans="4:13" ht="24">
      <c r="E2884" s="626" t="s">
        <v>433</v>
      </c>
      <c r="F2884" s="1075">
        <v>3.13</v>
      </c>
      <c r="G2884" s="1073"/>
      <c r="H2884" s="1074"/>
      <c r="I2884" s="995"/>
      <c r="J2884" s="996"/>
      <c r="K2884" s="997"/>
      <c r="L2884" s="99"/>
      <c r="M2884" s="100"/>
    </row>
    <row r="2885" spans="4:13" ht="25" thickBot="1">
      <c r="E2885" s="626" t="s">
        <v>434</v>
      </c>
      <c r="F2885" s="1075">
        <v>2.93</v>
      </c>
      <c r="G2885" s="1073"/>
      <c r="H2885" s="1074"/>
      <c r="I2885" s="995"/>
      <c r="J2885" s="996"/>
      <c r="K2885" s="997"/>
      <c r="L2885" s="99"/>
      <c r="M2885" s="100"/>
    </row>
    <row r="2886" spans="4:13" ht="25" thickBot="1">
      <c r="E2886" s="627" t="s">
        <v>435</v>
      </c>
      <c r="F2886" s="1208">
        <v>0.875</v>
      </c>
      <c r="G2886" s="1209"/>
      <c r="H2886" s="1210"/>
      <c r="I2886" s="995"/>
      <c r="J2886" s="996"/>
      <c r="K2886" s="997"/>
      <c r="L2886" s="106">
        <v>0.10416666666666667</v>
      </c>
      <c r="M2886" s="556">
        <v>0.95833333333333337</v>
      </c>
    </row>
    <row r="2887" spans="4:13" ht="25" thickBot="1">
      <c r="E2887" s="628" t="s">
        <v>436</v>
      </c>
      <c r="F2887" s="200" t="s">
        <v>29</v>
      </c>
      <c r="G2887" s="200" t="s">
        <v>28</v>
      </c>
      <c r="H2887" s="201" t="s">
        <v>27</v>
      </c>
      <c r="I2887" s="995"/>
      <c r="J2887" s="996"/>
      <c r="K2887" s="997"/>
      <c r="L2887" s="99"/>
      <c r="M2887" s="100"/>
    </row>
    <row r="2888" spans="4:13" ht="23">
      <c r="E2888" s="629">
        <v>45595</v>
      </c>
      <c r="F2888" s="217">
        <v>3.3</v>
      </c>
      <c r="G2888" s="217">
        <v>3.08</v>
      </c>
      <c r="H2888" s="217">
        <v>2.99</v>
      </c>
      <c r="I2888" s="995"/>
      <c r="J2888" s="996"/>
      <c r="K2888" s="997"/>
      <c r="L2888" s="99"/>
      <c r="M2888" s="100"/>
    </row>
    <row r="2889" spans="4:13" ht="23">
      <c r="E2889" s="629">
        <v>45503</v>
      </c>
      <c r="F2889" s="217">
        <v>2.95</v>
      </c>
      <c r="G2889" s="217">
        <v>2.9</v>
      </c>
      <c r="H2889" s="217">
        <v>2.94</v>
      </c>
      <c r="I2889" s="995"/>
      <c r="J2889" s="996"/>
      <c r="K2889" s="997"/>
      <c r="L2889" s="99"/>
      <c r="M2889" s="100"/>
    </row>
    <row r="2890" spans="4:13" ht="23">
      <c r="E2890" s="629">
        <v>45407</v>
      </c>
      <c r="F2890" s="217">
        <v>2.94</v>
      </c>
      <c r="G2890" s="217">
        <v>2.81</v>
      </c>
      <c r="H2890" s="217">
        <v>2.93</v>
      </c>
      <c r="I2890" s="995"/>
      <c r="J2890" s="996"/>
      <c r="K2890" s="997"/>
      <c r="L2890" s="101"/>
      <c r="M2890" s="100"/>
    </row>
    <row r="2891" spans="4:13" ht="23">
      <c r="E2891" s="629">
        <v>45321</v>
      </c>
      <c r="F2891" s="217">
        <v>2.93</v>
      </c>
      <c r="G2891" s="217">
        <v>2.76</v>
      </c>
      <c r="H2891" s="217">
        <v>2.69</v>
      </c>
      <c r="I2891" s="995"/>
      <c r="J2891" s="996"/>
      <c r="K2891" s="997"/>
      <c r="L2891" s="99"/>
      <c r="M2891" s="100"/>
    </row>
    <row r="2892" spans="4:13" ht="23">
      <c r="E2892" s="629">
        <v>45223</v>
      </c>
      <c r="F2892" s="217">
        <v>2.99</v>
      </c>
      <c r="G2892" s="217">
        <v>2.65</v>
      </c>
      <c r="H2892" s="217">
        <v>2.35</v>
      </c>
      <c r="I2892" s="995"/>
      <c r="J2892" s="996"/>
      <c r="K2892" s="997"/>
      <c r="L2892" s="99"/>
      <c r="M2892" s="100"/>
    </row>
    <row r="2893" spans="4:13" ht="24" thickBot="1">
      <c r="E2893" s="629">
        <v>45132</v>
      </c>
      <c r="F2893" s="217">
        <v>2.69</v>
      </c>
      <c r="G2893" s="217">
        <v>2.5499999999999998</v>
      </c>
      <c r="H2893" s="217">
        <v>2.23</v>
      </c>
      <c r="I2893" s="998"/>
      <c r="J2893" s="999"/>
      <c r="K2893" s="1000"/>
      <c r="L2893" s="102"/>
      <c r="M2893" s="103"/>
    </row>
    <row r="2894" spans="4:13" ht="25" thickBot="1">
      <c r="D2894">
        <v>1</v>
      </c>
      <c r="E2894" s="624" t="s">
        <v>30</v>
      </c>
      <c r="F2894" s="1057" t="s">
        <v>1500</v>
      </c>
      <c r="G2894" s="1058"/>
      <c r="H2894" s="1059"/>
      <c r="I2894" s="1060" t="s">
        <v>633</v>
      </c>
      <c r="J2894" s="1061"/>
      <c r="K2894" s="1062"/>
      <c r="L2894" s="158" t="s">
        <v>430</v>
      </c>
      <c r="M2894" s="105" t="s">
        <v>431</v>
      </c>
    </row>
    <row r="2895" spans="4:13" ht="24">
      <c r="E2895" s="625" t="s">
        <v>432</v>
      </c>
      <c r="F2895" s="992"/>
      <c r="G2895" s="993"/>
      <c r="H2895" s="994"/>
      <c r="I2895" s="995" t="s">
        <v>1499</v>
      </c>
      <c r="J2895" s="996"/>
      <c r="K2895" s="997"/>
      <c r="L2895" s="99"/>
      <c r="M2895" s="100"/>
    </row>
    <row r="2896" spans="4:13" ht="24">
      <c r="E2896" s="626" t="s">
        <v>433</v>
      </c>
      <c r="F2896" s="1075">
        <v>0.64</v>
      </c>
      <c r="G2896" s="1073"/>
      <c r="H2896" s="1074"/>
      <c r="I2896" s="995"/>
      <c r="J2896" s="996"/>
      <c r="K2896" s="997"/>
      <c r="L2896" s="99"/>
      <c r="M2896" s="100"/>
    </row>
    <row r="2897" spans="4:13" ht="25" thickBot="1">
      <c r="E2897" s="626" t="s">
        <v>434</v>
      </c>
      <c r="F2897" s="1075">
        <v>0.56999999999999995</v>
      </c>
      <c r="G2897" s="1073"/>
      <c r="H2897" s="1074"/>
      <c r="I2897" s="995"/>
      <c r="J2897" s="996"/>
      <c r="K2897" s="997"/>
      <c r="L2897" s="99"/>
      <c r="M2897" s="100"/>
    </row>
    <row r="2898" spans="4:13" ht="25" thickBot="1">
      <c r="E2898" s="627" t="s">
        <v>435</v>
      </c>
      <c r="F2898" s="1208">
        <v>0.875</v>
      </c>
      <c r="G2898" s="1209"/>
      <c r="H2898" s="1210"/>
      <c r="I2898" s="995"/>
      <c r="J2898" s="996"/>
      <c r="K2898" s="997"/>
      <c r="L2898" s="106">
        <v>0.10416666666666667</v>
      </c>
      <c r="M2898" s="556">
        <v>0.95833333333333337</v>
      </c>
    </row>
    <row r="2899" spans="4:13" ht="25" thickBot="1">
      <c r="E2899" s="628" t="s">
        <v>436</v>
      </c>
      <c r="F2899" s="200" t="s">
        <v>29</v>
      </c>
      <c r="G2899" s="200" t="s">
        <v>28</v>
      </c>
      <c r="H2899" s="201" t="s">
        <v>27</v>
      </c>
      <c r="I2899" s="995"/>
      <c r="J2899" s="996"/>
      <c r="K2899" s="997"/>
      <c r="L2899" s="99"/>
      <c r="M2899" s="100"/>
    </row>
    <row r="2900" spans="4:13" ht="23">
      <c r="E2900" s="629">
        <v>45588</v>
      </c>
      <c r="F2900" s="217">
        <v>0.62</v>
      </c>
      <c r="G2900" s="217">
        <v>0.46</v>
      </c>
      <c r="H2900" s="217">
        <v>0.53</v>
      </c>
      <c r="I2900" s="995"/>
      <c r="J2900" s="996"/>
      <c r="K2900" s="997"/>
      <c r="L2900" s="99"/>
      <c r="M2900" s="100"/>
    </row>
    <row r="2901" spans="4:13" ht="23">
      <c r="E2901" s="629">
        <v>45496</v>
      </c>
      <c r="F2901" s="217">
        <v>0.42</v>
      </c>
      <c r="G2901" s="217">
        <v>0.46</v>
      </c>
      <c r="H2901" s="217">
        <v>0.35</v>
      </c>
      <c r="I2901" s="995"/>
      <c r="J2901" s="996"/>
      <c r="K2901" s="997"/>
      <c r="L2901" s="99"/>
      <c r="M2901" s="100"/>
    </row>
    <row r="2902" spans="4:13" ht="23">
      <c r="E2902" s="629">
        <v>45405</v>
      </c>
      <c r="F2902" s="217">
        <v>0.35</v>
      </c>
      <c r="G2902" s="217">
        <v>0.35</v>
      </c>
      <c r="H2902" s="217">
        <v>0.56999999999999995</v>
      </c>
      <c r="I2902" s="995"/>
      <c r="J2902" s="996"/>
      <c r="K2902" s="997"/>
      <c r="L2902" s="101"/>
      <c r="M2902" s="100"/>
    </row>
    <row r="2903" spans="4:13" ht="23">
      <c r="E2903" s="629">
        <v>45293</v>
      </c>
      <c r="F2903" s="217">
        <v>0.56999999999999995</v>
      </c>
      <c r="G2903" s="217">
        <v>0.6</v>
      </c>
      <c r="H2903" s="217">
        <v>0.78</v>
      </c>
      <c r="I2903" s="995"/>
      <c r="J2903" s="996"/>
      <c r="K2903" s="997"/>
      <c r="L2903" s="99"/>
      <c r="M2903" s="100"/>
    </row>
    <row r="2904" spans="4:13" ht="23">
      <c r="E2904" s="629">
        <v>45583</v>
      </c>
      <c r="F2904" s="217">
        <v>0.53</v>
      </c>
      <c r="G2904" s="217">
        <v>0.64</v>
      </c>
      <c r="H2904" s="217">
        <v>0.95</v>
      </c>
      <c r="I2904" s="995"/>
      <c r="J2904" s="996"/>
      <c r="K2904" s="997"/>
      <c r="L2904" s="99"/>
      <c r="M2904" s="100"/>
    </row>
    <row r="2905" spans="4:13" ht="24" thickBot="1">
      <c r="E2905" s="629">
        <v>374210</v>
      </c>
      <c r="F2905" s="217">
        <v>0.78</v>
      </c>
      <c r="G2905" s="217">
        <v>0.8</v>
      </c>
      <c r="H2905" s="217">
        <v>0.65</v>
      </c>
      <c r="I2905" s="998"/>
      <c r="J2905" s="999"/>
      <c r="K2905" s="1000"/>
      <c r="L2905" s="102"/>
      <c r="M2905" s="103"/>
    </row>
    <row r="2906" spans="4:13" ht="25" thickBot="1">
      <c r="D2906">
        <v>8</v>
      </c>
      <c r="E2906" s="624" t="s">
        <v>30</v>
      </c>
      <c r="F2906" s="1057" t="s">
        <v>1501</v>
      </c>
      <c r="G2906" s="1058"/>
      <c r="H2906" s="1059"/>
      <c r="I2906" s="1060" t="s">
        <v>633</v>
      </c>
      <c r="J2906" s="1061"/>
      <c r="K2906" s="1062"/>
      <c r="L2906" s="158" t="s">
        <v>430</v>
      </c>
      <c r="M2906" s="105" t="s">
        <v>431</v>
      </c>
    </row>
    <row r="2907" spans="4:13" ht="24">
      <c r="E2907" s="625" t="s">
        <v>432</v>
      </c>
      <c r="F2907" s="992"/>
      <c r="G2907" s="993"/>
      <c r="H2907" s="994"/>
      <c r="I2907" s="995" t="s">
        <v>1502</v>
      </c>
      <c r="J2907" s="996"/>
      <c r="K2907" s="997"/>
      <c r="L2907" s="99"/>
      <c r="M2907" s="100"/>
    </row>
    <row r="2908" spans="4:13" ht="24">
      <c r="E2908" s="626" t="s">
        <v>433</v>
      </c>
      <c r="F2908" s="1063">
        <v>0.03</v>
      </c>
      <c r="G2908" s="1064"/>
      <c r="H2908" s="1065"/>
      <c r="I2908" s="995"/>
      <c r="J2908" s="996"/>
      <c r="K2908" s="997"/>
      <c r="L2908" s="99"/>
      <c r="M2908" s="100"/>
    </row>
    <row r="2909" spans="4:13" ht="25" thickBot="1">
      <c r="E2909" s="626" t="s">
        <v>434</v>
      </c>
      <c r="F2909" s="1063">
        <v>3.2500000000000001E-2</v>
      </c>
      <c r="G2909" s="1064"/>
      <c r="H2909" s="1065"/>
      <c r="I2909" s="995"/>
      <c r="J2909" s="996"/>
      <c r="K2909" s="997"/>
      <c r="L2909" s="99"/>
      <c r="M2909" s="100"/>
    </row>
    <row r="2910" spans="4:13" ht="25" thickBot="1">
      <c r="E2910" s="627" t="s">
        <v>435</v>
      </c>
      <c r="F2910" s="1007">
        <v>0.61458333333333337</v>
      </c>
      <c r="G2910" s="1008"/>
      <c r="H2910" s="1009"/>
      <c r="I2910" s="995"/>
      <c r="J2910" s="996"/>
      <c r="K2910" s="997"/>
      <c r="L2910" s="106">
        <v>0.84375</v>
      </c>
      <c r="M2910" s="107">
        <v>0.69791666666666663</v>
      </c>
    </row>
    <row r="2911" spans="4:13" ht="25" thickBot="1">
      <c r="E2911" s="628" t="s">
        <v>436</v>
      </c>
      <c r="F2911" s="200" t="s">
        <v>29</v>
      </c>
      <c r="G2911" s="200" t="s">
        <v>28</v>
      </c>
      <c r="H2911" s="201" t="s">
        <v>27</v>
      </c>
      <c r="I2911" s="995"/>
      <c r="J2911" s="996"/>
      <c r="K2911" s="997"/>
      <c r="L2911" s="99"/>
      <c r="M2911" s="100"/>
    </row>
    <row r="2912" spans="4:13" ht="24">
      <c r="E2912" s="629">
        <v>45637</v>
      </c>
      <c r="F2912" s="632">
        <v>3.2500000000000001E-2</v>
      </c>
      <c r="G2912" s="632" t="s">
        <v>1542</v>
      </c>
      <c r="H2912" s="632">
        <v>3.7499999999999999E-2</v>
      </c>
      <c r="I2912" s="995"/>
      <c r="J2912" s="996"/>
      <c r="K2912" s="997"/>
      <c r="L2912" s="99"/>
      <c r="M2912" s="100"/>
    </row>
    <row r="2913" spans="4:13" ht="24">
      <c r="E2913" s="629">
        <v>45588</v>
      </c>
      <c r="F2913" s="632">
        <v>3.7499999999999999E-2</v>
      </c>
      <c r="G2913" s="632" t="s">
        <v>1543</v>
      </c>
      <c r="H2913" s="632">
        <v>4.2500000000000003E-2</v>
      </c>
      <c r="I2913" s="995"/>
      <c r="J2913" s="996"/>
      <c r="K2913" s="997"/>
      <c r="L2913" s="99"/>
      <c r="M2913" s="100"/>
    </row>
    <row r="2914" spans="4:13" ht="24">
      <c r="E2914" s="629">
        <v>45539</v>
      </c>
      <c r="F2914" s="632">
        <v>4.2500000000000003E-2</v>
      </c>
      <c r="G2914" s="632" t="s">
        <v>723</v>
      </c>
      <c r="H2914" s="632">
        <v>4.4999999999999998E-2</v>
      </c>
      <c r="I2914" s="995"/>
      <c r="J2914" s="996"/>
      <c r="K2914" s="997"/>
      <c r="L2914" s="101"/>
      <c r="M2914" s="100"/>
    </row>
    <row r="2915" spans="4:13" ht="24">
      <c r="E2915" s="629">
        <v>45497</v>
      </c>
      <c r="F2915" s="632">
        <v>4.4999999999999998E-2</v>
      </c>
      <c r="G2915" s="632" t="s">
        <v>725</v>
      </c>
      <c r="H2915" s="632">
        <v>4.7500000000000001E-2</v>
      </c>
      <c r="I2915" s="995"/>
      <c r="J2915" s="996"/>
      <c r="K2915" s="997"/>
      <c r="L2915" s="99"/>
      <c r="M2915" s="100"/>
    </row>
    <row r="2916" spans="4:13" ht="24">
      <c r="E2916" s="629">
        <v>45448</v>
      </c>
      <c r="F2916" s="632">
        <v>4.7500000000000001E-2</v>
      </c>
      <c r="G2916" s="632" t="s">
        <v>726</v>
      </c>
      <c r="H2916" s="632">
        <v>0.05</v>
      </c>
      <c r="I2916" s="995"/>
      <c r="J2916" s="996"/>
      <c r="K2916" s="997"/>
      <c r="L2916" s="99"/>
      <c r="M2916" s="100"/>
    </row>
    <row r="2917" spans="4:13" ht="25" thickBot="1">
      <c r="E2917" s="629">
        <v>45392</v>
      </c>
      <c r="F2917" s="632">
        <v>0.05</v>
      </c>
      <c r="G2917" s="632" t="s">
        <v>728</v>
      </c>
      <c r="H2917" s="632">
        <v>0.05</v>
      </c>
      <c r="I2917" s="998"/>
      <c r="J2917" s="999"/>
      <c r="K2917" s="1000"/>
      <c r="L2917" s="102"/>
      <c r="M2917" s="103"/>
    </row>
    <row r="2918" spans="4:13" ht="25" thickBot="1">
      <c r="D2918">
        <v>9</v>
      </c>
      <c r="E2918" s="624" t="s">
        <v>30</v>
      </c>
      <c r="F2918" s="1057" t="s">
        <v>1503</v>
      </c>
      <c r="G2918" s="1058"/>
      <c r="H2918" s="1059"/>
      <c r="I2918" s="1060" t="s">
        <v>633</v>
      </c>
      <c r="J2918" s="1061"/>
      <c r="K2918" s="1062"/>
      <c r="L2918" s="158" t="s">
        <v>430</v>
      </c>
      <c r="M2918" s="105" t="s">
        <v>431</v>
      </c>
    </row>
    <row r="2919" spans="4:13" ht="24">
      <c r="D2919" s="89"/>
      <c r="E2919" s="625" t="s">
        <v>432</v>
      </c>
      <c r="F2919" s="992"/>
      <c r="G2919" s="993"/>
      <c r="H2919" s="994"/>
      <c r="I2919" s="995" t="s">
        <v>1505</v>
      </c>
      <c r="J2919" s="996"/>
      <c r="K2919" s="997"/>
      <c r="L2919" s="99"/>
      <c r="M2919" s="100"/>
    </row>
    <row r="2920" spans="4:13" ht="24">
      <c r="D2920" s="89"/>
      <c r="E2920" s="626" t="s">
        <v>433</v>
      </c>
      <c r="F2920" s="1063"/>
      <c r="G2920" s="1064"/>
      <c r="H2920" s="1065"/>
      <c r="I2920" s="995"/>
      <c r="J2920" s="996"/>
      <c r="K2920" s="997"/>
      <c r="L2920" s="99"/>
      <c r="M2920" s="100"/>
    </row>
    <row r="2921" spans="4:13" ht="25" thickBot="1">
      <c r="D2921" s="89"/>
      <c r="E2921" s="626" t="s">
        <v>434</v>
      </c>
      <c r="F2921" s="1063" t="s">
        <v>1504</v>
      </c>
      <c r="G2921" s="1064"/>
      <c r="H2921" s="1065"/>
      <c r="I2921" s="995"/>
      <c r="J2921" s="996"/>
      <c r="K2921" s="997"/>
      <c r="L2921" s="99"/>
      <c r="M2921" s="100"/>
    </row>
    <row r="2922" spans="4:13" ht="25" thickBot="1">
      <c r="D2922" s="89"/>
      <c r="E2922" s="627" t="s">
        <v>435</v>
      </c>
      <c r="F2922" s="1007">
        <v>0.64583333333333337</v>
      </c>
      <c r="G2922" s="1008"/>
      <c r="H2922" s="1009"/>
      <c r="I2922" s="995"/>
      <c r="J2922" s="996"/>
      <c r="K2922" s="997"/>
      <c r="L2922" s="106">
        <v>0.875</v>
      </c>
      <c r="M2922" s="107">
        <v>0.72916666666666663</v>
      </c>
    </row>
    <row r="2923" spans="4:13" ht="25" thickBot="1">
      <c r="D2923" s="89"/>
      <c r="E2923" s="628" t="s">
        <v>436</v>
      </c>
      <c r="F2923" s="200" t="s">
        <v>29</v>
      </c>
      <c r="G2923" s="200" t="s">
        <v>28</v>
      </c>
      <c r="H2923" s="201" t="s">
        <v>27</v>
      </c>
      <c r="I2923" s="995"/>
      <c r="J2923" s="996"/>
      <c r="K2923" s="997"/>
      <c r="L2923" s="99"/>
      <c r="M2923" s="100"/>
    </row>
    <row r="2924" spans="4:13" ht="24">
      <c r="D2924" s="89"/>
      <c r="E2924" s="629">
        <v>45680</v>
      </c>
      <c r="F2924" s="635" t="s">
        <v>1544</v>
      </c>
      <c r="G2924" s="635" t="s">
        <v>1545</v>
      </c>
      <c r="H2924" s="635" t="s">
        <v>1546</v>
      </c>
      <c r="I2924" s="995"/>
      <c r="J2924" s="996"/>
      <c r="K2924" s="997"/>
      <c r="L2924" s="99"/>
      <c r="M2924" s="100"/>
    </row>
    <row r="2925" spans="4:13" ht="24">
      <c r="D2925" s="89"/>
      <c r="E2925" s="629">
        <v>45672</v>
      </c>
      <c r="F2925" s="635" t="s">
        <v>1546</v>
      </c>
      <c r="G2925" s="635" t="s">
        <v>1547</v>
      </c>
      <c r="H2925" s="635" t="s">
        <v>1436</v>
      </c>
      <c r="I2925" s="995"/>
      <c r="J2925" s="996"/>
      <c r="K2925" s="997"/>
      <c r="L2925" s="99"/>
      <c r="M2925" s="100"/>
    </row>
    <row r="2926" spans="4:13" ht="24">
      <c r="D2926" s="89"/>
      <c r="E2926" s="629">
        <v>45665</v>
      </c>
      <c r="F2926" s="635" t="s">
        <v>1436</v>
      </c>
      <c r="G2926" s="635" t="s">
        <v>1437</v>
      </c>
      <c r="H2926" s="635" t="s">
        <v>1391</v>
      </c>
      <c r="I2926" s="995"/>
      <c r="J2926" s="996"/>
      <c r="K2926" s="997"/>
      <c r="L2926" s="101"/>
      <c r="M2926" s="100"/>
    </row>
    <row r="2927" spans="4:13" ht="24">
      <c r="D2927" s="89"/>
      <c r="E2927" s="629">
        <v>45659</v>
      </c>
      <c r="F2927" s="635" t="s">
        <v>1391</v>
      </c>
      <c r="G2927" s="635" t="s">
        <v>1392</v>
      </c>
      <c r="H2927" s="635" t="s">
        <v>1342</v>
      </c>
      <c r="I2927" s="995"/>
      <c r="J2927" s="996"/>
      <c r="K2927" s="997"/>
      <c r="L2927" s="99"/>
      <c r="M2927" s="100"/>
    </row>
    <row r="2928" spans="4:13" ht="24">
      <c r="D2928" s="89"/>
      <c r="E2928" s="629">
        <v>45653</v>
      </c>
      <c r="F2928" s="635" t="s">
        <v>1342</v>
      </c>
      <c r="G2928" s="635" t="s">
        <v>1343</v>
      </c>
      <c r="H2928" s="635" t="s">
        <v>1318</v>
      </c>
      <c r="I2928" s="995"/>
      <c r="J2928" s="996"/>
      <c r="K2928" s="997"/>
      <c r="L2928" s="99"/>
      <c r="M2928" s="100"/>
    </row>
    <row r="2929" spans="4:13" ht="25" thickBot="1">
      <c r="D2929" s="89"/>
      <c r="E2929" s="629">
        <v>45644</v>
      </c>
      <c r="F2929" s="635" t="s">
        <v>1318</v>
      </c>
      <c r="G2929" s="635" t="s">
        <v>1289</v>
      </c>
      <c r="H2929" s="635" t="s">
        <v>1286</v>
      </c>
      <c r="I2929" s="998"/>
      <c r="J2929" s="999"/>
      <c r="K2929" s="1000"/>
      <c r="L2929" s="102"/>
      <c r="M2929" s="103"/>
    </row>
    <row r="2930" spans="4:13" ht="25" thickBot="1">
      <c r="D2930">
        <v>10</v>
      </c>
      <c r="E2930" s="624" t="s">
        <v>30</v>
      </c>
      <c r="F2930" s="1057" t="s">
        <v>1483</v>
      </c>
      <c r="G2930" s="1058"/>
      <c r="H2930" s="1059"/>
      <c r="I2930" s="1060" t="s">
        <v>633</v>
      </c>
      <c r="J2930" s="1061"/>
      <c r="K2930" s="1062"/>
      <c r="L2930" s="158" t="s">
        <v>430</v>
      </c>
      <c r="M2930" s="105" t="s">
        <v>431</v>
      </c>
    </row>
    <row r="2931" spans="4:13" ht="24">
      <c r="D2931" s="89"/>
      <c r="E2931" s="625" t="s">
        <v>432</v>
      </c>
      <c r="F2931" s="992"/>
      <c r="G2931" s="993"/>
      <c r="H2931" s="994"/>
      <c r="I2931" s="995" t="s">
        <v>1484</v>
      </c>
      <c r="J2931" s="996"/>
      <c r="K2931" s="997"/>
      <c r="L2931" s="99"/>
      <c r="M2931" s="100"/>
    </row>
    <row r="2932" spans="4:13" ht="24">
      <c r="D2932" s="89"/>
      <c r="E2932" s="626" t="s">
        <v>433</v>
      </c>
      <c r="F2932" s="1063">
        <v>0</v>
      </c>
      <c r="G2932" s="1064"/>
      <c r="H2932" s="1065"/>
      <c r="I2932" s="995"/>
      <c r="J2932" s="996"/>
      <c r="K2932" s="997"/>
      <c r="L2932" s="99"/>
      <c r="M2932" s="100"/>
    </row>
    <row r="2933" spans="4:13" ht="25" thickBot="1">
      <c r="D2933" s="89"/>
      <c r="E2933" s="626" t="s">
        <v>434</v>
      </c>
      <c r="F2933" s="1063">
        <v>0</v>
      </c>
      <c r="G2933" s="1064"/>
      <c r="H2933" s="1065"/>
      <c r="I2933" s="995"/>
      <c r="J2933" s="996"/>
      <c r="K2933" s="997"/>
      <c r="L2933" s="99"/>
      <c r="M2933" s="100"/>
    </row>
    <row r="2934" spans="4:13" ht="25" thickBot="1">
      <c r="D2934" s="89"/>
      <c r="E2934" s="627" t="s">
        <v>435</v>
      </c>
      <c r="F2934" s="1007" t="e">
        <v>#VALUE!</v>
      </c>
      <c r="G2934" s="1008"/>
      <c r="H2934" s="1009"/>
      <c r="I2934" s="995"/>
      <c r="J2934" s="996"/>
      <c r="K2934" s="997"/>
      <c r="L2934" s="106" t="s">
        <v>1449</v>
      </c>
      <c r="M2934" s="107" t="e">
        <v>#VALUE!</v>
      </c>
    </row>
    <row r="2935" spans="4:13" ht="25" thickBot="1">
      <c r="D2935" s="89"/>
      <c r="E2935" s="628" t="s">
        <v>436</v>
      </c>
      <c r="F2935" s="200" t="s">
        <v>29</v>
      </c>
      <c r="G2935" s="200" t="s">
        <v>28</v>
      </c>
      <c r="H2935" s="201" t="s">
        <v>27</v>
      </c>
      <c r="I2935" s="995"/>
      <c r="J2935" s="996"/>
      <c r="K2935" s="997"/>
      <c r="L2935" s="99"/>
      <c r="M2935" s="100"/>
    </row>
    <row r="2936" spans="4:13" ht="24">
      <c r="D2936" s="89"/>
      <c r="E2936" s="629">
        <v>45643</v>
      </c>
      <c r="F2936" s="635">
        <v>2E-3</v>
      </c>
      <c r="G2936" s="635" t="s">
        <v>452</v>
      </c>
      <c r="H2936" s="635">
        <v>2E-3</v>
      </c>
      <c r="I2936" s="995"/>
      <c r="J2936" s="996"/>
      <c r="K2936" s="997"/>
      <c r="L2936" s="99"/>
      <c r="M2936" s="100"/>
    </row>
    <row r="2937" spans="4:13" ht="24">
      <c r="D2937" s="89"/>
      <c r="E2937" s="629">
        <v>45611</v>
      </c>
      <c r="F2937" s="635">
        <v>1E-3</v>
      </c>
      <c r="G2937" s="635" t="s">
        <v>467</v>
      </c>
      <c r="H2937" s="635">
        <v>0.01</v>
      </c>
      <c r="I2937" s="995"/>
      <c r="J2937" s="996"/>
      <c r="K2937" s="997"/>
      <c r="L2937" s="99"/>
      <c r="M2937" s="100"/>
    </row>
    <row r="2938" spans="4:13" ht="24">
      <c r="D2938" s="89"/>
      <c r="E2938" s="629">
        <v>45582</v>
      </c>
      <c r="F2938" s="635">
        <v>5.0000000000000001E-3</v>
      </c>
      <c r="G2938" s="635" t="s">
        <v>462</v>
      </c>
      <c r="H2938" s="635">
        <v>2E-3</v>
      </c>
      <c r="I2938" s="995"/>
      <c r="J2938" s="996"/>
      <c r="K2938" s="997"/>
      <c r="L2938" s="101"/>
      <c r="M2938" s="100"/>
    </row>
    <row r="2939" spans="4:13" ht="24">
      <c r="D2939" s="89"/>
      <c r="E2939" s="629">
        <v>45552</v>
      </c>
      <c r="F2939" s="635">
        <v>1E-3</v>
      </c>
      <c r="G2939" s="635" t="s">
        <v>460</v>
      </c>
      <c r="H2939" s="635">
        <v>4.0000000000000001E-3</v>
      </c>
      <c r="I2939" s="995"/>
      <c r="J2939" s="996"/>
      <c r="K2939" s="997"/>
      <c r="L2939" s="99"/>
      <c r="M2939" s="100"/>
    </row>
    <row r="2940" spans="4:13" ht="24">
      <c r="D2940" s="89"/>
      <c r="E2940" s="629">
        <v>45519</v>
      </c>
      <c r="F2940" s="635">
        <v>4.0000000000000001E-3</v>
      </c>
      <c r="G2940" s="635" t="s">
        <v>462</v>
      </c>
      <c r="H2940" s="635">
        <v>5.0000000000000001E-3</v>
      </c>
      <c r="I2940" s="995"/>
      <c r="J2940" s="996"/>
      <c r="K2940" s="997"/>
      <c r="L2940" s="99"/>
      <c r="M2940" s="100"/>
    </row>
    <row r="2941" spans="4:13" ht="25" thickBot="1">
      <c r="D2941" s="89"/>
      <c r="E2941" s="629">
        <v>45489</v>
      </c>
      <c r="F2941" s="635">
        <v>4.0000000000000001E-3</v>
      </c>
      <c r="G2941" s="635" t="s">
        <v>462</v>
      </c>
      <c r="H2941" s="635">
        <v>1E-3</v>
      </c>
      <c r="I2941" s="998"/>
      <c r="J2941" s="999"/>
      <c r="K2941" s="1000"/>
      <c r="L2941" s="102"/>
      <c r="M2941" s="103"/>
    </row>
    <row r="2942" spans="4:13" ht="25" thickBot="1">
      <c r="D2942">
        <v>11</v>
      </c>
      <c r="E2942" s="624" t="s">
        <v>30</v>
      </c>
      <c r="F2942" s="1057" t="s">
        <v>1486</v>
      </c>
      <c r="G2942" s="1058"/>
      <c r="H2942" s="1059"/>
      <c r="I2942" s="1060" t="s">
        <v>633</v>
      </c>
      <c r="J2942" s="1061"/>
      <c r="K2942" s="1062"/>
      <c r="L2942" s="158" t="s">
        <v>430</v>
      </c>
      <c r="M2942" s="105" t="s">
        <v>431</v>
      </c>
    </row>
    <row r="2943" spans="4:13" ht="24">
      <c r="D2943" s="89"/>
      <c r="E2943" s="625" t="s">
        <v>432</v>
      </c>
      <c r="F2943" s="992"/>
      <c r="G2943" s="993"/>
      <c r="H2943" s="994"/>
      <c r="I2943" s="995" t="s">
        <v>1487</v>
      </c>
      <c r="J2943" s="996"/>
      <c r="K2943" s="997"/>
      <c r="L2943" s="99"/>
      <c r="M2943" s="100"/>
    </row>
    <row r="2944" spans="4:13" ht="24">
      <c r="D2944" s="89"/>
      <c r="E2944" s="626" t="s">
        <v>433</v>
      </c>
      <c r="F2944" s="1063">
        <v>0</v>
      </c>
      <c r="G2944" s="1064"/>
      <c r="H2944" s="1065"/>
      <c r="I2944" s="995"/>
      <c r="J2944" s="996"/>
      <c r="K2944" s="997"/>
      <c r="L2944" s="99"/>
      <c r="M2944" s="100"/>
    </row>
    <row r="2945" spans="4:13" ht="25" thickBot="1">
      <c r="D2945" s="89"/>
      <c r="E2945" s="626" t="s">
        <v>434</v>
      </c>
      <c r="F2945" s="1063">
        <v>0</v>
      </c>
      <c r="G2945" s="1064"/>
      <c r="H2945" s="1065"/>
      <c r="I2945" s="995"/>
      <c r="J2945" s="996"/>
      <c r="K2945" s="997"/>
      <c r="L2945" s="99"/>
      <c r="M2945" s="100"/>
    </row>
    <row r="2946" spans="4:13" ht="25" thickBot="1">
      <c r="D2946" s="89"/>
      <c r="E2946" s="627" t="s">
        <v>435</v>
      </c>
      <c r="F2946" s="1007" t="e">
        <v>#VALUE!</v>
      </c>
      <c r="G2946" s="1008"/>
      <c r="H2946" s="1009"/>
      <c r="I2946" s="995"/>
      <c r="J2946" s="996"/>
      <c r="K2946" s="997"/>
      <c r="L2946" s="106" t="s">
        <v>1449</v>
      </c>
      <c r="M2946" s="107" t="e">
        <v>#VALUE!</v>
      </c>
    </row>
    <row r="2947" spans="4:13" ht="25" thickBot="1">
      <c r="D2947" s="89"/>
      <c r="E2947" s="628" t="s">
        <v>436</v>
      </c>
      <c r="F2947" s="200" t="s">
        <v>29</v>
      </c>
      <c r="G2947" s="200" t="s">
        <v>28</v>
      </c>
      <c r="H2947" s="201" t="s">
        <v>27</v>
      </c>
      <c r="I2947" s="995"/>
      <c r="J2947" s="996"/>
      <c r="K2947" s="997"/>
      <c r="L2947" s="99"/>
      <c r="M2947" s="100"/>
    </row>
    <row r="2948" spans="4:13" ht="24">
      <c r="D2948" s="89"/>
      <c r="E2948" s="629">
        <v>45665</v>
      </c>
      <c r="F2948" s="635" t="s">
        <v>1438</v>
      </c>
      <c r="G2948" s="635" t="s">
        <v>1439</v>
      </c>
      <c r="H2948" s="635" t="s">
        <v>1440</v>
      </c>
      <c r="I2948" s="995"/>
      <c r="J2948" s="996"/>
      <c r="K2948" s="997"/>
      <c r="L2948" s="99"/>
      <c r="M2948" s="100"/>
    </row>
    <row r="2949" spans="4:13" ht="24">
      <c r="D2949" s="89"/>
      <c r="E2949" s="629">
        <v>45659</v>
      </c>
      <c r="F2949" s="635" t="s">
        <v>1440</v>
      </c>
      <c r="G2949" s="635" t="s">
        <v>986</v>
      </c>
      <c r="H2949" s="635" t="s">
        <v>1112</v>
      </c>
      <c r="I2949" s="995"/>
      <c r="J2949" s="996"/>
      <c r="K2949" s="997"/>
      <c r="L2949" s="99"/>
      <c r="M2949" s="100"/>
    </row>
    <row r="2950" spans="4:13" ht="24">
      <c r="D2950" s="89"/>
      <c r="E2950" s="629">
        <v>45652</v>
      </c>
      <c r="F2950" s="635" t="s">
        <v>987</v>
      </c>
      <c r="G2950" s="635" t="s">
        <v>973</v>
      </c>
      <c r="H2950" s="635" t="s">
        <v>1112</v>
      </c>
      <c r="I2950" s="995"/>
      <c r="J2950" s="996"/>
      <c r="K2950" s="997"/>
      <c r="L2950" s="101"/>
      <c r="M2950" s="100"/>
    </row>
    <row r="2951" spans="4:13" ht="24">
      <c r="D2951" s="89"/>
      <c r="E2951" s="629">
        <v>45645</v>
      </c>
      <c r="F2951" s="635" t="s">
        <v>1112</v>
      </c>
      <c r="G2951" s="635" t="s">
        <v>976</v>
      </c>
      <c r="H2951" s="635" t="s">
        <v>980</v>
      </c>
      <c r="I2951" s="995"/>
      <c r="J2951" s="996"/>
      <c r="K2951" s="997"/>
      <c r="L2951" s="99"/>
      <c r="M2951" s="100"/>
    </row>
    <row r="2952" spans="4:13" ht="24">
      <c r="D2952" s="89"/>
      <c r="E2952" s="629">
        <v>45638</v>
      </c>
      <c r="F2952" s="635" t="s">
        <v>980</v>
      </c>
      <c r="G2952" s="635" t="s">
        <v>972</v>
      </c>
      <c r="H2952" s="635" t="s">
        <v>985</v>
      </c>
      <c r="I2952" s="995"/>
      <c r="J2952" s="996"/>
      <c r="K2952" s="997"/>
      <c r="L2952" s="99"/>
      <c r="M2952" s="100"/>
    </row>
    <row r="2953" spans="4:13" ht="25" thickBot="1">
      <c r="D2953" s="89"/>
      <c r="E2953" s="629">
        <v>45631</v>
      </c>
      <c r="F2953" s="635" t="s">
        <v>1032</v>
      </c>
      <c r="G2953" s="635" t="s">
        <v>1232</v>
      </c>
      <c r="H2953" s="635" t="s">
        <v>1232</v>
      </c>
      <c r="I2953" s="998"/>
      <c r="J2953" s="999"/>
      <c r="K2953" s="1000"/>
      <c r="L2953" s="102"/>
      <c r="M2953" s="103"/>
    </row>
    <row r="2954" spans="4:13" ht="25" thickBot="1">
      <c r="D2954">
        <v>11</v>
      </c>
      <c r="E2954" s="624" t="s">
        <v>30</v>
      </c>
      <c r="F2954" s="1057" t="s">
        <v>1493</v>
      </c>
      <c r="G2954" s="1058"/>
      <c r="H2954" s="1059"/>
      <c r="I2954" s="1060" t="s">
        <v>633</v>
      </c>
      <c r="J2954" s="1061"/>
      <c r="K2954" s="1062"/>
      <c r="L2954" s="158" t="s">
        <v>430</v>
      </c>
      <c r="M2954" s="105" t="s">
        <v>431</v>
      </c>
    </row>
    <row r="2955" spans="4:13" ht="24">
      <c r="D2955" s="89"/>
      <c r="E2955" s="625" t="s">
        <v>432</v>
      </c>
      <c r="F2955" s="992"/>
      <c r="G2955" s="993"/>
      <c r="H2955" s="994"/>
      <c r="I2955" s="995" t="s">
        <v>1494</v>
      </c>
      <c r="J2955" s="996"/>
      <c r="K2955" s="997"/>
      <c r="L2955" s="99"/>
      <c r="M2955" s="100"/>
    </row>
    <row r="2956" spans="4:13" ht="24">
      <c r="D2956" s="89"/>
      <c r="E2956" s="626" t="s">
        <v>433</v>
      </c>
      <c r="F2956" s="1075">
        <v>0</v>
      </c>
      <c r="G2956" s="1073"/>
      <c r="H2956" s="1074"/>
      <c r="I2956" s="995"/>
      <c r="J2956" s="996"/>
      <c r="K2956" s="997"/>
      <c r="L2956" s="99"/>
      <c r="M2956" s="100"/>
    </row>
    <row r="2957" spans="4:13" ht="25" thickBot="1">
      <c r="D2957" s="89"/>
      <c r="E2957" s="626" t="s">
        <v>434</v>
      </c>
      <c r="F2957" s="1075">
        <v>0</v>
      </c>
      <c r="G2957" s="1073"/>
      <c r="H2957" s="1074"/>
      <c r="I2957" s="995"/>
      <c r="J2957" s="996"/>
      <c r="K2957" s="997"/>
      <c r="L2957" s="99"/>
      <c r="M2957" s="100"/>
    </row>
    <row r="2958" spans="4:13" ht="25" thickBot="1">
      <c r="D2958" s="89"/>
      <c r="E2958" s="627" t="s">
        <v>435</v>
      </c>
      <c r="F2958" s="1007" t="e">
        <v>#VALUE!</v>
      </c>
      <c r="G2958" s="1008"/>
      <c r="H2958" s="1009"/>
      <c r="I2958" s="995"/>
      <c r="J2958" s="996"/>
      <c r="K2958" s="997"/>
      <c r="L2958" s="106" t="s">
        <v>1449</v>
      </c>
      <c r="M2958" s="556">
        <v>0.875</v>
      </c>
    </row>
    <row r="2959" spans="4:13" ht="25" thickBot="1">
      <c r="D2959" s="89"/>
      <c r="E2959" s="628" t="s">
        <v>436</v>
      </c>
      <c r="F2959" s="200" t="s">
        <v>29</v>
      </c>
      <c r="G2959" s="200" t="s">
        <v>28</v>
      </c>
      <c r="H2959" s="201" t="s">
        <v>27</v>
      </c>
      <c r="I2959" s="995"/>
      <c r="J2959" s="996"/>
      <c r="K2959" s="997"/>
      <c r="L2959" s="99"/>
      <c r="M2959" s="100"/>
    </row>
    <row r="2960" spans="4:13" ht="24">
      <c r="D2960" s="89"/>
      <c r="E2960" s="629">
        <v>45645</v>
      </c>
      <c r="F2960" s="633">
        <v>-16.399999999999999</v>
      </c>
      <c r="G2960" s="633" t="s">
        <v>1441</v>
      </c>
      <c r="H2960" s="633">
        <v>-5.5</v>
      </c>
      <c r="I2960" s="995"/>
      <c r="J2960" s="996"/>
      <c r="K2960" s="997"/>
      <c r="L2960" s="99"/>
      <c r="M2960" s="100"/>
    </row>
    <row r="2961" spans="4:13" ht="24">
      <c r="D2961" s="89"/>
      <c r="E2961" s="629">
        <v>45617</v>
      </c>
      <c r="F2961" s="633">
        <v>-5.5</v>
      </c>
      <c r="G2961" s="633" t="s">
        <v>1292</v>
      </c>
      <c r="H2961" s="633">
        <v>10.3</v>
      </c>
      <c r="I2961" s="995"/>
      <c r="J2961" s="996"/>
      <c r="K2961" s="997"/>
      <c r="L2961" s="99"/>
      <c r="M2961" s="100"/>
    </row>
    <row r="2962" spans="4:13" ht="24">
      <c r="D2962" s="89"/>
      <c r="E2962" s="629">
        <v>45582</v>
      </c>
      <c r="F2962" s="633">
        <v>10.3</v>
      </c>
      <c r="G2962" s="633" t="s">
        <v>1033</v>
      </c>
      <c r="H2962" s="633">
        <v>1.7</v>
      </c>
      <c r="I2962" s="995"/>
      <c r="J2962" s="996"/>
      <c r="K2962" s="997"/>
      <c r="L2962" s="101"/>
      <c r="M2962" s="100"/>
    </row>
    <row r="2963" spans="4:13" ht="24">
      <c r="D2963" s="89"/>
      <c r="E2963" s="629">
        <v>45554</v>
      </c>
      <c r="F2963" s="633">
        <v>1.7</v>
      </c>
      <c r="G2963" s="633" t="s">
        <v>1034</v>
      </c>
      <c r="H2963" s="633">
        <v>-7</v>
      </c>
      <c r="I2963" s="995"/>
      <c r="J2963" s="996"/>
      <c r="K2963" s="997"/>
      <c r="L2963" s="99"/>
      <c r="M2963" s="100"/>
    </row>
    <row r="2964" spans="4:13" ht="24">
      <c r="D2964" s="89"/>
      <c r="E2964" s="629">
        <v>45519</v>
      </c>
      <c r="F2964" s="633">
        <v>-7</v>
      </c>
      <c r="G2964" s="633" t="s">
        <v>1035</v>
      </c>
      <c r="H2964" s="633">
        <v>13.9</v>
      </c>
      <c r="I2964" s="995"/>
      <c r="J2964" s="996"/>
      <c r="K2964" s="997"/>
      <c r="L2964" s="99"/>
      <c r="M2964" s="100"/>
    </row>
    <row r="2965" spans="4:13" ht="25" thickBot="1">
      <c r="D2965" s="89"/>
      <c r="E2965" s="629">
        <v>45491</v>
      </c>
      <c r="F2965" s="633">
        <v>13.9</v>
      </c>
      <c r="G2965" s="633" t="s">
        <v>1036</v>
      </c>
      <c r="H2965" s="633">
        <v>1.3</v>
      </c>
      <c r="I2965" s="998"/>
      <c r="J2965" s="999"/>
      <c r="K2965" s="1000"/>
      <c r="L2965" s="102"/>
      <c r="M2965" s="103"/>
    </row>
    <row r="2966" spans="4:13" ht="25" thickBot="1">
      <c r="D2966">
        <v>12</v>
      </c>
      <c r="E2966" s="624" t="s">
        <v>30</v>
      </c>
      <c r="F2966" s="1057" t="s">
        <v>1496</v>
      </c>
      <c r="G2966" s="1058"/>
      <c r="H2966" s="1059"/>
      <c r="I2966" s="1060" t="s">
        <v>633</v>
      </c>
      <c r="J2966" s="1061"/>
      <c r="K2966" s="1062"/>
      <c r="L2966" s="158" t="s">
        <v>430</v>
      </c>
      <c r="M2966" s="105" t="s">
        <v>431</v>
      </c>
    </row>
    <row r="2967" spans="4:13" ht="24">
      <c r="D2967" s="89"/>
      <c r="E2967" s="625" t="s">
        <v>432</v>
      </c>
      <c r="F2967" s="992"/>
      <c r="G2967" s="993"/>
      <c r="H2967" s="994"/>
      <c r="I2967" s="995" t="s">
        <v>1497</v>
      </c>
      <c r="J2967" s="996"/>
      <c r="K2967" s="997"/>
      <c r="L2967" s="99"/>
      <c r="M2967" s="100"/>
    </row>
    <row r="2968" spans="4:13" ht="24">
      <c r="D2968" s="89"/>
      <c r="E2968" s="626" t="s">
        <v>433</v>
      </c>
      <c r="F2968" s="1063">
        <v>0</v>
      </c>
      <c r="G2968" s="1064"/>
      <c r="H2968" s="1065"/>
      <c r="I2968" s="995"/>
      <c r="J2968" s="996"/>
      <c r="K2968" s="997"/>
      <c r="L2968" s="99"/>
      <c r="M2968" s="100"/>
    </row>
    <row r="2969" spans="4:13" ht="25" thickBot="1">
      <c r="D2969" s="89"/>
      <c r="E2969" s="626" t="s">
        <v>434</v>
      </c>
      <c r="F2969" s="1063">
        <v>0</v>
      </c>
      <c r="G2969" s="1064"/>
      <c r="H2969" s="1065"/>
      <c r="I2969" s="995"/>
      <c r="J2969" s="996"/>
      <c r="K2969" s="997"/>
      <c r="L2969" s="99"/>
      <c r="M2969" s="100"/>
    </row>
    <row r="2970" spans="4:13" ht="25" thickBot="1">
      <c r="D2970" s="89"/>
      <c r="E2970" s="627" t="s">
        <v>435</v>
      </c>
      <c r="F2970" s="1007" t="e">
        <v>#VALUE!</v>
      </c>
      <c r="G2970" s="1008"/>
      <c r="H2970" s="1009"/>
      <c r="I2970" s="995"/>
      <c r="J2970" s="996"/>
      <c r="K2970" s="997"/>
      <c r="L2970" s="106" t="s">
        <v>1449</v>
      </c>
      <c r="M2970" s="107" t="e">
        <v>#VALUE!</v>
      </c>
    </row>
    <row r="2971" spans="4:13" ht="25" thickBot="1">
      <c r="D2971" s="89"/>
      <c r="E2971" s="628" t="s">
        <v>436</v>
      </c>
      <c r="F2971" s="200" t="s">
        <v>29</v>
      </c>
      <c r="G2971" s="200" t="s">
        <v>28</v>
      </c>
      <c r="H2971" s="201" t="s">
        <v>27</v>
      </c>
      <c r="I2971" s="995"/>
      <c r="J2971" s="996"/>
      <c r="K2971" s="997"/>
      <c r="L2971" s="99"/>
      <c r="M2971" s="100"/>
    </row>
    <row r="2972" spans="4:13" ht="24">
      <c r="D2972" s="89"/>
      <c r="E2972" s="629">
        <v>45643</v>
      </c>
      <c r="F2972" s="635">
        <v>7.0000000000000001E-3</v>
      </c>
      <c r="G2972" s="635" t="s">
        <v>449</v>
      </c>
      <c r="H2972" s="635">
        <v>5.0000000000000001E-3</v>
      </c>
      <c r="I2972" s="995"/>
      <c r="J2972" s="996"/>
      <c r="K2972" s="997"/>
      <c r="L2972" s="99"/>
      <c r="M2972" s="100"/>
    </row>
    <row r="2973" spans="4:13" ht="24">
      <c r="D2973" s="89"/>
      <c r="E2973" s="629">
        <v>45611</v>
      </c>
      <c r="F2973" s="635">
        <v>4.0000000000000001E-3</v>
      </c>
      <c r="G2973" s="635" t="s">
        <v>467</v>
      </c>
      <c r="H2973" s="635">
        <v>8.0000000000000002E-3</v>
      </c>
      <c r="I2973" s="995"/>
      <c r="J2973" s="996"/>
      <c r="K2973" s="997"/>
      <c r="L2973" s="99"/>
      <c r="M2973" s="100"/>
    </row>
    <row r="2974" spans="4:13" ht="24">
      <c r="D2974" s="89"/>
      <c r="E2974" s="629">
        <v>45582</v>
      </c>
      <c r="F2974" s="635">
        <v>4.0000000000000001E-3</v>
      </c>
      <c r="G2974" s="635" t="s">
        <v>467</v>
      </c>
      <c r="H2974" s="635">
        <v>1E-3</v>
      </c>
      <c r="I2974" s="995"/>
      <c r="J2974" s="996"/>
      <c r="K2974" s="997"/>
      <c r="L2974" s="101"/>
      <c r="M2974" s="100"/>
    </row>
    <row r="2975" spans="4:13" ht="24">
      <c r="D2975" s="89"/>
      <c r="E2975" s="629">
        <v>45552</v>
      </c>
      <c r="F2975" s="635">
        <v>1E-3</v>
      </c>
      <c r="G2975" s="635" t="s">
        <v>461</v>
      </c>
      <c r="H2975" s="635">
        <v>1.0999999999999999E-2</v>
      </c>
      <c r="I2975" s="995"/>
      <c r="J2975" s="996"/>
      <c r="K2975" s="997"/>
      <c r="L2975" s="99"/>
      <c r="M2975" s="100"/>
    </row>
    <row r="2976" spans="4:13" ht="24">
      <c r="D2976" s="89"/>
      <c r="E2976" s="629">
        <v>45519</v>
      </c>
      <c r="F2976" s="635">
        <v>0.01</v>
      </c>
      <c r="G2976" s="635" t="s">
        <v>452</v>
      </c>
      <c r="H2976" s="635">
        <v>-2E-3</v>
      </c>
      <c r="I2976" s="995"/>
      <c r="J2976" s="996"/>
      <c r="K2976" s="997"/>
      <c r="L2976" s="99"/>
      <c r="M2976" s="100"/>
    </row>
    <row r="2977" spans="4:13" ht="25" thickBot="1">
      <c r="D2977" s="89"/>
      <c r="E2977" s="629">
        <v>45489</v>
      </c>
      <c r="F2977" s="635">
        <v>0</v>
      </c>
      <c r="G2977" s="635" t="s">
        <v>454</v>
      </c>
      <c r="H2977" s="635">
        <v>3.0000000000000001E-3</v>
      </c>
      <c r="I2977" s="998"/>
      <c r="J2977" s="999"/>
      <c r="K2977" s="1000"/>
      <c r="L2977" s="102"/>
      <c r="M2977" s="103"/>
    </row>
    <row r="2978" spans="4:13" ht="25" thickBot="1">
      <c r="D2978">
        <v>13</v>
      </c>
      <c r="E2978" s="624" t="s">
        <v>30</v>
      </c>
      <c r="F2978" s="1057" t="s">
        <v>1506</v>
      </c>
      <c r="G2978" s="1058"/>
      <c r="H2978" s="1059"/>
      <c r="I2978" s="1060" t="s">
        <v>633</v>
      </c>
      <c r="J2978" s="1061"/>
      <c r="K2978" s="1062"/>
      <c r="L2978" s="158" t="s">
        <v>430</v>
      </c>
      <c r="M2978" s="105" t="s">
        <v>431</v>
      </c>
    </row>
    <row r="2979" spans="4:13" ht="24">
      <c r="D2979" s="89"/>
      <c r="E2979" s="625" t="s">
        <v>432</v>
      </c>
      <c r="F2979" s="992"/>
      <c r="G2979" s="993"/>
      <c r="H2979" s="994"/>
      <c r="I2979" s="995" t="s">
        <v>1507</v>
      </c>
      <c r="J2979" s="996"/>
      <c r="K2979" s="997"/>
      <c r="L2979" s="99"/>
      <c r="M2979" s="100"/>
    </row>
    <row r="2980" spans="4:13" ht="24">
      <c r="D2980" s="89"/>
      <c r="E2980" s="626" t="s">
        <v>433</v>
      </c>
      <c r="F2980" s="1096"/>
      <c r="G2980" s="1097"/>
      <c r="H2980" s="1098"/>
      <c r="I2980" s="995"/>
      <c r="J2980" s="996"/>
      <c r="K2980" s="997"/>
      <c r="L2980" s="99"/>
      <c r="M2980" s="100"/>
    </row>
    <row r="2981" spans="4:13" ht="25" thickBot="1">
      <c r="D2981" s="89"/>
      <c r="E2981" s="626" t="s">
        <v>434</v>
      </c>
      <c r="F2981" s="1096"/>
      <c r="G2981" s="1097"/>
      <c r="H2981" s="1098"/>
      <c r="I2981" s="995"/>
      <c r="J2981" s="996"/>
      <c r="K2981" s="997"/>
      <c r="L2981" s="99"/>
      <c r="M2981" s="100"/>
    </row>
    <row r="2982" spans="4:13" ht="25" thickBot="1">
      <c r="D2982" s="89"/>
      <c r="E2982" s="627" t="s">
        <v>435</v>
      </c>
      <c r="F2982" s="1211">
        <v>0.79166666666666663</v>
      </c>
      <c r="G2982" s="1212"/>
      <c r="H2982" s="1213"/>
      <c r="I2982" s="995"/>
      <c r="J2982" s="996"/>
      <c r="K2982" s="997"/>
      <c r="L2982" s="106">
        <v>2.0833333333333332E-2</v>
      </c>
      <c r="M2982" s="630">
        <v>0.875</v>
      </c>
    </row>
    <row r="2983" spans="4:13" ht="25" thickBot="1">
      <c r="D2983" s="89"/>
      <c r="E2983" s="628" t="s">
        <v>436</v>
      </c>
      <c r="F2983" s="200" t="s">
        <v>29</v>
      </c>
      <c r="G2983" s="200" t="s">
        <v>28</v>
      </c>
      <c r="H2983" s="201" t="s">
        <v>27</v>
      </c>
      <c r="I2983" s="995"/>
      <c r="J2983" s="996"/>
      <c r="K2983" s="997"/>
      <c r="L2983" s="99"/>
      <c r="M2983" s="100"/>
    </row>
    <row r="2984" spans="4:13" ht="24">
      <c r="D2984" s="89"/>
      <c r="E2984" s="629">
        <v>45583</v>
      </c>
      <c r="F2984" s="636">
        <v>0</v>
      </c>
      <c r="G2984" s="636" t="s">
        <v>754</v>
      </c>
      <c r="H2984" s="636">
        <v>0</v>
      </c>
      <c r="I2984" s="995"/>
      <c r="J2984" s="996"/>
      <c r="K2984" s="997"/>
      <c r="L2984" s="99"/>
      <c r="M2984" s="100"/>
    </row>
    <row r="2985" spans="4:13" ht="24">
      <c r="D2985" s="89"/>
      <c r="E2985" s="629">
        <v>45488</v>
      </c>
      <c r="F2985" s="636">
        <v>0</v>
      </c>
      <c r="G2985" s="636" t="s">
        <v>754</v>
      </c>
      <c r="H2985" s="636">
        <v>0</v>
      </c>
      <c r="I2985" s="995"/>
      <c r="J2985" s="996"/>
      <c r="K2985" s="997"/>
      <c r="L2985" s="99"/>
      <c r="M2985" s="100"/>
    </row>
    <row r="2986" spans="4:13" ht="24">
      <c r="D2986" s="89"/>
      <c r="E2986" s="629">
        <v>45398</v>
      </c>
      <c r="F2986" s="636">
        <v>0</v>
      </c>
      <c r="G2986" s="636" t="s">
        <v>754</v>
      </c>
      <c r="H2986" s="636">
        <v>0</v>
      </c>
      <c r="I2986" s="995"/>
      <c r="J2986" s="996"/>
      <c r="K2986" s="997"/>
      <c r="L2986" s="101"/>
      <c r="M2986" s="100"/>
    </row>
    <row r="2987" spans="4:13" ht="24">
      <c r="D2987" s="89"/>
      <c r="E2987" s="629">
        <v>45308</v>
      </c>
      <c r="F2987" s="636">
        <v>0</v>
      </c>
      <c r="G2987" s="636" t="s">
        <v>754</v>
      </c>
      <c r="H2987" s="636">
        <v>0</v>
      </c>
      <c r="I2987" s="995"/>
      <c r="J2987" s="996"/>
      <c r="K2987" s="997"/>
      <c r="L2987" s="99"/>
      <c r="M2987" s="100"/>
    </row>
    <row r="2988" spans="4:13" ht="24">
      <c r="D2988" s="89"/>
      <c r="E2988" s="629">
        <v>45217</v>
      </c>
      <c r="F2988" s="636">
        <v>0</v>
      </c>
      <c r="G2988" s="636" t="s">
        <v>754</v>
      </c>
      <c r="H2988" s="636">
        <v>0</v>
      </c>
      <c r="I2988" s="995"/>
      <c r="J2988" s="996"/>
      <c r="K2988" s="997"/>
      <c r="L2988" s="99"/>
      <c r="M2988" s="100"/>
    </row>
    <row r="2989" spans="4:13" ht="25" thickBot="1">
      <c r="D2989" s="89"/>
      <c r="E2989" s="629">
        <v>45124</v>
      </c>
      <c r="F2989" s="636">
        <v>0</v>
      </c>
      <c r="G2989" s="636" t="s">
        <v>754</v>
      </c>
      <c r="H2989" s="636">
        <v>0</v>
      </c>
      <c r="I2989" s="998"/>
      <c r="J2989" s="999"/>
      <c r="K2989" s="1000"/>
      <c r="L2989" s="102"/>
      <c r="M2989" s="103"/>
    </row>
    <row r="2990" spans="4:13" ht="25" thickBot="1">
      <c r="D2990">
        <v>10</v>
      </c>
      <c r="E2990" s="624" t="s">
        <v>30</v>
      </c>
      <c r="F2990" s="1057" t="s">
        <v>1508</v>
      </c>
      <c r="G2990" s="1058"/>
      <c r="H2990" s="1059"/>
      <c r="I2990" s="1060" t="s">
        <v>633</v>
      </c>
      <c r="J2990" s="1061"/>
      <c r="K2990" s="1062"/>
      <c r="L2990" s="158" t="s">
        <v>430</v>
      </c>
      <c r="M2990" s="105" t="s">
        <v>431</v>
      </c>
    </row>
    <row r="2991" spans="4:13" ht="24">
      <c r="D2991" s="89"/>
      <c r="E2991" s="625" t="s">
        <v>432</v>
      </c>
      <c r="F2991" s="992"/>
      <c r="G2991" s="993"/>
      <c r="H2991" s="994"/>
      <c r="I2991" s="995" t="s">
        <v>1507</v>
      </c>
      <c r="J2991" s="996"/>
      <c r="K2991" s="997"/>
      <c r="L2991" s="99"/>
      <c r="M2991" s="100"/>
    </row>
    <row r="2992" spans="4:13" ht="24">
      <c r="D2992" s="89"/>
      <c r="E2992" s="626" t="s">
        <v>433</v>
      </c>
      <c r="F2992" s="1072">
        <v>4.4999999999999998E-2</v>
      </c>
      <c r="G2992" s="1073"/>
      <c r="H2992" s="1074"/>
      <c r="I2992" s="995"/>
      <c r="J2992" s="996"/>
      <c r="K2992" s="997"/>
      <c r="L2992" s="99"/>
      <c r="M2992" s="100"/>
    </row>
    <row r="2993" spans="4:13" ht="25" thickBot="1">
      <c r="D2993" s="89"/>
      <c r="E2993" s="626" t="s">
        <v>434</v>
      </c>
      <c r="F2993" s="1063">
        <v>4.4999999999999998E-2</v>
      </c>
      <c r="G2993" s="1064"/>
      <c r="H2993" s="1065"/>
      <c r="I2993" s="995"/>
      <c r="J2993" s="996"/>
      <c r="K2993" s="997"/>
      <c r="L2993" s="99"/>
      <c r="M2993" s="100"/>
    </row>
    <row r="2994" spans="4:13" ht="25" thickBot="1">
      <c r="D2994" s="89"/>
      <c r="E2994" s="627" t="s">
        <v>435</v>
      </c>
      <c r="F2994" s="1211">
        <v>0.79166666666666663</v>
      </c>
      <c r="G2994" s="1212"/>
      <c r="H2994" s="1213"/>
      <c r="I2994" s="995"/>
      <c r="J2994" s="996"/>
      <c r="K2994" s="997"/>
      <c r="L2994" s="106">
        <v>2.0833333333333332E-2</v>
      </c>
      <c r="M2994" s="630">
        <v>0.875</v>
      </c>
    </row>
    <row r="2995" spans="4:13" ht="25" thickBot="1">
      <c r="D2995" s="89"/>
      <c r="E2995" s="628" t="s">
        <v>436</v>
      </c>
      <c r="F2995" s="200" t="s">
        <v>29</v>
      </c>
      <c r="G2995" s="200" t="s">
        <v>28</v>
      </c>
      <c r="H2995" s="201" t="s">
        <v>27</v>
      </c>
      <c r="I2995" s="995"/>
      <c r="J2995" s="996"/>
      <c r="K2995" s="997"/>
      <c r="L2995" s="99"/>
      <c r="M2995" s="100"/>
    </row>
    <row r="2996" spans="4:13" ht="24">
      <c r="D2996" s="89"/>
      <c r="E2996" s="629">
        <v>45644</v>
      </c>
      <c r="F2996" s="634">
        <v>4.4999999999999998E-2</v>
      </c>
      <c r="G2996" s="634" t="s">
        <v>725</v>
      </c>
      <c r="H2996" s="634">
        <v>4.7500000000000001E-2</v>
      </c>
      <c r="I2996" s="995"/>
      <c r="J2996" s="996"/>
      <c r="K2996" s="997"/>
      <c r="L2996" s="99"/>
      <c r="M2996" s="100"/>
    </row>
    <row r="2997" spans="4:13" ht="24">
      <c r="D2997" s="89"/>
      <c r="E2997" s="629">
        <v>45603</v>
      </c>
      <c r="F2997" s="634">
        <v>4.7500000000000001E-2</v>
      </c>
      <c r="G2997" s="634" t="s">
        <v>726</v>
      </c>
      <c r="H2997" s="634">
        <v>0.05</v>
      </c>
      <c r="I2997" s="995"/>
      <c r="J2997" s="996"/>
      <c r="K2997" s="997"/>
      <c r="L2997" s="99"/>
      <c r="M2997" s="100"/>
    </row>
    <row r="2998" spans="4:13" ht="24">
      <c r="D2998" s="89"/>
      <c r="E2998" s="629">
        <v>45553</v>
      </c>
      <c r="F2998" s="634">
        <v>0.05</v>
      </c>
      <c r="G2998" s="634" t="s">
        <v>940</v>
      </c>
      <c r="H2998" s="634">
        <v>5.5E-2</v>
      </c>
      <c r="I2998" s="995"/>
      <c r="J2998" s="996"/>
      <c r="K2998" s="997"/>
      <c r="L2998" s="101"/>
      <c r="M2998" s="100"/>
    </row>
    <row r="2999" spans="4:13" ht="24">
      <c r="D2999" s="89"/>
      <c r="E2999" s="629">
        <v>45504</v>
      </c>
      <c r="F2999" s="634">
        <v>5.5E-2</v>
      </c>
      <c r="G2999" s="634" t="s">
        <v>942</v>
      </c>
      <c r="H2999" s="634">
        <v>5.5E-2</v>
      </c>
      <c r="I2999" s="995"/>
      <c r="J2999" s="996"/>
      <c r="K2999" s="997"/>
      <c r="L2999" s="99"/>
      <c r="M2999" s="100"/>
    </row>
    <row r="3000" spans="4:13" ht="24">
      <c r="D3000" s="89"/>
      <c r="E3000" s="629">
        <v>45455</v>
      </c>
      <c r="F3000" s="634">
        <v>5.5E-2</v>
      </c>
      <c r="G3000" s="634" t="s">
        <v>942</v>
      </c>
      <c r="H3000" s="634">
        <v>5.5E-2</v>
      </c>
      <c r="I3000" s="995"/>
      <c r="J3000" s="996"/>
      <c r="K3000" s="997"/>
      <c r="L3000" s="99"/>
      <c r="M3000" s="100"/>
    </row>
    <row r="3001" spans="4:13" ht="25" thickBot="1">
      <c r="D3001" s="89"/>
      <c r="E3001" s="629">
        <v>45413</v>
      </c>
      <c r="F3001" s="634">
        <v>5.5E-2</v>
      </c>
      <c r="G3001" s="634" t="s">
        <v>942</v>
      </c>
      <c r="H3001" s="634">
        <v>5.5E-2</v>
      </c>
      <c r="I3001" s="998"/>
      <c r="J3001" s="999"/>
      <c r="K3001" s="1000"/>
      <c r="L3001" s="102"/>
      <c r="M3001" s="103"/>
    </row>
    <row r="3002" spans="4:13" ht="25" thickBot="1">
      <c r="D3002">
        <v>11</v>
      </c>
      <c r="E3002" s="624" t="s">
        <v>30</v>
      </c>
      <c r="F3002" s="1057" t="s">
        <v>1509</v>
      </c>
      <c r="G3002" s="1058"/>
      <c r="H3002" s="1059"/>
      <c r="I3002" s="1060" t="s">
        <v>633</v>
      </c>
      <c r="J3002" s="1061"/>
      <c r="K3002" s="1062"/>
      <c r="L3002" s="158" t="s">
        <v>430</v>
      </c>
      <c r="M3002" s="105" t="s">
        <v>431</v>
      </c>
    </row>
    <row r="3003" spans="4:13" ht="24">
      <c r="D3003" s="89"/>
      <c r="E3003" s="625" t="s">
        <v>432</v>
      </c>
      <c r="F3003" s="992"/>
      <c r="G3003" s="993"/>
      <c r="H3003" s="994"/>
      <c r="I3003" s="995" t="s">
        <v>1507</v>
      </c>
      <c r="J3003" s="996"/>
      <c r="K3003" s="997"/>
      <c r="L3003" s="99"/>
      <c r="M3003" s="100"/>
    </row>
    <row r="3004" spans="4:13" ht="24">
      <c r="D3004" s="89"/>
      <c r="E3004" s="626" t="s">
        <v>433</v>
      </c>
      <c r="F3004" s="1077"/>
      <c r="G3004" s="1078"/>
      <c r="H3004" s="1079"/>
      <c r="I3004" s="995"/>
      <c r="J3004" s="996"/>
      <c r="K3004" s="997"/>
      <c r="L3004" s="99"/>
      <c r="M3004" s="100"/>
    </row>
    <row r="3005" spans="4:13" ht="25" thickBot="1">
      <c r="D3005" s="89"/>
      <c r="E3005" s="626" t="s">
        <v>434</v>
      </c>
      <c r="F3005" s="1063"/>
      <c r="G3005" s="1064"/>
      <c r="H3005" s="1065"/>
      <c r="I3005" s="995"/>
      <c r="J3005" s="996"/>
      <c r="K3005" s="997"/>
      <c r="L3005" s="99"/>
      <c r="M3005" s="100"/>
    </row>
    <row r="3006" spans="4:13" ht="25" thickBot="1">
      <c r="D3006" s="89"/>
      <c r="E3006" s="627" t="s">
        <v>435</v>
      </c>
      <c r="F3006" s="1211">
        <v>0.8125</v>
      </c>
      <c r="G3006" s="1212"/>
      <c r="H3006" s="1213"/>
      <c r="I3006" s="995"/>
      <c r="J3006" s="996"/>
      <c r="K3006" s="997"/>
      <c r="L3006" s="106">
        <v>4.1666666666666664E-2</v>
      </c>
      <c r="M3006" s="630">
        <v>0.89583333333333337</v>
      </c>
    </row>
    <row r="3007" spans="4:13" ht="25" thickBot="1">
      <c r="D3007" s="89"/>
      <c r="E3007" s="628" t="s">
        <v>436</v>
      </c>
      <c r="F3007" s="200" t="s">
        <v>29</v>
      </c>
      <c r="G3007" s="200" t="s">
        <v>28</v>
      </c>
      <c r="H3007" s="201" t="s">
        <v>27</v>
      </c>
      <c r="I3007" s="995"/>
      <c r="J3007" s="996"/>
      <c r="K3007" s="997"/>
      <c r="L3007" s="99"/>
      <c r="M3007" s="100"/>
    </row>
    <row r="3008" spans="4:13" ht="24">
      <c r="D3008" s="89"/>
      <c r="E3008" s="629">
        <v>45644</v>
      </c>
      <c r="F3008" s="634" t="s">
        <v>1090</v>
      </c>
      <c r="G3008" s="634" t="s">
        <v>754</v>
      </c>
      <c r="H3008" s="634" t="s">
        <v>1090</v>
      </c>
      <c r="I3008" s="995"/>
      <c r="J3008" s="996"/>
      <c r="K3008" s="997"/>
      <c r="L3008" s="99"/>
      <c r="M3008" s="100"/>
    </row>
    <row r="3009" spans="4:13" ht="24">
      <c r="D3009" s="89"/>
      <c r="E3009" s="629">
        <v>45603</v>
      </c>
      <c r="F3009" s="634" t="s">
        <v>1090</v>
      </c>
      <c r="G3009" s="634" t="s">
        <v>754</v>
      </c>
      <c r="H3009" s="634" t="s">
        <v>1090</v>
      </c>
      <c r="I3009" s="995"/>
      <c r="J3009" s="996"/>
      <c r="K3009" s="997"/>
      <c r="L3009" s="99"/>
      <c r="M3009" s="100"/>
    </row>
    <row r="3010" spans="4:13" ht="24">
      <c r="D3010" s="89"/>
      <c r="E3010" s="629">
        <v>45553</v>
      </c>
      <c r="F3010" s="634" t="s">
        <v>1090</v>
      </c>
      <c r="G3010" s="634" t="s">
        <v>754</v>
      </c>
      <c r="H3010" s="634" t="s">
        <v>1090</v>
      </c>
      <c r="I3010" s="995"/>
      <c r="J3010" s="996"/>
      <c r="K3010" s="997"/>
      <c r="L3010" s="101"/>
      <c r="M3010" s="100"/>
    </row>
    <row r="3011" spans="4:13" ht="24">
      <c r="D3011" s="89"/>
      <c r="E3011" s="629">
        <v>45504</v>
      </c>
      <c r="F3011" s="634" t="s">
        <v>1090</v>
      </c>
      <c r="G3011" s="634" t="s">
        <v>754</v>
      </c>
      <c r="H3011" s="634" t="s">
        <v>1090</v>
      </c>
      <c r="I3011" s="995"/>
      <c r="J3011" s="996"/>
      <c r="K3011" s="997"/>
      <c r="L3011" s="99"/>
      <c r="M3011" s="100"/>
    </row>
    <row r="3012" spans="4:13" ht="24">
      <c r="D3012" s="89"/>
      <c r="E3012" s="629">
        <v>45455</v>
      </c>
      <c r="F3012" s="634" t="s">
        <v>1090</v>
      </c>
      <c r="G3012" s="634" t="s">
        <v>754</v>
      </c>
      <c r="H3012" s="634" t="s">
        <v>1090</v>
      </c>
      <c r="I3012" s="995"/>
      <c r="J3012" s="996"/>
      <c r="K3012" s="997"/>
      <c r="L3012" s="99"/>
      <c r="M3012" s="100"/>
    </row>
    <row r="3013" spans="4:13" ht="25" thickBot="1">
      <c r="D3013" s="89"/>
      <c r="E3013" s="629">
        <v>45413</v>
      </c>
      <c r="F3013" s="634" t="s">
        <v>1090</v>
      </c>
      <c r="G3013" s="634" t="s">
        <v>754</v>
      </c>
      <c r="H3013" s="634" t="s">
        <v>1090</v>
      </c>
      <c r="I3013" s="998"/>
      <c r="J3013" s="999"/>
      <c r="K3013" s="1000"/>
      <c r="L3013" s="102"/>
      <c r="M3013" s="103"/>
    </row>
    <row r="3014" spans="4:13" ht="25" thickBot="1">
      <c r="D3014">
        <v>13</v>
      </c>
      <c r="E3014" s="624" t="s">
        <v>30</v>
      </c>
      <c r="F3014" s="1057" t="s">
        <v>1510</v>
      </c>
      <c r="G3014" s="1058"/>
      <c r="H3014" s="1059"/>
      <c r="I3014" s="1060" t="s">
        <v>633</v>
      </c>
      <c r="J3014" s="1061"/>
      <c r="K3014" s="1062"/>
      <c r="L3014" s="158" t="s">
        <v>430</v>
      </c>
      <c r="M3014" s="105" t="s">
        <v>431</v>
      </c>
    </row>
    <row r="3015" spans="4:13" ht="24">
      <c r="D3015" s="89"/>
      <c r="E3015" s="625" t="s">
        <v>432</v>
      </c>
      <c r="F3015" s="992"/>
      <c r="G3015" s="993"/>
      <c r="H3015" s="994"/>
      <c r="I3015" s="995" t="s">
        <v>1499</v>
      </c>
      <c r="J3015" s="996"/>
      <c r="K3015" s="997"/>
      <c r="L3015" s="99"/>
      <c r="M3015" s="100"/>
    </row>
    <row r="3016" spans="4:13" ht="24">
      <c r="D3016" s="89"/>
      <c r="E3016" s="626" t="s">
        <v>433</v>
      </c>
      <c r="F3016" s="1076">
        <v>6.76</v>
      </c>
      <c r="G3016" s="1064"/>
      <c r="H3016" s="1065"/>
      <c r="I3016" s="995"/>
      <c r="J3016" s="996"/>
      <c r="K3016" s="997"/>
      <c r="L3016" s="99"/>
      <c r="M3016" s="100"/>
    </row>
    <row r="3017" spans="4:13" ht="25" thickBot="1">
      <c r="D3017" s="89"/>
      <c r="E3017" s="626" t="s">
        <v>434</v>
      </c>
      <c r="F3017" s="1076">
        <v>5.33</v>
      </c>
      <c r="G3017" s="1064"/>
      <c r="H3017" s="1065"/>
      <c r="I3017" s="995"/>
      <c r="J3017" s="996"/>
      <c r="K3017" s="997"/>
      <c r="L3017" s="99"/>
      <c r="M3017" s="100"/>
    </row>
    <row r="3018" spans="4:13" ht="25" thickBot="1">
      <c r="D3018" s="89"/>
      <c r="E3018" s="627" t="s">
        <v>435</v>
      </c>
      <c r="F3018" s="1208">
        <v>0.875</v>
      </c>
      <c r="G3018" s="1209"/>
      <c r="H3018" s="1210"/>
      <c r="I3018" s="995"/>
      <c r="J3018" s="996"/>
      <c r="K3018" s="997"/>
      <c r="L3018" s="106">
        <v>0.10416666666666667</v>
      </c>
      <c r="M3018" s="556">
        <v>0.95833333333333337</v>
      </c>
    </row>
    <row r="3019" spans="4:13" ht="25" thickBot="1">
      <c r="D3019" s="89"/>
      <c r="E3019" s="628" t="s">
        <v>436</v>
      </c>
      <c r="F3019" s="200" t="s">
        <v>29</v>
      </c>
      <c r="G3019" s="200" t="s">
        <v>28</v>
      </c>
      <c r="H3019" s="201" t="s">
        <v>27</v>
      </c>
      <c r="I3019" s="995"/>
      <c r="J3019" s="996"/>
      <c r="K3019" s="997"/>
      <c r="L3019" s="99"/>
      <c r="M3019" s="100"/>
    </row>
    <row r="3020" spans="4:13" ht="23">
      <c r="D3020" s="89"/>
      <c r="E3020" s="629">
        <v>45595</v>
      </c>
      <c r="F3020" s="217">
        <v>6.03</v>
      </c>
      <c r="G3020" s="217">
        <v>5.19</v>
      </c>
      <c r="H3020" s="217">
        <v>4.3899999999999997</v>
      </c>
      <c r="I3020" s="995"/>
      <c r="J3020" s="996"/>
      <c r="K3020" s="997"/>
      <c r="L3020" s="99"/>
      <c r="M3020" s="100"/>
    </row>
    <row r="3021" spans="4:13" ht="23">
      <c r="D3021" s="89"/>
      <c r="E3021" s="629">
        <v>45504</v>
      </c>
      <c r="F3021" s="217">
        <v>5.16</v>
      </c>
      <c r="G3021" s="217">
        <v>4.7</v>
      </c>
      <c r="H3021" s="217">
        <v>4.71</v>
      </c>
      <c r="I3021" s="995"/>
      <c r="J3021" s="996"/>
      <c r="K3021" s="997"/>
      <c r="L3021" s="99"/>
      <c r="M3021" s="100"/>
    </row>
    <row r="3022" spans="4:13" ht="23">
      <c r="D3022" s="89"/>
      <c r="E3022" s="629">
        <v>45406</v>
      </c>
      <c r="F3022" s="217">
        <v>4.71</v>
      </c>
      <c r="G3022" s="217">
        <v>4.32</v>
      </c>
      <c r="H3022" s="217">
        <v>5.33</v>
      </c>
      <c r="I3022" s="995"/>
      <c r="J3022" s="996"/>
      <c r="K3022" s="997"/>
      <c r="L3022" s="101"/>
      <c r="M3022" s="100"/>
    </row>
    <row r="3023" spans="4:13" ht="23">
      <c r="D3023" s="89"/>
      <c r="E3023" s="629">
        <v>45323</v>
      </c>
      <c r="F3023" s="217">
        <v>5.33</v>
      </c>
      <c r="G3023" s="217">
        <v>4.83</v>
      </c>
      <c r="H3023" s="217">
        <v>3.23</v>
      </c>
      <c r="I3023" s="995"/>
      <c r="J3023" s="996"/>
      <c r="K3023" s="997"/>
      <c r="L3023" s="99"/>
      <c r="M3023" s="100"/>
    </row>
    <row r="3024" spans="4:13" ht="23">
      <c r="D3024" s="89"/>
      <c r="E3024" s="629">
        <v>45590</v>
      </c>
      <c r="F3024" s="217">
        <v>4.3899999999999997</v>
      </c>
      <c r="G3024" s="217">
        <v>3.62</v>
      </c>
      <c r="H3024" s="217">
        <v>2.72</v>
      </c>
      <c r="I3024" s="995"/>
      <c r="J3024" s="996"/>
      <c r="K3024" s="997"/>
      <c r="L3024" s="99"/>
      <c r="M3024" s="100"/>
    </row>
    <row r="3025" spans="4:13" ht="24" thickBot="1">
      <c r="D3025" s="89"/>
      <c r="E3025" s="629">
        <v>45499</v>
      </c>
      <c r="F3025" s="217">
        <v>5.33</v>
      </c>
      <c r="G3025" s="217">
        <v>4.8899999999999997</v>
      </c>
      <c r="H3025" s="217">
        <v>4.3899999999999997</v>
      </c>
      <c r="I3025" s="998"/>
      <c r="J3025" s="999"/>
      <c r="K3025" s="1000"/>
      <c r="L3025" s="102"/>
      <c r="M3025" s="103"/>
    </row>
    <row r="3026" spans="4:13" ht="25" thickBot="1">
      <c r="D3026">
        <v>12</v>
      </c>
      <c r="E3026" s="624" t="s">
        <v>30</v>
      </c>
      <c r="F3026" s="1057" t="s">
        <v>1511</v>
      </c>
      <c r="G3026" s="1058"/>
      <c r="H3026" s="1059"/>
      <c r="I3026" s="1086" t="s">
        <v>633</v>
      </c>
      <c r="J3026" s="1061"/>
      <c r="K3026" s="1062"/>
      <c r="L3026" s="158" t="s">
        <v>430</v>
      </c>
      <c r="M3026" s="105" t="s">
        <v>431</v>
      </c>
    </row>
    <row r="3027" spans="4:13" ht="24">
      <c r="D3027" s="89"/>
      <c r="E3027" s="625" t="s">
        <v>432</v>
      </c>
      <c r="F3027" s="992"/>
      <c r="G3027" s="993"/>
      <c r="H3027" s="994"/>
      <c r="I3027" s="995" t="s">
        <v>1512</v>
      </c>
      <c r="J3027" s="996"/>
      <c r="K3027" s="997"/>
      <c r="L3027" s="99"/>
      <c r="M3027" s="100"/>
    </row>
    <row r="3028" spans="4:13" ht="24">
      <c r="D3028" s="89"/>
      <c r="E3028" s="626" t="s">
        <v>433</v>
      </c>
      <c r="F3028" s="1096"/>
      <c r="G3028" s="1097"/>
      <c r="H3028" s="1098"/>
      <c r="I3028" s="995"/>
      <c r="J3028" s="996"/>
      <c r="K3028" s="997"/>
      <c r="L3028" s="99"/>
      <c r="M3028" s="100"/>
    </row>
    <row r="3029" spans="4:13" ht="25" thickBot="1">
      <c r="D3029" s="89"/>
      <c r="E3029" s="626" t="s">
        <v>434</v>
      </c>
      <c r="F3029" s="1096">
        <v>1E-3</v>
      </c>
      <c r="G3029" s="1097"/>
      <c r="H3029" s="1098"/>
      <c r="I3029" s="995"/>
      <c r="J3029" s="996"/>
      <c r="K3029" s="997"/>
      <c r="L3029" s="99"/>
      <c r="M3029" s="100"/>
    </row>
    <row r="3030" spans="4:13" ht="25" thickBot="1">
      <c r="D3030" s="89"/>
      <c r="E3030" s="627" t="s">
        <v>435</v>
      </c>
      <c r="F3030" s="1007">
        <v>0.375</v>
      </c>
      <c r="G3030" s="1008"/>
      <c r="H3030" s="1009"/>
      <c r="I3030" s="995"/>
      <c r="J3030" s="996"/>
      <c r="K3030" s="997"/>
      <c r="L3030" s="106">
        <v>0.60416666666666663</v>
      </c>
      <c r="M3030" s="107">
        <v>0.45833333333333326</v>
      </c>
    </row>
    <row r="3031" spans="4:13" ht="25" thickBot="1">
      <c r="D3031" s="89"/>
      <c r="E3031" s="628" t="s">
        <v>436</v>
      </c>
      <c r="F3031" s="200" t="s">
        <v>29</v>
      </c>
      <c r="G3031" s="200" t="s">
        <v>28</v>
      </c>
      <c r="H3031" s="201" t="s">
        <v>27</v>
      </c>
      <c r="I3031" s="995"/>
      <c r="J3031" s="996"/>
      <c r="K3031" s="997"/>
      <c r="L3031" s="99"/>
      <c r="M3031" s="100"/>
    </row>
    <row r="3032" spans="4:13" ht="24">
      <c r="D3032" s="89"/>
      <c r="E3032" s="629">
        <v>45618</v>
      </c>
      <c r="F3032" s="637">
        <v>1E-3</v>
      </c>
      <c r="G3032" s="637" t="s">
        <v>460</v>
      </c>
      <c r="H3032" s="637">
        <v>2E-3</v>
      </c>
      <c r="I3032" s="995"/>
      <c r="J3032" s="996"/>
      <c r="K3032" s="997"/>
      <c r="L3032" s="99"/>
      <c r="M3032" s="203"/>
    </row>
    <row r="3033" spans="4:13" ht="24">
      <c r="D3033" s="89"/>
      <c r="E3033" s="629">
        <v>45595</v>
      </c>
      <c r="F3033" s="637">
        <v>2E-3</v>
      </c>
      <c r="G3033" s="637" t="s">
        <v>456</v>
      </c>
      <c r="H3033" s="637">
        <v>-3.0000000000000001E-3</v>
      </c>
      <c r="I3033" s="995"/>
      <c r="J3033" s="996"/>
      <c r="K3033" s="997"/>
      <c r="L3033" s="99"/>
      <c r="M3033" s="100"/>
    </row>
    <row r="3034" spans="4:13" ht="24">
      <c r="D3034" s="89"/>
      <c r="E3034" s="629">
        <v>45531</v>
      </c>
      <c r="F3034" s="637">
        <v>-1E-3</v>
      </c>
      <c r="G3034" s="637" t="s">
        <v>456</v>
      </c>
      <c r="H3034" s="637">
        <v>2E-3</v>
      </c>
      <c r="I3034" s="995"/>
      <c r="J3034" s="996"/>
      <c r="K3034" s="997"/>
      <c r="L3034" s="101"/>
      <c r="M3034" s="100"/>
    </row>
    <row r="3035" spans="4:13" ht="24">
      <c r="D3035" s="89"/>
      <c r="E3035" s="629">
        <v>45503</v>
      </c>
      <c r="F3035" s="637">
        <v>-1E-3</v>
      </c>
      <c r="G3035" s="637" t="s">
        <v>462</v>
      </c>
      <c r="H3035" s="637">
        <v>2E-3</v>
      </c>
      <c r="I3035" s="995"/>
      <c r="J3035" s="996"/>
      <c r="K3035" s="997"/>
      <c r="L3035" s="99"/>
      <c r="M3035" s="100"/>
    </row>
    <row r="3036" spans="4:13" ht="24">
      <c r="D3036" s="89"/>
      <c r="E3036" s="629">
        <v>45436</v>
      </c>
      <c r="F3036" s="637">
        <v>2E-3</v>
      </c>
      <c r="G3036" s="637" t="s">
        <v>460</v>
      </c>
      <c r="H3036" s="637">
        <v>-3.0000000000000001E-3</v>
      </c>
      <c r="I3036" s="995"/>
      <c r="J3036" s="996"/>
      <c r="K3036" s="997"/>
      <c r="L3036" s="99"/>
      <c r="M3036" s="100"/>
    </row>
    <row r="3037" spans="4:13" ht="25" thickBot="1">
      <c r="D3037" s="89"/>
      <c r="E3037" s="638">
        <v>45412</v>
      </c>
      <c r="F3037" s="639">
        <v>2E-3</v>
      </c>
      <c r="G3037" s="639" t="s">
        <v>462</v>
      </c>
      <c r="H3037" s="639">
        <v>-5.0000000000000001E-3</v>
      </c>
      <c r="I3037" s="998"/>
      <c r="J3037" s="999"/>
      <c r="K3037" s="1000"/>
      <c r="L3037" s="102"/>
      <c r="M3037" s="103"/>
    </row>
    <row r="3038" spans="4:13" ht="25" thickBot="1">
      <c r="D3038">
        <v>13</v>
      </c>
      <c r="E3038" s="624" t="s">
        <v>30</v>
      </c>
      <c r="F3038" s="1057" t="s">
        <v>1511</v>
      </c>
      <c r="G3038" s="1058"/>
      <c r="H3038" s="1059"/>
      <c r="I3038" s="1086" t="s">
        <v>633</v>
      </c>
      <c r="J3038" s="1061"/>
      <c r="K3038" s="1062"/>
      <c r="L3038" s="158" t="s">
        <v>430</v>
      </c>
      <c r="M3038" s="105" t="s">
        <v>431</v>
      </c>
    </row>
    <row r="3039" spans="4:13" ht="24">
      <c r="D3039" s="89"/>
      <c r="E3039" s="625" t="s">
        <v>432</v>
      </c>
      <c r="F3039" s="992"/>
      <c r="G3039" s="993"/>
      <c r="H3039" s="994"/>
      <c r="I3039" s="995" t="s">
        <v>1514</v>
      </c>
      <c r="J3039" s="996"/>
      <c r="K3039" s="997"/>
      <c r="L3039" s="99"/>
      <c r="M3039" s="100"/>
    </row>
    <row r="3040" spans="4:13" ht="24">
      <c r="D3040" s="89"/>
      <c r="E3040" s="626" t="s">
        <v>433</v>
      </c>
      <c r="F3040" s="1063"/>
      <c r="G3040" s="1064"/>
      <c r="H3040" s="1065"/>
      <c r="I3040" s="995"/>
      <c r="J3040" s="996"/>
      <c r="K3040" s="997"/>
      <c r="L3040" s="99"/>
      <c r="M3040" s="100"/>
    </row>
    <row r="3041" spans="4:13" ht="25" thickBot="1">
      <c r="D3041" s="89"/>
      <c r="E3041" s="626" t="s">
        <v>434</v>
      </c>
      <c r="F3041" s="1063">
        <v>0.03</v>
      </c>
      <c r="G3041" s="1064"/>
      <c r="H3041" s="1065"/>
      <c r="I3041" s="995"/>
      <c r="J3041" s="996"/>
      <c r="K3041" s="997"/>
      <c r="L3041" s="99"/>
      <c r="M3041" s="100"/>
    </row>
    <row r="3042" spans="4:13" ht="25" thickBot="1">
      <c r="D3042" s="89"/>
      <c r="E3042" s="627" t="s">
        <v>435</v>
      </c>
      <c r="F3042" s="1007">
        <v>0.55208333333333337</v>
      </c>
      <c r="G3042" s="1008"/>
      <c r="H3042" s="1009"/>
      <c r="I3042" s="995"/>
      <c r="J3042" s="996"/>
      <c r="K3042" s="997"/>
      <c r="L3042" s="106">
        <v>0.78125</v>
      </c>
      <c r="M3042" s="107">
        <v>0.63541666666666663</v>
      </c>
    </row>
    <row r="3043" spans="4:13" ht="25" thickBot="1">
      <c r="D3043" s="89"/>
      <c r="E3043" s="628" t="s">
        <v>436</v>
      </c>
      <c r="F3043" s="200" t="s">
        <v>29</v>
      </c>
      <c r="G3043" s="200" t="s">
        <v>28</v>
      </c>
      <c r="H3043" s="201" t="s">
        <v>27</v>
      </c>
      <c r="I3043" s="995"/>
      <c r="J3043" s="996"/>
      <c r="K3043" s="997"/>
      <c r="L3043" s="99"/>
      <c r="M3043" s="100"/>
    </row>
    <row r="3044" spans="4:13" ht="24">
      <c r="D3044" s="89"/>
      <c r="E3044" s="629">
        <v>45631</v>
      </c>
      <c r="F3044" s="202" t="s">
        <v>381</v>
      </c>
      <c r="G3044" s="202" t="s">
        <v>1014</v>
      </c>
      <c r="H3044" s="202" t="s">
        <v>1014</v>
      </c>
      <c r="I3044" s="995"/>
      <c r="J3044" s="996"/>
      <c r="K3044" s="997"/>
      <c r="L3044" s="99"/>
      <c r="M3044" s="203"/>
    </row>
    <row r="3045" spans="4:13" ht="24">
      <c r="D3045" s="89"/>
      <c r="E3045" s="629">
        <v>45623</v>
      </c>
      <c r="F3045" s="202" t="s">
        <v>1071</v>
      </c>
      <c r="G3045" s="202" t="s">
        <v>1014</v>
      </c>
      <c r="H3045" s="202" t="s">
        <v>1014</v>
      </c>
      <c r="I3045" s="995"/>
      <c r="J3045" s="996"/>
      <c r="K3045" s="997"/>
      <c r="L3045" s="99"/>
      <c r="M3045" s="100"/>
    </row>
    <row r="3046" spans="4:13" ht="24">
      <c r="D3046" s="89"/>
      <c r="E3046" s="629">
        <v>45617</v>
      </c>
      <c r="F3046" s="202" t="s">
        <v>1071</v>
      </c>
      <c r="G3046" s="202" t="s">
        <v>931</v>
      </c>
      <c r="H3046" s="202" t="s">
        <v>345</v>
      </c>
      <c r="I3046" s="995"/>
      <c r="J3046" s="996"/>
      <c r="K3046" s="997"/>
      <c r="L3046" s="101"/>
      <c r="M3046" s="100"/>
    </row>
    <row r="3047" spans="4:13" ht="24">
      <c r="D3047" s="89"/>
      <c r="E3047" s="629">
        <v>45610</v>
      </c>
      <c r="F3047" s="202" t="s">
        <v>1015</v>
      </c>
      <c r="G3047" s="202" t="s">
        <v>381</v>
      </c>
      <c r="H3047" s="202" t="s">
        <v>413</v>
      </c>
      <c r="I3047" s="995"/>
      <c r="J3047" s="996"/>
      <c r="K3047" s="997"/>
      <c r="L3047" s="99"/>
      <c r="M3047" s="100"/>
    </row>
    <row r="3048" spans="4:13" ht="24">
      <c r="D3048" s="89"/>
      <c r="E3048" s="629">
        <v>45603</v>
      </c>
      <c r="F3048" s="202" t="s">
        <v>413</v>
      </c>
      <c r="G3048" s="202" t="s">
        <v>1347</v>
      </c>
      <c r="H3048" s="202" t="s">
        <v>382</v>
      </c>
      <c r="I3048" s="995"/>
      <c r="J3048" s="996"/>
      <c r="K3048" s="997"/>
      <c r="L3048" s="99"/>
      <c r="M3048" s="100"/>
    </row>
    <row r="3049" spans="4:13" ht="25" thickBot="1">
      <c r="D3049" s="89"/>
      <c r="E3049" s="629">
        <v>45596</v>
      </c>
      <c r="F3049" s="202" t="s">
        <v>932</v>
      </c>
      <c r="G3049" s="202" t="s">
        <v>321</v>
      </c>
      <c r="H3049" s="202" t="s">
        <v>579</v>
      </c>
      <c r="I3049" s="998"/>
      <c r="J3049" s="999"/>
      <c r="K3049" s="1000"/>
      <c r="L3049" s="102"/>
      <c r="M3049" s="103"/>
    </row>
    <row r="3050" spans="4:13" ht="25" thickBot="1">
      <c r="D3050">
        <v>14</v>
      </c>
      <c r="E3050" s="624" t="s">
        <v>30</v>
      </c>
      <c r="F3050" s="1057" t="s">
        <v>1513</v>
      </c>
      <c r="G3050" s="1058"/>
      <c r="H3050" s="1059"/>
      <c r="I3050" s="1086" t="s">
        <v>633</v>
      </c>
      <c r="J3050" s="1061"/>
      <c r="K3050" s="1062"/>
      <c r="L3050" s="158" t="s">
        <v>430</v>
      </c>
      <c r="M3050" s="105" t="s">
        <v>431</v>
      </c>
    </row>
    <row r="3051" spans="4:13" ht="24">
      <c r="D3051" s="89"/>
      <c r="E3051" s="625" t="s">
        <v>432</v>
      </c>
      <c r="F3051" s="992"/>
      <c r="G3051" s="993"/>
      <c r="H3051" s="994"/>
      <c r="I3051" s="995" t="s">
        <v>1514</v>
      </c>
      <c r="J3051" s="996"/>
      <c r="K3051" s="997"/>
      <c r="L3051" s="99"/>
      <c r="M3051" s="100"/>
    </row>
    <row r="3052" spans="4:13" ht="24">
      <c r="D3052" s="89"/>
      <c r="E3052" s="626" t="s">
        <v>433</v>
      </c>
      <c r="F3052" s="1063">
        <v>2.75E-2</v>
      </c>
      <c r="G3052" s="1064"/>
      <c r="H3052" s="1065"/>
      <c r="I3052" s="995"/>
      <c r="J3052" s="996"/>
      <c r="K3052" s="997"/>
      <c r="L3052" s="99"/>
      <c r="M3052" s="100"/>
    </row>
    <row r="3053" spans="4:13" ht="25" thickBot="1">
      <c r="D3053" s="89"/>
      <c r="E3053" s="626" t="s">
        <v>434</v>
      </c>
      <c r="F3053" s="1063">
        <v>0.03</v>
      </c>
      <c r="G3053" s="1064"/>
      <c r="H3053" s="1065"/>
      <c r="I3053" s="995"/>
      <c r="J3053" s="996"/>
      <c r="K3053" s="997"/>
      <c r="L3053" s="99"/>
      <c r="M3053" s="100"/>
    </row>
    <row r="3054" spans="4:13" ht="25" thickBot="1">
      <c r="D3054" s="89"/>
      <c r="E3054" s="627" t="s">
        <v>435</v>
      </c>
      <c r="F3054" s="1007">
        <v>0.55208333333333337</v>
      </c>
      <c r="G3054" s="1008"/>
      <c r="H3054" s="1009"/>
      <c r="I3054" s="995"/>
      <c r="J3054" s="996"/>
      <c r="K3054" s="997"/>
      <c r="L3054" s="106">
        <v>0.78125</v>
      </c>
      <c r="M3054" s="107">
        <v>0.63541666666666663</v>
      </c>
    </row>
    <row r="3055" spans="4:13" ht="25" thickBot="1">
      <c r="D3055" s="89"/>
      <c r="E3055" s="628" t="s">
        <v>436</v>
      </c>
      <c r="F3055" s="200" t="s">
        <v>29</v>
      </c>
      <c r="G3055" s="200" t="s">
        <v>28</v>
      </c>
      <c r="H3055" s="201" t="s">
        <v>27</v>
      </c>
      <c r="I3055" s="995"/>
      <c r="J3055" s="996"/>
      <c r="K3055" s="997"/>
      <c r="L3055" s="99"/>
      <c r="M3055" s="100"/>
    </row>
    <row r="3056" spans="4:13" ht="24">
      <c r="D3056" s="89"/>
      <c r="E3056" s="629">
        <v>45638</v>
      </c>
      <c r="F3056" s="634">
        <v>0.03</v>
      </c>
      <c r="G3056" s="634" t="s">
        <v>1548</v>
      </c>
      <c r="H3056" s="634">
        <v>3.2500000000000001E-2</v>
      </c>
      <c r="I3056" s="995"/>
      <c r="J3056" s="996"/>
      <c r="K3056" s="997"/>
      <c r="L3056" s="99"/>
      <c r="M3056" s="203"/>
    </row>
    <row r="3057" spans="4:13" ht="24">
      <c r="D3057" s="89"/>
      <c r="E3057" s="629">
        <v>45582</v>
      </c>
      <c r="F3057" s="634">
        <v>3.2500000000000001E-2</v>
      </c>
      <c r="G3057" s="634" t="s">
        <v>1542</v>
      </c>
      <c r="H3057" s="634">
        <v>3.5000000000000003E-2</v>
      </c>
      <c r="I3057" s="995"/>
      <c r="J3057" s="996"/>
      <c r="K3057" s="997"/>
      <c r="L3057" s="99"/>
      <c r="M3057" s="100"/>
    </row>
    <row r="3058" spans="4:13" ht="24">
      <c r="D3058" s="89"/>
      <c r="E3058" s="629">
        <v>45547</v>
      </c>
      <c r="F3058" s="634">
        <v>3.5000000000000003E-2</v>
      </c>
      <c r="G3058" s="634" t="s">
        <v>1549</v>
      </c>
      <c r="H3058" s="634">
        <v>3.7499999999999999E-2</v>
      </c>
      <c r="I3058" s="995"/>
      <c r="J3058" s="996"/>
      <c r="K3058" s="997"/>
      <c r="L3058" s="101"/>
      <c r="M3058" s="100"/>
    </row>
    <row r="3059" spans="4:13" ht="24">
      <c r="D3059" s="89"/>
      <c r="E3059" s="629">
        <v>45491</v>
      </c>
      <c r="F3059" s="634">
        <v>3.7499999999999999E-2</v>
      </c>
      <c r="G3059" s="634" t="s">
        <v>1543</v>
      </c>
      <c r="H3059" s="634">
        <v>3.7499999999999999E-2</v>
      </c>
      <c r="I3059" s="995"/>
      <c r="J3059" s="996"/>
      <c r="K3059" s="997"/>
      <c r="L3059" s="99"/>
      <c r="M3059" s="100"/>
    </row>
    <row r="3060" spans="4:13" ht="24">
      <c r="D3060" s="89"/>
      <c r="E3060" s="629">
        <v>45449</v>
      </c>
      <c r="F3060" s="634">
        <v>3.7499999999999999E-2</v>
      </c>
      <c r="G3060" s="634" t="s">
        <v>1543</v>
      </c>
      <c r="H3060" s="634">
        <v>0.04</v>
      </c>
      <c r="I3060" s="995"/>
      <c r="J3060" s="996"/>
      <c r="K3060" s="997"/>
      <c r="L3060" s="99"/>
      <c r="M3060" s="100"/>
    </row>
    <row r="3061" spans="4:13" ht="25" thickBot="1">
      <c r="D3061" s="89"/>
      <c r="E3061" s="629">
        <v>45393</v>
      </c>
      <c r="F3061" s="634">
        <v>0.04</v>
      </c>
      <c r="G3061" s="634" t="s">
        <v>1550</v>
      </c>
      <c r="H3061" s="634">
        <v>0.04</v>
      </c>
      <c r="I3061" s="998"/>
      <c r="J3061" s="999"/>
      <c r="K3061" s="1000"/>
      <c r="L3061" s="102"/>
      <c r="M3061" s="103"/>
    </row>
    <row r="3062" spans="4:13" ht="25" thickBot="1">
      <c r="D3062">
        <v>15</v>
      </c>
      <c r="E3062" s="624" t="s">
        <v>30</v>
      </c>
      <c r="F3062" s="1057" t="s">
        <v>1515</v>
      </c>
      <c r="G3062" s="1058"/>
      <c r="H3062" s="1059"/>
      <c r="I3062" s="1086" t="s">
        <v>633</v>
      </c>
      <c r="J3062" s="1061"/>
      <c r="K3062" s="1062"/>
      <c r="L3062" s="158" t="s">
        <v>430</v>
      </c>
      <c r="M3062" s="105" t="s">
        <v>431</v>
      </c>
    </row>
    <row r="3063" spans="4:13" ht="24">
      <c r="D3063" s="89"/>
      <c r="E3063" s="625" t="s">
        <v>432</v>
      </c>
      <c r="F3063" s="992"/>
      <c r="G3063" s="993"/>
      <c r="H3063" s="994"/>
      <c r="I3063" s="995" t="s">
        <v>1514</v>
      </c>
      <c r="J3063" s="996"/>
      <c r="K3063" s="997"/>
      <c r="L3063" s="99"/>
      <c r="M3063" s="100"/>
    </row>
    <row r="3064" spans="4:13" ht="24">
      <c r="D3064" s="89"/>
      <c r="E3064" s="626" t="s">
        <v>433</v>
      </c>
      <c r="F3064" s="1063">
        <v>2.9000000000000001E-2</v>
      </c>
      <c r="G3064" s="1064"/>
      <c r="H3064" s="1065"/>
      <c r="I3064" s="995"/>
      <c r="J3064" s="996"/>
      <c r="K3064" s="997"/>
      <c r="L3064" s="99"/>
      <c r="M3064" s="100"/>
    </row>
    <row r="3065" spans="4:13" ht="25" thickBot="1">
      <c r="D3065" s="89"/>
      <c r="E3065" s="626" t="s">
        <v>434</v>
      </c>
      <c r="F3065" s="1063">
        <v>3.15E-2</v>
      </c>
      <c r="G3065" s="1064"/>
      <c r="H3065" s="1065"/>
      <c r="I3065" s="995"/>
      <c r="J3065" s="996"/>
      <c r="K3065" s="997"/>
      <c r="L3065" s="99"/>
      <c r="M3065" s="100"/>
    </row>
    <row r="3066" spans="4:13" ht="25" thickBot="1">
      <c r="D3066" s="89"/>
      <c r="E3066" s="627" t="s">
        <v>435</v>
      </c>
      <c r="F3066" s="1007">
        <v>0.55208333333333337</v>
      </c>
      <c r="G3066" s="1008"/>
      <c r="H3066" s="1009"/>
      <c r="I3066" s="995"/>
      <c r="J3066" s="996"/>
      <c r="K3066" s="997"/>
      <c r="L3066" s="106">
        <v>0.78125</v>
      </c>
      <c r="M3066" s="107">
        <v>0.63541666666666663</v>
      </c>
    </row>
    <row r="3067" spans="4:13" ht="25" thickBot="1">
      <c r="D3067" s="89"/>
      <c r="E3067" s="628" t="s">
        <v>436</v>
      </c>
      <c r="F3067" s="200" t="s">
        <v>29</v>
      </c>
      <c r="G3067" s="200" t="s">
        <v>28</v>
      </c>
      <c r="H3067" s="201" t="s">
        <v>27</v>
      </c>
      <c r="I3067" s="995"/>
      <c r="J3067" s="996"/>
      <c r="K3067" s="997"/>
      <c r="L3067" s="99"/>
      <c r="M3067" s="100"/>
    </row>
    <row r="3068" spans="4:13" ht="24">
      <c r="D3068" s="89"/>
      <c r="E3068" s="629">
        <v>45638</v>
      </c>
      <c r="F3068" s="634">
        <v>3.15E-2</v>
      </c>
      <c r="G3068" s="634" t="s">
        <v>1551</v>
      </c>
      <c r="H3068" s="634">
        <v>3.4000000000000002E-2</v>
      </c>
      <c r="I3068" s="995"/>
      <c r="J3068" s="996"/>
      <c r="K3068" s="997"/>
      <c r="L3068" s="99"/>
      <c r="M3068" s="203"/>
    </row>
    <row r="3069" spans="4:13" ht="24">
      <c r="D3069" s="89"/>
      <c r="E3069" s="629">
        <v>45582</v>
      </c>
      <c r="F3069" s="634">
        <v>3.4000000000000002E-2</v>
      </c>
      <c r="G3069" s="634" t="s">
        <v>1552</v>
      </c>
      <c r="H3069" s="634">
        <v>3.6499999999999998E-2</v>
      </c>
      <c r="I3069" s="995"/>
      <c r="J3069" s="996"/>
      <c r="K3069" s="997"/>
      <c r="L3069" s="99"/>
      <c r="M3069" s="100"/>
    </row>
    <row r="3070" spans="4:13" ht="24">
      <c r="D3070" s="89"/>
      <c r="E3070" s="629">
        <v>45547</v>
      </c>
      <c r="F3070" s="634">
        <v>3.6499999999999998E-2</v>
      </c>
      <c r="G3070" s="634" t="s">
        <v>1553</v>
      </c>
      <c r="H3070" s="634">
        <v>4.2500000000000003E-2</v>
      </c>
      <c r="I3070" s="995"/>
      <c r="J3070" s="996"/>
      <c r="K3070" s="997"/>
      <c r="L3070" s="101"/>
      <c r="M3070" s="100"/>
    </row>
    <row r="3071" spans="4:13" ht="24">
      <c r="D3071" s="89"/>
      <c r="E3071" s="629">
        <v>45491</v>
      </c>
      <c r="F3071" s="634">
        <v>4.2500000000000003E-2</v>
      </c>
      <c r="G3071" s="634" t="s">
        <v>723</v>
      </c>
      <c r="H3071" s="634">
        <v>4.2500000000000003E-2</v>
      </c>
      <c r="I3071" s="995"/>
      <c r="J3071" s="996"/>
      <c r="K3071" s="997"/>
      <c r="L3071" s="99"/>
      <c r="M3071" s="100"/>
    </row>
    <row r="3072" spans="4:13" ht="24">
      <c r="D3072" s="89"/>
      <c r="E3072" s="629">
        <v>45449</v>
      </c>
      <c r="F3072" s="634">
        <v>4.2500000000000003E-2</v>
      </c>
      <c r="G3072" s="634" t="s">
        <v>723</v>
      </c>
      <c r="H3072" s="634">
        <v>4.4999999999999998E-2</v>
      </c>
      <c r="I3072" s="995"/>
      <c r="J3072" s="996"/>
      <c r="K3072" s="997"/>
      <c r="L3072" s="99"/>
      <c r="M3072" s="100"/>
    </row>
    <row r="3073" spans="4:13" ht="25" thickBot="1">
      <c r="D3073" s="89"/>
      <c r="E3073" s="629">
        <v>45393</v>
      </c>
      <c r="F3073" s="634">
        <v>4.4999999999999998E-2</v>
      </c>
      <c r="G3073" s="634" t="s">
        <v>725</v>
      </c>
      <c r="H3073" s="634">
        <v>4.4999999999999998E-2</v>
      </c>
      <c r="I3073" s="998"/>
      <c r="J3073" s="999"/>
      <c r="K3073" s="1000"/>
      <c r="L3073" s="102"/>
      <c r="M3073" s="103"/>
    </row>
    <row r="3074" spans="4:13" ht="25" thickBot="1">
      <c r="D3074">
        <v>16</v>
      </c>
      <c r="E3074" s="624" t="s">
        <v>30</v>
      </c>
      <c r="F3074" s="1057" t="s">
        <v>1516</v>
      </c>
      <c r="G3074" s="1058"/>
      <c r="H3074" s="1059"/>
      <c r="I3074" s="1086" t="s">
        <v>633</v>
      </c>
      <c r="J3074" s="1061"/>
      <c r="K3074" s="1062"/>
      <c r="L3074" s="158" t="s">
        <v>430</v>
      </c>
      <c r="M3074" s="105" t="s">
        <v>431</v>
      </c>
    </row>
    <row r="3075" spans="4:13" ht="24">
      <c r="D3075" s="89"/>
      <c r="E3075" s="625" t="s">
        <v>432</v>
      </c>
      <c r="F3075" s="992"/>
      <c r="G3075" s="993"/>
      <c r="H3075" s="994"/>
      <c r="I3075" s="995" t="s">
        <v>1517</v>
      </c>
      <c r="J3075" s="996"/>
      <c r="K3075" s="997"/>
      <c r="L3075" s="99"/>
      <c r="M3075" s="100"/>
    </row>
    <row r="3076" spans="4:13" ht="24">
      <c r="D3076" s="89"/>
      <c r="E3076" s="626" t="s">
        <v>433</v>
      </c>
      <c r="F3076" s="1063"/>
      <c r="G3076" s="1064"/>
      <c r="H3076" s="1065"/>
      <c r="I3076" s="995"/>
      <c r="J3076" s="996"/>
      <c r="K3076" s="997"/>
      <c r="L3076" s="99"/>
      <c r="M3076" s="100"/>
    </row>
    <row r="3077" spans="4:13" ht="25" thickBot="1">
      <c r="D3077" s="89"/>
      <c r="E3077" s="626" t="s">
        <v>434</v>
      </c>
      <c r="F3077" s="1063">
        <v>3.1E-2</v>
      </c>
      <c r="G3077" s="1064"/>
      <c r="H3077" s="1065"/>
      <c r="I3077" s="995"/>
      <c r="J3077" s="996"/>
      <c r="K3077" s="997"/>
      <c r="L3077" s="99"/>
      <c r="M3077" s="100"/>
    </row>
    <row r="3078" spans="4:13" ht="25" thickBot="1">
      <c r="D3078" s="89"/>
      <c r="E3078" s="627" t="s">
        <v>435</v>
      </c>
      <c r="F3078" s="1007">
        <v>0.5625</v>
      </c>
      <c r="G3078" s="1008"/>
      <c r="H3078" s="1009"/>
      <c r="I3078" s="995"/>
      <c r="J3078" s="996"/>
      <c r="K3078" s="997"/>
      <c r="L3078" s="106">
        <v>0.79166666666666663</v>
      </c>
      <c r="M3078" s="107">
        <v>0.64583333333333326</v>
      </c>
    </row>
    <row r="3079" spans="4:13" ht="25" thickBot="1">
      <c r="D3079" s="89"/>
      <c r="E3079" s="628" t="s">
        <v>436</v>
      </c>
      <c r="F3079" s="200" t="s">
        <v>29</v>
      </c>
      <c r="G3079" s="200" t="s">
        <v>28</v>
      </c>
      <c r="H3079" s="201" t="s">
        <v>27</v>
      </c>
      <c r="I3079" s="995"/>
      <c r="J3079" s="996"/>
      <c r="K3079" s="997"/>
      <c r="L3079" s="99"/>
      <c r="M3079" s="100"/>
    </row>
    <row r="3080" spans="4:13" ht="24">
      <c r="D3080" s="89"/>
      <c r="E3080" s="629">
        <v>45645</v>
      </c>
      <c r="F3080" s="634">
        <v>3.1E-2</v>
      </c>
      <c r="G3080" s="634" t="s">
        <v>666</v>
      </c>
      <c r="H3080" s="634">
        <v>0.03</v>
      </c>
      <c r="I3080" s="995"/>
      <c r="J3080" s="996"/>
      <c r="K3080" s="997"/>
      <c r="L3080" s="99"/>
      <c r="M3080" s="203"/>
    </row>
    <row r="3081" spans="4:13" ht="24">
      <c r="D3081" s="89"/>
      <c r="E3081" s="629">
        <v>45623</v>
      </c>
      <c r="F3081" s="634">
        <v>2.8000000000000001E-2</v>
      </c>
      <c r="G3081" s="634" t="s">
        <v>666</v>
      </c>
      <c r="H3081" s="634">
        <v>0.03</v>
      </c>
      <c r="I3081" s="995"/>
      <c r="J3081" s="996"/>
      <c r="K3081" s="997"/>
      <c r="L3081" s="99"/>
      <c r="M3081" s="100"/>
    </row>
    <row r="3082" spans="4:13" ht="24">
      <c r="D3082" s="89"/>
      <c r="E3082" s="629">
        <v>45595</v>
      </c>
      <c r="F3082" s="634">
        <v>2.8000000000000001E-2</v>
      </c>
      <c r="G3082" s="634" t="s">
        <v>669</v>
      </c>
      <c r="H3082" s="634">
        <v>0.03</v>
      </c>
      <c r="I3082" s="995"/>
      <c r="J3082" s="996"/>
      <c r="K3082" s="997"/>
      <c r="L3082" s="101"/>
      <c r="M3082" s="100"/>
    </row>
    <row r="3083" spans="4:13" ht="24">
      <c r="D3083" s="89"/>
      <c r="E3083" s="629">
        <v>45561</v>
      </c>
      <c r="F3083" s="634">
        <v>0.03</v>
      </c>
      <c r="G3083" s="634" t="s">
        <v>669</v>
      </c>
      <c r="H3083" s="634">
        <v>1.6E-2</v>
      </c>
      <c r="I3083" s="995"/>
      <c r="J3083" s="996"/>
      <c r="K3083" s="997"/>
      <c r="L3083" s="99"/>
      <c r="M3083" s="100"/>
    </row>
    <row r="3084" spans="4:13" ht="24">
      <c r="D3084" s="89"/>
      <c r="E3084" s="629">
        <v>45533</v>
      </c>
      <c r="F3084" s="634">
        <v>0.03</v>
      </c>
      <c r="G3084" s="634" t="s">
        <v>666</v>
      </c>
      <c r="H3084" s="634">
        <v>1.4E-2</v>
      </c>
      <c r="I3084" s="995"/>
      <c r="J3084" s="996"/>
      <c r="K3084" s="997"/>
      <c r="L3084" s="99"/>
      <c r="M3084" s="100"/>
    </row>
    <row r="3085" spans="4:13" ht="25" thickBot="1">
      <c r="D3085" s="89"/>
      <c r="E3085" s="629">
        <v>45498</v>
      </c>
      <c r="F3085" s="634">
        <v>2.8000000000000001E-2</v>
      </c>
      <c r="G3085" s="634" t="s">
        <v>788</v>
      </c>
      <c r="H3085" s="634">
        <v>1.4E-2</v>
      </c>
      <c r="I3085" s="998"/>
      <c r="J3085" s="999"/>
      <c r="K3085" s="1000"/>
      <c r="L3085" s="102"/>
      <c r="M3085" s="103"/>
    </row>
    <row r="3086" spans="4:13" ht="25" thickBot="1">
      <c r="D3086">
        <v>14</v>
      </c>
      <c r="E3086" s="624" t="s">
        <v>30</v>
      </c>
      <c r="F3086" s="1057" t="s">
        <v>1421</v>
      </c>
      <c r="G3086" s="1058"/>
      <c r="H3086" s="1059"/>
      <c r="I3086" s="1086" t="s">
        <v>633</v>
      </c>
      <c r="J3086" s="1061"/>
      <c r="K3086" s="1062"/>
      <c r="L3086" s="158" t="s">
        <v>430</v>
      </c>
      <c r="M3086" s="105" t="s">
        <v>431</v>
      </c>
    </row>
    <row r="3087" spans="4:13" ht="24">
      <c r="D3087" s="89"/>
      <c r="E3087" s="625" t="s">
        <v>432</v>
      </c>
      <c r="F3087" s="992"/>
      <c r="G3087" s="993"/>
      <c r="H3087" s="994"/>
      <c r="I3087" s="995" t="s">
        <v>1518</v>
      </c>
      <c r="J3087" s="996"/>
      <c r="K3087" s="997"/>
      <c r="L3087" s="99"/>
      <c r="M3087" s="100"/>
    </row>
    <row r="3088" spans="4:13" ht="24">
      <c r="D3088" s="89"/>
      <c r="E3088" s="626" t="s">
        <v>433</v>
      </c>
      <c r="F3088" s="1063"/>
      <c r="G3088" s="1064"/>
      <c r="H3088" s="1065"/>
      <c r="I3088" s="995"/>
      <c r="J3088" s="996"/>
      <c r="K3088" s="997"/>
      <c r="L3088" s="99"/>
      <c r="M3088" s="100"/>
    </row>
    <row r="3089" spans="4:13" ht="25" thickBot="1">
      <c r="D3089" s="89"/>
      <c r="E3089" s="626" t="s">
        <v>434</v>
      </c>
      <c r="F3089" s="1063" t="s">
        <v>1347</v>
      </c>
      <c r="G3089" s="1064"/>
      <c r="H3089" s="1065"/>
      <c r="I3089" s="995"/>
      <c r="J3089" s="996"/>
      <c r="K3089" s="997"/>
      <c r="L3089" s="99"/>
      <c r="M3089" s="100"/>
    </row>
    <row r="3090" spans="4:13" ht="25" thickBot="1">
      <c r="D3090" s="89"/>
      <c r="E3090" s="627" t="s">
        <v>435</v>
      </c>
      <c r="F3090" s="1007">
        <v>0.5625</v>
      </c>
      <c r="G3090" s="1008"/>
      <c r="H3090" s="1009"/>
      <c r="I3090" s="995"/>
      <c r="J3090" s="996"/>
      <c r="K3090" s="997"/>
      <c r="L3090" s="106">
        <v>0.79166666666666663</v>
      </c>
      <c r="M3090" s="107">
        <v>0.64583333333333326</v>
      </c>
    </row>
    <row r="3091" spans="4:13" ht="25" thickBot="1">
      <c r="D3091" s="89"/>
      <c r="E3091" s="628" t="s">
        <v>436</v>
      </c>
      <c r="F3091" s="200" t="s">
        <v>29</v>
      </c>
      <c r="G3091" s="200" t="s">
        <v>28</v>
      </c>
      <c r="H3091" s="201" t="s">
        <v>27</v>
      </c>
      <c r="I3091" s="995"/>
      <c r="J3091" s="996"/>
      <c r="K3091" s="997"/>
      <c r="L3091" s="99"/>
      <c r="M3091" s="100"/>
    </row>
    <row r="3092" spans="4:13" ht="24">
      <c r="D3092" s="89"/>
      <c r="E3092" s="629">
        <v>45680</v>
      </c>
      <c r="F3092" s="217" t="s">
        <v>973</v>
      </c>
      <c r="G3092" s="217" t="s">
        <v>972</v>
      </c>
      <c r="H3092" s="217" t="s">
        <v>1031</v>
      </c>
      <c r="I3092" s="995"/>
      <c r="J3092" s="996"/>
      <c r="K3092" s="997"/>
      <c r="L3092" s="99"/>
      <c r="M3092" s="203"/>
    </row>
    <row r="3093" spans="4:13" ht="24">
      <c r="D3093" s="89"/>
      <c r="E3093" s="629">
        <v>45673</v>
      </c>
      <c r="F3093" s="217" t="s">
        <v>1031</v>
      </c>
      <c r="G3093" s="217" t="s">
        <v>1554</v>
      </c>
      <c r="H3093" s="217" t="s">
        <v>1555</v>
      </c>
      <c r="I3093" s="995"/>
      <c r="J3093" s="996"/>
      <c r="K3093" s="997"/>
      <c r="L3093" s="99"/>
      <c r="M3093" s="100"/>
    </row>
    <row r="3094" spans="4:13" ht="24">
      <c r="D3094" s="89"/>
      <c r="E3094" s="629">
        <v>45665</v>
      </c>
      <c r="F3094" s="217" t="s">
        <v>1438</v>
      </c>
      <c r="G3094" s="217" t="s">
        <v>1439</v>
      </c>
      <c r="H3094" s="217" t="s">
        <v>1440</v>
      </c>
      <c r="I3094" s="995"/>
      <c r="J3094" s="996"/>
      <c r="K3094" s="997"/>
      <c r="L3094" s="101"/>
      <c r="M3094" s="100"/>
    </row>
    <row r="3095" spans="4:13" ht="24">
      <c r="D3095" s="89"/>
      <c r="E3095" s="629">
        <v>45659</v>
      </c>
      <c r="F3095" s="217" t="s">
        <v>1440</v>
      </c>
      <c r="G3095" s="217" t="s">
        <v>986</v>
      </c>
      <c r="H3095" s="217" t="s">
        <v>1112</v>
      </c>
      <c r="I3095" s="995"/>
      <c r="J3095" s="996"/>
      <c r="K3095" s="997"/>
      <c r="L3095" s="99"/>
      <c r="M3095" s="100"/>
    </row>
    <row r="3096" spans="4:13" ht="24">
      <c r="D3096" s="89"/>
      <c r="E3096" s="629">
        <v>45652</v>
      </c>
      <c r="F3096" s="217" t="s">
        <v>987</v>
      </c>
      <c r="G3096" s="217" t="s">
        <v>973</v>
      </c>
      <c r="H3096" s="217" t="s">
        <v>1112</v>
      </c>
      <c r="I3096" s="995"/>
      <c r="J3096" s="996"/>
      <c r="K3096" s="997"/>
      <c r="L3096" s="99"/>
      <c r="M3096" s="100"/>
    </row>
    <row r="3097" spans="4:13" ht="25" thickBot="1">
      <c r="D3097" s="89"/>
      <c r="E3097" s="629">
        <v>45645</v>
      </c>
      <c r="F3097" s="217" t="s">
        <v>1112</v>
      </c>
      <c r="G3097" s="217" t="s">
        <v>976</v>
      </c>
      <c r="H3097" s="217" t="s">
        <v>980</v>
      </c>
      <c r="I3097" s="998"/>
      <c r="J3097" s="999"/>
      <c r="K3097" s="1000"/>
      <c r="L3097" s="102"/>
      <c r="M3097" s="103"/>
    </row>
    <row r="3098" spans="4:13" ht="25" thickBot="1">
      <c r="D3098">
        <v>15</v>
      </c>
      <c r="E3098" s="624" t="s">
        <v>30</v>
      </c>
      <c r="F3098" s="1057" t="s">
        <v>1519</v>
      </c>
      <c r="G3098" s="1058"/>
      <c r="H3098" s="1059"/>
      <c r="I3098" s="1086" t="s">
        <v>633</v>
      </c>
      <c r="J3098" s="1061"/>
      <c r="K3098" s="1062"/>
      <c r="L3098" s="158" t="s">
        <v>430</v>
      </c>
      <c r="M3098" s="105" t="s">
        <v>431</v>
      </c>
    </row>
    <row r="3099" spans="4:13" ht="24">
      <c r="D3099" s="89"/>
      <c r="E3099" s="625" t="s">
        <v>432</v>
      </c>
      <c r="F3099" s="992"/>
      <c r="G3099" s="993"/>
      <c r="H3099" s="994"/>
      <c r="I3099" s="995" t="s">
        <v>1514</v>
      </c>
      <c r="J3099" s="996"/>
      <c r="K3099" s="997"/>
      <c r="L3099" s="99"/>
      <c r="M3099" s="100"/>
    </row>
    <row r="3100" spans="4:13" ht="24">
      <c r="D3100" s="89"/>
      <c r="E3100" s="626" t="s">
        <v>433</v>
      </c>
      <c r="F3100" s="1063"/>
      <c r="G3100" s="1064"/>
      <c r="H3100" s="1065"/>
      <c r="I3100" s="995"/>
      <c r="J3100" s="996"/>
      <c r="K3100" s="997"/>
      <c r="L3100" s="99"/>
      <c r="M3100" s="100"/>
    </row>
    <row r="3101" spans="4:13" ht="25" thickBot="1">
      <c r="D3101" s="89"/>
      <c r="E3101" s="626" t="s">
        <v>434</v>
      </c>
      <c r="F3101" s="1075"/>
      <c r="G3101" s="1073"/>
      <c r="H3101" s="1074"/>
      <c r="I3101" s="995"/>
      <c r="J3101" s="996"/>
      <c r="K3101" s="997"/>
      <c r="L3101" s="99"/>
      <c r="M3101" s="100"/>
    </row>
    <row r="3102" spans="4:13" ht="25" thickBot="1">
      <c r="D3102" s="89"/>
      <c r="E3102" s="627" t="s">
        <v>435</v>
      </c>
      <c r="F3102" s="1007">
        <v>0.57291666666666674</v>
      </c>
      <c r="G3102" s="1008"/>
      <c r="H3102" s="1009"/>
      <c r="I3102" s="995"/>
      <c r="J3102" s="996"/>
      <c r="K3102" s="997"/>
      <c r="L3102" s="106">
        <v>0.80208333333333337</v>
      </c>
      <c r="M3102" s="107">
        <v>0.65625</v>
      </c>
    </row>
    <row r="3103" spans="4:13" ht="25" thickBot="1">
      <c r="D3103" s="89"/>
      <c r="E3103" s="628" t="s">
        <v>436</v>
      </c>
      <c r="F3103" s="200" t="s">
        <v>29</v>
      </c>
      <c r="G3103" s="200" t="s">
        <v>28</v>
      </c>
      <c r="H3103" s="201" t="s">
        <v>27</v>
      </c>
      <c r="I3103" s="995"/>
      <c r="J3103" s="996"/>
      <c r="K3103" s="997"/>
      <c r="L3103" s="99"/>
      <c r="M3103" s="100"/>
    </row>
    <row r="3104" spans="4:13" ht="24">
      <c r="D3104" s="89"/>
      <c r="E3104" s="629">
        <v>45686</v>
      </c>
      <c r="F3104" s="217">
        <v>0</v>
      </c>
      <c r="G3104" s="217" t="s">
        <v>754</v>
      </c>
      <c r="H3104" s="217">
        <v>0</v>
      </c>
      <c r="I3104" s="995"/>
      <c r="J3104" s="996"/>
      <c r="K3104" s="997"/>
      <c r="L3104" s="99"/>
      <c r="M3104" s="203"/>
    </row>
    <row r="3105" spans="4:13" ht="24">
      <c r="D3105" s="89"/>
      <c r="E3105" s="629">
        <v>45638</v>
      </c>
      <c r="F3105" s="217">
        <v>0</v>
      </c>
      <c r="G3105" s="217" t="s">
        <v>754</v>
      </c>
      <c r="H3105" s="217">
        <v>0</v>
      </c>
      <c r="I3105" s="995"/>
      <c r="J3105" s="996"/>
      <c r="K3105" s="997"/>
      <c r="L3105" s="99"/>
      <c r="M3105" s="100"/>
    </row>
    <row r="3106" spans="4:13" ht="24">
      <c r="D3106" s="89"/>
      <c r="E3106" s="629">
        <v>45582</v>
      </c>
      <c r="F3106" s="217">
        <v>0</v>
      </c>
      <c r="G3106" s="217" t="s">
        <v>754</v>
      </c>
      <c r="H3106" s="217">
        <v>0</v>
      </c>
      <c r="I3106" s="995"/>
      <c r="J3106" s="996"/>
      <c r="K3106" s="997"/>
      <c r="L3106" s="101"/>
      <c r="M3106" s="100"/>
    </row>
    <row r="3107" spans="4:13" ht="24">
      <c r="D3107" s="89"/>
      <c r="E3107" s="629">
        <v>45547</v>
      </c>
      <c r="F3107" s="217">
        <v>0</v>
      </c>
      <c r="G3107" s="217" t="s">
        <v>754</v>
      </c>
      <c r="H3107" s="217">
        <v>0</v>
      </c>
      <c r="I3107" s="995"/>
      <c r="J3107" s="996"/>
      <c r="K3107" s="997"/>
      <c r="L3107" s="99"/>
      <c r="M3107" s="100"/>
    </row>
    <row r="3108" spans="4:13" ht="24">
      <c r="D3108" s="89"/>
      <c r="E3108" s="629">
        <v>45491</v>
      </c>
      <c r="F3108" s="217">
        <v>0</v>
      </c>
      <c r="G3108" s="217" t="s">
        <v>754</v>
      </c>
      <c r="H3108" s="217">
        <v>0</v>
      </c>
      <c r="I3108" s="995"/>
      <c r="J3108" s="996"/>
      <c r="K3108" s="997"/>
      <c r="L3108" s="99"/>
      <c r="M3108" s="100"/>
    </row>
    <row r="3109" spans="4:13" ht="25" thickBot="1">
      <c r="D3109" s="89"/>
      <c r="E3109" s="629">
        <v>45449</v>
      </c>
      <c r="F3109" s="217">
        <v>0</v>
      </c>
      <c r="G3109" s="217" t="s">
        <v>754</v>
      </c>
      <c r="H3109" s="217">
        <v>0</v>
      </c>
      <c r="I3109" s="998"/>
      <c r="J3109" s="999"/>
      <c r="K3109" s="1000"/>
      <c r="L3109" s="102"/>
      <c r="M3109" s="103"/>
    </row>
    <row r="3110" spans="4:13" ht="25" thickBot="1">
      <c r="D3110">
        <v>16</v>
      </c>
      <c r="E3110" s="624" t="s">
        <v>30</v>
      </c>
      <c r="F3110" s="1057" t="s">
        <v>1521</v>
      </c>
      <c r="G3110" s="1058"/>
      <c r="H3110" s="1059"/>
      <c r="I3110" s="1086" t="s">
        <v>633</v>
      </c>
      <c r="J3110" s="1061"/>
      <c r="K3110" s="1062"/>
      <c r="L3110" s="158" t="s">
        <v>430</v>
      </c>
      <c r="M3110" s="105" t="s">
        <v>431</v>
      </c>
    </row>
    <row r="3111" spans="4:13" ht="24">
      <c r="D3111" s="89"/>
      <c r="E3111" s="625" t="s">
        <v>432</v>
      </c>
      <c r="F3111" s="992"/>
      <c r="G3111" s="993"/>
      <c r="H3111" s="994"/>
      <c r="I3111" s="995" t="s">
        <v>1522</v>
      </c>
      <c r="J3111" s="996"/>
      <c r="K3111" s="997"/>
      <c r="L3111" s="99"/>
      <c r="M3111" s="100"/>
    </row>
    <row r="3112" spans="4:13" ht="24">
      <c r="D3112" s="89"/>
      <c r="E3112" s="626" t="s">
        <v>433</v>
      </c>
      <c r="F3112" s="1075">
        <v>2.36</v>
      </c>
      <c r="G3112" s="1073"/>
      <c r="H3112" s="1074"/>
      <c r="I3112" s="995"/>
      <c r="J3112" s="996"/>
      <c r="K3112" s="997"/>
      <c r="L3112" s="99"/>
      <c r="M3112" s="100"/>
    </row>
    <row r="3113" spans="4:13" ht="25" thickBot="1">
      <c r="D3113" s="89"/>
      <c r="E3113" s="626" t="s">
        <v>434</v>
      </c>
      <c r="F3113" s="1075">
        <v>2.1800000000000002</v>
      </c>
      <c r="G3113" s="1073"/>
      <c r="H3113" s="1074"/>
      <c r="I3113" s="995"/>
      <c r="J3113" s="996"/>
      <c r="K3113" s="997"/>
      <c r="L3113" s="99"/>
      <c r="M3113" s="100"/>
    </row>
    <row r="3114" spans="4:13" ht="25" thickBot="1">
      <c r="D3114" s="89"/>
      <c r="E3114" s="627" t="s">
        <v>435</v>
      </c>
      <c r="F3114" s="1208">
        <v>0.875</v>
      </c>
      <c r="G3114" s="1209"/>
      <c r="H3114" s="1210"/>
      <c r="I3114" s="995"/>
      <c r="J3114" s="996"/>
      <c r="K3114" s="997"/>
      <c r="L3114" s="106">
        <v>0.10416666666666667</v>
      </c>
      <c r="M3114" s="556">
        <v>0.95833333333333337</v>
      </c>
    </row>
    <row r="3115" spans="4:13" ht="25" thickBot="1">
      <c r="D3115" s="89"/>
      <c r="E3115" s="628" t="s">
        <v>436</v>
      </c>
      <c r="F3115" s="200" t="s">
        <v>29</v>
      </c>
      <c r="G3115" s="200" t="s">
        <v>28</v>
      </c>
      <c r="H3115" s="201" t="s">
        <v>27</v>
      </c>
      <c r="I3115" s="995"/>
      <c r="J3115" s="996"/>
      <c r="K3115" s="997"/>
      <c r="L3115" s="99"/>
      <c r="M3115" s="100"/>
    </row>
    <row r="3116" spans="4:13" ht="23">
      <c r="D3116" s="89"/>
      <c r="E3116" s="629">
        <v>45596</v>
      </c>
      <c r="F3116" s="217">
        <v>1.64</v>
      </c>
      <c r="G3116" s="217">
        <v>1.49</v>
      </c>
      <c r="H3116" s="217">
        <v>1.46</v>
      </c>
      <c r="I3116" s="995"/>
      <c r="J3116" s="996"/>
      <c r="K3116" s="997"/>
      <c r="L3116" s="99"/>
      <c r="M3116" s="203"/>
    </row>
    <row r="3117" spans="4:13" ht="23">
      <c r="D3117" s="89"/>
      <c r="E3117" s="629">
        <v>45505</v>
      </c>
      <c r="F3117" s="217">
        <v>1.4</v>
      </c>
      <c r="G3117" s="217">
        <v>1.34</v>
      </c>
      <c r="H3117" s="217">
        <v>1.53</v>
      </c>
      <c r="I3117" s="995"/>
      <c r="J3117" s="996"/>
      <c r="K3117" s="997"/>
      <c r="L3117" s="99"/>
      <c r="M3117" s="100"/>
    </row>
    <row r="3118" spans="4:13" ht="23">
      <c r="D3118" s="89"/>
      <c r="E3118" s="629">
        <v>45414</v>
      </c>
      <c r="F3118" s="217">
        <v>1.53</v>
      </c>
      <c r="G3118" s="217">
        <v>1.51</v>
      </c>
      <c r="H3118" s="217">
        <v>2.1800000000000002</v>
      </c>
      <c r="I3118" s="995"/>
      <c r="J3118" s="996"/>
      <c r="K3118" s="997"/>
      <c r="L3118" s="101"/>
      <c r="M3118" s="100"/>
    </row>
    <row r="3119" spans="4:13" ht="23">
      <c r="D3119" s="89"/>
      <c r="E3119" s="629">
        <v>45323</v>
      </c>
      <c r="F3119" s="217">
        <v>2.1800000000000002</v>
      </c>
      <c r="G3119" s="217">
        <v>2.09</v>
      </c>
      <c r="H3119" s="217">
        <v>1.26</v>
      </c>
      <c r="I3119" s="995"/>
      <c r="J3119" s="996"/>
      <c r="K3119" s="997"/>
      <c r="L3119" s="99"/>
      <c r="M3119" s="100"/>
    </row>
    <row r="3120" spans="4:13" ht="23">
      <c r="D3120" s="89"/>
      <c r="E3120" s="629">
        <v>45232</v>
      </c>
      <c r="F3120" s="217">
        <v>1.46</v>
      </c>
      <c r="G3120" s="217">
        <v>1.39</v>
      </c>
      <c r="H3120" s="217">
        <v>1.2</v>
      </c>
      <c r="I3120" s="995"/>
      <c r="J3120" s="996"/>
      <c r="K3120" s="997"/>
      <c r="L3120" s="99"/>
      <c r="M3120" s="100"/>
    </row>
    <row r="3121" spans="4:13" ht="24" thickBot="1">
      <c r="D3121" s="89"/>
      <c r="E3121" s="629">
        <v>45141</v>
      </c>
      <c r="F3121" s="217">
        <v>1.53</v>
      </c>
      <c r="G3121" s="217">
        <v>1.43</v>
      </c>
      <c r="H3121" s="217">
        <v>1.2</v>
      </c>
      <c r="I3121" s="998"/>
      <c r="J3121" s="999"/>
      <c r="K3121" s="1000"/>
      <c r="L3121" s="102"/>
      <c r="M3121" s="103"/>
    </row>
    <row r="3122" spans="4:13" ht="25" thickBot="1">
      <c r="D3122">
        <v>15</v>
      </c>
      <c r="E3122" s="624" t="s">
        <v>30</v>
      </c>
      <c r="F3122" s="1057" t="s">
        <v>1523</v>
      </c>
      <c r="G3122" s="1058"/>
      <c r="H3122" s="1059"/>
      <c r="I3122" s="1086" t="s">
        <v>633</v>
      </c>
      <c r="J3122" s="1061"/>
      <c r="K3122" s="1062"/>
      <c r="L3122" s="158" t="s">
        <v>430</v>
      </c>
      <c r="M3122" s="105" t="s">
        <v>431</v>
      </c>
    </row>
    <row r="3123" spans="4:13" ht="24">
      <c r="D3123" s="89"/>
      <c r="E3123" s="625" t="s">
        <v>432</v>
      </c>
      <c r="F3123" s="1011"/>
      <c r="G3123" s="1012"/>
      <c r="H3123" s="1013"/>
      <c r="I3123" s="995" t="s">
        <v>1524</v>
      </c>
      <c r="J3123" s="996"/>
      <c r="K3123" s="997"/>
      <c r="L3123" s="99"/>
      <c r="M3123" s="100"/>
    </row>
    <row r="3124" spans="4:13" ht="24">
      <c r="D3124" s="89"/>
      <c r="E3124" s="626" t="s">
        <v>433</v>
      </c>
      <c r="F3124" s="1063"/>
      <c r="G3124" s="1064"/>
      <c r="H3124" s="1065"/>
      <c r="I3124" s="995"/>
      <c r="J3124" s="996"/>
      <c r="K3124" s="997"/>
      <c r="L3124" s="99"/>
      <c r="M3124" s="100"/>
    </row>
    <row r="3125" spans="4:13" ht="25" thickBot="1">
      <c r="D3125" s="89"/>
      <c r="E3125" s="626" t="s">
        <v>434</v>
      </c>
      <c r="F3125" s="1063">
        <v>5.0000000000000001E-3</v>
      </c>
      <c r="G3125" s="1064"/>
      <c r="H3125" s="1065"/>
      <c r="I3125" s="995"/>
      <c r="J3125" s="996"/>
      <c r="K3125" s="997"/>
      <c r="L3125" s="99"/>
      <c r="M3125" s="100"/>
    </row>
    <row r="3126" spans="4:13" ht="25" thickBot="1">
      <c r="D3126" s="89"/>
      <c r="E3126" s="627" t="s">
        <v>435</v>
      </c>
      <c r="F3126" s="1007">
        <v>0.54166666666666674</v>
      </c>
      <c r="G3126" s="1008"/>
      <c r="H3126" s="1009"/>
      <c r="I3126" s="995"/>
      <c r="J3126" s="996"/>
      <c r="K3126" s="997"/>
      <c r="L3126" s="106">
        <v>0.77083333333333337</v>
      </c>
      <c r="M3126" s="107">
        <v>0.625</v>
      </c>
    </row>
    <row r="3127" spans="4:13" ht="25" thickBot="1">
      <c r="D3127" s="89"/>
      <c r="E3127" s="628" t="s">
        <v>436</v>
      </c>
      <c r="F3127" s="200" t="s">
        <v>29</v>
      </c>
      <c r="G3127" s="200" t="s">
        <v>28</v>
      </c>
      <c r="H3127" s="201" t="s">
        <v>27</v>
      </c>
      <c r="I3127" s="995"/>
      <c r="J3127" s="996"/>
      <c r="K3127" s="997"/>
      <c r="L3127" s="99"/>
      <c r="M3127" s="100"/>
    </row>
    <row r="3128" spans="4:13" ht="24">
      <c r="D3128" s="89"/>
      <c r="E3128" s="629">
        <v>45673</v>
      </c>
      <c r="F3128" s="202">
        <v>5.0000000000000001E-3</v>
      </c>
      <c r="G3128" s="202" t="s">
        <v>452</v>
      </c>
      <c r="H3128" s="202">
        <v>-2E-3</v>
      </c>
      <c r="I3128" s="995"/>
      <c r="J3128" s="996"/>
      <c r="K3128" s="997"/>
      <c r="L3128" s="99"/>
      <c r="M3128" s="100"/>
    </row>
    <row r="3129" spans="4:13" ht="24">
      <c r="D3129" s="89"/>
      <c r="E3129" s="629">
        <v>45663</v>
      </c>
      <c r="F3129" s="202">
        <v>4.0000000000000001E-3</v>
      </c>
      <c r="G3129" s="202" t="s">
        <v>467</v>
      </c>
      <c r="H3129" s="202">
        <v>-2E-3</v>
      </c>
      <c r="I3129" s="995"/>
      <c r="J3129" s="996"/>
      <c r="K3129" s="997"/>
      <c r="L3129" s="99"/>
      <c r="M3129" s="100"/>
    </row>
    <row r="3130" spans="4:13" ht="24">
      <c r="D3130" s="89"/>
      <c r="E3130" s="629">
        <v>45636</v>
      </c>
      <c r="F3130" s="202">
        <v>-2E-3</v>
      </c>
      <c r="G3130" s="202" t="s">
        <v>461</v>
      </c>
      <c r="H3130" s="202">
        <v>4.0000000000000001E-3</v>
      </c>
      <c r="I3130" s="995"/>
      <c r="J3130" s="996"/>
      <c r="K3130" s="997"/>
      <c r="L3130" s="101"/>
      <c r="M3130" s="100"/>
    </row>
    <row r="3131" spans="4:13" ht="24">
      <c r="D3131" s="89"/>
      <c r="E3131" s="629">
        <v>45624</v>
      </c>
      <c r="F3131" s="202">
        <v>-2E-3</v>
      </c>
      <c r="G3131" s="202" t="s">
        <v>461</v>
      </c>
      <c r="H3131" s="202">
        <v>4.0000000000000001E-3</v>
      </c>
      <c r="I3131" s="995"/>
      <c r="J3131" s="996"/>
      <c r="K3131" s="997"/>
      <c r="L3131" s="99"/>
      <c r="M3131" s="100"/>
    </row>
    <row r="3132" spans="4:13" ht="24">
      <c r="D3132" s="89"/>
      <c r="E3132" s="629">
        <v>45608</v>
      </c>
      <c r="F3132" s="202">
        <v>4.0000000000000001E-3</v>
      </c>
      <c r="G3132" s="202" t="s">
        <v>452</v>
      </c>
      <c r="H3132" s="202">
        <v>0</v>
      </c>
      <c r="I3132" s="995"/>
      <c r="J3132" s="996"/>
      <c r="K3132" s="997"/>
      <c r="L3132" s="99"/>
      <c r="M3132" s="100"/>
    </row>
    <row r="3133" spans="4:13" ht="25" thickBot="1">
      <c r="D3133" s="89"/>
      <c r="E3133" s="629">
        <v>45595</v>
      </c>
      <c r="F3133" s="202">
        <v>4.0000000000000001E-3</v>
      </c>
      <c r="G3133" s="202" t="s">
        <v>460</v>
      </c>
      <c r="H3133" s="202">
        <v>0</v>
      </c>
      <c r="I3133" s="998"/>
      <c r="J3133" s="999"/>
      <c r="K3133" s="1000"/>
      <c r="L3133" s="102"/>
      <c r="M3133" s="103"/>
    </row>
    <row r="3134" spans="4:13" ht="25" thickBot="1">
      <c r="D3134">
        <v>16</v>
      </c>
      <c r="E3134" s="624" t="s">
        <v>30</v>
      </c>
      <c r="F3134" s="1057" t="s">
        <v>1525</v>
      </c>
      <c r="G3134" s="1058"/>
      <c r="H3134" s="1059"/>
      <c r="I3134" s="1086" t="s">
        <v>633</v>
      </c>
      <c r="J3134" s="1061"/>
      <c r="K3134" s="1062"/>
      <c r="L3134" s="158" t="s">
        <v>430</v>
      </c>
      <c r="M3134" s="105" t="s">
        <v>431</v>
      </c>
    </row>
    <row r="3135" spans="4:13" ht="24">
      <c r="D3135" s="89"/>
      <c r="E3135" s="625" t="s">
        <v>432</v>
      </c>
      <c r="F3135" s="1011"/>
      <c r="G3135" s="1012"/>
      <c r="H3135" s="1013"/>
      <c r="I3135" s="995" t="s">
        <v>369</v>
      </c>
      <c r="J3135" s="996"/>
      <c r="K3135" s="997"/>
      <c r="L3135" s="99"/>
      <c r="M3135" s="100"/>
    </row>
    <row r="3136" spans="4:13" ht="24">
      <c r="D3136" s="89"/>
      <c r="E3136" s="626" t="s">
        <v>433</v>
      </c>
      <c r="F3136" s="1063"/>
      <c r="G3136" s="1064"/>
      <c r="H3136" s="1065"/>
      <c r="I3136" s="995"/>
      <c r="J3136" s="996"/>
      <c r="K3136" s="997"/>
      <c r="L3136" s="99"/>
      <c r="M3136" s="100"/>
    </row>
    <row r="3137" spans="4:13" ht="25" thickBot="1">
      <c r="D3137" s="89"/>
      <c r="E3137" s="626" t="s">
        <v>434</v>
      </c>
      <c r="F3137" s="1063">
        <v>1E-3</v>
      </c>
      <c r="G3137" s="1064"/>
      <c r="H3137" s="1065"/>
      <c r="I3137" s="995"/>
      <c r="J3137" s="996"/>
      <c r="K3137" s="997"/>
      <c r="L3137" s="99"/>
      <c r="M3137" s="100"/>
    </row>
    <row r="3138" spans="4:13" ht="25" thickBot="1">
      <c r="D3138" s="89"/>
      <c r="E3138" s="627" t="s">
        <v>435</v>
      </c>
      <c r="F3138" s="1007">
        <v>0.5625</v>
      </c>
      <c r="G3138" s="1008"/>
      <c r="H3138" s="1009"/>
      <c r="I3138" s="995"/>
      <c r="J3138" s="996"/>
      <c r="K3138" s="997"/>
      <c r="L3138" s="106">
        <v>0.79166666666666663</v>
      </c>
      <c r="M3138" s="107">
        <v>0.64583333333333326</v>
      </c>
    </row>
    <row r="3139" spans="4:13" ht="25" thickBot="1">
      <c r="D3139" s="89"/>
      <c r="E3139" s="628" t="s">
        <v>436</v>
      </c>
      <c r="F3139" s="200" t="s">
        <v>29</v>
      </c>
      <c r="G3139" s="200" t="s">
        <v>28</v>
      </c>
      <c r="H3139" s="201" t="s">
        <v>27</v>
      </c>
      <c r="I3139" s="995"/>
      <c r="J3139" s="996"/>
      <c r="K3139" s="997"/>
      <c r="L3139" s="99"/>
      <c r="M3139" s="100"/>
    </row>
    <row r="3140" spans="4:13" ht="24">
      <c r="D3140" s="89"/>
      <c r="E3140" s="629">
        <v>45646</v>
      </c>
      <c r="F3140" s="202">
        <v>1E-3</v>
      </c>
      <c r="G3140" s="202" t="s">
        <v>460</v>
      </c>
      <c r="H3140" s="202">
        <v>3.0000000000000001E-3</v>
      </c>
      <c r="I3140" s="995"/>
      <c r="J3140" s="996"/>
      <c r="K3140" s="997"/>
      <c r="L3140" s="99"/>
      <c r="M3140" s="100"/>
    </row>
    <row r="3141" spans="4:13" ht="24">
      <c r="D3141" s="89"/>
      <c r="E3141" s="629">
        <v>45623</v>
      </c>
      <c r="F3141" s="202">
        <v>3.0000000000000001E-3</v>
      </c>
      <c r="G3141" s="202" t="s">
        <v>467</v>
      </c>
      <c r="H3141" s="202">
        <v>3.0000000000000001E-3</v>
      </c>
      <c r="I3141" s="995"/>
      <c r="J3141" s="996"/>
      <c r="K3141" s="997"/>
      <c r="L3141" s="99"/>
      <c r="M3141" s="100"/>
    </row>
    <row r="3142" spans="4:13" ht="24">
      <c r="D3142" s="89"/>
      <c r="E3142" s="629">
        <v>45596</v>
      </c>
      <c r="F3142" s="202">
        <v>3.0000000000000001E-3</v>
      </c>
      <c r="G3142" s="202" t="s">
        <v>467</v>
      </c>
      <c r="H3142" s="202">
        <v>2E-3</v>
      </c>
      <c r="I3142" s="995"/>
      <c r="J3142" s="996"/>
      <c r="K3142" s="997"/>
      <c r="L3142" s="101"/>
      <c r="M3142" s="100"/>
    </row>
    <row r="3143" spans="4:13" ht="24">
      <c r="D3143" s="89"/>
      <c r="E3143" s="629">
        <v>45562</v>
      </c>
      <c r="F3143" s="202">
        <v>1E-3</v>
      </c>
      <c r="G3143" s="202" t="s">
        <v>460</v>
      </c>
      <c r="H3143" s="202">
        <v>2E-3</v>
      </c>
      <c r="I3143" s="995"/>
      <c r="J3143" s="996"/>
      <c r="K3143" s="997"/>
      <c r="L3143" s="99"/>
      <c r="M3143" s="100"/>
    </row>
    <row r="3144" spans="4:13" ht="24">
      <c r="D3144" s="89"/>
      <c r="E3144" s="629">
        <v>45534</v>
      </c>
      <c r="F3144" s="202">
        <v>2E-3</v>
      </c>
      <c r="G3144" s="202" t="s">
        <v>460</v>
      </c>
      <c r="H3144" s="202">
        <v>2E-3</v>
      </c>
      <c r="I3144" s="995"/>
      <c r="J3144" s="996"/>
      <c r="K3144" s="997"/>
      <c r="L3144" s="99"/>
      <c r="M3144" s="100"/>
    </row>
    <row r="3145" spans="4:13" ht="25" thickBot="1">
      <c r="D3145" s="89"/>
      <c r="E3145" s="629">
        <v>45499</v>
      </c>
      <c r="F3145" s="202">
        <v>2E-3</v>
      </c>
      <c r="G3145" s="202" t="s">
        <v>460</v>
      </c>
      <c r="H3145" s="202">
        <v>1E-3</v>
      </c>
      <c r="I3145" s="998"/>
      <c r="J3145" s="999"/>
      <c r="K3145" s="1000"/>
      <c r="L3145" s="102"/>
      <c r="M3145" s="103"/>
    </row>
    <row r="3146" spans="4:13" ht="25" thickBot="1">
      <c r="D3146">
        <v>17</v>
      </c>
      <c r="E3146" s="624" t="s">
        <v>30</v>
      </c>
      <c r="F3146" s="1057" t="s">
        <v>1527</v>
      </c>
      <c r="G3146" s="1058"/>
      <c r="H3146" s="1059"/>
      <c r="I3146" s="1086" t="s">
        <v>633</v>
      </c>
      <c r="J3146" s="1061"/>
      <c r="K3146" s="1062"/>
      <c r="L3146" s="158" t="s">
        <v>430</v>
      </c>
      <c r="M3146" s="105" t="s">
        <v>431</v>
      </c>
    </row>
    <row r="3147" spans="4:13" ht="24">
      <c r="D3147" s="89"/>
      <c r="E3147" s="625" t="s">
        <v>432</v>
      </c>
      <c r="F3147" s="1011"/>
      <c r="G3147" s="1012"/>
      <c r="H3147" s="1013"/>
      <c r="I3147" s="995" t="s">
        <v>1528</v>
      </c>
      <c r="J3147" s="996"/>
      <c r="K3147" s="997"/>
      <c r="L3147" s="99"/>
      <c r="M3147" s="100"/>
    </row>
    <row r="3148" spans="4:13" ht="24">
      <c r="D3148" s="89"/>
      <c r="E3148" s="626" t="s">
        <v>433</v>
      </c>
      <c r="F3148" s="1063"/>
      <c r="G3148" s="1064"/>
      <c r="H3148" s="1065"/>
      <c r="I3148" s="995"/>
      <c r="J3148" s="996"/>
      <c r="K3148" s="997"/>
      <c r="L3148" s="99"/>
      <c r="M3148" s="100"/>
    </row>
    <row r="3149" spans="4:13" ht="25" thickBot="1">
      <c r="D3149" s="89"/>
      <c r="E3149" s="626" t="s">
        <v>434</v>
      </c>
      <c r="F3149" s="1063">
        <v>0</v>
      </c>
      <c r="G3149" s="1064"/>
      <c r="H3149" s="1065"/>
      <c r="I3149" s="995"/>
      <c r="J3149" s="996"/>
      <c r="K3149" s="997"/>
      <c r="L3149" s="99"/>
      <c r="M3149" s="100"/>
    </row>
    <row r="3150" spans="4:13" ht="25" thickBot="1">
      <c r="D3150" s="89"/>
      <c r="E3150" s="627" t="s">
        <v>435</v>
      </c>
      <c r="F3150" s="1007">
        <v>0.5625</v>
      </c>
      <c r="G3150" s="1008"/>
      <c r="H3150" s="1009"/>
      <c r="I3150" s="995"/>
      <c r="J3150" s="996"/>
      <c r="K3150" s="997"/>
      <c r="L3150" s="106">
        <v>0.79166666666666663</v>
      </c>
      <c r="M3150" s="107">
        <v>0.64583333333333326</v>
      </c>
    </row>
    <row r="3151" spans="4:13" ht="25" thickBot="1">
      <c r="D3151" s="89"/>
      <c r="E3151" s="628" t="s">
        <v>436</v>
      </c>
      <c r="F3151" s="200" t="s">
        <v>29</v>
      </c>
      <c r="G3151" s="200" t="s">
        <v>28</v>
      </c>
      <c r="H3151" s="201" t="s">
        <v>27</v>
      </c>
      <c r="I3151" s="995"/>
      <c r="J3151" s="996"/>
      <c r="K3151" s="997"/>
      <c r="L3151" s="99"/>
      <c r="M3151" s="100"/>
    </row>
    <row r="3152" spans="4:13" ht="24">
      <c r="D3152" s="89"/>
      <c r="E3152" s="629">
        <v>45646</v>
      </c>
      <c r="F3152" s="202">
        <v>2.8000000000000001E-2</v>
      </c>
      <c r="G3152" s="202" t="s">
        <v>667</v>
      </c>
      <c r="H3152" s="202">
        <v>2.8000000000000001E-2</v>
      </c>
      <c r="I3152" s="995"/>
      <c r="J3152" s="996"/>
      <c r="K3152" s="997"/>
      <c r="L3152" s="99"/>
      <c r="M3152" s="100"/>
    </row>
    <row r="3153" spans="4:13" ht="24">
      <c r="D3153" s="89"/>
      <c r="E3153" s="629">
        <v>45623</v>
      </c>
      <c r="F3153" s="202">
        <v>2.8000000000000001E-2</v>
      </c>
      <c r="G3153" s="202" t="s">
        <v>666</v>
      </c>
      <c r="H3153" s="202">
        <v>2.7E-2</v>
      </c>
      <c r="I3153" s="995"/>
      <c r="J3153" s="996"/>
      <c r="K3153" s="997"/>
      <c r="L3153" s="99"/>
      <c r="M3153" s="100"/>
    </row>
    <row r="3154" spans="4:13" ht="24">
      <c r="D3154" s="89"/>
      <c r="E3154" s="629">
        <v>45596</v>
      </c>
      <c r="F3154" s="202">
        <v>2.7E-2</v>
      </c>
      <c r="G3154" s="202" t="s">
        <v>493</v>
      </c>
      <c r="H3154" s="202">
        <v>2.7E-2</v>
      </c>
      <c r="I3154" s="995"/>
      <c r="J3154" s="996"/>
      <c r="K3154" s="997"/>
      <c r="L3154" s="101"/>
      <c r="M3154" s="100"/>
    </row>
    <row r="3155" spans="4:13" ht="24">
      <c r="D3155" s="89"/>
      <c r="E3155" s="629">
        <v>45562</v>
      </c>
      <c r="F3155" s="202">
        <v>2.7E-2</v>
      </c>
      <c r="G3155" s="202" t="s">
        <v>665</v>
      </c>
      <c r="H3155" s="202">
        <v>2.5999999999999999E-2</v>
      </c>
      <c r="I3155" s="995"/>
      <c r="J3155" s="996"/>
      <c r="K3155" s="997"/>
      <c r="L3155" s="99"/>
      <c r="M3155" s="100"/>
    </row>
    <row r="3156" spans="4:13" ht="24">
      <c r="D3156" s="89"/>
      <c r="E3156" s="629">
        <v>45534</v>
      </c>
      <c r="F3156" s="202">
        <v>2.5999999999999999E-2</v>
      </c>
      <c r="G3156" s="202" t="s">
        <v>665</v>
      </c>
      <c r="H3156" s="202">
        <v>2.5999999999999999E-2</v>
      </c>
      <c r="I3156" s="995"/>
      <c r="J3156" s="996"/>
      <c r="K3156" s="997"/>
      <c r="L3156" s="99"/>
      <c r="M3156" s="100"/>
    </row>
    <row r="3157" spans="4:13" ht="25" thickBot="1">
      <c r="D3157" s="89"/>
      <c r="E3157" s="629">
        <v>45499</v>
      </c>
      <c r="F3157" s="202">
        <v>2.5999999999999999E-2</v>
      </c>
      <c r="G3157" s="202" t="s">
        <v>495</v>
      </c>
      <c r="H3157" s="202">
        <v>2.5999999999999999E-2</v>
      </c>
      <c r="I3157" s="998"/>
      <c r="J3157" s="999"/>
      <c r="K3157" s="1000"/>
      <c r="L3157" s="102"/>
      <c r="M3157" s="103"/>
    </row>
    <row r="3158" spans="4:13" ht="25" thickBot="1">
      <c r="D3158">
        <v>18</v>
      </c>
      <c r="E3158" s="624" t="s">
        <v>30</v>
      </c>
      <c r="F3158" s="1057" t="s">
        <v>1529</v>
      </c>
      <c r="G3158" s="1058"/>
      <c r="H3158" s="1059"/>
      <c r="I3158" s="1060" t="s">
        <v>633</v>
      </c>
      <c r="J3158" s="1061"/>
      <c r="K3158" s="1062"/>
      <c r="L3158" s="158" t="s">
        <v>430</v>
      </c>
      <c r="M3158" s="105" t="s">
        <v>431</v>
      </c>
    </row>
    <row r="3159" spans="4:13" ht="24">
      <c r="D3159" s="89"/>
      <c r="E3159" s="625" t="s">
        <v>432</v>
      </c>
      <c r="F3159" s="992"/>
      <c r="G3159" s="993"/>
      <c r="H3159" s="994"/>
      <c r="I3159" s="995" t="s">
        <v>1530</v>
      </c>
      <c r="J3159" s="996"/>
      <c r="K3159" s="997"/>
      <c r="L3159" s="99"/>
      <c r="M3159" s="100"/>
    </row>
    <row r="3160" spans="4:13" ht="24">
      <c r="D3160" s="89"/>
      <c r="E3160" s="626" t="s">
        <v>433</v>
      </c>
      <c r="F3160" s="1063"/>
      <c r="G3160" s="1064"/>
      <c r="H3160" s="1065"/>
      <c r="I3160" s="995"/>
      <c r="J3160" s="996"/>
      <c r="K3160" s="997"/>
      <c r="L3160" s="99"/>
      <c r="M3160" s="100"/>
    </row>
    <row r="3161" spans="4:13" ht="25" thickBot="1">
      <c r="D3161" s="89"/>
      <c r="E3161" s="626" t="s">
        <v>434</v>
      </c>
      <c r="F3161" s="1075">
        <v>36.9</v>
      </c>
      <c r="G3161" s="1073"/>
      <c r="H3161" s="1074"/>
      <c r="I3161" s="995"/>
      <c r="J3161" s="996"/>
      <c r="K3161" s="997"/>
      <c r="L3161" s="99"/>
      <c r="M3161" s="100"/>
    </row>
    <row r="3162" spans="4:13" ht="25" thickBot="1">
      <c r="D3162" s="89"/>
      <c r="E3162" s="627" t="s">
        <v>435</v>
      </c>
      <c r="F3162" s="1007">
        <v>0.61458333333333337</v>
      </c>
      <c r="G3162" s="1008"/>
      <c r="H3162" s="1009"/>
      <c r="I3162" s="995"/>
      <c r="J3162" s="996"/>
      <c r="K3162" s="997"/>
      <c r="L3162" s="106">
        <v>0.84375</v>
      </c>
      <c r="M3162" s="107">
        <v>0.69791666666666663</v>
      </c>
    </row>
    <row r="3163" spans="4:13" ht="25" thickBot="1">
      <c r="D3163" s="89"/>
      <c r="E3163" s="628" t="s">
        <v>436</v>
      </c>
      <c r="F3163" s="200" t="s">
        <v>29</v>
      </c>
      <c r="G3163" s="200" t="s">
        <v>28</v>
      </c>
      <c r="H3163" s="201" t="s">
        <v>27</v>
      </c>
      <c r="I3163" s="995"/>
      <c r="J3163" s="996"/>
      <c r="K3163" s="997"/>
      <c r="L3163" s="99"/>
      <c r="M3163" s="100"/>
    </row>
    <row r="3164" spans="4:13" ht="24">
      <c r="D3164" s="89"/>
      <c r="E3164" s="629">
        <v>45656</v>
      </c>
      <c r="F3164" s="204">
        <v>36.9</v>
      </c>
      <c r="G3164" s="204" t="s">
        <v>1556</v>
      </c>
      <c r="H3164" s="204">
        <v>40.200000000000003</v>
      </c>
      <c r="I3164" s="995"/>
      <c r="J3164" s="996"/>
      <c r="K3164" s="997"/>
      <c r="L3164" s="99"/>
      <c r="M3164" s="100"/>
    </row>
    <row r="3165" spans="4:13" ht="24">
      <c r="D3165" s="89"/>
      <c r="E3165" s="629">
        <v>45625</v>
      </c>
      <c r="F3165" s="204">
        <v>40.200000000000003</v>
      </c>
      <c r="G3165" s="204" t="s">
        <v>477</v>
      </c>
      <c r="H3165" s="204">
        <v>41.6</v>
      </c>
      <c r="I3165" s="995"/>
      <c r="J3165" s="996"/>
      <c r="K3165" s="997"/>
      <c r="L3165" s="99"/>
      <c r="M3165" s="100"/>
    </row>
    <row r="3166" spans="4:13" ht="24">
      <c r="D3166" s="89"/>
      <c r="E3166" s="629">
        <v>45596</v>
      </c>
      <c r="F3166" s="204">
        <v>41.6</v>
      </c>
      <c r="G3166" s="204" t="s">
        <v>1126</v>
      </c>
      <c r="H3166" s="204">
        <v>46.6</v>
      </c>
      <c r="I3166" s="995"/>
      <c r="J3166" s="996"/>
      <c r="K3166" s="997"/>
      <c r="L3166" s="101"/>
      <c r="M3166" s="100"/>
    </row>
    <row r="3167" spans="4:13" ht="24">
      <c r="D3167" s="89"/>
      <c r="E3167" s="629">
        <v>45565</v>
      </c>
      <c r="F3167" s="204">
        <v>46.6</v>
      </c>
      <c r="G3167" s="204" t="s">
        <v>899</v>
      </c>
      <c r="H3167" s="204">
        <v>46.1</v>
      </c>
      <c r="I3167" s="995"/>
      <c r="J3167" s="996"/>
      <c r="K3167" s="997"/>
      <c r="L3167" s="99"/>
      <c r="M3167" s="100"/>
    </row>
    <row r="3168" spans="4:13" ht="24">
      <c r="D3168" s="89"/>
      <c r="E3168" s="629">
        <v>45534</v>
      </c>
      <c r="F3168" s="204">
        <v>46.1</v>
      </c>
      <c r="G3168" s="204" t="s">
        <v>473</v>
      </c>
      <c r="H3168" s="204">
        <v>45.3</v>
      </c>
      <c r="I3168" s="995"/>
      <c r="J3168" s="996"/>
      <c r="K3168" s="997"/>
      <c r="L3168" s="99"/>
      <c r="M3168" s="100"/>
    </row>
    <row r="3169" spans="3:13" ht="25" thickBot="1">
      <c r="D3169" s="89"/>
      <c r="E3169" s="638">
        <v>45504</v>
      </c>
      <c r="F3169" s="640">
        <v>45.3</v>
      </c>
      <c r="G3169" s="640" t="s">
        <v>474</v>
      </c>
      <c r="H3169" s="640">
        <v>47.4</v>
      </c>
      <c r="I3169" s="998"/>
      <c r="J3169" s="999"/>
      <c r="K3169" s="1000"/>
      <c r="L3169" s="102"/>
      <c r="M3169" s="103"/>
    </row>
    <row r="3170" spans="3:13" ht="25" customHeight="1" thickBot="1">
      <c r="C3170" t="s">
        <v>1559</v>
      </c>
      <c r="D3170">
        <v>1</v>
      </c>
      <c r="E3170" s="624" t="s">
        <v>30</v>
      </c>
      <c r="F3170" s="1057" t="s">
        <v>1563</v>
      </c>
      <c r="G3170" s="1058"/>
      <c r="H3170" s="1059"/>
      <c r="I3170" s="1060" t="s">
        <v>633</v>
      </c>
      <c r="J3170" s="1061"/>
      <c r="K3170" s="1062"/>
      <c r="L3170" s="158" t="s">
        <v>430</v>
      </c>
      <c r="M3170" s="105" t="s">
        <v>431</v>
      </c>
    </row>
    <row r="3171" spans="3:13" ht="24">
      <c r="E3171" s="625" t="s">
        <v>432</v>
      </c>
      <c r="F3171" s="992"/>
      <c r="G3171" s="993"/>
      <c r="H3171" s="994"/>
      <c r="I3171" s="995" t="s">
        <v>1564</v>
      </c>
      <c r="J3171" s="996"/>
      <c r="K3171" s="997"/>
      <c r="L3171" s="99"/>
      <c r="M3171" s="100"/>
    </row>
    <row r="3172" spans="3:13" ht="24">
      <c r="E3172" s="626" t="s">
        <v>433</v>
      </c>
      <c r="F3172" s="1075">
        <v>104.6</v>
      </c>
      <c r="G3172" s="1073"/>
      <c r="H3172" s="1074"/>
      <c r="I3172" s="995"/>
      <c r="J3172" s="996"/>
      <c r="K3172" s="997"/>
      <c r="L3172" s="99"/>
      <c r="M3172" s="100"/>
    </row>
    <row r="3173" spans="3:13" ht="25" thickBot="1">
      <c r="E3173" s="626" t="s">
        <v>434</v>
      </c>
      <c r="F3173" s="1075">
        <v>105.1</v>
      </c>
      <c r="G3173" s="1073"/>
      <c r="H3173" s="1074"/>
      <c r="I3173" s="995"/>
      <c r="J3173" s="996"/>
      <c r="K3173" s="997"/>
      <c r="L3173" s="99"/>
      <c r="M3173" s="100"/>
    </row>
    <row r="3174" spans="3:13" ht="25" thickBot="1">
      <c r="E3174" s="627" t="s">
        <v>435</v>
      </c>
      <c r="F3174" s="1007">
        <v>0.45833333333333337</v>
      </c>
      <c r="G3174" s="1008"/>
      <c r="H3174" s="1009"/>
      <c r="I3174" s="995"/>
      <c r="J3174" s="996"/>
      <c r="K3174" s="997"/>
      <c r="L3174" s="647">
        <v>0.6875</v>
      </c>
      <c r="M3174" s="648">
        <v>0.54166666666666663</v>
      </c>
    </row>
    <row r="3175" spans="3:13" ht="25" thickBot="1">
      <c r="E3175" s="628" t="s">
        <v>436</v>
      </c>
      <c r="F3175" s="200" t="s">
        <v>29</v>
      </c>
      <c r="G3175" s="200" t="s">
        <v>28</v>
      </c>
      <c r="H3175" s="201" t="s">
        <v>27</v>
      </c>
      <c r="I3175" s="995"/>
      <c r="J3175" s="996"/>
      <c r="K3175" s="997"/>
      <c r="L3175" s="99"/>
      <c r="M3175" s="100"/>
    </row>
    <row r="3176" spans="3:13" ht="24">
      <c r="E3176" s="629">
        <v>45671</v>
      </c>
      <c r="F3176" s="217">
        <v>105.1</v>
      </c>
      <c r="G3176" s="217" t="s">
        <v>1592</v>
      </c>
      <c r="H3176" s="217">
        <v>101.7</v>
      </c>
      <c r="I3176" s="995"/>
      <c r="J3176" s="996"/>
      <c r="K3176" s="997"/>
      <c r="L3176" s="99"/>
      <c r="M3176" s="100"/>
    </row>
    <row r="3177" spans="3:13" ht="24">
      <c r="E3177" s="629">
        <v>45636</v>
      </c>
      <c r="F3177" s="217">
        <v>101.7</v>
      </c>
      <c r="G3177" s="217" t="s">
        <v>1593</v>
      </c>
      <c r="H3177" s="217">
        <v>93.7</v>
      </c>
      <c r="I3177" s="995"/>
      <c r="J3177" s="996"/>
      <c r="K3177" s="997"/>
      <c r="L3177" s="99"/>
      <c r="M3177" s="100"/>
    </row>
    <row r="3178" spans="3:13" ht="24">
      <c r="E3178" s="629">
        <v>45608</v>
      </c>
      <c r="F3178" s="217">
        <v>93.7</v>
      </c>
      <c r="G3178" s="217" t="s">
        <v>1594</v>
      </c>
      <c r="H3178" s="217">
        <v>91.5</v>
      </c>
      <c r="I3178" s="995"/>
      <c r="J3178" s="996"/>
      <c r="K3178" s="997"/>
      <c r="L3178" s="649"/>
      <c r="M3178" s="100"/>
    </row>
    <row r="3179" spans="3:13" ht="24">
      <c r="E3179" s="629">
        <v>45573</v>
      </c>
      <c r="F3179" s="217">
        <v>91.5</v>
      </c>
      <c r="G3179" s="217" t="s">
        <v>1595</v>
      </c>
      <c r="H3179" s="217">
        <v>91.2</v>
      </c>
      <c r="I3179" s="995"/>
      <c r="J3179" s="996"/>
      <c r="K3179" s="997"/>
      <c r="L3179" s="99"/>
      <c r="M3179" s="100"/>
    </row>
    <row r="3180" spans="3:13" ht="24">
      <c r="E3180" s="629">
        <v>45545</v>
      </c>
      <c r="F3180" s="217">
        <v>91.2</v>
      </c>
      <c r="G3180" s="217" t="s">
        <v>1596</v>
      </c>
      <c r="H3180" s="217">
        <v>93.7</v>
      </c>
      <c r="I3180" s="995"/>
      <c r="J3180" s="996"/>
      <c r="K3180" s="997"/>
      <c r="L3180" s="99"/>
      <c r="M3180" s="100"/>
    </row>
    <row r="3181" spans="3:13" ht="25" thickBot="1">
      <c r="E3181" s="629">
        <v>45517</v>
      </c>
      <c r="F3181" s="217">
        <v>93.7</v>
      </c>
      <c r="G3181" s="217" t="s">
        <v>1597</v>
      </c>
      <c r="H3181" s="217">
        <v>91.5</v>
      </c>
      <c r="I3181" s="998"/>
      <c r="J3181" s="999"/>
      <c r="K3181" s="1000"/>
      <c r="L3181" s="102"/>
      <c r="M3181" s="103"/>
    </row>
    <row r="3182" spans="3:13" ht="25" thickBot="1">
      <c r="D3182" t="e">
        <v>#REF!</v>
      </c>
      <c r="E3182" s="624" t="s">
        <v>30</v>
      </c>
      <c r="F3182" s="1057" t="s">
        <v>1565</v>
      </c>
      <c r="G3182" s="1058"/>
      <c r="H3182" s="1059"/>
      <c r="I3182" s="1060" t="s">
        <v>633</v>
      </c>
      <c r="J3182" s="1061"/>
      <c r="K3182" s="1062"/>
      <c r="L3182" s="158" t="s">
        <v>430</v>
      </c>
      <c r="M3182" s="105" t="s">
        <v>431</v>
      </c>
    </row>
    <row r="3183" spans="3:13" ht="24">
      <c r="E3183" s="625" t="s">
        <v>432</v>
      </c>
      <c r="F3183" s="992"/>
      <c r="G3183" s="993"/>
      <c r="H3183" s="994"/>
      <c r="I3183" s="995" t="s">
        <v>1566</v>
      </c>
      <c r="J3183" s="996"/>
      <c r="K3183" s="997"/>
      <c r="L3183" s="99"/>
      <c r="M3183" s="100"/>
    </row>
    <row r="3184" spans="3:13" ht="24">
      <c r="E3184" s="626" t="s">
        <v>433</v>
      </c>
      <c r="F3184" s="1063"/>
      <c r="G3184" s="1064"/>
      <c r="H3184" s="1065"/>
      <c r="I3184" s="995"/>
      <c r="J3184" s="996"/>
      <c r="K3184" s="997"/>
      <c r="L3184" s="99"/>
      <c r="M3184" s="100"/>
    </row>
    <row r="3185" spans="4:13" ht="25" thickBot="1">
      <c r="E3185" s="626" t="s">
        <v>434</v>
      </c>
      <c r="F3185" s="1063"/>
      <c r="G3185" s="1064"/>
      <c r="H3185" s="1065"/>
      <c r="I3185" s="995"/>
      <c r="J3185" s="996"/>
      <c r="K3185" s="997"/>
      <c r="L3185" s="99"/>
      <c r="M3185" s="100"/>
    </row>
    <row r="3186" spans="4:13" ht="25" thickBot="1">
      <c r="E3186" s="627" t="s">
        <v>435</v>
      </c>
      <c r="F3186" s="1007">
        <v>0.625</v>
      </c>
      <c r="G3186" s="1008"/>
      <c r="H3186" s="1009"/>
      <c r="I3186" s="995"/>
      <c r="J3186" s="996"/>
      <c r="K3186" s="997"/>
      <c r="L3186" s="647">
        <v>0.85416666666666663</v>
      </c>
      <c r="M3186" s="648">
        <v>0.70833333333333326</v>
      </c>
    </row>
    <row r="3187" spans="4:13" ht="25" thickBot="1">
      <c r="E3187" s="628" t="s">
        <v>436</v>
      </c>
      <c r="F3187" s="200" t="s">
        <v>29</v>
      </c>
      <c r="G3187" s="200" t="s">
        <v>28</v>
      </c>
      <c r="H3187" s="201" t="s">
        <v>27</v>
      </c>
      <c r="I3187" s="995"/>
      <c r="J3187" s="996"/>
      <c r="K3187" s="997"/>
      <c r="L3187" s="99"/>
      <c r="M3187" s="100"/>
    </row>
    <row r="3188" spans="4:13" ht="23">
      <c r="E3188" s="629">
        <v>45483</v>
      </c>
      <c r="F3188" s="202"/>
      <c r="G3188" s="202"/>
      <c r="H3188" s="202"/>
      <c r="I3188" s="995"/>
      <c r="J3188" s="996"/>
      <c r="K3188" s="997"/>
      <c r="L3188" s="99"/>
      <c r="M3188" s="100"/>
    </row>
    <row r="3189" spans="4:13" ht="23">
      <c r="E3189" s="629">
        <v>45482</v>
      </c>
      <c r="F3189" s="202"/>
      <c r="G3189" s="202"/>
      <c r="H3189" s="202"/>
      <c r="I3189" s="995"/>
      <c r="J3189" s="996"/>
      <c r="K3189" s="997"/>
      <c r="L3189" s="99"/>
      <c r="M3189" s="100"/>
    </row>
    <row r="3190" spans="4:13" ht="23">
      <c r="E3190" s="629">
        <v>45358</v>
      </c>
      <c r="F3190" s="202"/>
      <c r="G3190" s="202"/>
      <c r="H3190" s="202"/>
      <c r="I3190" s="995"/>
      <c r="J3190" s="996"/>
      <c r="K3190" s="997"/>
      <c r="L3190" s="649"/>
      <c r="M3190" s="100"/>
    </row>
    <row r="3191" spans="4:13" ht="23">
      <c r="E3191" s="629">
        <v>45357</v>
      </c>
      <c r="F3191" s="202"/>
      <c r="G3191" s="202"/>
      <c r="H3191" s="202"/>
      <c r="I3191" s="995"/>
      <c r="J3191" s="996"/>
      <c r="K3191" s="997"/>
      <c r="L3191" s="99"/>
      <c r="M3191" s="100"/>
    </row>
    <row r="3192" spans="4:13" ht="23">
      <c r="E3192" s="629">
        <v>45099</v>
      </c>
      <c r="F3192" s="202"/>
      <c r="G3192" s="202"/>
      <c r="H3192" s="202"/>
      <c r="I3192" s="995"/>
      <c r="J3192" s="996"/>
      <c r="K3192" s="997"/>
      <c r="L3192" s="99"/>
      <c r="M3192" s="100"/>
    </row>
    <row r="3193" spans="4:13" ht="24" thickBot="1">
      <c r="E3193" s="629">
        <v>45098</v>
      </c>
      <c r="F3193" s="202"/>
      <c r="G3193" s="202"/>
      <c r="H3193" s="202"/>
      <c r="I3193" s="998"/>
      <c r="J3193" s="999"/>
      <c r="K3193" s="1000"/>
      <c r="L3193" s="102"/>
      <c r="M3193" s="103"/>
    </row>
    <row r="3194" spans="4:13" ht="25" thickBot="1">
      <c r="D3194">
        <v>2</v>
      </c>
      <c r="E3194" s="624" t="s">
        <v>30</v>
      </c>
      <c r="F3194" s="1057" t="s">
        <v>1567</v>
      </c>
      <c r="G3194" s="1058"/>
      <c r="H3194" s="1059"/>
      <c r="I3194" s="1060" t="s">
        <v>633</v>
      </c>
      <c r="J3194" s="1061"/>
      <c r="K3194" s="1062"/>
      <c r="L3194" s="158" t="s">
        <v>430</v>
      </c>
      <c r="M3194" s="105" t="s">
        <v>431</v>
      </c>
    </row>
    <row r="3195" spans="4:13" ht="24">
      <c r="E3195" s="625" t="s">
        <v>432</v>
      </c>
      <c r="F3195" s="992"/>
      <c r="G3195" s="993"/>
      <c r="H3195" s="994"/>
      <c r="I3195" s="995" t="s">
        <v>1568</v>
      </c>
      <c r="J3195" s="996"/>
      <c r="K3195" s="997"/>
      <c r="L3195" s="99"/>
      <c r="M3195" s="100"/>
    </row>
    <row r="3196" spans="4:13" ht="24">
      <c r="E3196" s="626" t="s">
        <v>433</v>
      </c>
      <c r="F3196" s="1063" t="s">
        <v>1090</v>
      </c>
      <c r="G3196" s="1064"/>
      <c r="H3196" s="1065"/>
      <c r="I3196" s="995"/>
      <c r="J3196" s="996"/>
      <c r="K3196" s="997"/>
      <c r="L3196" s="99"/>
      <c r="M3196" s="100"/>
    </row>
    <row r="3197" spans="4:13" ht="25" thickBot="1">
      <c r="E3197" s="626" t="s">
        <v>434</v>
      </c>
      <c r="F3197" s="1063">
        <v>2E-3</v>
      </c>
      <c r="G3197" s="1064"/>
      <c r="H3197" s="1065"/>
      <c r="I3197" s="995"/>
      <c r="J3197" s="996"/>
      <c r="K3197" s="997"/>
      <c r="L3197" s="99"/>
      <c r="M3197" s="100"/>
    </row>
    <row r="3198" spans="4:13" ht="25" thickBot="1">
      <c r="E3198" s="627" t="s">
        <v>435</v>
      </c>
      <c r="F3198" s="1007">
        <v>0.5625</v>
      </c>
      <c r="G3198" s="1008"/>
      <c r="H3198" s="1009"/>
      <c r="I3198" s="995"/>
      <c r="J3198" s="996"/>
      <c r="K3198" s="997"/>
      <c r="L3198" s="647">
        <v>0.79166666666666663</v>
      </c>
      <c r="M3198" s="648">
        <v>0.64583333333333326</v>
      </c>
    </row>
    <row r="3199" spans="4:13" ht="25" thickBot="1">
      <c r="E3199" s="628" t="s">
        <v>436</v>
      </c>
      <c r="F3199" s="200" t="s">
        <v>29</v>
      </c>
      <c r="G3199" s="200" t="s">
        <v>28</v>
      </c>
      <c r="H3199" s="201" t="s">
        <v>27</v>
      </c>
      <c r="I3199" s="995"/>
      <c r="J3199" s="996"/>
      <c r="K3199" s="997"/>
      <c r="L3199" s="99"/>
      <c r="M3199" s="100"/>
    </row>
    <row r="3200" spans="4:13" ht="24">
      <c r="E3200" s="629">
        <v>45672</v>
      </c>
      <c r="F3200" s="202">
        <v>2E-3</v>
      </c>
      <c r="G3200" s="202" t="s">
        <v>467</v>
      </c>
      <c r="H3200" s="202">
        <v>3.0000000000000001E-3</v>
      </c>
      <c r="I3200" s="995"/>
      <c r="J3200" s="996"/>
      <c r="K3200" s="997"/>
      <c r="L3200" s="99"/>
      <c r="M3200" s="100"/>
    </row>
    <row r="3201" spans="4:13" ht="24">
      <c r="E3201" s="629">
        <v>45637</v>
      </c>
      <c r="F3201" s="202">
        <v>3.0000000000000001E-3</v>
      </c>
      <c r="G3201" s="202" t="s">
        <v>467</v>
      </c>
      <c r="H3201" s="202">
        <v>3.0000000000000001E-3</v>
      </c>
      <c r="I3201" s="995"/>
      <c r="J3201" s="996"/>
      <c r="K3201" s="997"/>
      <c r="L3201" s="99"/>
      <c r="M3201" s="100"/>
    </row>
    <row r="3202" spans="4:13" ht="24">
      <c r="E3202" s="629">
        <v>45609</v>
      </c>
      <c r="F3202" s="202">
        <v>3.0000000000000001E-3</v>
      </c>
      <c r="G3202" s="202" t="s">
        <v>467</v>
      </c>
      <c r="H3202" s="202">
        <v>3.0000000000000001E-3</v>
      </c>
      <c r="I3202" s="995"/>
      <c r="J3202" s="996"/>
      <c r="K3202" s="997"/>
      <c r="L3202" s="649"/>
      <c r="M3202" s="100"/>
    </row>
    <row r="3203" spans="4:13" ht="24">
      <c r="E3203" s="629">
        <v>45575</v>
      </c>
      <c r="F3203" s="202">
        <v>3.0000000000000001E-3</v>
      </c>
      <c r="G3203" s="202" t="s">
        <v>460</v>
      </c>
      <c r="H3203" s="202">
        <v>3.0000000000000001E-3</v>
      </c>
      <c r="I3203" s="995"/>
      <c r="J3203" s="996"/>
      <c r="K3203" s="997"/>
      <c r="L3203" s="99"/>
      <c r="M3203" s="100"/>
    </row>
    <row r="3204" spans="4:13" ht="24">
      <c r="E3204" s="629">
        <v>45546</v>
      </c>
      <c r="F3204" s="202">
        <v>3.0000000000000001E-3</v>
      </c>
      <c r="G3204" s="202" t="s">
        <v>460</v>
      </c>
      <c r="H3204" s="202">
        <v>2E-3</v>
      </c>
      <c r="I3204" s="995"/>
      <c r="J3204" s="996"/>
      <c r="K3204" s="997"/>
      <c r="L3204" s="99"/>
      <c r="M3204" s="100"/>
    </row>
    <row r="3205" spans="4:13" ht="25" thickBot="1">
      <c r="E3205" s="629">
        <v>45518</v>
      </c>
      <c r="F3205" s="202">
        <v>2E-3</v>
      </c>
      <c r="G3205" s="202" t="s">
        <v>460</v>
      </c>
      <c r="H3205" s="202">
        <v>1E-3</v>
      </c>
      <c r="I3205" s="998"/>
      <c r="J3205" s="999"/>
      <c r="K3205" s="1000"/>
      <c r="L3205" s="102"/>
      <c r="M3205" s="103"/>
    </row>
    <row r="3206" spans="4:13" ht="25" thickBot="1">
      <c r="D3206">
        <v>1</v>
      </c>
      <c r="E3206" s="624" t="s">
        <v>30</v>
      </c>
      <c r="F3206" s="1057" t="s">
        <v>1569</v>
      </c>
      <c r="G3206" s="1058"/>
      <c r="H3206" s="1059"/>
      <c r="I3206" s="1060" t="s">
        <v>633</v>
      </c>
      <c r="J3206" s="1061"/>
      <c r="K3206" s="1062"/>
      <c r="L3206" s="158" t="s">
        <v>430</v>
      </c>
      <c r="M3206" s="105" t="s">
        <v>431</v>
      </c>
    </row>
    <row r="3207" spans="4:13" ht="24">
      <c r="E3207" s="625" t="s">
        <v>432</v>
      </c>
      <c r="F3207" s="992"/>
      <c r="G3207" s="993"/>
      <c r="H3207" s="994"/>
      <c r="I3207" s="995" t="s">
        <v>1568</v>
      </c>
      <c r="J3207" s="996"/>
      <c r="K3207" s="997"/>
      <c r="L3207" s="99"/>
      <c r="M3207" s="100"/>
    </row>
    <row r="3208" spans="4:13" ht="24">
      <c r="E3208" s="626" t="s">
        <v>433</v>
      </c>
      <c r="F3208" s="1072" t="s">
        <v>1090</v>
      </c>
      <c r="G3208" s="1073"/>
      <c r="H3208" s="1074"/>
      <c r="I3208" s="995"/>
      <c r="J3208" s="996"/>
      <c r="K3208" s="997"/>
      <c r="L3208" s="99"/>
      <c r="M3208" s="100"/>
    </row>
    <row r="3209" spans="4:13" ht="25" thickBot="1">
      <c r="E3209" s="626" t="s">
        <v>434</v>
      </c>
      <c r="F3209" s="1072">
        <v>4.0000000000000001E-3</v>
      </c>
      <c r="G3209" s="1073"/>
      <c r="H3209" s="1074"/>
      <c r="I3209" s="995"/>
      <c r="J3209" s="996"/>
      <c r="K3209" s="997"/>
      <c r="L3209" s="99"/>
      <c r="M3209" s="100"/>
    </row>
    <row r="3210" spans="4:13" ht="25" thickBot="1">
      <c r="E3210" s="627" t="s">
        <v>435</v>
      </c>
      <c r="F3210" s="1007">
        <v>0.5625</v>
      </c>
      <c r="G3210" s="1008"/>
      <c r="H3210" s="1009"/>
      <c r="I3210" s="995"/>
      <c r="J3210" s="996"/>
      <c r="K3210" s="997"/>
      <c r="L3210" s="647">
        <v>0.79166666666666663</v>
      </c>
      <c r="M3210" s="648">
        <v>0.64583333333333326</v>
      </c>
    </row>
    <row r="3211" spans="4:13" ht="25" thickBot="1">
      <c r="E3211" s="628" t="s">
        <v>436</v>
      </c>
      <c r="F3211" s="200" t="s">
        <v>29</v>
      </c>
      <c r="G3211" s="200" t="s">
        <v>28</v>
      </c>
      <c r="H3211" s="201" t="s">
        <v>27</v>
      </c>
      <c r="I3211" s="995"/>
      <c r="J3211" s="996"/>
      <c r="K3211" s="997"/>
      <c r="L3211" s="99"/>
      <c r="M3211" s="100"/>
    </row>
    <row r="3212" spans="4:13" ht="24">
      <c r="E3212" s="629">
        <v>45672</v>
      </c>
      <c r="F3212" s="202">
        <v>2.9000000000000001E-2</v>
      </c>
      <c r="G3212" s="202" t="s">
        <v>667</v>
      </c>
      <c r="H3212" s="202">
        <v>2.7E-2</v>
      </c>
      <c r="I3212" s="995"/>
      <c r="J3212" s="996"/>
      <c r="K3212" s="997"/>
      <c r="L3212" s="99"/>
      <c r="M3212" s="100"/>
    </row>
    <row r="3213" spans="4:13" ht="24">
      <c r="E3213" s="629">
        <v>45637</v>
      </c>
      <c r="F3213" s="202">
        <v>2.7E-2</v>
      </c>
      <c r="G3213" s="202" t="s">
        <v>665</v>
      </c>
      <c r="H3213" s="202">
        <v>2.5999999999999999E-2</v>
      </c>
      <c r="I3213" s="995"/>
      <c r="J3213" s="996"/>
      <c r="K3213" s="997"/>
      <c r="L3213" s="99"/>
      <c r="M3213" s="100"/>
    </row>
    <row r="3214" spans="4:13" ht="24">
      <c r="E3214" s="629">
        <v>45609</v>
      </c>
      <c r="F3214" s="202">
        <v>2.5999999999999999E-2</v>
      </c>
      <c r="G3214" s="202" t="s">
        <v>493</v>
      </c>
      <c r="H3214" s="202">
        <v>2.4E-2</v>
      </c>
      <c r="I3214" s="995"/>
      <c r="J3214" s="996"/>
      <c r="K3214" s="997"/>
      <c r="L3214" s="649"/>
      <c r="M3214" s="100"/>
    </row>
    <row r="3215" spans="4:13" ht="24">
      <c r="E3215" s="629">
        <v>45575</v>
      </c>
      <c r="F3215" s="202">
        <v>2.4E-2</v>
      </c>
      <c r="G3215" s="202" t="s">
        <v>971</v>
      </c>
      <c r="H3215" s="202">
        <v>2.5000000000000001E-2</v>
      </c>
      <c r="I3215" s="995"/>
      <c r="J3215" s="996"/>
      <c r="K3215" s="997"/>
      <c r="L3215" s="99"/>
      <c r="M3215" s="100"/>
    </row>
    <row r="3216" spans="4:13" ht="24">
      <c r="E3216" s="629">
        <v>45546</v>
      </c>
      <c r="F3216" s="202">
        <v>2.5000000000000001E-2</v>
      </c>
      <c r="G3216" s="202" t="s">
        <v>495</v>
      </c>
      <c r="H3216" s="202">
        <v>2.9000000000000001E-2</v>
      </c>
      <c r="I3216" s="995"/>
      <c r="J3216" s="996"/>
      <c r="K3216" s="997"/>
      <c r="L3216" s="99"/>
      <c r="M3216" s="100"/>
    </row>
    <row r="3217" spans="4:13" ht="25" thickBot="1">
      <c r="E3217" s="629">
        <v>45518</v>
      </c>
      <c r="F3217" s="202">
        <v>2.9000000000000001E-2</v>
      </c>
      <c r="G3217" s="202" t="s">
        <v>669</v>
      </c>
      <c r="H3217" s="202">
        <v>0.03</v>
      </c>
      <c r="I3217" s="998"/>
      <c r="J3217" s="999"/>
      <c r="K3217" s="1000"/>
      <c r="L3217" s="102"/>
      <c r="M3217" s="103"/>
    </row>
    <row r="3218" spans="4:13" ht="25" thickBot="1">
      <c r="D3218">
        <v>3</v>
      </c>
      <c r="E3218" s="624" t="s">
        <v>30</v>
      </c>
      <c r="F3218" s="1057" t="s">
        <v>1570</v>
      </c>
      <c r="G3218" s="1058"/>
      <c r="H3218" s="1059"/>
      <c r="I3218" s="1060" t="s">
        <v>633</v>
      </c>
      <c r="J3218" s="1061"/>
      <c r="K3218" s="1062"/>
      <c r="L3218" s="158" t="s">
        <v>430</v>
      </c>
      <c r="M3218" s="105" t="s">
        <v>431</v>
      </c>
    </row>
    <row r="3219" spans="4:13" ht="24">
      <c r="E3219" s="625" t="s">
        <v>432</v>
      </c>
      <c r="F3219" s="992"/>
      <c r="G3219" s="993"/>
      <c r="H3219" s="994"/>
      <c r="I3219" s="995" t="s">
        <v>1568</v>
      </c>
      <c r="J3219" s="996"/>
      <c r="K3219" s="997"/>
      <c r="L3219" s="99"/>
      <c r="M3219" s="100"/>
    </row>
    <row r="3220" spans="4:13" ht="24">
      <c r="E3220" s="626" t="s">
        <v>433</v>
      </c>
      <c r="F3220" s="1063">
        <v>0</v>
      </c>
      <c r="G3220" s="1064"/>
      <c r="H3220" s="1065"/>
      <c r="I3220" s="995"/>
      <c r="J3220" s="996"/>
      <c r="K3220" s="997"/>
      <c r="L3220" s="99"/>
      <c r="M3220" s="100"/>
    </row>
    <row r="3221" spans="4:13" ht="25" thickBot="1">
      <c r="E3221" s="626" t="s">
        <v>434</v>
      </c>
      <c r="F3221" s="1063">
        <v>2.9000000000000001E-2</v>
      </c>
      <c r="G3221" s="1064"/>
      <c r="H3221" s="1065"/>
      <c r="I3221" s="995"/>
      <c r="J3221" s="996"/>
      <c r="K3221" s="997"/>
      <c r="L3221" s="99"/>
      <c r="M3221" s="100"/>
    </row>
    <row r="3222" spans="4:13" ht="25" thickBot="1">
      <c r="E3222" s="627" t="s">
        <v>435</v>
      </c>
      <c r="F3222" s="1007">
        <v>0.5625</v>
      </c>
      <c r="G3222" s="1008"/>
      <c r="H3222" s="1009"/>
      <c r="I3222" s="995"/>
      <c r="J3222" s="996"/>
      <c r="K3222" s="997"/>
      <c r="L3222" s="647">
        <v>0.79166666666666663</v>
      </c>
      <c r="M3222" s="648">
        <v>0.64583333333333326</v>
      </c>
    </row>
    <row r="3223" spans="4:13" ht="25" thickBot="1">
      <c r="E3223" s="628" t="s">
        <v>436</v>
      </c>
      <c r="F3223" s="200" t="s">
        <v>29</v>
      </c>
      <c r="G3223" s="200" t="s">
        <v>28</v>
      </c>
      <c r="H3223" s="201" t="s">
        <v>27</v>
      </c>
      <c r="I3223" s="995"/>
      <c r="J3223" s="996"/>
      <c r="K3223" s="997"/>
      <c r="L3223" s="330"/>
      <c r="M3223" s="650"/>
    </row>
    <row r="3224" spans="4:13" ht="24">
      <c r="E3224" s="629">
        <v>45672</v>
      </c>
      <c r="F3224" s="635">
        <v>2.9000000000000001E-2</v>
      </c>
      <c r="G3224" s="635" t="s">
        <v>667</v>
      </c>
      <c r="H3224" s="635">
        <v>2.7E-2</v>
      </c>
      <c r="I3224" s="995"/>
      <c r="J3224" s="996"/>
      <c r="K3224" s="997"/>
      <c r="L3224" s="99"/>
      <c r="M3224" s="100"/>
    </row>
    <row r="3225" spans="4:13" ht="24">
      <c r="E3225" s="629">
        <v>45637</v>
      </c>
      <c r="F3225" s="635">
        <v>2.7E-2</v>
      </c>
      <c r="G3225" s="635" t="s">
        <v>665</v>
      </c>
      <c r="H3225" s="635">
        <v>2.5999999999999999E-2</v>
      </c>
      <c r="I3225" s="995"/>
      <c r="J3225" s="996"/>
      <c r="K3225" s="997"/>
      <c r="L3225" s="99"/>
      <c r="M3225" s="100"/>
    </row>
    <row r="3226" spans="4:13" ht="24">
      <c r="E3226" s="629">
        <v>45609</v>
      </c>
      <c r="F3226" s="635">
        <v>2.5999999999999999E-2</v>
      </c>
      <c r="G3226" s="635" t="s">
        <v>493</v>
      </c>
      <c r="H3226" s="635">
        <v>2.4E-2</v>
      </c>
      <c r="I3226" s="995"/>
      <c r="J3226" s="996"/>
      <c r="K3226" s="997"/>
      <c r="L3226" s="649"/>
      <c r="M3226" s="100"/>
    </row>
    <row r="3227" spans="4:13" ht="24">
      <c r="E3227" s="629">
        <v>45575</v>
      </c>
      <c r="F3227" s="635">
        <v>2.4E-2</v>
      </c>
      <c r="G3227" s="635" t="s">
        <v>971</v>
      </c>
      <c r="H3227" s="635">
        <v>2.5000000000000001E-2</v>
      </c>
      <c r="I3227" s="995"/>
      <c r="J3227" s="996"/>
      <c r="K3227" s="997"/>
      <c r="L3227" s="99"/>
      <c r="M3227" s="100"/>
    </row>
    <row r="3228" spans="4:13" ht="24">
      <c r="E3228" s="629">
        <v>45546</v>
      </c>
      <c r="F3228" s="635">
        <v>2.5000000000000001E-2</v>
      </c>
      <c r="G3228" s="635" t="s">
        <v>495</v>
      </c>
      <c r="H3228" s="635">
        <v>2.9000000000000001E-2</v>
      </c>
      <c r="I3228" s="995"/>
      <c r="J3228" s="996"/>
      <c r="K3228" s="997"/>
      <c r="L3228" s="99"/>
      <c r="M3228" s="100"/>
    </row>
    <row r="3229" spans="4:13" ht="25" thickBot="1">
      <c r="E3229" s="629">
        <v>45518</v>
      </c>
      <c r="F3229" s="635">
        <v>2.9000000000000001E-2</v>
      </c>
      <c r="G3229" s="635" t="s">
        <v>669</v>
      </c>
      <c r="H3229" s="635">
        <v>0.03</v>
      </c>
      <c r="I3229" s="998"/>
      <c r="J3229" s="999"/>
      <c r="K3229" s="1000"/>
      <c r="L3229" s="102"/>
      <c r="M3229" s="103"/>
    </row>
    <row r="3230" spans="4:13" ht="25" thickBot="1">
      <c r="D3230">
        <v>2</v>
      </c>
      <c r="E3230" s="624" t="s">
        <v>30</v>
      </c>
      <c r="F3230" s="1057" t="s">
        <v>1571</v>
      </c>
      <c r="G3230" s="1058"/>
      <c r="H3230" s="1059"/>
      <c r="I3230" s="1060" t="s">
        <v>633</v>
      </c>
      <c r="J3230" s="1061"/>
      <c r="K3230" s="1062"/>
      <c r="L3230" s="158" t="s">
        <v>430</v>
      </c>
      <c r="M3230" s="105" t="s">
        <v>431</v>
      </c>
    </row>
    <row r="3231" spans="4:13" ht="24">
      <c r="E3231" s="625" t="s">
        <v>432</v>
      </c>
      <c r="F3231" s="992"/>
      <c r="G3231" s="993"/>
      <c r="H3231" s="994"/>
      <c r="I3231" s="995" t="s">
        <v>1505</v>
      </c>
      <c r="J3231" s="996"/>
      <c r="K3231" s="997"/>
      <c r="L3231" s="99"/>
      <c r="M3231" s="100"/>
    </row>
    <row r="3232" spans="4:13" ht="24">
      <c r="E3232" s="626" t="s">
        <v>433</v>
      </c>
      <c r="F3232" s="1063"/>
      <c r="G3232" s="1064"/>
      <c r="H3232" s="1065"/>
      <c r="I3232" s="995"/>
      <c r="J3232" s="996"/>
      <c r="K3232" s="997"/>
      <c r="L3232" s="99"/>
      <c r="M3232" s="100"/>
    </row>
    <row r="3233" spans="4:13" ht="25" thickBot="1">
      <c r="E3233" s="626" t="s">
        <v>434</v>
      </c>
      <c r="F3233" s="1063" t="s">
        <v>1572</v>
      </c>
      <c r="G3233" s="1064"/>
      <c r="H3233" s="1065"/>
      <c r="I3233" s="995"/>
      <c r="J3233" s="996"/>
      <c r="K3233" s="997"/>
      <c r="L3233" s="99"/>
      <c r="M3233" s="100"/>
    </row>
    <row r="3234" spans="4:13" ht="25" thickBot="1">
      <c r="E3234" s="627" t="s">
        <v>435</v>
      </c>
      <c r="F3234" s="1007">
        <v>0.64583333333333337</v>
      </c>
      <c r="G3234" s="1008"/>
      <c r="H3234" s="1009"/>
      <c r="I3234" s="995"/>
      <c r="J3234" s="996"/>
      <c r="K3234" s="997"/>
      <c r="L3234" s="647">
        <v>0.875</v>
      </c>
      <c r="M3234" s="648">
        <v>0.72916666666666663</v>
      </c>
    </row>
    <row r="3235" spans="4:13" ht="25" thickBot="1">
      <c r="E3235" s="628" t="s">
        <v>436</v>
      </c>
      <c r="F3235" s="200" t="s">
        <v>29</v>
      </c>
      <c r="G3235" s="200" t="s">
        <v>28</v>
      </c>
      <c r="H3235" s="201" t="s">
        <v>27</v>
      </c>
      <c r="I3235" s="995"/>
      <c r="J3235" s="996"/>
      <c r="K3235" s="997"/>
      <c r="L3235" s="330"/>
      <c r="M3235" s="650"/>
    </row>
    <row r="3236" spans="4:13" ht="24">
      <c r="E3236" s="629">
        <v>45693</v>
      </c>
      <c r="F3236" s="635" t="s">
        <v>1599</v>
      </c>
      <c r="G3236" s="635" t="s">
        <v>1600</v>
      </c>
      <c r="H3236" s="635" t="s">
        <v>1601</v>
      </c>
      <c r="I3236" s="995"/>
      <c r="J3236" s="996"/>
      <c r="K3236" s="997"/>
      <c r="L3236" s="99"/>
      <c r="M3236" s="100"/>
    </row>
    <row r="3237" spans="4:13" ht="24">
      <c r="E3237" s="629">
        <v>45686</v>
      </c>
      <c r="F3237" s="635" t="s">
        <v>1601</v>
      </c>
      <c r="G3237" s="635" t="s">
        <v>1602</v>
      </c>
      <c r="H3237" s="635" t="s">
        <v>1603</v>
      </c>
      <c r="I3237" s="995"/>
      <c r="J3237" s="996"/>
      <c r="K3237" s="997"/>
      <c r="L3237" s="99"/>
      <c r="M3237" s="100"/>
    </row>
    <row r="3238" spans="4:13" ht="24">
      <c r="E3238" s="629">
        <v>45680</v>
      </c>
      <c r="F3238" s="635" t="s">
        <v>1603</v>
      </c>
      <c r="G3238" s="635" t="s">
        <v>1604</v>
      </c>
      <c r="H3238" s="635" t="s">
        <v>1605</v>
      </c>
      <c r="I3238" s="995"/>
      <c r="J3238" s="996"/>
      <c r="K3238" s="997"/>
      <c r="L3238" s="649"/>
      <c r="M3238" s="100"/>
    </row>
    <row r="3239" spans="4:13" ht="24">
      <c r="E3239" s="629">
        <v>45672</v>
      </c>
      <c r="F3239" s="635" t="s">
        <v>1605</v>
      </c>
      <c r="G3239" s="635" t="s">
        <v>1606</v>
      </c>
      <c r="H3239" s="635" t="s">
        <v>1607</v>
      </c>
      <c r="I3239" s="995"/>
      <c r="J3239" s="996"/>
      <c r="K3239" s="997"/>
      <c r="L3239" s="99"/>
      <c r="M3239" s="100"/>
    </row>
    <row r="3240" spans="4:13" ht="24">
      <c r="E3240" s="629">
        <v>45665</v>
      </c>
      <c r="F3240" s="635" t="s">
        <v>1607</v>
      </c>
      <c r="G3240" s="635" t="s">
        <v>1608</v>
      </c>
      <c r="H3240" s="635" t="s">
        <v>1609</v>
      </c>
      <c r="I3240" s="995"/>
      <c r="J3240" s="996"/>
      <c r="K3240" s="997"/>
      <c r="L3240" s="99" t="s">
        <v>1598</v>
      </c>
      <c r="M3240" s="100"/>
    </row>
    <row r="3241" spans="4:13" ht="25" thickBot="1">
      <c r="E3241" s="629">
        <v>45659</v>
      </c>
      <c r="F3241" s="635" t="s">
        <v>1609</v>
      </c>
      <c r="G3241" s="635" t="s">
        <v>1610</v>
      </c>
      <c r="H3241" s="635" t="s">
        <v>1611</v>
      </c>
      <c r="I3241" s="998"/>
      <c r="J3241" s="999"/>
      <c r="K3241" s="1000"/>
      <c r="L3241" s="102"/>
      <c r="M3241" s="103"/>
    </row>
    <row r="3242" spans="4:13" ht="25" thickBot="1">
      <c r="D3242">
        <v>4</v>
      </c>
      <c r="E3242" s="624" t="s">
        <v>30</v>
      </c>
      <c r="F3242" s="1057" t="s">
        <v>52</v>
      </c>
      <c r="G3242" s="1058"/>
      <c r="H3242" s="1059"/>
      <c r="I3242" s="1060" t="s">
        <v>633</v>
      </c>
      <c r="J3242" s="1061"/>
      <c r="K3242" s="1062"/>
      <c r="L3242" s="158" t="s">
        <v>430</v>
      </c>
      <c r="M3242" s="105" t="s">
        <v>431</v>
      </c>
    </row>
    <row r="3243" spans="4:13" ht="24">
      <c r="E3243" s="625" t="s">
        <v>432</v>
      </c>
      <c r="F3243" s="992"/>
      <c r="G3243" s="993"/>
      <c r="H3243" s="994"/>
      <c r="I3243" s="995" t="s">
        <v>1573</v>
      </c>
      <c r="J3243" s="996"/>
      <c r="K3243" s="997"/>
      <c r="L3243" s="99"/>
      <c r="M3243" s="100"/>
    </row>
    <row r="3244" spans="4:13" ht="24">
      <c r="E3244" s="626" t="s">
        <v>433</v>
      </c>
      <c r="F3244" s="1063"/>
      <c r="G3244" s="1064"/>
      <c r="H3244" s="1065"/>
      <c r="I3244" s="995"/>
      <c r="J3244" s="996"/>
      <c r="K3244" s="997"/>
      <c r="L3244" s="99"/>
      <c r="M3244" s="100"/>
    </row>
    <row r="3245" spans="4:13" ht="25" thickBot="1">
      <c r="E3245" s="626" t="s">
        <v>434</v>
      </c>
      <c r="F3245" s="1077">
        <v>4.6800000000000001E-2</v>
      </c>
      <c r="G3245" s="1078"/>
      <c r="H3245" s="1079"/>
      <c r="I3245" s="995"/>
      <c r="J3245" s="996"/>
      <c r="K3245" s="997"/>
      <c r="L3245" s="99"/>
      <c r="M3245" s="100"/>
    </row>
    <row r="3246" spans="4:13" ht="25" thickBot="1">
      <c r="E3246" s="627" t="s">
        <v>435</v>
      </c>
      <c r="F3246" s="1007">
        <v>0.75</v>
      </c>
      <c r="G3246" s="1008"/>
      <c r="H3246" s="1009"/>
      <c r="I3246" s="995"/>
      <c r="J3246" s="996"/>
      <c r="K3246" s="997"/>
      <c r="L3246" s="647">
        <v>0.97916666666666663</v>
      </c>
      <c r="M3246" s="648">
        <v>0.83333333333333326</v>
      </c>
    </row>
    <row r="3247" spans="4:13" ht="25" thickBot="1">
      <c r="E3247" s="628" t="s">
        <v>436</v>
      </c>
      <c r="F3247" s="200" t="s">
        <v>29</v>
      </c>
      <c r="G3247" s="200" t="s">
        <v>28</v>
      </c>
      <c r="H3247" s="201" t="s">
        <v>27</v>
      </c>
      <c r="I3247" s="995"/>
      <c r="J3247" s="996"/>
      <c r="K3247" s="997"/>
      <c r="L3247" s="330"/>
      <c r="M3247" s="650"/>
    </row>
    <row r="3248" spans="4:13" ht="24">
      <c r="E3248" s="629">
        <v>45664</v>
      </c>
      <c r="F3248" s="651">
        <v>4.6800000000000001E-2</v>
      </c>
      <c r="G3248" s="651" t="s">
        <v>754</v>
      </c>
      <c r="H3248" s="651">
        <v>4.2349999999999999E-2</v>
      </c>
      <c r="I3248" s="995"/>
      <c r="J3248" s="996"/>
      <c r="K3248" s="997"/>
      <c r="L3248" s="99"/>
      <c r="M3248" s="100"/>
    </row>
    <row r="3249" spans="4:13" ht="24">
      <c r="E3249" s="629">
        <v>45637</v>
      </c>
      <c r="F3249" s="651">
        <v>4.2349999999999999E-2</v>
      </c>
      <c r="G3249" s="651" t="s">
        <v>754</v>
      </c>
      <c r="H3249" s="651">
        <v>4.3470000000000002E-2</v>
      </c>
      <c r="I3249" s="995"/>
      <c r="J3249" s="996"/>
      <c r="K3249" s="997"/>
      <c r="L3249" s="99"/>
      <c r="M3249" s="100"/>
    </row>
    <row r="3250" spans="4:13" ht="24">
      <c r="E3250" s="629">
        <v>45601</v>
      </c>
      <c r="F3250" s="651">
        <v>4.3470000000000002E-2</v>
      </c>
      <c r="G3250" s="651" t="s">
        <v>754</v>
      </c>
      <c r="H3250" s="651">
        <v>4.0660000000000002E-2</v>
      </c>
      <c r="I3250" s="995"/>
      <c r="J3250" s="996"/>
      <c r="K3250" s="997"/>
      <c r="L3250" s="649"/>
      <c r="M3250" s="100"/>
    </row>
    <row r="3251" spans="4:13" ht="24">
      <c r="E3251" s="629">
        <v>45574</v>
      </c>
      <c r="F3251" s="651">
        <v>4.0660000000000002E-2</v>
      </c>
      <c r="G3251" s="651" t="s">
        <v>754</v>
      </c>
      <c r="H3251" s="651">
        <v>3.6479999999999999E-2</v>
      </c>
      <c r="I3251" s="995"/>
      <c r="J3251" s="996"/>
      <c r="K3251" s="997"/>
      <c r="L3251" s="99"/>
      <c r="M3251" s="100"/>
    </row>
    <row r="3252" spans="4:13" ht="24">
      <c r="E3252" s="629">
        <v>45546</v>
      </c>
      <c r="F3252" s="651">
        <v>3.6479999999999999E-2</v>
      </c>
      <c r="G3252" s="651" t="s">
        <v>754</v>
      </c>
      <c r="H3252" s="651">
        <v>3.9600000000000003E-2</v>
      </c>
      <c r="I3252" s="995"/>
      <c r="J3252" s="996"/>
      <c r="K3252" s="997"/>
      <c r="L3252" s="99"/>
      <c r="M3252" s="100"/>
    </row>
    <row r="3253" spans="4:13" ht="25" thickBot="1">
      <c r="E3253" s="629">
        <v>45511</v>
      </c>
      <c r="F3253" s="651">
        <v>3.9600000000000003E-2</v>
      </c>
      <c r="G3253" s="651" t="s">
        <v>754</v>
      </c>
      <c r="H3253" s="651">
        <v>4.2759999999999999E-2</v>
      </c>
      <c r="I3253" s="998"/>
      <c r="J3253" s="999"/>
      <c r="K3253" s="1000"/>
      <c r="L3253" s="102"/>
      <c r="M3253" s="103"/>
    </row>
    <row r="3254" spans="4:13" ht="25" thickBot="1">
      <c r="D3254">
        <v>3</v>
      </c>
      <c r="E3254" s="624" t="s">
        <v>30</v>
      </c>
      <c r="F3254" s="1057" t="s">
        <v>1574</v>
      </c>
      <c r="G3254" s="1058"/>
      <c r="H3254" s="1059"/>
      <c r="I3254" s="1060" t="s">
        <v>633</v>
      </c>
      <c r="J3254" s="1061"/>
      <c r="K3254" s="1062"/>
      <c r="L3254" s="158" t="s">
        <v>430</v>
      </c>
      <c r="M3254" s="105" t="s">
        <v>431</v>
      </c>
    </row>
    <row r="3255" spans="4:13" ht="24">
      <c r="E3255" s="625" t="s">
        <v>432</v>
      </c>
      <c r="F3255" s="992"/>
      <c r="G3255" s="993"/>
      <c r="H3255" s="994"/>
      <c r="I3255" s="995" t="s">
        <v>1575</v>
      </c>
      <c r="J3255" s="996"/>
      <c r="K3255" s="997"/>
      <c r="L3255" s="99"/>
      <c r="M3255" s="100"/>
    </row>
    <row r="3256" spans="4:13" ht="24">
      <c r="E3256" s="626" t="s">
        <v>433</v>
      </c>
      <c r="F3256" s="1063"/>
      <c r="G3256" s="1064"/>
      <c r="H3256" s="1065"/>
      <c r="I3256" s="995"/>
      <c r="J3256" s="996"/>
      <c r="K3256" s="997"/>
      <c r="L3256" s="99"/>
      <c r="M3256" s="100"/>
    </row>
    <row r="3257" spans="4:13" ht="25" thickBot="1">
      <c r="E3257" s="626" t="s">
        <v>434</v>
      </c>
      <c r="F3257" s="1077">
        <v>8.9999999999999993E-3</v>
      </c>
      <c r="G3257" s="1078"/>
      <c r="H3257" s="1079"/>
      <c r="I3257" s="995"/>
      <c r="J3257" s="996"/>
      <c r="K3257" s="997"/>
      <c r="L3257" s="99"/>
      <c r="M3257" s="100"/>
    </row>
    <row r="3258" spans="4:13" ht="25" thickBot="1">
      <c r="E3258" s="627" t="s">
        <v>435</v>
      </c>
      <c r="F3258" s="1007">
        <v>0.29166666666666674</v>
      </c>
      <c r="G3258" s="1008"/>
      <c r="H3258" s="1009"/>
      <c r="I3258" s="995"/>
      <c r="J3258" s="996"/>
      <c r="K3258" s="997"/>
      <c r="L3258" s="647">
        <v>0.52083333333333337</v>
      </c>
      <c r="M3258" s="648">
        <v>0.375</v>
      </c>
    </row>
    <row r="3259" spans="4:13" ht="25" thickBot="1">
      <c r="E3259" s="628" t="s">
        <v>436</v>
      </c>
      <c r="F3259" s="200" t="s">
        <v>29</v>
      </c>
      <c r="G3259" s="200" t="s">
        <v>28</v>
      </c>
      <c r="H3259" s="201" t="s">
        <v>27</v>
      </c>
      <c r="I3259" s="995"/>
      <c r="J3259" s="996"/>
      <c r="K3259" s="997"/>
      <c r="L3259" s="330"/>
      <c r="M3259" s="650"/>
    </row>
    <row r="3260" spans="4:13" ht="24">
      <c r="E3260" s="629">
        <v>45649</v>
      </c>
      <c r="F3260" s="651">
        <v>8.9999999999999993E-3</v>
      </c>
      <c r="G3260" s="651" t="s">
        <v>1536</v>
      </c>
      <c r="H3260" s="651">
        <v>7.0000000000000001E-3</v>
      </c>
      <c r="I3260" s="995"/>
      <c r="J3260" s="996"/>
      <c r="K3260" s="997"/>
      <c r="L3260" s="99"/>
      <c r="M3260" s="100"/>
    </row>
    <row r="3261" spans="4:13" ht="24">
      <c r="E3261" s="629">
        <v>45611</v>
      </c>
      <c r="F3261" s="651">
        <v>0.01</v>
      </c>
      <c r="G3261" s="651" t="s">
        <v>462</v>
      </c>
      <c r="H3261" s="651">
        <v>7.0000000000000001E-3</v>
      </c>
      <c r="I3261" s="995"/>
      <c r="J3261" s="996"/>
      <c r="K3261" s="997"/>
      <c r="L3261" s="99"/>
      <c r="M3261" s="100"/>
    </row>
    <row r="3262" spans="4:13" ht="24">
      <c r="E3262" s="629">
        <v>45565</v>
      </c>
      <c r="F3262" s="651">
        <v>7.0000000000000001E-3</v>
      </c>
      <c r="G3262" s="651" t="s">
        <v>459</v>
      </c>
      <c r="H3262" s="651">
        <v>3.0000000000000001E-3</v>
      </c>
      <c r="I3262" s="995"/>
      <c r="J3262" s="996"/>
      <c r="K3262" s="997"/>
      <c r="L3262" s="649"/>
      <c r="M3262" s="100"/>
    </row>
    <row r="3263" spans="4:13" ht="24">
      <c r="E3263" s="629">
        <v>45519</v>
      </c>
      <c r="F3263" s="651">
        <v>8.9999999999999993E-3</v>
      </c>
      <c r="G3263" s="651" t="s">
        <v>459</v>
      </c>
      <c r="H3263" s="651">
        <v>3.0000000000000001E-3</v>
      </c>
      <c r="I3263" s="995"/>
      <c r="J3263" s="996"/>
      <c r="K3263" s="997"/>
      <c r="L3263" s="99"/>
      <c r="M3263" s="100"/>
    </row>
    <row r="3264" spans="4:13" ht="24">
      <c r="E3264" s="629">
        <v>45471</v>
      </c>
      <c r="F3264" s="651">
        <v>3.0000000000000001E-3</v>
      </c>
      <c r="G3264" s="651" t="s">
        <v>460</v>
      </c>
      <c r="H3264" s="651">
        <v>-2E-3</v>
      </c>
      <c r="I3264" s="995"/>
      <c r="J3264" s="996"/>
      <c r="K3264" s="997"/>
      <c r="L3264" s="99"/>
      <c r="M3264" s="100"/>
    </row>
    <row r="3265" spans="4:13" ht="25" thickBot="1">
      <c r="E3265" s="629">
        <v>45422</v>
      </c>
      <c r="F3265" s="651">
        <v>2E-3</v>
      </c>
      <c r="G3265" s="651" t="s">
        <v>458</v>
      </c>
      <c r="H3265" s="651">
        <v>-2E-3</v>
      </c>
      <c r="I3265" s="998"/>
      <c r="J3265" s="999"/>
      <c r="K3265" s="1000"/>
      <c r="L3265" s="102"/>
      <c r="M3265" s="103"/>
    </row>
    <row r="3266" spans="4:13" ht="25" thickBot="1">
      <c r="D3266">
        <v>5</v>
      </c>
      <c r="E3266" s="624" t="s">
        <v>30</v>
      </c>
      <c r="F3266" s="1057" t="s">
        <v>1576</v>
      </c>
      <c r="G3266" s="1058"/>
      <c r="H3266" s="1059"/>
      <c r="I3266" s="1060" t="s">
        <v>633</v>
      </c>
      <c r="J3266" s="1061"/>
      <c r="K3266" s="1062"/>
      <c r="L3266" s="158" t="s">
        <v>430</v>
      </c>
      <c r="M3266" s="105" t="s">
        <v>431</v>
      </c>
    </row>
    <row r="3267" spans="4:13" ht="24">
      <c r="E3267" s="625" t="s">
        <v>432</v>
      </c>
      <c r="F3267" s="992"/>
      <c r="G3267" s="993"/>
      <c r="H3267" s="994"/>
      <c r="I3267" s="995" t="s">
        <v>1575</v>
      </c>
      <c r="J3267" s="996"/>
      <c r="K3267" s="997"/>
      <c r="L3267" s="99"/>
      <c r="M3267" s="100"/>
    </row>
    <row r="3268" spans="4:13" ht="24">
      <c r="E3268" s="626" t="s">
        <v>433</v>
      </c>
      <c r="F3268" s="1063"/>
      <c r="G3268" s="1064"/>
      <c r="H3268" s="1065"/>
      <c r="I3268" s="995"/>
      <c r="J3268" s="996"/>
      <c r="K3268" s="997"/>
      <c r="L3268" s="99"/>
      <c r="M3268" s="100"/>
    </row>
    <row r="3269" spans="4:13" ht="25" thickBot="1">
      <c r="E3269" s="626" t="s">
        <v>434</v>
      </c>
      <c r="F3269" s="1077">
        <v>0</v>
      </c>
      <c r="G3269" s="1078"/>
      <c r="H3269" s="1079"/>
      <c r="I3269" s="995"/>
      <c r="J3269" s="996"/>
      <c r="K3269" s="997"/>
      <c r="L3269" s="99"/>
      <c r="M3269" s="100"/>
    </row>
    <row r="3270" spans="4:13" ht="25" thickBot="1">
      <c r="E3270" s="627" t="s">
        <v>435</v>
      </c>
      <c r="F3270" s="1007">
        <v>0.29166666666666674</v>
      </c>
      <c r="G3270" s="1008"/>
      <c r="H3270" s="1009"/>
      <c r="I3270" s="995"/>
      <c r="J3270" s="996"/>
      <c r="K3270" s="997"/>
      <c r="L3270" s="647">
        <v>0.52083333333333337</v>
      </c>
      <c r="M3270" s="648">
        <v>0.375</v>
      </c>
    </row>
    <row r="3271" spans="4:13" ht="25" thickBot="1">
      <c r="E3271" s="628" t="s">
        <v>436</v>
      </c>
      <c r="F3271" s="200" t="s">
        <v>29</v>
      </c>
      <c r="G3271" s="200" t="s">
        <v>28</v>
      </c>
      <c r="H3271" s="201" t="s">
        <v>27</v>
      </c>
      <c r="I3271" s="995"/>
      <c r="J3271" s="996"/>
      <c r="K3271" s="997"/>
      <c r="L3271" s="330"/>
      <c r="M3271" s="650"/>
    </row>
    <row r="3272" spans="4:13" ht="24">
      <c r="E3272" s="629">
        <v>45649</v>
      </c>
      <c r="F3272" s="651">
        <v>0</v>
      </c>
      <c r="G3272" s="651" t="s">
        <v>462</v>
      </c>
      <c r="H3272" s="651">
        <v>4.0000000000000001E-3</v>
      </c>
      <c r="I3272" s="995"/>
      <c r="J3272" s="996"/>
      <c r="K3272" s="997"/>
      <c r="L3272" s="99"/>
      <c r="M3272" s="100"/>
    </row>
    <row r="3273" spans="4:13" ht="24">
      <c r="E3273" s="629">
        <v>45611</v>
      </c>
      <c r="F3273" s="651">
        <v>1E-3</v>
      </c>
      <c r="G3273" s="651" t="s">
        <v>460</v>
      </c>
      <c r="H3273" s="651">
        <v>5.0000000000000001E-3</v>
      </c>
      <c r="I3273" s="995"/>
      <c r="J3273" s="996"/>
      <c r="K3273" s="997"/>
      <c r="L3273" s="99"/>
      <c r="M3273" s="100"/>
    </row>
    <row r="3274" spans="4:13" ht="24">
      <c r="E3274" s="629">
        <v>45565</v>
      </c>
      <c r="F3274" s="651">
        <v>5.0000000000000001E-3</v>
      </c>
      <c r="G3274" s="651" t="s">
        <v>449</v>
      </c>
      <c r="H3274" s="651">
        <v>7.0000000000000001E-3</v>
      </c>
      <c r="I3274" s="995"/>
      <c r="J3274" s="996"/>
      <c r="K3274" s="997"/>
      <c r="L3274" s="649"/>
      <c r="M3274" s="100"/>
    </row>
    <row r="3275" spans="4:13" ht="24">
      <c r="E3275" s="629">
        <v>45519</v>
      </c>
      <c r="F3275" s="651">
        <v>6.0000000000000001E-3</v>
      </c>
      <c r="G3275" s="651" t="s">
        <v>449</v>
      </c>
      <c r="H3275" s="651">
        <v>7.0000000000000001E-3</v>
      </c>
      <c r="I3275" s="995"/>
      <c r="J3275" s="996"/>
      <c r="K3275" s="997"/>
      <c r="L3275" s="99"/>
      <c r="M3275" s="100"/>
    </row>
    <row r="3276" spans="4:13" ht="24">
      <c r="E3276" s="629">
        <v>45471</v>
      </c>
      <c r="F3276" s="651">
        <v>7.0000000000000001E-3</v>
      </c>
      <c r="G3276" s="651" t="s">
        <v>449</v>
      </c>
      <c r="H3276" s="651">
        <v>-3.0000000000000001E-3</v>
      </c>
      <c r="I3276" s="995"/>
      <c r="J3276" s="996"/>
      <c r="K3276" s="997"/>
      <c r="L3276" s="99"/>
      <c r="M3276" s="100"/>
    </row>
    <row r="3277" spans="4:13" ht="25" thickBot="1">
      <c r="E3277" s="629">
        <v>45422</v>
      </c>
      <c r="F3277" s="651">
        <v>6.0000000000000001E-3</v>
      </c>
      <c r="G3277" s="651" t="s">
        <v>452</v>
      </c>
      <c r="H3277" s="651">
        <v>-3.0000000000000001E-3</v>
      </c>
      <c r="I3277" s="998"/>
      <c r="J3277" s="999"/>
      <c r="K3277" s="1000"/>
      <c r="L3277" s="102"/>
      <c r="M3277" s="103"/>
    </row>
    <row r="3278" spans="4:13" ht="25" thickBot="1">
      <c r="D3278">
        <v>4</v>
      </c>
      <c r="E3278" s="624" t="s">
        <v>30</v>
      </c>
      <c r="F3278" s="1057" t="s">
        <v>1577</v>
      </c>
      <c r="G3278" s="1058"/>
      <c r="H3278" s="1059"/>
      <c r="I3278" s="1060" t="s">
        <v>633</v>
      </c>
      <c r="J3278" s="1061"/>
      <c r="K3278" s="1062"/>
      <c r="L3278" s="158" t="s">
        <v>430</v>
      </c>
      <c r="M3278" s="105" t="s">
        <v>431</v>
      </c>
    </row>
    <row r="3279" spans="4:13" ht="24">
      <c r="E3279" s="625" t="s">
        <v>432</v>
      </c>
      <c r="F3279" s="992"/>
      <c r="G3279" s="993"/>
      <c r="H3279" s="994"/>
      <c r="I3279" s="995" t="s">
        <v>1575</v>
      </c>
      <c r="J3279" s="996"/>
      <c r="K3279" s="997"/>
      <c r="L3279" s="99"/>
      <c r="M3279" s="100"/>
    </row>
    <row r="3280" spans="4:13" ht="24">
      <c r="E3280" s="626" t="s">
        <v>433</v>
      </c>
      <c r="F3280" s="1063">
        <v>0</v>
      </c>
      <c r="G3280" s="1064"/>
      <c r="H3280" s="1065"/>
      <c r="I3280" s="995"/>
      <c r="J3280" s="996"/>
      <c r="K3280" s="997"/>
      <c r="L3280" s="99"/>
      <c r="M3280" s="100"/>
    </row>
    <row r="3281" spans="4:13" ht="25" thickBot="1">
      <c r="E3281" s="626" t="s">
        <v>434</v>
      </c>
      <c r="F3281" s="1063">
        <v>1E-3</v>
      </c>
      <c r="G3281" s="1064"/>
      <c r="H3281" s="1065"/>
      <c r="I3281" s="995"/>
      <c r="J3281" s="996"/>
      <c r="K3281" s="997"/>
      <c r="L3281" s="99"/>
      <c r="M3281" s="100"/>
    </row>
    <row r="3282" spans="4:13" ht="25" thickBot="1">
      <c r="E3282" s="627" t="s">
        <v>435</v>
      </c>
      <c r="F3282" s="1007">
        <v>0.29166666666666674</v>
      </c>
      <c r="G3282" s="1008"/>
      <c r="H3282" s="1009"/>
      <c r="I3282" s="995"/>
      <c r="J3282" s="996"/>
      <c r="K3282" s="997"/>
      <c r="L3282" s="647">
        <v>0.52083333333333337</v>
      </c>
      <c r="M3282" s="648">
        <v>0.375</v>
      </c>
    </row>
    <row r="3283" spans="4:13" ht="25" thickBot="1">
      <c r="E3283" s="628" t="s">
        <v>436</v>
      </c>
      <c r="F3283" s="200" t="s">
        <v>29</v>
      </c>
      <c r="G3283" s="200" t="s">
        <v>28</v>
      </c>
      <c r="H3283" s="201" t="s">
        <v>27</v>
      </c>
      <c r="I3283" s="995"/>
      <c r="J3283" s="996"/>
      <c r="K3283" s="997"/>
      <c r="L3283" s="99"/>
      <c r="M3283" s="100"/>
    </row>
    <row r="3284" spans="4:13" ht="24">
      <c r="E3284" s="629">
        <v>45673</v>
      </c>
      <c r="F3284" s="635">
        <v>1E-3</v>
      </c>
      <c r="G3284" s="635" t="s">
        <v>460</v>
      </c>
      <c r="H3284" s="635">
        <v>-1E-3</v>
      </c>
      <c r="I3284" s="995"/>
      <c r="J3284" s="996"/>
      <c r="K3284" s="997"/>
      <c r="L3284" s="99"/>
      <c r="M3284" s="100"/>
    </row>
    <row r="3285" spans="4:13" ht="24">
      <c r="E3285" s="629">
        <v>45639</v>
      </c>
      <c r="F3285" s="635">
        <v>-1E-3</v>
      </c>
      <c r="G3285" s="635" t="s">
        <v>462</v>
      </c>
      <c r="H3285" s="635">
        <v>-1E-3</v>
      </c>
      <c r="I3285" s="995"/>
      <c r="J3285" s="996"/>
      <c r="K3285" s="997"/>
      <c r="L3285" s="99"/>
      <c r="M3285" s="100"/>
    </row>
    <row r="3286" spans="4:13" ht="24">
      <c r="E3286" s="629">
        <v>45611</v>
      </c>
      <c r="F3286" s="635">
        <v>-1E-3</v>
      </c>
      <c r="G3286" s="635" t="s">
        <v>460</v>
      </c>
      <c r="H3286" s="635">
        <v>2E-3</v>
      </c>
      <c r="I3286" s="995"/>
      <c r="J3286" s="996"/>
      <c r="K3286" s="997"/>
      <c r="L3286" s="649"/>
      <c r="M3286" s="100"/>
    </row>
    <row r="3287" spans="4:13" ht="24">
      <c r="E3287" s="629">
        <v>45576</v>
      </c>
      <c r="F3287" s="635">
        <v>2E-3</v>
      </c>
      <c r="G3287" s="635" t="s">
        <v>460</v>
      </c>
      <c r="H3287" s="635">
        <v>0</v>
      </c>
      <c r="I3287" s="995"/>
      <c r="J3287" s="996"/>
      <c r="K3287" s="997"/>
      <c r="L3287" s="99"/>
      <c r="M3287" s="100"/>
    </row>
    <row r="3288" spans="4:13" ht="24">
      <c r="E3288" s="629">
        <v>45546</v>
      </c>
      <c r="F3288" s="635">
        <v>0</v>
      </c>
      <c r="G3288" s="635" t="s">
        <v>460</v>
      </c>
      <c r="H3288" s="635">
        <v>0</v>
      </c>
      <c r="I3288" s="995"/>
      <c r="J3288" s="996"/>
      <c r="K3288" s="997"/>
      <c r="L3288" s="99"/>
      <c r="M3288" s="100"/>
    </row>
    <row r="3289" spans="4:13" ht="25" thickBot="1">
      <c r="E3289" s="629">
        <v>45519</v>
      </c>
      <c r="F3289" s="635">
        <v>0</v>
      </c>
      <c r="G3289" s="635" t="s">
        <v>458</v>
      </c>
      <c r="H3289" s="635">
        <v>4.0000000000000001E-3</v>
      </c>
      <c r="I3289" s="998"/>
      <c r="J3289" s="999"/>
      <c r="K3289" s="1000"/>
      <c r="L3289" s="102"/>
      <c r="M3289" s="103"/>
    </row>
    <row r="3290" spans="4:13" ht="25" thickBot="1">
      <c r="D3290">
        <v>5</v>
      </c>
      <c r="E3290" s="624" t="s">
        <v>30</v>
      </c>
      <c r="F3290" s="1057" t="e">
        <v>#REF!</v>
      </c>
      <c r="G3290" s="1058"/>
      <c r="H3290" s="1059"/>
      <c r="I3290" s="1060" t="s">
        <v>633</v>
      </c>
      <c r="J3290" s="1061"/>
      <c r="K3290" s="1062"/>
      <c r="L3290" s="158" t="s">
        <v>430</v>
      </c>
      <c r="M3290" s="105" t="s">
        <v>431</v>
      </c>
    </row>
    <row r="3291" spans="4:13" ht="24">
      <c r="E3291" s="625" t="s">
        <v>432</v>
      </c>
      <c r="F3291" s="992"/>
      <c r="G3291" s="993"/>
      <c r="H3291" s="994"/>
      <c r="I3291" s="995" t="e">
        <v>#REF!</v>
      </c>
      <c r="J3291" s="996"/>
      <c r="K3291" s="997"/>
      <c r="L3291" s="99"/>
      <c r="M3291" s="100"/>
    </row>
    <row r="3292" spans="4:13" ht="24">
      <c r="E3292" s="626" t="s">
        <v>433</v>
      </c>
      <c r="F3292" s="1076" t="e">
        <v>#REF!</v>
      </c>
      <c r="G3292" s="1064"/>
      <c r="H3292" s="1065"/>
      <c r="I3292" s="995"/>
      <c r="J3292" s="996"/>
      <c r="K3292" s="997"/>
      <c r="L3292" s="99"/>
      <c r="M3292" s="100"/>
    </row>
    <row r="3293" spans="4:13" ht="25" thickBot="1">
      <c r="E3293" s="626" t="s">
        <v>434</v>
      </c>
      <c r="F3293" s="1063" t="e">
        <v>#REF!</v>
      </c>
      <c r="G3293" s="1064"/>
      <c r="H3293" s="1065"/>
      <c r="I3293" s="995"/>
      <c r="J3293" s="996"/>
      <c r="K3293" s="997"/>
      <c r="L3293" s="99"/>
      <c r="M3293" s="100"/>
    </row>
    <row r="3294" spans="4:13" ht="25" thickBot="1">
      <c r="E3294" s="627" t="s">
        <v>435</v>
      </c>
      <c r="F3294" s="1007" t="e">
        <v>#REF!</v>
      </c>
      <c r="G3294" s="1008"/>
      <c r="H3294" s="1009"/>
      <c r="I3294" s="995"/>
      <c r="J3294" s="996"/>
      <c r="K3294" s="997"/>
      <c r="L3294" s="647" t="e">
        <v>#REF!</v>
      </c>
      <c r="M3294" s="648" t="e">
        <v>#REF!</v>
      </c>
    </row>
    <row r="3295" spans="4:13" ht="25" thickBot="1">
      <c r="E3295" s="628" t="s">
        <v>436</v>
      </c>
      <c r="F3295" s="200" t="s">
        <v>29</v>
      </c>
      <c r="G3295" s="200" t="s">
        <v>28</v>
      </c>
      <c r="H3295" s="201" t="s">
        <v>27</v>
      </c>
      <c r="I3295" s="995"/>
      <c r="J3295" s="996"/>
      <c r="K3295" s="997"/>
      <c r="L3295" s="99"/>
      <c r="M3295" s="100"/>
    </row>
    <row r="3296" spans="4:13" ht="24">
      <c r="E3296" s="629">
        <v>45609</v>
      </c>
      <c r="F3296" s="634">
        <v>2E-3</v>
      </c>
      <c r="G3296" s="634" t="s">
        <v>460</v>
      </c>
      <c r="H3296" s="634">
        <v>2E-3</v>
      </c>
      <c r="I3296" s="995"/>
      <c r="J3296" s="996"/>
      <c r="K3296" s="997"/>
      <c r="L3296" s="99"/>
      <c r="M3296" s="100"/>
    </row>
    <row r="3297" spans="4:13" ht="24">
      <c r="E3297" s="629">
        <v>45575</v>
      </c>
      <c r="F3297" s="634">
        <v>2E-3</v>
      </c>
      <c r="G3297" s="634" t="s">
        <v>462</v>
      </c>
      <c r="H3297" s="634">
        <v>2E-3</v>
      </c>
      <c r="I3297" s="995"/>
      <c r="J3297" s="996"/>
      <c r="K3297" s="997"/>
      <c r="L3297" s="99"/>
      <c r="M3297" s="100"/>
    </row>
    <row r="3298" spans="4:13" ht="24">
      <c r="E3298" s="629">
        <v>45546</v>
      </c>
      <c r="F3298" s="634">
        <v>2E-3</v>
      </c>
      <c r="G3298" s="634" t="s">
        <v>460</v>
      </c>
      <c r="H3298" s="634">
        <v>2E-3</v>
      </c>
      <c r="I3298" s="995"/>
      <c r="J3298" s="996"/>
      <c r="K3298" s="997"/>
      <c r="L3298" s="649"/>
      <c r="M3298" s="100"/>
    </row>
    <row r="3299" spans="4:13" ht="24">
      <c r="E3299" s="629">
        <v>45518</v>
      </c>
      <c r="F3299" s="634">
        <v>2E-3</v>
      </c>
      <c r="G3299" s="634" t="s">
        <v>460</v>
      </c>
      <c r="H3299" s="634">
        <v>-1E-3</v>
      </c>
      <c r="I3299" s="995"/>
      <c r="J3299" s="996"/>
      <c r="K3299" s="997"/>
      <c r="L3299" s="99"/>
      <c r="M3299" s="100"/>
    </row>
    <row r="3300" spans="4:13" ht="24">
      <c r="E3300" s="629">
        <v>45484</v>
      </c>
      <c r="F3300" s="634">
        <v>-1E-3</v>
      </c>
      <c r="G3300" s="634" t="s">
        <v>462</v>
      </c>
      <c r="H3300" s="634">
        <v>0</v>
      </c>
      <c r="I3300" s="995"/>
      <c r="J3300" s="996"/>
      <c r="K3300" s="997"/>
      <c r="L3300" s="99"/>
      <c r="M3300" s="100"/>
    </row>
    <row r="3301" spans="4:13" ht="25" thickBot="1">
      <c r="E3301" s="629">
        <v>45455</v>
      </c>
      <c r="F3301" s="634">
        <v>0</v>
      </c>
      <c r="G3301" s="634" t="s">
        <v>462</v>
      </c>
      <c r="H3301" s="634">
        <v>3.0000000000000001E-3</v>
      </c>
      <c r="I3301" s="998"/>
      <c r="J3301" s="999"/>
      <c r="K3301" s="1000"/>
      <c r="L3301" s="102"/>
      <c r="M3301" s="103"/>
    </row>
    <row r="3302" spans="4:13" ht="25" thickBot="1">
      <c r="D3302">
        <v>6</v>
      </c>
      <c r="E3302" s="624" t="s">
        <v>30</v>
      </c>
      <c r="F3302" s="1057" t="s">
        <v>1578</v>
      </c>
      <c r="G3302" s="1058"/>
      <c r="H3302" s="1059"/>
      <c r="I3302" s="1060" t="s">
        <v>633</v>
      </c>
      <c r="J3302" s="1061"/>
      <c r="K3302" s="1062"/>
      <c r="L3302" s="158" t="s">
        <v>430</v>
      </c>
      <c r="M3302" s="105" t="s">
        <v>431</v>
      </c>
    </row>
    <row r="3303" spans="4:13" ht="24">
      <c r="E3303" s="625" t="s">
        <v>432</v>
      </c>
      <c r="F3303" s="992"/>
      <c r="G3303" s="993"/>
      <c r="H3303" s="994"/>
      <c r="I3303" s="995" t="s">
        <v>1579</v>
      </c>
      <c r="J3303" s="996"/>
      <c r="K3303" s="997"/>
      <c r="L3303" s="99"/>
      <c r="M3303" s="100"/>
    </row>
    <row r="3304" spans="4:13" ht="24">
      <c r="E3304" s="626" t="s">
        <v>433</v>
      </c>
      <c r="F3304" s="1063">
        <v>0</v>
      </c>
      <c r="G3304" s="1064"/>
      <c r="H3304" s="1065"/>
      <c r="I3304" s="995"/>
      <c r="J3304" s="996"/>
      <c r="K3304" s="997"/>
      <c r="L3304" s="99"/>
      <c r="M3304" s="100"/>
    </row>
    <row r="3305" spans="4:13" ht="25" thickBot="1">
      <c r="E3305" s="626" t="s">
        <v>434</v>
      </c>
      <c r="F3305" s="1063">
        <v>-2E-3</v>
      </c>
      <c r="G3305" s="1064"/>
      <c r="H3305" s="1065"/>
      <c r="I3305" s="995"/>
      <c r="J3305" s="996"/>
      <c r="K3305" s="997"/>
      <c r="L3305" s="99"/>
      <c r="M3305" s="100"/>
    </row>
    <row r="3306" spans="4:13" ht="25" thickBot="1">
      <c r="E3306" s="627" t="s">
        <v>435</v>
      </c>
      <c r="F3306" s="1007">
        <v>0.29166666666666674</v>
      </c>
      <c r="G3306" s="1008"/>
      <c r="H3306" s="1009"/>
      <c r="I3306" s="995"/>
      <c r="J3306" s="996"/>
      <c r="K3306" s="997"/>
      <c r="L3306" s="647">
        <v>0.52083333333333337</v>
      </c>
      <c r="M3306" s="648">
        <v>0.41666666666666674</v>
      </c>
    </row>
    <row r="3307" spans="4:13" ht="25" thickBot="1">
      <c r="E3307" s="628" t="s">
        <v>436</v>
      </c>
      <c r="F3307" s="200" t="s">
        <v>29</v>
      </c>
      <c r="G3307" s="200" t="s">
        <v>28</v>
      </c>
      <c r="H3307" s="201" t="s">
        <v>27</v>
      </c>
      <c r="I3307" s="995"/>
      <c r="J3307" s="996"/>
      <c r="K3307" s="997"/>
      <c r="L3307" s="99"/>
      <c r="M3307" s="100"/>
    </row>
    <row r="3308" spans="4:13" ht="24">
      <c r="E3308" s="629">
        <v>45688</v>
      </c>
      <c r="F3308" s="635">
        <v>-2E-3</v>
      </c>
      <c r="G3308" s="635" t="s">
        <v>462</v>
      </c>
      <c r="H3308" s="635">
        <v>5.0000000000000001E-3</v>
      </c>
      <c r="I3308" s="995"/>
      <c r="J3308" s="996"/>
      <c r="K3308" s="997"/>
      <c r="L3308" s="99"/>
      <c r="M3308" s="100"/>
    </row>
    <row r="3309" spans="4:13" ht="24">
      <c r="E3309" s="629">
        <v>45673</v>
      </c>
      <c r="F3309" s="635">
        <v>5.0000000000000001E-3</v>
      </c>
      <c r="G3309" s="635" t="s">
        <v>452</v>
      </c>
      <c r="H3309" s="635">
        <v>-2E-3</v>
      </c>
      <c r="I3309" s="995"/>
      <c r="J3309" s="996"/>
      <c r="K3309" s="997"/>
      <c r="L3309" s="99"/>
      <c r="M3309" s="100"/>
    </row>
    <row r="3310" spans="4:13" ht="24">
      <c r="E3310" s="629">
        <v>45663</v>
      </c>
      <c r="F3310" s="635">
        <v>4.0000000000000001E-3</v>
      </c>
      <c r="G3310" s="635" t="s">
        <v>467</v>
      </c>
      <c r="H3310" s="635">
        <v>-2E-3</v>
      </c>
      <c r="I3310" s="995"/>
      <c r="J3310" s="996"/>
      <c r="K3310" s="997"/>
      <c r="L3310" s="649"/>
      <c r="M3310" s="100"/>
    </row>
    <row r="3311" spans="4:13" ht="24">
      <c r="E3311" s="629">
        <v>45636</v>
      </c>
      <c r="F3311" s="635">
        <v>-2E-3</v>
      </c>
      <c r="G3311" s="635" t="s">
        <v>461</v>
      </c>
      <c r="H3311" s="635">
        <v>4.0000000000000001E-3</v>
      </c>
      <c r="I3311" s="995"/>
      <c r="J3311" s="996"/>
      <c r="K3311" s="997"/>
      <c r="L3311" s="99"/>
      <c r="M3311" s="100"/>
    </row>
    <row r="3312" spans="4:13" ht="24">
      <c r="E3312" s="629">
        <v>45624</v>
      </c>
      <c r="F3312" s="635">
        <v>-2E-3</v>
      </c>
      <c r="G3312" s="635" t="s">
        <v>461</v>
      </c>
      <c r="H3312" s="635">
        <v>4.0000000000000001E-3</v>
      </c>
      <c r="I3312" s="995"/>
      <c r="J3312" s="996"/>
      <c r="K3312" s="997"/>
      <c r="L3312" s="99"/>
      <c r="M3312" s="100"/>
    </row>
    <row r="3313" spans="4:13" ht="25" thickBot="1">
      <c r="E3313" s="629">
        <v>45608</v>
      </c>
      <c r="F3313" s="635">
        <v>4.0000000000000001E-3</v>
      </c>
      <c r="G3313" s="635" t="s">
        <v>452</v>
      </c>
      <c r="H3313" s="635">
        <v>0</v>
      </c>
      <c r="I3313" s="998"/>
      <c r="J3313" s="999"/>
      <c r="K3313" s="1000"/>
      <c r="L3313" s="102"/>
      <c r="M3313" s="103"/>
    </row>
    <row r="3314" spans="4:13" ht="25" thickBot="1">
      <c r="D3314">
        <v>7</v>
      </c>
      <c r="E3314" s="624" t="s">
        <v>30</v>
      </c>
      <c r="F3314" s="1057" t="s">
        <v>14</v>
      </c>
      <c r="G3314" s="1058"/>
      <c r="H3314" s="1059"/>
      <c r="I3314" s="1060" t="s">
        <v>633</v>
      </c>
      <c r="J3314" s="1061"/>
      <c r="K3314" s="1062"/>
      <c r="L3314" s="158" t="s">
        <v>430</v>
      </c>
      <c r="M3314" s="105" t="s">
        <v>431</v>
      </c>
    </row>
    <row r="3315" spans="4:13" ht="24">
      <c r="E3315" s="625" t="s">
        <v>432</v>
      </c>
      <c r="F3315" s="992"/>
      <c r="G3315" s="993"/>
      <c r="H3315" s="994"/>
      <c r="I3315" s="995" t="s">
        <v>1580</v>
      </c>
      <c r="J3315" s="996"/>
      <c r="K3315" s="997"/>
      <c r="L3315" s="99"/>
      <c r="M3315" s="100"/>
    </row>
    <row r="3316" spans="4:13" ht="24">
      <c r="E3316" s="626" t="s">
        <v>433</v>
      </c>
      <c r="F3316" s="1076">
        <v>0</v>
      </c>
      <c r="G3316" s="1064"/>
      <c r="H3316" s="1065"/>
      <c r="I3316" s="995"/>
      <c r="J3316" s="996"/>
      <c r="K3316" s="997"/>
      <c r="L3316" s="99"/>
      <c r="M3316" s="100"/>
    </row>
    <row r="3317" spans="4:13" ht="25" thickBot="1">
      <c r="E3317" s="626" t="s">
        <v>434</v>
      </c>
      <c r="F3317" s="1063">
        <v>0</v>
      </c>
      <c r="G3317" s="1064"/>
      <c r="H3317" s="1065"/>
      <c r="I3317" s="995"/>
      <c r="J3317" s="996"/>
      <c r="K3317" s="997"/>
      <c r="L3317" s="99"/>
      <c r="M3317" s="100"/>
    </row>
    <row r="3318" spans="4:13" ht="25" thickBot="1">
      <c r="E3318" s="627" t="s">
        <v>435</v>
      </c>
      <c r="F3318" s="1007">
        <v>0.5625</v>
      </c>
      <c r="G3318" s="1008"/>
      <c r="H3318" s="1009"/>
      <c r="I3318" s="995"/>
      <c r="J3318" s="996"/>
      <c r="K3318" s="997"/>
      <c r="L3318" s="647">
        <v>0.79166666666666663</v>
      </c>
      <c r="M3318" s="648">
        <v>0.64583333333333326</v>
      </c>
    </row>
    <row r="3319" spans="4:13" ht="25" thickBot="1">
      <c r="E3319" s="628" t="s">
        <v>436</v>
      </c>
      <c r="F3319" s="200" t="s">
        <v>29</v>
      </c>
      <c r="G3319" s="200" t="s">
        <v>28</v>
      </c>
      <c r="H3319" s="201" t="s">
        <v>27</v>
      </c>
      <c r="I3319" s="995"/>
      <c r="J3319" s="996"/>
      <c r="K3319" s="997"/>
      <c r="L3319" s="99"/>
      <c r="M3319" s="100"/>
    </row>
    <row r="3320" spans="4:13" ht="24">
      <c r="E3320" s="629">
        <v>45694</v>
      </c>
      <c r="F3320" s="634" t="s">
        <v>1090</v>
      </c>
      <c r="G3320" s="634" t="s">
        <v>1439</v>
      </c>
      <c r="H3320" s="634" t="s">
        <v>1612</v>
      </c>
      <c r="I3320" s="995"/>
      <c r="J3320" s="996"/>
      <c r="K3320" s="997"/>
      <c r="L3320" s="99"/>
      <c r="M3320" s="100"/>
    </row>
    <row r="3321" spans="4:13" ht="24">
      <c r="E3321" s="629">
        <v>45687</v>
      </c>
      <c r="F3321" s="634" t="s">
        <v>1612</v>
      </c>
      <c r="G3321" s="634" t="s">
        <v>1032</v>
      </c>
      <c r="H3321" s="634" t="s">
        <v>973</v>
      </c>
      <c r="I3321" s="995"/>
      <c r="J3321" s="996"/>
      <c r="K3321" s="997"/>
      <c r="L3321" s="99"/>
      <c r="M3321" s="100"/>
    </row>
    <row r="3322" spans="4:13" ht="24">
      <c r="E3322" s="629">
        <v>45680</v>
      </c>
      <c r="F3322" s="634" t="s">
        <v>973</v>
      </c>
      <c r="G3322" s="634" t="s">
        <v>972</v>
      </c>
      <c r="H3322" s="634" t="s">
        <v>1031</v>
      </c>
      <c r="I3322" s="995"/>
      <c r="J3322" s="996"/>
      <c r="K3322" s="997"/>
      <c r="L3322" s="649"/>
      <c r="M3322" s="100"/>
    </row>
    <row r="3323" spans="4:13" ht="24">
      <c r="E3323" s="629">
        <v>45673</v>
      </c>
      <c r="F3323" s="634" t="s">
        <v>1031</v>
      </c>
      <c r="G3323" s="634" t="s">
        <v>1554</v>
      </c>
      <c r="H3323" s="634" t="s">
        <v>1555</v>
      </c>
      <c r="I3323" s="995"/>
      <c r="J3323" s="996"/>
      <c r="K3323" s="997"/>
      <c r="L3323" s="99"/>
      <c r="M3323" s="100"/>
    </row>
    <row r="3324" spans="4:13" ht="24">
      <c r="E3324" s="629">
        <v>45665</v>
      </c>
      <c r="F3324" s="634" t="s">
        <v>1438</v>
      </c>
      <c r="G3324" s="634" t="s">
        <v>1439</v>
      </c>
      <c r="H3324" s="634" t="s">
        <v>1440</v>
      </c>
      <c r="I3324" s="995"/>
      <c r="J3324" s="996"/>
      <c r="K3324" s="997"/>
      <c r="L3324" s="99"/>
      <c r="M3324" s="100"/>
    </row>
    <row r="3325" spans="4:13" ht="25" thickBot="1">
      <c r="E3325" s="629">
        <v>45659</v>
      </c>
      <c r="F3325" s="634" t="s">
        <v>1440</v>
      </c>
      <c r="G3325" s="634" t="s">
        <v>986</v>
      </c>
      <c r="H3325" s="634" t="s">
        <v>1112</v>
      </c>
      <c r="I3325" s="998"/>
      <c r="J3325" s="999"/>
      <c r="K3325" s="1000"/>
      <c r="L3325" s="102"/>
      <c r="M3325" s="103"/>
    </row>
    <row r="3326" spans="4:13" ht="25" thickBot="1">
      <c r="D3326">
        <v>8</v>
      </c>
      <c r="E3326" s="624" t="s">
        <v>30</v>
      </c>
      <c r="F3326" s="1057" t="s">
        <v>1581</v>
      </c>
      <c r="G3326" s="1058"/>
      <c r="H3326" s="1059"/>
      <c r="I3326" s="1060" t="s">
        <v>633</v>
      </c>
      <c r="J3326" s="1061"/>
      <c r="K3326" s="1062"/>
      <c r="L3326" s="158" t="s">
        <v>430</v>
      </c>
      <c r="M3326" s="105" t="s">
        <v>431</v>
      </c>
    </row>
    <row r="3327" spans="4:13" ht="24">
      <c r="E3327" s="625" t="s">
        <v>432</v>
      </c>
      <c r="F3327" s="992"/>
      <c r="G3327" s="993"/>
      <c r="H3327" s="994"/>
      <c r="I3327" s="995" t="s">
        <v>1582</v>
      </c>
      <c r="J3327" s="996"/>
      <c r="K3327" s="997"/>
      <c r="L3327" s="99"/>
      <c r="M3327" s="100"/>
    </row>
    <row r="3328" spans="4:13" ht="24">
      <c r="E3328" s="626" t="s">
        <v>433</v>
      </c>
      <c r="F3328" s="1075">
        <v>0</v>
      </c>
      <c r="G3328" s="1073"/>
      <c r="H3328" s="1074"/>
      <c r="I3328" s="995"/>
      <c r="J3328" s="996"/>
      <c r="K3328" s="997"/>
      <c r="L3328" s="99"/>
      <c r="M3328" s="100"/>
    </row>
    <row r="3329" spans="4:13" ht="25" thickBot="1">
      <c r="E3329" s="626" t="s">
        <v>434</v>
      </c>
      <c r="F3329" s="1063">
        <v>2E-3</v>
      </c>
      <c r="G3329" s="1064"/>
      <c r="H3329" s="1065"/>
      <c r="I3329" s="995"/>
      <c r="J3329" s="996"/>
      <c r="K3329" s="997"/>
      <c r="L3329" s="99"/>
      <c r="M3329" s="100"/>
    </row>
    <row r="3330" spans="4:13" ht="25" thickBot="1">
      <c r="E3330" s="627" t="s">
        <v>435</v>
      </c>
      <c r="F3330" s="1007">
        <v>0.5625</v>
      </c>
      <c r="G3330" s="1008"/>
      <c r="H3330" s="1009"/>
      <c r="I3330" s="995"/>
      <c r="J3330" s="996"/>
      <c r="K3330" s="997"/>
      <c r="L3330" s="647">
        <v>0.79166666666666663</v>
      </c>
      <c r="M3330" s="648">
        <v>0.64583333333333326</v>
      </c>
    </row>
    <row r="3331" spans="4:13" ht="25" thickBot="1">
      <c r="E3331" s="628" t="s">
        <v>436</v>
      </c>
      <c r="F3331" s="200" t="s">
        <v>29</v>
      </c>
      <c r="G3331" s="200" t="s">
        <v>28</v>
      </c>
      <c r="H3331" s="201" t="s">
        <v>27</v>
      </c>
      <c r="I3331" s="995"/>
      <c r="J3331" s="996"/>
      <c r="K3331" s="997"/>
      <c r="L3331" s="99"/>
      <c r="M3331" s="100"/>
    </row>
    <row r="3332" spans="4:13" ht="24">
      <c r="E3332" s="629">
        <v>45671</v>
      </c>
      <c r="F3332" s="635">
        <v>2E-3</v>
      </c>
      <c r="G3332" s="635" t="s">
        <v>452</v>
      </c>
      <c r="H3332" s="635">
        <v>4.0000000000000001E-3</v>
      </c>
      <c r="I3332" s="995"/>
      <c r="J3332" s="996"/>
      <c r="K3332" s="997"/>
      <c r="L3332" s="99"/>
      <c r="M3332" s="100"/>
    </row>
    <row r="3333" spans="4:13" ht="24">
      <c r="E3333" s="629">
        <v>45638</v>
      </c>
      <c r="F3333" s="635">
        <v>4.0000000000000001E-3</v>
      </c>
      <c r="G3333" s="635" t="s">
        <v>460</v>
      </c>
      <c r="H3333" s="635">
        <v>3.0000000000000001E-3</v>
      </c>
      <c r="I3333" s="995"/>
      <c r="J3333" s="996"/>
      <c r="K3333" s="997"/>
      <c r="L3333" s="99"/>
      <c r="M3333" s="100"/>
    </row>
    <row r="3334" spans="4:13" ht="24">
      <c r="E3334" s="629">
        <v>45610</v>
      </c>
      <c r="F3334" s="635">
        <v>2E-3</v>
      </c>
      <c r="G3334" s="635" t="s">
        <v>460</v>
      </c>
      <c r="H3334" s="635">
        <v>1E-3</v>
      </c>
      <c r="I3334" s="995"/>
      <c r="J3334" s="996"/>
      <c r="K3334" s="997"/>
      <c r="L3334" s="649"/>
      <c r="M3334" s="100"/>
    </row>
    <row r="3335" spans="4:13" ht="24">
      <c r="E3335" s="629">
        <v>45576</v>
      </c>
      <c r="F3335" s="635">
        <v>0</v>
      </c>
      <c r="G3335" s="635" t="s">
        <v>462</v>
      </c>
      <c r="H3335" s="635">
        <v>2E-3</v>
      </c>
      <c r="I3335" s="995"/>
      <c r="J3335" s="996"/>
      <c r="K3335" s="997"/>
      <c r="L3335" s="99"/>
      <c r="M3335" s="100"/>
    </row>
    <row r="3336" spans="4:13" ht="24">
      <c r="E3336" s="629">
        <v>45547</v>
      </c>
      <c r="F3336" s="635">
        <v>2E-3</v>
      </c>
      <c r="G3336" s="635" t="s">
        <v>462</v>
      </c>
      <c r="H3336" s="635">
        <v>0</v>
      </c>
      <c r="I3336" s="995"/>
      <c r="J3336" s="996"/>
      <c r="K3336" s="997"/>
      <c r="L3336" s="99"/>
      <c r="M3336" s="100"/>
    </row>
    <row r="3337" spans="4:13" ht="25" thickBot="1">
      <c r="E3337" s="629">
        <v>45517</v>
      </c>
      <c r="F3337" s="635">
        <v>1E-3</v>
      </c>
      <c r="G3337" s="635" t="s">
        <v>460</v>
      </c>
      <c r="H3337" s="635">
        <v>2E-3</v>
      </c>
      <c r="I3337" s="998"/>
      <c r="J3337" s="999"/>
      <c r="K3337" s="1000"/>
      <c r="L3337" s="102"/>
      <c r="M3337" s="103"/>
    </row>
    <row r="3338" spans="4:13" ht="25" thickBot="1">
      <c r="D3338">
        <v>9</v>
      </c>
      <c r="E3338" s="624" t="s">
        <v>30</v>
      </c>
      <c r="F3338" s="1057" t="s">
        <v>927</v>
      </c>
      <c r="G3338" s="1058"/>
      <c r="H3338" s="1059"/>
      <c r="I3338" s="1060" t="s">
        <v>633</v>
      </c>
      <c r="J3338" s="1061"/>
      <c r="K3338" s="1062"/>
      <c r="L3338" s="158" t="s">
        <v>430</v>
      </c>
      <c r="M3338" s="105" t="s">
        <v>431</v>
      </c>
    </row>
    <row r="3339" spans="4:13" ht="24">
      <c r="E3339" s="625" t="s">
        <v>432</v>
      </c>
      <c r="F3339" s="992"/>
      <c r="G3339" s="993"/>
      <c r="H3339" s="994"/>
      <c r="I3339" s="995" t="s">
        <v>1583</v>
      </c>
      <c r="J3339" s="996"/>
      <c r="K3339" s="997"/>
      <c r="L3339" s="99"/>
      <c r="M3339" s="100"/>
    </row>
    <row r="3340" spans="4:13" ht="24">
      <c r="E3340" s="626" t="s">
        <v>433</v>
      </c>
      <c r="F3340" s="1075">
        <v>0</v>
      </c>
      <c r="G3340" s="1073"/>
      <c r="H3340" s="1074"/>
      <c r="I3340" s="995"/>
      <c r="J3340" s="996"/>
      <c r="K3340" s="997"/>
      <c r="L3340" s="99"/>
      <c r="M3340" s="100"/>
    </row>
    <row r="3341" spans="4:13" ht="25" thickBot="1">
      <c r="E3341" s="626" t="s">
        <v>434</v>
      </c>
      <c r="F3341" s="1063">
        <v>4.913E-2</v>
      </c>
      <c r="G3341" s="1064"/>
      <c r="H3341" s="1065"/>
      <c r="I3341" s="995"/>
      <c r="J3341" s="996"/>
      <c r="K3341" s="997"/>
      <c r="L3341" s="99"/>
      <c r="M3341" s="100"/>
    </row>
    <row r="3342" spans="4:13" ht="25" thickBot="1">
      <c r="E3342" s="627" t="s">
        <v>435</v>
      </c>
      <c r="F3342" s="1007">
        <v>0.75</v>
      </c>
      <c r="G3342" s="1008"/>
      <c r="H3342" s="1009"/>
      <c r="I3342" s="995"/>
      <c r="J3342" s="996"/>
      <c r="K3342" s="997"/>
      <c r="L3342" s="647">
        <v>0.97916666666666663</v>
      </c>
      <c r="M3342" s="648">
        <v>0.83333333333333326</v>
      </c>
    </row>
    <row r="3343" spans="4:13" ht="25" thickBot="1">
      <c r="E3343" s="628" t="s">
        <v>436</v>
      </c>
      <c r="F3343" s="200" t="s">
        <v>29</v>
      </c>
      <c r="G3343" s="200" t="s">
        <v>28</v>
      </c>
      <c r="H3343" s="201" t="s">
        <v>27</v>
      </c>
      <c r="I3343" s="995"/>
      <c r="J3343" s="996"/>
      <c r="K3343" s="997"/>
      <c r="L3343" s="99"/>
      <c r="M3343" s="100"/>
    </row>
    <row r="3344" spans="4:13" ht="24">
      <c r="E3344" s="629">
        <v>45665</v>
      </c>
      <c r="F3344" s="651">
        <v>4.913E-2</v>
      </c>
      <c r="G3344" s="651" t="s">
        <v>754</v>
      </c>
      <c r="H3344" s="651">
        <v>4.5350000000000001E-2</v>
      </c>
      <c r="I3344" s="995"/>
      <c r="J3344" s="996"/>
      <c r="K3344" s="997"/>
      <c r="L3344" s="99"/>
      <c r="M3344" s="100"/>
    </row>
    <row r="3345" spans="4:13" ht="24">
      <c r="E3345" s="629">
        <v>45638</v>
      </c>
      <c r="F3345" s="651">
        <v>4.5350000000000001E-2</v>
      </c>
      <c r="G3345" s="651" t="s">
        <v>754</v>
      </c>
      <c r="H3345" s="651">
        <v>4.6080000000000003E-2</v>
      </c>
      <c r="I3345" s="995"/>
      <c r="J3345" s="996"/>
      <c r="K3345" s="997"/>
      <c r="L3345" s="99"/>
      <c r="M3345" s="100"/>
    </row>
    <row r="3346" spans="4:13" ht="24">
      <c r="E3346" s="629">
        <v>45602</v>
      </c>
      <c r="F3346" s="651">
        <v>4.6080000000000003E-2</v>
      </c>
      <c r="G3346" s="651" t="s">
        <v>754</v>
      </c>
      <c r="H3346" s="651">
        <v>4.3889999999999998E-2</v>
      </c>
      <c r="I3346" s="995"/>
      <c r="J3346" s="996"/>
      <c r="K3346" s="997"/>
      <c r="L3346" s="649"/>
      <c r="M3346" s="100"/>
    </row>
    <row r="3347" spans="4:13" ht="24">
      <c r="E3347" s="629">
        <v>45575</v>
      </c>
      <c r="F3347" s="651">
        <v>4.3889999999999998E-2</v>
      </c>
      <c r="G3347" s="651" t="s">
        <v>754</v>
      </c>
      <c r="H3347" s="651">
        <v>4.0149999999999998E-2</v>
      </c>
      <c r="I3347" s="995"/>
      <c r="J3347" s="996"/>
      <c r="K3347" s="997"/>
      <c r="L3347" s="99"/>
      <c r="M3347" s="100"/>
    </row>
    <row r="3348" spans="4:13" ht="24">
      <c r="E3348" s="629">
        <v>45547</v>
      </c>
      <c r="F3348" s="651">
        <v>4.0149999999999998E-2</v>
      </c>
      <c r="G3348" s="651" t="s">
        <v>754</v>
      </c>
      <c r="H3348" s="651">
        <v>4.3139999999999998E-2</v>
      </c>
      <c r="I3348" s="995"/>
      <c r="J3348" s="996"/>
      <c r="K3348" s="997"/>
      <c r="L3348" s="99"/>
      <c r="M3348" s="100"/>
    </row>
    <row r="3349" spans="4:13" ht="25" thickBot="1">
      <c r="E3349" s="629">
        <v>45512</v>
      </c>
      <c r="F3349" s="651">
        <v>4.3139999999999998E-2</v>
      </c>
      <c r="G3349" s="651" t="s">
        <v>754</v>
      </c>
      <c r="H3349" s="651">
        <v>4.4049999999999999E-2</v>
      </c>
      <c r="I3349" s="998"/>
      <c r="J3349" s="999"/>
      <c r="K3349" s="1000"/>
      <c r="L3349" s="102"/>
      <c r="M3349" s="103"/>
    </row>
    <row r="3350" spans="4:13" ht="25" thickBot="1">
      <c r="D3350">
        <v>10</v>
      </c>
      <c r="E3350" s="624" t="s">
        <v>30</v>
      </c>
      <c r="F3350" s="1057" t="s">
        <v>1584</v>
      </c>
      <c r="G3350" s="1058"/>
      <c r="H3350" s="1059"/>
      <c r="I3350" s="1060" t="s">
        <v>633</v>
      </c>
      <c r="J3350" s="1061"/>
      <c r="K3350" s="1062"/>
      <c r="L3350" s="158" t="s">
        <v>430</v>
      </c>
      <c r="M3350" s="105" t="s">
        <v>431</v>
      </c>
    </row>
    <row r="3351" spans="4:13" ht="24">
      <c r="E3351" s="625" t="s">
        <v>432</v>
      </c>
      <c r="F3351" s="992"/>
      <c r="G3351" s="993"/>
      <c r="H3351" s="994"/>
      <c r="I3351" s="995" t="s">
        <v>1585</v>
      </c>
      <c r="J3351" s="996"/>
      <c r="K3351" s="997"/>
      <c r="L3351" s="99"/>
      <c r="M3351" s="100"/>
    </row>
    <row r="3352" spans="4:13" ht="24">
      <c r="E3352" s="626" t="s">
        <v>433</v>
      </c>
      <c r="F3352" s="1072">
        <v>0</v>
      </c>
      <c r="G3352" s="1073"/>
      <c r="H3352" s="1074"/>
      <c r="I3352" s="995"/>
      <c r="J3352" s="996"/>
      <c r="K3352" s="997"/>
      <c r="L3352" s="99"/>
      <c r="M3352" s="100"/>
    </row>
    <row r="3353" spans="4:13" ht="25" thickBot="1">
      <c r="E3353" s="626" t="s">
        <v>434</v>
      </c>
      <c r="F3353" s="1063">
        <v>0</v>
      </c>
      <c r="G3353" s="1064"/>
      <c r="H3353" s="1065"/>
      <c r="I3353" s="995"/>
      <c r="J3353" s="996"/>
      <c r="K3353" s="997"/>
      <c r="L3353" s="99"/>
      <c r="M3353" s="100"/>
    </row>
    <row r="3354" spans="4:13" ht="25" thickBot="1">
      <c r="E3354" s="627" t="s">
        <v>435</v>
      </c>
      <c r="F3354" s="1007">
        <v>0.41666666666666674</v>
      </c>
      <c r="G3354" s="1008"/>
      <c r="H3354" s="1009"/>
      <c r="I3354" s="995"/>
      <c r="J3354" s="996"/>
      <c r="K3354" s="997"/>
      <c r="L3354" s="647">
        <v>0.64583333333333337</v>
      </c>
      <c r="M3354" s="648">
        <v>0.5</v>
      </c>
    </row>
    <row r="3355" spans="4:13" ht="25" thickBot="1">
      <c r="E3355" s="628" t="s">
        <v>436</v>
      </c>
      <c r="F3355" s="200" t="s">
        <v>29</v>
      </c>
      <c r="G3355" s="200" t="s">
        <v>28</v>
      </c>
      <c r="H3355" s="201" t="s">
        <v>27</v>
      </c>
      <c r="I3355" s="995"/>
      <c r="J3355" s="996"/>
      <c r="K3355" s="997"/>
      <c r="L3355" s="99"/>
      <c r="M3355" s="100"/>
    </row>
    <row r="3356" spans="4:13" ht="24">
      <c r="E3356" s="629">
        <v>45687</v>
      </c>
      <c r="F3356" s="635">
        <v>0</v>
      </c>
      <c r="G3356" s="635" t="s">
        <v>462</v>
      </c>
      <c r="H3356" s="635">
        <v>4.0000000000000001E-3</v>
      </c>
      <c r="I3356" s="995"/>
      <c r="J3356" s="996"/>
      <c r="K3356" s="997"/>
      <c r="L3356" s="99"/>
      <c r="M3356" s="100"/>
    </row>
    <row r="3357" spans="4:13" ht="24">
      <c r="E3357" s="629">
        <v>45632</v>
      </c>
      <c r="F3357" s="635">
        <v>4.0000000000000001E-3</v>
      </c>
      <c r="G3357" s="635" t="s">
        <v>452</v>
      </c>
      <c r="H3357" s="635">
        <v>4.0000000000000001E-3</v>
      </c>
      <c r="I3357" s="995"/>
      <c r="J3357" s="996"/>
      <c r="K3357" s="997"/>
      <c r="L3357" s="99"/>
      <c r="M3357" s="100"/>
    </row>
    <row r="3358" spans="4:13" ht="24">
      <c r="E3358" s="629">
        <v>45610</v>
      </c>
      <c r="F3358" s="635">
        <v>4.0000000000000001E-3</v>
      </c>
      <c r="G3358" s="635" t="s">
        <v>452</v>
      </c>
      <c r="H3358" s="635">
        <v>4.0000000000000001E-3</v>
      </c>
      <c r="I3358" s="995"/>
      <c r="J3358" s="996"/>
      <c r="K3358" s="997"/>
      <c r="L3358" s="649"/>
      <c r="M3358" s="100"/>
    </row>
    <row r="3359" spans="4:13" ht="24">
      <c r="E3359" s="629">
        <v>45595</v>
      </c>
      <c r="F3359" s="635">
        <v>4.0000000000000001E-3</v>
      </c>
      <c r="G3359" s="635" t="s">
        <v>460</v>
      </c>
      <c r="H3359" s="635">
        <v>2E-3</v>
      </c>
      <c r="I3359" s="995"/>
      <c r="J3359" s="996"/>
      <c r="K3359" s="997"/>
      <c r="L3359" s="99"/>
      <c r="M3359" s="100"/>
    </row>
    <row r="3360" spans="4:13" ht="24">
      <c r="E3360" s="629">
        <v>45541</v>
      </c>
      <c r="F3360" s="635">
        <v>2E-3</v>
      </c>
      <c r="G3360" s="635" t="s">
        <v>467</v>
      </c>
      <c r="H3360" s="635">
        <v>3.0000000000000001E-3</v>
      </c>
      <c r="I3360" s="995"/>
      <c r="J3360" s="996"/>
      <c r="K3360" s="997"/>
      <c r="L3360" s="99"/>
      <c r="M3360" s="100"/>
    </row>
    <row r="3361" spans="4:13" ht="25" thickBot="1">
      <c r="E3361" s="629">
        <v>45518</v>
      </c>
      <c r="F3361" s="635">
        <v>3.0000000000000001E-3</v>
      </c>
      <c r="G3361" s="635" t="s">
        <v>467</v>
      </c>
      <c r="H3361" s="635">
        <v>3.0000000000000001E-3</v>
      </c>
      <c r="I3361" s="998"/>
      <c r="J3361" s="999"/>
      <c r="K3361" s="1000"/>
      <c r="L3361" s="102"/>
      <c r="M3361" s="103"/>
    </row>
    <row r="3362" spans="4:13" ht="25" thickBot="1">
      <c r="D3362">
        <v>9</v>
      </c>
      <c r="E3362" s="624" t="s">
        <v>30</v>
      </c>
      <c r="F3362" s="1057" t="s">
        <v>1586</v>
      </c>
      <c r="G3362" s="1058"/>
      <c r="H3362" s="1059"/>
      <c r="I3362" s="1060" t="s">
        <v>633</v>
      </c>
      <c r="J3362" s="1061"/>
      <c r="K3362" s="1062"/>
      <c r="L3362" s="158" t="s">
        <v>430</v>
      </c>
      <c r="M3362" s="105" t="s">
        <v>431</v>
      </c>
    </row>
    <row r="3363" spans="4:13" ht="24">
      <c r="D3363" s="89"/>
      <c r="E3363" s="625" t="s">
        <v>432</v>
      </c>
      <c r="F3363" s="992"/>
      <c r="G3363" s="993"/>
      <c r="H3363" s="994"/>
      <c r="I3363" s="995" t="s">
        <v>1587</v>
      </c>
      <c r="J3363" s="996"/>
      <c r="K3363" s="997"/>
      <c r="L3363" s="99"/>
      <c r="M3363" s="100"/>
    </row>
    <row r="3364" spans="4:13" ht="24">
      <c r="D3364" s="89"/>
      <c r="E3364" s="626" t="s">
        <v>433</v>
      </c>
      <c r="F3364" s="1063">
        <v>0</v>
      </c>
      <c r="G3364" s="1064"/>
      <c r="H3364" s="1065"/>
      <c r="I3364" s="995"/>
      <c r="J3364" s="996"/>
      <c r="K3364" s="997"/>
      <c r="L3364" s="99"/>
      <c r="M3364" s="100"/>
    </row>
    <row r="3365" spans="4:13" ht="25" thickBot="1">
      <c r="D3365" s="89"/>
      <c r="E3365" s="626" t="s">
        <v>434</v>
      </c>
      <c r="F3365" s="1063">
        <v>4.0000000000000001E-3</v>
      </c>
      <c r="G3365" s="1064"/>
      <c r="H3365" s="1065"/>
      <c r="I3365" s="995"/>
      <c r="J3365" s="996"/>
      <c r="K3365" s="997"/>
      <c r="L3365" s="99"/>
      <c r="M3365" s="100"/>
    </row>
    <row r="3366" spans="4:13" ht="25" thickBot="1">
      <c r="D3366" s="89"/>
      <c r="E3366" s="627" t="s">
        <v>435</v>
      </c>
      <c r="F3366" s="1007">
        <v>0.5625</v>
      </c>
      <c r="G3366" s="1008"/>
      <c r="H3366" s="1009"/>
      <c r="I3366" s="995"/>
      <c r="J3366" s="996"/>
      <c r="K3366" s="997"/>
      <c r="L3366" s="647">
        <v>0.79166666666666663</v>
      </c>
      <c r="M3366" s="648">
        <v>0.64583333333333326</v>
      </c>
    </row>
    <row r="3367" spans="4:13" ht="25" thickBot="1">
      <c r="D3367" s="89"/>
      <c r="E3367" s="628" t="s">
        <v>436</v>
      </c>
      <c r="F3367" s="200" t="s">
        <v>29</v>
      </c>
      <c r="G3367" s="200" t="s">
        <v>28</v>
      </c>
      <c r="H3367" s="201" t="s">
        <v>27</v>
      </c>
      <c r="I3367" s="995"/>
      <c r="J3367" s="996"/>
      <c r="K3367" s="997"/>
      <c r="L3367" s="99"/>
      <c r="M3367" s="100"/>
    </row>
    <row r="3368" spans="4:13" ht="24">
      <c r="D3368" s="89"/>
      <c r="E3368" s="629">
        <v>45673</v>
      </c>
      <c r="F3368" s="635">
        <v>4.0000000000000001E-3</v>
      </c>
      <c r="G3368" s="635" t="s">
        <v>903</v>
      </c>
      <c r="H3368" s="635">
        <v>2E-3</v>
      </c>
      <c r="I3368" s="995"/>
      <c r="J3368" s="996"/>
      <c r="K3368" s="997"/>
      <c r="L3368" s="99"/>
      <c r="M3368" s="100"/>
    </row>
    <row r="3369" spans="4:13" ht="24">
      <c r="D3369" s="89"/>
      <c r="E3369" s="629">
        <v>45643</v>
      </c>
      <c r="F3369" s="635">
        <v>2E-3</v>
      </c>
      <c r="G3369" s="635" t="s">
        <v>452</v>
      </c>
      <c r="H3369" s="635">
        <v>2E-3</v>
      </c>
      <c r="I3369" s="995"/>
      <c r="J3369" s="996"/>
      <c r="K3369" s="997"/>
      <c r="L3369" s="99"/>
      <c r="M3369" s="100"/>
    </row>
    <row r="3370" spans="4:13" ht="24">
      <c r="D3370" s="89"/>
      <c r="E3370" s="629">
        <v>45611</v>
      </c>
      <c r="F3370" s="635">
        <v>1E-3</v>
      </c>
      <c r="G3370" s="635" t="s">
        <v>467</v>
      </c>
      <c r="H3370" s="635">
        <v>0.01</v>
      </c>
      <c r="I3370" s="995"/>
      <c r="J3370" s="996"/>
      <c r="K3370" s="997"/>
      <c r="L3370" s="649"/>
      <c r="M3370" s="100"/>
    </row>
    <row r="3371" spans="4:13" ht="24">
      <c r="D3371" s="89"/>
      <c r="E3371" s="629">
        <v>45582</v>
      </c>
      <c r="F3371" s="635">
        <v>5.0000000000000001E-3</v>
      </c>
      <c r="G3371" s="635" t="s">
        <v>462</v>
      </c>
      <c r="H3371" s="635">
        <v>2E-3</v>
      </c>
      <c r="I3371" s="995"/>
      <c r="J3371" s="996"/>
      <c r="K3371" s="997"/>
      <c r="L3371" s="99"/>
      <c r="M3371" s="100"/>
    </row>
    <row r="3372" spans="4:13" ht="24">
      <c r="D3372" s="89"/>
      <c r="E3372" s="629">
        <v>45552</v>
      </c>
      <c r="F3372" s="635">
        <v>1E-3</v>
      </c>
      <c r="G3372" s="635" t="s">
        <v>460</v>
      </c>
      <c r="H3372" s="635">
        <v>4.0000000000000001E-3</v>
      </c>
      <c r="I3372" s="995"/>
      <c r="J3372" s="996"/>
      <c r="K3372" s="997"/>
      <c r="L3372" s="99"/>
      <c r="M3372" s="100"/>
    </row>
    <row r="3373" spans="4:13" ht="25" thickBot="1">
      <c r="D3373" s="89"/>
      <c r="E3373" s="629">
        <v>45519</v>
      </c>
      <c r="F3373" s="635">
        <v>4.0000000000000001E-3</v>
      </c>
      <c r="G3373" s="635" t="s">
        <v>462</v>
      </c>
      <c r="H3373" s="635">
        <v>5.0000000000000001E-3</v>
      </c>
      <c r="I3373" s="998"/>
      <c r="J3373" s="999"/>
      <c r="K3373" s="1000"/>
      <c r="L3373" s="102"/>
      <c r="M3373" s="103"/>
    </row>
    <row r="3374" spans="4:13" ht="25" thickBot="1">
      <c r="D3374">
        <v>10</v>
      </c>
      <c r="E3374" s="624" t="s">
        <v>30</v>
      </c>
      <c r="F3374" s="1057" t="s">
        <v>1588</v>
      </c>
      <c r="G3374" s="1058"/>
      <c r="H3374" s="1059"/>
      <c r="I3374" s="1060" t="s">
        <v>633</v>
      </c>
      <c r="J3374" s="1061"/>
      <c r="K3374" s="1062"/>
      <c r="L3374" s="158" t="s">
        <v>430</v>
      </c>
      <c r="M3374" s="105" t="s">
        <v>431</v>
      </c>
    </row>
    <row r="3375" spans="4:13" ht="24">
      <c r="D3375" s="89"/>
      <c r="E3375" s="625" t="s">
        <v>432</v>
      </c>
      <c r="F3375" s="992"/>
      <c r="G3375" s="993"/>
      <c r="H3375" s="994"/>
      <c r="I3375" s="995" t="s">
        <v>1589</v>
      </c>
      <c r="J3375" s="996"/>
      <c r="K3375" s="997"/>
      <c r="L3375" s="99"/>
      <c r="M3375" s="100"/>
    </row>
    <row r="3376" spans="4:13" ht="24">
      <c r="D3376" s="89"/>
      <c r="E3376" s="626" t="s">
        <v>433</v>
      </c>
      <c r="F3376" s="1063">
        <v>0</v>
      </c>
      <c r="G3376" s="1064"/>
      <c r="H3376" s="1065"/>
      <c r="I3376" s="995"/>
      <c r="J3376" s="996"/>
      <c r="K3376" s="997"/>
      <c r="L3376" s="99"/>
      <c r="M3376" s="100"/>
    </row>
    <row r="3377" spans="3:13" ht="25" thickBot="1">
      <c r="D3377" s="89"/>
      <c r="E3377" s="626" t="s">
        <v>434</v>
      </c>
      <c r="F3377" s="1063">
        <v>4.0000000000000001E-3</v>
      </c>
      <c r="G3377" s="1064"/>
      <c r="H3377" s="1065"/>
      <c r="I3377" s="995"/>
      <c r="J3377" s="996"/>
      <c r="K3377" s="997"/>
      <c r="L3377" s="99"/>
      <c r="M3377" s="100"/>
    </row>
    <row r="3378" spans="3:13" ht="25" thickBot="1">
      <c r="D3378" s="89"/>
      <c r="E3378" s="627" t="s">
        <v>435</v>
      </c>
      <c r="F3378" s="1007">
        <v>0.5625</v>
      </c>
      <c r="G3378" s="1008"/>
      <c r="H3378" s="1009"/>
      <c r="I3378" s="995"/>
      <c r="J3378" s="996"/>
      <c r="K3378" s="997"/>
      <c r="L3378" s="647">
        <v>0.79166666666666663</v>
      </c>
      <c r="M3378" s="648">
        <v>0.64583333333333326</v>
      </c>
    </row>
    <row r="3379" spans="3:13" ht="25" thickBot="1">
      <c r="D3379" s="89"/>
      <c r="E3379" s="628" t="s">
        <v>436</v>
      </c>
      <c r="F3379" s="200" t="s">
        <v>29</v>
      </c>
      <c r="G3379" s="200" t="s">
        <v>28</v>
      </c>
      <c r="H3379" s="201" t="s">
        <v>27</v>
      </c>
      <c r="I3379" s="995"/>
      <c r="J3379" s="996"/>
      <c r="K3379" s="997"/>
      <c r="L3379" s="99"/>
      <c r="M3379" s="100"/>
    </row>
    <row r="3380" spans="3:13" ht="24">
      <c r="D3380" s="89"/>
      <c r="E3380" s="629">
        <v>45673</v>
      </c>
      <c r="F3380" s="635">
        <v>4.0000000000000001E-3</v>
      </c>
      <c r="G3380" s="635" t="s">
        <v>449</v>
      </c>
      <c r="H3380" s="635">
        <v>8.0000000000000002E-3</v>
      </c>
      <c r="I3380" s="995"/>
      <c r="J3380" s="996"/>
      <c r="K3380" s="997"/>
      <c r="L3380" s="99"/>
      <c r="M3380" s="100"/>
    </row>
    <row r="3381" spans="3:13" ht="24">
      <c r="D3381" s="89"/>
      <c r="E3381" s="629">
        <v>45643</v>
      </c>
      <c r="F3381" s="635">
        <v>7.0000000000000001E-3</v>
      </c>
      <c r="G3381" s="635" t="s">
        <v>449</v>
      </c>
      <c r="H3381" s="635">
        <v>5.0000000000000001E-3</v>
      </c>
      <c r="I3381" s="995"/>
      <c r="J3381" s="996"/>
      <c r="K3381" s="997"/>
      <c r="L3381" s="99"/>
      <c r="M3381" s="100"/>
    </row>
    <row r="3382" spans="3:13" ht="24">
      <c r="D3382" s="89"/>
      <c r="E3382" s="629">
        <v>45611</v>
      </c>
      <c r="F3382" s="635">
        <v>4.0000000000000001E-3</v>
      </c>
      <c r="G3382" s="635" t="s">
        <v>467</v>
      </c>
      <c r="H3382" s="635">
        <v>8.0000000000000002E-3</v>
      </c>
      <c r="I3382" s="995"/>
      <c r="J3382" s="996"/>
      <c r="K3382" s="997"/>
      <c r="L3382" s="649"/>
      <c r="M3382" s="100"/>
    </row>
    <row r="3383" spans="3:13" ht="24">
      <c r="D3383" s="89"/>
      <c r="E3383" s="629">
        <v>45582</v>
      </c>
      <c r="F3383" s="635">
        <v>4.0000000000000001E-3</v>
      </c>
      <c r="G3383" s="635" t="s">
        <v>467</v>
      </c>
      <c r="H3383" s="635">
        <v>1E-3</v>
      </c>
      <c r="I3383" s="995"/>
      <c r="J3383" s="996"/>
      <c r="K3383" s="997"/>
      <c r="L3383" s="99"/>
      <c r="M3383" s="100"/>
    </row>
    <row r="3384" spans="3:13" ht="24">
      <c r="D3384" s="89"/>
      <c r="E3384" s="629">
        <v>45552</v>
      </c>
      <c r="F3384" s="635">
        <v>1E-3</v>
      </c>
      <c r="G3384" s="635" t="s">
        <v>461</v>
      </c>
      <c r="H3384" s="635">
        <v>1.0999999999999999E-2</v>
      </c>
      <c r="I3384" s="995"/>
      <c r="J3384" s="996"/>
      <c r="K3384" s="997"/>
      <c r="L3384" s="99"/>
      <c r="M3384" s="100"/>
    </row>
    <row r="3385" spans="3:13" ht="25" thickBot="1">
      <c r="D3385" s="89"/>
      <c r="E3385" s="629">
        <v>45519</v>
      </c>
      <c r="F3385" s="635">
        <v>0.01</v>
      </c>
      <c r="G3385" s="635" t="s">
        <v>452</v>
      </c>
      <c r="H3385" s="635">
        <v>-2E-3</v>
      </c>
      <c r="I3385" s="998"/>
      <c r="J3385" s="999"/>
      <c r="K3385" s="1000"/>
      <c r="L3385" s="102"/>
      <c r="M3385" s="103"/>
    </row>
    <row r="3386" spans="3:13" ht="25" thickBot="1">
      <c r="C3386" t="s">
        <v>105</v>
      </c>
      <c r="D3386" t="s">
        <v>105</v>
      </c>
      <c r="E3386" s="624" t="s">
        <v>30</v>
      </c>
      <c r="F3386" s="1057" t="s">
        <v>1615</v>
      </c>
      <c r="G3386" s="1058"/>
      <c r="H3386" s="1059"/>
      <c r="I3386" s="1060" t="s">
        <v>633</v>
      </c>
      <c r="J3386" s="1061"/>
      <c r="K3386" s="1062"/>
      <c r="L3386" s="158" t="s">
        <v>430</v>
      </c>
      <c r="M3386" s="105" t="s">
        <v>431</v>
      </c>
    </row>
    <row r="3387" spans="3:13" ht="24">
      <c r="E3387" s="625" t="s">
        <v>432</v>
      </c>
      <c r="F3387" s="992"/>
      <c r="G3387" s="993"/>
      <c r="H3387" s="994"/>
      <c r="I3387" s="995" t="s">
        <v>1616</v>
      </c>
      <c r="J3387" s="996"/>
      <c r="K3387" s="997"/>
      <c r="L3387" s="99"/>
      <c r="M3387" s="100"/>
    </row>
    <row r="3388" spans="3:13" ht="24">
      <c r="E3388" s="626" t="s">
        <v>433</v>
      </c>
      <c r="F3388" s="1063"/>
      <c r="G3388" s="1064"/>
      <c r="H3388" s="1065"/>
      <c r="I3388" s="995"/>
      <c r="J3388" s="996"/>
      <c r="K3388" s="997"/>
      <c r="L3388" s="99"/>
      <c r="M3388" s="100"/>
    </row>
    <row r="3389" spans="3:13" ht="25" thickBot="1">
      <c r="E3389" s="626" t="s">
        <v>434</v>
      </c>
      <c r="F3389" s="1063"/>
      <c r="G3389" s="1064"/>
      <c r="H3389" s="1065"/>
      <c r="I3389" s="995"/>
      <c r="J3389" s="996"/>
      <c r="K3389" s="997"/>
      <c r="L3389" s="99"/>
      <c r="M3389" s="100"/>
    </row>
    <row r="3390" spans="3:13" ht="25" thickBot="1">
      <c r="E3390" s="627" t="s">
        <v>435</v>
      </c>
      <c r="F3390" s="1007">
        <v>0.41666666666666674</v>
      </c>
      <c r="G3390" s="1008"/>
      <c r="H3390" s="1009"/>
      <c r="I3390" s="995"/>
      <c r="J3390" s="996"/>
      <c r="K3390" s="997"/>
      <c r="L3390" s="647">
        <v>0.64583333333333337</v>
      </c>
      <c r="M3390" s="648">
        <v>0.5</v>
      </c>
    </row>
    <row r="3391" spans="3:13" ht="25" thickBot="1">
      <c r="E3391" s="628" t="s">
        <v>436</v>
      </c>
      <c r="F3391" s="200" t="s">
        <v>29</v>
      </c>
      <c r="G3391" s="200" t="s">
        <v>28</v>
      </c>
      <c r="H3391" s="201" t="s">
        <v>27</v>
      </c>
      <c r="I3391" s="995"/>
      <c r="J3391" s="996"/>
      <c r="K3391" s="997"/>
      <c r="L3391" s="99"/>
      <c r="M3391" s="100"/>
    </row>
    <row r="3392" spans="3:13" ht="24">
      <c r="E3392" s="629">
        <v>45691</v>
      </c>
      <c r="F3392" s="202">
        <v>2.5000000000000001E-2</v>
      </c>
      <c r="G3392" s="202" t="s">
        <v>1447</v>
      </c>
      <c r="H3392" s="202">
        <v>2.4E-2</v>
      </c>
      <c r="I3392" s="995"/>
      <c r="J3392" s="996"/>
      <c r="K3392" s="997"/>
      <c r="L3392" s="99"/>
      <c r="M3392" s="100"/>
    </row>
    <row r="3393" spans="4:13" ht="24">
      <c r="E3393" s="629">
        <v>45674</v>
      </c>
      <c r="F3393" s="202">
        <v>2.4E-2</v>
      </c>
      <c r="G3393" s="202" t="s">
        <v>1447</v>
      </c>
      <c r="H3393" s="202">
        <v>2.1999999999999999E-2</v>
      </c>
      <c r="I3393" s="995"/>
      <c r="J3393" s="996"/>
      <c r="K3393" s="997"/>
      <c r="L3393" s="99"/>
      <c r="M3393" s="100"/>
    </row>
    <row r="3394" spans="4:13" ht="24">
      <c r="E3394" s="629">
        <v>45664</v>
      </c>
      <c r="F3394" s="202">
        <v>2.4E-2</v>
      </c>
      <c r="G3394" s="202" t="s">
        <v>1447</v>
      </c>
      <c r="H3394" s="202">
        <v>2.1999999999999999E-2</v>
      </c>
      <c r="I3394" s="995"/>
      <c r="J3394" s="996"/>
      <c r="K3394" s="997"/>
      <c r="L3394" s="649"/>
      <c r="M3394" s="100"/>
    </row>
    <row r="3395" spans="4:13" ht="24">
      <c r="E3395" s="629">
        <v>45644</v>
      </c>
      <c r="F3395" s="202">
        <v>2.1999999999999999E-2</v>
      </c>
      <c r="G3395" s="202" t="s">
        <v>971</v>
      </c>
      <c r="H3395" s="202">
        <v>0.02</v>
      </c>
      <c r="I3395" s="995"/>
      <c r="J3395" s="996"/>
      <c r="K3395" s="997"/>
      <c r="L3395" s="99"/>
      <c r="M3395" s="100"/>
    </row>
    <row r="3396" spans="4:13" ht="24">
      <c r="E3396" s="629">
        <v>45625</v>
      </c>
      <c r="F3396" s="202">
        <v>2.3E-2</v>
      </c>
      <c r="G3396" s="202" t="s">
        <v>971</v>
      </c>
      <c r="H3396" s="202">
        <v>0.02</v>
      </c>
      <c r="I3396" s="995"/>
      <c r="J3396" s="996"/>
      <c r="K3396" s="997"/>
      <c r="L3396" s="99"/>
      <c r="M3396" s="100"/>
    </row>
    <row r="3397" spans="4:13" ht="25" thickBot="1">
      <c r="E3397" s="629">
        <v>45615</v>
      </c>
      <c r="F3397" s="202">
        <v>0.02</v>
      </c>
      <c r="G3397" s="202" t="s">
        <v>788</v>
      </c>
      <c r="H3397" s="202">
        <v>0.02</v>
      </c>
      <c r="I3397" s="998"/>
      <c r="J3397" s="999"/>
      <c r="K3397" s="1000"/>
      <c r="L3397" s="102"/>
      <c r="M3397" s="103"/>
    </row>
    <row r="3398" spans="4:13" ht="25" thickBot="1">
      <c r="D3398" t="s">
        <v>105</v>
      </c>
      <c r="E3398" s="624" t="s">
        <v>30</v>
      </c>
      <c r="F3398" s="1057" t="s">
        <v>1617</v>
      </c>
      <c r="G3398" s="1058"/>
      <c r="H3398" s="1059"/>
      <c r="I3398" s="1060" t="s">
        <v>633</v>
      </c>
      <c r="J3398" s="1061"/>
      <c r="K3398" s="1062"/>
      <c r="L3398" s="158" t="s">
        <v>430</v>
      </c>
      <c r="M3398" s="105" t="s">
        <v>431</v>
      </c>
    </row>
    <row r="3399" spans="4:13" ht="24">
      <c r="E3399" s="625" t="s">
        <v>432</v>
      </c>
      <c r="F3399" s="992"/>
      <c r="G3399" s="993"/>
      <c r="H3399" s="994"/>
      <c r="I3399" s="995" t="s">
        <v>1618</v>
      </c>
      <c r="J3399" s="996"/>
      <c r="K3399" s="997"/>
      <c r="L3399" s="99"/>
      <c r="M3399" s="100"/>
    </row>
    <row r="3400" spans="4:13" ht="24">
      <c r="E3400" s="626" t="s">
        <v>433</v>
      </c>
      <c r="F3400" s="1063" t="s">
        <v>1090</v>
      </c>
      <c r="G3400" s="1064"/>
      <c r="H3400" s="1065"/>
      <c r="I3400" s="995"/>
      <c r="J3400" s="996"/>
      <c r="K3400" s="997"/>
      <c r="L3400" s="99"/>
      <c r="M3400" s="100"/>
    </row>
    <row r="3401" spans="4:13" ht="25" thickBot="1">
      <c r="E3401" s="626" t="s">
        <v>434</v>
      </c>
      <c r="F3401" s="1063">
        <v>-2E-3</v>
      </c>
      <c r="G3401" s="1064"/>
      <c r="H3401" s="1065"/>
      <c r="I3401" s="995"/>
      <c r="J3401" s="996"/>
      <c r="K3401" s="997"/>
      <c r="L3401" s="99"/>
      <c r="M3401" s="100"/>
    </row>
    <row r="3402" spans="4:13" ht="25" thickBot="1">
      <c r="E3402" s="627" t="s">
        <v>435</v>
      </c>
      <c r="F3402" s="1007">
        <v>0.29166666666666674</v>
      </c>
      <c r="G3402" s="1008"/>
      <c r="H3402" s="1009"/>
      <c r="I3402" s="995"/>
      <c r="J3402" s="996"/>
      <c r="K3402" s="997"/>
      <c r="L3402" s="647">
        <v>0.52083333333333337</v>
      </c>
      <c r="M3402" s="648">
        <v>0.375</v>
      </c>
    </row>
    <row r="3403" spans="4:13" ht="25" thickBot="1">
      <c r="E3403" s="628" t="s">
        <v>436</v>
      </c>
      <c r="F3403" s="200" t="s">
        <v>29</v>
      </c>
      <c r="G3403" s="200" t="s">
        <v>28</v>
      </c>
      <c r="H3403" s="201" t="s">
        <v>27</v>
      </c>
      <c r="I3403" s="995"/>
      <c r="J3403" s="996"/>
      <c r="K3403" s="997"/>
      <c r="L3403" s="99"/>
      <c r="M3403" s="100"/>
    </row>
    <row r="3404" spans="4:13" ht="24">
      <c r="E3404" s="629">
        <v>45687</v>
      </c>
      <c r="F3404" s="202">
        <v>-2E-3</v>
      </c>
      <c r="G3404" s="202" t="s">
        <v>456</v>
      </c>
      <c r="H3404" s="202">
        <v>1E-3</v>
      </c>
      <c r="I3404" s="995"/>
      <c r="J3404" s="996"/>
      <c r="K3404" s="997"/>
      <c r="L3404" s="99"/>
      <c r="M3404" s="100"/>
    </row>
    <row r="3405" spans="4:13" ht="24">
      <c r="E3405" s="629">
        <v>45618</v>
      </c>
      <c r="F3405" s="202">
        <v>1E-3</v>
      </c>
      <c r="G3405" s="202" t="s">
        <v>460</v>
      </c>
      <c r="H3405" s="202">
        <v>2E-3</v>
      </c>
      <c r="I3405" s="995"/>
      <c r="J3405" s="996"/>
      <c r="K3405" s="997"/>
      <c r="L3405" s="99"/>
      <c r="M3405" s="100"/>
    </row>
    <row r="3406" spans="4:13" ht="24">
      <c r="E3406" s="629">
        <v>45595</v>
      </c>
      <c r="F3406" s="202">
        <v>2E-3</v>
      </c>
      <c r="G3406" s="202" t="s">
        <v>456</v>
      </c>
      <c r="H3406" s="202">
        <v>-3.0000000000000001E-3</v>
      </c>
      <c r="I3406" s="995"/>
      <c r="J3406" s="996"/>
      <c r="K3406" s="997"/>
      <c r="L3406" s="649"/>
      <c r="M3406" s="100"/>
    </row>
    <row r="3407" spans="4:13" ht="24">
      <c r="E3407" s="629">
        <v>45531</v>
      </c>
      <c r="F3407" s="202">
        <v>-1E-3</v>
      </c>
      <c r="G3407" s="202" t="s">
        <v>456</v>
      </c>
      <c r="H3407" s="202">
        <v>2E-3</v>
      </c>
      <c r="I3407" s="995"/>
      <c r="J3407" s="996"/>
      <c r="K3407" s="997"/>
      <c r="L3407" s="99"/>
      <c r="M3407" s="100"/>
    </row>
    <row r="3408" spans="4:13" ht="24">
      <c r="E3408" s="629">
        <v>45503</v>
      </c>
      <c r="F3408" s="202">
        <v>-1E-3</v>
      </c>
      <c r="G3408" s="202" t="s">
        <v>462</v>
      </c>
      <c r="H3408" s="202">
        <v>2E-3</v>
      </c>
      <c r="I3408" s="995"/>
      <c r="J3408" s="996"/>
      <c r="K3408" s="997"/>
      <c r="L3408" s="99"/>
      <c r="M3408" s="100"/>
    </row>
    <row r="3409" spans="4:13" ht="25" thickBot="1">
      <c r="E3409" s="629">
        <v>45436</v>
      </c>
      <c r="F3409" s="202">
        <v>2E-3</v>
      </c>
      <c r="G3409" s="202" t="s">
        <v>460</v>
      </c>
      <c r="H3409" s="202">
        <v>-3.0000000000000001E-3</v>
      </c>
      <c r="I3409" s="998"/>
      <c r="J3409" s="999"/>
      <c r="K3409" s="1000"/>
      <c r="L3409" s="102"/>
      <c r="M3409" s="103"/>
    </row>
    <row r="3410" spans="4:13" ht="25" thickBot="1">
      <c r="D3410" t="s">
        <v>105</v>
      </c>
      <c r="E3410" s="624" t="s">
        <v>30</v>
      </c>
      <c r="F3410" s="1057" t="s">
        <v>1619</v>
      </c>
      <c r="G3410" s="1058"/>
      <c r="H3410" s="1059"/>
      <c r="I3410" s="1060" t="s">
        <v>633</v>
      </c>
      <c r="J3410" s="1061"/>
      <c r="K3410" s="1062"/>
      <c r="L3410" s="158" t="s">
        <v>430</v>
      </c>
      <c r="M3410" s="105" t="s">
        <v>431</v>
      </c>
    </row>
    <row r="3411" spans="4:13" ht="24">
      <c r="E3411" s="625" t="s">
        <v>432</v>
      </c>
      <c r="F3411" s="992"/>
      <c r="G3411" s="993"/>
      <c r="H3411" s="994"/>
      <c r="I3411" s="995" t="s">
        <v>1620</v>
      </c>
      <c r="J3411" s="996"/>
      <c r="K3411" s="997"/>
      <c r="L3411" s="99"/>
      <c r="M3411" s="100"/>
    </row>
    <row r="3412" spans="4:13" ht="24">
      <c r="E3412" s="626" t="s">
        <v>433</v>
      </c>
      <c r="F3412" s="1072" t="s">
        <v>1090</v>
      </c>
      <c r="G3412" s="1073"/>
      <c r="H3412" s="1074"/>
      <c r="I3412" s="995"/>
      <c r="J3412" s="996"/>
      <c r="K3412" s="997"/>
      <c r="L3412" s="99"/>
      <c r="M3412" s="100"/>
    </row>
    <row r="3413" spans="4:13" ht="25" thickBot="1">
      <c r="E3413" s="626" t="s">
        <v>434</v>
      </c>
      <c r="F3413" s="1075">
        <v>104.1</v>
      </c>
      <c r="G3413" s="1073"/>
      <c r="H3413" s="1074"/>
      <c r="I3413" s="995"/>
      <c r="J3413" s="996"/>
      <c r="K3413" s="997"/>
      <c r="L3413" s="99"/>
      <c r="M3413" s="100"/>
    </row>
    <row r="3414" spans="4:13" ht="25" thickBot="1">
      <c r="E3414" s="627" t="s">
        <v>435</v>
      </c>
      <c r="F3414" s="1007">
        <v>0.625</v>
      </c>
      <c r="G3414" s="1008"/>
      <c r="H3414" s="1009"/>
      <c r="I3414" s="995"/>
      <c r="J3414" s="996"/>
      <c r="K3414" s="997"/>
      <c r="L3414" s="647">
        <v>0.85416666666666663</v>
      </c>
      <c r="M3414" s="648">
        <v>0.70833333333333326</v>
      </c>
    </row>
    <row r="3415" spans="4:13" ht="25" thickBot="1">
      <c r="E3415" s="628" t="s">
        <v>436</v>
      </c>
      <c r="F3415" s="200" t="s">
        <v>29</v>
      </c>
      <c r="G3415" s="200" t="s">
        <v>28</v>
      </c>
      <c r="H3415" s="201" t="s">
        <v>27</v>
      </c>
      <c r="I3415" s="995"/>
      <c r="J3415" s="996"/>
      <c r="K3415" s="997"/>
      <c r="L3415" s="99"/>
      <c r="M3415" s="100"/>
    </row>
    <row r="3416" spans="4:13" ht="24">
      <c r="E3416" s="629">
        <v>45685</v>
      </c>
      <c r="F3416" s="217">
        <v>104.1</v>
      </c>
      <c r="G3416" s="217" t="s">
        <v>1646</v>
      </c>
      <c r="H3416" s="217">
        <v>109.5</v>
      </c>
      <c r="I3416" s="995"/>
      <c r="J3416" s="996"/>
      <c r="K3416" s="997"/>
      <c r="L3416" s="99"/>
      <c r="M3416" s="100"/>
    </row>
    <row r="3417" spans="4:13" ht="24">
      <c r="E3417" s="629">
        <v>45649</v>
      </c>
      <c r="F3417" s="217">
        <v>104.7</v>
      </c>
      <c r="G3417" s="217" t="s">
        <v>1537</v>
      </c>
      <c r="H3417" s="217">
        <v>112.8</v>
      </c>
      <c r="I3417" s="995"/>
      <c r="J3417" s="996"/>
      <c r="K3417" s="997"/>
      <c r="L3417" s="99"/>
      <c r="M3417" s="100"/>
    </row>
    <row r="3418" spans="4:13" ht="24">
      <c r="E3418" s="629">
        <v>45622</v>
      </c>
      <c r="F3418" s="217">
        <v>111.7</v>
      </c>
      <c r="G3418" s="217" t="s">
        <v>1314</v>
      </c>
      <c r="H3418" s="217">
        <v>109.6</v>
      </c>
      <c r="I3418" s="995"/>
      <c r="J3418" s="996"/>
      <c r="K3418" s="997"/>
      <c r="L3418" s="649"/>
      <c r="M3418" s="100"/>
    </row>
    <row r="3419" spans="4:13" ht="24">
      <c r="E3419" s="629">
        <v>45594</v>
      </c>
      <c r="F3419" s="217">
        <v>108.7</v>
      </c>
      <c r="G3419" s="217" t="s">
        <v>1091</v>
      </c>
      <c r="H3419" s="217">
        <v>99.2</v>
      </c>
      <c r="I3419" s="995"/>
      <c r="J3419" s="996"/>
      <c r="K3419" s="997"/>
      <c r="L3419" s="99"/>
      <c r="M3419" s="100"/>
    </row>
    <row r="3420" spans="4:13" ht="24">
      <c r="E3420" s="629">
        <v>45559</v>
      </c>
      <c r="F3420" s="217">
        <v>98.7</v>
      </c>
      <c r="G3420" s="217" t="s">
        <v>874</v>
      </c>
      <c r="H3420" s="217">
        <v>105.6</v>
      </c>
      <c r="I3420" s="995"/>
      <c r="J3420" s="996"/>
      <c r="K3420" s="997"/>
      <c r="L3420" s="99"/>
      <c r="M3420" s="100"/>
    </row>
    <row r="3421" spans="4:13" ht="25" thickBot="1">
      <c r="E3421" s="629">
        <v>45531</v>
      </c>
      <c r="F3421" s="217">
        <v>103.3</v>
      </c>
      <c r="G3421" s="217" t="s">
        <v>875</v>
      </c>
      <c r="H3421" s="217">
        <v>101.9</v>
      </c>
      <c r="I3421" s="998"/>
      <c r="J3421" s="999"/>
      <c r="K3421" s="1000"/>
      <c r="L3421" s="102"/>
      <c r="M3421" s="103"/>
    </row>
    <row r="3422" spans="4:13" ht="25" thickBot="1">
      <c r="D3422" t="s">
        <v>105</v>
      </c>
      <c r="E3422" s="624" t="s">
        <v>30</v>
      </c>
      <c r="F3422" s="1057" t="s">
        <v>1622</v>
      </c>
      <c r="G3422" s="1058"/>
      <c r="H3422" s="1059"/>
      <c r="I3422" s="1060" t="s">
        <v>633</v>
      </c>
      <c r="J3422" s="1061"/>
      <c r="K3422" s="1062"/>
      <c r="L3422" s="158" t="s">
        <v>430</v>
      </c>
      <c r="M3422" s="105" t="s">
        <v>431</v>
      </c>
    </row>
    <row r="3423" spans="4:13" ht="24">
      <c r="E3423" s="625" t="s">
        <v>432</v>
      </c>
      <c r="F3423" s="992"/>
      <c r="G3423" s="993"/>
      <c r="H3423" s="994"/>
      <c r="I3423" s="995" t="s">
        <v>1623</v>
      </c>
      <c r="J3423" s="996"/>
      <c r="K3423" s="997"/>
      <c r="L3423" s="99"/>
      <c r="M3423" s="100"/>
    </row>
    <row r="3424" spans="4:13" ht="24">
      <c r="E3424" s="626" t="s">
        <v>433</v>
      </c>
      <c r="F3424" s="1072" t="s">
        <v>1090</v>
      </c>
      <c r="G3424" s="1073"/>
      <c r="H3424" s="1074"/>
      <c r="I3424" s="995"/>
      <c r="J3424" s="996"/>
      <c r="K3424" s="997"/>
      <c r="L3424" s="99"/>
      <c r="M3424" s="100"/>
    </row>
    <row r="3425" spans="4:13" ht="25" thickBot="1">
      <c r="E3425" s="626" t="s">
        <v>434</v>
      </c>
      <c r="F3425" s="1072"/>
      <c r="G3425" s="1073"/>
      <c r="H3425" s="1074"/>
      <c r="I3425" s="995"/>
      <c r="J3425" s="996"/>
      <c r="K3425" s="997"/>
      <c r="L3425" s="99"/>
      <c r="M3425" s="100"/>
    </row>
    <row r="3426" spans="4:13" ht="25" thickBot="1">
      <c r="E3426" s="627" t="s">
        <v>435</v>
      </c>
      <c r="F3426" s="1007" t="e">
        <v>#VALUE!</v>
      </c>
      <c r="G3426" s="1008"/>
      <c r="H3426" s="1009"/>
      <c r="I3426" s="995"/>
      <c r="J3426" s="996"/>
      <c r="K3426" s="997"/>
      <c r="L3426" s="647" t="s">
        <v>1449</v>
      </c>
      <c r="M3426" s="648" t="e">
        <v>#VALUE!</v>
      </c>
    </row>
    <row r="3427" spans="4:13" ht="25" thickBot="1">
      <c r="E3427" s="628" t="s">
        <v>436</v>
      </c>
      <c r="F3427" s="200" t="s">
        <v>29</v>
      </c>
      <c r="G3427" s="200" t="s">
        <v>28</v>
      </c>
      <c r="H3427" s="201" t="s">
        <v>27</v>
      </c>
      <c r="I3427" s="995"/>
      <c r="J3427" s="996"/>
      <c r="K3427" s="997"/>
      <c r="L3427" s="99"/>
      <c r="M3427" s="100"/>
    </row>
    <row r="3428" spans="4:13" ht="23">
      <c r="E3428" s="629">
        <v>45636</v>
      </c>
      <c r="F3428" s="634"/>
      <c r="G3428" s="634"/>
      <c r="H3428" s="634"/>
      <c r="I3428" s="995"/>
      <c r="J3428" s="996"/>
      <c r="K3428" s="997"/>
      <c r="L3428" s="99"/>
      <c r="M3428" s="100"/>
    </row>
    <row r="3429" spans="4:13" ht="23">
      <c r="E3429" s="629">
        <v>45601</v>
      </c>
      <c r="F3429" s="634"/>
      <c r="G3429" s="634"/>
      <c r="H3429" s="634"/>
      <c r="I3429" s="995"/>
      <c r="J3429" s="996"/>
      <c r="K3429" s="997"/>
      <c r="L3429" s="99"/>
      <c r="M3429" s="100"/>
    </row>
    <row r="3430" spans="4:13" ht="23">
      <c r="E3430" s="629">
        <v>45559</v>
      </c>
      <c r="F3430" s="634"/>
      <c r="G3430" s="634"/>
      <c r="H3430" s="634"/>
      <c r="I3430" s="995"/>
      <c r="J3430" s="996"/>
      <c r="K3430" s="997"/>
      <c r="L3430" s="649"/>
      <c r="M3430" s="100"/>
    </row>
    <row r="3431" spans="4:13" ht="23">
      <c r="E3431" s="629">
        <v>45510</v>
      </c>
      <c r="F3431" s="634"/>
      <c r="G3431" s="634"/>
      <c r="H3431" s="634"/>
      <c r="I3431" s="995"/>
      <c r="J3431" s="996"/>
      <c r="K3431" s="997"/>
      <c r="L3431" s="99"/>
      <c r="M3431" s="100"/>
    </row>
    <row r="3432" spans="4:13" ht="23">
      <c r="E3432" s="629">
        <v>45461</v>
      </c>
      <c r="F3432" s="634"/>
      <c r="G3432" s="634"/>
      <c r="H3432" s="634"/>
      <c r="I3432" s="995"/>
      <c r="J3432" s="996"/>
      <c r="K3432" s="997"/>
      <c r="L3432" s="99"/>
      <c r="M3432" s="100"/>
    </row>
    <row r="3433" spans="4:13" ht="24" thickBot="1">
      <c r="E3433" s="629">
        <v>45419</v>
      </c>
      <c r="F3433" s="634"/>
      <c r="G3433" s="634"/>
      <c r="H3433" s="634"/>
      <c r="I3433" s="998"/>
      <c r="J3433" s="999"/>
      <c r="K3433" s="1000"/>
      <c r="L3433" s="102"/>
      <c r="M3433" s="103"/>
    </row>
    <row r="3434" spans="4:13" ht="25" thickBot="1">
      <c r="D3434" t="s">
        <v>105</v>
      </c>
      <c r="E3434" s="624" t="s">
        <v>30</v>
      </c>
      <c r="F3434" s="1057" t="s">
        <v>1412</v>
      </c>
      <c r="G3434" s="1058"/>
      <c r="H3434" s="1059"/>
      <c r="I3434" s="1060" t="s">
        <v>633</v>
      </c>
      <c r="J3434" s="1061"/>
      <c r="K3434" s="1062"/>
      <c r="L3434" s="158" t="s">
        <v>430</v>
      </c>
      <c r="M3434" s="105" t="s">
        <v>431</v>
      </c>
    </row>
    <row r="3435" spans="4:13" ht="24">
      <c r="E3435" s="625" t="s">
        <v>432</v>
      </c>
      <c r="F3435" s="992"/>
      <c r="G3435" s="993"/>
      <c r="H3435" s="994"/>
      <c r="I3435" s="995" t="s">
        <v>1505</v>
      </c>
      <c r="J3435" s="996"/>
      <c r="K3435" s="997"/>
      <c r="L3435" s="99"/>
      <c r="M3435" s="100"/>
    </row>
    <row r="3436" spans="4:13" ht="24">
      <c r="E3436" s="626" t="s">
        <v>433</v>
      </c>
      <c r="F3436" s="1063"/>
      <c r="G3436" s="1064"/>
      <c r="H3436" s="1065"/>
      <c r="I3436" s="995"/>
      <c r="J3436" s="996"/>
      <c r="K3436" s="997"/>
      <c r="L3436" s="99"/>
      <c r="M3436" s="100"/>
    </row>
    <row r="3437" spans="4:13" ht="25" thickBot="1">
      <c r="E3437" s="626" t="s">
        <v>434</v>
      </c>
      <c r="F3437" s="1076" t="s">
        <v>1624</v>
      </c>
      <c r="G3437" s="1064"/>
      <c r="H3437" s="1065"/>
      <c r="I3437" s="995"/>
      <c r="J3437" s="996"/>
      <c r="K3437" s="997"/>
      <c r="L3437" s="99"/>
      <c r="M3437" s="100"/>
    </row>
    <row r="3438" spans="4:13" ht="25" thickBot="1">
      <c r="E3438" s="627" t="s">
        <v>435</v>
      </c>
      <c r="F3438" s="1007">
        <v>0.625</v>
      </c>
      <c r="G3438" s="1008"/>
      <c r="H3438" s="1009"/>
      <c r="I3438" s="995"/>
      <c r="J3438" s="996"/>
      <c r="K3438" s="997"/>
      <c r="L3438" s="647">
        <v>0.85416666666666663</v>
      </c>
      <c r="M3438" s="648">
        <v>0.70833333333333337</v>
      </c>
    </row>
    <row r="3439" spans="4:13" ht="25" thickBot="1">
      <c r="E3439" s="628" t="s">
        <v>436</v>
      </c>
      <c r="F3439" s="200" t="s">
        <v>29</v>
      </c>
      <c r="G3439" s="200" t="s">
        <v>28</v>
      </c>
      <c r="H3439" s="201" t="s">
        <v>27</v>
      </c>
      <c r="I3439" s="995"/>
      <c r="J3439" s="996"/>
      <c r="K3439" s="997"/>
      <c r="L3439" s="330"/>
      <c r="M3439" s="650"/>
    </row>
    <row r="3440" spans="4:13" ht="24">
      <c r="E3440" s="629">
        <v>45708</v>
      </c>
      <c r="F3440" s="635" t="s">
        <v>1647</v>
      </c>
      <c r="G3440" s="635" t="s">
        <v>1648</v>
      </c>
      <c r="H3440" s="635" t="s">
        <v>1649</v>
      </c>
      <c r="I3440" s="995"/>
      <c r="J3440" s="996"/>
      <c r="K3440" s="997"/>
      <c r="L3440" s="99"/>
      <c r="M3440" s="100"/>
    </row>
    <row r="3441" spans="4:13" ht="24">
      <c r="E3441" s="629">
        <v>45700</v>
      </c>
      <c r="F3441" s="635" t="s">
        <v>1649</v>
      </c>
      <c r="G3441" s="635" t="s">
        <v>1600</v>
      </c>
      <c r="H3441" s="635" t="s">
        <v>1599</v>
      </c>
      <c r="I3441" s="995"/>
      <c r="J3441" s="996"/>
      <c r="K3441" s="997"/>
      <c r="L3441" s="99"/>
      <c r="M3441" s="100"/>
    </row>
    <row r="3442" spans="4:13" ht="24">
      <c r="E3442" s="629">
        <v>45693</v>
      </c>
      <c r="F3442" s="635" t="s">
        <v>1599</v>
      </c>
      <c r="G3442" s="635" t="s">
        <v>1600</v>
      </c>
      <c r="H3442" s="635" t="s">
        <v>1601</v>
      </c>
      <c r="I3442" s="995"/>
      <c r="J3442" s="996"/>
      <c r="K3442" s="997"/>
      <c r="L3442" s="649"/>
      <c r="M3442" s="100"/>
    </row>
    <row r="3443" spans="4:13" ht="24">
      <c r="E3443" s="629">
        <v>45686</v>
      </c>
      <c r="F3443" s="635" t="s">
        <v>1601</v>
      </c>
      <c r="G3443" s="635" t="s">
        <v>1602</v>
      </c>
      <c r="H3443" s="635" t="s">
        <v>1603</v>
      </c>
      <c r="I3443" s="995"/>
      <c r="J3443" s="996"/>
      <c r="K3443" s="997"/>
      <c r="L3443" s="99"/>
      <c r="M3443" s="100"/>
    </row>
    <row r="3444" spans="4:13" ht="24">
      <c r="E3444" s="629">
        <v>45680</v>
      </c>
      <c r="F3444" s="635" t="s">
        <v>1603</v>
      </c>
      <c r="G3444" s="635" t="s">
        <v>1604</v>
      </c>
      <c r="H3444" s="635" t="s">
        <v>1605</v>
      </c>
      <c r="I3444" s="995"/>
      <c r="J3444" s="996"/>
      <c r="K3444" s="997"/>
      <c r="L3444" s="99"/>
      <c r="M3444" s="100"/>
    </row>
    <row r="3445" spans="4:13" ht="25" thickBot="1">
      <c r="E3445" s="629">
        <v>45672</v>
      </c>
      <c r="F3445" s="635" t="s">
        <v>1605</v>
      </c>
      <c r="G3445" s="635" t="s">
        <v>1606</v>
      </c>
      <c r="H3445" s="635" t="s">
        <v>1607</v>
      </c>
      <c r="I3445" s="998"/>
      <c r="J3445" s="999"/>
      <c r="K3445" s="1000"/>
      <c r="L3445" s="102"/>
      <c r="M3445" s="103"/>
    </row>
    <row r="3446" spans="4:13" ht="25" thickBot="1">
      <c r="D3446" t="s">
        <v>105</v>
      </c>
      <c r="E3446" s="624" t="s">
        <v>30</v>
      </c>
      <c r="F3446" s="1057" t="s">
        <v>1625</v>
      </c>
      <c r="G3446" s="1058"/>
      <c r="H3446" s="1059"/>
      <c r="I3446" s="1060" t="s">
        <v>633</v>
      </c>
      <c r="J3446" s="1061"/>
      <c r="K3446" s="1062"/>
      <c r="L3446" s="158" t="s">
        <v>430</v>
      </c>
      <c r="M3446" s="105" t="s">
        <v>431</v>
      </c>
    </row>
    <row r="3447" spans="4:13" ht="24">
      <c r="E3447" s="625" t="s">
        <v>432</v>
      </c>
      <c r="F3447" s="992"/>
      <c r="G3447" s="993"/>
      <c r="H3447" s="994"/>
      <c r="I3447" s="995" t="s">
        <v>1482</v>
      </c>
      <c r="J3447" s="996"/>
      <c r="K3447" s="997"/>
      <c r="L3447" s="99"/>
      <c r="M3447" s="100"/>
    </row>
    <row r="3448" spans="4:13" ht="24">
      <c r="E3448" s="626" t="s">
        <v>433</v>
      </c>
      <c r="F3448" s="1063"/>
      <c r="G3448" s="1064"/>
      <c r="H3448" s="1065"/>
      <c r="I3448" s="995"/>
      <c r="J3448" s="996"/>
      <c r="K3448" s="997"/>
      <c r="L3448" s="99"/>
      <c r="M3448" s="100"/>
    </row>
    <row r="3449" spans="4:13" ht="25" thickBot="1">
      <c r="E3449" s="626" t="s">
        <v>434</v>
      </c>
      <c r="F3449" s="1076" t="s">
        <v>768</v>
      </c>
      <c r="G3449" s="1064"/>
      <c r="H3449" s="1065"/>
      <c r="I3449" s="995"/>
      <c r="J3449" s="996"/>
      <c r="K3449" s="997"/>
      <c r="L3449" s="99"/>
      <c r="M3449" s="100"/>
    </row>
    <row r="3450" spans="4:13" ht="25" thickBot="1">
      <c r="E3450" s="627" t="s">
        <v>435</v>
      </c>
      <c r="F3450" s="1007">
        <v>0.625</v>
      </c>
      <c r="G3450" s="1008"/>
      <c r="H3450" s="1009"/>
      <c r="I3450" s="995"/>
      <c r="J3450" s="996"/>
      <c r="K3450" s="997"/>
      <c r="L3450" s="647">
        <v>0.85416666666666663</v>
      </c>
      <c r="M3450" s="648">
        <v>0.70833333333333337</v>
      </c>
    </row>
    <row r="3451" spans="4:13" ht="25" thickBot="1">
      <c r="E3451" s="628" t="s">
        <v>436</v>
      </c>
      <c r="F3451" s="200" t="s">
        <v>29</v>
      </c>
      <c r="G3451" s="200" t="s">
        <v>28</v>
      </c>
      <c r="H3451" s="201" t="s">
        <v>27</v>
      </c>
      <c r="I3451" s="995"/>
      <c r="J3451" s="996"/>
      <c r="K3451" s="997"/>
      <c r="L3451" s="330"/>
      <c r="M3451" s="650"/>
    </row>
    <row r="3452" spans="4:13" ht="24">
      <c r="E3452" s="629">
        <v>45684</v>
      </c>
      <c r="F3452" s="635" t="s">
        <v>1106</v>
      </c>
      <c r="G3452" s="635" t="s">
        <v>1650</v>
      </c>
      <c r="H3452" s="635" t="s">
        <v>1651</v>
      </c>
      <c r="I3452" s="995"/>
      <c r="J3452" s="996"/>
      <c r="K3452" s="997"/>
      <c r="L3452" s="99"/>
      <c r="M3452" s="100"/>
    </row>
    <row r="3453" spans="4:13" ht="24">
      <c r="E3453" s="629">
        <v>45649</v>
      </c>
      <c r="F3453" s="635" t="s">
        <v>1532</v>
      </c>
      <c r="G3453" s="635" t="s">
        <v>1533</v>
      </c>
      <c r="H3453" s="635" t="s">
        <v>1534</v>
      </c>
      <c r="I3453" s="995"/>
      <c r="J3453" s="996"/>
      <c r="K3453" s="997"/>
      <c r="L3453" s="99"/>
      <c r="M3453" s="100"/>
    </row>
    <row r="3454" spans="4:13" ht="24">
      <c r="E3454" s="629">
        <v>45622</v>
      </c>
      <c r="F3454" s="635" t="s">
        <v>1316</v>
      </c>
      <c r="G3454" s="635" t="s">
        <v>1317</v>
      </c>
      <c r="H3454" s="635" t="s">
        <v>1092</v>
      </c>
      <c r="I3454" s="995"/>
      <c r="J3454" s="996"/>
      <c r="K3454" s="997"/>
      <c r="L3454" s="649"/>
      <c r="M3454" s="100"/>
    </row>
    <row r="3455" spans="4:13" ht="24">
      <c r="E3455" s="629">
        <v>45589</v>
      </c>
      <c r="F3455" s="635" t="s">
        <v>1092</v>
      </c>
      <c r="G3455" s="635" t="s">
        <v>1093</v>
      </c>
      <c r="H3455" s="635" t="s">
        <v>1094</v>
      </c>
      <c r="I3455" s="995"/>
      <c r="J3455" s="996"/>
      <c r="K3455" s="997"/>
      <c r="L3455" s="99"/>
      <c r="M3455" s="100"/>
    </row>
    <row r="3456" spans="4:13" ht="24">
      <c r="E3456" s="629">
        <v>45560</v>
      </c>
      <c r="F3456" s="635" t="s">
        <v>1095</v>
      </c>
      <c r="G3456" s="635" t="s">
        <v>1096</v>
      </c>
      <c r="H3456" s="635" t="s">
        <v>1097</v>
      </c>
      <c r="I3456" s="995"/>
      <c r="J3456" s="996"/>
      <c r="K3456" s="997"/>
      <c r="L3456" s="99"/>
      <c r="M3456" s="100"/>
    </row>
    <row r="3457" spans="4:13" ht="25" thickBot="1">
      <c r="E3457" s="629">
        <v>45527</v>
      </c>
      <c r="F3457" s="635" t="s">
        <v>1098</v>
      </c>
      <c r="G3457" s="635" t="s">
        <v>1099</v>
      </c>
      <c r="H3457" s="635" t="s">
        <v>1100</v>
      </c>
      <c r="I3457" s="998"/>
      <c r="J3457" s="999"/>
      <c r="K3457" s="1000"/>
      <c r="L3457" s="102"/>
      <c r="M3457" s="103"/>
    </row>
    <row r="3458" spans="4:13" ht="25" thickBot="1">
      <c r="D3458" t="s">
        <v>105</v>
      </c>
      <c r="E3458" s="624" t="s">
        <v>30</v>
      </c>
      <c r="F3458" s="1057" t="s">
        <v>1626</v>
      </c>
      <c r="G3458" s="1058"/>
      <c r="H3458" s="1059"/>
      <c r="I3458" s="1060" t="s">
        <v>633</v>
      </c>
      <c r="J3458" s="1061"/>
      <c r="K3458" s="1062"/>
      <c r="L3458" s="158" t="s">
        <v>430</v>
      </c>
      <c r="M3458" s="105" t="s">
        <v>431</v>
      </c>
    </row>
    <row r="3459" spans="4:13" ht="24">
      <c r="E3459" s="625" t="s">
        <v>432</v>
      </c>
      <c r="F3459" s="992"/>
      <c r="G3459" s="993"/>
      <c r="H3459" s="994"/>
      <c r="I3459" s="995" t="s">
        <v>1627</v>
      </c>
      <c r="J3459" s="996"/>
      <c r="K3459" s="997"/>
      <c r="L3459" s="99"/>
      <c r="M3459" s="100"/>
    </row>
    <row r="3460" spans="4:13" ht="24">
      <c r="E3460" s="626" t="s">
        <v>433</v>
      </c>
      <c r="F3460" s="1076">
        <v>0.79</v>
      </c>
      <c r="G3460" s="1064"/>
      <c r="H3460" s="1065"/>
      <c r="I3460" s="995"/>
      <c r="J3460" s="996"/>
      <c r="K3460" s="997"/>
      <c r="L3460" s="99"/>
      <c r="M3460" s="100"/>
    </row>
    <row r="3461" spans="4:13" ht="25" thickBot="1">
      <c r="E3461" s="626" t="s">
        <v>434</v>
      </c>
      <c r="F3461" s="1076">
        <v>0.49</v>
      </c>
      <c r="G3461" s="1064"/>
      <c r="H3461" s="1065"/>
      <c r="I3461" s="995"/>
      <c r="J3461" s="996"/>
      <c r="K3461" s="997"/>
      <c r="L3461" s="99"/>
      <c r="M3461" s="100"/>
    </row>
    <row r="3462" spans="4:13" ht="25" thickBot="1">
      <c r="E3462" s="627" t="s">
        <v>435</v>
      </c>
      <c r="F3462" s="1208">
        <v>0.875</v>
      </c>
      <c r="G3462" s="1209"/>
      <c r="H3462" s="1210"/>
      <c r="I3462" s="995"/>
      <c r="J3462" s="996"/>
      <c r="K3462" s="997"/>
      <c r="L3462" s="647">
        <v>0.10416666666666667</v>
      </c>
      <c r="M3462" s="648">
        <v>0.95833333333333337</v>
      </c>
    </row>
    <row r="3463" spans="4:13" ht="25" thickBot="1">
      <c r="E3463" s="628" t="s">
        <v>436</v>
      </c>
      <c r="F3463" s="200" t="s">
        <v>29</v>
      </c>
      <c r="G3463" s="200" t="s">
        <v>28</v>
      </c>
      <c r="H3463" s="201" t="s">
        <v>27</v>
      </c>
      <c r="I3463" s="995"/>
      <c r="J3463" s="996"/>
      <c r="K3463" s="997"/>
      <c r="L3463" s="330"/>
      <c r="M3463" s="650"/>
    </row>
    <row r="3464" spans="4:13" ht="23">
      <c r="E3464" s="657">
        <v>45616</v>
      </c>
      <c r="F3464" s="636">
        <v>0.78</v>
      </c>
      <c r="G3464" s="636">
        <v>0.7</v>
      </c>
      <c r="H3464" s="636">
        <v>0.38</v>
      </c>
      <c r="I3464" s="995"/>
      <c r="J3464" s="996"/>
      <c r="K3464" s="997"/>
      <c r="L3464" s="99"/>
      <c r="M3464" s="100"/>
    </row>
    <row r="3465" spans="4:13" ht="23">
      <c r="E3465" s="657">
        <v>45532</v>
      </c>
      <c r="F3465" s="636">
        <v>0.65</v>
      </c>
      <c r="G3465" s="636">
        <v>0.6</v>
      </c>
      <c r="H3465" s="636">
        <v>0.25</v>
      </c>
      <c r="I3465" s="995"/>
      <c r="J3465" s="996"/>
      <c r="K3465" s="997"/>
      <c r="L3465" s="99"/>
      <c r="M3465" s="100"/>
    </row>
    <row r="3466" spans="4:13" ht="23">
      <c r="E3466" s="657">
        <v>45434</v>
      </c>
      <c r="F3466" s="636">
        <v>0.57999999999999996</v>
      </c>
      <c r="G3466" s="636">
        <v>0.51</v>
      </c>
      <c r="H3466" s="636">
        <v>0.09</v>
      </c>
      <c r="I3466" s="995"/>
      <c r="J3466" s="996"/>
      <c r="K3466" s="997"/>
      <c r="L3466" s="649"/>
      <c r="M3466" s="100"/>
    </row>
    <row r="3467" spans="4:13" ht="23">
      <c r="E3467" s="657">
        <v>45343</v>
      </c>
      <c r="F3467" s="636">
        <v>0.49</v>
      </c>
      <c r="G3467" s="636">
        <v>0.42</v>
      </c>
      <c r="H3467" s="636">
        <v>7.0000000000000007E-2</v>
      </c>
      <c r="I3467" s="995"/>
      <c r="J3467" s="996"/>
      <c r="K3467" s="997"/>
      <c r="L3467" s="99"/>
      <c r="M3467" s="100"/>
    </row>
    <row r="3468" spans="4:13" ht="23">
      <c r="E3468" s="657">
        <v>45251</v>
      </c>
      <c r="F3468" s="636">
        <v>0.38</v>
      </c>
      <c r="G3468" s="636">
        <v>0.3</v>
      </c>
      <c r="H3468" s="636">
        <v>0.03</v>
      </c>
      <c r="I3468" s="995"/>
      <c r="J3468" s="996"/>
      <c r="K3468" s="997"/>
      <c r="L3468" s="99"/>
      <c r="M3468" s="100"/>
    </row>
    <row r="3469" spans="4:13" ht="24" thickBot="1">
      <c r="E3469" s="657">
        <v>45161</v>
      </c>
      <c r="F3469" s="636">
        <v>0.25</v>
      </c>
      <c r="G3469" s="636">
        <v>0.18</v>
      </c>
      <c r="H3469" s="636">
        <v>0.03</v>
      </c>
      <c r="I3469" s="998"/>
      <c r="J3469" s="999"/>
      <c r="K3469" s="1000"/>
      <c r="L3469" s="102"/>
      <c r="M3469" s="103"/>
    </row>
    <row r="3470" spans="4:13" ht="25" thickBot="1">
      <c r="D3470" t="s">
        <v>105</v>
      </c>
      <c r="E3470" s="624" t="s">
        <v>30</v>
      </c>
      <c r="F3470" s="1057" t="s">
        <v>1628</v>
      </c>
      <c r="G3470" s="1058"/>
      <c r="H3470" s="1059"/>
      <c r="I3470" s="1060" t="s">
        <v>633</v>
      </c>
      <c r="J3470" s="1061"/>
      <c r="K3470" s="1062"/>
      <c r="L3470" s="158" t="s">
        <v>430</v>
      </c>
      <c r="M3470" s="105" t="s">
        <v>431</v>
      </c>
    </row>
    <row r="3471" spans="4:13" ht="24">
      <c r="E3471" s="625" t="s">
        <v>432</v>
      </c>
      <c r="F3471" s="992"/>
      <c r="G3471" s="993"/>
      <c r="H3471" s="994"/>
      <c r="I3471" s="995" t="s">
        <v>1629</v>
      </c>
      <c r="J3471" s="996"/>
      <c r="K3471" s="997"/>
      <c r="L3471" s="99"/>
      <c r="M3471" s="100"/>
    </row>
    <row r="3472" spans="4:13" ht="24">
      <c r="E3472" s="626" t="s">
        <v>433</v>
      </c>
      <c r="F3472" s="1063">
        <v>2E-3</v>
      </c>
      <c r="G3472" s="1064"/>
      <c r="H3472" s="1065"/>
      <c r="I3472" s="995"/>
      <c r="J3472" s="996"/>
      <c r="K3472" s="997"/>
      <c r="L3472" s="99"/>
      <c r="M3472" s="100"/>
    </row>
    <row r="3473" spans="4:13" ht="25" thickBot="1">
      <c r="E3473" s="626" t="s">
        <v>434</v>
      </c>
      <c r="F3473" s="1063">
        <v>4.0000000000000001E-3</v>
      </c>
      <c r="G3473" s="1064"/>
      <c r="H3473" s="1065"/>
      <c r="I3473" s="995"/>
      <c r="J3473" s="996"/>
      <c r="K3473" s="997"/>
      <c r="L3473" s="99"/>
      <c r="M3473" s="100"/>
    </row>
    <row r="3474" spans="4:13" ht="25" thickBot="1">
      <c r="E3474" s="627" t="s">
        <v>435</v>
      </c>
      <c r="F3474" s="1007">
        <v>0.33333333333333337</v>
      </c>
      <c r="G3474" s="1008"/>
      <c r="H3474" s="1009"/>
      <c r="I3474" s="995"/>
      <c r="J3474" s="996"/>
      <c r="K3474" s="997"/>
      <c r="L3474" s="647">
        <v>0.5625</v>
      </c>
      <c r="M3474" s="648">
        <v>0.41666666666666669</v>
      </c>
    </row>
    <row r="3475" spans="4:13" ht="25" thickBot="1">
      <c r="E3475" s="628" t="s">
        <v>436</v>
      </c>
      <c r="F3475" s="200" t="s">
        <v>29</v>
      </c>
      <c r="G3475" s="200" t="s">
        <v>28</v>
      </c>
      <c r="H3475" s="201" t="s">
        <v>27</v>
      </c>
      <c r="I3475" s="995"/>
      <c r="J3475" s="996"/>
      <c r="K3475" s="997"/>
      <c r="L3475" s="330"/>
      <c r="M3475" s="650"/>
    </row>
    <row r="3476" spans="4:13" ht="24">
      <c r="E3476" s="629">
        <v>45625</v>
      </c>
      <c r="F3476" s="635">
        <v>4.0000000000000001E-3</v>
      </c>
      <c r="G3476" s="635" t="s">
        <v>452</v>
      </c>
      <c r="H3476" s="635">
        <v>6.0000000000000001E-3</v>
      </c>
      <c r="I3476" s="995"/>
      <c r="J3476" s="996"/>
      <c r="K3476" s="997"/>
      <c r="L3476" s="99"/>
      <c r="M3476" s="100"/>
    </row>
    <row r="3477" spans="4:13" ht="24">
      <c r="E3477" s="629">
        <v>45538</v>
      </c>
      <c r="F3477" s="635">
        <v>7.0000000000000001E-3</v>
      </c>
      <c r="G3477" s="635" t="s">
        <v>903</v>
      </c>
      <c r="H3477" s="635">
        <v>5.0000000000000001E-3</v>
      </c>
      <c r="I3477" s="995"/>
      <c r="J3477" s="996"/>
      <c r="K3477" s="997"/>
      <c r="L3477" s="99"/>
      <c r="M3477" s="100"/>
    </row>
    <row r="3478" spans="4:13" ht="24">
      <c r="E3478" s="629">
        <v>45442</v>
      </c>
      <c r="F3478" s="635">
        <v>5.0000000000000001E-3</v>
      </c>
      <c r="G3478" s="635" t="s">
        <v>467</v>
      </c>
      <c r="H3478" s="635">
        <v>3.0000000000000001E-3</v>
      </c>
      <c r="I3478" s="995"/>
      <c r="J3478" s="996"/>
      <c r="K3478" s="997"/>
      <c r="L3478" s="649"/>
      <c r="M3478" s="100"/>
    </row>
    <row r="3479" spans="4:13" ht="24">
      <c r="E3479" s="629">
        <v>45351</v>
      </c>
      <c r="F3479" s="635">
        <v>3.0000000000000001E-3</v>
      </c>
      <c r="G3479" s="635" t="s">
        <v>462</v>
      </c>
      <c r="H3479" s="635">
        <v>3.0000000000000001E-3</v>
      </c>
      <c r="I3479" s="995"/>
      <c r="J3479" s="996"/>
      <c r="K3479" s="997"/>
      <c r="L3479" s="99"/>
      <c r="M3479" s="100"/>
    </row>
    <row r="3480" spans="4:13" ht="24">
      <c r="E3480" s="629">
        <v>45261</v>
      </c>
      <c r="F3480" s="635">
        <v>3.0000000000000001E-3</v>
      </c>
      <c r="G3480" s="635" t="s">
        <v>462</v>
      </c>
      <c r="H3480" s="635">
        <v>-1E-3</v>
      </c>
      <c r="I3480" s="995"/>
      <c r="J3480" s="996"/>
      <c r="K3480" s="997"/>
      <c r="L3480" s="99"/>
      <c r="M3480" s="100"/>
    </row>
    <row r="3481" spans="4:13" ht="25" thickBot="1">
      <c r="E3481" s="629">
        <v>45173</v>
      </c>
      <c r="F3481" s="635">
        <v>0</v>
      </c>
      <c r="G3481" s="635" t="s">
        <v>462</v>
      </c>
      <c r="H3481" s="635">
        <v>3.0000000000000001E-3</v>
      </c>
      <c r="I3481" s="998"/>
      <c r="J3481" s="999"/>
      <c r="K3481" s="1000"/>
      <c r="L3481" s="102"/>
      <c r="M3481" s="103"/>
    </row>
    <row r="3482" spans="4:13" ht="25" thickBot="1">
      <c r="D3482" t="s">
        <v>105</v>
      </c>
      <c r="E3482" s="624" t="s">
        <v>30</v>
      </c>
      <c r="F3482" s="1057" t="s">
        <v>1630</v>
      </c>
      <c r="G3482" s="1058"/>
      <c r="H3482" s="1059"/>
      <c r="I3482" s="1060" t="s">
        <v>633</v>
      </c>
      <c r="J3482" s="1061"/>
      <c r="K3482" s="1062"/>
      <c r="L3482" s="158" t="s">
        <v>430</v>
      </c>
      <c r="M3482" s="105" t="s">
        <v>431</v>
      </c>
    </row>
    <row r="3483" spans="4:13" ht="24">
      <c r="E3483" s="625" t="s">
        <v>432</v>
      </c>
      <c r="F3483" s="992"/>
      <c r="G3483" s="993"/>
      <c r="H3483" s="994"/>
      <c r="I3483" s="995" t="s">
        <v>1631</v>
      </c>
      <c r="J3483" s="996"/>
      <c r="K3483" s="997"/>
      <c r="L3483" s="99"/>
      <c r="M3483" s="100"/>
    </row>
    <row r="3484" spans="4:13" ht="24">
      <c r="E3484" s="626" t="s">
        <v>433</v>
      </c>
      <c r="F3484" s="1063"/>
      <c r="G3484" s="1064"/>
      <c r="H3484" s="1065"/>
      <c r="I3484" s="995"/>
      <c r="J3484" s="996"/>
      <c r="K3484" s="997"/>
      <c r="L3484" s="99"/>
      <c r="M3484" s="100"/>
    </row>
    <row r="3485" spans="4:13" ht="25" thickBot="1">
      <c r="E3485" s="626" t="s">
        <v>434</v>
      </c>
      <c r="F3485" s="1063">
        <v>-2.1999999999999999E-2</v>
      </c>
      <c r="G3485" s="1064"/>
      <c r="H3485" s="1065"/>
      <c r="I3485" s="995"/>
      <c r="J3485" s="996"/>
      <c r="K3485" s="997"/>
      <c r="L3485" s="99"/>
      <c r="M3485" s="100"/>
    </row>
    <row r="3486" spans="4:13" ht="25" thickBot="1">
      <c r="E3486" s="627" t="s">
        <v>435</v>
      </c>
      <c r="F3486" s="1007">
        <v>0.5625</v>
      </c>
      <c r="G3486" s="1008"/>
      <c r="H3486" s="1009"/>
      <c r="I3486" s="995"/>
      <c r="J3486" s="996"/>
      <c r="K3486" s="997"/>
      <c r="L3486" s="647">
        <v>0.79166666666666663</v>
      </c>
      <c r="M3486" s="648">
        <v>0.64583333333333326</v>
      </c>
    </row>
    <row r="3487" spans="4:13" ht="25" thickBot="1">
      <c r="E3487" s="628" t="s">
        <v>436</v>
      </c>
      <c r="F3487" s="200" t="s">
        <v>29</v>
      </c>
      <c r="G3487" s="200" t="s">
        <v>28</v>
      </c>
      <c r="H3487" s="201" t="s">
        <v>27</v>
      </c>
      <c r="I3487" s="995"/>
      <c r="J3487" s="996"/>
      <c r="K3487" s="997"/>
      <c r="L3487" s="330"/>
      <c r="M3487" s="650"/>
    </row>
    <row r="3488" spans="4:13" ht="24">
      <c r="E3488" s="629">
        <v>45685</v>
      </c>
      <c r="F3488" s="635">
        <v>-2.1999999999999999E-2</v>
      </c>
      <c r="G3488" s="635" t="s">
        <v>467</v>
      </c>
      <c r="H3488" s="635">
        <v>-0.02</v>
      </c>
      <c r="I3488" s="995"/>
      <c r="J3488" s="996"/>
      <c r="K3488" s="997"/>
      <c r="L3488" s="99"/>
      <c r="M3488" s="100"/>
    </row>
    <row r="3489" spans="4:13" ht="24">
      <c r="E3489" s="629">
        <v>45649</v>
      </c>
      <c r="F3489" s="635">
        <v>-1.0999999999999999E-2</v>
      </c>
      <c r="G3489" s="635" t="s">
        <v>454</v>
      </c>
      <c r="H3489" s="635">
        <v>8.0000000000000002E-3</v>
      </c>
      <c r="I3489" s="995"/>
      <c r="J3489" s="996"/>
      <c r="K3489" s="997"/>
      <c r="L3489" s="99"/>
      <c r="M3489" s="100"/>
    </row>
    <row r="3490" spans="4:13" ht="24">
      <c r="E3490" s="629">
        <v>45623</v>
      </c>
      <c r="F3490" s="635">
        <v>2E-3</v>
      </c>
      <c r="G3490" s="635" t="s">
        <v>1315</v>
      </c>
      <c r="H3490" s="635">
        <v>-4.0000000000000001E-3</v>
      </c>
      <c r="I3490" s="995"/>
      <c r="J3490" s="996"/>
      <c r="K3490" s="997"/>
      <c r="L3490" s="649"/>
      <c r="M3490" s="100"/>
    </row>
    <row r="3491" spans="4:13" ht="24">
      <c r="E3491" s="629">
        <v>45590</v>
      </c>
      <c r="F3491" s="635">
        <v>-8.0000000000000002E-3</v>
      </c>
      <c r="G3491" s="635" t="s">
        <v>1110</v>
      </c>
      <c r="H3491" s="635">
        <v>-8.0000000000000002E-3</v>
      </c>
      <c r="I3491" s="995"/>
      <c r="J3491" s="996"/>
      <c r="K3491" s="997"/>
      <c r="L3491" s="99"/>
      <c r="M3491" s="100"/>
    </row>
    <row r="3492" spans="4:13" ht="24">
      <c r="E3492" s="629">
        <v>45561</v>
      </c>
      <c r="F3492" s="635">
        <v>0</v>
      </c>
      <c r="G3492" s="635" t="s">
        <v>778</v>
      </c>
      <c r="H3492" s="635">
        <v>9.9000000000000005E-2</v>
      </c>
      <c r="I3492" s="995"/>
      <c r="J3492" s="996"/>
      <c r="K3492" s="997"/>
      <c r="L3492" s="99"/>
      <c r="M3492" s="100"/>
    </row>
    <row r="3493" spans="4:13" ht="25" thickBot="1">
      <c r="E3493" s="629">
        <v>45530</v>
      </c>
      <c r="F3493" s="635">
        <v>9.9000000000000005E-2</v>
      </c>
      <c r="G3493" s="635" t="s">
        <v>630</v>
      </c>
      <c r="H3493" s="635">
        <v>-6.9000000000000006E-2</v>
      </c>
      <c r="I3493" s="998"/>
      <c r="J3493" s="999"/>
      <c r="K3493" s="1000"/>
      <c r="L3493" s="102"/>
      <c r="M3493" s="103"/>
    </row>
    <row r="3494" spans="4:13" ht="25" thickBot="1">
      <c r="D3494" t="s">
        <v>105</v>
      </c>
      <c r="E3494" s="624" t="s">
        <v>30</v>
      </c>
      <c r="F3494" s="1057" t="s">
        <v>1516</v>
      </c>
      <c r="G3494" s="1058"/>
      <c r="H3494" s="1059"/>
      <c r="I3494" s="1060" t="s">
        <v>633</v>
      </c>
      <c r="J3494" s="1061"/>
      <c r="K3494" s="1062"/>
      <c r="L3494" s="158" t="s">
        <v>430</v>
      </c>
      <c r="M3494" s="105" t="s">
        <v>431</v>
      </c>
    </row>
    <row r="3495" spans="4:13" ht="24">
      <c r="E3495" s="625" t="s">
        <v>432</v>
      </c>
      <c r="F3495" s="992"/>
      <c r="G3495" s="993"/>
      <c r="H3495" s="994"/>
      <c r="I3495" s="995" t="s">
        <v>1632</v>
      </c>
      <c r="J3495" s="996"/>
      <c r="K3495" s="997"/>
      <c r="L3495" s="99"/>
      <c r="M3495" s="100"/>
    </row>
    <row r="3496" spans="4:13" ht="24">
      <c r="E3496" s="626" t="s">
        <v>433</v>
      </c>
      <c r="F3496" s="1063"/>
      <c r="G3496" s="1064"/>
      <c r="H3496" s="1065"/>
      <c r="I3496" s="995"/>
      <c r="J3496" s="996"/>
      <c r="K3496" s="997"/>
      <c r="L3496" s="99"/>
      <c r="M3496" s="100"/>
    </row>
    <row r="3497" spans="4:13" ht="25" thickBot="1">
      <c r="E3497" s="626" t="s">
        <v>434</v>
      </c>
      <c r="F3497" s="1063">
        <v>2.3E-2</v>
      </c>
      <c r="G3497" s="1064"/>
      <c r="H3497" s="1065"/>
      <c r="I3497" s="995"/>
      <c r="J3497" s="996"/>
      <c r="K3497" s="997"/>
      <c r="L3497" s="99"/>
      <c r="M3497" s="100"/>
    </row>
    <row r="3498" spans="4:13" ht="25" thickBot="1">
      <c r="E3498" s="627" t="s">
        <v>435</v>
      </c>
      <c r="F3498" s="1007">
        <v>0.5625</v>
      </c>
      <c r="G3498" s="1008"/>
      <c r="H3498" s="1009"/>
      <c r="I3498" s="995"/>
      <c r="J3498" s="996"/>
      <c r="K3498" s="997"/>
      <c r="L3498" s="647">
        <v>0.79166666666666663</v>
      </c>
      <c r="M3498" s="648">
        <v>0.64583333333333326</v>
      </c>
    </row>
    <row r="3499" spans="4:13" ht="25" thickBot="1">
      <c r="E3499" s="628" t="s">
        <v>436</v>
      </c>
      <c r="F3499" s="200" t="s">
        <v>29</v>
      </c>
      <c r="G3499" s="200" t="s">
        <v>28</v>
      </c>
      <c r="H3499" s="201" t="s">
        <v>27</v>
      </c>
      <c r="I3499" s="995"/>
      <c r="J3499" s="996"/>
      <c r="K3499" s="997"/>
      <c r="L3499" s="330"/>
      <c r="M3499" s="650"/>
    </row>
    <row r="3500" spans="4:13" ht="24">
      <c r="D3500" t="s">
        <v>105</v>
      </c>
      <c r="E3500" s="629">
        <v>45687</v>
      </c>
      <c r="F3500" s="635">
        <v>2.3E-2</v>
      </c>
      <c r="G3500" s="635" t="s">
        <v>665</v>
      </c>
      <c r="H3500" s="635">
        <v>3.1E-2</v>
      </c>
      <c r="I3500" s="995"/>
      <c r="J3500" s="996"/>
      <c r="K3500" s="997"/>
      <c r="L3500" s="99"/>
      <c r="M3500" s="100"/>
    </row>
    <row r="3501" spans="4:13" ht="24">
      <c r="D3501" t="s">
        <v>1653</v>
      </c>
      <c r="E3501" s="629">
        <v>45645</v>
      </c>
      <c r="F3501" s="635">
        <v>3.1E-2</v>
      </c>
      <c r="G3501" s="635" t="s">
        <v>666</v>
      </c>
      <c r="H3501" s="635">
        <v>0.03</v>
      </c>
      <c r="I3501" s="995"/>
      <c r="J3501" s="996"/>
      <c r="K3501" s="997"/>
      <c r="L3501" s="99"/>
      <c r="M3501" s="100"/>
    </row>
    <row r="3502" spans="4:13" ht="24">
      <c r="D3502" t="s">
        <v>1652</v>
      </c>
      <c r="E3502" s="629">
        <v>45623</v>
      </c>
      <c r="F3502" s="635">
        <v>2.8000000000000001E-2</v>
      </c>
      <c r="G3502" s="635" t="s">
        <v>666</v>
      </c>
      <c r="H3502" s="635">
        <v>0.03</v>
      </c>
      <c r="I3502" s="995"/>
      <c r="J3502" s="996"/>
      <c r="K3502" s="997"/>
      <c r="L3502" s="649"/>
      <c r="M3502" s="100"/>
    </row>
    <row r="3503" spans="4:13" ht="24">
      <c r="D3503" t="s">
        <v>1652</v>
      </c>
      <c r="E3503" s="629">
        <v>45595</v>
      </c>
      <c r="F3503" s="635">
        <v>2.8000000000000001E-2</v>
      </c>
      <c r="G3503" s="635" t="s">
        <v>669</v>
      </c>
      <c r="H3503" s="635">
        <v>0.03</v>
      </c>
      <c r="I3503" s="995"/>
      <c r="J3503" s="996"/>
      <c r="K3503" s="997"/>
      <c r="L3503" s="99"/>
      <c r="M3503" s="100"/>
    </row>
    <row r="3504" spans="4:13" ht="24">
      <c r="D3504" t="s">
        <v>1652</v>
      </c>
      <c r="E3504" s="629">
        <v>45561</v>
      </c>
      <c r="F3504" s="635">
        <v>0.03</v>
      </c>
      <c r="G3504" s="635" t="s">
        <v>669</v>
      </c>
      <c r="H3504" s="635">
        <v>1.6E-2</v>
      </c>
      <c r="I3504" s="995"/>
      <c r="J3504" s="996"/>
      <c r="K3504" s="997"/>
      <c r="L3504" s="99"/>
      <c r="M3504" s="100"/>
    </row>
    <row r="3505" spans="4:13" ht="25" thickBot="1">
      <c r="D3505" t="s">
        <v>1653</v>
      </c>
      <c r="E3505" s="629">
        <v>45533</v>
      </c>
      <c r="F3505" s="635">
        <v>0.03</v>
      </c>
      <c r="G3505" s="635" t="s">
        <v>666</v>
      </c>
      <c r="H3505" s="635">
        <v>1.4E-2</v>
      </c>
      <c r="I3505" s="998"/>
      <c r="J3505" s="999"/>
      <c r="K3505" s="1000"/>
      <c r="L3505" s="102"/>
      <c r="M3505" s="103"/>
    </row>
    <row r="3506" spans="4:13" ht="25" thickBot="1">
      <c r="D3506" t="s">
        <v>105</v>
      </c>
      <c r="E3506" s="624" t="s">
        <v>30</v>
      </c>
      <c r="F3506" s="1057" t="s">
        <v>1421</v>
      </c>
      <c r="G3506" s="1058"/>
      <c r="H3506" s="1059"/>
      <c r="I3506" s="1060" t="s">
        <v>633</v>
      </c>
      <c r="J3506" s="1061"/>
      <c r="K3506" s="1062"/>
      <c r="L3506" s="158" t="s">
        <v>430</v>
      </c>
      <c r="M3506" s="105" t="s">
        <v>431</v>
      </c>
    </row>
    <row r="3507" spans="4:13" ht="24">
      <c r="E3507" s="625" t="s">
        <v>432</v>
      </c>
      <c r="F3507" s="992"/>
      <c r="G3507" s="993"/>
      <c r="H3507" s="994"/>
      <c r="I3507" s="995" t="s">
        <v>1633</v>
      </c>
      <c r="J3507" s="996"/>
      <c r="K3507" s="997"/>
      <c r="L3507" s="99"/>
      <c r="M3507" s="100"/>
    </row>
    <row r="3508" spans="4:13" ht="24">
      <c r="E3508" s="626" t="s">
        <v>433</v>
      </c>
      <c r="F3508" s="1063"/>
      <c r="G3508" s="1064"/>
      <c r="H3508" s="1065"/>
      <c r="I3508" s="995"/>
      <c r="J3508" s="996"/>
      <c r="K3508" s="997"/>
      <c r="L3508" s="99"/>
      <c r="M3508" s="100"/>
    </row>
    <row r="3509" spans="4:13" ht="25" thickBot="1">
      <c r="E3509" s="626" t="s">
        <v>434</v>
      </c>
      <c r="F3509" s="1063"/>
      <c r="G3509" s="1064"/>
      <c r="H3509" s="1065"/>
      <c r="I3509" s="995"/>
      <c r="J3509" s="996"/>
      <c r="K3509" s="997"/>
      <c r="L3509" s="99"/>
      <c r="M3509" s="100"/>
    </row>
    <row r="3510" spans="4:13" ht="25" thickBot="1">
      <c r="E3510" s="627" t="s">
        <v>435</v>
      </c>
      <c r="F3510" s="1007">
        <v>0.5625</v>
      </c>
      <c r="G3510" s="1008"/>
      <c r="H3510" s="1009"/>
      <c r="I3510" s="995"/>
      <c r="J3510" s="996"/>
      <c r="K3510" s="997"/>
      <c r="L3510" s="647">
        <v>0.79166666666666663</v>
      </c>
      <c r="M3510" s="648">
        <v>0.64583333333333326</v>
      </c>
    </row>
    <row r="3511" spans="4:13" ht="25" thickBot="1">
      <c r="E3511" s="628" t="s">
        <v>436</v>
      </c>
      <c r="F3511" s="200" t="s">
        <v>29</v>
      </c>
      <c r="G3511" s="200" t="s">
        <v>28</v>
      </c>
      <c r="H3511" s="201" t="s">
        <v>27</v>
      </c>
      <c r="I3511" s="995"/>
      <c r="J3511" s="996"/>
      <c r="K3511" s="997"/>
      <c r="L3511" s="330"/>
      <c r="M3511" s="650"/>
    </row>
    <row r="3512" spans="4:13" ht="24">
      <c r="E3512" s="629">
        <v>45708</v>
      </c>
      <c r="F3512" s="635" t="s">
        <v>1090</v>
      </c>
      <c r="G3512" s="635" t="s">
        <v>1439</v>
      </c>
      <c r="H3512" s="635" t="s">
        <v>1111</v>
      </c>
      <c r="I3512" s="995"/>
      <c r="J3512" s="996"/>
      <c r="K3512" s="997"/>
      <c r="L3512" s="99"/>
      <c r="M3512" s="100"/>
    </row>
    <row r="3513" spans="4:13" ht="24">
      <c r="E3513" s="629">
        <v>45701</v>
      </c>
      <c r="F3513" s="635" t="s">
        <v>1111</v>
      </c>
      <c r="G3513" s="635" t="s">
        <v>1031</v>
      </c>
      <c r="H3513" s="635" t="s">
        <v>1112</v>
      </c>
      <c r="I3513" s="995"/>
      <c r="J3513" s="996"/>
      <c r="K3513" s="997"/>
      <c r="L3513" s="99"/>
      <c r="M3513" s="100"/>
    </row>
    <row r="3514" spans="4:13" ht="24">
      <c r="E3514" s="629">
        <v>45694</v>
      </c>
      <c r="F3514" s="635" t="s">
        <v>987</v>
      </c>
      <c r="G3514" s="635" t="s">
        <v>1439</v>
      </c>
      <c r="H3514" s="635" t="s">
        <v>1654</v>
      </c>
      <c r="I3514" s="995"/>
      <c r="J3514" s="996"/>
      <c r="K3514" s="997"/>
      <c r="L3514" s="649"/>
      <c r="M3514" s="100"/>
    </row>
    <row r="3515" spans="4:13" ht="24">
      <c r="E3515" s="629">
        <v>45687</v>
      </c>
      <c r="F3515" s="635" t="s">
        <v>1612</v>
      </c>
      <c r="G3515" s="635" t="s">
        <v>1032</v>
      </c>
      <c r="H3515" s="635" t="s">
        <v>973</v>
      </c>
      <c r="I3515" s="995"/>
      <c r="J3515" s="996"/>
      <c r="K3515" s="997"/>
      <c r="L3515" s="99"/>
      <c r="M3515" s="100"/>
    </row>
    <row r="3516" spans="4:13" ht="24">
      <c r="E3516" s="629">
        <v>45680</v>
      </c>
      <c r="F3516" s="635" t="s">
        <v>973</v>
      </c>
      <c r="G3516" s="635" t="s">
        <v>972</v>
      </c>
      <c r="H3516" s="635" t="s">
        <v>1031</v>
      </c>
      <c r="I3516" s="995"/>
      <c r="J3516" s="996"/>
      <c r="K3516" s="997"/>
      <c r="L3516" s="99"/>
      <c r="M3516" s="100"/>
    </row>
    <row r="3517" spans="4:13" ht="25" thickBot="1">
      <c r="E3517" s="629">
        <v>45673</v>
      </c>
      <c r="F3517" s="635" t="s">
        <v>1031</v>
      </c>
      <c r="G3517" s="635" t="s">
        <v>1554</v>
      </c>
      <c r="H3517" s="635" t="s">
        <v>1555</v>
      </c>
      <c r="I3517" s="998"/>
      <c r="J3517" s="999"/>
      <c r="K3517" s="1000"/>
      <c r="L3517" s="102"/>
      <c r="M3517" s="103"/>
    </row>
    <row r="3518" spans="4:13" ht="25" thickBot="1">
      <c r="D3518" t="s">
        <v>105</v>
      </c>
      <c r="E3518" s="628" t="s">
        <v>30</v>
      </c>
      <c r="F3518" s="986" t="s">
        <v>1634</v>
      </c>
      <c r="G3518" s="987"/>
      <c r="H3518" s="988"/>
      <c r="I3518" s="989" t="s">
        <v>633</v>
      </c>
      <c r="J3518" s="990"/>
      <c r="K3518" s="991"/>
      <c r="L3518" s="658" t="s">
        <v>430</v>
      </c>
      <c r="M3518" s="659" t="s">
        <v>431</v>
      </c>
    </row>
    <row r="3519" spans="4:13" ht="24">
      <c r="E3519" s="625" t="s">
        <v>432</v>
      </c>
      <c r="F3519" s="992"/>
      <c r="G3519" s="993"/>
      <c r="H3519" s="994"/>
      <c r="I3519" s="995" t="s">
        <v>1635</v>
      </c>
      <c r="J3519" s="996"/>
      <c r="K3519" s="997"/>
      <c r="L3519" s="99"/>
      <c r="M3519" s="100"/>
    </row>
    <row r="3520" spans="4:13" ht="24">
      <c r="E3520" s="626" t="s">
        <v>433</v>
      </c>
      <c r="F3520" s="1004"/>
      <c r="G3520" s="1005"/>
      <c r="H3520" s="1006"/>
      <c r="I3520" s="995"/>
      <c r="J3520" s="996"/>
      <c r="K3520" s="997"/>
      <c r="L3520" s="99"/>
      <c r="M3520" s="100"/>
    </row>
    <row r="3521" spans="4:13" ht="25" thickBot="1">
      <c r="E3521" s="626" t="s">
        <v>434</v>
      </c>
      <c r="F3521" s="1004">
        <v>-2E-3</v>
      </c>
      <c r="G3521" s="1005"/>
      <c r="H3521" s="1006"/>
      <c r="I3521" s="995"/>
      <c r="J3521" s="996"/>
      <c r="K3521" s="997"/>
      <c r="L3521" s="99"/>
      <c r="M3521" s="100"/>
    </row>
    <row r="3522" spans="4:13" ht="25" thickBot="1">
      <c r="E3522" s="627" t="s">
        <v>435</v>
      </c>
      <c r="F3522" s="1007">
        <v>0.54166666666666674</v>
      </c>
      <c r="G3522" s="1008"/>
      <c r="H3522" s="1009"/>
      <c r="I3522" s="995"/>
      <c r="J3522" s="996"/>
      <c r="K3522" s="997"/>
      <c r="L3522" s="647">
        <v>0.77083333333333337</v>
      </c>
      <c r="M3522" s="648">
        <v>0.625</v>
      </c>
    </row>
    <row r="3523" spans="4:13" ht="25" thickBot="1">
      <c r="E3523" s="628" t="s">
        <v>436</v>
      </c>
      <c r="F3523" s="200" t="s">
        <v>29</v>
      </c>
      <c r="G3523" s="200" t="s">
        <v>28</v>
      </c>
      <c r="H3523" s="201" t="s">
        <v>27</v>
      </c>
      <c r="I3523" s="995"/>
      <c r="J3523" s="996"/>
      <c r="K3523" s="997"/>
      <c r="L3523" s="330"/>
      <c r="M3523" s="650"/>
    </row>
    <row r="3524" spans="4:13" ht="24">
      <c r="E3524" s="629">
        <v>45701</v>
      </c>
      <c r="F3524" s="632">
        <v>-2E-3</v>
      </c>
      <c r="G3524" s="632" t="s">
        <v>461</v>
      </c>
      <c r="H3524" s="632">
        <v>5.0000000000000001E-3</v>
      </c>
      <c r="I3524" s="995"/>
      <c r="J3524" s="996"/>
      <c r="K3524" s="997"/>
      <c r="L3524" s="99"/>
      <c r="M3524" s="100"/>
    </row>
    <row r="3525" spans="4:13" ht="24">
      <c r="E3525" s="629">
        <v>45688</v>
      </c>
      <c r="F3525" s="632">
        <v>-2E-3</v>
      </c>
      <c r="G3525" s="632" t="s">
        <v>462</v>
      </c>
      <c r="H3525" s="632">
        <v>5.0000000000000001E-3</v>
      </c>
      <c r="I3525" s="995"/>
      <c r="J3525" s="996"/>
      <c r="K3525" s="997"/>
      <c r="L3525" s="99"/>
      <c r="M3525" s="100"/>
    </row>
    <row r="3526" spans="4:13" ht="24">
      <c r="E3526" s="629">
        <v>45673</v>
      </c>
      <c r="F3526" s="632">
        <v>5.0000000000000001E-3</v>
      </c>
      <c r="G3526" s="632" t="s">
        <v>452</v>
      </c>
      <c r="H3526" s="632">
        <v>-2E-3</v>
      </c>
      <c r="I3526" s="995"/>
      <c r="J3526" s="996"/>
      <c r="K3526" s="997"/>
      <c r="L3526" s="649"/>
      <c r="M3526" s="100"/>
    </row>
    <row r="3527" spans="4:13" ht="24">
      <c r="E3527" s="629">
        <v>45663</v>
      </c>
      <c r="F3527" s="632">
        <v>4.0000000000000001E-3</v>
      </c>
      <c r="G3527" s="632" t="s">
        <v>467</v>
      </c>
      <c r="H3527" s="632">
        <v>-2E-3</v>
      </c>
      <c r="I3527" s="995"/>
      <c r="J3527" s="996"/>
      <c r="K3527" s="997"/>
      <c r="L3527" s="99"/>
      <c r="M3527" s="100"/>
    </row>
    <row r="3528" spans="4:13" ht="24">
      <c r="E3528" s="629">
        <v>45636</v>
      </c>
      <c r="F3528" s="632">
        <v>-2E-3</v>
      </c>
      <c r="G3528" s="632" t="s">
        <v>461</v>
      </c>
      <c r="H3528" s="632">
        <v>4.0000000000000001E-3</v>
      </c>
      <c r="I3528" s="995"/>
      <c r="J3528" s="996"/>
      <c r="K3528" s="997"/>
      <c r="L3528" s="99" t="s">
        <v>1598</v>
      </c>
      <c r="M3528" s="100"/>
    </row>
    <row r="3529" spans="4:13" ht="25" thickBot="1">
      <c r="E3529" s="629">
        <v>45624</v>
      </c>
      <c r="F3529" s="632">
        <v>-2E-3</v>
      </c>
      <c r="G3529" s="632" t="s">
        <v>461</v>
      </c>
      <c r="H3529" s="632">
        <v>4.0000000000000001E-3</v>
      </c>
      <c r="I3529" s="998"/>
      <c r="J3529" s="999"/>
      <c r="K3529" s="1000"/>
      <c r="L3529" s="102"/>
      <c r="M3529" s="103"/>
    </row>
    <row r="3530" spans="4:13" ht="25" thickBot="1">
      <c r="D3530" t="s">
        <v>105</v>
      </c>
      <c r="E3530" s="624" t="s">
        <v>30</v>
      </c>
      <c r="F3530" s="1057" t="s">
        <v>1636</v>
      </c>
      <c r="G3530" s="1058"/>
      <c r="H3530" s="1059"/>
      <c r="I3530" s="1060" t="s">
        <v>633</v>
      </c>
      <c r="J3530" s="1061"/>
      <c r="K3530" s="1062"/>
      <c r="L3530" s="158" t="s">
        <v>430</v>
      </c>
      <c r="M3530" s="105" t="s">
        <v>431</v>
      </c>
    </row>
    <row r="3531" spans="4:13" ht="24">
      <c r="E3531" s="625" t="s">
        <v>432</v>
      </c>
      <c r="F3531" s="992"/>
      <c r="G3531" s="993"/>
      <c r="H3531" s="994"/>
      <c r="I3531" s="995" t="s">
        <v>1637</v>
      </c>
      <c r="J3531" s="996"/>
      <c r="K3531" s="997"/>
      <c r="L3531" s="99"/>
      <c r="M3531" s="100"/>
    </row>
    <row r="3532" spans="4:13" ht="24">
      <c r="E3532" s="626" t="s">
        <v>433</v>
      </c>
      <c r="F3532" s="1063"/>
      <c r="G3532" s="1064"/>
      <c r="H3532" s="1065"/>
      <c r="I3532" s="995"/>
      <c r="J3532" s="996"/>
      <c r="K3532" s="997"/>
      <c r="L3532" s="99"/>
      <c r="M3532" s="100"/>
    </row>
    <row r="3533" spans="4:13" ht="25" thickBot="1">
      <c r="E3533" s="626" t="s">
        <v>434</v>
      </c>
      <c r="F3533" s="1072">
        <v>2E-3</v>
      </c>
      <c r="G3533" s="1073"/>
      <c r="H3533" s="1074"/>
      <c r="I3533" s="995"/>
      <c r="J3533" s="996"/>
      <c r="K3533" s="997"/>
      <c r="L3533" s="99"/>
      <c r="M3533" s="100"/>
    </row>
    <row r="3534" spans="4:13" ht="25" thickBot="1">
      <c r="E3534" s="627" t="s">
        <v>435</v>
      </c>
      <c r="F3534" s="1007">
        <v>0.5625</v>
      </c>
      <c r="G3534" s="1008"/>
      <c r="H3534" s="1009"/>
      <c r="I3534" s="995"/>
      <c r="J3534" s="996"/>
      <c r="K3534" s="997"/>
      <c r="L3534" s="647">
        <v>0.79166666666666663</v>
      </c>
      <c r="M3534" s="648">
        <v>0.64583333333333326</v>
      </c>
    </row>
    <row r="3535" spans="4:13" ht="25" thickBot="1">
      <c r="E3535" s="628" t="s">
        <v>436</v>
      </c>
      <c r="F3535" s="200" t="s">
        <v>29</v>
      </c>
      <c r="G3535" s="200" t="s">
        <v>28</v>
      </c>
      <c r="H3535" s="201" t="s">
        <v>27</v>
      </c>
      <c r="I3535" s="995"/>
      <c r="J3535" s="996"/>
      <c r="K3535" s="997"/>
      <c r="L3535" s="330"/>
      <c r="M3535" s="650"/>
    </row>
    <row r="3536" spans="4:13" ht="24">
      <c r="E3536" s="629">
        <v>45688</v>
      </c>
      <c r="F3536" s="635">
        <v>2E-3</v>
      </c>
      <c r="G3536" s="635" t="s">
        <v>460</v>
      </c>
      <c r="H3536" s="635">
        <v>1E-3</v>
      </c>
      <c r="I3536" s="995"/>
      <c r="J3536" s="996"/>
      <c r="K3536" s="997"/>
      <c r="L3536" s="99"/>
      <c r="M3536" s="100"/>
    </row>
    <row r="3537" spans="4:13" ht="24">
      <c r="E3537" s="629">
        <v>45646</v>
      </c>
      <c r="F3537" s="635">
        <v>1E-3</v>
      </c>
      <c r="G3537" s="635" t="s">
        <v>460</v>
      </c>
      <c r="H3537" s="635">
        <v>3.0000000000000001E-3</v>
      </c>
      <c r="I3537" s="995"/>
      <c r="J3537" s="996"/>
      <c r="K3537" s="997"/>
      <c r="L3537" s="99"/>
      <c r="M3537" s="100"/>
    </row>
    <row r="3538" spans="4:13" ht="24">
      <c r="E3538" s="629">
        <v>45623</v>
      </c>
      <c r="F3538" s="635">
        <v>3.0000000000000001E-3</v>
      </c>
      <c r="G3538" s="635" t="s">
        <v>467</v>
      </c>
      <c r="H3538" s="635">
        <v>3.0000000000000001E-3</v>
      </c>
      <c r="I3538" s="995"/>
      <c r="J3538" s="996"/>
      <c r="K3538" s="997"/>
      <c r="L3538" s="649"/>
      <c r="M3538" s="100"/>
    </row>
    <row r="3539" spans="4:13" ht="24">
      <c r="E3539" s="629">
        <v>45596</v>
      </c>
      <c r="F3539" s="635">
        <v>3.0000000000000001E-3</v>
      </c>
      <c r="G3539" s="635" t="s">
        <v>467</v>
      </c>
      <c r="H3539" s="635">
        <v>2E-3</v>
      </c>
      <c r="I3539" s="995"/>
      <c r="J3539" s="996"/>
      <c r="K3539" s="997"/>
      <c r="L3539" s="99"/>
      <c r="M3539" s="100"/>
    </row>
    <row r="3540" spans="4:13" ht="24">
      <c r="E3540" s="629">
        <v>45562</v>
      </c>
      <c r="F3540" s="635">
        <v>1E-3</v>
      </c>
      <c r="G3540" s="635" t="s">
        <v>460</v>
      </c>
      <c r="H3540" s="635">
        <v>2E-3</v>
      </c>
      <c r="I3540" s="995"/>
      <c r="J3540" s="996"/>
      <c r="K3540" s="997"/>
      <c r="L3540" s="99"/>
      <c r="M3540" s="100"/>
    </row>
    <row r="3541" spans="4:13" ht="25" thickBot="1">
      <c r="E3541" s="629">
        <v>45534</v>
      </c>
      <c r="F3541" s="635">
        <v>2E-3</v>
      </c>
      <c r="G3541" s="635" t="s">
        <v>460</v>
      </c>
      <c r="H3541" s="635">
        <v>2E-3</v>
      </c>
      <c r="I3541" s="998"/>
      <c r="J3541" s="999"/>
      <c r="K3541" s="1000"/>
      <c r="L3541" s="102"/>
      <c r="M3541" s="103"/>
    </row>
    <row r="3542" spans="4:13" ht="25" thickBot="1">
      <c r="D3542" t="s">
        <v>105</v>
      </c>
      <c r="E3542" s="624" t="s">
        <v>30</v>
      </c>
      <c r="F3542" s="1057" t="s">
        <v>1638</v>
      </c>
      <c r="G3542" s="1058"/>
      <c r="H3542" s="1059"/>
      <c r="I3542" s="1060" t="s">
        <v>633</v>
      </c>
      <c r="J3542" s="1061"/>
      <c r="K3542" s="1062"/>
      <c r="L3542" s="158" t="s">
        <v>430</v>
      </c>
      <c r="M3542" s="105" t="s">
        <v>431</v>
      </c>
    </row>
    <row r="3543" spans="4:13" ht="24">
      <c r="E3543" s="625" t="s">
        <v>432</v>
      </c>
      <c r="F3543" s="992"/>
      <c r="G3543" s="993"/>
      <c r="H3543" s="994"/>
      <c r="I3543" s="995" t="s">
        <v>1637</v>
      </c>
      <c r="J3543" s="996"/>
      <c r="K3543" s="997"/>
      <c r="L3543" s="99"/>
      <c r="M3543" s="100"/>
    </row>
    <row r="3544" spans="4:13" ht="24">
      <c r="E3544" s="626" t="s">
        <v>433</v>
      </c>
      <c r="F3544" s="1063"/>
      <c r="G3544" s="1064"/>
      <c r="H3544" s="1065"/>
      <c r="I3544" s="995"/>
      <c r="J3544" s="996"/>
      <c r="K3544" s="997"/>
      <c r="L3544" s="99"/>
      <c r="M3544" s="100"/>
    </row>
    <row r="3545" spans="4:13" ht="25" thickBot="1">
      <c r="E3545" s="626" t="s">
        <v>434</v>
      </c>
      <c r="F3545" s="1096">
        <v>2.8000000000000001E-2</v>
      </c>
      <c r="G3545" s="1097"/>
      <c r="H3545" s="1098"/>
      <c r="I3545" s="995"/>
      <c r="J3545" s="996"/>
      <c r="K3545" s="997"/>
      <c r="L3545" s="99"/>
      <c r="M3545" s="100"/>
    </row>
    <row r="3546" spans="4:13" ht="25" thickBot="1">
      <c r="E3546" s="627" t="s">
        <v>435</v>
      </c>
      <c r="F3546" s="1007">
        <v>0.5625</v>
      </c>
      <c r="G3546" s="1008"/>
      <c r="H3546" s="1009"/>
      <c r="I3546" s="995"/>
      <c r="J3546" s="996"/>
      <c r="K3546" s="997"/>
      <c r="L3546" s="647">
        <v>0.79166666666666663</v>
      </c>
      <c r="M3546" s="648">
        <v>0.64583333333333326</v>
      </c>
    </row>
    <row r="3547" spans="4:13" ht="25" thickBot="1">
      <c r="E3547" s="628" t="s">
        <v>436</v>
      </c>
      <c r="F3547" s="200" t="s">
        <v>29</v>
      </c>
      <c r="G3547" s="200" t="s">
        <v>28</v>
      </c>
      <c r="H3547" s="201" t="s">
        <v>27</v>
      </c>
      <c r="I3547" s="995"/>
      <c r="J3547" s="996"/>
      <c r="K3547" s="997"/>
      <c r="L3547" s="330"/>
      <c r="M3547" s="650"/>
    </row>
    <row r="3548" spans="4:13" ht="24">
      <c r="E3548" s="629">
        <v>45688</v>
      </c>
      <c r="F3548" s="635">
        <v>2.8000000000000001E-2</v>
      </c>
      <c r="G3548" s="635" t="s">
        <v>666</v>
      </c>
      <c r="H3548" s="635">
        <v>2.8000000000000001E-2</v>
      </c>
      <c r="I3548" s="995"/>
      <c r="J3548" s="996"/>
      <c r="K3548" s="997"/>
      <c r="L3548" s="99"/>
      <c r="M3548" s="100"/>
    </row>
    <row r="3549" spans="4:13" ht="24">
      <c r="E3549" s="629">
        <v>45646</v>
      </c>
      <c r="F3549" s="635">
        <v>2.8000000000000001E-2</v>
      </c>
      <c r="G3549" s="635" t="s">
        <v>667</v>
      </c>
      <c r="H3549" s="635">
        <v>2.8000000000000001E-2</v>
      </c>
      <c r="I3549" s="995"/>
      <c r="J3549" s="996"/>
      <c r="K3549" s="997"/>
      <c r="L3549" s="99"/>
      <c r="M3549" s="100"/>
    </row>
    <row r="3550" spans="4:13" ht="24">
      <c r="E3550" s="629">
        <v>45623</v>
      </c>
      <c r="F3550" s="635">
        <v>2.8000000000000001E-2</v>
      </c>
      <c r="G3550" s="635" t="s">
        <v>666</v>
      </c>
      <c r="H3550" s="635">
        <v>2.7E-2</v>
      </c>
      <c r="I3550" s="995"/>
      <c r="J3550" s="996"/>
      <c r="K3550" s="997"/>
      <c r="L3550" s="649"/>
      <c r="M3550" s="100"/>
    </row>
    <row r="3551" spans="4:13" ht="24">
      <c r="E3551" s="629">
        <v>45596</v>
      </c>
      <c r="F3551" s="635">
        <v>2.7E-2</v>
      </c>
      <c r="G3551" s="635" t="s">
        <v>493</v>
      </c>
      <c r="H3551" s="635">
        <v>2.7E-2</v>
      </c>
      <c r="I3551" s="995"/>
      <c r="J3551" s="996"/>
      <c r="K3551" s="997"/>
      <c r="L3551" s="99"/>
      <c r="M3551" s="100"/>
    </row>
    <row r="3552" spans="4:13" ht="24">
      <c r="E3552" s="629">
        <v>45562</v>
      </c>
      <c r="F3552" s="635">
        <v>2.7E-2</v>
      </c>
      <c r="G3552" s="635" t="s">
        <v>665</v>
      </c>
      <c r="H3552" s="635">
        <v>2.5999999999999999E-2</v>
      </c>
      <c r="I3552" s="995"/>
      <c r="J3552" s="996"/>
      <c r="K3552" s="997"/>
      <c r="L3552" s="99"/>
      <c r="M3552" s="100"/>
    </row>
    <row r="3553" spans="4:13" ht="25" thickBot="1">
      <c r="E3553" s="629">
        <v>45534</v>
      </c>
      <c r="F3553" s="635">
        <v>2.5999999999999999E-2</v>
      </c>
      <c r="G3553" s="635" t="s">
        <v>665</v>
      </c>
      <c r="H3553" s="635">
        <v>2.5999999999999999E-2</v>
      </c>
      <c r="I3553" s="998"/>
      <c r="J3553" s="999"/>
      <c r="K3553" s="1000"/>
      <c r="L3553" s="102"/>
      <c r="M3553" s="103"/>
    </row>
    <row r="3554" spans="4:13" ht="25" thickBot="1">
      <c r="D3554" t="s">
        <v>105</v>
      </c>
      <c r="E3554" s="624" t="s">
        <v>30</v>
      </c>
      <c r="F3554" s="1057" t="s">
        <v>1639</v>
      </c>
      <c r="G3554" s="1058"/>
      <c r="H3554" s="1059"/>
      <c r="I3554" s="1060" t="s">
        <v>633</v>
      </c>
      <c r="J3554" s="1061"/>
      <c r="K3554" s="1062"/>
      <c r="L3554" s="158" t="s">
        <v>430</v>
      </c>
      <c r="M3554" s="105" t="s">
        <v>431</v>
      </c>
    </row>
    <row r="3555" spans="4:13" ht="24">
      <c r="E3555" s="625" t="s">
        <v>432</v>
      </c>
      <c r="F3555" s="992"/>
      <c r="G3555" s="993"/>
      <c r="H3555" s="994"/>
      <c r="I3555" s="995" t="s">
        <v>1640</v>
      </c>
      <c r="J3555" s="996"/>
      <c r="K3555" s="997"/>
      <c r="L3555" s="99"/>
      <c r="M3555" s="100"/>
    </row>
    <row r="3556" spans="4:13" ht="24">
      <c r="E3556" s="626" t="s">
        <v>433</v>
      </c>
      <c r="F3556" s="1063"/>
      <c r="G3556" s="1064"/>
      <c r="H3556" s="1065"/>
      <c r="I3556" s="995"/>
      <c r="J3556" s="996"/>
      <c r="K3556" s="997"/>
      <c r="L3556" s="99"/>
      <c r="M3556" s="100"/>
    </row>
    <row r="3557" spans="4:13" ht="25" thickBot="1">
      <c r="E3557" s="626" t="s">
        <v>434</v>
      </c>
      <c r="F3557" s="1075">
        <v>39.5</v>
      </c>
      <c r="G3557" s="1073"/>
      <c r="H3557" s="1074"/>
      <c r="I3557" s="995"/>
      <c r="J3557" s="996"/>
      <c r="K3557" s="997"/>
      <c r="L3557" s="99"/>
      <c r="M3557" s="100"/>
    </row>
    <row r="3558" spans="4:13" ht="25" thickBot="1">
      <c r="E3558" s="627" t="s">
        <v>435</v>
      </c>
      <c r="F3558" s="1007">
        <v>0.61458333333333337</v>
      </c>
      <c r="G3558" s="1008"/>
      <c r="H3558" s="1009"/>
      <c r="I3558" s="995"/>
      <c r="J3558" s="996"/>
      <c r="K3558" s="997"/>
      <c r="L3558" s="647">
        <v>0.84375</v>
      </c>
      <c r="M3558" s="648">
        <v>0.69791666666666663</v>
      </c>
    </row>
    <row r="3559" spans="4:13" ht="25" thickBot="1">
      <c r="E3559" s="628" t="s">
        <v>436</v>
      </c>
      <c r="F3559" s="200" t="s">
        <v>29</v>
      </c>
      <c r="G3559" s="200" t="s">
        <v>28</v>
      </c>
      <c r="H3559" s="201" t="s">
        <v>27</v>
      </c>
      <c r="I3559" s="995"/>
      <c r="J3559" s="996"/>
      <c r="K3559" s="997"/>
      <c r="L3559" s="330"/>
      <c r="M3559" s="650"/>
    </row>
    <row r="3560" spans="4:13" ht="24">
      <c r="E3560" s="629">
        <v>45688</v>
      </c>
      <c r="F3560" s="636">
        <v>39.5</v>
      </c>
      <c r="G3560" s="636" t="s">
        <v>1655</v>
      </c>
      <c r="H3560" s="636">
        <v>36.9</v>
      </c>
      <c r="I3560" s="995"/>
      <c r="J3560" s="996"/>
      <c r="K3560" s="997"/>
      <c r="L3560" s="99"/>
      <c r="M3560" s="100"/>
    </row>
    <row r="3561" spans="4:13" ht="24">
      <c r="E3561" s="629">
        <v>45656</v>
      </c>
      <c r="F3561" s="636">
        <v>36.9</v>
      </c>
      <c r="G3561" s="636" t="s">
        <v>1556</v>
      </c>
      <c r="H3561" s="636">
        <v>40.200000000000003</v>
      </c>
      <c r="I3561" s="995"/>
      <c r="J3561" s="996"/>
      <c r="K3561" s="997"/>
      <c r="L3561" s="99"/>
      <c r="M3561" s="100"/>
    </row>
    <row r="3562" spans="4:13" ht="24">
      <c r="E3562" s="629">
        <v>45625</v>
      </c>
      <c r="F3562" s="636">
        <v>40.200000000000003</v>
      </c>
      <c r="G3562" s="636" t="s">
        <v>477</v>
      </c>
      <c r="H3562" s="636">
        <v>41.6</v>
      </c>
      <c r="I3562" s="995"/>
      <c r="J3562" s="996"/>
      <c r="K3562" s="997"/>
      <c r="L3562" s="649"/>
      <c r="M3562" s="100"/>
    </row>
    <row r="3563" spans="4:13" ht="24">
      <c r="E3563" s="629">
        <v>45596</v>
      </c>
      <c r="F3563" s="636">
        <v>41.6</v>
      </c>
      <c r="G3563" s="636" t="s">
        <v>1126</v>
      </c>
      <c r="H3563" s="636">
        <v>46.6</v>
      </c>
      <c r="I3563" s="995"/>
      <c r="J3563" s="996"/>
      <c r="K3563" s="997"/>
      <c r="L3563" s="99"/>
      <c r="M3563" s="100"/>
    </row>
    <row r="3564" spans="4:13" ht="24">
      <c r="E3564" s="629">
        <v>45565</v>
      </c>
      <c r="F3564" s="636">
        <v>46.6</v>
      </c>
      <c r="G3564" s="636" t="s">
        <v>899</v>
      </c>
      <c r="H3564" s="636">
        <v>46.1</v>
      </c>
      <c r="I3564" s="995"/>
      <c r="J3564" s="996"/>
      <c r="K3564" s="997"/>
      <c r="L3564" s="99"/>
      <c r="M3564" s="100"/>
    </row>
    <row r="3565" spans="4:13" ht="25" thickBot="1">
      <c r="E3565" s="629">
        <v>45534</v>
      </c>
      <c r="F3565" s="636">
        <v>46.1</v>
      </c>
      <c r="G3565" s="636" t="s">
        <v>473</v>
      </c>
      <c r="H3565" s="636">
        <v>45.3</v>
      </c>
      <c r="I3565" s="998"/>
      <c r="J3565" s="999"/>
      <c r="K3565" s="1000"/>
      <c r="L3565" s="102"/>
      <c r="M3565" s="103"/>
    </row>
    <row r="3566" spans="4:13" ht="25" thickBot="1">
      <c r="D3566" t="s">
        <v>105</v>
      </c>
      <c r="E3566" s="624" t="s">
        <v>30</v>
      </c>
      <c r="F3566" s="1057" t="s">
        <v>1641</v>
      </c>
      <c r="G3566" s="1058"/>
      <c r="H3566" s="1059"/>
      <c r="I3566" s="1060" t="s">
        <v>633</v>
      </c>
      <c r="J3566" s="1061"/>
      <c r="K3566" s="1062"/>
      <c r="L3566" s="158" t="s">
        <v>430</v>
      </c>
      <c r="M3566" s="105" t="s">
        <v>431</v>
      </c>
    </row>
    <row r="3567" spans="4:13" ht="24">
      <c r="E3567" s="625" t="s">
        <v>432</v>
      </c>
      <c r="F3567" s="992"/>
      <c r="G3567" s="993"/>
      <c r="H3567" s="994"/>
      <c r="I3567" s="995" t="s">
        <v>1642</v>
      </c>
      <c r="J3567" s="996"/>
      <c r="K3567" s="997"/>
      <c r="L3567" s="99"/>
      <c r="M3567" s="100"/>
    </row>
    <row r="3568" spans="4:13" ht="24">
      <c r="E3568" s="626" t="s">
        <v>433</v>
      </c>
      <c r="F3568" s="1063">
        <v>0</v>
      </c>
      <c r="G3568" s="1064"/>
      <c r="H3568" s="1065"/>
      <c r="I3568" s="995"/>
      <c r="J3568" s="996"/>
      <c r="K3568" s="997"/>
      <c r="L3568" s="99"/>
      <c r="M3568" s="100"/>
    </row>
    <row r="3569" spans="4:13" ht="25" thickBot="1">
      <c r="E3569" s="626" t="s">
        <v>434</v>
      </c>
      <c r="F3569" s="1075">
        <v>0</v>
      </c>
      <c r="G3569" s="1073"/>
      <c r="H3569" s="1074"/>
      <c r="I3569" s="995"/>
      <c r="J3569" s="996"/>
      <c r="K3569" s="997"/>
      <c r="L3569" s="99"/>
      <c r="M3569" s="100"/>
    </row>
    <row r="3570" spans="4:13" ht="25" thickBot="1">
      <c r="E3570" s="627" t="s">
        <v>435</v>
      </c>
      <c r="F3570" s="1007" t="e">
        <v>#VALUE!</v>
      </c>
      <c r="G3570" s="1008"/>
      <c r="H3570" s="1009"/>
      <c r="I3570" s="995"/>
      <c r="J3570" s="996"/>
      <c r="K3570" s="997"/>
      <c r="L3570" s="647" t="s">
        <v>1560</v>
      </c>
      <c r="M3570" s="648" t="e">
        <v>#VALUE!</v>
      </c>
    </row>
    <row r="3571" spans="4:13" ht="25" thickBot="1">
      <c r="E3571" s="628" t="s">
        <v>436</v>
      </c>
      <c r="F3571" s="200" t="s">
        <v>29</v>
      </c>
      <c r="G3571" s="200" t="s">
        <v>28</v>
      </c>
      <c r="H3571" s="201" t="s">
        <v>27</v>
      </c>
      <c r="I3571" s="995"/>
      <c r="J3571" s="996"/>
      <c r="K3571" s="997"/>
      <c r="L3571" s="330"/>
      <c r="M3571" s="650"/>
    </row>
    <row r="3572" spans="4:13" ht="24">
      <c r="E3572" s="629">
        <v>45693</v>
      </c>
      <c r="F3572" s="636">
        <v>52.9</v>
      </c>
      <c r="G3572" s="636" t="s">
        <v>600</v>
      </c>
      <c r="H3572" s="636">
        <v>56.8</v>
      </c>
      <c r="I3572" s="995"/>
      <c r="J3572" s="996"/>
      <c r="K3572" s="997"/>
      <c r="L3572" s="99"/>
      <c r="M3572" s="100"/>
    </row>
    <row r="3573" spans="4:13" ht="24">
      <c r="E3573" s="629">
        <v>45681</v>
      </c>
      <c r="F3573" s="636">
        <v>52.8</v>
      </c>
      <c r="G3573" s="636" t="s">
        <v>1345</v>
      </c>
      <c r="H3573" s="636">
        <v>56.8</v>
      </c>
      <c r="I3573" s="995"/>
      <c r="J3573" s="996"/>
      <c r="K3573" s="997"/>
      <c r="L3573" s="99"/>
      <c r="M3573" s="100"/>
    </row>
    <row r="3574" spans="4:13" ht="24">
      <c r="E3574" s="629">
        <v>45663</v>
      </c>
      <c r="F3574" s="636">
        <v>56.8</v>
      </c>
      <c r="G3574" s="636" t="s">
        <v>1539</v>
      </c>
      <c r="H3574" s="636">
        <v>56.1</v>
      </c>
      <c r="I3574" s="995"/>
      <c r="J3574" s="996"/>
      <c r="K3574" s="997"/>
      <c r="L3574" s="649"/>
      <c r="M3574" s="100"/>
    </row>
    <row r="3575" spans="4:13" ht="24">
      <c r="E3575" s="629">
        <v>45642</v>
      </c>
      <c r="F3575" s="636">
        <v>58.5</v>
      </c>
      <c r="G3575" s="636" t="s">
        <v>1339</v>
      </c>
      <c r="H3575" s="636">
        <v>56.1</v>
      </c>
      <c r="I3575" s="995"/>
      <c r="J3575" s="996"/>
      <c r="K3575" s="997"/>
      <c r="L3575" s="99"/>
      <c r="M3575" s="100"/>
    </row>
    <row r="3576" spans="4:13" ht="24">
      <c r="E3576" s="629">
        <v>45630</v>
      </c>
      <c r="F3576" s="636">
        <v>56.1</v>
      </c>
      <c r="G3576" s="636" t="s">
        <v>1285</v>
      </c>
      <c r="H3576" s="636">
        <v>55</v>
      </c>
      <c r="I3576" s="995"/>
      <c r="J3576" s="996"/>
      <c r="K3576" s="997"/>
      <c r="L3576" s="99"/>
      <c r="M3576" s="100"/>
    </row>
    <row r="3577" spans="4:13" ht="25" thickBot="1">
      <c r="E3577" s="629">
        <v>45618</v>
      </c>
      <c r="F3577" s="636">
        <v>57</v>
      </c>
      <c r="G3577" s="636" t="s">
        <v>586</v>
      </c>
      <c r="H3577" s="636">
        <v>55</v>
      </c>
      <c r="I3577" s="998"/>
      <c r="J3577" s="999"/>
      <c r="K3577" s="1000"/>
      <c r="L3577" s="102"/>
      <c r="M3577" s="103"/>
    </row>
    <row r="3578" spans="4:13" ht="25" thickBot="1">
      <c r="D3578" t="s">
        <v>105</v>
      </c>
      <c r="E3578" s="624" t="s">
        <v>30</v>
      </c>
      <c r="F3578" s="1057" t="s">
        <v>1643</v>
      </c>
      <c r="G3578" s="1058"/>
      <c r="H3578" s="1059"/>
      <c r="I3578" s="1060" t="s">
        <v>633</v>
      </c>
      <c r="J3578" s="1061"/>
      <c r="K3578" s="1062"/>
      <c r="L3578" s="158" t="s">
        <v>430</v>
      </c>
      <c r="M3578" s="105" t="s">
        <v>431</v>
      </c>
    </row>
    <row r="3579" spans="4:13" ht="24">
      <c r="E3579" s="625" t="s">
        <v>432</v>
      </c>
      <c r="F3579" s="992"/>
      <c r="G3579" s="993"/>
      <c r="H3579" s="994"/>
      <c r="I3579" s="995" t="s">
        <v>1478</v>
      </c>
      <c r="J3579" s="996"/>
      <c r="K3579" s="997"/>
      <c r="L3579" s="99"/>
      <c r="M3579" s="100"/>
    </row>
    <row r="3580" spans="4:13" ht="24">
      <c r="E3580" s="626" t="s">
        <v>433</v>
      </c>
      <c r="F3580" s="1063"/>
      <c r="G3580" s="1064"/>
      <c r="H3580" s="1065"/>
      <c r="I3580" s="995"/>
      <c r="J3580" s="996"/>
      <c r="K3580" s="997"/>
      <c r="L3580" s="99"/>
      <c r="M3580" s="100"/>
    </row>
    <row r="3581" spans="4:13" ht="25" thickBot="1">
      <c r="E3581" s="626" t="s">
        <v>434</v>
      </c>
      <c r="F3581" s="1075">
        <v>49.1</v>
      </c>
      <c r="G3581" s="1073"/>
      <c r="H3581" s="1074"/>
      <c r="I3581" s="995"/>
      <c r="J3581" s="996"/>
      <c r="K3581" s="997"/>
      <c r="L3581" s="99"/>
      <c r="M3581" s="100"/>
    </row>
    <row r="3582" spans="4:13" ht="25" thickBot="1">
      <c r="E3582" s="627" t="s">
        <v>435</v>
      </c>
      <c r="F3582" s="1007">
        <v>6.2500000000000028E-2</v>
      </c>
      <c r="G3582" s="1008"/>
      <c r="H3582" s="1009"/>
      <c r="I3582" s="995"/>
      <c r="J3582" s="996"/>
      <c r="K3582" s="997"/>
      <c r="L3582" s="647">
        <v>0.29166666666666669</v>
      </c>
      <c r="M3582" s="648">
        <v>0.14583333333333334</v>
      </c>
    </row>
    <row r="3583" spans="4:13" ht="25" thickBot="1">
      <c r="E3583" s="628" t="s">
        <v>436</v>
      </c>
      <c r="F3583" s="200" t="s">
        <v>29</v>
      </c>
      <c r="G3583" s="200" t="s">
        <v>28</v>
      </c>
      <c r="H3583" s="201" t="s">
        <v>27</v>
      </c>
      <c r="I3583" s="995"/>
      <c r="J3583" s="996"/>
      <c r="K3583" s="997"/>
      <c r="L3583" s="330"/>
      <c r="M3583" s="650"/>
    </row>
    <row r="3584" spans="4:13" ht="24">
      <c r="E3584" s="629">
        <v>45684</v>
      </c>
      <c r="F3584" s="651" t="s">
        <v>1656</v>
      </c>
      <c r="G3584" s="651" t="s">
        <v>1657</v>
      </c>
      <c r="H3584" s="651" t="s">
        <v>1657</v>
      </c>
      <c r="I3584" s="995"/>
      <c r="J3584" s="996"/>
      <c r="K3584" s="997"/>
      <c r="L3584" s="99"/>
      <c r="M3584" s="100"/>
    </row>
    <row r="3585" spans="3:13" ht="24">
      <c r="E3585" s="629">
        <v>45657</v>
      </c>
      <c r="F3585" s="651" t="s">
        <v>1657</v>
      </c>
      <c r="G3585" s="651" t="s">
        <v>1658</v>
      </c>
      <c r="H3585" s="651" t="s">
        <v>1658</v>
      </c>
      <c r="I3585" s="995"/>
      <c r="J3585" s="996"/>
      <c r="K3585" s="997"/>
      <c r="L3585" s="99"/>
      <c r="M3585" s="100"/>
    </row>
    <row r="3586" spans="3:13" ht="24">
      <c r="E3586" s="629">
        <v>45626</v>
      </c>
      <c r="F3586" s="651" t="s">
        <v>1658</v>
      </c>
      <c r="G3586" s="651" t="s">
        <v>1659</v>
      </c>
      <c r="H3586" s="651" t="s">
        <v>1657</v>
      </c>
      <c r="I3586" s="995"/>
      <c r="J3586" s="996"/>
      <c r="K3586" s="997"/>
      <c r="L3586" s="649"/>
      <c r="M3586" s="100"/>
    </row>
    <row r="3587" spans="3:13" ht="24">
      <c r="E3587" s="629">
        <v>45596</v>
      </c>
      <c r="F3587" s="651" t="s">
        <v>1657</v>
      </c>
      <c r="G3587" s="651" t="s">
        <v>1172</v>
      </c>
      <c r="H3587" s="651" t="s">
        <v>1172</v>
      </c>
      <c r="I3587" s="995"/>
      <c r="J3587" s="996"/>
      <c r="K3587" s="997"/>
      <c r="L3587" s="99"/>
      <c r="M3587" s="100"/>
    </row>
    <row r="3588" spans="3:13" ht="24">
      <c r="E3588" s="629">
        <v>45565</v>
      </c>
      <c r="F3588" s="651" t="s">
        <v>1172</v>
      </c>
      <c r="G3588" s="651" t="s">
        <v>1219</v>
      </c>
      <c r="H3588" s="651" t="s">
        <v>1656</v>
      </c>
      <c r="I3588" s="995"/>
      <c r="J3588" s="996"/>
      <c r="K3588" s="997"/>
      <c r="L3588" s="99"/>
      <c r="M3588" s="100"/>
    </row>
    <row r="3589" spans="3:13" ht="25" thickBot="1">
      <c r="E3589" s="629">
        <v>45535</v>
      </c>
      <c r="F3589" s="651" t="s">
        <v>1656</v>
      </c>
      <c r="G3589" s="651" t="s">
        <v>1660</v>
      </c>
      <c r="H3589" s="651" t="s">
        <v>1219</v>
      </c>
      <c r="I3589" s="998"/>
      <c r="J3589" s="999"/>
      <c r="K3589" s="1000"/>
      <c r="L3589" s="102"/>
      <c r="M3589" s="103"/>
    </row>
    <row r="3590" spans="3:13" ht="25" customHeight="1" thickBot="1">
      <c r="C3590" t="s">
        <v>105</v>
      </c>
      <c r="D3590">
        <v>1</v>
      </c>
      <c r="E3590" s="624" t="s">
        <v>30</v>
      </c>
      <c r="F3590" s="1057" t="s">
        <v>1663</v>
      </c>
      <c r="G3590" s="1058"/>
      <c r="H3590" s="1059"/>
      <c r="I3590" s="1060" t="s">
        <v>633</v>
      </c>
      <c r="J3590" s="1061"/>
      <c r="K3590" s="1062"/>
      <c r="L3590" s="158" t="s">
        <v>430</v>
      </c>
      <c r="M3590" s="105" t="s">
        <v>431</v>
      </c>
    </row>
    <row r="3591" spans="3:13" ht="24">
      <c r="E3591" s="625" t="s">
        <v>432</v>
      </c>
      <c r="F3591" s="992"/>
      <c r="G3591" s="993"/>
      <c r="H3591" s="994"/>
      <c r="I3591" s="995" t="s">
        <v>1664</v>
      </c>
      <c r="J3591" s="996"/>
      <c r="K3591" s="997"/>
      <c r="L3591" s="99"/>
      <c r="M3591" s="100"/>
    </row>
    <row r="3592" spans="3:13" ht="24">
      <c r="E3592" s="626" t="s">
        <v>433</v>
      </c>
      <c r="F3592" s="1072"/>
      <c r="G3592" s="1073"/>
      <c r="H3592" s="1074"/>
      <c r="I3592" s="995"/>
      <c r="J3592" s="996"/>
      <c r="K3592" s="997"/>
      <c r="L3592" s="99"/>
      <c r="M3592" s="100"/>
    </row>
    <row r="3593" spans="3:13" ht="25" thickBot="1">
      <c r="E3593" s="626" t="s">
        <v>434</v>
      </c>
      <c r="F3593" s="1075">
        <v>52.7</v>
      </c>
      <c r="G3593" s="1073"/>
      <c r="H3593" s="1074"/>
      <c r="I3593" s="995"/>
      <c r="J3593" s="996"/>
      <c r="K3593" s="997"/>
      <c r="L3593" s="99"/>
      <c r="M3593" s="100"/>
    </row>
    <row r="3594" spans="3:13" ht="25" thickBot="1">
      <c r="E3594" s="627" t="s">
        <v>435</v>
      </c>
      <c r="F3594" s="1007">
        <v>0.57291666666666674</v>
      </c>
      <c r="G3594" s="1008"/>
      <c r="H3594" s="1009"/>
      <c r="I3594" s="995"/>
      <c r="J3594" s="996"/>
      <c r="K3594" s="997"/>
      <c r="L3594" s="647">
        <v>0.80208333333333337</v>
      </c>
      <c r="M3594" s="648">
        <v>0.69791666666666674</v>
      </c>
    </row>
    <row r="3595" spans="3:13" ht="25" thickBot="1">
      <c r="E3595" s="628" t="s">
        <v>436</v>
      </c>
      <c r="F3595" s="200" t="s">
        <v>29</v>
      </c>
      <c r="G3595" s="200" t="s">
        <v>28</v>
      </c>
      <c r="H3595" s="201" t="s">
        <v>27</v>
      </c>
      <c r="I3595" s="995"/>
      <c r="J3595" s="996"/>
      <c r="K3595" s="997"/>
      <c r="L3595" s="99"/>
      <c r="M3595" s="100"/>
    </row>
    <row r="3596" spans="3:13" ht="24">
      <c r="E3596" s="629">
        <v>45719</v>
      </c>
      <c r="F3596" s="217">
        <v>52.7</v>
      </c>
      <c r="G3596" s="217" t="s">
        <v>1689</v>
      </c>
      <c r="H3596" s="217">
        <v>51.2</v>
      </c>
      <c r="I3596" s="995"/>
      <c r="J3596" s="996"/>
      <c r="K3596" s="997"/>
      <c r="L3596" s="99"/>
      <c r="M3596" s="100"/>
    </row>
    <row r="3597" spans="3:13" ht="24">
      <c r="E3597" s="629">
        <v>45709</v>
      </c>
      <c r="F3597" s="217">
        <v>51.6</v>
      </c>
      <c r="G3597" s="217" t="s">
        <v>594</v>
      </c>
      <c r="H3597" s="217">
        <v>51.2</v>
      </c>
      <c r="I3597" s="995"/>
      <c r="J3597" s="996"/>
      <c r="K3597" s="997"/>
      <c r="L3597" s="99"/>
      <c r="M3597" s="100"/>
    </row>
    <row r="3598" spans="3:13" ht="23">
      <c r="E3598" s="629"/>
      <c r="F3598" s="217"/>
      <c r="G3598" s="217"/>
      <c r="H3598" s="217"/>
      <c r="I3598" s="995"/>
      <c r="J3598" s="996"/>
      <c r="K3598" s="997"/>
      <c r="L3598" s="649"/>
      <c r="M3598" s="100"/>
    </row>
    <row r="3599" spans="3:13" ht="23">
      <c r="E3599" s="629"/>
      <c r="F3599" s="217"/>
      <c r="G3599" s="217"/>
      <c r="H3599" s="217"/>
      <c r="I3599" s="995"/>
      <c r="J3599" s="996"/>
      <c r="K3599" s="997"/>
      <c r="L3599" s="99"/>
      <c r="M3599" s="100"/>
    </row>
    <row r="3600" spans="3:13" ht="23">
      <c r="E3600" s="629"/>
      <c r="F3600" s="217"/>
      <c r="G3600" s="217"/>
      <c r="H3600" s="217"/>
      <c r="I3600" s="995"/>
      <c r="J3600" s="996"/>
      <c r="K3600" s="997"/>
      <c r="L3600" s="99"/>
      <c r="M3600" s="100"/>
    </row>
    <row r="3601" spans="4:13" ht="24" thickBot="1">
      <c r="E3601" s="629"/>
      <c r="F3601" s="217"/>
      <c r="G3601" s="217"/>
      <c r="H3601" s="217"/>
      <c r="I3601" s="998"/>
      <c r="J3601" s="999"/>
      <c r="K3601" s="1000"/>
      <c r="L3601" s="102"/>
      <c r="M3601" s="103"/>
    </row>
    <row r="3602" spans="4:13" ht="25" thickBot="1">
      <c r="D3602">
        <v>1</v>
      </c>
      <c r="E3602" s="624" t="s">
        <v>30</v>
      </c>
      <c r="F3602" s="1057" t="s">
        <v>1665</v>
      </c>
      <c r="G3602" s="1058"/>
      <c r="H3602" s="1059"/>
      <c r="I3602" s="1060" t="s">
        <v>633</v>
      </c>
      <c r="J3602" s="1061"/>
      <c r="K3602" s="1062"/>
      <c r="L3602" s="158" t="s">
        <v>430</v>
      </c>
      <c r="M3602" s="105" t="s">
        <v>431</v>
      </c>
    </row>
    <row r="3603" spans="4:13" ht="24">
      <c r="E3603" s="625" t="s">
        <v>432</v>
      </c>
      <c r="F3603" s="992"/>
      <c r="G3603" s="993"/>
      <c r="H3603" s="994"/>
      <c r="I3603" s="995" t="s">
        <v>1666</v>
      </c>
      <c r="J3603" s="996"/>
      <c r="K3603" s="997"/>
      <c r="L3603" s="99"/>
      <c r="M3603" s="100"/>
    </row>
    <row r="3604" spans="4:13" ht="24">
      <c r="E3604" s="626" t="s">
        <v>433</v>
      </c>
      <c r="F3604" s="1063"/>
      <c r="G3604" s="1064"/>
      <c r="H3604" s="1065"/>
      <c r="I3604" s="995"/>
      <c r="J3604" s="996"/>
      <c r="K3604" s="997"/>
      <c r="L3604" s="99"/>
      <c r="M3604" s="100"/>
    </row>
    <row r="3605" spans="4:13" ht="25" thickBot="1">
      <c r="E3605" s="626" t="s">
        <v>434</v>
      </c>
      <c r="F3605" s="1076">
        <v>51</v>
      </c>
      <c r="G3605" s="1064"/>
      <c r="H3605" s="1065"/>
      <c r="I3605" s="995"/>
      <c r="J3605" s="996"/>
      <c r="K3605" s="997"/>
      <c r="L3605" s="99"/>
      <c r="M3605" s="100"/>
    </row>
    <row r="3606" spans="4:13" ht="25" thickBot="1">
      <c r="E3606" s="627" t="s">
        <v>435</v>
      </c>
      <c r="F3606" s="1007">
        <v>0.57291666666666674</v>
      </c>
      <c r="G3606" s="1008"/>
      <c r="H3606" s="1009"/>
      <c r="I3606" s="995"/>
      <c r="J3606" s="996"/>
      <c r="K3606" s="997"/>
      <c r="L3606" s="647">
        <v>0.80208333333333337</v>
      </c>
      <c r="M3606" s="648">
        <v>0.69791666666666674</v>
      </c>
    </row>
    <row r="3607" spans="4:13" ht="25" thickBot="1">
      <c r="E3607" s="628" t="s">
        <v>436</v>
      </c>
      <c r="F3607" s="200" t="s">
        <v>29</v>
      </c>
      <c r="G3607" s="200" t="s">
        <v>28</v>
      </c>
      <c r="H3607" s="201" t="s">
        <v>27</v>
      </c>
      <c r="I3607" s="995"/>
      <c r="J3607" s="996"/>
      <c r="K3607" s="997"/>
      <c r="L3607" s="99"/>
      <c r="M3607" s="100"/>
    </row>
    <row r="3608" spans="4:13" ht="24">
      <c r="E3608" s="629">
        <v>45721</v>
      </c>
      <c r="F3608" s="204">
        <v>51</v>
      </c>
      <c r="G3608" s="204" t="s">
        <v>1690</v>
      </c>
      <c r="H3608" s="204">
        <v>52.9</v>
      </c>
      <c r="I3608" s="995"/>
      <c r="J3608" s="996"/>
      <c r="K3608" s="997"/>
      <c r="L3608" s="99"/>
      <c r="M3608" s="100"/>
    </row>
    <row r="3609" spans="4:13" ht="24">
      <c r="E3609" s="629">
        <v>45709</v>
      </c>
      <c r="F3609" s="204">
        <v>49.7</v>
      </c>
      <c r="G3609" s="204" t="s">
        <v>1691</v>
      </c>
      <c r="H3609" s="204">
        <v>52.9</v>
      </c>
      <c r="I3609" s="995"/>
      <c r="J3609" s="996"/>
      <c r="K3609" s="997"/>
      <c r="L3609" s="99"/>
      <c r="M3609" s="100"/>
    </row>
    <row r="3610" spans="4:13" ht="24">
      <c r="E3610" s="629"/>
      <c r="F3610" s="204">
        <v>51</v>
      </c>
      <c r="G3610" s="204" t="s">
        <v>1690</v>
      </c>
      <c r="H3610" s="204">
        <v>52.9</v>
      </c>
      <c r="I3610" s="995"/>
      <c r="J3610" s="996"/>
      <c r="K3610" s="997"/>
      <c r="L3610" s="649"/>
      <c r="M3610" s="100"/>
    </row>
    <row r="3611" spans="4:13" ht="24">
      <c r="E3611" s="629"/>
      <c r="F3611" s="204">
        <v>49.7</v>
      </c>
      <c r="G3611" s="204" t="s">
        <v>1691</v>
      </c>
      <c r="H3611" s="204">
        <v>52.9</v>
      </c>
      <c r="I3611" s="995"/>
      <c r="J3611" s="996"/>
      <c r="K3611" s="997"/>
      <c r="L3611" s="99"/>
      <c r="M3611" s="100"/>
    </row>
    <row r="3612" spans="4:13" ht="24">
      <c r="E3612" s="629"/>
      <c r="F3612" s="204">
        <v>51</v>
      </c>
      <c r="G3612" s="204" t="s">
        <v>1690</v>
      </c>
      <c r="H3612" s="204">
        <v>52.9</v>
      </c>
      <c r="I3612" s="995"/>
      <c r="J3612" s="996"/>
      <c r="K3612" s="997"/>
      <c r="L3612" s="99"/>
      <c r="M3612" s="100"/>
    </row>
    <row r="3613" spans="4:13" ht="25" thickBot="1">
      <c r="E3613" s="629"/>
      <c r="F3613" s="204">
        <v>49.7</v>
      </c>
      <c r="G3613" s="204" t="s">
        <v>1691</v>
      </c>
      <c r="H3613" s="204">
        <v>52.9</v>
      </c>
      <c r="I3613" s="998"/>
      <c r="J3613" s="999"/>
      <c r="K3613" s="1000"/>
      <c r="L3613" s="102"/>
      <c r="M3613" s="103"/>
    </row>
    <row r="3614" spans="4:13" ht="25" thickBot="1">
      <c r="D3614">
        <v>1</v>
      </c>
      <c r="E3614" s="624" t="s">
        <v>30</v>
      </c>
      <c r="F3614" s="1057" t="s">
        <v>1667</v>
      </c>
      <c r="G3614" s="1058"/>
      <c r="H3614" s="1059"/>
      <c r="I3614" s="1060" t="s">
        <v>633</v>
      </c>
      <c r="J3614" s="1061"/>
      <c r="K3614" s="1062"/>
      <c r="L3614" s="158" t="s">
        <v>430</v>
      </c>
      <c r="M3614" s="105" t="s">
        <v>431</v>
      </c>
    </row>
    <row r="3615" spans="4:13" ht="24">
      <c r="E3615" s="625" t="s">
        <v>432</v>
      </c>
      <c r="F3615" s="992"/>
      <c r="G3615" s="993"/>
      <c r="H3615" s="994"/>
      <c r="I3615" s="995" t="s">
        <v>1620</v>
      </c>
      <c r="J3615" s="996"/>
      <c r="K3615" s="997"/>
      <c r="L3615" s="99"/>
      <c r="M3615" s="100"/>
    </row>
    <row r="3616" spans="4:13" ht="24">
      <c r="E3616" s="626" t="s">
        <v>433</v>
      </c>
      <c r="F3616" s="1072" t="s">
        <v>1090</v>
      </c>
      <c r="G3616" s="1073"/>
      <c r="H3616" s="1074"/>
      <c r="I3616" s="995"/>
      <c r="J3616" s="996"/>
      <c r="K3616" s="997"/>
      <c r="L3616" s="99"/>
      <c r="M3616" s="100"/>
    </row>
    <row r="3617" spans="4:13" ht="25" thickBot="1">
      <c r="E3617" s="626" t="s">
        <v>434</v>
      </c>
      <c r="F3617" s="1075">
        <v>98.3</v>
      </c>
      <c r="G3617" s="1073"/>
      <c r="H3617" s="1074"/>
      <c r="I3617" s="995"/>
      <c r="J3617" s="996"/>
      <c r="K3617" s="997"/>
      <c r="L3617" s="99"/>
      <c r="M3617" s="100"/>
    </row>
    <row r="3618" spans="4:13" ht="25" thickBot="1">
      <c r="E3618" s="627" t="s">
        <v>435</v>
      </c>
      <c r="F3618" s="1007">
        <v>0.58333333333333337</v>
      </c>
      <c r="G3618" s="1008"/>
      <c r="H3618" s="1009"/>
      <c r="I3618" s="995"/>
      <c r="J3618" s="996"/>
      <c r="K3618" s="997"/>
      <c r="L3618" s="647">
        <v>0.8125</v>
      </c>
      <c r="M3618" s="648">
        <v>0.70833333333333337</v>
      </c>
    </row>
    <row r="3619" spans="4:13" ht="25" thickBot="1">
      <c r="E3619" s="628" t="s">
        <v>436</v>
      </c>
      <c r="F3619" s="200" t="s">
        <v>29</v>
      </c>
      <c r="G3619" s="200" t="s">
        <v>28</v>
      </c>
      <c r="H3619" s="201" t="s">
        <v>27</v>
      </c>
      <c r="I3619" s="995"/>
      <c r="J3619" s="996"/>
      <c r="K3619" s="997"/>
      <c r="L3619" s="99"/>
      <c r="M3619" s="100"/>
    </row>
    <row r="3620" spans="4:13" ht="24">
      <c r="E3620" s="629">
        <v>45713</v>
      </c>
      <c r="F3620" s="217">
        <v>98.3</v>
      </c>
      <c r="G3620" s="217" t="s">
        <v>1692</v>
      </c>
      <c r="H3620" s="217">
        <v>105.3</v>
      </c>
      <c r="I3620" s="995"/>
      <c r="J3620" s="996"/>
      <c r="K3620" s="997"/>
      <c r="L3620" s="99"/>
      <c r="M3620" s="100"/>
    </row>
    <row r="3621" spans="4:13" ht="24">
      <c r="E3621" s="629">
        <v>45685</v>
      </c>
      <c r="F3621" s="217">
        <v>104.1</v>
      </c>
      <c r="G3621" s="217" t="s">
        <v>1646</v>
      </c>
      <c r="H3621" s="217">
        <v>109.5</v>
      </c>
      <c r="I3621" s="995"/>
      <c r="J3621" s="996"/>
      <c r="K3621" s="997"/>
      <c r="L3621" s="99"/>
      <c r="M3621" s="100"/>
    </row>
    <row r="3622" spans="4:13" ht="24">
      <c r="E3622" s="629">
        <v>45649</v>
      </c>
      <c r="F3622" s="217">
        <v>104.7</v>
      </c>
      <c r="G3622" s="217" t="s">
        <v>1537</v>
      </c>
      <c r="H3622" s="217">
        <v>112.8</v>
      </c>
      <c r="I3622" s="995"/>
      <c r="J3622" s="996"/>
      <c r="K3622" s="997"/>
      <c r="L3622" s="649"/>
      <c r="M3622" s="100"/>
    </row>
    <row r="3623" spans="4:13" ht="24">
      <c r="E3623" s="629">
        <v>45622</v>
      </c>
      <c r="F3623" s="217">
        <v>111.7</v>
      </c>
      <c r="G3623" s="217" t="s">
        <v>1314</v>
      </c>
      <c r="H3623" s="217">
        <v>109.6</v>
      </c>
      <c r="I3623" s="995"/>
      <c r="J3623" s="996"/>
      <c r="K3623" s="997"/>
      <c r="L3623" s="99"/>
      <c r="M3623" s="100"/>
    </row>
    <row r="3624" spans="4:13" ht="24">
      <c r="E3624" s="629">
        <v>45594</v>
      </c>
      <c r="F3624" s="217">
        <v>108.7</v>
      </c>
      <c r="G3624" s="217" t="s">
        <v>1091</v>
      </c>
      <c r="H3624" s="217">
        <v>99.2</v>
      </c>
      <c r="I3624" s="995"/>
      <c r="J3624" s="996"/>
      <c r="K3624" s="997"/>
      <c r="L3624" s="99"/>
      <c r="M3624" s="100"/>
    </row>
    <row r="3625" spans="4:13" ht="25" thickBot="1">
      <c r="E3625" s="629">
        <v>45559</v>
      </c>
      <c r="F3625" s="217">
        <v>98.7</v>
      </c>
      <c r="G3625" s="217" t="s">
        <v>874</v>
      </c>
      <c r="H3625" s="217">
        <v>105.6</v>
      </c>
      <c r="I3625" s="998"/>
      <c r="J3625" s="999"/>
      <c r="K3625" s="1000"/>
      <c r="L3625" s="102"/>
      <c r="M3625" s="103"/>
    </row>
    <row r="3626" spans="4:13" ht="25" thickBot="1">
      <c r="D3626">
        <v>1</v>
      </c>
      <c r="E3626" s="624" t="s">
        <v>30</v>
      </c>
      <c r="F3626" s="1057" t="s">
        <v>1668</v>
      </c>
      <c r="G3626" s="1058"/>
      <c r="H3626" s="1059"/>
      <c r="I3626" s="1060" t="s">
        <v>633</v>
      </c>
      <c r="J3626" s="1061"/>
      <c r="K3626" s="1062"/>
      <c r="L3626" s="158" t="s">
        <v>430</v>
      </c>
      <c r="M3626" s="105" t="s">
        <v>431</v>
      </c>
    </row>
    <row r="3627" spans="4:13" ht="24">
      <c r="E3627" s="625" t="s">
        <v>432</v>
      </c>
      <c r="F3627" s="992"/>
      <c r="G3627" s="993"/>
      <c r="H3627" s="994"/>
      <c r="I3627" s="995" t="s">
        <v>1670</v>
      </c>
      <c r="J3627" s="996"/>
      <c r="K3627" s="997"/>
      <c r="L3627" s="99"/>
      <c r="M3627" s="100"/>
    </row>
    <row r="3628" spans="4:13" ht="24">
      <c r="E3628" s="626" t="s">
        <v>433</v>
      </c>
      <c r="F3628" s="1063"/>
      <c r="G3628" s="1064"/>
      <c r="H3628" s="1065"/>
      <c r="I3628" s="995"/>
      <c r="J3628" s="996"/>
      <c r="K3628" s="997"/>
      <c r="L3628" s="99"/>
      <c r="M3628" s="100"/>
    </row>
    <row r="3629" spans="4:13" ht="25" thickBot="1">
      <c r="E3629" s="626" t="s">
        <v>434</v>
      </c>
      <c r="F3629" s="1063" t="s">
        <v>1669</v>
      </c>
      <c r="G3629" s="1064"/>
      <c r="H3629" s="1065"/>
      <c r="I3629" s="995"/>
      <c r="J3629" s="996"/>
      <c r="K3629" s="997"/>
      <c r="L3629" s="99"/>
      <c r="M3629" s="100"/>
    </row>
    <row r="3630" spans="4:13" ht="25" thickBot="1">
      <c r="E3630" s="627" t="s">
        <v>435</v>
      </c>
      <c r="F3630" s="1007">
        <v>0.58333333333333337</v>
      </c>
      <c r="G3630" s="1008"/>
      <c r="H3630" s="1009"/>
      <c r="I3630" s="995"/>
      <c r="J3630" s="996"/>
      <c r="K3630" s="997"/>
      <c r="L3630" s="647">
        <v>0.8125</v>
      </c>
      <c r="M3630" s="648">
        <v>0.70833333333333337</v>
      </c>
    </row>
    <row r="3631" spans="4:13" ht="25" thickBot="1">
      <c r="E3631" s="628" t="s">
        <v>436</v>
      </c>
      <c r="F3631" s="200" t="s">
        <v>29</v>
      </c>
      <c r="G3631" s="200" t="s">
        <v>28</v>
      </c>
      <c r="H3631" s="201" t="s">
        <v>27</v>
      </c>
      <c r="I3631" s="995"/>
      <c r="J3631" s="996"/>
      <c r="K3631" s="997"/>
      <c r="L3631" s="99"/>
      <c r="M3631" s="100"/>
    </row>
    <row r="3632" spans="4:13" ht="24">
      <c r="E3632" s="629">
        <v>45714</v>
      </c>
      <c r="F3632" s="202" t="s">
        <v>1693</v>
      </c>
      <c r="G3632" s="202" t="s">
        <v>1694</v>
      </c>
      <c r="H3632" s="202" t="s">
        <v>1695</v>
      </c>
      <c r="I3632" s="995"/>
      <c r="J3632" s="996"/>
      <c r="K3632" s="997"/>
      <c r="L3632" s="99"/>
      <c r="M3632" s="100"/>
    </row>
    <row r="3633" spans="4:13" ht="24">
      <c r="E3633" s="629">
        <v>45684</v>
      </c>
      <c r="F3633" s="202" t="s">
        <v>1106</v>
      </c>
      <c r="G3633" s="202" t="s">
        <v>1650</v>
      </c>
      <c r="H3633" s="202" t="s">
        <v>1651</v>
      </c>
      <c r="I3633" s="995"/>
      <c r="J3633" s="996"/>
      <c r="K3633" s="997"/>
      <c r="L3633" s="99"/>
      <c r="M3633" s="100"/>
    </row>
    <row r="3634" spans="4:13" ht="24">
      <c r="E3634" s="629">
        <v>45649</v>
      </c>
      <c r="F3634" s="202" t="s">
        <v>1532</v>
      </c>
      <c r="G3634" s="202" t="s">
        <v>1533</v>
      </c>
      <c r="H3634" s="202" t="s">
        <v>1534</v>
      </c>
      <c r="I3634" s="995"/>
      <c r="J3634" s="996"/>
      <c r="K3634" s="997"/>
      <c r="L3634" s="649"/>
      <c r="M3634" s="100"/>
    </row>
    <row r="3635" spans="4:13" ht="24">
      <c r="E3635" s="629">
        <v>45622</v>
      </c>
      <c r="F3635" s="202" t="s">
        <v>1316</v>
      </c>
      <c r="G3635" s="202" t="s">
        <v>1317</v>
      </c>
      <c r="H3635" s="202" t="s">
        <v>1092</v>
      </c>
      <c r="I3635" s="995"/>
      <c r="J3635" s="996"/>
      <c r="K3635" s="997"/>
      <c r="L3635" s="99"/>
      <c r="M3635" s="100"/>
    </row>
    <row r="3636" spans="4:13" ht="24">
      <c r="E3636" s="629">
        <v>45589</v>
      </c>
      <c r="F3636" s="202" t="s">
        <v>1092</v>
      </c>
      <c r="G3636" s="202" t="s">
        <v>1093</v>
      </c>
      <c r="H3636" s="202" t="s">
        <v>1094</v>
      </c>
      <c r="I3636" s="995"/>
      <c r="J3636" s="996"/>
      <c r="K3636" s="997"/>
      <c r="L3636" s="99"/>
      <c r="M3636" s="100"/>
    </row>
    <row r="3637" spans="4:13" ht="25" thickBot="1">
      <c r="E3637" s="629">
        <v>45560</v>
      </c>
      <c r="F3637" s="202" t="s">
        <v>1095</v>
      </c>
      <c r="G3637" s="202" t="s">
        <v>1096</v>
      </c>
      <c r="H3637" s="202" t="s">
        <v>1097</v>
      </c>
      <c r="I3637" s="998"/>
      <c r="J3637" s="999"/>
      <c r="K3637" s="1000"/>
      <c r="L3637" s="102"/>
      <c r="M3637" s="103"/>
    </row>
    <row r="3638" spans="4:13" ht="25" thickBot="1">
      <c r="D3638">
        <v>2</v>
      </c>
      <c r="E3638" s="624" t="s">
        <v>30</v>
      </c>
      <c r="F3638" s="1057" t="s">
        <v>1671</v>
      </c>
      <c r="G3638" s="1058"/>
      <c r="H3638" s="1059"/>
      <c r="I3638" s="1060" t="s">
        <v>633</v>
      </c>
      <c r="J3638" s="1061"/>
      <c r="K3638" s="1062"/>
      <c r="L3638" s="158" t="s">
        <v>430</v>
      </c>
      <c r="M3638" s="105" t="s">
        <v>431</v>
      </c>
    </row>
    <row r="3639" spans="4:13" ht="24">
      <c r="E3639" s="625" t="s">
        <v>432</v>
      </c>
      <c r="F3639" s="992"/>
      <c r="G3639" s="993"/>
      <c r="H3639" s="994"/>
      <c r="I3639" s="995" t="s">
        <v>1672</v>
      </c>
      <c r="J3639" s="996"/>
      <c r="K3639" s="997"/>
      <c r="L3639" s="99"/>
      <c r="M3639" s="100"/>
    </row>
    <row r="3640" spans="4:13" ht="24">
      <c r="E3640" s="626" t="s">
        <v>433</v>
      </c>
      <c r="F3640" s="1063" t="s">
        <v>1090</v>
      </c>
      <c r="G3640" s="1064"/>
      <c r="H3640" s="1065"/>
      <c r="I3640" s="995"/>
      <c r="J3640" s="996"/>
      <c r="K3640" s="997"/>
      <c r="L3640" s="99"/>
      <c r="M3640" s="100"/>
    </row>
    <row r="3641" spans="4:13" ht="25" thickBot="1">
      <c r="E3641" s="626" t="s">
        <v>434</v>
      </c>
      <c r="F3641" s="1063">
        <v>0.03</v>
      </c>
      <c r="G3641" s="1064"/>
      <c r="H3641" s="1065"/>
      <c r="I3641" s="995"/>
      <c r="J3641" s="996"/>
      <c r="K3641" s="997"/>
      <c r="L3641" s="99"/>
      <c r="M3641" s="100"/>
    </row>
    <row r="3642" spans="4:13" ht="25" thickBot="1">
      <c r="E3642" s="627" t="s">
        <v>435</v>
      </c>
      <c r="F3642" s="1007">
        <v>0.29166666666666674</v>
      </c>
      <c r="G3642" s="1008"/>
      <c r="H3642" s="1009"/>
      <c r="I3642" s="995"/>
      <c r="J3642" s="996"/>
      <c r="K3642" s="997"/>
      <c r="L3642" s="647">
        <v>0.52083333333333337</v>
      </c>
      <c r="M3642" s="648">
        <v>0.41666666666666669</v>
      </c>
    </row>
    <row r="3643" spans="4:13" ht="25" thickBot="1">
      <c r="E3643" s="628" t="s">
        <v>436</v>
      </c>
      <c r="F3643" s="200" t="s">
        <v>29</v>
      </c>
      <c r="G3643" s="200" t="s">
        <v>28</v>
      </c>
      <c r="H3643" s="201" t="s">
        <v>27</v>
      </c>
      <c r="I3643" s="995"/>
      <c r="J3643" s="996"/>
      <c r="K3643" s="997"/>
      <c r="L3643" s="99"/>
      <c r="M3643" s="100"/>
    </row>
    <row r="3644" spans="4:13" ht="24">
      <c r="E3644" s="629">
        <v>45707</v>
      </c>
      <c r="F3644" s="202">
        <v>0.03</v>
      </c>
      <c r="G3644" s="202" t="s">
        <v>666</v>
      </c>
      <c r="H3644" s="202">
        <v>2.5000000000000001E-2</v>
      </c>
      <c r="I3644" s="995"/>
      <c r="J3644" s="996"/>
      <c r="K3644" s="997"/>
      <c r="L3644" s="99"/>
      <c r="M3644" s="100"/>
    </row>
    <row r="3645" spans="4:13" ht="24">
      <c r="E3645" s="629">
        <v>45672</v>
      </c>
      <c r="F3645" s="202">
        <v>2.5000000000000001E-2</v>
      </c>
      <c r="G3645" s="202" t="s">
        <v>493</v>
      </c>
      <c r="H3645" s="202">
        <v>2.5999999999999999E-2</v>
      </c>
      <c r="I3645" s="995"/>
      <c r="J3645" s="996"/>
      <c r="K3645" s="997"/>
      <c r="L3645" s="99"/>
      <c r="M3645" s="100"/>
    </row>
    <row r="3646" spans="4:13" ht="24">
      <c r="E3646" s="629">
        <v>45644</v>
      </c>
      <c r="F3646" s="202">
        <v>2.5999999999999999E-2</v>
      </c>
      <c r="G3646" s="202" t="s">
        <v>493</v>
      </c>
      <c r="H3646" s="202">
        <v>2.3E-2</v>
      </c>
      <c r="I3646" s="995"/>
      <c r="J3646" s="996"/>
      <c r="K3646" s="997"/>
      <c r="L3646" s="649"/>
      <c r="M3646" s="100"/>
    </row>
    <row r="3647" spans="4:13" ht="24">
      <c r="E3647" s="629">
        <v>45616</v>
      </c>
      <c r="F3647" s="202">
        <v>2.3E-2</v>
      </c>
      <c r="G3647" s="202" t="s">
        <v>490</v>
      </c>
      <c r="H3647" s="202">
        <v>1.7000000000000001E-2</v>
      </c>
      <c r="I3647" s="995"/>
      <c r="J3647" s="996"/>
      <c r="K3647" s="997"/>
      <c r="L3647" s="99"/>
      <c r="M3647" s="100"/>
    </row>
    <row r="3648" spans="4:13" ht="24">
      <c r="E3648" s="629">
        <v>45581</v>
      </c>
      <c r="F3648" s="202">
        <v>1.7000000000000001E-2</v>
      </c>
      <c r="G3648" s="202" t="s">
        <v>789</v>
      </c>
      <c r="H3648" s="202">
        <v>2.1999999999999999E-2</v>
      </c>
      <c r="I3648" s="995"/>
      <c r="J3648" s="996"/>
      <c r="K3648" s="997"/>
      <c r="L3648" s="99"/>
      <c r="M3648" s="100"/>
    </row>
    <row r="3649" spans="4:13" ht="25" thickBot="1">
      <c r="E3649" s="629">
        <v>45553</v>
      </c>
      <c r="F3649" s="202">
        <v>2.1999999999999999E-2</v>
      </c>
      <c r="G3649" s="202" t="s">
        <v>490</v>
      </c>
      <c r="H3649" s="202">
        <v>2.1999999999999999E-2</v>
      </c>
      <c r="I3649" s="998"/>
      <c r="J3649" s="999"/>
      <c r="K3649" s="1000"/>
      <c r="L3649" s="102"/>
      <c r="M3649" s="103"/>
    </row>
    <row r="3650" spans="4:13" ht="25" thickBot="1">
      <c r="D3650" s="695">
        <v>2</v>
      </c>
      <c r="E3650" s="696" t="s">
        <v>30</v>
      </c>
      <c r="F3650" s="1023" t="s">
        <v>1673</v>
      </c>
      <c r="G3650" s="1024"/>
      <c r="H3650" s="1025"/>
      <c r="I3650" s="1026" t="s">
        <v>633</v>
      </c>
      <c r="J3650" s="1027"/>
      <c r="K3650" s="1028"/>
      <c r="L3650" s="697" t="s">
        <v>430</v>
      </c>
      <c r="M3650" s="698" t="s">
        <v>431</v>
      </c>
    </row>
    <row r="3651" spans="4:13" ht="24">
      <c r="D3651" s="695"/>
      <c r="E3651" s="699" t="s">
        <v>432</v>
      </c>
      <c r="F3651" s="1029"/>
      <c r="G3651" s="1030"/>
      <c r="H3651" s="1031"/>
      <c r="I3651" s="1032" t="s">
        <v>1674</v>
      </c>
      <c r="J3651" s="1033"/>
      <c r="K3651" s="1034"/>
      <c r="L3651" s="700"/>
      <c r="M3651" s="701"/>
    </row>
    <row r="3652" spans="4:13" ht="24">
      <c r="D3652" s="695"/>
      <c r="E3652" s="702" t="s">
        <v>433</v>
      </c>
      <c r="F3652" s="1041"/>
      <c r="G3652" s="1042"/>
      <c r="H3652" s="1043"/>
      <c r="I3652" s="1032"/>
      <c r="J3652" s="1033"/>
      <c r="K3652" s="1034"/>
      <c r="L3652" s="700"/>
      <c r="M3652" s="701"/>
    </row>
    <row r="3653" spans="4:13" ht="25" thickBot="1">
      <c r="D3653" s="695"/>
      <c r="E3653" s="702" t="s">
        <v>434</v>
      </c>
      <c r="F3653" s="1041"/>
      <c r="G3653" s="1042"/>
      <c r="H3653" s="1043"/>
      <c r="I3653" s="1032"/>
      <c r="J3653" s="1033"/>
      <c r="K3653" s="1034"/>
      <c r="L3653" s="700"/>
      <c r="M3653" s="701"/>
    </row>
    <row r="3654" spans="4:13" ht="25" thickBot="1">
      <c r="D3654" s="695"/>
      <c r="E3654" s="703" t="s">
        <v>435</v>
      </c>
      <c r="F3654" s="1044">
        <v>0.41666666666666674</v>
      </c>
      <c r="G3654" s="1045"/>
      <c r="H3654" s="1046"/>
      <c r="I3654" s="1032"/>
      <c r="J3654" s="1033"/>
      <c r="K3654" s="1034"/>
      <c r="L3654" s="704">
        <v>0.64583333333333337</v>
      </c>
      <c r="M3654" s="705">
        <v>0.54166666666666674</v>
      </c>
    </row>
    <row r="3655" spans="4:13" ht="25" thickBot="1">
      <c r="D3655" s="695"/>
      <c r="E3655" s="696" t="s">
        <v>436</v>
      </c>
      <c r="F3655" s="706" t="s">
        <v>29</v>
      </c>
      <c r="G3655" s="706" t="s">
        <v>28</v>
      </c>
      <c r="H3655" s="707" t="s">
        <v>27</v>
      </c>
      <c r="I3655" s="1032"/>
      <c r="J3655" s="1033"/>
      <c r="K3655" s="1034"/>
      <c r="L3655" s="700"/>
      <c r="M3655" s="701"/>
    </row>
    <row r="3656" spans="4:13" ht="23">
      <c r="D3656" s="695"/>
      <c r="E3656" s="657">
        <v>45357</v>
      </c>
      <c r="F3656" s="708"/>
      <c r="G3656" s="708"/>
      <c r="H3656" s="708"/>
      <c r="I3656" s="1032"/>
      <c r="J3656" s="1033"/>
      <c r="K3656" s="1034"/>
      <c r="L3656" s="700"/>
      <c r="M3656" s="701"/>
    </row>
    <row r="3657" spans="4:13" ht="23">
      <c r="D3657" s="695"/>
      <c r="E3657" s="657">
        <v>45000</v>
      </c>
      <c r="F3657" s="708"/>
      <c r="G3657" s="708"/>
      <c r="H3657" s="708"/>
      <c r="I3657" s="1032"/>
      <c r="J3657" s="1033"/>
      <c r="K3657" s="1034"/>
      <c r="L3657" s="700"/>
      <c r="M3657" s="701"/>
    </row>
    <row r="3658" spans="4:13" ht="23">
      <c r="D3658" s="695"/>
      <c r="E3658" s="657">
        <v>44642</v>
      </c>
      <c r="F3658" s="708"/>
      <c r="G3658" s="708"/>
      <c r="H3658" s="708"/>
      <c r="I3658" s="1032"/>
      <c r="J3658" s="1033"/>
      <c r="K3658" s="1034"/>
      <c r="L3658" s="709"/>
      <c r="M3658" s="701"/>
    </row>
    <row r="3659" spans="4:13" ht="23">
      <c r="D3659" s="695"/>
      <c r="E3659" s="657">
        <v>44258</v>
      </c>
      <c r="F3659" s="708"/>
      <c r="G3659" s="708"/>
      <c r="H3659" s="708"/>
      <c r="I3659" s="1032"/>
      <c r="J3659" s="1033"/>
      <c r="K3659" s="1034"/>
      <c r="L3659" s="700"/>
      <c r="M3659" s="701"/>
    </row>
    <row r="3660" spans="4:13" ht="23">
      <c r="D3660" s="695"/>
      <c r="E3660" s="657">
        <v>43901</v>
      </c>
      <c r="F3660" s="708"/>
      <c r="G3660" s="708"/>
      <c r="H3660" s="708"/>
      <c r="I3660" s="1032"/>
      <c r="J3660" s="1033"/>
      <c r="K3660" s="1034"/>
      <c r="L3660" s="700"/>
      <c r="M3660" s="701"/>
    </row>
    <row r="3661" spans="4:13" ht="24" thickBot="1">
      <c r="D3661" s="695"/>
      <c r="E3661" s="657">
        <v>43537</v>
      </c>
      <c r="F3661" s="708"/>
      <c r="G3661" s="708"/>
      <c r="H3661" s="708"/>
      <c r="I3661" s="1035"/>
      <c r="J3661" s="1036"/>
      <c r="K3661" s="1037"/>
      <c r="L3661" s="710"/>
      <c r="M3661" s="711"/>
    </row>
    <row r="3662" spans="4:13" ht="25" thickBot="1">
      <c r="D3662">
        <v>3</v>
      </c>
      <c r="E3662" s="624" t="s">
        <v>30</v>
      </c>
      <c r="F3662" s="1057" t="s">
        <v>1675</v>
      </c>
      <c r="G3662" s="1058"/>
      <c r="H3662" s="1059"/>
      <c r="I3662" s="1060" t="s">
        <v>633</v>
      </c>
      <c r="J3662" s="1061"/>
      <c r="K3662" s="1062"/>
      <c r="L3662" s="158" t="s">
        <v>430</v>
      </c>
      <c r="M3662" s="105" t="s">
        <v>431</v>
      </c>
    </row>
    <row r="3663" spans="4:13" ht="24">
      <c r="E3663" s="625" t="s">
        <v>432</v>
      </c>
      <c r="F3663" s="992"/>
      <c r="G3663" s="993"/>
      <c r="H3663" s="994"/>
      <c r="I3663" s="995" t="s">
        <v>1676</v>
      </c>
      <c r="J3663" s="996"/>
      <c r="K3663" s="997"/>
      <c r="L3663" s="99"/>
      <c r="M3663" s="100"/>
    </row>
    <row r="3664" spans="4:13" ht="24">
      <c r="E3664" s="626" t="s">
        <v>433</v>
      </c>
      <c r="F3664" s="1076">
        <v>0</v>
      </c>
      <c r="G3664" s="1064"/>
      <c r="H3664" s="1065"/>
      <c r="I3664" s="995"/>
      <c r="J3664" s="996"/>
      <c r="K3664" s="997"/>
      <c r="L3664" s="99"/>
      <c r="M3664" s="100"/>
    </row>
    <row r="3665" spans="4:13" ht="25" thickBot="1">
      <c r="E3665" s="626" t="s">
        <v>434</v>
      </c>
      <c r="F3665" s="1099">
        <v>3.2000000000000001E-2</v>
      </c>
      <c r="G3665" s="1100"/>
      <c r="H3665" s="1101"/>
      <c r="I3665" s="995"/>
      <c r="J3665" s="996"/>
      <c r="K3665" s="997"/>
      <c r="L3665" s="99"/>
      <c r="M3665" s="100"/>
    </row>
    <row r="3666" spans="4:13" ht="25" thickBot="1">
      <c r="E3666" s="627" t="s">
        <v>435</v>
      </c>
      <c r="F3666" s="1007">
        <v>0.52083333333333337</v>
      </c>
      <c r="G3666" s="1008"/>
      <c r="H3666" s="1009"/>
      <c r="I3666" s="995"/>
      <c r="J3666" s="996"/>
      <c r="K3666" s="997"/>
      <c r="L3666" s="647">
        <v>0.75</v>
      </c>
      <c r="M3666" s="648">
        <v>0.64583333333333337</v>
      </c>
    </row>
    <row r="3667" spans="4:13" ht="25" thickBot="1">
      <c r="E3667" s="628" t="s">
        <v>436</v>
      </c>
      <c r="F3667" s="200" t="s">
        <v>29</v>
      </c>
      <c r="G3667" s="200" t="s">
        <v>28</v>
      </c>
      <c r="H3667" s="201" t="s">
        <v>27</v>
      </c>
      <c r="I3667" s="995"/>
      <c r="J3667" s="996"/>
      <c r="K3667" s="997"/>
      <c r="L3667" s="99"/>
      <c r="M3667" s="100"/>
    </row>
    <row r="3668" spans="4:13" ht="24">
      <c r="E3668" s="629">
        <v>45715</v>
      </c>
      <c r="F3668" s="202">
        <v>3.1E-2</v>
      </c>
      <c r="G3668" s="202" t="s">
        <v>788</v>
      </c>
      <c r="H3668" s="202">
        <v>-1.7999999999999999E-2</v>
      </c>
      <c r="I3668" s="995"/>
      <c r="J3668" s="996"/>
      <c r="K3668" s="997"/>
      <c r="L3668" s="99"/>
      <c r="M3668" s="100"/>
    </row>
    <row r="3669" spans="4:13" ht="24">
      <c r="E3669" s="629">
        <v>45685</v>
      </c>
      <c r="F3669" s="202">
        <v>-2.1999999999999999E-2</v>
      </c>
      <c r="G3669" s="202" t="s">
        <v>467</v>
      </c>
      <c r="H3669" s="202">
        <v>-0.02</v>
      </c>
      <c r="I3669" s="995"/>
      <c r="J3669" s="996"/>
      <c r="K3669" s="997"/>
      <c r="L3669" s="99"/>
      <c r="M3669" s="100"/>
    </row>
    <row r="3670" spans="4:13" ht="24">
      <c r="E3670" s="629">
        <v>45649</v>
      </c>
      <c r="F3670" s="202">
        <v>-1.0999999999999999E-2</v>
      </c>
      <c r="G3670" s="202" t="s">
        <v>454</v>
      </c>
      <c r="H3670" s="202">
        <v>8.0000000000000002E-3</v>
      </c>
      <c r="I3670" s="995"/>
      <c r="J3670" s="996"/>
      <c r="K3670" s="997"/>
      <c r="L3670" s="649"/>
      <c r="M3670" s="100"/>
    </row>
    <row r="3671" spans="4:13" ht="24">
      <c r="E3671" s="629">
        <v>45623</v>
      </c>
      <c r="F3671" s="202">
        <v>2E-3</v>
      </c>
      <c r="G3671" s="202" t="s">
        <v>1315</v>
      </c>
      <c r="H3671" s="202">
        <v>-4.0000000000000001E-3</v>
      </c>
      <c r="I3671" s="995"/>
      <c r="J3671" s="996"/>
      <c r="K3671" s="997"/>
      <c r="L3671" s="99"/>
      <c r="M3671" s="100"/>
    </row>
    <row r="3672" spans="4:13" ht="24">
      <c r="E3672" s="629">
        <v>45590</v>
      </c>
      <c r="F3672" s="202">
        <v>-8.0000000000000002E-3</v>
      </c>
      <c r="G3672" s="202" t="s">
        <v>1110</v>
      </c>
      <c r="H3672" s="202">
        <v>-8.0000000000000002E-3</v>
      </c>
      <c r="I3672" s="995"/>
      <c r="J3672" s="996"/>
      <c r="K3672" s="997"/>
      <c r="L3672" s="99"/>
      <c r="M3672" s="100"/>
    </row>
    <row r="3673" spans="4:13" ht="25" thickBot="1">
      <c r="E3673" s="629">
        <v>45561</v>
      </c>
      <c r="F3673" s="202">
        <v>0</v>
      </c>
      <c r="G3673" s="202" t="s">
        <v>778</v>
      </c>
      <c r="H3673" s="202">
        <v>9.9000000000000005E-2</v>
      </c>
      <c r="I3673" s="998"/>
      <c r="J3673" s="999"/>
      <c r="K3673" s="1000"/>
      <c r="L3673" s="102"/>
      <c r="M3673" s="103"/>
    </row>
    <row r="3674" spans="4:13" ht="25" thickBot="1">
      <c r="D3674">
        <v>3</v>
      </c>
      <c r="E3674" s="624" t="s">
        <v>30</v>
      </c>
      <c r="F3674" s="1057" t="s">
        <v>1503</v>
      </c>
      <c r="G3674" s="1058"/>
      <c r="H3674" s="1059"/>
      <c r="I3674" s="1060" t="s">
        <v>633</v>
      </c>
      <c r="J3674" s="1061"/>
      <c r="K3674" s="1062"/>
      <c r="L3674" s="158" t="s">
        <v>430</v>
      </c>
      <c r="M3674" s="105" t="s">
        <v>431</v>
      </c>
    </row>
    <row r="3675" spans="4:13" ht="24">
      <c r="E3675" s="625" t="s">
        <v>432</v>
      </c>
      <c r="F3675" s="992"/>
      <c r="G3675" s="993"/>
      <c r="H3675" s="994"/>
      <c r="I3675" s="995" t="s">
        <v>1678</v>
      </c>
      <c r="J3675" s="996"/>
      <c r="K3675" s="997"/>
      <c r="L3675" s="99"/>
      <c r="M3675" s="100"/>
    </row>
    <row r="3676" spans="4:13" ht="24">
      <c r="E3676" s="626" t="s">
        <v>433</v>
      </c>
      <c r="F3676" s="1063"/>
      <c r="G3676" s="1064"/>
      <c r="H3676" s="1065"/>
      <c r="I3676" s="995"/>
      <c r="J3676" s="996"/>
      <c r="K3676" s="997"/>
      <c r="L3676" s="99"/>
      <c r="M3676" s="100"/>
    </row>
    <row r="3677" spans="4:13" ht="25" thickBot="1">
      <c r="E3677" s="626" t="s">
        <v>434</v>
      </c>
      <c r="F3677" s="1087" t="s">
        <v>1677</v>
      </c>
      <c r="G3677" s="1088"/>
      <c r="H3677" s="1089"/>
      <c r="I3677" s="995"/>
      <c r="J3677" s="996"/>
      <c r="K3677" s="997"/>
      <c r="L3677" s="99"/>
      <c r="M3677" s="100"/>
    </row>
    <row r="3678" spans="4:13" ht="25" thickBot="1">
      <c r="E3678" s="627" t="s">
        <v>435</v>
      </c>
      <c r="F3678" s="1007">
        <v>0.5625</v>
      </c>
      <c r="G3678" s="1008"/>
      <c r="H3678" s="1009"/>
      <c r="I3678" s="995"/>
      <c r="J3678" s="996"/>
      <c r="K3678" s="997"/>
      <c r="L3678" s="647">
        <v>0.79166666666666663</v>
      </c>
      <c r="M3678" s="648">
        <v>0.6875</v>
      </c>
    </row>
    <row r="3679" spans="4:13" ht="25" thickBot="1">
      <c r="E3679" s="628" t="s">
        <v>436</v>
      </c>
      <c r="F3679" s="200" t="s">
        <v>29</v>
      </c>
      <c r="G3679" s="200" t="s">
        <v>28</v>
      </c>
      <c r="H3679" s="201" t="s">
        <v>27</v>
      </c>
      <c r="I3679" s="995"/>
      <c r="J3679" s="996"/>
      <c r="K3679" s="997"/>
      <c r="L3679" s="99"/>
      <c r="M3679" s="100"/>
    </row>
    <row r="3680" spans="4:13" ht="24">
      <c r="E3680" s="629">
        <v>45735</v>
      </c>
      <c r="F3680" s="202" t="s">
        <v>1696</v>
      </c>
      <c r="G3680" s="202" t="s">
        <v>993</v>
      </c>
      <c r="H3680" s="202" t="s">
        <v>1697</v>
      </c>
      <c r="I3680" s="995"/>
      <c r="J3680" s="996"/>
      <c r="K3680" s="997"/>
      <c r="L3680" s="99"/>
      <c r="M3680" s="100"/>
    </row>
    <row r="3681" spans="4:13" ht="24">
      <c r="E3681" s="629">
        <v>45728</v>
      </c>
      <c r="F3681" s="202" t="s">
        <v>1697</v>
      </c>
      <c r="G3681" s="202" t="s">
        <v>1698</v>
      </c>
      <c r="H3681" s="202" t="s">
        <v>1699</v>
      </c>
      <c r="I3681" s="995"/>
      <c r="J3681" s="996"/>
      <c r="K3681" s="997"/>
      <c r="L3681" s="99"/>
      <c r="M3681" s="100"/>
    </row>
    <row r="3682" spans="4:13" ht="24">
      <c r="E3682" s="629">
        <v>45721</v>
      </c>
      <c r="F3682" s="202" t="s">
        <v>1699</v>
      </c>
      <c r="G3682" s="202" t="s">
        <v>1700</v>
      </c>
      <c r="H3682" s="202" t="s">
        <v>1701</v>
      </c>
      <c r="I3682" s="995"/>
      <c r="J3682" s="996"/>
      <c r="K3682" s="997"/>
      <c r="L3682" s="649"/>
      <c r="M3682" s="100"/>
    </row>
    <row r="3683" spans="4:13" ht="24">
      <c r="E3683" s="629">
        <v>45714</v>
      </c>
      <c r="F3683" s="202" t="s">
        <v>1701</v>
      </c>
      <c r="G3683" s="202" t="s">
        <v>1702</v>
      </c>
      <c r="H3683" s="202" t="s">
        <v>1647</v>
      </c>
      <c r="I3683" s="995"/>
      <c r="J3683" s="996"/>
      <c r="K3683" s="997"/>
      <c r="L3683" s="99"/>
      <c r="M3683" s="100"/>
    </row>
    <row r="3684" spans="4:13" ht="24">
      <c r="E3684" s="629">
        <v>45708</v>
      </c>
      <c r="F3684" s="202" t="s">
        <v>1647</v>
      </c>
      <c r="G3684" s="202" t="s">
        <v>1648</v>
      </c>
      <c r="H3684" s="202" t="s">
        <v>1649</v>
      </c>
      <c r="I3684" s="995"/>
      <c r="J3684" s="996"/>
      <c r="K3684" s="997"/>
      <c r="L3684" s="99"/>
      <c r="M3684" s="100"/>
    </row>
    <row r="3685" spans="4:13" ht="25" thickBot="1">
      <c r="E3685" s="629">
        <v>45700</v>
      </c>
      <c r="F3685" s="202" t="s">
        <v>1649</v>
      </c>
      <c r="G3685" s="202" t="s">
        <v>1600</v>
      </c>
      <c r="H3685" s="202" t="s">
        <v>1599</v>
      </c>
      <c r="I3685" s="998"/>
      <c r="J3685" s="999"/>
      <c r="K3685" s="1000"/>
      <c r="L3685" s="102"/>
      <c r="M3685" s="103"/>
    </row>
    <row r="3686" spans="4:13" ht="25" thickBot="1">
      <c r="D3686">
        <v>1</v>
      </c>
      <c r="E3686" s="624" t="s">
        <v>30</v>
      </c>
      <c r="F3686" s="1057" t="s">
        <v>1679</v>
      </c>
      <c r="G3686" s="1058"/>
      <c r="H3686" s="1059"/>
      <c r="I3686" s="1060" t="s">
        <v>633</v>
      </c>
      <c r="J3686" s="1061"/>
      <c r="K3686" s="1062"/>
      <c r="L3686" s="158" t="s">
        <v>430</v>
      </c>
      <c r="M3686" s="105" t="s">
        <v>431</v>
      </c>
    </row>
    <row r="3687" spans="4:13" ht="24">
      <c r="E3687" s="625" t="s">
        <v>432</v>
      </c>
      <c r="F3687" s="992"/>
      <c r="G3687" s="993"/>
      <c r="H3687" s="994"/>
      <c r="I3687" s="995" t="s">
        <v>1680</v>
      </c>
      <c r="J3687" s="996"/>
      <c r="K3687" s="997"/>
      <c r="L3687" s="99"/>
      <c r="M3687" s="100"/>
    </row>
    <row r="3688" spans="4:13" ht="24">
      <c r="E3688" s="626" t="s">
        <v>433</v>
      </c>
      <c r="F3688" s="1072" t="s">
        <v>1090</v>
      </c>
      <c r="G3688" s="1073"/>
      <c r="H3688" s="1074"/>
      <c r="I3688" s="995"/>
      <c r="J3688" s="996"/>
      <c r="K3688" s="997"/>
      <c r="L3688" s="99"/>
      <c r="M3688" s="100"/>
    </row>
    <row r="3689" spans="4:13" ht="25" thickBot="1">
      <c r="E3689" s="626" t="s">
        <v>434</v>
      </c>
      <c r="F3689" s="1096">
        <v>2.3E-2</v>
      </c>
      <c r="G3689" s="1097"/>
      <c r="H3689" s="1098"/>
      <c r="I3689" s="995"/>
      <c r="J3689" s="996"/>
      <c r="K3689" s="997"/>
      <c r="L3689" s="99"/>
      <c r="M3689" s="100"/>
    </row>
    <row r="3690" spans="4:13" ht="25" thickBot="1">
      <c r="E3690" s="627" t="s">
        <v>435</v>
      </c>
      <c r="F3690" s="1007">
        <v>0.52083333333333337</v>
      </c>
      <c r="G3690" s="1008"/>
      <c r="H3690" s="1009"/>
      <c r="I3690" s="995"/>
      <c r="J3690" s="996"/>
      <c r="K3690" s="997"/>
      <c r="L3690" s="647">
        <v>0.75</v>
      </c>
      <c r="M3690" s="648">
        <v>0.64583333333333337</v>
      </c>
    </row>
    <row r="3691" spans="4:13" ht="25" thickBot="1">
      <c r="E3691" s="628" t="s">
        <v>436</v>
      </c>
      <c r="F3691" s="200" t="s">
        <v>29</v>
      </c>
      <c r="G3691" s="200" t="s">
        <v>28</v>
      </c>
      <c r="H3691" s="201" t="s">
        <v>27</v>
      </c>
      <c r="I3691" s="995"/>
      <c r="J3691" s="996"/>
      <c r="K3691" s="997"/>
      <c r="L3691" s="99"/>
      <c r="M3691" s="100"/>
    </row>
    <row r="3692" spans="4:13" ht="24">
      <c r="E3692" s="629">
        <v>45715</v>
      </c>
      <c r="F3692" s="202">
        <v>2.3E-2</v>
      </c>
      <c r="G3692" s="202" t="s">
        <v>971</v>
      </c>
      <c r="H3692" s="202">
        <v>3.1E-2</v>
      </c>
      <c r="I3692" s="995"/>
      <c r="J3692" s="996"/>
      <c r="K3692" s="997"/>
      <c r="L3692" s="99"/>
      <c r="M3692" s="100"/>
    </row>
    <row r="3693" spans="4:13" ht="24">
      <c r="E3693" s="629">
        <v>45687</v>
      </c>
      <c r="F3693" s="202">
        <v>2.3E-2</v>
      </c>
      <c r="G3693" s="202" t="s">
        <v>665</v>
      </c>
      <c r="H3693" s="202">
        <v>3.1E-2</v>
      </c>
      <c r="I3693" s="995"/>
      <c r="J3693" s="996"/>
      <c r="K3693" s="997"/>
      <c r="L3693" s="99"/>
      <c r="M3693" s="100"/>
    </row>
    <row r="3694" spans="4:13" ht="24">
      <c r="E3694" s="629">
        <v>45645</v>
      </c>
      <c r="F3694" s="202">
        <v>3.1E-2</v>
      </c>
      <c r="G3694" s="202" t="s">
        <v>666</v>
      </c>
      <c r="H3694" s="202">
        <v>0.03</v>
      </c>
      <c r="I3694" s="995"/>
      <c r="J3694" s="996"/>
      <c r="K3694" s="997"/>
      <c r="L3694" s="649"/>
      <c r="M3694" s="100"/>
    </row>
    <row r="3695" spans="4:13" ht="24">
      <c r="E3695" s="629">
        <v>45623</v>
      </c>
      <c r="F3695" s="202">
        <v>2.8000000000000001E-2</v>
      </c>
      <c r="G3695" s="202" t="s">
        <v>666</v>
      </c>
      <c r="H3695" s="202">
        <v>0.03</v>
      </c>
      <c r="I3695" s="995"/>
      <c r="J3695" s="996"/>
      <c r="K3695" s="997"/>
      <c r="L3695" s="99"/>
      <c r="M3695" s="100"/>
    </row>
    <row r="3696" spans="4:13" ht="24">
      <c r="E3696" s="629">
        <v>45595</v>
      </c>
      <c r="F3696" s="202">
        <v>2.8000000000000001E-2</v>
      </c>
      <c r="G3696" s="202" t="s">
        <v>669</v>
      </c>
      <c r="H3696" s="202">
        <v>0.03</v>
      </c>
      <c r="I3696" s="995"/>
      <c r="J3696" s="996"/>
      <c r="K3696" s="997"/>
      <c r="L3696" s="99"/>
      <c r="M3696" s="100"/>
    </row>
    <row r="3697" spans="4:13" ht="25" thickBot="1">
      <c r="E3697" s="629">
        <v>45561</v>
      </c>
      <c r="F3697" s="202">
        <v>0.03</v>
      </c>
      <c r="G3697" s="202" t="s">
        <v>669</v>
      </c>
      <c r="H3697" s="202">
        <v>1.6E-2</v>
      </c>
      <c r="I3697" s="998"/>
      <c r="J3697" s="999"/>
      <c r="K3697" s="1000"/>
      <c r="L3697" s="102"/>
      <c r="M3697" s="103"/>
    </row>
    <row r="3698" spans="4:13" ht="25" thickBot="1">
      <c r="D3698">
        <v>1</v>
      </c>
      <c r="E3698" s="624" t="s">
        <v>30</v>
      </c>
      <c r="F3698" s="1057" t="s">
        <v>1421</v>
      </c>
      <c r="G3698" s="1058"/>
      <c r="H3698" s="1059"/>
      <c r="I3698" s="1060" t="s">
        <v>633</v>
      </c>
      <c r="J3698" s="1061"/>
      <c r="K3698" s="1062"/>
      <c r="L3698" s="158" t="s">
        <v>430</v>
      </c>
      <c r="M3698" s="105" t="s">
        <v>431</v>
      </c>
    </row>
    <row r="3699" spans="4:13" ht="24">
      <c r="E3699" s="625" t="s">
        <v>432</v>
      </c>
      <c r="F3699" s="992"/>
      <c r="G3699" s="993"/>
      <c r="H3699" s="994"/>
      <c r="I3699" s="995" t="s">
        <v>1460</v>
      </c>
      <c r="J3699" s="996"/>
      <c r="K3699" s="997"/>
      <c r="L3699" s="99"/>
      <c r="M3699" s="100"/>
    </row>
    <row r="3700" spans="4:13" ht="24">
      <c r="E3700" s="626" t="s">
        <v>433</v>
      </c>
      <c r="F3700" s="1001" t="s">
        <v>1090</v>
      </c>
      <c r="G3700" s="1002"/>
      <c r="H3700" s="1003"/>
      <c r="I3700" s="995"/>
      <c r="J3700" s="996"/>
      <c r="K3700" s="997"/>
      <c r="L3700" s="99"/>
      <c r="M3700" s="100"/>
    </row>
    <row r="3701" spans="4:13" ht="25" thickBot="1">
      <c r="E3701" s="626" t="s">
        <v>434</v>
      </c>
      <c r="F3701" s="1093"/>
      <c r="G3701" s="1094"/>
      <c r="H3701" s="1095"/>
      <c r="I3701" s="995"/>
      <c r="J3701" s="996"/>
      <c r="K3701" s="997"/>
      <c r="L3701" s="99"/>
      <c r="M3701" s="100"/>
    </row>
    <row r="3702" spans="4:13" ht="25" thickBot="1">
      <c r="E3702" s="627" t="s">
        <v>435</v>
      </c>
      <c r="F3702" s="1007">
        <v>0.52083333333333337</v>
      </c>
      <c r="G3702" s="1008"/>
      <c r="H3702" s="1009"/>
      <c r="I3702" s="995"/>
      <c r="J3702" s="996"/>
      <c r="K3702" s="997"/>
      <c r="L3702" s="647">
        <v>0.75</v>
      </c>
      <c r="M3702" s="648">
        <v>0.64583333333333337</v>
      </c>
    </row>
    <row r="3703" spans="4:13" ht="25" thickBot="1">
      <c r="E3703" s="628" t="s">
        <v>436</v>
      </c>
      <c r="F3703" s="200" t="s">
        <v>29</v>
      </c>
      <c r="G3703" s="200" t="s">
        <v>28</v>
      </c>
      <c r="H3703" s="201" t="s">
        <v>27</v>
      </c>
      <c r="I3703" s="995"/>
      <c r="J3703" s="996"/>
      <c r="K3703" s="997"/>
      <c r="L3703" s="99"/>
      <c r="M3703" s="100"/>
    </row>
    <row r="3704" spans="4:13" ht="24">
      <c r="E3704" s="629">
        <v>45736</v>
      </c>
      <c r="F3704" s="632" t="s">
        <v>1090</v>
      </c>
      <c r="G3704" s="632" t="s">
        <v>986</v>
      </c>
      <c r="H3704" s="632" t="s">
        <v>1112</v>
      </c>
      <c r="I3704" s="995"/>
      <c r="J3704" s="996"/>
      <c r="K3704" s="997"/>
      <c r="L3704" s="99"/>
      <c r="M3704" s="100"/>
    </row>
    <row r="3705" spans="4:13" ht="24">
      <c r="E3705" s="629">
        <v>45729</v>
      </c>
      <c r="F3705" s="632" t="s">
        <v>1112</v>
      </c>
      <c r="G3705" s="632" t="s">
        <v>1703</v>
      </c>
      <c r="H3705" s="632" t="s">
        <v>986</v>
      </c>
      <c r="I3705" s="995"/>
      <c r="J3705" s="996"/>
      <c r="K3705" s="997"/>
      <c r="L3705" s="99"/>
      <c r="M3705" s="100"/>
    </row>
    <row r="3706" spans="4:13" ht="24">
      <c r="E3706" s="629">
        <v>45722</v>
      </c>
      <c r="F3706" s="632" t="s">
        <v>972</v>
      </c>
      <c r="G3706" s="632" t="s">
        <v>1704</v>
      </c>
      <c r="H3706" s="632" t="s">
        <v>980</v>
      </c>
      <c r="I3706" s="995"/>
      <c r="J3706" s="996"/>
      <c r="K3706" s="997"/>
      <c r="L3706" s="649"/>
      <c r="M3706" s="100"/>
    </row>
    <row r="3707" spans="4:13" ht="24">
      <c r="E3707" s="629">
        <v>45715</v>
      </c>
      <c r="F3707" s="632" t="s">
        <v>980</v>
      </c>
      <c r="G3707" s="632" t="s">
        <v>986</v>
      </c>
      <c r="H3707" s="632" t="s">
        <v>1112</v>
      </c>
      <c r="I3707" s="995"/>
      <c r="J3707" s="996"/>
      <c r="K3707" s="997"/>
      <c r="L3707" s="99"/>
      <c r="M3707" s="100"/>
    </row>
    <row r="3708" spans="4:13" ht="24">
      <c r="E3708" s="629">
        <v>45708</v>
      </c>
      <c r="F3708" s="632" t="s">
        <v>987</v>
      </c>
      <c r="G3708" s="632" t="s">
        <v>1232</v>
      </c>
      <c r="H3708" s="632" t="s">
        <v>1439</v>
      </c>
      <c r="I3708" s="995"/>
      <c r="J3708" s="996"/>
      <c r="K3708" s="997"/>
      <c r="L3708" s="99"/>
      <c r="M3708" s="100"/>
    </row>
    <row r="3709" spans="4:13" ht="25" thickBot="1">
      <c r="E3709" s="629">
        <v>45701</v>
      </c>
      <c r="F3709" s="632" t="s">
        <v>1111</v>
      </c>
      <c r="G3709" s="632" t="s">
        <v>1031</v>
      </c>
      <c r="H3709" s="632" t="s">
        <v>1112</v>
      </c>
      <c r="I3709" s="998"/>
      <c r="J3709" s="999"/>
      <c r="K3709" s="1000"/>
      <c r="L3709" s="102"/>
      <c r="M3709" s="103"/>
    </row>
    <row r="3710" spans="4:13" ht="25" thickBot="1">
      <c r="D3710">
        <v>1</v>
      </c>
      <c r="E3710" s="624" t="s">
        <v>30</v>
      </c>
      <c r="F3710" s="1057" t="s">
        <v>1681</v>
      </c>
      <c r="G3710" s="1058"/>
      <c r="H3710" s="1059"/>
      <c r="I3710" s="1060" t="s">
        <v>633</v>
      </c>
      <c r="J3710" s="1061"/>
      <c r="K3710" s="1062"/>
      <c r="L3710" s="158" t="s">
        <v>430</v>
      </c>
      <c r="M3710" s="105" t="s">
        <v>431</v>
      </c>
    </row>
    <row r="3711" spans="4:13" ht="24">
      <c r="E3711" s="625" t="s">
        <v>432</v>
      </c>
      <c r="F3711" s="992"/>
      <c r="G3711" s="993"/>
      <c r="H3711" s="994"/>
      <c r="I3711" s="995" t="s">
        <v>1682</v>
      </c>
      <c r="J3711" s="996"/>
      <c r="K3711" s="997"/>
      <c r="L3711" s="99"/>
      <c r="M3711" s="100"/>
    </row>
    <row r="3712" spans="4:13" ht="24">
      <c r="E3712" s="626" t="s">
        <v>433</v>
      </c>
      <c r="F3712" s="1072"/>
      <c r="G3712" s="1073"/>
      <c r="H3712" s="1074"/>
      <c r="I3712" s="995"/>
      <c r="J3712" s="996"/>
      <c r="K3712" s="997"/>
      <c r="L3712" s="99"/>
      <c r="M3712" s="100"/>
    </row>
    <row r="3713" spans="4:13" ht="25" thickBot="1">
      <c r="E3713" s="626" t="s">
        <v>434</v>
      </c>
      <c r="F3713" s="1096">
        <v>1E-3</v>
      </c>
      <c r="G3713" s="1097"/>
      <c r="H3713" s="1098"/>
      <c r="I3713" s="995"/>
      <c r="J3713" s="996"/>
      <c r="K3713" s="997"/>
      <c r="L3713" s="99"/>
      <c r="M3713" s="100"/>
    </row>
    <row r="3714" spans="4:13" ht="25" thickBot="1">
      <c r="E3714" s="627" t="s">
        <v>435</v>
      </c>
      <c r="F3714" s="1007">
        <v>0.29166666666666674</v>
      </c>
      <c r="G3714" s="1008"/>
      <c r="H3714" s="1009"/>
      <c r="I3714" s="995"/>
      <c r="J3714" s="996"/>
      <c r="K3714" s="997"/>
      <c r="L3714" s="647">
        <v>0.52083333333333337</v>
      </c>
      <c r="M3714" s="648">
        <v>0.41666666666666669</v>
      </c>
    </row>
    <row r="3715" spans="4:13" ht="25" thickBot="1">
      <c r="E3715" s="628" t="s">
        <v>436</v>
      </c>
      <c r="F3715" s="200" t="s">
        <v>29</v>
      </c>
      <c r="G3715" s="200" t="s">
        <v>28</v>
      </c>
      <c r="H3715" s="201" t="s">
        <v>27</v>
      </c>
      <c r="I3715" s="995"/>
      <c r="J3715" s="996"/>
      <c r="K3715" s="997"/>
      <c r="L3715" s="99"/>
      <c r="M3715" s="100"/>
    </row>
    <row r="3716" spans="4:13" ht="24">
      <c r="E3716" s="629">
        <v>45701</v>
      </c>
      <c r="F3716" s="202">
        <v>1E-3</v>
      </c>
      <c r="G3716" s="202" t="s">
        <v>456</v>
      </c>
      <c r="H3716" s="202">
        <v>0</v>
      </c>
      <c r="I3716" s="995"/>
      <c r="J3716" s="996"/>
      <c r="K3716" s="997"/>
      <c r="L3716" s="99"/>
      <c r="M3716" s="100"/>
    </row>
    <row r="3717" spans="4:13" ht="24">
      <c r="E3717" s="629">
        <v>45649</v>
      </c>
      <c r="F3717" s="202">
        <v>0</v>
      </c>
      <c r="G3717" s="202" t="s">
        <v>462</v>
      </c>
      <c r="H3717" s="202">
        <v>4.0000000000000001E-3</v>
      </c>
      <c r="I3717" s="995"/>
      <c r="J3717" s="996"/>
      <c r="K3717" s="997"/>
      <c r="L3717" s="99"/>
      <c r="M3717" s="100"/>
    </row>
    <row r="3718" spans="4:13" ht="24">
      <c r="E3718" s="629">
        <v>45611</v>
      </c>
      <c r="F3718" s="202">
        <v>1E-3</v>
      </c>
      <c r="G3718" s="202" t="s">
        <v>460</v>
      </c>
      <c r="H3718" s="202">
        <v>5.0000000000000001E-3</v>
      </c>
      <c r="I3718" s="995"/>
      <c r="J3718" s="996"/>
      <c r="K3718" s="997"/>
      <c r="L3718" s="649"/>
      <c r="M3718" s="100"/>
    </row>
    <row r="3719" spans="4:13" ht="24">
      <c r="E3719" s="629">
        <v>45565</v>
      </c>
      <c r="F3719" s="202">
        <v>5.0000000000000001E-3</v>
      </c>
      <c r="G3719" s="202" t="s">
        <v>449</v>
      </c>
      <c r="H3719" s="202">
        <v>7.0000000000000001E-3</v>
      </c>
      <c r="I3719" s="995"/>
      <c r="J3719" s="996"/>
      <c r="K3719" s="997"/>
      <c r="L3719" s="99"/>
      <c r="M3719" s="100"/>
    </row>
    <row r="3720" spans="4:13" ht="24">
      <c r="E3720" s="629">
        <v>45519</v>
      </c>
      <c r="F3720" s="202">
        <v>6.0000000000000001E-3</v>
      </c>
      <c r="G3720" s="202" t="s">
        <v>449</v>
      </c>
      <c r="H3720" s="202">
        <v>7.0000000000000001E-3</v>
      </c>
      <c r="I3720" s="995"/>
      <c r="J3720" s="996"/>
      <c r="K3720" s="997"/>
      <c r="L3720" s="99"/>
      <c r="M3720" s="100"/>
    </row>
    <row r="3721" spans="4:13" ht="25" thickBot="1">
      <c r="E3721" s="629">
        <v>45471</v>
      </c>
      <c r="F3721" s="202">
        <v>7.0000000000000001E-3</v>
      </c>
      <c r="G3721" s="202" t="s">
        <v>449</v>
      </c>
      <c r="H3721" s="202">
        <v>-3.0000000000000001E-3</v>
      </c>
      <c r="I3721" s="998"/>
      <c r="J3721" s="999"/>
      <c r="K3721" s="1000"/>
      <c r="L3721" s="102"/>
      <c r="M3721" s="103"/>
    </row>
    <row r="3722" spans="4:13" ht="25" thickBot="1">
      <c r="D3722">
        <v>1</v>
      </c>
      <c r="E3722" s="624" t="s">
        <v>30</v>
      </c>
      <c r="F3722" s="1057" t="s">
        <v>1683</v>
      </c>
      <c r="G3722" s="1058"/>
      <c r="H3722" s="1059"/>
      <c r="I3722" s="1060" t="s">
        <v>633</v>
      </c>
      <c r="J3722" s="1061"/>
      <c r="K3722" s="1062"/>
      <c r="L3722" s="158" t="s">
        <v>430</v>
      </c>
      <c r="M3722" s="105" t="s">
        <v>431</v>
      </c>
    </row>
    <row r="3723" spans="4:13" ht="24">
      <c r="E3723" s="625" t="s">
        <v>432</v>
      </c>
      <c r="F3723" s="992"/>
      <c r="G3723" s="993"/>
      <c r="H3723" s="994"/>
      <c r="I3723" s="995" t="s">
        <v>1682</v>
      </c>
      <c r="J3723" s="996"/>
      <c r="K3723" s="997"/>
      <c r="L3723" s="99"/>
      <c r="M3723" s="100"/>
    </row>
    <row r="3724" spans="4:13" ht="24">
      <c r="E3724" s="626" t="s">
        <v>433</v>
      </c>
      <c r="F3724" s="1072"/>
      <c r="G3724" s="1073"/>
      <c r="H3724" s="1074"/>
      <c r="I3724" s="995"/>
      <c r="J3724" s="996"/>
      <c r="K3724" s="997"/>
      <c r="L3724" s="99"/>
      <c r="M3724" s="100"/>
    </row>
    <row r="3725" spans="4:13" ht="25" thickBot="1">
      <c r="E3725" s="626" t="s">
        <v>434</v>
      </c>
      <c r="F3725" s="1096">
        <v>1.4E-2</v>
      </c>
      <c r="G3725" s="1097"/>
      <c r="H3725" s="1098"/>
      <c r="I3725" s="995"/>
      <c r="J3725" s="996"/>
      <c r="K3725" s="997"/>
      <c r="L3725" s="99"/>
      <c r="M3725" s="100"/>
    </row>
    <row r="3726" spans="4:13" ht="25" thickBot="1">
      <c r="E3726" s="627" t="s">
        <v>435</v>
      </c>
      <c r="F3726" s="1007">
        <v>0.29166666666666674</v>
      </c>
      <c r="G3726" s="1008"/>
      <c r="H3726" s="1009"/>
      <c r="I3726" s="995"/>
      <c r="J3726" s="996"/>
      <c r="K3726" s="997"/>
      <c r="L3726" s="647">
        <v>0.52083333333333337</v>
      </c>
      <c r="M3726" s="648">
        <v>0.41666666666666669</v>
      </c>
    </row>
    <row r="3727" spans="4:13" ht="25" thickBot="1">
      <c r="E3727" s="628" t="s">
        <v>436</v>
      </c>
      <c r="F3727" s="200" t="s">
        <v>29</v>
      </c>
      <c r="G3727" s="200" t="s">
        <v>28</v>
      </c>
      <c r="H3727" s="201" t="s">
        <v>27</v>
      </c>
      <c r="I3727" s="995"/>
      <c r="J3727" s="996"/>
      <c r="K3727" s="997"/>
      <c r="L3727" s="99"/>
      <c r="M3727" s="100"/>
    </row>
    <row r="3728" spans="4:13" ht="24">
      <c r="E3728" s="629">
        <v>45701</v>
      </c>
      <c r="F3728" s="202">
        <v>1.4E-2</v>
      </c>
      <c r="G3728" s="202" t="s">
        <v>1382</v>
      </c>
      <c r="H3728" s="202">
        <v>0.01</v>
      </c>
      <c r="I3728" s="995"/>
      <c r="J3728" s="996"/>
      <c r="K3728" s="997"/>
      <c r="L3728" s="99"/>
      <c r="M3728" s="100"/>
    </row>
    <row r="3729" spans="4:13" ht="24">
      <c r="E3729" s="629">
        <v>45649</v>
      </c>
      <c r="F3729" s="202">
        <v>8.9999999999999993E-3</v>
      </c>
      <c r="G3729" s="202" t="s">
        <v>1536</v>
      </c>
      <c r="H3729" s="202">
        <v>7.0000000000000001E-3</v>
      </c>
      <c r="I3729" s="995"/>
      <c r="J3729" s="996"/>
      <c r="K3729" s="997"/>
      <c r="L3729" s="99"/>
      <c r="M3729" s="100"/>
    </row>
    <row r="3730" spans="4:13" ht="24">
      <c r="E3730" s="629">
        <v>45611</v>
      </c>
      <c r="F3730" s="202">
        <v>0.01</v>
      </c>
      <c r="G3730" s="202" t="s">
        <v>462</v>
      </c>
      <c r="H3730" s="202">
        <v>7.0000000000000001E-3</v>
      </c>
      <c r="I3730" s="995"/>
      <c r="J3730" s="996"/>
      <c r="K3730" s="997"/>
      <c r="L3730" s="649"/>
      <c r="M3730" s="100"/>
    </row>
    <row r="3731" spans="4:13" ht="24">
      <c r="E3731" s="629">
        <v>45565</v>
      </c>
      <c r="F3731" s="202">
        <v>7.0000000000000001E-3</v>
      </c>
      <c r="G3731" s="202" t="s">
        <v>459</v>
      </c>
      <c r="H3731" s="202">
        <v>3.0000000000000001E-3</v>
      </c>
      <c r="I3731" s="995"/>
      <c r="J3731" s="996"/>
      <c r="K3731" s="997"/>
      <c r="L3731" s="99"/>
      <c r="M3731" s="100"/>
    </row>
    <row r="3732" spans="4:13" ht="24">
      <c r="E3732" s="629">
        <v>45519</v>
      </c>
      <c r="F3732" s="202">
        <v>8.9999999999999993E-3</v>
      </c>
      <c r="G3732" s="202" t="s">
        <v>459</v>
      </c>
      <c r="H3732" s="202">
        <v>3.0000000000000001E-3</v>
      </c>
      <c r="I3732" s="995"/>
      <c r="J3732" s="996"/>
      <c r="K3732" s="997"/>
      <c r="L3732" s="99"/>
      <c r="M3732" s="100"/>
    </row>
    <row r="3733" spans="4:13" ht="25" thickBot="1">
      <c r="E3733" s="629">
        <v>45471</v>
      </c>
      <c r="F3733" s="202">
        <v>3.0000000000000001E-3</v>
      </c>
      <c r="G3733" s="202" t="s">
        <v>460</v>
      </c>
      <c r="H3733" s="202">
        <v>-2E-3</v>
      </c>
      <c r="I3733" s="998"/>
      <c r="J3733" s="999"/>
      <c r="K3733" s="1000"/>
      <c r="L3733" s="102"/>
      <c r="M3733" s="103"/>
    </row>
    <row r="3734" spans="4:13" ht="25" thickBot="1">
      <c r="D3734">
        <v>1</v>
      </c>
      <c r="E3734" s="624" t="s">
        <v>30</v>
      </c>
      <c r="F3734" s="1057" t="s">
        <v>1684</v>
      </c>
      <c r="G3734" s="1058"/>
      <c r="H3734" s="1059"/>
      <c r="I3734" s="1060" t="s">
        <v>633</v>
      </c>
      <c r="J3734" s="1061"/>
      <c r="K3734" s="1062"/>
      <c r="L3734" s="158" t="s">
        <v>430</v>
      </c>
      <c r="M3734" s="105" t="s">
        <v>431</v>
      </c>
    </row>
    <row r="3735" spans="4:13" ht="24">
      <c r="E3735" s="625" t="s">
        <v>432</v>
      </c>
      <c r="F3735" s="992"/>
      <c r="G3735" s="993"/>
      <c r="H3735" s="994"/>
      <c r="I3735" s="995" t="s">
        <v>1685</v>
      </c>
      <c r="J3735" s="996"/>
      <c r="K3735" s="997"/>
      <c r="L3735" s="99"/>
      <c r="M3735" s="100"/>
    </row>
    <row r="3736" spans="4:13" ht="24">
      <c r="E3736" s="626" t="s">
        <v>433</v>
      </c>
      <c r="F3736" s="1072" t="s">
        <v>1090</v>
      </c>
      <c r="G3736" s="1073"/>
      <c r="H3736" s="1074"/>
      <c r="I3736" s="995"/>
      <c r="J3736" s="996"/>
      <c r="K3736" s="997"/>
      <c r="L3736" s="99"/>
      <c r="M3736" s="100"/>
    </row>
    <row r="3737" spans="4:13" ht="25" thickBot="1">
      <c r="E3737" s="626" t="s">
        <v>434</v>
      </c>
      <c r="F3737" s="1072">
        <v>3.0000000000000001E-3</v>
      </c>
      <c r="G3737" s="1073"/>
      <c r="H3737" s="1074"/>
      <c r="I3737" s="995"/>
      <c r="J3737" s="996"/>
      <c r="K3737" s="997"/>
      <c r="L3737" s="99"/>
      <c r="M3737" s="100"/>
    </row>
    <row r="3738" spans="4:13" ht="25" thickBot="1">
      <c r="E3738" s="627" t="s">
        <v>435</v>
      </c>
      <c r="F3738" s="1007">
        <v>0.52083333333333337</v>
      </c>
      <c r="G3738" s="1008"/>
      <c r="H3738" s="1009"/>
      <c r="I3738" s="995"/>
      <c r="J3738" s="996"/>
      <c r="K3738" s="997"/>
      <c r="L3738" s="647">
        <v>0.75</v>
      </c>
      <c r="M3738" s="648">
        <v>0.64583333333333337</v>
      </c>
    </row>
    <row r="3739" spans="4:13" ht="25" thickBot="1">
      <c r="E3739" s="628" t="s">
        <v>436</v>
      </c>
      <c r="F3739" s="200" t="s">
        <v>29</v>
      </c>
      <c r="G3739" s="200" t="s">
        <v>28</v>
      </c>
      <c r="H3739" s="201" t="s">
        <v>27</v>
      </c>
      <c r="I3739" s="995"/>
      <c r="J3739" s="996"/>
      <c r="K3739" s="997"/>
      <c r="L3739" s="99"/>
      <c r="M3739" s="100"/>
    </row>
    <row r="3740" spans="4:13" ht="24">
      <c r="E3740" s="629">
        <v>45716</v>
      </c>
      <c r="F3740" s="634">
        <v>3.0000000000000001E-3</v>
      </c>
      <c r="G3740" s="634" t="s">
        <v>467</v>
      </c>
      <c r="H3740" s="634">
        <v>2E-3</v>
      </c>
      <c r="I3740" s="995"/>
      <c r="J3740" s="996"/>
      <c r="K3740" s="997"/>
      <c r="L3740" s="99"/>
      <c r="M3740" s="100"/>
    </row>
    <row r="3741" spans="4:13" ht="24">
      <c r="E3741" s="629">
        <v>45688</v>
      </c>
      <c r="F3741" s="634">
        <v>2E-3</v>
      </c>
      <c r="G3741" s="634" t="s">
        <v>460</v>
      </c>
      <c r="H3741" s="634">
        <v>1E-3</v>
      </c>
      <c r="I3741" s="995"/>
      <c r="J3741" s="996"/>
      <c r="K3741" s="997"/>
      <c r="L3741" s="99"/>
      <c r="M3741" s="100"/>
    </row>
    <row r="3742" spans="4:13" ht="24">
      <c r="E3742" s="629">
        <v>45646</v>
      </c>
      <c r="F3742" s="634">
        <v>1E-3</v>
      </c>
      <c r="G3742" s="634" t="s">
        <v>460</v>
      </c>
      <c r="H3742" s="634">
        <v>3.0000000000000001E-3</v>
      </c>
      <c r="I3742" s="995"/>
      <c r="J3742" s="996"/>
      <c r="K3742" s="997"/>
      <c r="L3742" s="649"/>
      <c r="M3742" s="100"/>
    </row>
    <row r="3743" spans="4:13" ht="24">
      <c r="E3743" s="629">
        <v>45623</v>
      </c>
      <c r="F3743" s="634">
        <v>3.0000000000000001E-3</v>
      </c>
      <c r="G3743" s="634" t="s">
        <v>467</v>
      </c>
      <c r="H3743" s="634">
        <v>3.0000000000000001E-3</v>
      </c>
      <c r="I3743" s="995"/>
      <c r="J3743" s="996"/>
      <c r="K3743" s="997"/>
      <c r="L3743" s="99"/>
      <c r="M3743" s="100"/>
    </row>
    <row r="3744" spans="4:13" ht="24">
      <c r="E3744" s="629">
        <v>45596</v>
      </c>
      <c r="F3744" s="634">
        <v>3.0000000000000001E-3</v>
      </c>
      <c r="G3744" s="634" t="s">
        <v>467</v>
      </c>
      <c r="H3744" s="634">
        <v>2E-3</v>
      </c>
      <c r="I3744" s="995"/>
      <c r="J3744" s="996"/>
      <c r="K3744" s="997"/>
      <c r="L3744" s="99"/>
      <c r="M3744" s="100"/>
    </row>
    <row r="3745" spans="4:13" ht="25" thickBot="1">
      <c r="E3745" s="629">
        <v>45562</v>
      </c>
      <c r="F3745" s="634">
        <v>1E-3</v>
      </c>
      <c r="G3745" s="634" t="s">
        <v>460</v>
      </c>
      <c r="H3745" s="634">
        <v>2E-3</v>
      </c>
      <c r="I3745" s="998"/>
      <c r="J3745" s="999"/>
      <c r="K3745" s="1000"/>
      <c r="L3745" s="102"/>
      <c r="M3745" s="103"/>
    </row>
    <row r="3746" spans="4:13" ht="25" thickBot="1">
      <c r="D3746">
        <v>1</v>
      </c>
      <c r="E3746" s="628" t="s">
        <v>30</v>
      </c>
      <c r="F3746" s="1057" t="s">
        <v>1686</v>
      </c>
      <c r="G3746" s="1058"/>
      <c r="H3746" s="1059"/>
      <c r="I3746" s="1060" t="s">
        <v>633</v>
      </c>
      <c r="J3746" s="1061"/>
      <c r="K3746" s="1062"/>
      <c r="L3746" s="158" t="s">
        <v>430</v>
      </c>
      <c r="M3746" s="105" t="s">
        <v>431</v>
      </c>
    </row>
    <row r="3747" spans="4:13" ht="24">
      <c r="E3747" s="625" t="s">
        <v>432</v>
      </c>
      <c r="F3747" s="992"/>
      <c r="G3747" s="993"/>
      <c r="H3747" s="994"/>
      <c r="I3747" s="995" t="s">
        <v>1687</v>
      </c>
      <c r="J3747" s="996"/>
      <c r="K3747" s="997"/>
      <c r="L3747" s="99"/>
      <c r="M3747" s="100"/>
    </row>
    <row r="3748" spans="4:13" ht="24">
      <c r="E3748" s="626" t="s">
        <v>433</v>
      </c>
      <c r="F3748" s="1072" t="s">
        <v>1090</v>
      </c>
      <c r="G3748" s="1073"/>
      <c r="H3748" s="1074"/>
      <c r="I3748" s="995"/>
      <c r="J3748" s="996"/>
      <c r="K3748" s="997"/>
      <c r="L3748" s="99"/>
      <c r="M3748" s="100"/>
    </row>
    <row r="3749" spans="4:13" ht="25" thickBot="1">
      <c r="E3749" s="626" t="s">
        <v>434</v>
      </c>
      <c r="F3749" s="1072">
        <v>2.5999999999999999E-2</v>
      </c>
      <c r="G3749" s="1073"/>
      <c r="H3749" s="1074"/>
      <c r="I3749" s="995"/>
      <c r="J3749" s="996"/>
      <c r="K3749" s="997"/>
      <c r="L3749" s="99"/>
      <c r="M3749" s="100"/>
    </row>
    <row r="3750" spans="4:13" ht="25" thickBot="1">
      <c r="E3750" s="627" t="s">
        <v>435</v>
      </c>
      <c r="F3750" s="1007">
        <v>0.52083333333333337</v>
      </c>
      <c r="G3750" s="1008"/>
      <c r="H3750" s="1009"/>
      <c r="I3750" s="995"/>
      <c r="J3750" s="996"/>
      <c r="K3750" s="997"/>
      <c r="L3750" s="647">
        <v>0.75</v>
      </c>
      <c r="M3750" s="648">
        <v>0.64583333333333337</v>
      </c>
    </row>
    <row r="3751" spans="4:13" ht="25" thickBot="1">
      <c r="E3751" s="628" t="s">
        <v>436</v>
      </c>
      <c r="F3751" s="200" t="s">
        <v>29</v>
      </c>
      <c r="G3751" s="200" t="s">
        <v>28</v>
      </c>
      <c r="H3751" s="201" t="s">
        <v>27</v>
      </c>
      <c r="I3751" s="995"/>
      <c r="J3751" s="996"/>
      <c r="K3751" s="997"/>
      <c r="L3751" s="99"/>
      <c r="M3751" s="100"/>
    </row>
    <row r="3752" spans="4:13" ht="24">
      <c r="E3752" s="629">
        <v>45716</v>
      </c>
      <c r="F3752" s="202">
        <v>2.5999999999999999E-2</v>
      </c>
      <c r="G3752" s="202" t="s">
        <v>493</v>
      </c>
      <c r="H3752" s="202">
        <v>2.9000000000000001E-2</v>
      </c>
      <c r="I3752" s="995"/>
      <c r="J3752" s="996"/>
      <c r="K3752" s="997"/>
      <c r="L3752" s="99"/>
      <c r="M3752" s="100"/>
    </row>
    <row r="3753" spans="4:13" ht="24">
      <c r="E3753" s="629">
        <v>45688</v>
      </c>
      <c r="F3753" s="202">
        <v>2.8000000000000001E-2</v>
      </c>
      <c r="G3753" s="202" t="s">
        <v>666</v>
      </c>
      <c r="H3753" s="202">
        <v>2.8000000000000001E-2</v>
      </c>
      <c r="I3753" s="995"/>
      <c r="J3753" s="996"/>
      <c r="K3753" s="997"/>
      <c r="L3753" s="99"/>
      <c r="M3753" s="100"/>
    </row>
    <row r="3754" spans="4:13" ht="24">
      <c r="E3754" s="629">
        <v>45646</v>
      </c>
      <c r="F3754" s="202">
        <v>2.8000000000000001E-2</v>
      </c>
      <c r="G3754" s="202" t="s">
        <v>667</v>
      </c>
      <c r="H3754" s="202">
        <v>2.8000000000000001E-2</v>
      </c>
      <c r="I3754" s="995"/>
      <c r="J3754" s="996"/>
      <c r="K3754" s="997"/>
      <c r="L3754" s="649"/>
      <c r="M3754" s="100"/>
    </row>
    <row r="3755" spans="4:13" ht="24">
      <c r="E3755" s="629">
        <v>45623</v>
      </c>
      <c r="F3755" s="202">
        <v>2.8000000000000001E-2</v>
      </c>
      <c r="G3755" s="202" t="s">
        <v>666</v>
      </c>
      <c r="H3755" s="202">
        <v>2.7E-2</v>
      </c>
      <c r="I3755" s="995"/>
      <c r="J3755" s="996"/>
      <c r="K3755" s="997"/>
      <c r="L3755" s="99"/>
      <c r="M3755" s="100"/>
    </row>
    <row r="3756" spans="4:13" ht="24">
      <c r="E3756" s="629">
        <v>45596</v>
      </c>
      <c r="F3756" s="202">
        <v>2.7E-2</v>
      </c>
      <c r="G3756" s="202" t="s">
        <v>493</v>
      </c>
      <c r="H3756" s="202">
        <v>2.7E-2</v>
      </c>
      <c r="I3756" s="995"/>
      <c r="J3756" s="996"/>
      <c r="K3756" s="997"/>
      <c r="L3756" s="99"/>
      <c r="M3756" s="100"/>
    </row>
    <row r="3757" spans="4:13" ht="25" thickBot="1">
      <c r="E3757" s="629">
        <v>45562</v>
      </c>
      <c r="F3757" s="202">
        <v>2.7E-2</v>
      </c>
      <c r="G3757" s="202" t="s">
        <v>665</v>
      </c>
      <c r="H3757" s="202">
        <v>2.5999999999999999E-2</v>
      </c>
      <c r="I3757" s="998"/>
      <c r="J3757" s="999"/>
      <c r="K3757" s="1000"/>
      <c r="L3757" s="102"/>
      <c r="M3757" s="103"/>
    </row>
    <row r="3758" spans="4:13" ht="25" thickBot="1">
      <c r="D3758">
        <v>1</v>
      </c>
      <c r="E3758" s="624" t="s">
        <v>30</v>
      </c>
      <c r="F3758" s="1057" t="s">
        <v>1421</v>
      </c>
      <c r="G3758" s="1058"/>
      <c r="H3758" s="1059"/>
      <c r="I3758" s="1060" t="s">
        <v>633</v>
      </c>
      <c r="J3758" s="1061"/>
      <c r="K3758" s="1062"/>
      <c r="L3758" s="158" t="s">
        <v>430</v>
      </c>
      <c r="M3758" s="105" t="s">
        <v>431</v>
      </c>
    </row>
    <row r="3759" spans="4:13" ht="24">
      <c r="E3759" s="625" t="s">
        <v>432</v>
      </c>
      <c r="F3759" s="992"/>
      <c r="G3759" s="993"/>
      <c r="H3759" s="994"/>
      <c r="I3759" s="995" t="s">
        <v>1460</v>
      </c>
      <c r="J3759" s="996"/>
      <c r="K3759" s="997"/>
      <c r="L3759" s="99"/>
      <c r="M3759" s="100"/>
    </row>
    <row r="3760" spans="4:13" ht="24">
      <c r="E3760" s="626" t="s">
        <v>433</v>
      </c>
      <c r="F3760" s="1001" t="s">
        <v>1090</v>
      </c>
      <c r="G3760" s="1002"/>
      <c r="H3760" s="1003"/>
      <c r="I3760" s="995"/>
      <c r="J3760" s="996"/>
      <c r="K3760" s="997"/>
      <c r="L3760" s="99"/>
      <c r="M3760" s="100"/>
    </row>
    <row r="3761" spans="4:32" ht="25" thickBot="1">
      <c r="E3761" s="626" t="s">
        <v>434</v>
      </c>
      <c r="F3761" s="1093">
        <v>0</v>
      </c>
      <c r="G3761" s="1094"/>
      <c r="H3761" s="1095"/>
      <c r="I3761" s="995"/>
      <c r="J3761" s="996"/>
      <c r="K3761" s="997"/>
      <c r="L3761" s="99"/>
      <c r="M3761" s="100"/>
    </row>
    <row r="3762" spans="4:32" ht="25" thickBot="1">
      <c r="E3762" s="627" t="s">
        <v>435</v>
      </c>
      <c r="F3762" s="1007">
        <v>0.52083333333333337</v>
      </c>
      <c r="G3762" s="1008"/>
      <c r="H3762" s="1009"/>
      <c r="I3762" s="995"/>
      <c r="J3762" s="996"/>
      <c r="K3762" s="997"/>
      <c r="L3762" s="647">
        <v>0.75</v>
      </c>
      <c r="M3762" s="648">
        <v>0.64583333333333337</v>
      </c>
    </row>
    <row r="3763" spans="4:32" ht="25" thickBot="1">
      <c r="E3763" s="628" t="s">
        <v>436</v>
      </c>
      <c r="F3763" s="200" t="s">
        <v>29</v>
      </c>
      <c r="G3763" s="200" t="s">
        <v>28</v>
      </c>
      <c r="H3763" s="201" t="s">
        <v>27</v>
      </c>
      <c r="I3763" s="995"/>
      <c r="J3763" s="996"/>
      <c r="K3763" s="997"/>
      <c r="L3763" s="99"/>
      <c r="M3763" s="100"/>
    </row>
    <row r="3764" spans="4:32" ht="24">
      <c r="E3764" s="629">
        <v>45736</v>
      </c>
      <c r="F3764" s="632" t="s">
        <v>1090</v>
      </c>
      <c r="G3764" s="632" t="s">
        <v>986</v>
      </c>
      <c r="H3764" s="632" t="s">
        <v>1112</v>
      </c>
      <c r="I3764" s="995"/>
      <c r="J3764" s="996"/>
      <c r="K3764" s="997"/>
      <c r="L3764" s="99"/>
      <c r="M3764" s="100"/>
    </row>
    <row r="3765" spans="4:32" ht="24">
      <c r="E3765" s="629">
        <v>45729</v>
      </c>
      <c r="F3765" s="632" t="s">
        <v>1112</v>
      </c>
      <c r="G3765" s="632" t="s">
        <v>1703</v>
      </c>
      <c r="H3765" s="632" t="s">
        <v>986</v>
      </c>
      <c r="I3765" s="995"/>
      <c r="J3765" s="996"/>
      <c r="K3765" s="997"/>
      <c r="L3765" s="99"/>
      <c r="M3765" s="100"/>
    </row>
    <row r="3766" spans="4:32" ht="24">
      <c r="E3766" s="629">
        <v>45722</v>
      </c>
      <c r="F3766" s="632" t="s">
        <v>972</v>
      </c>
      <c r="G3766" s="632" t="s">
        <v>1704</v>
      </c>
      <c r="H3766" s="632" t="s">
        <v>980</v>
      </c>
      <c r="I3766" s="995"/>
      <c r="J3766" s="996"/>
      <c r="K3766" s="997"/>
      <c r="L3766" s="649"/>
      <c r="M3766" s="100"/>
    </row>
    <row r="3767" spans="4:32" ht="24">
      <c r="E3767" s="629">
        <v>45715</v>
      </c>
      <c r="F3767" s="632" t="s">
        <v>980</v>
      </c>
      <c r="G3767" s="632" t="s">
        <v>986</v>
      </c>
      <c r="H3767" s="632" t="s">
        <v>1112</v>
      </c>
      <c r="I3767" s="995"/>
      <c r="J3767" s="996"/>
      <c r="K3767" s="997"/>
      <c r="L3767" s="99"/>
      <c r="M3767" s="100"/>
    </row>
    <row r="3768" spans="4:32" ht="24">
      <c r="E3768" s="629">
        <v>45708</v>
      </c>
      <c r="F3768" s="632" t="s">
        <v>987</v>
      </c>
      <c r="G3768" s="632" t="s">
        <v>1232</v>
      </c>
      <c r="H3768" s="632" t="s">
        <v>1439</v>
      </c>
      <c r="I3768" s="995"/>
      <c r="J3768" s="996"/>
      <c r="K3768" s="997"/>
      <c r="L3768" s="99"/>
      <c r="M3768" s="100"/>
    </row>
    <row r="3769" spans="4:32" ht="25" thickBot="1">
      <c r="E3769" s="629">
        <v>45701</v>
      </c>
      <c r="F3769" s="632" t="s">
        <v>1111</v>
      </c>
      <c r="G3769" s="632" t="s">
        <v>1031</v>
      </c>
      <c r="H3769" s="632" t="s">
        <v>1112</v>
      </c>
      <c r="I3769" s="998"/>
      <c r="J3769" s="999"/>
      <c r="K3769" s="1000"/>
      <c r="L3769" s="102"/>
      <c r="M3769" s="103"/>
    </row>
    <row r="3770" spans="4:32" ht="25" customHeight="1" collapsed="1" thickBot="1">
      <c r="D3770" t="s">
        <v>1896</v>
      </c>
      <c r="E3770" s="624" t="s">
        <v>30</v>
      </c>
      <c r="F3770" s="1057" t="s">
        <v>1707</v>
      </c>
      <c r="G3770" s="1058"/>
      <c r="H3770" s="1059"/>
      <c r="I3770" s="1060" t="s">
        <v>633</v>
      </c>
      <c r="J3770" s="1061"/>
      <c r="K3770" s="1062"/>
      <c r="L3770" s="158" t="s">
        <v>430</v>
      </c>
      <c r="M3770" s="105" t="s">
        <v>431</v>
      </c>
      <c r="N3770" s="33"/>
      <c r="O3770" s="33"/>
      <c r="P3770" s="33"/>
      <c r="Q3770" s="33"/>
      <c r="R3770" s="33"/>
      <c r="S3770" s="33"/>
      <c r="T3770" s="33"/>
      <c r="U3770" s="33"/>
    </row>
    <row r="3771" spans="4:32" ht="24" customHeight="1">
      <c r="E3771" s="625" t="s">
        <v>432</v>
      </c>
      <c r="F3771" s="992"/>
      <c r="G3771" s="993"/>
      <c r="H3771" s="994"/>
      <c r="I3771" s="995" t="s">
        <v>1478</v>
      </c>
      <c r="J3771" s="996"/>
      <c r="K3771" s="997"/>
      <c r="L3771" s="99"/>
      <c r="M3771" s="100"/>
      <c r="N3771" s="33"/>
      <c r="O3771" s="33"/>
      <c r="P3771" s="33"/>
      <c r="Q3771" s="33"/>
      <c r="R3771" s="33"/>
      <c r="S3771" s="33"/>
      <c r="T3771" s="33"/>
      <c r="U3771" s="33"/>
    </row>
    <row r="3772" spans="4:32" ht="24">
      <c r="E3772" s="626" t="s">
        <v>433</v>
      </c>
      <c r="F3772" s="1072">
        <v>50.5</v>
      </c>
      <c r="G3772" s="1073"/>
      <c r="H3772" s="1074"/>
      <c r="I3772" s="995"/>
      <c r="J3772" s="996"/>
      <c r="K3772" s="997"/>
      <c r="L3772" s="99"/>
      <c r="M3772" s="100"/>
      <c r="N3772" s="33"/>
      <c r="O3772" s="33"/>
      <c r="P3772" s="33"/>
      <c r="Q3772" s="33"/>
      <c r="R3772" s="33"/>
      <c r="S3772" s="33"/>
      <c r="T3772" s="33"/>
      <c r="U3772" s="33"/>
    </row>
    <row r="3773" spans="4:32" ht="25" thickBot="1">
      <c r="E3773" s="626" t="s">
        <v>434</v>
      </c>
      <c r="F3773" s="1075">
        <v>50.2</v>
      </c>
      <c r="G3773" s="1073"/>
      <c r="H3773" s="1074"/>
      <c r="I3773" s="995"/>
      <c r="J3773" s="996"/>
      <c r="K3773" s="997"/>
      <c r="L3773" s="99"/>
      <c r="M3773" s="100"/>
      <c r="N3773" s="33"/>
      <c r="O3773" s="33"/>
      <c r="P3773" s="33"/>
      <c r="Q3773" s="33"/>
      <c r="R3773" s="33"/>
      <c r="S3773" s="33"/>
      <c r="T3773" s="33"/>
      <c r="U3773" s="33"/>
    </row>
    <row r="3774" spans="4:32" ht="25" thickBot="1">
      <c r="E3774" s="627" t="s">
        <v>435</v>
      </c>
      <c r="F3774" s="1007">
        <v>6.2500000000000028E-2</v>
      </c>
      <c r="G3774" s="1008"/>
      <c r="H3774" s="1009"/>
      <c r="I3774" s="995"/>
      <c r="J3774" s="996"/>
      <c r="K3774" s="997"/>
      <c r="L3774" s="647">
        <v>0.29166666666666669</v>
      </c>
      <c r="M3774" s="648">
        <v>0.14583333333333334</v>
      </c>
      <c r="N3774" s="33"/>
      <c r="O3774" s="33"/>
      <c r="P3774" s="33"/>
      <c r="Q3774" s="33"/>
      <c r="R3774" s="33"/>
      <c r="S3774" s="33"/>
      <c r="T3774" s="33"/>
      <c r="U3774" s="33"/>
    </row>
    <row r="3775" spans="4:32" ht="25" thickBot="1">
      <c r="E3775" s="628" t="s">
        <v>436</v>
      </c>
      <c r="F3775" s="200" t="s">
        <v>29</v>
      </c>
      <c r="G3775" s="200" t="s">
        <v>28</v>
      </c>
      <c r="H3775" s="201" t="s">
        <v>27</v>
      </c>
      <c r="I3775" s="995"/>
      <c r="J3775" s="996"/>
      <c r="K3775" s="997"/>
      <c r="L3775" s="99"/>
      <c r="M3775" s="100"/>
      <c r="N3775" s="722" t="s">
        <v>29</v>
      </c>
      <c r="O3775" s="722" t="s">
        <v>28</v>
      </c>
      <c r="P3775" s="722" t="s">
        <v>27</v>
      </c>
      <c r="R3775" s="723" t="s">
        <v>1748</v>
      </c>
      <c r="S3775" s="724" t="s">
        <v>1749</v>
      </c>
      <c r="T3775" s="724" t="s">
        <v>34</v>
      </c>
      <c r="U3775" s="724" t="s">
        <v>35</v>
      </c>
      <c r="V3775" s="89"/>
      <c r="W3775" s="89"/>
      <c r="X3775" s="89"/>
      <c r="AA3775" s="725" t="s">
        <v>1750</v>
      </c>
      <c r="AB3775" s="726">
        <v>0.25</v>
      </c>
      <c r="AC3775" s="727">
        <v>1E-3</v>
      </c>
      <c r="AD3775" s="728">
        <v>3.0000000000000001E-3</v>
      </c>
      <c r="AE3775" s="729">
        <v>7.0000000000000001E-3</v>
      </c>
      <c r="AF3775" s="730"/>
    </row>
    <row r="3776" spans="4:32" ht="24">
      <c r="E3776" s="629">
        <v>45717</v>
      </c>
      <c r="F3776" s="217">
        <v>50.2</v>
      </c>
      <c r="G3776" s="217" t="s">
        <v>515</v>
      </c>
      <c r="H3776" s="217">
        <v>49.1</v>
      </c>
      <c r="I3776" s="995"/>
      <c r="J3776" s="996"/>
      <c r="K3776" s="997"/>
      <c r="L3776" s="99"/>
      <c r="M3776" s="100"/>
      <c r="N3776" s="731">
        <v>50.2</v>
      </c>
      <c r="O3776" s="722" t="s">
        <v>515</v>
      </c>
      <c r="P3776" s="732">
        <v>49.1</v>
      </c>
      <c r="Q3776" s="730"/>
      <c r="R3776" s="733" t="s">
        <v>1751</v>
      </c>
      <c r="S3776" s="734">
        <v>3</v>
      </c>
      <c r="T3776" s="734" t="s">
        <v>1752</v>
      </c>
      <c r="U3776" s="733">
        <v>45717</v>
      </c>
      <c r="V3776" s="89"/>
      <c r="W3776" s="89"/>
      <c r="X3776" s="89"/>
      <c r="AA3776" s="725" t="s">
        <v>1753</v>
      </c>
      <c r="AB3776" s="726">
        <v>0.29166666666666669</v>
      </c>
      <c r="AC3776" s="735">
        <v>7.0000000000000001E-3</v>
      </c>
      <c r="AD3776" s="728">
        <v>4.0000000000000001E-3</v>
      </c>
      <c r="AE3776" s="735">
        <v>1E-3</v>
      </c>
      <c r="AF3776" s="730"/>
    </row>
    <row r="3777" spans="4:32" ht="24">
      <c r="E3777" s="629">
        <v>45684</v>
      </c>
      <c r="F3777" s="217">
        <v>49.1</v>
      </c>
      <c r="G3777" s="217" t="s">
        <v>447</v>
      </c>
      <c r="H3777" s="217">
        <v>50.1</v>
      </c>
      <c r="I3777" s="995"/>
      <c r="J3777" s="996"/>
      <c r="K3777" s="997"/>
      <c r="L3777" s="99"/>
      <c r="M3777" s="100"/>
      <c r="N3777" s="736">
        <v>49.1</v>
      </c>
      <c r="O3777" s="722" t="s">
        <v>447</v>
      </c>
      <c r="P3777" s="732">
        <v>50.1</v>
      </c>
      <c r="Q3777" s="730"/>
      <c r="R3777" s="733" t="s">
        <v>1751</v>
      </c>
      <c r="S3777" s="734">
        <v>1</v>
      </c>
      <c r="T3777" s="734" t="s">
        <v>1754</v>
      </c>
      <c r="U3777" s="733">
        <v>45684</v>
      </c>
      <c r="V3777" s="89"/>
      <c r="W3777" s="89"/>
      <c r="X3777" s="89"/>
      <c r="AA3777" s="725" t="s">
        <v>1755</v>
      </c>
      <c r="AB3777" s="726">
        <v>0.29166666666666669</v>
      </c>
      <c r="AC3777" s="727">
        <v>0</v>
      </c>
      <c r="AD3777" s="728">
        <v>3.0000000000000001E-3</v>
      </c>
      <c r="AE3777" s="729">
        <v>5.0000000000000001E-3</v>
      </c>
      <c r="AF3777" s="730"/>
    </row>
    <row r="3778" spans="4:32" ht="24">
      <c r="E3778" s="629">
        <v>45657</v>
      </c>
      <c r="F3778" s="217">
        <v>50.1</v>
      </c>
      <c r="G3778" s="217" t="s">
        <v>445</v>
      </c>
      <c r="H3778" s="217">
        <v>50.3</v>
      </c>
      <c r="I3778" s="995"/>
      <c r="J3778" s="996"/>
      <c r="K3778" s="997"/>
      <c r="L3778" s="649"/>
      <c r="M3778" s="100"/>
      <c r="N3778" s="736">
        <v>50.1</v>
      </c>
      <c r="O3778" s="722" t="s">
        <v>445</v>
      </c>
      <c r="P3778" s="732">
        <v>50.3</v>
      </c>
      <c r="Q3778" s="730"/>
      <c r="R3778" s="733" t="s">
        <v>1756</v>
      </c>
      <c r="S3778" s="734">
        <v>12</v>
      </c>
      <c r="T3778" s="734" t="s">
        <v>1757</v>
      </c>
      <c r="U3778" s="733">
        <v>45657</v>
      </c>
      <c r="V3778" s="89"/>
      <c r="W3778" s="89"/>
      <c r="X3778" s="89"/>
      <c r="AA3778" s="725" t="s">
        <v>1758</v>
      </c>
      <c r="AB3778" s="726">
        <v>0.29166666666666669</v>
      </c>
      <c r="AC3778" s="735">
        <v>5.0000000000000001E-3</v>
      </c>
      <c r="AD3778" s="728">
        <v>2E-3</v>
      </c>
      <c r="AE3778" s="729">
        <v>6.0000000000000001E-3</v>
      </c>
      <c r="AF3778" s="730"/>
    </row>
    <row r="3779" spans="4:32" ht="24">
      <c r="E3779" s="629">
        <v>45626</v>
      </c>
      <c r="F3779" s="217">
        <v>50.3</v>
      </c>
      <c r="G3779" s="217" t="s">
        <v>1340</v>
      </c>
      <c r="H3779" s="217">
        <v>50.1</v>
      </c>
      <c r="I3779" s="995"/>
      <c r="J3779" s="996"/>
      <c r="K3779" s="997"/>
      <c r="L3779" s="99"/>
      <c r="M3779" s="100"/>
      <c r="N3779" s="731">
        <v>50.3</v>
      </c>
      <c r="O3779" s="722" t="s">
        <v>1340</v>
      </c>
      <c r="P3779" s="732">
        <v>50.1</v>
      </c>
      <c r="Q3779" s="730"/>
      <c r="R3779" s="733" t="s">
        <v>1756</v>
      </c>
      <c r="S3779" s="734">
        <v>11</v>
      </c>
      <c r="T3779" s="734" t="s">
        <v>1759</v>
      </c>
      <c r="U3779" s="733">
        <v>45626</v>
      </c>
      <c r="V3779" s="89"/>
      <c r="W3779" s="89"/>
      <c r="X3779" s="89"/>
      <c r="AA3779" s="725" t="s">
        <v>1760</v>
      </c>
      <c r="AB3779" s="726">
        <v>0.29166666666666669</v>
      </c>
      <c r="AC3779" s="735">
        <v>6.0000000000000001E-3</v>
      </c>
      <c r="AD3779" s="728">
        <v>3.0000000000000001E-3</v>
      </c>
      <c r="AE3779" s="729">
        <v>1E-3</v>
      </c>
      <c r="AF3779" s="730"/>
    </row>
    <row r="3780" spans="4:32" ht="24">
      <c r="E3780" s="629">
        <v>45596</v>
      </c>
      <c r="F3780" s="217">
        <v>50.1</v>
      </c>
      <c r="G3780" s="217" t="s">
        <v>513</v>
      </c>
      <c r="H3780" s="217">
        <v>49.8</v>
      </c>
      <c r="I3780" s="995"/>
      <c r="J3780" s="996"/>
      <c r="K3780" s="997"/>
      <c r="L3780" s="99"/>
      <c r="M3780" s="100"/>
      <c r="N3780" s="731">
        <v>50.1</v>
      </c>
      <c r="O3780" s="722" t="s">
        <v>513</v>
      </c>
      <c r="P3780" s="732">
        <v>49.8</v>
      </c>
      <c r="Q3780" s="730"/>
      <c r="R3780" s="733" t="s">
        <v>1756</v>
      </c>
      <c r="S3780" s="734">
        <v>10</v>
      </c>
      <c r="T3780" s="734" t="s">
        <v>1757</v>
      </c>
      <c r="U3780" s="733">
        <v>45596</v>
      </c>
      <c r="V3780" s="89"/>
      <c r="W3780" s="89"/>
      <c r="X3780" s="89"/>
      <c r="AA3780" s="725" t="s">
        <v>1761</v>
      </c>
      <c r="AB3780" s="726">
        <v>0.29166666666666669</v>
      </c>
      <c r="AC3780" s="729">
        <v>1E-3</v>
      </c>
      <c r="AD3780" s="728">
        <v>1E-3</v>
      </c>
      <c r="AE3780" s="729">
        <v>-4.0000000000000001E-3</v>
      </c>
      <c r="AF3780" s="730"/>
    </row>
    <row r="3781" spans="4:32" ht="25" thickBot="1">
      <c r="E3781" s="629">
        <v>45565</v>
      </c>
      <c r="F3781" s="217">
        <v>49.8</v>
      </c>
      <c r="G3781" s="217" t="s">
        <v>440</v>
      </c>
      <c r="H3781" s="217">
        <v>49.1</v>
      </c>
      <c r="I3781" s="998"/>
      <c r="J3781" s="999"/>
      <c r="K3781" s="1000"/>
      <c r="L3781" s="102"/>
      <c r="M3781" s="103"/>
      <c r="N3781" s="731">
        <v>49.8</v>
      </c>
      <c r="O3781" s="722" t="s">
        <v>440</v>
      </c>
      <c r="P3781" s="732">
        <v>49.1</v>
      </c>
      <c r="R3781" s="733" t="s">
        <v>1756</v>
      </c>
      <c r="S3781" s="734">
        <v>9</v>
      </c>
      <c r="T3781" s="734" t="s">
        <v>1759</v>
      </c>
      <c r="U3781" s="733">
        <v>45565</v>
      </c>
      <c r="V3781" s="89"/>
      <c r="W3781" s="89"/>
      <c r="X3781" s="89"/>
      <c r="AA3781" s="725"/>
      <c r="AB3781" s="726"/>
      <c r="AC3781" s="737"/>
      <c r="AD3781" s="722"/>
      <c r="AE3781" s="732"/>
    </row>
    <row r="3782" spans="4:32" ht="25" customHeight="1" thickBot="1">
      <c r="D3782">
        <v>1</v>
      </c>
      <c r="E3782" s="624" t="s">
        <v>30</v>
      </c>
      <c r="F3782" s="1057" t="s">
        <v>1708</v>
      </c>
      <c r="G3782" s="1058"/>
      <c r="H3782" s="1059"/>
      <c r="I3782" s="1060" t="s">
        <v>633</v>
      </c>
      <c r="J3782" s="1061"/>
      <c r="K3782" s="1062"/>
      <c r="L3782" s="158" t="s">
        <v>430</v>
      </c>
      <c r="M3782" s="105" t="s">
        <v>431</v>
      </c>
      <c r="N3782" s="33"/>
      <c r="O3782" s="33"/>
      <c r="P3782" s="33"/>
      <c r="Q3782" s="33"/>
      <c r="R3782" s="33"/>
      <c r="S3782" s="33"/>
      <c r="T3782" s="33"/>
      <c r="U3782" s="33"/>
    </row>
    <row r="3783" spans="4:32" ht="24" customHeight="1">
      <c r="E3783" s="625" t="s">
        <v>432</v>
      </c>
      <c r="F3783" s="992"/>
      <c r="G3783" s="993"/>
      <c r="H3783" s="994"/>
      <c r="I3783" s="995" t="s">
        <v>1709</v>
      </c>
      <c r="J3783" s="996"/>
      <c r="K3783" s="997"/>
      <c r="L3783" s="99"/>
      <c r="M3783" s="100"/>
      <c r="N3783" s="33"/>
      <c r="O3783" s="33"/>
      <c r="P3783" s="33"/>
      <c r="Q3783" s="33"/>
      <c r="R3783" s="33"/>
      <c r="S3783" s="33"/>
      <c r="T3783" s="33"/>
      <c r="U3783" s="33"/>
    </row>
    <row r="3784" spans="4:32" ht="24">
      <c r="E3784" s="626" t="s">
        <v>433</v>
      </c>
      <c r="F3784" s="1063"/>
      <c r="G3784" s="1064"/>
      <c r="H3784" s="1065"/>
      <c r="I3784" s="995"/>
      <c r="J3784" s="996"/>
      <c r="K3784" s="997"/>
      <c r="L3784" s="99"/>
      <c r="M3784" s="100"/>
      <c r="N3784" s="33"/>
      <c r="O3784" s="33"/>
      <c r="P3784" s="33"/>
      <c r="Q3784" s="33"/>
      <c r="R3784" s="33"/>
      <c r="S3784" s="33"/>
      <c r="T3784" s="33"/>
      <c r="U3784" s="33"/>
    </row>
    <row r="3785" spans="4:32" ht="25" thickBot="1">
      <c r="E3785" s="626" t="s">
        <v>434</v>
      </c>
      <c r="F3785" s="1063">
        <v>4.0000000000000001E-3</v>
      </c>
      <c r="G3785" s="1064"/>
      <c r="H3785" s="1065"/>
      <c r="I3785" s="995"/>
      <c r="J3785" s="996"/>
      <c r="K3785" s="997"/>
      <c r="L3785" s="99"/>
      <c r="M3785" s="100"/>
      <c r="N3785" s="33"/>
      <c r="O3785" s="33"/>
      <c r="P3785" s="33"/>
      <c r="Q3785" s="33"/>
      <c r="R3785" s="33"/>
      <c r="S3785" s="33"/>
      <c r="T3785" s="33"/>
      <c r="U3785" s="33"/>
    </row>
    <row r="3786" spans="4:32" ht="25" thickBot="1">
      <c r="E3786" s="627" t="s">
        <v>435</v>
      </c>
      <c r="F3786" s="1007">
        <v>0.5</v>
      </c>
      <c r="G3786" s="1008"/>
      <c r="H3786" s="1009"/>
      <c r="I3786" s="995"/>
      <c r="J3786" s="996"/>
      <c r="K3786" s="997"/>
      <c r="L3786" s="647">
        <v>0.72916666666666663</v>
      </c>
      <c r="M3786" s="648">
        <v>0.625</v>
      </c>
      <c r="N3786" s="33"/>
      <c r="O3786" s="33"/>
      <c r="P3786" s="33"/>
      <c r="Q3786" s="33"/>
      <c r="R3786" s="33"/>
      <c r="S3786" s="33"/>
      <c r="T3786" s="33"/>
      <c r="U3786" s="33"/>
    </row>
    <row r="3787" spans="4:32" ht="25" thickBot="1">
      <c r="E3787" s="628" t="s">
        <v>436</v>
      </c>
      <c r="F3787" s="200" t="s">
        <v>29</v>
      </c>
      <c r="G3787" s="200" t="s">
        <v>28</v>
      </c>
      <c r="H3787" s="201" t="s">
        <v>27</v>
      </c>
      <c r="I3787" s="995"/>
      <c r="J3787" s="996"/>
      <c r="K3787" s="997"/>
      <c r="L3787" s="99"/>
      <c r="M3787" s="100"/>
      <c r="N3787" s="722" t="s">
        <v>29</v>
      </c>
      <c r="O3787" s="722" t="s">
        <v>28</v>
      </c>
      <c r="P3787" s="722" t="s">
        <v>27</v>
      </c>
      <c r="R3787" s="723" t="s">
        <v>1748</v>
      </c>
      <c r="S3787" s="724" t="s">
        <v>1749</v>
      </c>
      <c r="T3787" s="724" t="s">
        <v>34</v>
      </c>
      <c r="U3787" s="724" t="s">
        <v>35</v>
      </c>
      <c r="V3787" s="89"/>
      <c r="W3787" s="89"/>
      <c r="X3787" s="89"/>
      <c r="AA3787" s="725" t="s">
        <v>436</v>
      </c>
      <c r="AB3787" s="725" t="s">
        <v>793</v>
      </c>
      <c r="AC3787" s="725" t="s">
        <v>29</v>
      </c>
      <c r="AD3787" s="725" t="s">
        <v>28</v>
      </c>
      <c r="AE3787" s="725" t="s">
        <v>27</v>
      </c>
      <c r="AF3787" s="725"/>
    </row>
    <row r="3788" spans="4:32" ht="24" customHeight="1">
      <c r="E3788" s="629">
        <v>45730</v>
      </c>
      <c r="F3788" s="202">
        <v>4.0000000000000001E-3</v>
      </c>
      <c r="G3788" s="202" t="s">
        <v>452</v>
      </c>
      <c r="H3788" s="202">
        <v>-2E-3</v>
      </c>
      <c r="I3788" s="995"/>
      <c r="J3788" s="996"/>
      <c r="K3788" s="997"/>
      <c r="L3788" s="99"/>
      <c r="M3788" s="100"/>
      <c r="N3788" s="729">
        <v>4.0000000000000001E-3</v>
      </c>
      <c r="O3788" s="722" t="s">
        <v>452</v>
      </c>
      <c r="P3788" s="729">
        <v>-2E-3</v>
      </c>
      <c r="Q3788" s="730"/>
      <c r="R3788" s="733" t="s">
        <v>1751</v>
      </c>
      <c r="S3788" s="734">
        <v>3</v>
      </c>
      <c r="T3788" s="734" t="s">
        <v>1762</v>
      </c>
      <c r="U3788" s="733">
        <v>45730</v>
      </c>
      <c r="V3788" s="89"/>
      <c r="W3788" s="32" t="s">
        <v>1763</v>
      </c>
      <c r="X3788" s="32" t="s">
        <v>1764</v>
      </c>
      <c r="Y3788" s="32" t="s">
        <v>1765</v>
      </c>
      <c r="AA3788" s="725" t="s">
        <v>1766</v>
      </c>
      <c r="AB3788" s="726">
        <v>0.84375</v>
      </c>
      <c r="AC3788" s="732"/>
      <c r="AD3788" s="722"/>
      <c r="AE3788" s="732">
        <v>48.5</v>
      </c>
      <c r="AF3788" s="730"/>
    </row>
    <row r="3789" spans="4:32" ht="24" customHeight="1">
      <c r="E3789" s="629">
        <v>45716</v>
      </c>
      <c r="F3789" s="202">
        <v>4.0000000000000001E-3</v>
      </c>
      <c r="G3789" s="202" t="s">
        <v>452</v>
      </c>
      <c r="H3789" s="202">
        <v>-2E-3</v>
      </c>
      <c r="I3789" s="995"/>
      <c r="J3789" s="996"/>
      <c r="K3789" s="997"/>
      <c r="L3789" s="99"/>
      <c r="M3789" s="100"/>
      <c r="N3789" s="729">
        <v>4.0000000000000001E-3</v>
      </c>
      <c r="O3789" s="722" t="s">
        <v>452</v>
      </c>
      <c r="P3789" s="729">
        <v>-2E-3</v>
      </c>
      <c r="Q3789" s="730"/>
      <c r="R3789" s="733" t="s">
        <v>1751</v>
      </c>
      <c r="S3789" s="734">
        <v>2</v>
      </c>
      <c r="T3789" s="734" t="s">
        <v>1767</v>
      </c>
      <c r="U3789" s="733">
        <v>45716</v>
      </c>
      <c r="V3789" s="89"/>
      <c r="W3789" s="32" t="s">
        <v>1763</v>
      </c>
      <c r="X3789" s="32" t="s">
        <v>1764</v>
      </c>
      <c r="Y3789" s="32" t="s">
        <v>1765</v>
      </c>
      <c r="AA3789" s="725" t="s">
        <v>1768</v>
      </c>
      <c r="AB3789" s="726">
        <v>0.84375</v>
      </c>
      <c r="AC3789" s="732"/>
      <c r="AD3789" s="722">
        <v>48.8</v>
      </c>
      <c r="AE3789" s="732">
        <v>48.5</v>
      </c>
      <c r="AF3789" s="730"/>
    </row>
    <row r="3790" spans="4:32" ht="24" customHeight="1">
      <c r="E3790" s="629">
        <v>45701</v>
      </c>
      <c r="F3790" s="202">
        <v>-2E-3</v>
      </c>
      <c r="G3790" s="202" t="s">
        <v>461</v>
      </c>
      <c r="H3790" s="202">
        <v>5.0000000000000001E-3</v>
      </c>
      <c r="I3790" s="995"/>
      <c r="J3790" s="996"/>
      <c r="K3790" s="997"/>
      <c r="L3790" s="649"/>
      <c r="M3790" s="100"/>
      <c r="N3790" s="729">
        <v>-2E-3</v>
      </c>
      <c r="O3790" s="722" t="s">
        <v>461</v>
      </c>
      <c r="P3790" s="729">
        <v>5.0000000000000001E-3</v>
      </c>
      <c r="Q3790" s="730"/>
      <c r="R3790" s="733" t="s">
        <v>1751</v>
      </c>
      <c r="S3790" s="734">
        <v>2</v>
      </c>
      <c r="T3790" s="734" t="s">
        <v>1769</v>
      </c>
      <c r="U3790" s="733">
        <v>45701</v>
      </c>
      <c r="V3790" s="89"/>
      <c r="W3790" s="32" t="s">
        <v>1765</v>
      </c>
      <c r="X3790" s="32" t="s">
        <v>1765</v>
      </c>
      <c r="Y3790" s="32" t="s">
        <v>1763</v>
      </c>
      <c r="AA3790" s="725" t="s">
        <v>1770</v>
      </c>
      <c r="AB3790" s="726">
        <v>0.84375</v>
      </c>
      <c r="AC3790" s="732">
        <v>48.8</v>
      </c>
      <c r="AD3790" s="722">
        <v>48.8</v>
      </c>
      <c r="AE3790" s="732">
        <v>48.5</v>
      </c>
      <c r="AF3790" s="730"/>
    </row>
    <row r="3791" spans="4:32" ht="24" customHeight="1">
      <c r="E3791" s="629">
        <v>45688</v>
      </c>
      <c r="F3791" s="202">
        <v>-2E-3</v>
      </c>
      <c r="G3791" s="202" t="s">
        <v>462</v>
      </c>
      <c r="H3791" s="202">
        <v>5.0000000000000001E-3</v>
      </c>
      <c r="I3791" s="995"/>
      <c r="J3791" s="996"/>
      <c r="K3791" s="997"/>
      <c r="L3791" s="99"/>
      <c r="M3791" s="100"/>
      <c r="N3791" s="738">
        <v>-2E-3</v>
      </c>
      <c r="O3791" s="722" t="s">
        <v>462</v>
      </c>
      <c r="P3791" s="729">
        <v>5.0000000000000001E-3</v>
      </c>
      <c r="Q3791" s="730"/>
      <c r="R3791" s="733" t="s">
        <v>1751</v>
      </c>
      <c r="S3791" s="734">
        <v>1</v>
      </c>
      <c r="T3791" s="734" t="s">
        <v>1757</v>
      </c>
      <c r="U3791" s="733">
        <v>45688</v>
      </c>
      <c r="V3791" s="89"/>
      <c r="W3791" s="32" t="s">
        <v>1765</v>
      </c>
      <c r="X3791" s="32" t="s">
        <v>1771</v>
      </c>
      <c r="Y3791" s="32" t="s">
        <v>1763</v>
      </c>
      <c r="AA3791" s="725" t="s">
        <v>1772</v>
      </c>
      <c r="AB3791" s="726">
        <v>0.80208333333333337</v>
      </c>
      <c r="AC3791" s="737">
        <v>48.5</v>
      </c>
      <c r="AD3791" s="722">
        <v>47.8</v>
      </c>
      <c r="AE3791" s="732">
        <v>47.8</v>
      </c>
      <c r="AF3791" s="730"/>
    </row>
    <row r="3792" spans="4:32" ht="24" customHeight="1">
      <c r="E3792" s="629">
        <v>45673</v>
      </c>
      <c r="F3792" s="202">
        <v>5.0000000000000001E-3</v>
      </c>
      <c r="G3792" s="202" t="s">
        <v>452</v>
      </c>
      <c r="H3792" s="202">
        <v>-2E-3</v>
      </c>
      <c r="I3792" s="995"/>
      <c r="J3792" s="996"/>
      <c r="K3792" s="997"/>
      <c r="L3792" s="99"/>
      <c r="M3792" s="100"/>
      <c r="N3792" s="739">
        <v>5.0000000000000001E-3</v>
      </c>
      <c r="O3792" s="722" t="s">
        <v>452</v>
      </c>
      <c r="P3792" s="729">
        <v>-2E-3</v>
      </c>
      <c r="Q3792" s="730"/>
      <c r="R3792" s="733" t="s">
        <v>1751</v>
      </c>
      <c r="S3792" s="734">
        <v>1</v>
      </c>
      <c r="T3792" s="734" t="s">
        <v>1773</v>
      </c>
      <c r="U3792" s="733">
        <v>45673</v>
      </c>
      <c r="V3792" s="89"/>
      <c r="W3792" s="32" t="s">
        <v>1763</v>
      </c>
      <c r="X3792" s="32" t="s">
        <v>1764</v>
      </c>
      <c r="Y3792" s="32" t="s">
        <v>1765</v>
      </c>
      <c r="AA3792" s="725" t="s">
        <v>1774</v>
      </c>
      <c r="AB3792" s="726">
        <v>0.80208333333333337</v>
      </c>
      <c r="AC3792" s="737">
        <v>47.8</v>
      </c>
      <c r="AD3792" s="722">
        <v>47.5</v>
      </c>
      <c r="AE3792" s="732">
        <v>47.3</v>
      </c>
      <c r="AF3792" s="730"/>
    </row>
    <row r="3793" spans="4:32" ht="25" customHeight="1" thickBot="1">
      <c r="E3793" s="629">
        <v>45663</v>
      </c>
      <c r="F3793" s="202">
        <v>4.0000000000000001E-3</v>
      </c>
      <c r="G3793" s="202" t="s">
        <v>467</v>
      </c>
      <c r="H3793" s="202">
        <v>-2E-3</v>
      </c>
      <c r="I3793" s="998"/>
      <c r="J3793" s="999"/>
      <c r="K3793" s="1000"/>
      <c r="L3793" s="102"/>
      <c r="M3793" s="103"/>
      <c r="N3793" s="739">
        <v>4.0000000000000001E-3</v>
      </c>
      <c r="O3793" s="722" t="s">
        <v>467</v>
      </c>
      <c r="P3793" s="729">
        <v>-2E-3</v>
      </c>
      <c r="R3793" s="733" t="s">
        <v>1751</v>
      </c>
      <c r="S3793" s="734">
        <v>1</v>
      </c>
      <c r="T3793" s="734" t="s">
        <v>1775</v>
      </c>
      <c r="U3793" s="733">
        <v>45663</v>
      </c>
      <c r="V3793" s="89"/>
      <c r="W3793" s="32" t="s">
        <v>1763</v>
      </c>
      <c r="X3793" s="32" t="s">
        <v>1776</v>
      </c>
      <c r="Y3793" s="32" t="s">
        <v>1765</v>
      </c>
      <c r="AA3793" s="725" t="s">
        <v>1777</v>
      </c>
      <c r="AB3793" s="726">
        <v>0.80208333333333337</v>
      </c>
      <c r="AC3793" s="737">
        <v>47.3</v>
      </c>
      <c r="AD3793" s="722">
        <v>47</v>
      </c>
      <c r="AE3793" s="732">
        <v>47.9</v>
      </c>
    </row>
    <row r="3794" spans="4:32" ht="25" customHeight="1" thickBot="1">
      <c r="D3794">
        <v>2</v>
      </c>
      <c r="E3794" s="624" t="s">
        <v>30</v>
      </c>
      <c r="F3794" s="1057" t="s">
        <v>1710</v>
      </c>
      <c r="G3794" s="1058"/>
      <c r="H3794" s="1059"/>
      <c r="I3794" s="1060" t="s">
        <v>633</v>
      </c>
      <c r="J3794" s="1061"/>
      <c r="K3794" s="1062"/>
      <c r="L3794" s="158" t="s">
        <v>430</v>
      </c>
      <c r="M3794" s="105" t="s">
        <v>431</v>
      </c>
      <c r="N3794" s="33"/>
      <c r="O3794" s="33"/>
      <c r="P3794" s="33"/>
      <c r="Q3794" s="33"/>
      <c r="R3794" s="33"/>
      <c r="S3794" s="33"/>
      <c r="T3794" s="33"/>
      <c r="U3794" s="33"/>
    </row>
    <row r="3795" spans="4:32" ht="24" customHeight="1">
      <c r="E3795" s="625" t="s">
        <v>432</v>
      </c>
      <c r="F3795" s="992"/>
      <c r="G3795" s="993"/>
      <c r="H3795" s="994"/>
      <c r="I3795" s="995" t="s">
        <v>1711</v>
      </c>
      <c r="J3795" s="996"/>
      <c r="K3795" s="997"/>
      <c r="L3795" s="99"/>
      <c r="M3795" s="100"/>
      <c r="N3795" s="33"/>
      <c r="O3795" s="33"/>
      <c r="P3795" s="33"/>
      <c r="Q3795" s="33"/>
      <c r="R3795" s="33"/>
      <c r="S3795" s="33"/>
      <c r="T3795" s="33"/>
      <c r="U3795" s="33"/>
    </row>
    <row r="3796" spans="4:32" ht="24">
      <c r="E3796" s="626" t="s">
        <v>433</v>
      </c>
      <c r="F3796" s="1063">
        <v>45.4</v>
      </c>
      <c r="G3796" s="1064"/>
      <c r="H3796" s="1065"/>
      <c r="I3796" s="995"/>
      <c r="J3796" s="996"/>
      <c r="K3796" s="997"/>
      <c r="L3796" s="99"/>
      <c r="M3796" s="100"/>
      <c r="N3796" s="33"/>
      <c r="O3796" s="33"/>
      <c r="P3796" s="33"/>
      <c r="Q3796" s="33"/>
      <c r="R3796" s="33"/>
      <c r="S3796" s="33"/>
      <c r="T3796" s="33"/>
      <c r="U3796" s="33"/>
    </row>
    <row r="3797" spans="4:32" ht="25" thickBot="1">
      <c r="E3797" s="626" t="s">
        <v>434</v>
      </c>
      <c r="F3797" s="1075">
        <v>45.5</v>
      </c>
      <c r="G3797" s="1073"/>
      <c r="H3797" s="1074"/>
      <c r="I3797" s="995"/>
      <c r="J3797" s="996"/>
      <c r="K3797" s="997"/>
      <c r="L3797" s="99"/>
      <c r="M3797" s="100"/>
      <c r="N3797" s="33"/>
      <c r="O3797" s="33"/>
      <c r="P3797" s="33"/>
      <c r="Q3797" s="33"/>
      <c r="R3797" s="33"/>
      <c r="S3797" s="33"/>
      <c r="T3797" s="33"/>
      <c r="U3797" s="33"/>
    </row>
    <row r="3798" spans="4:32" ht="25" thickBot="1">
      <c r="E3798" s="627" t="s">
        <v>435</v>
      </c>
      <c r="F3798" s="1007">
        <v>0.57291666666666674</v>
      </c>
      <c r="G3798" s="1008"/>
      <c r="H3798" s="1009"/>
      <c r="I3798" s="995"/>
      <c r="J3798" s="996"/>
      <c r="K3798" s="997"/>
      <c r="L3798" s="647">
        <v>0.80208333333333337</v>
      </c>
      <c r="M3798" s="648">
        <v>0.69791666666666674</v>
      </c>
      <c r="N3798" s="33"/>
      <c r="O3798" s="33"/>
      <c r="P3798" s="33"/>
      <c r="Q3798" s="33"/>
      <c r="R3798" s="33"/>
      <c r="S3798" s="33"/>
      <c r="T3798" s="33"/>
      <c r="U3798" s="33"/>
    </row>
    <row r="3799" spans="4:32" ht="25" thickBot="1">
      <c r="E3799" s="628" t="s">
        <v>436</v>
      </c>
      <c r="F3799" s="200" t="s">
        <v>29</v>
      </c>
      <c r="G3799" s="200" t="s">
        <v>28</v>
      </c>
      <c r="H3799" s="201" t="s">
        <v>27</v>
      </c>
      <c r="I3799" s="995"/>
      <c r="J3799" s="996"/>
      <c r="K3799" s="997"/>
      <c r="L3799" s="99"/>
      <c r="M3799" s="100"/>
      <c r="N3799" s="722" t="s">
        <v>29</v>
      </c>
      <c r="O3799" s="722" t="s">
        <v>28</v>
      </c>
      <c r="P3799" s="722" t="s">
        <v>27</v>
      </c>
      <c r="R3799" s="723" t="s">
        <v>1748</v>
      </c>
      <c r="S3799" s="724" t="s">
        <v>1749</v>
      </c>
      <c r="T3799" s="724" t="s">
        <v>34</v>
      </c>
      <c r="U3799" s="724" t="s">
        <v>35</v>
      </c>
      <c r="V3799" s="89"/>
      <c r="W3799" s="89"/>
      <c r="X3799" s="89"/>
      <c r="AA3799" s="725" t="s">
        <v>436</v>
      </c>
      <c r="AB3799" s="725" t="s">
        <v>793</v>
      </c>
      <c r="AC3799" s="725" t="s">
        <v>29</v>
      </c>
      <c r="AD3799" s="725" t="s">
        <v>28</v>
      </c>
      <c r="AE3799" s="725" t="s">
        <v>27</v>
      </c>
      <c r="AF3799" s="725"/>
    </row>
    <row r="3800" spans="4:32" ht="24">
      <c r="E3800" s="629">
        <v>45716</v>
      </c>
      <c r="F3800" s="204">
        <v>45.5</v>
      </c>
      <c r="G3800" s="204" t="s">
        <v>1778</v>
      </c>
      <c r="H3800" s="204">
        <v>39.5</v>
      </c>
      <c r="I3800" s="995"/>
      <c r="J3800" s="996"/>
      <c r="K3800" s="997"/>
      <c r="L3800" s="99"/>
      <c r="M3800" s="100"/>
      <c r="N3800" s="731">
        <v>45.5</v>
      </c>
      <c r="O3800" s="722" t="s">
        <v>1778</v>
      </c>
      <c r="P3800" s="732">
        <v>39.5</v>
      </c>
      <c r="Q3800" s="730"/>
      <c r="R3800" s="733" t="s">
        <v>1751</v>
      </c>
      <c r="S3800" s="734">
        <v>2</v>
      </c>
      <c r="T3800" s="734" t="s">
        <v>1767</v>
      </c>
      <c r="U3800" s="733">
        <v>45716</v>
      </c>
      <c r="V3800" s="89"/>
      <c r="W3800" s="89"/>
      <c r="X3800" s="89"/>
      <c r="AA3800" s="725" t="s">
        <v>1766</v>
      </c>
      <c r="AB3800" s="726">
        <v>0.84375</v>
      </c>
      <c r="AC3800" s="732"/>
      <c r="AD3800" s="722"/>
      <c r="AE3800" s="732">
        <v>48.5</v>
      </c>
      <c r="AF3800" s="730"/>
    </row>
    <row r="3801" spans="4:32" ht="24">
      <c r="E3801" s="629">
        <v>45688</v>
      </c>
      <c r="F3801" s="204">
        <v>39.5</v>
      </c>
      <c r="G3801" s="204" t="s">
        <v>1655</v>
      </c>
      <c r="H3801" s="204">
        <v>36.9</v>
      </c>
      <c r="I3801" s="995"/>
      <c r="J3801" s="996"/>
      <c r="K3801" s="997"/>
      <c r="L3801" s="99"/>
      <c r="M3801" s="100"/>
      <c r="N3801" s="736">
        <v>39.5</v>
      </c>
      <c r="O3801" s="722" t="s">
        <v>1655</v>
      </c>
      <c r="P3801" s="732">
        <v>36.9</v>
      </c>
      <c r="Q3801" s="730"/>
      <c r="R3801" s="733" t="s">
        <v>1751</v>
      </c>
      <c r="S3801" s="734">
        <v>1</v>
      </c>
      <c r="T3801" s="734" t="s">
        <v>1757</v>
      </c>
      <c r="U3801" s="733">
        <v>45688</v>
      </c>
      <c r="V3801" s="89"/>
      <c r="W3801" s="89"/>
      <c r="X3801" s="89"/>
      <c r="AA3801" s="725" t="s">
        <v>1768</v>
      </c>
      <c r="AB3801" s="726">
        <v>0.84375</v>
      </c>
      <c r="AC3801" s="732"/>
      <c r="AD3801" s="722">
        <v>48.8</v>
      </c>
      <c r="AE3801" s="732">
        <v>48.5</v>
      </c>
      <c r="AF3801" s="730"/>
    </row>
    <row r="3802" spans="4:32" ht="24">
      <c r="E3802" s="629">
        <v>45656</v>
      </c>
      <c r="F3802" s="204">
        <v>36.9</v>
      </c>
      <c r="G3802" s="204" t="s">
        <v>1556</v>
      </c>
      <c r="H3802" s="204">
        <v>40.200000000000003</v>
      </c>
      <c r="I3802" s="995"/>
      <c r="J3802" s="996"/>
      <c r="K3802" s="997"/>
      <c r="L3802" s="649"/>
      <c r="M3802" s="100"/>
      <c r="N3802" s="736">
        <v>36.9</v>
      </c>
      <c r="O3802" s="722" t="s">
        <v>1556</v>
      </c>
      <c r="P3802" s="732">
        <v>40.200000000000003</v>
      </c>
      <c r="Q3802" s="730"/>
      <c r="R3802" s="733" t="s">
        <v>1756</v>
      </c>
      <c r="S3802" s="734">
        <v>12</v>
      </c>
      <c r="T3802" s="734" t="s">
        <v>1759</v>
      </c>
      <c r="U3802" s="733">
        <v>45656</v>
      </c>
      <c r="V3802" s="89"/>
      <c r="W3802" s="89"/>
      <c r="X3802" s="89"/>
      <c r="AA3802" s="725" t="s">
        <v>1770</v>
      </c>
      <c r="AB3802" s="726">
        <v>0.84375</v>
      </c>
      <c r="AC3802" s="732">
        <v>48.8</v>
      </c>
      <c r="AD3802" s="722">
        <v>48.8</v>
      </c>
      <c r="AE3802" s="732">
        <v>48.5</v>
      </c>
      <c r="AF3802" s="730"/>
    </row>
    <row r="3803" spans="4:32" ht="24">
      <c r="E3803" s="629">
        <v>45625</v>
      </c>
      <c r="F3803" s="204">
        <v>40.200000000000003</v>
      </c>
      <c r="G3803" s="204" t="s">
        <v>477</v>
      </c>
      <c r="H3803" s="204">
        <v>41.6</v>
      </c>
      <c r="I3803" s="995"/>
      <c r="J3803" s="996"/>
      <c r="K3803" s="997"/>
      <c r="L3803" s="99"/>
      <c r="M3803" s="100"/>
      <c r="N3803" s="736">
        <v>40.200000000000003</v>
      </c>
      <c r="O3803" s="722" t="s">
        <v>477</v>
      </c>
      <c r="P3803" s="732">
        <v>41.6</v>
      </c>
      <c r="Q3803" s="730"/>
      <c r="R3803" s="733" t="s">
        <v>1756</v>
      </c>
      <c r="S3803" s="734">
        <v>11</v>
      </c>
      <c r="T3803" s="734" t="s">
        <v>1779</v>
      </c>
      <c r="U3803" s="733">
        <v>45625</v>
      </c>
      <c r="V3803" s="89"/>
      <c r="W3803" s="89"/>
      <c r="X3803" s="89"/>
      <c r="AA3803" s="725" t="s">
        <v>1772</v>
      </c>
      <c r="AB3803" s="726">
        <v>0.80208333333333337</v>
      </c>
      <c r="AC3803" s="737">
        <v>48.5</v>
      </c>
      <c r="AD3803" s="722">
        <v>47.8</v>
      </c>
      <c r="AE3803" s="732">
        <v>47.8</v>
      </c>
      <c r="AF3803" s="730"/>
    </row>
    <row r="3804" spans="4:32" ht="24">
      <c r="E3804" s="629">
        <v>45596</v>
      </c>
      <c r="F3804" s="204">
        <v>41.6</v>
      </c>
      <c r="G3804" s="204" t="s">
        <v>1126</v>
      </c>
      <c r="H3804" s="204">
        <v>46.6</v>
      </c>
      <c r="I3804" s="995"/>
      <c r="J3804" s="996"/>
      <c r="K3804" s="997"/>
      <c r="L3804" s="99"/>
      <c r="M3804" s="100"/>
      <c r="N3804" s="736">
        <v>41.6</v>
      </c>
      <c r="O3804" s="722" t="s">
        <v>1126</v>
      </c>
      <c r="P3804" s="732">
        <v>46.6</v>
      </c>
      <c r="Q3804" s="730"/>
      <c r="R3804" s="733" t="s">
        <v>1756</v>
      </c>
      <c r="S3804" s="734">
        <v>10</v>
      </c>
      <c r="T3804" s="734" t="s">
        <v>1757</v>
      </c>
      <c r="U3804" s="733">
        <v>45596</v>
      </c>
      <c r="V3804" s="89"/>
      <c r="W3804" s="89"/>
      <c r="X3804" s="89"/>
      <c r="AA3804" s="725" t="s">
        <v>1774</v>
      </c>
      <c r="AB3804" s="726">
        <v>0.80208333333333337</v>
      </c>
      <c r="AC3804" s="737">
        <v>47.8</v>
      </c>
      <c r="AD3804" s="722">
        <v>47.5</v>
      </c>
      <c r="AE3804" s="732">
        <v>47.3</v>
      </c>
      <c r="AF3804" s="730"/>
    </row>
    <row r="3805" spans="4:32" ht="25" thickBot="1">
      <c r="E3805" s="629">
        <v>45565</v>
      </c>
      <c r="F3805" s="204">
        <v>46.6</v>
      </c>
      <c r="G3805" s="204" t="s">
        <v>899</v>
      </c>
      <c r="H3805" s="204">
        <v>46.1</v>
      </c>
      <c r="I3805" s="998"/>
      <c r="J3805" s="999"/>
      <c r="K3805" s="1000"/>
      <c r="L3805" s="102"/>
      <c r="M3805" s="103"/>
      <c r="N3805" s="731">
        <v>46.6</v>
      </c>
      <c r="O3805" s="722" t="s">
        <v>899</v>
      </c>
      <c r="P3805" s="732">
        <v>46.1</v>
      </c>
      <c r="R3805" s="733" t="s">
        <v>1756</v>
      </c>
      <c r="S3805" s="734">
        <v>9</v>
      </c>
      <c r="T3805" s="734" t="s">
        <v>1759</v>
      </c>
      <c r="U3805" s="733">
        <v>45565</v>
      </c>
      <c r="V3805" s="89"/>
      <c r="W3805" s="89"/>
      <c r="X3805" s="89"/>
      <c r="AA3805" s="725" t="s">
        <v>1777</v>
      </c>
      <c r="AB3805" s="726">
        <v>0.80208333333333337</v>
      </c>
      <c r="AC3805" s="737">
        <v>47.3</v>
      </c>
      <c r="AD3805" s="722">
        <v>47</v>
      </c>
      <c r="AE3805" s="732">
        <v>47.9</v>
      </c>
    </row>
    <row r="3806" spans="4:32" ht="25" customHeight="1" thickBot="1">
      <c r="D3806">
        <v>2</v>
      </c>
      <c r="E3806" s="624" t="s">
        <v>30</v>
      </c>
      <c r="F3806" s="1057" t="s">
        <v>1712</v>
      </c>
      <c r="G3806" s="1058"/>
      <c r="H3806" s="1059"/>
      <c r="I3806" s="1060" t="s">
        <v>633</v>
      </c>
      <c r="J3806" s="1061"/>
      <c r="K3806" s="1062"/>
      <c r="L3806" s="158" t="s">
        <v>430</v>
      </c>
      <c r="M3806" s="105" t="s">
        <v>431</v>
      </c>
      <c r="N3806" s="33"/>
      <c r="O3806" s="33"/>
      <c r="P3806" s="33"/>
      <c r="Q3806" s="33"/>
      <c r="R3806" s="33"/>
      <c r="S3806" s="33"/>
      <c r="T3806" s="33"/>
      <c r="U3806" s="33"/>
    </row>
    <row r="3807" spans="4:32" ht="24" customHeight="1">
      <c r="E3807" s="625" t="s">
        <v>432</v>
      </c>
      <c r="F3807" s="992"/>
      <c r="G3807" s="993"/>
      <c r="H3807" s="994"/>
      <c r="I3807" s="995" t="s">
        <v>1713</v>
      </c>
      <c r="J3807" s="996"/>
      <c r="K3807" s="997"/>
      <c r="L3807" s="99"/>
      <c r="M3807" s="100"/>
      <c r="N3807" s="33"/>
      <c r="O3807" s="33"/>
      <c r="P3807" s="33"/>
      <c r="Q3807" s="33"/>
      <c r="R3807" s="33"/>
      <c r="S3807" s="33"/>
      <c r="T3807" s="33"/>
      <c r="U3807" s="33"/>
    </row>
    <row r="3808" spans="4:32" ht="24">
      <c r="E3808" s="626" t="s">
        <v>433</v>
      </c>
      <c r="F3808" s="1063"/>
      <c r="G3808" s="1064"/>
      <c r="H3808" s="1065"/>
      <c r="I3808" s="995"/>
      <c r="J3808" s="996"/>
      <c r="K3808" s="997"/>
      <c r="L3808" s="99"/>
      <c r="M3808" s="100"/>
      <c r="N3808" s="33"/>
      <c r="O3808" s="33"/>
      <c r="P3808" s="33"/>
      <c r="Q3808" s="33"/>
      <c r="R3808" s="33"/>
      <c r="S3808" s="33"/>
      <c r="T3808" s="33"/>
      <c r="U3808" s="33"/>
    </row>
    <row r="3809" spans="4:35" ht="25" thickBot="1">
      <c r="E3809" s="626" t="s">
        <v>434</v>
      </c>
      <c r="F3809" s="1063">
        <v>4.1000000000000002E-2</v>
      </c>
      <c r="G3809" s="1064"/>
      <c r="H3809" s="1065"/>
      <c r="I3809" s="995"/>
      <c r="J3809" s="996"/>
      <c r="K3809" s="997"/>
      <c r="L3809" s="99"/>
      <c r="M3809" s="100"/>
      <c r="N3809" s="33"/>
      <c r="O3809" s="33"/>
      <c r="P3809" s="33"/>
      <c r="Q3809" s="33"/>
      <c r="R3809" s="33"/>
      <c r="S3809" s="33"/>
      <c r="T3809" s="33"/>
      <c r="U3809" s="33"/>
    </row>
    <row r="3810" spans="4:35" ht="25" thickBot="1">
      <c r="E3810" s="627" t="s">
        <v>435</v>
      </c>
      <c r="F3810" s="1007">
        <v>0.14583333333333334</v>
      </c>
      <c r="G3810" s="1008"/>
      <c r="H3810" s="1009"/>
      <c r="I3810" s="995"/>
      <c r="J3810" s="996"/>
      <c r="K3810" s="997"/>
      <c r="L3810" s="647">
        <v>0.375</v>
      </c>
      <c r="M3810" s="648">
        <v>0.27083333333333331</v>
      </c>
      <c r="N3810" s="33"/>
      <c r="O3810" s="33"/>
      <c r="P3810" s="33"/>
      <c r="Q3810" s="33"/>
      <c r="R3810" s="33"/>
      <c r="S3810" s="33"/>
      <c r="T3810" s="33"/>
      <c r="U3810" s="33"/>
    </row>
    <row r="3811" spans="4:35" ht="25" thickBot="1">
      <c r="E3811" s="628" t="s">
        <v>436</v>
      </c>
      <c r="F3811" s="200" t="s">
        <v>29</v>
      </c>
      <c r="G3811" s="200" t="s">
        <v>28</v>
      </c>
      <c r="H3811" s="201" t="s">
        <v>27</v>
      </c>
      <c r="I3811" s="995"/>
      <c r="J3811" s="996"/>
      <c r="K3811" s="997"/>
      <c r="L3811" s="99"/>
      <c r="M3811" s="100"/>
      <c r="N3811" s="722" t="s">
        <v>29</v>
      </c>
      <c r="O3811" s="722" t="s">
        <v>28</v>
      </c>
      <c r="P3811" s="722" t="s">
        <v>27</v>
      </c>
      <c r="R3811" s="723" t="s">
        <v>1748</v>
      </c>
      <c r="S3811" s="724" t="s">
        <v>1749</v>
      </c>
      <c r="T3811" s="724" t="s">
        <v>34</v>
      </c>
      <c r="U3811" s="724" t="s">
        <v>35</v>
      </c>
      <c r="V3811" s="89"/>
      <c r="W3811" s="89"/>
      <c r="X3811" s="89"/>
      <c r="AA3811" s="725" t="s">
        <v>436</v>
      </c>
      <c r="AB3811" s="725" t="s">
        <v>793</v>
      </c>
      <c r="AC3811" s="725" t="s">
        <v>29</v>
      </c>
      <c r="AD3811" s="725" t="s">
        <v>28</v>
      </c>
      <c r="AE3811" s="725" t="s">
        <v>27</v>
      </c>
      <c r="AF3811" s="725"/>
    </row>
    <row r="3812" spans="4:35" ht="24">
      <c r="E3812" s="629">
        <v>45706</v>
      </c>
      <c r="F3812" s="634">
        <v>4.1000000000000002E-2</v>
      </c>
      <c r="G3812" s="634" t="s">
        <v>1780</v>
      </c>
      <c r="H3812" s="634">
        <v>4.3499999999999997E-2</v>
      </c>
      <c r="I3812" s="995"/>
      <c r="J3812" s="996"/>
      <c r="K3812" s="997"/>
      <c r="L3812" s="99"/>
      <c r="M3812" s="100"/>
      <c r="N3812" s="731">
        <v>4.1000000000000002E-2</v>
      </c>
      <c r="O3812" s="722" t="s">
        <v>1780</v>
      </c>
      <c r="P3812" s="732">
        <v>4.3499999999999997E-2</v>
      </c>
      <c r="Q3812" s="730"/>
      <c r="R3812" s="733" t="s">
        <v>1751</v>
      </c>
      <c r="S3812" s="734">
        <v>2</v>
      </c>
      <c r="T3812" s="734" t="s">
        <v>1781</v>
      </c>
      <c r="U3812" s="733">
        <v>45706</v>
      </c>
      <c r="V3812" s="89"/>
      <c r="W3812" s="89"/>
      <c r="X3812" s="89"/>
      <c r="AA3812" s="725" t="s">
        <v>1766</v>
      </c>
      <c r="AB3812" s="726">
        <v>0.84375</v>
      </c>
      <c r="AC3812" s="732"/>
      <c r="AD3812" s="722"/>
      <c r="AE3812" s="732">
        <v>48.5</v>
      </c>
      <c r="AF3812" s="730"/>
    </row>
    <row r="3813" spans="4:35" ht="24">
      <c r="E3813" s="629">
        <v>45636</v>
      </c>
      <c r="F3813" s="634">
        <v>4.3499999999999997E-2</v>
      </c>
      <c r="G3813" s="634" t="s">
        <v>938</v>
      </c>
      <c r="H3813" s="634">
        <v>4.3499999999999997E-2</v>
      </c>
      <c r="I3813" s="995"/>
      <c r="J3813" s="996"/>
      <c r="K3813" s="997"/>
      <c r="L3813" s="99"/>
      <c r="M3813" s="100"/>
      <c r="N3813" s="736">
        <v>4.3499999999999997E-2</v>
      </c>
      <c r="O3813" s="722" t="s">
        <v>938</v>
      </c>
      <c r="P3813" s="732">
        <v>4.3499999999999997E-2</v>
      </c>
      <c r="Q3813" s="730"/>
      <c r="R3813" s="733" t="s">
        <v>1756</v>
      </c>
      <c r="S3813" s="734">
        <v>12</v>
      </c>
      <c r="T3813" s="734" t="s">
        <v>1782</v>
      </c>
      <c r="U3813" s="733">
        <v>45636</v>
      </c>
      <c r="V3813" s="89"/>
      <c r="W3813" s="89"/>
      <c r="X3813" s="89"/>
      <c r="AA3813" s="725" t="s">
        <v>1768</v>
      </c>
      <c r="AB3813" s="726">
        <v>0.84375</v>
      </c>
      <c r="AC3813" s="732"/>
      <c r="AD3813" s="722">
        <v>48.8</v>
      </c>
      <c r="AE3813" s="732">
        <v>48.5</v>
      </c>
      <c r="AF3813" s="730"/>
    </row>
    <row r="3814" spans="4:35" ht="24">
      <c r="E3814" s="629">
        <v>45601</v>
      </c>
      <c r="F3814" s="634">
        <v>4.3499999999999997E-2</v>
      </c>
      <c r="G3814" s="634" t="s">
        <v>938</v>
      </c>
      <c r="H3814" s="634">
        <v>4.3499999999999997E-2</v>
      </c>
      <c r="I3814" s="995"/>
      <c r="J3814" s="996"/>
      <c r="K3814" s="997"/>
      <c r="L3814" s="649"/>
      <c r="M3814" s="100"/>
      <c r="N3814" s="736">
        <v>4.3499999999999997E-2</v>
      </c>
      <c r="O3814" s="722" t="s">
        <v>938</v>
      </c>
      <c r="P3814" s="732">
        <v>4.3499999999999997E-2</v>
      </c>
      <c r="Q3814" s="730"/>
      <c r="R3814" s="733" t="s">
        <v>1756</v>
      </c>
      <c r="S3814" s="734">
        <v>11</v>
      </c>
      <c r="T3814" s="734" t="s">
        <v>1783</v>
      </c>
      <c r="U3814" s="733">
        <v>45601</v>
      </c>
      <c r="V3814" s="89"/>
      <c r="W3814" s="89"/>
      <c r="X3814" s="89"/>
      <c r="AA3814" s="725" t="s">
        <v>1770</v>
      </c>
      <c r="AB3814" s="726">
        <v>0.84375</v>
      </c>
      <c r="AC3814" s="732">
        <v>48.8</v>
      </c>
      <c r="AD3814" s="722">
        <v>48.8</v>
      </c>
      <c r="AE3814" s="732">
        <v>48.5</v>
      </c>
      <c r="AF3814" s="730"/>
    </row>
    <row r="3815" spans="4:35" ht="24">
      <c r="E3815" s="629">
        <v>45559</v>
      </c>
      <c r="F3815" s="634">
        <v>4.3499999999999997E-2</v>
      </c>
      <c r="G3815" s="634" t="s">
        <v>938</v>
      </c>
      <c r="H3815" s="634">
        <v>4.3499999999999997E-2</v>
      </c>
      <c r="I3815" s="995"/>
      <c r="J3815" s="996"/>
      <c r="K3815" s="997"/>
      <c r="L3815" s="99"/>
      <c r="M3815" s="100"/>
      <c r="N3815" s="736">
        <v>4.3499999999999997E-2</v>
      </c>
      <c r="O3815" s="722" t="s">
        <v>938</v>
      </c>
      <c r="P3815" s="732">
        <v>4.3499999999999997E-2</v>
      </c>
      <c r="Q3815" s="730"/>
      <c r="R3815" s="733" t="s">
        <v>1756</v>
      </c>
      <c r="S3815" s="734">
        <v>9</v>
      </c>
      <c r="T3815" s="734" t="s">
        <v>1784</v>
      </c>
      <c r="U3815" s="733">
        <v>45559</v>
      </c>
      <c r="V3815" s="89"/>
      <c r="W3815" s="89"/>
      <c r="X3815" s="89"/>
      <c r="AA3815" s="725" t="s">
        <v>1772</v>
      </c>
      <c r="AB3815" s="726">
        <v>0.80208333333333337</v>
      </c>
      <c r="AC3815" s="737">
        <v>48.5</v>
      </c>
      <c r="AD3815" s="722">
        <v>47.8</v>
      </c>
      <c r="AE3815" s="732">
        <v>47.8</v>
      </c>
      <c r="AF3815" s="730"/>
    </row>
    <row r="3816" spans="4:35" ht="24">
      <c r="E3816" s="629">
        <v>45510</v>
      </c>
      <c r="F3816" s="634">
        <v>4.3499999999999997E-2</v>
      </c>
      <c r="G3816" s="634" t="s">
        <v>938</v>
      </c>
      <c r="H3816" s="634">
        <v>4.3499999999999997E-2</v>
      </c>
      <c r="I3816" s="995"/>
      <c r="J3816" s="996"/>
      <c r="K3816" s="997"/>
      <c r="L3816" s="99"/>
      <c r="M3816" s="100"/>
      <c r="N3816" s="736">
        <v>4.3499999999999997E-2</v>
      </c>
      <c r="O3816" s="722" t="s">
        <v>938</v>
      </c>
      <c r="P3816" s="732">
        <v>4.3499999999999997E-2</v>
      </c>
      <c r="Q3816" s="730"/>
      <c r="R3816" s="733" t="s">
        <v>1756</v>
      </c>
      <c r="S3816" s="734">
        <v>8</v>
      </c>
      <c r="T3816" s="734" t="s">
        <v>1775</v>
      </c>
      <c r="U3816" s="733">
        <v>45510</v>
      </c>
      <c r="V3816" s="89"/>
      <c r="W3816" s="89"/>
      <c r="X3816" s="89"/>
      <c r="AA3816" s="725" t="s">
        <v>1774</v>
      </c>
      <c r="AB3816" s="726">
        <v>0.80208333333333337</v>
      </c>
      <c r="AC3816" s="737">
        <v>47.8</v>
      </c>
      <c r="AD3816" s="722">
        <v>47.5</v>
      </c>
      <c r="AE3816" s="732">
        <v>47.3</v>
      </c>
      <c r="AF3816" s="730"/>
    </row>
    <row r="3817" spans="4:35" ht="25" thickBot="1">
      <c r="E3817" s="629">
        <v>45461</v>
      </c>
      <c r="F3817" s="634">
        <v>4.3499999999999997E-2</v>
      </c>
      <c r="G3817" s="634" t="s">
        <v>938</v>
      </c>
      <c r="H3817" s="634">
        <v>4.3499999999999997E-2</v>
      </c>
      <c r="I3817" s="998"/>
      <c r="J3817" s="999"/>
      <c r="K3817" s="1000"/>
      <c r="L3817" s="102"/>
      <c r="M3817" s="103"/>
      <c r="N3817" s="731">
        <v>4.3499999999999997E-2</v>
      </c>
      <c r="O3817" s="722" t="s">
        <v>938</v>
      </c>
      <c r="P3817" s="732">
        <v>4.3499999999999997E-2</v>
      </c>
      <c r="R3817" s="733" t="s">
        <v>1756</v>
      </c>
      <c r="S3817" s="734">
        <v>6</v>
      </c>
      <c r="T3817" s="734" t="s">
        <v>1781</v>
      </c>
      <c r="U3817" s="733">
        <v>45461</v>
      </c>
      <c r="V3817" s="89"/>
      <c r="W3817" s="89"/>
      <c r="X3817" s="89"/>
      <c r="AA3817" s="725" t="s">
        <v>1777</v>
      </c>
      <c r="AB3817" s="726">
        <v>0.80208333333333337</v>
      </c>
      <c r="AC3817" s="737">
        <v>47.3</v>
      </c>
      <c r="AD3817" s="722">
        <v>47</v>
      </c>
      <c r="AE3817" s="732">
        <v>47.9</v>
      </c>
    </row>
    <row r="3818" spans="4:35" ht="25" customHeight="1" thickBot="1">
      <c r="D3818">
        <v>3</v>
      </c>
      <c r="E3818" s="628" t="s">
        <v>30</v>
      </c>
      <c r="F3818" s="986" t="s">
        <v>1714</v>
      </c>
      <c r="G3818" s="987"/>
      <c r="H3818" s="988"/>
      <c r="I3818" s="989" t="s">
        <v>633</v>
      </c>
      <c r="J3818" s="990"/>
      <c r="K3818" s="991"/>
      <c r="L3818" s="658" t="s">
        <v>430</v>
      </c>
      <c r="M3818" s="659" t="s">
        <v>431</v>
      </c>
      <c r="N3818" s="33"/>
      <c r="O3818" s="33"/>
      <c r="P3818" s="33"/>
      <c r="Q3818" s="33"/>
      <c r="R3818" s="33"/>
      <c r="S3818" s="33"/>
      <c r="T3818" s="33"/>
      <c r="U3818" s="33"/>
    </row>
    <row r="3819" spans="4:35" ht="24" customHeight="1">
      <c r="E3819" s="625" t="s">
        <v>432</v>
      </c>
      <c r="F3819" s="992"/>
      <c r="G3819" s="993"/>
      <c r="H3819" s="994"/>
      <c r="I3819" s="995" t="s">
        <v>1715</v>
      </c>
      <c r="J3819" s="996"/>
      <c r="K3819" s="997"/>
      <c r="L3819" s="99"/>
      <c r="M3819" s="100"/>
      <c r="N3819" s="33"/>
      <c r="O3819" s="33"/>
      <c r="P3819" s="33"/>
      <c r="Q3819" s="33"/>
      <c r="R3819" s="33"/>
      <c r="S3819" s="33"/>
      <c r="T3819" s="33"/>
      <c r="U3819" s="33"/>
    </row>
    <row r="3820" spans="4:35" ht="24">
      <c r="E3820" s="626" t="s">
        <v>433</v>
      </c>
      <c r="F3820" s="1022">
        <v>0</v>
      </c>
      <c r="G3820" s="1005"/>
      <c r="H3820" s="1006"/>
      <c r="I3820" s="995"/>
      <c r="J3820" s="996"/>
      <c r="K3820" s="997"/>
      <c r="L3820" s="99"/>
      <c r="M3820" s="100"/>
      <c r="N3820" s="33"/>
      <c r="O3820" s="33"/>
      <c r="P3820" s="33"/>
      <c r="Q3820" s="33"/>
      <c r="R3820" s="33"/>
      <c r="S3820" s="33"/>
      <c r="T3820" s="33"/>
      <c r="U3820" s="33"/>
    </row>
    <row r="3821" spans="4:35" ht="25" thickBot="1">
      <c r="E3821" s="626" t="s">
        <v>434</v>
      </c>
      <c r="F3821" s="1083">
        <v>2.3E-2</v>
      </c>
      <c r="G3821" s="1084"/>
      <c r="H3821" s="1085"/>
      <c r="I3821" s="995"/>
      <c r="J3821" s="996"/>
      <c r="K3821" s="997"/>
      <c r="L3821" s="99"/>
      <c r="M3821" s="100"/>
      <c r="N3821" s="33"/>
      <c r="O3821" s="33"/>
      <c r="P3821" s="33"/>
      <c r="Q3821" s="33"/>
      <c r="R3821" s="33"/>
      <c r="S3821" s="33"/>
      <c r="T3821" s="33"/>
      <c r="U3821" s="33"/>
    </row>
    <row r="3822" spans="4:35" ht="25" thickBot="1">
      <c r="E3822" s="627" t="s">
        <v>435</v>
      </c>
      <c r="F3822" s="1007">
        <v>0.375</v>
      </c>
      <c r="G3822" s="1008"/>
      <c r="H3822" s="1009"/>
      <c r="I3822" s="995"/>
      <c r="J3822" s="996"/>
      <c r="K3822" s="997"/>
      <c r="L3822" s="647">
        <v>0.60416666666666663</v>
      </c>
      <c r="M3822" s="648">
        <v>0.49999999999999994</v>
      </c>
      <c r="N3822" s="33"/>
      <c r="O3822" s="33"/>
      <c r="P3822" s="33"/>
      <c r="Q3822" s="33"/>
      <c r="R3822" s="33"/>
      <c r="S3822" s="33"/>
      <c r="T3822" s="33"/>
      <c r="U3822" s="33"/>
    </row>
    <row r="3823" spans="4:35" ht="25" thickBot="1">
      <c r="E3823" s="628" t="s">
        <v>436</v>
      </c>
      <c r="F3823" s="200" t="s">
        <v>29</v>
      </c>
      <c r="G3823" s="200" t="s">
        <v>28</v>
      </c>
      <c r="H3823" s="201" t="s">
        <v>27</v>
      </c>
      <c r="I3823" s="995"/>
      <c r="J3823" s="996"/>
      <c r="K3823" s="997"/>
      <c r="L3823" s="99"/>
      <c r="M3823" s="100"/>
      <c r="N3823" s="722" t="s">
        <v>29</v>
      </c>
      <c r="O3823" s="722" t="s">
        <v>28</v>
      </c>
      <c r="P3823" s="722" t="s">
        <v>27</v>
      </c>
      <c r="R3823" s="723" t="s">
        <v>1748</v>
      </c>
      <c r="S3823" s="724" t="s">
        <v>1749</v>
      </c>
      <c r="T3823" s="724" t="s">
        <v>34</v>
      </c>
      <c r="U3823" s="724" t="s">
        <v>35</v>
      </c>
      <c r="V3823" s="89"/>
      <c r="W3823" s="89"/>
      <c r="X3823" s="89"/>
      <c r="AA3823" s="725" t="s">
        <v>436</v>
      </c>
      <c r="AB3823" s="725" t="s">
        <v>793</v>
      </c>
      <c r="AC3823" s="725" t="s">
        <v>29</v>
      </c>
      <c r="AD3823" s="725" t="s">
        <v>28</v>
      </c>
      <c r="AE3823" s="725" t="s">
        <v>27</v>
      </c>
      <c r="AF3823" s="725"/>
      <c r="AH3823">
        <v>5000</v>
      </c>
      <c r="AI3823" s="740">
        <v>0.1</v>
      </c>
    </row>
    <row r="3824" spans="4:35" ht="24">
      <c r="E3824" s="629">
        <v>45735</v>
      </c>
      <c r="F3824" s="635">
        <v>2.3E-2</v>
      </c>
      <c r="G3824" s="635" t="s">
        <v>1447</v>
      </c>
      <c r="H3824" s="635">
        <v>2.5000000000000001E-2</v>
      </c>
      <c r="I3824" s="995"/>
      <c r="J3824" s="996"/>
      <c r="K3824" s="997"/>
      <c r="L3824" s="99"/>
      <c r="M3824" s="100"/>
      <c r="N3824" s="738">
        <v>2.3E-2</v>
      </c>
      <c r="O3824" s="722" t="s">
        <v>1447</v>
      </c>
      <c r="P3824" s="729">
        <v>2.5000000000000001E-2</v>
      </c>
      <c r="Q3824" s="730"/>
      <c r="R3824" s="733" t="s">
        <v>1751</v>
      </c>
      <c r="S3824" s="734">
        <v>3</v>
      </c>
      <c r="T3824" s="734" t="s">
        <v>1785</v>
      </c>
      <c r="U3824" s="733">
        <v>45735</v>
      </c>
      <c r="V3824" s="89"/>
      <c r="W3824" s="89"/>
      <c r="X3824" s="89"/>
      <c r="AA3824" s="725" t="s">
        <v>1766</v>
      </c>
      <c r="AB3824" s="726">
        <v>0.84375</v>
      </c>
      <c r="AC3824" s="732"/>
      <c r="AD3824" s="722"/>
      <c r="AE3824" s="732">
        <v>48.5</v>
      </c>
      <c r="AF3824" s="730"/>
      <c r="AI3824">
        <v>500</v>
      </c>
    </row>
    <row r="3825" spans="4:35" ht="24">
      <c r="E3825" s="629">
        <v>45719</v>
      </c>
      <c r="F3825" s="635">
        <v>2.4E-2</v>
      </c>
      <c r="G3825" s="635" t="s">
        <v>971</v>
      </c>
      <c r="H3825" s="635">
        <v>2.5000000000000001E-2</v>
      </c>
      <c r="I3825" s="995"/>
      <c r="J3825" s="996"/>
      <c r="K3825" s="997"/>
      <c r="L3825" s="99"/>
      <c r="M3825" s="100"/>
      <c r="N3825" s="739">
        <v>2.4E-2</v>
      </c>
      <c r="O3825" s="722" t="s">
        <v>971</v>
      </c>
      <c r="P3825" s="729">
        <v>2.5000000000000001E-2</v>
      </c>
      <c r="Q3825" s="730"/>
      <c r="R3825" s="733" t="s">
        <v>1751</v>
      </c>
      <c r="S3825" s="734">
        <v>3</v>
      </c>
      <c r="T3825" s="734" t="s">
        <v>1786</v>
      </c>
      <c r="U3825" s="733">
        <v>45719</v>
      </c>
      <c r="V3825" s="89"/>
      <c r="W3825" s="89"/>
      <c r="X3825" s="89"/>
      <c r="AA3825" s="725" t="s">
        <v>1768</v>
      </c>
      <c r="AB3825" s="726">
        <v>0.84375</v>
      </c>
      <c r="AC3825" s="732"/>
      <c r="AD3825" s="722">
        <v>48.8</v>
      </c>
      <c r="AE3825" s="732">
        <v>48.5</v>
      </c>
      <c r="AF3825" s="730"/>
      <c r="AI3825">
        <v>10</v>
      </c>
    </row>
    <row r="3826" spans="4:35" ht="24">
      <c r="E3826" s="629">
        <v>45712</v>
      </c>
      <c r="F3826" s="635">
        <v>2.5000000000000001E-2</v>
      </c>
      <c r="G3826" s="635" t="s">
        <v>495</v>
      </c>
      <c r="H3826" s="635">
        <v>2.4E-2</v>
      </c>
      <c r="I3826" s="995"/>
      <c r="J3826" s="996"/>
      <c r="K3826" s="997"/>
      <c r="L3826" s="649"/>
      <c r="M3826" s="100"/>
      <c r="N3826" s="729">
        <v>2.5000000000000001E-2</v>
      </c>
      <c r="O3826" s="722" t="s">
        <v>495</v>
      </c>
      <c r="P3826" s="729">
        <v>2.4E-2</v>
      </c>
      <c r="Q3826" s="730"/>
      <c r="R3826" s="733" t="s">
        <v>1751</v>
      </c>
      <c r="S3826" s="734">
        <v>2</v>
      </c>
      <c r="T3826" s="734" t="s">
        <v>1784</v>
      </c>
      <c r="U3826" s="733">
        <v>45712</v>
      </c>
      <c r="V3826" s="89"/>
      <c r="W3826" s="89"/>
      <c r="X3826" s="89"/>
      <c r="AA3826" s="725" t="s">
        <v>1770</v>
      </c>
      <c r="AB3826" s="726">
        <v>0.84375</v>
      </c>
      <c r="AC3826" s="732">
        <v>48.8</v>
      </c>
      <c r="AD3826" s="722">
        <v>48.8</v>
      </c>
      <c r="AE3826" s="732">
        <v>48.5</v>
      </c>
      <c r="AF3826" s="730"/>
    </row>
    <row r="3827" spans="4:35" ht="24">
      <c r="E3827" s="629">
        <v>45691</v>
      </c>
      <c r="F3827" s="635">
        <v>2.5000000000000001E-2</v>
      </c>
      <c r="G3827" s="635" t="s">
        <v>1447</v>
      </c>
      <c r="H3827" s="635">
        <v>2.4E-2</v>
      </c>
      <c r="I3827" s="995"/>
      <c r="J3827" s="996"/>
      <c r="K3827" s="997"/>
      <c r="L3827" s="99"/>
      <c r="M3827" s="100"/>
      <c r="N3827" s="739">
        <v>2.5000000000000001E-2</v>
      </c>
      <c r="O3827" s="722" t="s">
        <v>1447</v>
      </c>
      <c r="P3827" s="729">
        <v>2.4E-2</v>
      </c>
      <c r="Q3827" s="730"/>
      <c r="R3827" s="733" t="s">
        <v>1751</v>
      </c>
      <c r="S3827" s="734">
        <v>2</v>
      </c>
      <c r="T3827" s="734" t="s">
        <v>1786</v>
      </c>
      <c r="U3827" s="733">
        <v>45691</v>
      </c>
      <c r="V3827" s="89"/>
      <c r="W3827" s="89"/>
      <c r="X3827" s="89"/>
      <c r="AA3827" s="725" t="s">
        <v>1772</v>
      </c>
      <c r="AB3827" s="726">
        <v>0.80208333333333337</v>
      </c>
      <c r="AC3827" s="737">
        <v>48.5</v>
      </c>
      <c r="AD3827" s="722">
        <v>47.8</v>
      </c>
      <c r="AE3827" s="732">
        <v>47.8</v>
      </c>
      <c r="AF3827" s="730"/>
    </row>
    <row r="3828" spans="4:35" ht="24">
      <c r="E3828" s="629">
        <v>45674</v>
      </c>
      <c r="F3828" s="635">
        <v>2.4E-2</v>
      </c>
      <c r="G3828" s="635" t="s">
        <v>1447</v>
      </c>
      <c r="H3828" s="635">
        <v>2.1999999999999999E-2</v>
      </c>
      <c r="I3828" s="995"/>
      <c r="J3828" s="996"/>
      <c r="K3828" s="997"/>
      <c r="L3828" s="99"/>
      <c r="M3828" s="100"/>
      <c r="N3828" s="729">
        <v>2.4E-2</v>
      </c>
      <c r="O3828" s="722" t="s">
        <v>1447</v>
      </c>
      <c r="P3828" s="729">
        <v>2.1999999999999999E-2</v>
      </c>
      <c r="Q3828" s="730"/>
      <c r="R3828" s="733" t="s">
        <v>1751</v>
      </c>
      <c r="S3828" s="734">
        <v>1</v>
      </c>
      <c r="T3828" s="734" t="s">
        <v>1787</v>
      </c>
      <c r="U3828" s="733">
        <v>45674</v>
      </c>
      <c r="V3828" s="89"/>
      <c r="W3828" s="89"/>
      <c r="X3828" s="89"/>
      <c r="AA3828" s="725" t="s">
        <v>1774</v>
      </c>
      <c r="AB3828" s="726">
        <v>0.80208333333333337</v>
      </c>
      <c r="AC3828" s="737">
        <v>47.8</v>
      </c>
      <c r="AD3828" s="722">
        <v>47.5</v>
      </c>
      <c r="AE3828" s="732">
        <v>47.3</v>
      </c>
      <c r="AF3828" s="730"/>
    </row>
    <row r="3829" spans="4:35" ht="25" thickBot="1">
      <c r="E3829" s="629">
        <v>45664</v>
      </c>
      <c r="F3829" s="635">
        <v>2.4E-2</v>
      </c>
      <c r="G3829" s="635" t="s">
        <v>1447</v>
      </c>
      <c r="H3829" s="635">
        <v>2.1999999999999999E-2</v>
      </c>
      <c r="I3829" s="998"/>
      <c r="J3829" s="999"/>
      <c r="K3829" s="1000"/>
      <c r="L3829" s="102"/>
      <c r="M3829" s="103"/>
      <c r="N3829" s="729">
        <v>2.4E-2</v>
      </c>
      <c r="O3829" s="722" t="s">
        <v>1447</v>
      </c>
      <c r="P3829" s="729">
        <v>2.1999999999999999E-2</v>
      </c>
      <c r="R3829" s="733" t="s">
        <v>1751</v>
      </c>
      <c r="S3829" s="734">
        <v>1</v>
      </c>
      <c r="T3829" s="734" t="s">
        <v>1788</v>
      </c>
      <c r="U3829" s="733">
        <v>45664</v>
      </c>
      <c r="V3829" s="89"/>
      <c r="W3829" s="89"/>
      <c r="X3829" s="89"/>
      <c r="AA3829" s="725" t="s">
        <v>1777</v>
      </c>
      <c r="AB3829" s="726">
        <v>0.80208333333333337</v>
      </c>
      <c r="AC3829" s="737">
        <v>47.3</v>
      </c>
      <c r="AD3829" s="722">
        <v>47</v>
      </c>
      <c r="AE3829" s="732">
        <v>47.9</v>
      </c>
    </row>
    <row r="3830" spans="4:35" ht="25" customHeight="1" thickBot="1">
      <c r="D3830">
        <v>3</v>
      </c>
      <c r="E3830" s="628" t="s">
        <v>30</v>
      </c>
      <c r="F3830" s="986" t="s">
        <v>1716</v>
      </c>
      <c r="G3830" s="987"/>
      <c r="H3830" s="988"/>
      <c r="I3830" s="989" t="s">
        <v>633</v>
      </c>
      <c r="J3830" s="990"/>
      <c r="K3830" s="991"/>
      <c r="L3830" s="158" t="s">
        <v>430</v>
      </c>
      <c r="M3830" s="105" t="s">
        <v>431</v>
      </c>
      <c r="N3830" s="33"/>
      <c r="O3830" s="33"/>
      <c r="P3830" s="33"/>
      <c r="Q3830" s="33"/>
      <c r="R3830" s="33"/>
      <c r="S3830" s="33"/>
      <c r="T3830" s="33"/>
      <c r="U3830" s="33"/>
    </row>
    <row r="3831" spans="4:35" ht="24" customHeight="1">
      <c r="E3831" s="625" t="s">
        <v>432</v>
      </c>
      <c r="F3831" s="992"/>
      <c r="G3831" s="993"/>
      <c r="H3831" s="994"/>
      <c r="I3831" s="995" t="s">
        <v>1717</v>
      </c>
      <c r="J3831" s="996"/>
      <c r="K3831" s="997"/>
      <c r="L3831" s="99"/>
      <c r="M3831" s="100"/>
      <c r="N3831" s="33"/>
      <c r="O3831" s="33"/>
      <c r="P3831" s="33"/>
      <c r="Q3831" s="33"/>
      <c r="R3831" s="33"/>
      <c r="S3831" s="33"/>
      <c r="T3831" s="33"/>
      <c r="U3831" s="33"/>
    </row>
    <row r="3832" spans="4:35" ht="24">
      <c r="E3832" s="626" t="s">
        <v>433</v>
      </c>
      <c r="F3832" s="1022">
        <v>49.8</v>
      </c>
      <c r="G3832" s="1005"/>
      <c r="H3832" s="1006"/>
      <c r="I3832" s="995"/>
      <c r="J3832" s="996"/>
      <c r="K3832" s="997"/>
      <c r="L3832" s="99"/>
      <c r="M3832" s="100"/>
      <c r="N3832" s="33"/>
      <c r="O3832" s="33"/>
      <c r="P3832" s="33"/>
      <c r="Q3832" s="33"/>
      <c r="R3832" s="33"/>
      <c r="S3832" s="33"/>
      <c r="T3832" s="33"/>
      <c r="U3832" s="33"/>
    </row>
    <row r="3833" spans="4:35" ht="25" thickBot="1">
      <c r="E3833" s="626" t="s">
        <v>434</v>
      </c>
      <c r="F3833" s="1080">
        <v>52.7</v>
      </c>
      <c r="G3833" s="1081"/>
      <c r="H3833" s="1082"/>
      <c r="I3833" s="995"/>
      <c r="J3833" s="996"/>
      <c r="K3833" s="997"/>
      <c r="L3833" s="99"/>
      <c r="M3833" s="100"/>
      <c r="N3833" s="33"/>
      <c r="O3833" s="33"/>
      <c r="P3833" s="33"/>
      <c r="Q3833" s="33"/>
      <c r="R3833" s="33"/>
      <c r="S3833" s="33"/>
      <c r="T3833" s="33"/>
      <c r="U3833" s="33"/>
    </row>
    <row r="3834" spans="4:35" ht="25" thickBot="1">
      <c r="E3834" s="627" t="s">
        <v>435</v>
      </c>
      <c r="F3834" s="1007">
        <v>0.57291666666666674</v>
      </c>
      <c r="G3834" s="1008"/>
      <c r="H3834" s="1009"/>
      <c r="I3834" s="995"/>
      <c r="J3834" s="996"/>
      <c r="K3834" s="997"/>
      <c r="L3834" s="647">
        <v>0.80208333333333337</v>
      </c>
      <c r="M3834" s="648">
        <v>0.69791666666666674</v>
      </c>
      <c r="N3834" s="33"/>
      <c r="O3834" s="33"/>
      <c r="P3834" s="33"/>
      <c r="Q3834" s="33"/>
      <c r="R3834" s="33"/>
      <c r="S3834" s="33"/>
      <c r="T3834" s="33"/>
      <c r="U3834" s="33"/>
    </row>
    <row r="3835" spans="4:35" ht="25" thickBot="1">
      <c r="E3835" s="628" t="s">
        <v>436</v>
      </c>
      <c r="F3835" s="200" t="s">
        <v>29</v>
      </c>
      <c r="G3835" s="200" t="s">
        <v>28</v>
      </c>
      <c r="H3835" s="201" t="s">
        <v>27</v>
      </c>
      <c r="I3835" s="995"/>
      <c r="J3835" s="996"/>
      <c r="K3835" s="997"/>
      <c r="L3835" s="99"/>
      <c r="M3835" s="100"/>
      <c r="N3835" s="722" t="s">
        <v>29</v>
      </c>
      <c r="O3835" s="722" t="s">
        <v>28</v>
      </c>
      <c r="P3835" s="722" t="s">
        <v>27</v>
      </c>
      <c r="R3835" s="723" t="s">
        <v>1748</v>
      </c>
      <c r="S3835" s="724" t="s">
        <v>1749</v>
      </c>
      <c r="T3835" s="724" t="s">
        <v>34</v>
      </c>
      <c r="U3835" s="724" t="s">
        <v>35</v>
      </c>
      <c r="V3835" s="89"/>
      <c r="W3835" s="89"/>
      <c r="X3835" s="89"/>
      <c r="AA3835" s="725" t="s">
        <v>436</v>
      </c>
      <c r="AB3835" s="725" t="s">
        <v>793</v>
      </c>
      <c r="AC3835" s="725" t="s">
        <v>29</v>
      </c>
      <c r="AD3835" s="725" t="s">
        <v>28</v>
      </c>
      <c r="AE3835" s="725" t="s">
        <v>27</v>
      </c>
      <c r="AF3835" s="725"/>
    </row>
    <row r="3836" spans="4:35" ht="24">
      <c r="E3836" s="629">
        <v>45740</v>
      </c>
      <c r="F3836" s="636">
        <v>49.8</v>
      </c>
      <c r="G3836" s="636" t="s">
        <v>520</v>
      </c>
      <c r="H3836" s="636">
        <v>52.7</v>
      </c>
      <c r="I3836" s="995"/>
      <c r="J3836" s="996"/>
      <c r="K3836" s="997"/>
      <c r="L3836" s="99"/>
      <c r="M3836" s="100"/>
      <c r="N3836" s="736">
        <v>49.8</v>
      </c>
      <c r="O3836" s="722" t="s">
        <v>520</v>
      </c>
      <c r="P3836" s="732">
        <v>52.7</v>
      </c>
      <c r="Q3836" s="730"/>
      <c r="R3836" s="733" t="s">
        <v>1751</v>
      </c>
      <c r="S3836" s="734">
        <v>3</v>
      </c>
      <c r="T3836" s="734" t="s">
        <v>1784</v>
      </c>
      <c r="U3836" s="733">
        <v>45740</v>
      </c>
      <c r="V3836" s="89"/>
      <c r="W3836" s="89"/>
      <c r="X3836" s="89"/>
      <c r="AA3836" s="725" t="s">
        <v>1766</v>
      </c>
      <c r="AB3836" s="726">
        <v>0.84375</v>
      </c>
      <c r="AC3836" s="732"/>
      <c r="AD3836" s="722"/>
      <c r="AE3836" s="732">
        <v>48.5</v>
      </c>
      <c r="AF3836" s="730"/>
    </row>
    <row r="3837" spans="4:35" ht="24">
      <c r="E3837" s="629">
        <v>45719</v>
      </c>
      <c r="F3837" s="636">
        <v>52.7</v>
      </c>
      <c r="G3837" s="636" t="s">
        <v>1689</v>
      </c>
      <c r="H3837" s="636">
        <v>51.2</v>
      </c>
      <c r="I3837" s="995"/>
      <c r="J3837" s="996"/>
      <c r="K3837" s="997"/>
      <c r="L3837" s="99"/>
      <c r="M3837" s="100"/>
      <c r="N3837" s="731">
        <v>52.7</v>
      </c>
      <c r="O3837" s="722" t="s">
        <v>1689</v>
      </c>
      <c r="P3837" s="732">
        <v>51.2</v>
      </c>
      <c r="R3837" s="733" t="s">
        <v>1751</v>
      </c>
      <c r="S3837" s="734">
        <v>3</v>
      </c>
      <c r="T3837" s="734" t="s">
        <v>1786</v>
      </c>
      <c r="U3837" s="733">
        <v>45719</v>
      </c>
      <c r="V3837" s="89"/>
      <c r="W3837" s="89"/>
      <c r="X3837" s="89"/>
      <c r="AA3837" s="725" t="s">
        <v>1768</v>
      </c>
      <c r="AB3837" s="726">
        <v>0.84375</v>
      </c>
      <c r="AC3837" s="732"/>
      <c r="AD3837" s="722">
        <v>48.8</v>
      </c>
      <c r="AE3837" s="732">
        <v>48.5</v>
      </c>
      <c r="AF3837" s="730"/>
    </row>
    <row r="3838" spans="4:35" ht="24">
      <c r="E3838" s="629">
        <v>45740</v>
      </c>
      <c r="F3838" s="636">
        <v>49.8</v>
      </c>
      <c r="G3838" s="636" t="s">
        <v>520</v>
      </c>
      <c r="H3838" s="636">
        <v>52.7</v>
      </c>
      <c r="I3838" s="995"/>
      <c r="J3838" s="996"/>
      <c r="K3838" s="997"/>
      <c r="L3838" s="649"/>
      <c r="M3838" s="100"/>
      <c r="N3838" s="736">
        <v>49.8</v>
      </c>
      <c r="O3838" s="722" t="s">
        <v>520</v>
      </c>
      <c r="P3838" s="732">
        <v>52.7</v>
      </c>
      <c r="Q3838" s="730"/>
      <c r="R3838" s="733" t="s">
        <v>1751</v>
      </c>
      <c r="S3838" s="734">
        <v>3</v>
      </c>
      <c r="T3838" s="734" t="s">
        <v>1784</v>
      </c>
      <c r="U3838" s="733">
        <v>45740</v>
      </c>
      <c r="V3838" s="89"/>
      <c r="W3838" s="89"/>
      <c r="X3838" s="89"/>
      <c r="AA3838" s="725" t="s">
        <v>1770</v>
      </c>
      <c r="AB3838" s="726">
        <v>0.84375</v>
      </c>
      <c r="AC3838" s="732">
        <v>48.8</v>
      </c>
      <c r="AD3838" s="722">
        <v>48.8</v>
      </c>
      <c r="AE3838" s="732">
        <v>48.5</v>
      </c>
      <c r="AF3838" s="730"/>
    </row>
    <row r="3839" spans="4:35" ht="24">
      <c r="E3839" s="629">
        <v>45719</v>
      </c>
      <c r="F3839" s="636">
        <v>52.7</v>
      </c>
      <c r="G3839" s="636" t="s">
        <v>1689</v>
      </c>
      <c r="H3839" s="636">
        <v>51.2</v>
      </c>
      <c r="I3839" s="995"/>
      <c r="J3839" s="996"/>
      <c r="K3839" s="997"/>
      <c r="L3839" s="99"/>
      <c r="M3839" s="100"/>
      <c r="N3839" s="731">
        <v>52.7</v>
      </c>
      <c r="O3839" s="722" t="s">
        <v>1689</v>
      </c>
      <c r="P3839" s="732">
        <v>51.2</v>
      </c>
      <c r="R3839" s="733" t="s">
        <v>1751</v>
      </c>
      <c r="S3839" s="734">
        <v>3</v>
      </c>
      <c r="T3839" s="734" t="s">
        <v>1786</v>
      </c>
      <c r="U3839" s="733">
        <v>45719</v>
      </c>
      <c r="V3839" s="89"/>
      <c r="W3839" s="89"/>
      <c r="X3839" s="89"/>
      <c r="AA3839" s="725" t="s">
        <v>1772</v>
      </c>
      <c r="AB3839" s="726">
        <v>0.80208333333333337</v>
      </c>
      <c r="AC3839" s="737">
        <v>48.5</v>
      </c>
      <c r="AD3839" s="722">
        <v>47.8</v>
      </c>
      <c r="AE3839" s="732">
        <v>47.8</v>
      </c>
      <c r="AF3839" s="730"/>
    </row>
    <row r="3840" spans="4:35" ht="24">
      <c r="E3840" s="629">
        <v>45740</v>
      </c>
      <c r="F3840" s="636">
        <v>49.8</v>
      </c>
      <c r="G3840" s="636" t="s">
        <v>520</v>
      </c>
      <c r="H3840" s="636">
        <v>52.7</v>
      </c>
      <c r="I3840" s="995"/>
      <c r="J3840" s="996"/>
      <c r="K3840" s="997"/>
      <c r="L3840" s="99"/>
      <c r="M3840" s="100"/>
      <c r="N3840" s="736">
        <v>49.8</v>
      </c>
      <c r="O3840" s="722" t="s">
        <v>520</v>
      </c>
      <c r="P3840" s="732">
        <v>52.7</v>
      </c>
      <c r="Q3840" s="730"/>
      <c r="R3840" s="733" t="s">
        <v>1751</v>
      </c>
      <c r="S3840" s="734">
        <v>3</v>
      </c>
      <c r="T3840" s="734" t="s">
        <v>1784</v>
      </c>
      <c r="U3840" s="733">
        <v>45740</v>
      </c>
      <c r="V3840" s="89"/>
      <c r="W3840" s="89"/>
      <c r="X3840" s="89"/>
      <c r="AA3840" s="725" t="s">
        <v>1774</v>
      </c>
      <c r="AB3840" s="726">
        <v>0.80208333333333337</v>
      </c>
      <c r="AC3840" s="737">
        <v>47.8</v>
      </c>
      <c r="AD3840" s="722">
        <v>47.5</v>
      </c>
      <c r="AE3840" s="732">
        <v>47.3</v>
      </c>
      <c r="AF3840" s="730"/>
    </row>
    <row r="3841" spans="4:32" ht="25" thickBot="1">
      <c r="E3841" s="629">
        <v>45719</v>
      </c>
      <c r="F3841" s="636">
        <v>52.7</v>
      </c>
      <c r="G3841" s="636" t="s">
        <v>1689</v>
      </c>
      <c r="H3841" s="636">
        <v>51.2</v>
      </c>
      <c r="I3841" s="998"/>
      <c r="J3841" s="999"/>
      <c r="K3841" s="1000"/>
      <c r="L3841" s="102"/>
      <c r="M3841" s="103"/>
      <c r="N3841" s="731">
        <v>52.7</v>
      </c>
      <c r="O3841" s="722" t="s">
        <v>1689</v>
      </c>
      <c r="P3841" s="732">
        <v>51.2</v>
      </c>
      <c r="R3841" s="733" t="s">
        <v>1751</v>
      </c>
      <c r="S3841" s="734">
        <v>3</v>
      </c>
      <c r="T3841" s="734" t="s">
        <v>1786</v>
      </c>
      <c r="U3841" s="733">
        <v>45719</v>
      </c>
      <c r="V3841" s="89"/>
      <c r="W3841" s="89"/>
      <c r="X3841" s="89"/>
      <c r="AA3841" s="725" t="s">
        <v>1777</v>
      </c>
      <c r="AB3841" s="726">
        <v>0.80208333333333337</v>
      </c>
      <c r="AC3841" s="737">
        <v>47.3</v>
      </c>
      <c r="AD3841" s="722">
        <v>47</v>
      </c>
      <c r="AE3841" s="732">
        <v>47.9</v>
      </c>
    </row>
    <row r="3842" spans="4:32" ht="25" customHeight="1" thickBot="1">
      <c r="D3842">
        <v>3</v>
      </c>
      <c r="E3842" s="624" t="s">
        <v>30</v>
      </c>
      <c r="F3842" s="1057" t="s">
        <v>1718</v>
      </c>
      <c r="G3842" s="1058"/>
      <c r="H3842" s="1059"/>
      <c r="I3842" s="1060" t="s">
        <v>633</v>
      </c>
      <c r="J3842" s="1061"/>
      <c r="K3842" s="1062"/>
      <c r="L3842" s="158" t="s">
        <v>430</v>
      </c>
      <c r="M3842" s="105" t="s">
        <v>431</v>
      </c>
      <c r="N3842" s="33"/>
      <c r="O3842" s="33"/>
      <c r="P3842" s="33"/>
      <c r="Q3842" s="33"/>
      <c r="R3842" s="33"/>
      <c r="S3842" s="33"/>
      <c r="T3842" s="33"/>
      <c r="U3842" s="33"/>
    </row>
    <row r="3843" spans="4:32" ht="24" customHeight="1">
      <c r="E3843" s="625" t="s">
        <v>432</v>
      </c>
      <c r="F3843" s="992"/>
      <c r="G3843" s="993"/>
      <c r="H3843" s="994"/>
      <c r="I3843" s="995" t="s">
        <v>1719</v>
      </c>
      <c r="J3843" s="996"/>
      <c r="K3843" s="997"/>
      <c r="L3843" s="99"/>
      <c r="M3843" s="100"/>
      <c r="N3843" s="33"/>
      <c r="O3843" s="33"/>
      <c r="P3843" s="33"/>
      <c r="Q3843" s="33"/>
      <c r="R3843" s="33"/>
      <c r="S3843" s="33"/>
      <c r="T3843" s="33"/>
      <c r="U3843" s="33"/>
    </row>
    <row r="3844" spans="4:32" ht="24">
      <c r="E3844" s="626" t="s">
        <v>433</v>
      </c>
      <c r="F3844" s="1063"/>
      <c r="G3844" s="1064"/>
      <c r="H3844" s="1065"/>
      <c r="I3844" s="995"/>
      <c r="J3844" s="996"/>
      <c r="K3844" s="997"/>
      <c r="L3844" s="99"/>
      <c r="M3844" s="100"/>
      <c r="N3844" s="33"/>
      <c r="O3844" s="33"/>
      <c r="P3844" s="33"/>
      <c r="Q3844" s="33"/>
      <c r="R3844" s="33"/>
      <c r="S3844" s="33"/>
      <c r="T3844" s="33"/>
      <c r="U3844" s="33"/>
    </row>
    <row r="3845" spans="4:32" ht="25" thickBot="1">
      <c r="E3845" s="626" t="s">
        <v>434</v>
      </c>
      <c r="F3845" s="1214">
        <v>50.3</v>
      </c>
      <c r="G3845" s="1215"/>
      <c r="H3845" s="1216"/>
      <c r="I3845" s="995"/>
      <c r="J3845" s="996"/>
      <c r="K3845" s="997"/>
      <c r="L3845" s="99"/>
      <c r="M3845" s="100"/>
      <c r="N3845" s="33"/>
      <c r="O3845" s="33"/>
      <c r="P3845" s="33"/>
      <c r="Q3845" s="33"/>
      <c r="R3845" s="33"/>
      <c r="S3845" s="33"/>
      <c r="T3845" s="33"/>
      <c r="U3845" s="33"/>
    </row>
    <row r="3846" spans="4:32" ht="25" thickBot="1">
      <c r="E3846" s="627" t="s">
        <v>435</v>
      </c>
      <c r="F3846" s="1007">
        <v>0.58333333333333337</v>
      </c>
      <c r="G3846" s="1008"/>
      <c r="H3846" s="1009"/>
      <c r="I3846" s="995"/>
      <c r="J3846" s="996"/>
      <c r="K3846" s="997"/>
      <c r="L3846" s="647">
        <v>0.8125</v>
      </c>
      <c r="M3846" s="648">
        <v>0.70833333333333337</v>
      </c>
      <c r="N3846" s="33"/>
      <c r="O3846" s="33"/>
      <c r="P3846" s="33"/>
      <c r="Q3846" s="33"/>
      <c r="R3846" s="33"/>
      <c r="S3846" s="33"/>
      <c r="T3846" s="33"/>
      <c r="U3846" s="33"/>
    </row>
    <row r="3847" spans="4:32" ht="25" thickBot="1">
      <c r="E3847" s="628" t="s">
        <v>436</v>
      </c>
      <c r="F3847" s="200" t="s">
        <v>29</v>
      </c>
      <c r="G3847" s="200" t="s">
        <v>28</v>
      </c>
      <c r="H3847" s="201" t="s">
        <v>27</v>
      </c>
      <c r="I3847" s="995"/>
      <c r="J3847" s="996"/>
      <c r="K3847" s="997"/>
      <c r="L3847" s="99"/>
      <c r="M3847" s="100"/>
      <c r="N3847" s="722" t="s">
        <v>29</v>
      </c>
      <c r="O3847" s="722" t="s">
        <v>28</v>
      </c>
      <c r="P3847" s="722" t="s">
        <v>27</v>
      </c>
      <c r="R3847" s="723" t="s">
        <v>1748</v>
      </c>
      <c r="S3847" s="724" t="s">
        <v>1749</v>
      </c>
      <c r="T3847" s="724" t="s">
        <v>34</v>
      </c>
      <c r="U3847" s="724" t="s">
        <v>35</v>
      </c>
      <c r="V3847" s="89"/>
      <c r="W3847" s="89"/>
      <c r="X3847" s="89"/>
      <c r="AA3847" s="725" t="s">
        <v>436</v>
      </c>
      <c r="AB3847" s="725" t="s">
        <v>793</v>
      </c>
      <c r="AC3847" s="725" t="s">
        <v>29</v>
      </c>
      <c r="AD3847" s="725" t="s">
        <v>28</v>
      </c>
      <c r="AE3847" s="725" t="s">
        <v>27</v>
      </c>
      <c r="AF3847" s="725"/>
    </row>
    <row r="3848" spans="4:32" ht="24">
      <c r="E3848" s="629">
        <v>45719</v>
      </c>
      <c r="F3848" s="202" t="s">
        <v>1658</v>
      </c>
      <c r="G3848" s="202" t="s">
        <v>1789</v>
      </c>
      <c r="H3848" s="202" t="s">
        <v>1790</v>
      </c>
      <c r="I3848" s="995"/>
      <c r="J3848" s="996"/>
      <c r="K3848" s="997"/>
      <c r="L3848" s="99"/>
      <c r="M3848" s="100"/>
      <c r="N3848" s="736">
        <v>50.3</v>
      </c>
      <c r="O3848" s="722" t="s">
        <v>1789</v>
      </c>
      <c r="P3848" s="732">
        <v>50.9</v>
      </c>
      <c r="Q3848" s="730"/>
      <c r="R3848" s="733" t="s">
        <v>1751</v>
      </c>
      <c r="S3848" s="734">
        <v>3</v>
      </c>
      <c r="T3848" s="734" t="s">
        <v>1786</v>
      </c>
      <c r="U3848" s="733">
        <v>45719</v>
      </c>
      <c r="V3848" s="89"/>
      <c r="W3848" s="32" t="s">
        <v>1658</v>
      </c>
      <c r="X3848" s="32" t="s">
        <v>1789</v>
      </c>
      <c r="Y3848" s="32" t="s">
        <v>1790</v>
      </c>
      <c r="AA3848" s="725" t="s">
        <v>1766</v>
      </c>
      <c r="AB3848" s="726">
        <v>0.84375</v>
      </c>
      <c r="AC3848" s="732"/>
      <c r="AD3848" s="722"/>
      <c r="AE3848" s="732">
        <v>48.5</v>
      </c>
      <c r="AF3848" s="730"/>
    </row>
    <row r="3849" spans="4:32" ht="24">
      <c r="E3849" s="629">
        <v>45691</v>
      </c>
      <c r="F3849" s="202" t="s">
        <v>1790</v>
      </c>
      <c r="G3849" s="202" t="s">
        <v>1791</v>
      </c>
      <c r="H3849" s="202" t="s">
        <v>1170</v>
      </c>
      <c r="I3849" s="995"/>
      <c r="J3849" s="996"/>
      <c r="K3849" s="997"/>
      <c r="L3849" s="99"/>
      <c r="M3849" s="100"/>
      <c r="N3849" s="731">
        <v>50.9</v>
      </c>
      <c r="O3849" s="722" t="s">
        <v>1791</v>
      </c>
      <c r="P3849" s="736">
        <v>49.2</v>
      </c>
      <c r="Q3849" s="730"/>
      <c r="R3849" s="733" t="s">
        <v>1751</v>
      </c>
      <c r="S3849" s="734">
        <v>2</v>
      </c>
      <c r="T3849" s="734" t="s">
        <v>1786</v>
      </c>
      <c r="U3849" s="733">
        <v>45691</v>
      </c>
      <c r="V3849" s="89"/>
      <c r="W3849" s="32" t="s">
        <v>1790</v>
      </c>
      <c r="X3849" s="32" t="s">
        <v>1791</v>
      </c>
      <c r="Y3849" s="32" t="s">
        <v>1170</v>
      </c>
      <c r="AA3849" s="725" t="s">
        <v>1768</v>
      </c>
      <c r="AB3849" s="726">
        <v>0.84375</v>
      </c>
      <c r="AC3849" s="732"/>
      <c r="AD3849" s="722">
        <v>48.8</v>
      </c>
      <c r="AE3849" s="732">
        <v>48.5</v>
      </c>
      <c r="AF3849" s="730"/>
    </row>
    <row r="3850" spans="4:32" ht="24">
      <c r="E3850" s="629">
        <v>45660</v>
      </c>
      <c r="F3850" s="202" t="s">
        <v>1792</v>
      </c>
      <c r="G3850" s="202" t="s">
        <v>1793</v>
      </c>
      <c r="H3850" s="202" t="s">
        <v>1794</v>
      </c>
      <c r="I3850" s="995"/>
      <c r="J3850" s="996"/>
      <c r="K3850" s="997"/>
      <c r="L3850" s="649"/>
      <c r="M3850" s="100"/>
      <c r="N3850" s="731">
        <v>49.3</v>
      </c>
      <c r="O3850" s="722" t="s">
        <v>1793</v>
      </c>
      <c r="P3850" s="732">
        <v>48.4</v>
      </c>
      <c r="Q3850" s="730"/>
      <c r="R3850" s="733" t="s">
        <v>1751</v>
      </c>
      <c r="S3850" s="734">
        <v>1</v>
      </c>
      <c r="T3850" s="734" t="s">
        <v>1786</v>
      </c>
      <c r="U3850" s="733">
        <v>45660</v>
      </c>
      <c r="V3850" s="89"/>
      <c r="W3850" s="32" t="s">
        <v>1792</v>
      </c>
      <c r="X3850" s="32" t="s">
        <v>1793</v>
      </c>
      <c r="Y3850" s="32" t="s">
        <v>1794</v>
      </c>
      <c r="AA3850" s="725" t="s">
        <v>1770</v>
      </c>
      <c r="AB3850" s="726">
        <v>0.84375</v>
      </c>
      <c r="AC3850" s="732">
        <v>48.8</v>
      </c>
      <c r="AD3850" s="722">
        <v>48.8</v>
      </c>
      <c r="AE3850" s="732">
        <v>48.5</v>
      </c>
      <c r="AF3850" s="730"/>
    </row>
    <row r="3851" spans="4:32" ht="24">
      <c r="E3851" s="629">
        <v>45628</v>
      </c>
      <c r="F3851" s="202" t="s">
        <v>1794</v>
      </c>
      <c r="G3851" s="202" t="s">
        <v>1341</v>
      </c>
      <c r="H3851" s="202" t="s">
        <v>1163</v>
      </c>
      <c r="I3851" s="995"/>
      <c r="J3851" s="996"/>
      <c r="K3851" s="997"/>
      <c r="L3851" s="99"/>
      <c r="M3851" s="100"/>
      <c r="N3851" s="731">
        <v>48.4</v>
      </c>
      <c r="O3851" s="722" t="s">
        <v>1341</v>
      </c>
      <c r="P3851" s="732">
        <v>46.5</v>
      </c>
      <c r="Q3851" s="730"/>
      <c r="R3851" s="733" t="s">
        <v>1756</v>
      </c>
      <c r="S3851" s="734">
        <v>12</v>
      </c>
      <c r="T3851" s="734" t="s">
        <v>1795</v>
      </c>
      <c r="U3851" s="733">
        <v>45628</v>
      </c>
      <c r="V3851" s="89"/>
      <c r="W3851" s="32" t="s">
        <v>1794</v>
      </c>
      <c r="X3851" s="32" t="s">
        <v>1341</v>
      </c>
      <c r="Y3851" s="32" t="s">
        <v>1163</v>
      </c>
      <c r="AA3851" s="725" t="s">
        <v>1772</v>
      </c>
      <c r="AB3851" s="726">
        <v>0.80208333333333337</v>
      </c>
      <c r="AC3851" s="737">
        <v>48.5</v>
      </c>
      <c r="AD3851" s="722">
        <v>47.8</v>
      </c>
      <c r="AE3851" s="732">
        <v>47.8</v>
      </c>
      <c r="AF3851" s="730"/>
    </row>
    <row r="3852" spans="4:32" ht="24">
      <c r="E3852" s="629">
        <v>45597</v>
      </c>
      <c r="F3852" s="202" t="s">
        <v>1163</v>
      </c>
      <c r="G3852" s="202" t="s">
        <v>901</v>
      </c>
      <c r="H3852" s="202" t="s">
        <v>1165</v>
      </c>
      <c r="I3852" s="995"/>
      <c r="J3852" s="996"/>
      <c r="K3852" s="997"/>
      <c r="L3852" s="99"/>
      <c r="M3852" s="100"/>
      <c r="N3852" s="736">
        <v>46.5</v>
      </c>
      <c r="O3852" s="722" t="s">
        <v>901</v>
      </c>
      <c r="P3852" s="732">
        <v>47.2</v>
      </c>
      <c r="Q3852" s="730"/>
      <c r="R3852" s="733" t="s">
        <v>1756</v>
      </c>
      <c r="S3852" s="734">
        <v>11</v>
      </c>
      <c r="T3852" s="734" t="s">
        <v>1752</v>
      </c>
      <c r="U3852" s="733">
        <v>45597</v>
      </c>
      <c r="V3852" s="89"/>
      <c r="W3852" s="32" t="s">
        <v>1163</v>
      </c>
      <c r="X3852" s="32" t="s">
        <v>901</v>
      </c>
      <c r="Y3852" s="32" t="s">
        <v>1165</v>
      </c>
      <c r="AA3852" s="725" t="s">
        <v>1774</v>
      </c>
      <c r="AB3852" s="726">
        <v>0.80208333333333337</v>
      </c>
      <c r="AC3852" s="737">
        <v>47.8</v>
      </c>
      <c r="AD3852" s="722">
        <v>47.5</v>
      </c>
      <c r="AE3852" s="732">
        <v>47.3</v>
      </c>
      <c r="AF3852" s="730"/>
    </row>
    <row r="3853" spans="4:32" ht="25" thickBot="1">
      <c r="E3853" s="629">
        <v>45566</v>
      </c>
      <c r="F3853" s="202" t="s">
        <v>1165</v>
      </c>
      <c r="G3853" s="202" t="s">
        <v>901</v>
      </c>
      <c r="H3853" s="202" t="s">
        <v>1165</v>
      </c>
      <c r="I3853" s="998"/>
      <c r="J3853" s="999"/>
      <c r="K3853" s="1000"/>
      <c r="L3853" s="102"/>
      <c r="M3853" s="103"/>
      <c r="N3853" s="736">
        <v>47.2</v>
      </c>
      <c r="O3853" s="722" t="s">
        <v>901</v>
      </c>
      <c r="P3853" s="732">
        <v>47.2</v>
      </c>
      <c r="R3853" s="733" t="s">
        <v>1756</v>
      </c>
      <c r="S3853" s="734">
        <v>10</v>
      </c>
      <c r="T3853" s="734" t="s">
        <v>1752</v>
      </c>
      <c r="U3853" s="733">
        <v>45566</v>
      </c>
      <c r="V3853" s="89"/>
      <c r="W3853" s="32" t="s">
        <v>1165</v>
      </c>
      <c r="X3853" s="32" t="s">
        <v>901</v>
      </c>
      <c r="Y3853" s="32" t="s">
        <v>1165</v>
      </c>
      <c r="AA3853" s="725" t="s">
        <v>1777</v>
      </c>
      <c r="AB3853" s="726">
        <v>0.80208333333333337</v>
      </c>
      <c r="AC3853" s="737">
        <v>47.3</v>
      </c>
      <c r="AD3853" s="722">
        <v>47</v>
      </c>
      <c r="AE3853" s="732">
        <v>47.9</v>
      </c>
    </row>
    <row r="3854" spans="4:32" ht="25" customHeight="1" thickBot="1">
      <c r="D3854">
        <v>1</v>
      </c>
      <c r="E3854" s="624" t="s">
        <v>30</v>
      </c>
      <c r="F3854" s="1057" t="s">
        <v>1720</v>
      </c>
      <c r="G3854" s="1058"/>
      <c r="H3854" s="1059"/>
      <c r="I3854" s="1060" t="s">
        <v>633</v>
      </c>
      <c r="J3854" s="1061"/>
      <c r="K3854" s="1062"/>
      <c r="L3854" s="158" t="s">
        <v>430</v>
      </c>
      <c r="M3854" s="105" t="s">
        <v>431</v>
      </c>
      <c r="N3854" s="33"/>
      <c r="O3854" s="33"/>
      <c r="P3854" s="33"/>
      <c r="Q3854" s="33"/>
      <c r="R3854" s="33"/>
      <c r="S3854" s="33"/>
      <c r="T3854" s="33"/>
      <c r="U3854" s="33"/>
    </row>
    <row r="3855" spans="4:32" ht="24" customHeight="1">
      <c r="E3855" s="625" t="s">
        <v>432</v>
      </c>
      <c r="F3855" s="992"/>
      <c r="G3855" s="993"/>
      <c r="H3855" s="994"/>
      <c r="I3855" s="995" t="s">
        <v>1721</v>
      </c>
      <c r="J3855" s="996"/>
      <c r="K3855" s="997"/>
      <c r="L3855" s="99"/>
      <c r="M3855" s="100"/>
      <c r="N3855" s="33"/>
      <c r="O3855" s="33"/>
      <c r="P3855" s="33"/>
      <c r="Q3855" s="33"/>
      <c r="R3855" s="33"/>
      <c r="S3855" s="33"/>
      <c r="T3855" s="33"/>
      <c r="U3855" s="33"/>
    </row>
    <row r="3856" spans="4:32" ht="24">
      <c r="E3856" s="626" t="s">
        <v>433</v>
      </c>
      <c r="F3856" s="1072" t="s">
        <v>1090</v>
      </c>
      <c r="G3856" s="1073"/>
      <c r="H3856" s="1074"/>
      <c r="I3856" s="995"/>
      <c r="J3856" s="996"/>
      <c r="K3856" s="997"/>
      <c r="L3856" s="99"/>
      <c r="M3856" s="100"/>
      <c r="N3856" s="33"/>
      <c r="O3856" s="33"/>
      <c r="P3856" s="33"/>
      <c r="Q3856" s="33"/>
      <c r="R3856" s="33"/>
      <c r="S3856" s="33"/>
      <c r="T3856" s="33"/>
      <c r="U3856" s="33"/>
    </row>
    <row r="3857" spans="4:32" ht="25" thickBot="1">
      <c r="E3857" s="626" t="s">
        <v>434</v>
      </c>
      <c r="F3857" s="1075">
        <v>62.4</v>
      </c>
      <c r="G3857" s="1073"/>
      <c r="H3857" s="1074"/>
      <c r="I3857" s="995"/>
      <c r="J3857" s="996"/>
      <c r="K3857" s="997"/>
      <c r="L3857" s="99"/>
      <c r="M3857" s="100"/>
      <c r="N3857" s="33"/>
      <c r="O3857" s="33"/>
      <c r="P3857" s="33"/>
      <c r="Q3857" s="33"/>
      <c r="R3857" s="33"/>
      <c r="S3857" s="33"/>
      <c r="T3857" s="33"/>
      <c r="U3857" s="33"/>
    </row>
    <row r="3858" spans="4:32" ht="25" thickBot="1">
      <c r="E3858" s="627" t="s">
        <v>435</v>
      </c>
      <c r="F3858" s="1007">
        <v>0.58333333333333337</v>
      </c>
      <c r="G3858" s="1008"/>
      <c r="H3858" s="1009"/>
      <c r="I3858" s="995"/>
      <c r="J3858" s="996"/>
      <c r="K3858" s="997"/>
      <c r="L3858" s="647">
        <v>0.8125</v>
      </c>
      <c r="M3858" s="648">
        <v>0.70833333333333337</v>
      </c>
      <c r="N3858" s="33"/>
      <c r="O3858" s="33"/>
      <c r="P3858" s="33"/>
      <c r="Q3858" s="33"/>
      <c r="R3858" s="33"/>
      <c r="S3858" s="33"/>
      <c r="T3858" s="33"/>
      <c r="U3858" s="33"/>
    </row>
    <row r="3859" spans="4:32" ht="25" thickBot="1">
      <c r="E3859" s="628" t="s">
        <v>436</v>
      </c>
      <c r="F3859" s="200" t="s">
        <v>29</v>
      </c>
      <c r="G3859" s="200" t="s">
        <v>28</v>
      </c>
      <c r="H3859" s="201" t="s">
        <v>27</v>
      </c>
      <c r="I3859" s="995"/>
      <c r="J3859" s="996"/>
      <c r="K3859" s="997"/>
      <c r="L3859" s="99"/>
      <c r="M3859" s="100"/>
      <c r="N3859" s="722" t="s">
        <v>29</v>
      </c>
      <c r="O3859" s="722" t="s">
        <v>28</v>
      </c>
      <c r="P3859" s="722" t="s">
        <v>27</v>
      </c>
      <c r="R3859" s="723" t="s">
        <v>1748</v>
      </c>
      <c r="S3859" s="724" t="s">
        <v>1749</v>
      </c>
      <c r="T3859" s="724" t="s">
        <v>34</v>
      </c>
      <c r="U3859" s="724" t="s">
        <v>35</v>
      </c>
      <c r="V3859" s="89"/>
      <c r="W3859" s="89"/>
      <c r="X3859" s="89"/>
      <c r="AA3859" s="725" t="s">
        <v>1750</v>
      </c>
      <c r="AB3859" s="726">
        <v>0.25</v>
      </c>
      <c r="AC3859" s="727">
        <v>1E-3</v>
      </c>
      <c r="AD3859" s="728">
        <v>3.0000000000000001E-3</v>
      </c>
      <c r="AE3859" s="729">
        <v>7.0000000000000001E-3</v>
      </c>
      <c r="AF3859" s="730"/>
    </row>
    <row r="3860" spans="4:32" ht="24">
      <c r="E3860" s="629">
        <v>45719</v>
      </c>
      <c r="F3860" s="204">
        <v>62.4</v>
      </c>
      <c r="G3860" s="204" t="s">
        <v>1796</v>
      </c>
      <c r="H3860" s="204">
        <v>54.9</v>
      </c>
      <c r="I3860" s="995"/>
      <c r="J3860" s="996"/>
      <c r="K3860" s="997"/>
      <c r="L3860" s="99"/>
      <c r="M3860" s="100"/>
      <c r="N3860" s="731">
        <v>62.4</v>
      </c>
      <c r="O3860" s="722" t="s">
        <v>1796</v>
      </c>
      <c r="P3860" s="732">
        <v>54.9</v>
      </c>
      <c r="Q3860" s="730"/>
      <c r="R3860" s="733" t="s">
        <v>1751</v>
      </c>
      <c r="S3860" s="734">
        <v>3</v>
      </c>
      <c r="T3860" s="734" t="s">
        <v>1786</v>
      </c>
      <c r="U3860" s="733">
        <v>45719</v>
      </c>
      <c r="V3860" s="89"/>
      <c r="W3860" s="89"/>
      <c r="X3860" s="89"/>
      <c r="AA3860" s="725" t="s">
        <v>1753</v>
      </c>
      <c r="AB3860" s="726">
        <v>0.29166666666666669</v>
      </c>
      <c r="AC3860" s="735">
        <v>7.0000000000000001E-3</v>
      </c>
      <c r="AD3860" s="728">
        <v>4.0000000000000001E-3</v>
      </c>
      <c r="AE3860" s="735">
        <v>1E-3</v>
      </c>
      <c r="AF3860" s="730"/>
    </row>
    <row r="3861" spans="4:32" ht="24">
      <c r="E3861" s="629">
        <v>45691</v>
      </c>
      <c r="F3861" s="204">
        <v>54.9</v>
      </c>
      <c r="G3861" s="204" t="s">
        <v>596</v>
      </c>
      <c r="H3861" s="204">
        <v>52.5</v>
      </c>
      <c r="I3861" s="995"/>
      <c r="J3861" s="996"/>
      <c r="K3861" s="997"/>
      <c r="L3861" s="99"/>
      <c r="M3861" s="100"/>
      <c r="N3861" s="731">
        <v>54.9</v>
      </c>
      <c r="O3861" s="722" t="s">
        <v>596</v>
      </c>
      <c r="P3861" s="732">
        <v>52.5</v>
      </c>
      <c r="Q3861" s="730"/>
      <c r="R3861" s="733" t="s">
        <v>1751</v>
      </c>
      <c r="S3861" s="734">
        <v>2</v>
      </c>
      <c r="T3861" s="734" t="s">
        <v>1786</v>
      </c>
      <c r="U3861" s="733">
        <v>45691</v>
      </c>
      <c r="V3861" s="89"/>
      <c r="W3861" s="89"/>
      <c r="X3861" s="89"/>
      <c r="AA3861" s="725" t="s">
        <v>1755</v>
      </c>
      <c r="AB3861" s="726">
        <v>0.29166666666666669</v>
      </c>
      <c r="AC3861" s="727">
        <v>0</v>
      </c>
      <c r="AD3861" s="728">
        <v>3.0000000000000001E-3</v>
      </c>
      <c r="AE3861" s="729">
        <v>5.0000000000000001E-3</v>
      </c>
      <c r="AF3861" s="730"/>
    </row>
    <row r="3862" spans="4:32" ht="24">
      <c r="E3862" s="629">
        <v>45660</v>
      </c>
      <c r="F3862" s="204">
        <v>52.5</v>
      </c>
      <c r="G3862" s="204" t="s">
        <v>1797</v>
      </c>
      <c r="H3862" s="204">
        <v>50.3</v>
      </c>
      <c r="I3862" s="995"/>
      <c r="J3862" s="996"/>
      <c r="K3862" s="997"/>
      <c r="L3862" s="649"/>
      <c r="M3862" s="100"/>
      <c r="N3862" s="731">
        <v>52.5</v>
      </c>
      <c r="O3862" s="722" t="s">
        <v>1797</v>
      </c>
      <c r="P3862" s="732">
        <v>50.3</v>
      </c>
      <c r="Q3862" s="730"/>
      <c r="R3862" s="733" t="s">
        <v>1751</v>
      </c>
      <c r="S3862" s="734">
        <v>1</v>
      </c>
      <c r="T3862" s="734" t="s">
        <v>1786</v>
      </c>
      <c r="U3862" s="733">
        <v>45660</v>
      </c>
      <c r="V3862" s="89"/>
      <c r="W3862" s="89"/>
      <c r="X3862" s="89"/>
      <c r="AA3862" s="725" t="s">
        <v>1758</v>
      </c>
      <c r="AB3862" s="726">
        <v>0.29166666666666669</v>
      </c>
      <c r="AC3862" s="735">
        <v>5.0000000000000001E-3</v>
      </c>
      <c r="AD3862" s="728">
        <v>2E-3</v>
      </c>
      <c r="AE3862" s="729">
        <v>6.0000000000000001E-3</v>
      </c>
      <c r="AF3862" s="730"/>
    </row>
    <row r="3863" spans="4:32" ht="24">
      <c r="E3863" s="629">
        <v>45628</v>
      </c>
      <c r="F3863" s="204">
        <v>50.3</v>
      </c>
      <c r="G3863" s="204" t="s">
        <v>586</v>
      </c>
      <c r="H3863" s="204">
        <v>54.8</v>
      </c>
      <c r="I3863" s="995"/>
      <c r="J3863" s="996"/>
      <c r="K3863" s="997"/>
      <c r="L3863" s="99"/>
      <c r="M3863" s="100"/>
      <c r="N3863" s="736">
        <v>50.3</v>
      </c>
      <c r="O3863" s="722" t="s">
        <v>586</v>
      </c>
      <c r="P3863" s="732">
        <v>54.8</v>
      </c>
      <c r="Q3863" s="730"/>
      <c r="R3863" s="733" t="s">
        <v>1756</v>
      </c>
      <c r="S3863" s="734">
        <v>12</v>
      </c>
      <c r="T3863" s="734" t="s">
        <v>1795</v>
      </c>
      <c r="U3863" s="733">
        <v>45628</v>
      </c>
      <c r="V3863" s="89"/>
      <c r="W3863" s="89"/>
      <c r="X3863" s="89"/>
      <c r="AA3863" s="725" t="s">
        <v>1760</v>
      </c>
      <c r="AB3863" s="726">
        <v>0.29166666666666669</v>
      </c>
      <c r="AC3863" s="735">
        <v>6.0000000000000001E-3</v>
      </c>
      <c r="AD3863" s="728">
        <v>3.0000000000000001E-3</v>
      </c>
      <c r="AE3863" s="729">
        <v>1E-3</v>
      </c>
      <c r="AF3863" s="730"/>
    </row>
    <row r="3864" spans="4:32" ht="24">
      <c r="E3864" s="629">
        <v>45597</v>
      </c>
      <c r="F3864" s="204">
        <v>54.8</v>
      </c>
      <c r="G3864" s="204" t="s">
        <v>1173</v>
      </c>
      <c r="H3864" s="204">
        <v>48.3</v>
      </c>
      <c r="I3864" s="995"/>
      <c r="J3864" s="996"/>
      <c r="K3864" s="997"/>
      <c r="L3864" s="99"/>
      <c r="M3864" s="100"/>
      <c r="N3864" s="731">
        <v>54.8</v>
      </c>
      <c r="O3864" s="722" t="s">
        <v>1173</v>
      </c>
      <c r="P3864" s="732">
        <v>48.3</v>
      </c>
      <c r="Q3864" s="730"/>
      <c r="R3864" s="733" t="s">
        <v>1756</v>
      </c>
      <c r="S3864" s="734">
        <v>11</v>
      </c>
      <c r="T3864" s="734" t="s">
        <v>1752</v>
      </c>
      <c r="U3864" s="733">
        <v>45597</v>
      </c>
      <c r="V3864" s="89"/>
      <c r="W3864" s="89"/>
      <c r="X3864" s="89"/>
      <c r="AA3864" s="725" t="s">
        <v>1761</v>
      </c>
      <c r="AB3864" s="726">
        <v>0.29166666666666669</v>
      </c>
      <c r="AC3864" s="729">
        <v>1E-3</v>
      </c>
      <c r="AD3864" s="728">
        <v>1E-3</v>
      </c>
      <c r="AE3864" s="729">
        <v>-4.0000000000000001E-3</v>
      </c>
      <c r="AF3864" s="730"/>
    </row>
    <row r="3865" spans="4:32" ht="25" thickBot="1">
      <c r="E3865" s="629">
        <v>45566</v>
      </c>
      <c r="F3865" s="204">
        <v>48.3</v>
      </c>
      <c r="G3865" s="204" t="s">
        <v>902</v>
      </c>
      <c r="H3865" s="204">
        <v>54</v>
      </c>
      <c r="I3865" s="998"/>
      <c r="J3865" s="999"/>
      <c r="K3865" s="1000"/>
      <c r="L3865" s="102"/>
      <c r="M3865" s="103"/>
      <c r="N3865" s="736">
        <v>48.3</v>
      </c>
      <c r="O3865" s="722" t="s">
        <v>902</v>
      </c>
      <c r="P3865" s="732">
        <v>54</v>
      </c>
      <c r="R3865" s="733" t="s">
        <v>1756</v>
      </c>
      <c r="S3865" s="734">
        <v>10</v>
      </c>
      <c r="T3865" s="734" t="s">
        <v>1752</v>
      </c>
      <c r="U3865" s="733">
        <v>45566</v>
      </c>
      <c r="V3865" s="89"/>
      <c r="W3865" s="89"/>
      <c r="X3865" s="89"/>
      <c r="AA3865" s="725"/>
      <c r="AB3865" s="726"/>
      <c r="AC3865" s="737"/>
      <c r="AD3865" s="722"/>
      <c r="AE3865" s="732"/>
    </row>
    <row r="3866" spans="4:32" ht="25" customHeight="1" thickBot="1">
      <c r="D3866">
        <v>1</v>
      </c>
      <c r="E3866" s="624" t="s">
        <v>30</v>
      </c>
      <c r="F3866" s="1057" t="s">
        <v>1722</v>
      </c>
      <c r="G3866" s="1058"/>
      <c r="H3866" s="1059"/>
      <c r="I3866" s="1060" t="s">
        <v>633</v>
      </c>
      <c r="J3866" s="1061"/>
      <c r="K3866" s="1062"/>
      <c r="L3866" s="158" t="s">
        <v>430</v>
      </c>
      <c r="M3866" s="105" t="s">
        <v>431</v>
      </c>
      <c r="N3866" s="33"/>
      <c r="O3866" s="33"/>
      <c r="P3866" s="33"/>
      <c r="Q3866" s="33"/>
      <c r="R3866" s="33"/>
      <c r="S3866" s="33"/>
      <c r="T3866" s="33"/>
      <c r="U3866" s="33"/>
    </row>
    <row r="3867" spans="4:32" ht="24" customHeight="1">
      <c r="E3867" s="625" t="s">
        <v>432</v>
      </c>
      <c r="F3867" s="992"/>
      <c r="G3867" s="993"/>
      <c r="H3867" s="994"/>
      <c r="I3867" s="995" t="s">
        <v>1724</v>
      </c>
      <c r="J3867" s="996"/>
      <c r="K3867" s="997"/>
      <c r="L3867" s="99"/>
      <c r="M3867" s="100"/>
      <c r="N3867" s="33"/>
      <c r="O3867" s="33"/>
      <c r="P3867" s="33"/>
      <c r="Q3867" s="33"/>
      <c r="R3867" s="33"/>
      <c r="S3867" s="33"/>
      <c r="T3867" s="33"/>
      <c r="U3867" s="33"/>
    </row>
    <row r="3868" spans="4:32" ht="24">
      <c r="E3868" s="626" t="s">
        <v>433</v>
      </c>
      <c r="F3868" s="1001" t="s">
        <v>1090</v>
      </c>
      <c r="G3868" s="1002"/>
      <c r="H3868" s="1003"/>
      <c r="I3868" s="995"/>
      <c r="J3868" s="996"/>
      <c r="K3868" s="997"/>
      <c r="L3868" s="99"/>
      <c r="M3868" s="100"/>
      <c r="N3868" s="33"/>
      <c r="O3868" s="33"/>
      <c r="P3868" s="33"/>
      <c r="Q3868" s="33"/>
      <c r="R3868" s="33"/>
      <c r="S3868" s="33"/>
      <c r="T3868" s="33"/>
      <c r="U3868" s="33"/>
    </row>
    <row r="3869" spans="4:32" ht="25" thickBot="1">
      <c r="E3869" s="626" t="s">
        <v>434</v>
      </c>
      <c r="F3869" s="1093" t="s">
        <v>1723</v>
      </c>
      <c r="G3869" s="1094"/>
      <c r="H3869" s="1095"/>
      <c r="I3869" s="995"/>
      <c r="J3869" s="996"/>
      <c r="K3869" s="997"/>
      <c r="L3869" s="99"/>
      <c r="M3869" s="100"/>
      <c r="N3869" s="33"/>
      <c r="O3869" s="33"/>
      <c r="P3869" s="33"/>
      <c r="Q3869" s="33"/>
      <c r="R3869" s="33"/>
      <c r="S3869" s="33"/>
      <c r="T3869" s="33"/>
      <c r="U3869" s="33"/>
    </row>
    <row r="3870" spans="4:32" ht="25" thickBot="1">
      <c r="E3870" s="627" t="s">
        <v>435</v>
      </c>
      <c r="F3870" s="1007">
        <v>0.58333333333333337</v>
      </c>
      <c r="G3870" s="1008"/>
      <c r="H3870" s="1009"/>
      <c r="I3870" s="995"/>
      <c r="J3870" s="996"/>
      <c r="K3870" s="997"/>
      <c r="L3870" s="647">
        <v>0.8125</v>
      </c>
      <c r="M3870" s="648">
        <v>0.70833333333333337</v>
      </c>
      <c r="N3870" s="33"/>
      <c r="O3870" s="33"/>
      <c r="P3870" s="33"/>
      <c r="Q3870" s="33"/>
      <c r="R3870" s="33"/>
      <c r="S3870" s="33"/>
      <c r="T3870" s="33"/>
      <c r="U3870" s="33"/>
    </row>
    <row r="3871" spans="4:32" ht="25" thickBot="1">
      <c r="E3871" s="628" t="s">
        <v>436</v>
      </c>
      <c r="F3871" s="200" t="s">
        <v>29</v>
      </c>
      <c r="G3871" s="200" t="s">
        <v>28</v>
      </c>
      <c r="H3871" s="201" t="s">
        <v>27</v>
      </c>
      <c r="I3871" s="995"/>
      <c r="J3871" s="996"/>
      <c r="K3871" s="997"/>
      <c r="L3871" s="99"/>
      <c r="M3871" s="100"/>
      <c r="N3871" s="722" t="s">
        <v>29</v>
      </c>
      <c r="O3871" s="722" t="s">
        <v>28</v>
      </c>
      <c r="P3871" s="722" t="s">
        <v>27</v>
      </c>
      <c r="R3871" s="723" t="s">
        <v>1748</v>
      </c>
      <c r="S3871" s="724" t="s">
        <v>1749</v>
      </c>
      <c r="T3871" s="724" t="s">
        <v>34</v>
      </c>
      <c r="U3871" s="724" t="s">
        <v>35</v>
      </c>
      <c r="V3871" s="89"/>
      <c r="W3871" s="89"/>
      <c r="X3871" s="89"/>
      <c r="AA3871" s="725" t="s">
        <v>1750</v>
      </c>
      <c r="AB3871" s="726">
        <v>0.25</v>
      </c>
      <c r="AC3871" s="727">
        <v>1E-3</v>
      </c>
      <c r="AD3871" s="728">
        <v>3.0000000000000001E-3</v>
      </c>
      <c r="AE3871" s="729">
        <v>7.0000000000000001E-3</v>
      </c>
      <c r="AF3871" s="730"/>
    </row>
    <row r="3872" spans="4:32" ht="24">
      <c r="E3872" s="629">
        <v>45727</v>
      </c>
      <c r="F3872" s="632" t="s">
        <v>1798</v>
      </c>
      <c r="G3872" s="632" t="s">
        <v>1799</v>
      </c>
      <c r="H3872" s="632" t="s">
        <v>1800</v>
      </c>
      <c r="I3872" s="995"/>
      <c r="J3872" s="996"/>
      <c r="K3872" s="997"/>
      <c r="L3872" s="99"/>
      <c r="M3872" s="100"/>
      <c r="N3872" s="731" t="s">
        <v>1723</v>
      </c>
      <c r="O3872" s="722" t="s">
        <v>1801</v>
      </c>
      <c r="P3872" s="736" t="s">
        <v>1802</v>
      </c>
      <c r="Q3872" s="730"/>
      <c r="R3872" s="733" t="s">
        <v>1751</v>
      </c>
      <c r="S3872" s="734">
        <v>3</v>
      </c>
      <c r="T3872" s="734" t="s">
        <v>1803</v>
      </c>
      <c r="U3872" s="733">
        <v>45727</v>
      </c>
      <c r="V3872" s="89"/>
      <c r="W3872" s="32" t="s">
        <v>1798</v>
      </c>
      <c r="X3872" s="32" t="s">
        <v>1799</v>
      </c>
      <c r="Y3872" s="32" t="s">
        <v>1800</v>
      </c>
      <c r="AA3872" s="725" t="s">
        <v>1753</v>
      </c>
      <c r="AB3872" s="726">
        <v>0.29166666666666669</v>
      </c>
      <c r="AC3872" s="735">
        <v>7.0000000000000001E-3</v>
      </c>
      <c r="AD3872" s="728">
        <v>4.0000000000000001E-3</v>
      </c>
      <c r="AE3872" s="735">
        <v>1E-3</v>
      </c>
      <c r="AF3872" s="730"/>
    </row>
    <row r="3873" spans="4:32" ht="24">
      <c r="E3873" s="629">
        <v>45692</v>
      </c>
      <c r="F3873" s="632" t="s">
        <v>1804</v>
      </c>
      <c r="G3873" s="632" t="s">
        <v>1805</v>
      </c>
      <c r="H3873" s="632" t="s">
        <v>1806</v>
      </c>
      <c r="I3873" s="995"/>
      <c r="J3873" s="996"/>
      <c r="K3873" s="997"/>
      <c r="L3873" s="99"/>
      <c r="M3873" s="100"/>
      <c r="N3873" s="736" t="s">
        <v>1807</v>
      </c>
      <c r="O3873" s="722" t="s">
        <v>1808</v>
      </c>
      <c r="P3873" s="731" t="s">
        <v>1809</v>
      </c>
      <c r="Q3873" s="730"/>
      <c r="R3873" s="733" t="s">
        <v>1751</v>
      </c>
      <c r="S3873" s="734">
        <v>2</v>
      </c>
      <c r="T3873" s="734" t="s">
        <v>1810</v>
      </c>
      <c r="U3873" s="733">
        <v>45692</v>
      </c>
      <c r="V3873" s="89"/>
      <c r="W3873" s="32" t="s">
        <v>1804</v>
      </c>
      <c r="X3873" s="32" t="s">
        <v>1805</v>
      </c>
      <c r="Y3873" s="32" t="s">
        <v>1806</v>
      </c>
      <c r="AA3873" s="725" t="s">
        <v>1755</v>
      </c>
      <c r="AB3873" s="726">
        <v>0.29166666666666669</v>
      </c>
      <c r="AC3873" s="727">
        <v>0</v>
      </c>
      <c r="AD3873" s="728">
        <v>3.0000000000000001E-3</v>
      </c>
      <c r="AE3873" s="729">
        <v>5.0000000000000001E-3</v>
      </c>
      <c r="AF3873" s="730"/>
    </row>
    <row r="3874" spans="4:32" ht="24">
      <c r="E3874" s="629">
        <v>45664</v>
      </c>
      <c r="F3874" s="632" t="s">
        <v>1811</v>
      </c>
      <c r="G3874" s="632" t="s">
        <v>1812</v>
      </c>
      <c r="H3874" s="632" t="s">
        <v>1813</v>
      </c>
      <c r="I3874" s="995"/>
      <c r="J3874" s="996"/>
      <c r="K3874" s="997"/>
      <c r="L3874" s="649"/>
      <c r="M3874" s="100"/>
      <c r="N3874" s="731" t="s">
        <v>1814</v>
      </c>
      <c r="O3874" s="722" t="s">
        <v>1815</v>
      </c>
      <c r="P3874" s="731" t="s">
        <v>1816</v>
      </c>
      <c r="Q3874" s="730"/>
      <c r="R3874" s="733" t="s">
        <v>1751</v>
      </c>
      <c r="S3874" s="734">
        <v>1</v>
      </c>
      <c r="T3874" s="734" t="s">
        <v>1788</v>
      </c>
      <c r="U3874" s="733">
        <v>45664</v>
      </c>
      <c r="V3874" s="89"/>
      <c r="W3874" s="32" t="s">
        <v>1811</v>
      </c>
      <c r="X3874" s="32" t="s">
        <v>1812</v>
      </c>
      <c r="Y3874" s="32" t="s">
        <v>1813</v>
      </c>
      <c r="AA3874" s="725" t="s">
        <v>1758</v>
      </c>
      <c r="AB3874" s="726">
        <v>0.29166666666666669</v>
      </c>
      <c r="AC3874" s="735">
        <v>5.0000000000000001E-3</v>
      </c>
      <c r="AD3874" s="728">
        <v>2E-3</v>
      </c>
      <c r="AE3874" s="729">
        <v>6.0000000000000001E-3</v>
      </c>
      <c r="AF3874" s="730"/>
    </row>
    <row r="3875" spans="4:32" ht="24">
      <c r="E3875" s="629">
        <v>45629</v>
      </c>
      <c r="F3875" s="632" t="s">
        <v>1385</v>
      </c>
      <c r="G3875" s="632" t="s">
        <v>1386</v>
      </c>
      <c r="H3875" s="632" t="s">
        <v>1387</v>
      </c>
      <c r="I3875" s="995"/>
      <c r="J3875" s="996"/>
      <c r="K3875" s="997"/>
      <c r="L3875" s="99"/>
      <c r="M3875" s="100"/>
      <c r="N3875" s="731" t="s">
        <v>1361</v>
      </c>
      <c r="O3875" s="722" t="s">
        <v>1817</v>
      </c>
      <c r="P3875" s="736" t="s">
        <v>1818</v>
      </c>
      <c r="Q3875" s="730"/>
      <c r="R3875" s="733" t="s">
        <v>1756</v>
      </c>
      <c r="S3875" s="734">
        <v>12</v>
      </c>
      <c r="T3875" s="734" t="s">
        <v>1786</v>
      </c>
      <c r="U3875" s="733">
        <v>45629</v>
      </c>
      <c r="V3875" s="89"/>
      <c r="W3875" s="32" t="s">
        <v>1385</v>
      </c>
      <c r="X3875" s="32" t="s">
        <v>1386</v>
      </c>
      <c r="Y3875" s="32" t="s">
        <v>1387</v>
      </c>
      <c r="AA3875" s="725" t="s">
        <v>1760</v>
      </c>
      <c r="AB3875" s="726">
        <v>0.29166666666666669</v>
      </c>
      <c r="AC3875" s="735">
        <v>6.0000000000000001E-3</v>
      </c>
      <c r="AD3875" s="728">
        <v>3.0000000000000001E-3</v>
      </c>
      <c r="AE3875" s="729">
        <v>1E-3</v>
      </c>
      <c r="AF3875" s="730"/>
    </row>
    <row r="3876" spans="4:32" ht="24">
      <c r="E3876" s="629">
        <v>45594</v>
      </c>
      <c r="F3876" s="632" t="s">
        <v>1174</v>
      </c>
      <c r="G3876" s="632" t="s">
        <v>1175</v>
      </c>
      <c r="H3876" s="632" t="s">
        <v>1176</v>
      </c>
      <c r="I3876" s="995"/>
      <c r="J3876" s="996"/>
      <c r="K3876" s="997"/>
      <c r="L3876" s="99"/>
      <c r="M3876" s="100"/>
      <c r="N3876" s="736" t="s">
        <v>1819</v>
      </c>
      <c r="O3876" s="722" t="s">
        <v>1820</v>
      </c>
      <c r="P3876" s="736" t="s">
        <v>1821</v>
      </c>
      <c r="Q3876" s="730"/>
      <c r="R3876" s="733" t="s">
        <v>1756</v>
      </c>
      <c r="S3876" s="734">
        <v>10</v>
      </c>
      <c r="T3876" s="734" t="s">
        <v>1779</v>
      </c>
      <c r="U3876" s="733">
        <v>45594</v>
      </c>
      <c r="V3876" s="89"/>
      <c r="W3876" s="32" t="s">
        <v>1174</v>
      </c>
      <c r="X3876" s="32" t="s">
        <v>1175</v>
      </c>
      <c r="Y3876" s="32" t="s">
        <v>1176</v>
      </c>
      <c r="AA3876" s="725" t="s">
        <v>1761</v>
      </c>
      <c r="AB3876" s="726">
        <v>0.29166666666666669</v>
      </c>
      <c r="AC3876" s="729">
        <v>1E-3</v>
      </c>
      <c r="AD3876" s="728">
        <v>1E-3</v>
      </c>
      <c r="AE3876" s="729">
        <v>-4.0000000000000001E-3</v>
      </c>
      <c r="AF3876" s="730"/>
    </row>
    <row r="3877" spans="4:32" ht="25" thickBot="1">
      <c r="E3877" s="629">
        <v>45566</v>
      </c>
      <c r="F3877" s="632" t="s">
        <v>1177</v>
      </c>
      <c r="G3877" s="632" t="s">
        <v>1178</v>
      </c>
      <c r="H3877" s="632" t="s">
        <v>1179</v>
      </c>
      <c r="I3877" s="998"/>
      <c r="J3877" s="999"/>
      <c r="K3877" s="1000"/>
      <c r="L3877" s="102"/>
      <c r="M3877" s="103"/>
      <c r="N3877" s="731" t="s">
        <v>634</v>
      </c>
      <c r="O3877" s="722" t="s">
        <v>880</v>
      </c>
      <c r="P3877" s="731" t="s">
        <v>881</v>
      </c>
      <c r="R3877" s="733" t="s">
        <v>1756</v>
      </c>
      <c r="S3877" s="734">
        <v>10</v>
      </c>
      <c r="T3877" s="734" t="s">
        <v>1752</v>
      </c>
      <c r="U3877" s="733">
        <v>45566</v>
      </c>
      <c r="V3877" s="89"/>
      <c r="W3877" s="32" t="s">
        <v>1177</v>
      </c>
      <c r="X3877" s="32" t="s">
        <v>1178</v>
      </c>
      <c r="Y3877" s="32" t="s">
        <v>1179</v>
      </c>
      <c r="AA3877" s="725"/>
      <c r="AB3877" s="726"/>
      <c r="AC3877" s="737"/>
      <c r="AD3877" s="722"/>
      <c r="AE3877" s="732"/>
    </row>
    <row r="3878" spans="4:32" ht="25" customHeight="1" thickBot="1">
      <c r="D3878">
        <v>1</v>
      </c>
      <c r="E3878" s="624" t="s">
        <v>30</v>
      </c>
      <c r="F3878" s="1057" t="s">
        <v>1725</v>
      </c>
      <c r="G3878" s="1058"/>
      <c r="H3878" s="1059"/>
      <c r="I3878" s="1060" t="s">
        <v>633</v>
      </c>
      <c r="J3878" s="1061"/>
      <c r="K3878" s="1062"/>
      <c r="L3878" s="158" t="s">
        <v>430</v>
      </c>
      <c r="M3878" s="105" t="s">
        <v>431</v>
      </c>
      <c r="N3878" s="33"/>
      <c r="O3878" s="33"/>
      <c r="P3878" s="33"/>
      <c r="Q3878" s="33"/>
      <c r="R3878" s="33"/>
      <c r="S3878" s="33"/>
      <c r="T3878" s="33"/>
      <c r="U3878" s="33"/>
    </row>
    <row r="3879" spans="4:32" ht="24" customHeight="1">
      <c r="E3879" s="625" t="s">
        <v>432</v>
      </c>
      <c r="F3879" s="992"/>
      <c r="G3879" s="993"/>
      <c r="H3879" s="994"/>
      <c r="I3879" s="995" t="s">
        <v>1727</v>
      </c>
      <c r="J3879" s="996"/>
      <c r="K3879" s="997"/>
      <c r="L3879" s="99"/>
      <c r="M3879" s="100"/>
      <c r="N3879" s="33"/>
      <c r="O3879" s="33"/>
      <c r="P3879" s="33"/>
      <c r="Q3879" s="33"/>
      <c r="R3879" s="33"/>
      <c r="S3879" s="33"/>
      <c r="T3879" s="33"/>
      <c r="U3879" s="33"/>
    </row>
    <row r="3880" spans="4:32" ht="24">
      <c r="E3880" s="626" t="s">
        <v>433</v>
      </c>
      <c r="F3880" s="1072"/>
      <c r="G3880" s="1073"/>
      <c r="H3880" s="1074"/>
      <c r="I3880" s="995"/>
      <c r="J3880" s="996"/>
      <c r="K3880" s="997"/>
      <c r="L3880" s="99"/>
      <c r="M3880" s="100"/>
      <c r="N3880" s="33"/>
      <c r="O3880" s="33"/>
      <c r="P3880" s="33"/>
      <c r="Q3880" s="33"/>
      <c r="R3880" s="33"/>
      <c r="S3880" s="33"/>
      <c r="T3880" s="33"/>
      <c r="U3880" s="33"/>
    </row>
    <row r="3881" spans="4:32" ht="25" thickBot="1">
      <c r="E3881" s="626" t="s">
        <v>434</v>
      </c>
      <c r="F3881" s="1096" t="s">
        <v>1726</v>
      </c>
      <c r="G3881" s="1097"/>
      <c r="H3881" s="1098"/>
      <c r="I3881" s="995"/>
      <c r="J3881" s="996"/>
      <c r="K3881" s="997"/>
      <c r="L3881" s="99"/>
      <c r="M3881" s="100"/>
      <c r="N3881" s="33"/>
      <c r="O3881" s="33"/>
      <c r="P3881" s="33"/>
      <c r="Q3881" s="33"/>
      <c r="R3881" s="33"/>
      <c r="S3881" s="33"/>
      <c r="T3881" s="33"/>
      <c r="U3881" s="33"/>
    </row>
    <row r="3882" spans="4:32" ht="25" thickBot="1">
      <c r="E3882" s="627" t="s">
        <v>435</v>
      </c>
      <c r="F3882" s="1007">
        <v>0.51041666666666674</v>
      </c>
      <c r="G3882" s="1008"/>
      <c r="H3882" s="1009"/>
      <c r="I3882" s="995"/>
      <c r="J3882" s="996"/>
      <c r="K3882" s="997"/>
      <c r="L3882" s="647">
        <v>0.73958333333333337</v>
      </c>
      <c r="M3882" s="648">
        <v>0.63541666666666674</v>
      </c>
      <c r="N3882" s="33"/>
      <c r="O3882" s="33"/>
      <c r="P3882" s="33"/>
      <c r="Q3882" s="33"/>
      <c r="R3882" s="33"/>
      <c r="S3882" s="33"/>
      <c r="T3882" s="33"/>
      <c r="U3882" s="33"/>
    </row>
    <row r="3883" spans="4:32" ht="25" thickBot="1">
      <c r="E3883" s="628" t="s">
        <v>436</v>
      </c>
      <c r="F3883" s="200" t="s">
        <v>29</v>
      </c>
      <c r="G3883" s="200" t="s">
        <v>28</v>
      </c>
      <c r="H3883" s="201" t="s">
        <v>27</v>
      </c>
      <c r="I3883" s="995"/>
      <c r="J3883" s="996"/>
      <c r="K3883" s="997"/>
      <c r="L3883" s="99"/>
      <c r="M3883" s="100"/>
      <c r="N3883" s="722" t="s">
        <v>29</v>
      </c>
      <c r="O3883" s="722" t="s">
        <v>28</v>
      </c>
      <c r="P3883" s="722" t="s">
        <v>27</v>
      </c>
      <c r="R3883" s="723" t="s">
        <v>1748</v>
      </c>
      <c r="S3883" s="724" t="s">
        <v>1749</v>
      </c>
      <c r="T3883" s="724" t="s">
        <v>34</v>
      </c>
      <c r="U3883" s="724" t="s">
        <v>35</v>
      </c>
      <c r="V3883" s="89"/>
      <c r="W3883" s="32" t="s">
        <v>1822</v>
      </c>
      <c r="X3883" s="32" t="s">
        <v>1823</v>
      </c>
      <c r="Y3883" s="32" t="s">
        <v>1824</v>
      </c>
      <c r="AA3883" s="725" t="s">
        <v>1750</v>
      </c>
      <c r="AB3883" s="726">
        <v>0.25</v>
      </c>
      <c r="AC3883" s="727">
        <v>1E-3</v>
      </c>
      <c r="AD3883" s="728">
        <v>3.0000000000000001E-3</v>
      </c>
      <c r="AE3883" s="729">
        <v>7.0000000000000001E-3</v>
      </c>
      <c r="AF3883" s="730"/>
    </row>
    <row r="3884" spans="4:32" ht="24">
      <c r="E3884" s="629">
        <v>45721</v>
      </c>
      <c r="F3884" s="202" t="s">
        <v>1825</v>
      </c>
      <c r="G3884" s="202" t="s">
        <v>1826</v>
      </c>
      <c r="H3884" s="202" t="s">
        <v>1827</v>
      </c>
      <c r="I3884" s="995"/>
      <c r="J3884" s="996"/>
      <c r="K3884" s="997"/>
      <c r="L3884" s="99"/>
      <c r="M3884" s="100"/>
      <c r="N3884" s="736" t="s">
        <v>1726</v>
      </c>
      <c r="O3884" s="722" t="s">
        <v>1828</v>
      </c>
      <c r="P3884" s="731" t="s">
        <v>1829</v>
      </c>
      <c r="Q3884" s="730"/>
      <c r="R3884" s="733" t="s">
        <v>1751</v>
      </c>
      <c r="S3884" s="734">
        <v>3</v>
      </c>
      <c r="T3884" s="734" t="s">
        <v>1783</v>
      </c>
      <c r="U3884" s="733">
        <v>45721</v>
      </c>
      <c r="V3884" s="89"/>
      <c r="W3884" s="32" t="s">
        <v>1825</v>
      </c>
      <c r="X3884" s="32" t="s">
        <v>1826</v>
      </c>
      <c r="Y3884" s="32" t="s">
        <v>1827</v>
      </c>
      <c r="AA3884" s="725" t="s">
        <v>1753</v>
      </c>
      <c r="AB3884" s="726">
        <v>0.29166666666666669</v>
      </c>
      <c r="AC3884" s="735">
        <v>7.0000000000000001E-3</v>
      </c>
      <c r="AD3884" s="728">
        <v>4.0000000000000001E-3</v>
      </c>
      <c r="AE3884" s="735">
        <v>1E-3</v>
      </c>
      <c r="AF3884" s="730"/>
    </row>
    <row r="3885" spans="4:32" ht="24">
      <c r="E3885" s="629">
        <v>45693</v>
      </c>
      <c r="F3885" s="202" t="s">
        <v>1830</v>
      </c>
      <c r="G3885" s="202" t="s">
        <v>1831</v>
      </c>
      <c r="H3885" s="202" t="s">
        <v>1239</v>
      </c>
      <c r="I3885" s="995"/>
      <c r="J3885" s="996"/>
      <c r="K3885" s="997"/>
      <c r="L3885" s="99"/>
      <c r="M3885" s="100"/>
      <c r="N3885" s="731" t="s">
        <v>1832</v>
      </c>
      <c r="O3885" s="722" t="s">
        <v>560</v>
      </c>
      <c r="P3885" s="731" t="s">
        <v>1833</v>
      </c>
      <c r="Q3885" s="730"/>
      <c r="R3885" s="733" t="s">
        <v>1751</v>
      </c>
      <c r="S3885" s="734">
        <v>2</v>
      </c>
      <c r="T3885" s="734" t="s">
        <v>1783</v>
      </c>
      <c r="U3885" s="733">
        <v>45693</v>
      </c>
      <c r="V3885" s="89"/>
      <c r="W3885" s="32" t="s">
        <v>1830</v>
      </c>
      <c r="X3885" s="32" t="s">
        <v>1831</v>
      </c>
      <c r="Y3885" s="32" t="s">
        <v>1239</v>
      </c>
      <c r="AA3885" s="725" t="s">
        <v>1755</v>
      </c>
      <c r="AB3885" s="726">
        <v>0.29166666666666669</v>
      </c>
      <c r="AC3885" s="727">
        <v>0</v>
      </c>
      <c r="AD3885" s="728">
        <v>3.0000000000000001E-3</v>
      </c>
      <c r="AE3885" s="729">
        <v>5.0000000000000001E-3</v>
      </c>
      <c r="AF3885" s="730"/>
    </row>
    <row r="3886" spans="4:32" ht="24">
      <c r="E3886" s="629">
        <v>45665</v>
      </c>
      <c r="F3886" s="202" t="s">
        <v>1201</v>
      </c>
      <c r="G3886" s="202" t="s">
        <v>1834</v>
      </c>
      <c r="H3886" s="202" t="s">
        <v>1388</v>
      </c>
      <c r="I3886" s="995"/>
      <c r="J3886" s="996"/>
      <c r="K3886" s="997"/>
      <c r="L3886" s="649"/>
      <c r="M3886" s="100"/>
      <c r="N3886" s="736" t="s">
        <v>282</v>
      </c>
      <c r="O3886" s="722" t="s">
        <v>1835</v>
      </c>
      <c r="P3886" s="732" t="s">
        <v>1365</v>
      </c>
      <c r="Q3886" s="730"/>
      <c r="R3886" s="733" t="s">
        <v>1751</v>
      </c>
      <c r="S3886" s="734">
        <v>1</v>
      </c>
      <c r="T3886" s="734" t="s">
        <v>1836</v>
      </c>
      <c r="U3886" s="733">
        <v>45665</v>
      </c>
      <c r="V3886" s="89"/>
      <c r="W3886" s="32" t="s">
        <v>1201</v>
      </c>
      <c r="X3886" s="32" t="s">
        <v>1834</v>
      </c>
      <c r="Y3886" s="32" t="s">
        <v>1388</v>
      </c>
      <c r="AA3886" s="725" t="s">
        <v>1758</v>
      </c>
      <c r="AB3886" s="726">
        <v>0.29166666666666669</v>
      </c>
      <c r="AC3886" s="735">
        <v>5.0000000000000001E-3</v>
      </c>
      <c r="AD3886" s="728">
        <v>2E-3</v>
      </c>
      <c r="AE3886" s="729">
        <v>6.0000000000000001E-3</v>
      </c>
      <c r="AF3886" s="730"/>
    </row>
    <row r="3887" spans="4:32" ht="24">
      <c r="E3887" s="629">
        <v>45630</v>
      </c>
      <c r="F3887" s="202" t="s">
        <v>1388</v>
      </c>
      <c r="G3887" s="202" t="s">
        <v>1389</v>
      </c>
      <c r="H3887" s="202" t="s">
        <v>1390</v>
      </c>
      <c r="I3887" s="995"/>
      <c r="J3887" s="996"/>
      <c r="K3887" s="997"/>
      <c r="L3887" s="99"/>
      <c r="M3887" s="100"/>
      <c r="N3887" s="736" t="s">
        <v>1365</v>
      </c>
      <c r="O3887" s="722" t="s">
        <v>1838</v>
      </c>
      <c r="P3887" s="736" t="s">
        <v>559</v>
      </c>
      <c r="Q3887" s="730"/>
      <c r="R3887" s="733" t="s">
        <v>1756</v>
      </c>
      <c r="S3887" s="734">
        <v>12</v>
      </c>
      <c r="T3887" s="734" t="s">
        <v>1810</v>
      </c>
      <c r="U3887" s="733">
        <v>45630</v>
      </c>
      <c r="V3887" s="89"/>
      <c r="W3887" s="32" t="s">
        <v>1388</v>
      </c>
      <c r="X3887" s="32" t="s">
        <v>1389</v>
      </c>
      <c r="Y3887" s="32" t="s">
        <v>1390</v>
      </c>
      <c r="AA3887" s="725" t="s">
        <v>1760</v>
      </c>
      <c r="AB3887" s="726">
        <v>0.29166666666666669</v>
      </c>
      <c r="AC3887" s="735">
        <v>6.0000000000000001E-3</v>
      </c>
      <c r="AD3887" s="728">
        <v>3.0000000000000001E-3</v>
      </c>
      <c r="AE3887" s="729">
        <v>1E-3</v>
      </c>
      <c r="AF3887" s="730"/>
    </row>
    <row r="3888" spans="4:32" ht="24">
      <c r="E3888" s="629">
        <v>45595</v>
      </c>
      <c r="F3888" s="202" t="s">
        <v>1192</v>
      </c>
      <c r="G3888" s="202" t="s">
        <v>1193</v>
      </c>
      <c r="H3888" s="202" t="s">
        <v>1194</v>
      </c>
      <c r="I3888" s="995"/>
      <c r="J3888" s="996"/>
      <c r="K3888" s="997"/>
      <c r="L3888" s="99"/>
      <c r="M3888" s="100"/>
      <c r="N3888" s="731" t="s">
        <v>13</v>
      </c>
      <c r="O3888" s="722" t="s">
        <v>1839</v>
      </c>
      <c r="P3888" s="731" t="s">
        <v>900</v>
      </c>
      <c r="Q3888" s="730"/>
      <c r="R3888" s="733" t="s">
        <v>1756</v>
      </c>
      <c r="S3888" s="734">
        <v>10</v>
      </c>
      <c r="T3888" s="734" t="s">
        <v>1759</v>
      </c>
      <c r="U3888" s="733">
        <v>45595</v>
      </c>
      <c r="V3888" s="89"/>
      <c r="W3888" s="32" t="s">
        <v>1192</v>
      </c>
      <c r="X3888" s="32" t="s">
        <v>1193</v>
      </c>
      <c r="Y3888" s="32" t="s">
        <v>1194</v>
      </c>
      <c r="AA3888" s="725" t="s">
        <v>1761</v>
      </c>
      <c r="AB3888" s="726">
        <v>0.29166666666666669</v>
      </c>
      <c r="AC3888" s="729">
        <v>1E-3</v>
      </c>
      <c r="AD3888" s="728">
        <v>1E-3</v>
      </c>
      <c r="AE3888" s="729">
        <v>-4.0000000000000001E-3</v>
      </c>
      <c r="AF3888" s="730"/>
    </row>
    <row r="3889" spans="4:32" ht="25" thickBot="1">
      <c r="E3889" s="629">
        <v>45567</v>
      </c>
      <c r="F3889" s="202" t="s">
        <v>1195</v>
      </c>
      <c r="G3889" s="202" t="s">
        <v>1196</v>
      </c>
      <c r="H3889" s="202" t="s">
        <v>1197</v>
      </c>
      <c r="I3889" s="998"/>
      <c r="J3889" s="999"/>
      <c r="K3889" s="1000"/>
      <c r="L3889" s="102"/>
      <c r="M3889" s="103"/>
      <c r="N3889" s="731" t="s">
        <v>635</v>
      </c>
      <c r="O3889" s="722" t="s">
        <v>887</v>
      </c>
      <c r="P3889" s="731" t="s">
        <v>888</v>
      </c>
      <c r="R3889" s="733" t="s">
        <v>1756</v>
      </c>
      <c r="S3889" s="734">
        <v>10</v>
      </c>
      <c r="T3889" s="734" t="s">
        <v>1795</v>
      </c>
      <c r="U3889" s="733">
        <v>45567</v>
      </c>
      <c r="V3889" s="89"/>
      <c r="W3889" s="32" t="s">
        <v>1195</v>
      </c>
      <c r="X3889" s="32" t="s">
        <v>1196</v>
      </c>
      <c r="Y3889" s="32" t="s">
        <v>1197</v>
      </c>
      <c r="AA3889" s="725"/>
      <c r="AB3889" s="726"/>
      <c r="AC3889" s="737"/>
      <c r="AD3889" s="722"/>
      <c r="AE3889" s="732"/>
    </row>
    <row r="3890" spans="4:32" ht="25" customHeight="1" thickBot="1">
      <c r="D3890">
        <v>1</v>
      </c>
      <c r="E3890" s="628" t="s">
        <v>30</v>
      </c>
      <c r="F3890" s="986" t="s">
        <v>1503</v>
      </c>
      <c r="G3890" s="987"/>
      <c r="H3890" s="988"/>
      <c r="I3890" s="989" t="s">
        <v>633</v>
      </c>
      <c r="J3890" s="990"/>
      <c r="K3890" s="991"/>
      <c r="L3890" s="158" t="s">
        <v>430</v>
      </c>
      <c r="M3890" s="105" t="s">
        <v>431</v>
      </c>
      <c r="N3890" s="33"/>
      <c r="O3890" s="33"/>
      <c r="P3890" s="33"/>
      <c r="Q3890" s="33"/>
      <c r="R3890" s="33"/>
      <c r="S3890" s="33"/>
      <c r="T3890" s="33"/>
      <c r="U3890" s="33"/>
    </row>
    <row r="3891" spans="4:32" ht="24" customHeight="1">
      <c r="E3891" s="625" t="s">
        <v>432</v>
      </c>
      <c r="F3891" s="992"/>
      <c r="G3891" s="993"/>
      <c r="H3891" s="994"/>
      <c r="I3891" s="995" t="s">
        <v>1727</v>
      </c>
      <c r="J3891" s="996"/>
      <c r="K3891" s="997"/>
      <c r="L3891" s="99"/>
      <c r="M3891" s="100"/>
      <c r="N3891" s="33"/>
      <c r="O3891" s="33"/>
      <c r="P3891" s="33"/>
      <c r="Q3891" s="33"/>
      <c r="R3891" s="33"/>
      <c r="S3891" s="33"/>
      <c r="T3891" s="33"/>
      <c r="U3891" s="33"/>
    </row>
    <row r="3892" spans="4:32" ht="24">
      <c r="E3892" s="626" t="s">
        <v>433</v>
      </c>
      <c r="F3892" s="1001"/>
      <c r="G3892" s="1002"/>
      <c r="H3892" s="1003"/>
      <c r="I3892" s="995"/>
      <c r="J3892" s="996"/>
      <c r="K3892" s="997"/>
      <c r="L3892" s="99"/>
      <c r="M3892" s="100"/>
      <c r="N3892" s="33"/>
      <c r="O3892" s="33"/>
      <c r="P3892" s="33"/>
      <c r="Q3892" s="33"/>
      <c r="R3892" s="33"/>
      <c r="S3892" s="33"/>
      <c r="T3892" s="33"/>
      <c r="U3892" s="33"/>
    </row>
    <row r="3893" spans="4:32" ht="25" thickBot="1">
      <c r="E3893" s="626" t="s">
        <v>434</v>
      </c>
      <c r="F3893" s="1093" t="s">
        <v>1728</v>
      </c>
      <c r="G3893" s="1094"/>
      <c r="H3893" s="1095"/>
      <c r="I3893" s="995"/>
      <c r="J3893" s="996"/>
      <c r="K3893" s="997"/>
      <c r="L3893" s="99"/>
      <c r="M3893" s="100"/>
      <c r="N3893" s="33"/>
      <c r="O3893" s="33"/>
      <c r="P3893" s="33"/>
      <c r="Q3893" s="33"/>
      <c r="R3893" s="33"/>
      <c r="S3893" s="33"/>
      <c r="T3893" s="33"/>
      <c r="U3893" s="33"/>
    </row>
    <row r="3894" spans="4:32" ht="25" thickBot="1">
      <c r="E3894" s="627" t="s">
        <v>435</v>
      </c>
      <c r="F3894" s="1007">
        <v>0.60416666666666674</v>
      </c>
      <c r="G3894" s="1008"/>
      <c r="H3894" s="1009"/>
      <c r="I3894" s="995"/>
      <c r="J3894" s="996"/>
      <c r="K3894" s="997"/>
      <c r="L3894" s="647">
        <v>0.83333333333333337</v>
      </c>
      <c r="M3894" s="648">
        <v>0.72916666666666674</v>
      </c>
      <c r="N3894" s="33"/>
      <c r="O3894" s="33"/>
      <c r="P3894" s="33"/>
      <c r="Q3894" s="33"/>
      <c r="R3894" s="33"/>
      <c r="S3894" s="33"/>
      <c r="T3894" s="33"/>
      <c r="U3894" s="33"/>
    </row>
    <row r="3895" spans="4:32" ht="25" thickBot="1">
      <c r="E3895" s="628" t="s">
        <v>436</v>
      </c>
      <c r="F3895" s="200" t="s">
        <v>29</v>
      </c>
      <c r="G3895" s="200" t="s">
        <v>28</v>
      </c>
      <c r="H3895" s="201" t="s">
        <v>27</v>
      </c>
      <c r="I3895" s="995"/>
      <c r="J3895" s="996"/>
      <c r="K3895" s="997"/>
      <c r="L3895" s="99"/>
      <c r="M3895" s="100"/>
      <c r="N3895" s="722" t="s">
        <v>29</v>
      </c>
      <c r="O3895" s="722" t="s">
        <v>28</v>
      </c>
      <c r="P3895" s="722" t="s">
        <v>27</v>
      </c>
      <c r="R3895" s="723" t="s">
        <v>1748</v>
      </c>
      <c r="S3895" s="724" t="s">
        <v>1749</v>
      </c>
      <c r="T3895" s="724" t="s">
        <v>34</v>
      </c>
      <c r="U3895" s="724" t="s">
        <v>35</v>
      </c>
      <c r="V3895" s="89"/>
      <c r="W3895" s="32" t="s">
        <v>1822</v>
      </c>
      <c r="X3895" s="32" t="s">
        <v>1823</v>
      </c>
      <c r="Y3895" s="32" t="s">
        <v>1824</v>
      </c>
      <c r="AA3895" s="725" t="s">
        <v>1750</v>
      </c>
      <c r="AB3895" s="726">
        <v>0.25</v>
      </c>
      <c r="AC3895" s="727">
        <v>1E-3</v>
      </c>
      <c r="AD3895" s="728">
        <v>3.0000000000000001E-3</v>
      </c>
      <c r="AE3895" s="729">
        <v>7.0000000000000001E-3</v>
      </c>
      <c r="AF3895" s="730"/>
    </row>
    <row r="3896" spans="4:32" ht="24">
      <c r="E3896" s="629">
        <v>45742</v>
      </c>
      <c r="F3896" s="635" t="s">
        <v>1840</v>
      </c>
      <c r="G3896" s="635" t="s">
        <v>991</v>
      </c>
      <c r="H3896" s="635" t="s">
        <v>1696</v>
      </c>
      <c r="I3896" s="995"/>
      <c r="J3896" s="996"/>
      <c r="K3896" s="997"/>
      <c r="L3896" s="99"/>
      <c r="M3896" s="100"/>
      <c r="N3896" s="731" t="s">
        <v>1728</v>
      </c>
      <c r="O3896" s="722" t="s">
        <v>939</v>
      </c>
      <c r="P3896" s="732" t="s">
        <v>1677</v>
      </c>
      <c r="Q3896" s="730"/>
      <c r="R3896" s="733" t="s">
        <v>1751</v>
      </c>
      <c r="S3896" s="734">
        <v>3</v>
      </c>
      <c r="T3896" s="734" t="s">
        <v>1841</v>
      </c>
      <c r="U3896" s="733">
        <v>45742</v>
      </c>
      <c r="V3896" s="89"/>
      <c r="W3896" s="32" t="s">
        <v>1840</v>
      </c>
      <c r="X3896" s="32" t="s">
        <v>991</v>
      </c>
      <c r="Y3896" s="32" t="s">
        <v>1696</v>
      </c>
      <c r="AA3896" s="725" t="s">
        <v>1753</v>
      </c>
      <c r="AB3896" s="726">
        <v>0.29166666666666669</v>
      </c>
      <c r="AC3896" s="735">
        <v>7.0000000000000001E-3</v>
      </c>
      <c r="AD3896" s="728">
        <v>4.0000000000000001E-3</v>
      </c>
      <c r="AE3896" s="735">
        <v>1E-3</v>
      </c>
      <c r="AF3896" s="730"/>
    </row>
    <row r="3897" spans="4:32" ht="24">
      <c r="E3897" s="629">
        <v>45735</v>
      </c>
      <c r="F3897" s="635" t="s">
        <v>1696</v>
      </c>
      <c r="G3897" s="635" t="s">
        <v>993</v>
      </c>
      <c r="H3897" s="635" t="s">
        <v>1697</v>
      </c>
      <c r="I3897" s="995"/>
      <c r="J3897" s="996"/>
      <c r="K3897" s="997"/>
      <c r="L3897" s="99"/>
      <c r="M3897" s="100"/>
      <c r="N3897" s="736" t="s">
        <v>1677</v>
      </c>
      <c r="O3897" s="722" t="s">
        <v>891</v>
      </c>
      <c r="P3897" s="732" t="s">
        <v>1842</v>
      </c>
      <c r="Q3897" s="730"/>
      <c r="R3897" s="733" t="s">
        <v>1751</v>
      </c>
      <c r="S3897" s="734">
        <v>3</v>
      </c>
      <c r="T3897" s="734" t="s">
        <v>1785</v>
      </c>
      <c r="U3897" s="733">
        <v>45735</v>
      </c>
      <c r="V3897" s="89"/>
      <c r="W3897" s="32" t="s">
        <v>1696</v>
      </c>
      <c r="X3897" s="32" t="s">
        <v>993</v>
      </c>
      <c r="Y3897" s="32" t="s">
        <v>1697</v>
      </c>
      <c r="AA3897" s="725" t="s">
        <v>1755</v>
      </c>
      <c r="AB3897" s="726">
        <v>0.29166666666666669</v>
      </c>
      <c r="AC3897" s="727">
        <v>0</v>
      </c>
      <c r="AD3897" s="728">
        <v>3.0000000000000001E-3</v>
      </c>
      <c r="AE3897" s="729">
        <v>5.0000000000000001E-3</v>
      </c>
      <c r="AF3897" s="730"/>
    </row>
    <row r="3898" spans="4:32" ht="24">
      <c r="E3898" s="629">
        <v>45728</v>
      </c>
      <c r="F3898" s="635" t="s">
        <v>1697</v>
      </c>
      <c r="G3898" s="635" t="s">
        <v>1698</v>
      </c>
      <c r="H3898" s="635" t="s">
        <v>1699</v>
      </c>
      <c r="I3898" s="995"/>
      <c r="J3898" s="996"/>
      <c r="K3898" s="997"/>
      <c r="L3898" s="649"/>
      <c r="M3898" s="100"/>
      <c r="N3898" s="731" t="s">
        <v>1842</v>
      </c>
      <c r="O3898" s="722" t="s">
        <v>1843</v>
      </c>
      <c r="P3898" s="732" t="s">
        <v>1844</v>
      </c>
      <c r="Q3898" s="730"/>
      <c r="R3898" s="733" t="s">
        <v>1751</v>
      </c>
      <c r="S3898" s="734">
        <v>3</v>
      </c>
      <c r="T3898" s="734" t="s">
        <v>1233</v>
      </c>
      <c r="U3898" s="733">
        <v>45728</v>
      </c>
      <c r="V3898" s="89"/>
      <c r="W3898" s="32" t="s">
        <v>1697</v>
      </c>
      <c r="X3898" s="32" t="s">
        <v>1698</v>
      </c>
      <c r="Y3898" s="32" t="s">
        <v>1699</v>
      </c>
      <c r="AA3898" s="725" t="s">
        <v>1758</v>
      </c>
      <c r="AB3898" s="726">
        <v>0.29166666666666669</v>
      </c>
      <c r="AC3898" s="735">
        <v>5.0000000000000001E-3</v>
      </c>
      <c r="AD3898" s="728">
        <v>2E-3</v>
      </c>
      <c r="AE3898" s="729">
        <v>6.0000000000000001E-3</v>
      </c>
      <c r="AF3898" s="730"/>
    </row>
    <row r="3899" spans="4:32" ht="24">
      <c r="E3899" s="629">
        <v>45721</v>
      </c>
      <c r="F3899" s="635" t="s">
        <v>1699</v>
      </c>
      <c r="G3899" s="635" t="s">
        <v>1700</v>
      </c>
      <c r="H3899" s="635" t="s">
        <v>1701</v>
      </c>
      <c r="I3899" s="995"/>
      <c r="J3899" s="996"/>
      <c r="K3899" s="997"/>
      <c r="L3899" s="99"/>
      <c r="M3899" s="100"/>
      <c r="N3899" s="736" t="s">
        <v>1844</v>
      </c>
      <c r="O3899" s="722" t="s">
        <v>1845</v>
      </c>
      <c r="P3899" s="732" t="s">
        <v>1846</v>
      </c>
      <c r="Q3899" s="730"/>
      <c r="R3899" s="733" t="s">
        <v>1751</v>
      </c>
      <c r="S3899" s="734">
        <v>3</v>
      </c>
      <c r="T3899" s="734" t="s">
        <v>1783</v>
      </c>
      <c r="U3899" s="733">
        <v>45721</v>
      </c>
      <c r="V3899" s="89"/>
      <c r="W3899" s="32" t="s">
        <v>1699</v>
      </c>
      <c r="X3899" s="32" t="s">
        <v>1700</v>
      </c>
      <c r="Y3899" s="32" t="s">
        <v>1701</v>
      </c>
      <c r="AA3899" s="725" t="s">
        <v>1760</v>
      </c>
      <c r="AB3899" s="726">
        <v>0.29166666666666669</v>
      </c>
      <c r="AC3899" s="735">
        <v>6.0000000000000001E-3</v>
      </c>
      <c r="AD3899" s="728">
        <v>3.0000000000000001E-3</v>
      </c>
      <c r="AE3899" s="729">
        <v>1E-3</v>
      </c>
      <c r="AF3899" s="730"/>
    </row>
    <row r="3900" spans="4:32" ht="24">
      <c r="E3900" s="629">
        <v>45714</v>
      </c>
      <c r="F3900" s="635" t="s">
        <v>1701</v>
      </c>
      <c r="G3900" s="635" t="s">
        <v>1702</v>
      </c>
      <c r="H3900" s="635" t="s">
        <v>1647</v>
      </c>
      <c r="I3900" s="995"/>
      <c r="J3900" s="996"/>
      <c r="K3900" s="997"/>
      <c r="L3900" s="99"/>
      <c r="M3900" s="100"/>
      <c r="N3900" s="731" t="s">
        <v>1846</v>
      </c>
      <c r="O3900" s="722" t="s">
        <v>1847</v>
      </c>
      <c r="P3900" s="732" t="s">
        <v>1624</v>
      </c>
      <c r="Q3900" s="730"/>
      <c r="R3900" s="733" t="s">
        <v>1751</v>
      </c>
      <c r="S3900" s="734">
        <v>2</v>
      </c>
      <c r="T3900" s="734" t="s">
        <v>1841</v>
      </c>
      <c r="U3900" s="733">
        <v>45714</v>
      </c>
      <c r="V3900" s="89"/>
      <c r="W3900" s="32" t="s">
        <v>1701</v>
      </c>
      <c r="X3900" s="32" t="s">
        <v>1702</v>
      </c>
      <c r="Y3900" s="32" t="s">
        <v>1647</v>
      </c>
      <c r="AA3900" s="725" t="s">
        <v>1761</v>
      </c>
      <c r="AB3900" s="726">
        <v>0.29166666666666669</v>
      </c>
      <c r="AC3900" s="729">
        <v>1E-3</v>
      </c>
      <c r="AD3900" s="728">
        <v>1E-3</v>
      </c>
      <c r="AE3900" s="729">
        <v>-4.0000000000000001E-3</v>
      </c>
      <c r="AF3900" s="730"/>
    </row>
    <row r="3901" spans="4:32" ht="25" thickBot="1">
      <c r="E3901" s="629">
        <v>45708</v>
      </c>
      <c r="F3901" s="635" t="s">
        <v>1647</v>
      </c>
      <c r="G3901" s="635" t="s">
        <v>1648</v>
      </c>
      <c r="H3901" s="635" t="s">
        <v>1649</v>
      </c>
      <c r="I3901" s="998"/>
      <c r="J3901" s="999"/>
      <c r="K3901" s="1000"/>
      <c r="L3901" s="102"/>
      <c r="M3901" s="103"/>
      <c r="N3901" s="736" t="s">
        <v>1624</v>
      </c>
      <c r="O3901" s="722" t="s">
        <v>1848</v>
      </c>
      <c r="P3901" s="732" t="s">
        <v>1849</v>
      </c>
      <c r="R3901" s="733" t="s">
        <v>1751</v>
      </c>
      <c r="S3901" s="734">
        <v>2</v>
      </c>
      <c r="T3901" s="734" t="s">
        <v>1850</v>
      </c>
      <c r="U3901" s="733">
        <v>45708</v>
      </c>
      <c r="V3901" s="89"/>
      <c r="W3901" s="32" t="s">
        <v>1647</v>
      </c>
      <c r="X3901" s="32" t="s">
        <v>1648</v>
      </c>
      <c r="Y3901" s="32" t="s">
        <v>1649</v>
      </c>
      <c r="AA3901" s="725"/>
      <c r="AB3901" s="726"/>
      <c r="AC3901" s="737"/>
      <c r="AD3901" s="722"/>
      <c r="AE3901" s="732"/>
    </row>
    <row r="3902" spans="4:32" ht="25" customHeight="1" thickBot="1">
      <c r="D3902">
        <v>1</v>
      </c>
      <c r="E3902" s="624" t="s">
        <v>30</v>
      </c>
      <c r="F3902" s="1057" t="s">
        <v>1421</v>
      </c>
      <c r="G3902" s="1058"/>
      <c r="H3902" s="1059"/>
      <c r="I3902" s="1060" t="s">
        <v>633</v>
      </c>
      <c r="J3902" s="1061"/>
      <c r="K3902" s="1062"/>
      <c r="L3902" s="158" t="s">
        <v>430</v>
      </c>
      <c r="M3902" s="105" t="s">
        <v>431</v>
      </c>
      <c r="N3902" s="33"/>
      <c r="O3902" s="33"/>
      <c r="P3902" s="33"/>
      <c r="Q3902" s="33"/>
      <c r="R3902" s="33"/>
      <c r="S3902" s="33"/>
      <c r="T3902" s="33"/>
      <c r="U3902" s="33"/>
    </row>
    <row r="3903" spans="4:32" ht="24" customHeight="1">
      <c r="E3903" s="625" t="s">
        <v>432</v>
      </c>
      <c r="F3903" s="992"/>
      <c r="G3903" s="993"/>
      <c r="H3903" s="994"/>
      <c r="I3903" s="995" t="s">
        <v>1729</v>
      </c>
      <c r="J3903" s="996"/>
      <c r="K3903" s="997"/>
      <c r="L3903" s="99"/>
      <c r="M3903" s="100"/>
      <c r="N3903" s="33"/>
      <c r="O3903" s="33"/>
      <c r="P3903" s="33"/>
      <c r="Q3903" s="33"/>
      <c r="R3903" s="33"/>
      <c r="S3903" s="33"/>
      <c r="T3903" s="33"/>
      <c r="U3903" s="33"/>
    </row>
    <row r="3904" spans="4:32" ht="24">
      <c r="E3904" s="626" t="s">
        <v>433</v>
      </c>
      <c r="F3904" s="1072"/>
      <c r="G3904" s="1073"/>
      <c r="H3904" s="1074"/>
      <c r="I3904" s="995"/>
      <c r="J3904" s="996"/>
      <c r="K3904" s="997"/>
      <c r="L3904" s="99"/>
      <c r="M3904" s="100"/>
      <c r="N3904" s="33"/>
      <c r="O3904" s="33"/>
      <c r="P3904" s="33"/>
      <c r="Q3904" s="33"/>
      <c r="R3904" s="33"/>
      <c r="S3904" s="33"/>
      <c r="T3904" s="33"/>
      <c r="U3904" s="33"/>
    </row>
    <row r="3905" spans="4:32" ht="25" thickBot="1">
      <c r="E3905" s="626" t="s">
        <v>434</v>
      </c>
      <c r="F3905" s="1096" t="s">
        <v>381</v>
      </c>
      <c r="G3905" s="1097"/>
      <c r="H3905" s="1098"/>
      <c r="I3905" s="995"/>
      <c r="J3905" s="996"/>
      <c r="K3905" s="997"/>
      <c r="L3905" s="99"/>
      <c r="M3905" s="100"/>
      <c r="N3905" s="33"/>
      <c r="O3905" s="33"/>
      <c r="P3905" s="33"/>
      <c r="Q3905" s="33"/>
      <c r="R3905" s="33"/>
      <c r="S3905" s="33"/>
      <c r="T3905" s="33"/>
      <c r="U3905" s="33"/>
    </row>
    <row r="3906" spans="4:32" ht="25" thickBot="1">
      <c r="E3906" s="627" t="s">
        <v>435</v>
      </c>
      <c r="F3906" s="1007">
        <v>0.52083333333333337</v>
      </c>
      <c r="G3906" s="1008"/>
      <c r="H3906" s="1009"/>
      <c r="I3906" s="995"/>
      <c r="J3906" s="996"/>
      <c r="K3906" s="997"/>
      <c r="L3906" s="647">
        <v>0.75</v>
      </c>
      <c r="M3906" s="648">
        <v>0.64583333333333337</v>
      </c>
      <c r="N3906" s="33"/>
      <c r="O3906" s="33"/>
      <c r="P3906" s="33"/>
      <c r="Q3906" s="33"/>
      <c r="R3906" s="33"/>
      <c r="S3906" s="33"/>
      <c r="T3906" s="33"/>
      <c r="U3906" s="33"/>
    </row>
    <row r="3907" spans="4:32" ht="25" thickBot="1">
      <c r="E3907" s="628" t="s">
        <v>436</v>
      </c>
      <c r="F3907" s="200" t="s">
        <v>29</v>
      </c>
      <c r="G3907" s="200" t="s">
        <v>28</v>
      </c>
      <c r="H3907" s="201" t="s">
        <v>27</v>
      </c>
      <c r="I3907" s="995"/>
      <c r="J3907" s="996"/>
      <c r="K3907" s="997"/>
      <c r="L3907" s="99"/>
      <c r="M3907" s="100"/>
      <c r="N3907" s="722" t="s">
        <v>29</v>
      </c>
      <c r="O3907" s="722" t="s">
        <v>28</v>
      </c>
      <c r="P3907" s="722" t="s">
        <v>27</v>
      </c>
      <c r="R3907" s="723" t="s">
        <v>1748</v>
      </c>
      <c r="S3907" s="724" t="s">
        <v>1749</v>
      </c>
      <c r="T3907" s="724" t="s">
        <v>34</v>
      </c>
      <c r="U3907" s="724" t="s">
        <v>35</v>
      </c>
      <c r="V3907" s="89"/>
      <c r="W3907" s="32" t="s">
        <v>1822</v>
      </c>
      <c r="X3907" s="32" t="s">
        <v>1823</v>
      </c>
      <c r="Y3907" s="32" t="s">
        <v>1824</v>
      </c>
      <c r="AA3907" s="725" t="s">
        <v>1750</v>
      </c>
      <c r="AB3907" s="726">
        <v>0.25</v>
      </c>
      <c r="AC3907" s="727">
        <v>1E-3</v>
      </c>
      <c r="AD3907" s="728">
        <v>3.0000000000000001E-3</v>
      </c>
      <c r="AE3907" s="729">
        <v>7.0000000000000001E-3</v>
      </c>
      <c r="AF3907" s="730"/>
    </row>
    <row r="3908" spans="4:32" ht="24">
      <c r="E3908" s="629">
        <v>45743</v>
      </c>
      <c r="F3908" s="202" t="s">
        <v>1090</v>
      </c>
      <c r="G3908" s="202" t="s">
        <v>985</v>
      </c>
      <c r="H3908" s="202" t="s">
        <v>973</v>
      </c>
      <c r="I3908" s="995"/>
      <c r="J3908" s="996"/>
      <c r="K3908" s="997"/>
      <c r="L3908" s="99"/>
      <c r="M3908" s="100"/>
      <c r="N3908" s="732"/>
      <c r="O3908" s="722" t="s">
        <v>1851</v>
      </c>
      <c r="P3908" s="732" t="s">
        <v>1347</v>
      </c>
      <c r="Q3908" s="730"/>
      <c r="R3908" s="733" t="s">
        <v>1751</v>
      </c>
      <c r="S3908" s="734">
        <v>3</v>
      </c>
      <c r="T3908" s="734" t="s">
        <v>1754</v>
      </c>
      <c r="U3908" s="733">
        <v>45743</v>
      </c>
      <c r="V3908" s="89"/>
      <c r="W3908" s="32" t="s">
        <v>1090</v>
      </c>
      <c r="X3908" s="32" t="s">
        <v>985</v>
      </c>
      <c r="Y3908" s="32" t="s">
        <v>973</v>
      </c>
      <c r="AA3908" s="725" t="s">
        <v>1753</v>
      </c>
      <c r="AB3908" s="726">
        <v>0.29166666666666669</v>
      </c>
      <c r="AC3908" s="735">
        <v>7.0000000000000001E-3</v>
      </c>
      <c r="AD3908" s="728">
        <v>4.0000000000000001E-3</v>
      </c>
      <c r="AE3908" s="735">
        <v>1E-3</v>
      </c>
      <c r="AF3908" s="730"/>
    </row>
    <row r="3909" spans="4:32" ht="24">
      <c r="E3909" s="629">
        <v>45736</v>
      </c>
      <c r="F3909" s="202" t="s">
        <v>973</v>
      </c>
      <c r="G3909" s="202" t="s">
        <v>1032</v>
      </c>
      <c r="H3909" s="202" t="s">
        <v>972</v>
      </c>
      <c r="I3909" s="995"/>
      <c r="J3909" s="996"/>
      <c r="K3909" s="997"/>
      <c r="L3909" s="99"/>
      <c r="M3909" s="100"/>
      <c r="N3909" s="731" t="s">
        <v>1347</v>
      </c>
      <c r="O3909" s="722" t="s">
        <v>574</v>
      </c>
      <c r="P3909" s="736" t="s">
        <v>413</v>
      </c>
      <c r="Q3909" s="730"/>
      <c r="R3909" s="733" t="s">
        <v>1751</v>
      </c>
      <c r="S3909" s="734">
        <v>3</v>
      </c>
      <c r="T3909" s="734" t="s">
        <v>1850</v>
      </c>
      <c r="U3909" s="733">
        <v>45736</v>
      </c>
      <c r="V3909" s="89"/>
      <c r="W3909" s="32" t="s">
        <v>973</v>
      </c>
      <c r="X3909" s="32" t="s">
        <v>1032</v>
      </c>
      <c r="Y3909" s="32" t="s">
        <v>972</v>
      </c>
      <c r="AA3909" s="725" t="s">
        <v>1755</v>
      </c>
      <c r="AB3909" s="726">
        <v>0.29166666666666669</v>
      </c>
      <c r="AC3909" s="727">
        <v>0</v>
      </c>
      <c r="AD3909" s="728">
        <v>3.0000000000000001E-3</v>
      </c>
      <c r="AE3909" s="729">
        <v>5.0000000000000001E-3</v>
      </c>
      <c r="AF3909" s="730"/>
    </row>
    <row r="3910" spans="4:32" ht="24">
      <c r="E3910" s="629">
        <v>45729</v>
      </c>
      <c r="F3910" s="202" t="s">
        <v>1112</v>
      </c>
      <c r="G3910" s="202" t="s">
        <v>1703</v>
      </c>
      <c r="H3910" s="202" t="s">
        <v>986</v>
      </c>
      <c r="I3910" s="995"/>
      <c r="J3910" s="996"/>
      <c r="K3910" s="997"/>
      <c r="L3910" s="649"/>
      <c r="M3910" s="100"/>
      <c r="N3910" s="731" t="s">
        <v>931</v>
      </c>
      <c r="O3910" s="722" t="s">
        <v>1852</v>
      </c>
      <c r="P3910" s="736" t="s">
        <v>72</v>
      </c>
      <c r="Q3910" s="730"/>
      <c r="R3910" s="733" t="s">
        <v>1751</v>
      </c>
      <c r="S3910" s="734">
        <v>3</v>
      </c>
      <c r="T3910" s="734" t="s">
        <v>1769</v>
      </c>
      <c r="U3910" s="733">
        <v>45729</v>
      </c>
      <c r="V3910" s="89"/>
      <c r="W3910" s="32" t="s">
        <v>1112</v>
      </c>
      <c r="X3910" s="32" t="s">
        <v>1703</v>
      </c>
      <c r="Y3910" s="32" t="s">
        <v>986</v>
      </c>
      <c r="AA3910" s="725" t="s">
        <v>1758</v>
      </c>
      <c r="AB3910" s="726">
        <v>0.29166666666666669</v>
      </c>
      <c r="AC3910" s="735">
        <v>5.0000000000000001E-3</v>
      </c>
      <c r="AD3910" s="728">
        <v>2E-3</v>
      </c>
      <c r="AE3910" s="729">
        <v>6.0000000000000001E-3</v>
      </c>
      <c r="AF3910" s="730"/>
    </row>
    <row r="3911" spans="4:32" ht="24">
      <c r="E3911" s="629">
        <v>45722</v>
      </c>
      <c r="F3911" s="202" t="s">
        <v>972</v>
      </c>
      <c r="G3911" s="202" t="s">
        <v>1704</v>
      </c>
      <c r="H3911" s="202" t="s">
        <v>980</v>
      </c>
      <c r="I3911" s="995"/>
      <c r="J3911" s="996"/>
      <c r="K3911" s="997"/>
      <c r="L3911" s="99"/>
      <c r="M3911" s="100"/>
      <c r="N3911" s="731" t="s">
        <v>413</v>
      </c>
      <c r="O3911" s="722" t="s">
        <v>1853</v>
      </c>
      <c r="P3911" s="732" t="s">
        <v>897</v>
      </c>
      <c r="Q3911" s="730"/>
      <c r="R3911" s="733" t="s">
        <v>1751</v>
      </c>
      <c r="S3911" s="734">
        <v>3</v>
      </c>
      <c r="T3911" s="734" t="s">
        <v>1775</v>
      </c>
      <c r="U3911" s="733">
        <v>45722</v>
      </c>
      <c r="V3911" s="89"/>
      <c r="W3911" s="32" t="s">
        <v>972</v>
      </c>
      <c r="X3911" s="32" t="s">
        <v>1704</v>
      </c>
      <c r="Y3911" s="32" t="s">
        <v>980</v>
      </c>
      <c r="AA3911" s="725" t="s">
        <v>1760</v>
      </c>
      <c r="AB3911" s="726">
        <v>0.29166666666666669</v>
      </c>
      <c r="AC3911" s="735">
        <v>6.0000000000000001E-3</v>
      </c>
      <c r="AD3911" s="728">
        <v>3.0000000000000001E-3</v>
      </c>
      <c r="AE3911" s="729">
        <v>1E-3</v>
      </c>
      <c r="AF3911" s="730"/>
    </row>
    <row r="3912" spans="4:32" ht="24">
      <c r="E3912" s="629">
        <v>45715</v>
      </c>
      <c r="F3912" s="202" t="s">
        <v>980</v>
      </c>
      <c r="G3912" s="202" t="s">
        <v>986</v>
      </c>
      <c r="H3912" s="202" t="s">
        <v>1112</v>
      </c>
      <c r="I3912" s="995"/>
      <c r="J3912" s="996"/>
      <c r="K3912" s="997"/>
      <c r="L3912" s="99"/>
      <c r="M3912" s="100"/>
      <c r="N3912" s="736" t="s">
        <v>897</v>
      </c>
      <c r="O3912" s="722" t="s">
        <v>734</v>
      </c>
      <c r="P3912" s="736" t="s">
        <v>931</v>
      </c>
      <c r="Q3912" s="730"/>
      <c r="R3912" s="733" t="s">
        <v>1751</v>
      </c>
      <c r="S3912" s="734">
        <v>2</v>
      </c>
      <c r="T3912" s="734" t="s">
        <v>1754</v>
      </c>
      <c r="U3912" s="733">
        <v>45715</v>
      </c>
      <c r="V3912" s="89"/>
      <c r="W3912" s="32" t="s">
        <v>980</v>
      </c>
      <c r="X3912" s="32" t="s">
        <v>986</v>
      </c>
      <c r="Y3912" s="32" t="s">
        <v>1112</v>
      </c>
      <c r="AA3912" s="725" t="s">
        <v>1761</v>
      </c>
      <c r="AB3912" s="726">
        <v>0.29166666666666669</v>
      </c>
      <c r="AC3912" s="729">
        <v>1E-3</v>
      </c>
      <c r="AD3912" s="728">
        <v>1E-3</v>
      </c>
      <c r="AE3912" s="729">
        <v>-4.0000000000000001E-3</v>
      </c>
      <c r="AF3912" s="730"/>
    </row>
    <row r="3913" spans="4:32" ht="25" thickBot="1">
      <c r="E3913" s="629">
        <v>45708</v>
      </c>
      <c r="F3913" s="202" t="s">
        <v>987</v>
      </c>
      <c r="G3913" s="202" t="s">
        <v>1232</v>
      </c>
      <c r="H3913" s="202" t="s">
        <v>1439</v>
      </c>
      <c r="I3913" s="998"/>
      <c r="J3913" s="999"/>
      <c r="K3913" s="1000"/>
      <c r="L3913" s="102"/>
      <c r="M3913" s="103"/>
      <c r="N3913" s="736" t="s">
        <v>345</v>
      </c>
      <c r="O3913" s="722" t="s">
        <v>1854</v>
      </c>
      <c r="P3913" s="736" t="s">
        <v>1855</v>
      </c>
      <c r="R3913" s="733" t="s">
        <v>1751</v>
      </c>
      <c r="S3913" s="734">
        <v>2</v>
      </c>
      <c r="T3913" s="734" t="s">
        <v>1850</v>
      </c>
      <c r="U3913" s="733">
        <v>45708</v>
      </c>
      <c r="V3913" s="89"/>
      <c r="W3913" s="32" t="s">
        <v>987</v>
      </c>
      <c r="X3913" s="32" t="s">
        <v>1232</v>
      </c>
      <c r="Y3913" s="32" t="s">
        <v>1439</v>
      </c>
      <c r="AA3913" s="725"/>
      <c r="AB3913" s="726"/>
      <c r="AC3913" s="737"/>
      <c r="AD3913" s="722"/>
      <c r="AE3913" s="732"/>
    </row>
    <row r="3914" spans="4:32" ht="25" customHeight="1" thickBot="1">
      <c r="D3914">
        <v>1</v>
      </c>
      <c r="E3914" s="696" t="s">
        <v>30</v>
      </c>
      <c r="F3914" s="1023" t="s">
        <v>1730</v>
      </c>
      <c r="G3914" s="1024"/>
      <c r="H3914" s="1025"/>
      <c r="I3914" s="1026" t="s">
        <v>633</v>
      </c>
      <c r="J3914" s="1027"/>
      <c r="K3914" s="1028"/>
      <c r="L3914" s="158" t="s">
        <v>430</v>
      </c>
      <c r="M3914" s="105" t="s">
        <v>431</v>
      </c>
      <c r="N3914" s="33"/>
      <c r="O3914" s="33"/>
      <c r="P3914" s="33"/>
      <c r="Q3914" s="33"/>
      <c r="R3914" s="33"/>
      <c r="S3914" s="33"/>
      <c r="T3914" s="33"/>
      <c r="U3914" s="33"/>
    </row>
    <row r="3915" spans="4:32" ht="24" customHeight="1">
      <c r="E3915" s="699" t="s">
        <v>432</v>
      </c>
      <c r="F3915" s="1029"/>
      <c r="G3915" s="1030"/>
      <c r="H3915" s="1031"/>
      <c r="I3915" s="1032" t="s">
        <v>1731</v>
      </c>
      <c r="J3915" s="1033"/>
      <c r="K3915" s="1034"/>
      <c r="L3915" s="99"/>
      <c r="M3915" s="100"/>
      <c r="N3915" s="33"/>
      <c r="O3915" s="33"/>
      <c r="P3915" s="33"/>
      <c r="Q3915" s="33"/>
      <c r="R3915" s="33"/>
      <c r="S3915" s="33"/>
      <c r="T3915" s="33"/>
      <c r="U3915" s="33"/>
    </row>
    <row r="3916" spans="4:32" ht="24">
      <c r="E3916" s="702" t="s">
        <v>433</v>
      </c>
      <c r="F3916" s="1217">
        <v>54.3</v>
      </c>
      <c r="G3916" s="1047"/>
      <c r="H3916" s="1048"/>
      <c r="I3916" s="1032"/>
      <c r="J3916" s="1033"/>
      <c r="K3916" s="1034"/>
      <c r="L3916" s="99"/>
      <c r="M3916" s="100"/>
      <c r="N3916" s="33"/>
      <c r="O3916" s="33"/>
      <c r="P3916" s="33"/>
      <c r="Q3916" s="33"/>
      <c r="R3916" s="33"/>
      <c r="S3916" s="33"/>
      <c r="T3916" s="33"/>
      <c r="U3916" s="33"/>
    </row>
    <row r="3917" spans="4:32" ht="25" thickBot="1">
      <c r="E3917" s="702" t="s">
        <v>434</v>
      </c>
      <c r="F3917" s="1217">
        <v>51</v>
      </c>
      <c r="G3917" s="1047"/>
      <c r="H3917" s="1048"/>
      <c r="I3917" s="1032"/>
      <c r="J3917" s="1033"/>
      <c r="K3917" s="1034"/>
      <c r="L3917" s="99"/>
      <c r="M3917" s="100"/>
      <c r="N3917" s="33"/>
      <c r="O3917" s="33"/>
      <c r="P3917" s="33"/>
      <c r="Q3917" s="33"/>
      <c r="R3917" s="33"/>
      <c r="S3917" s="33"/>
      <c r="T3917" s="33"/>
      <c r="U3917" s="33"/>
    </row>
    <row r="3918" spans="4:32" ht="25" thickBot="1">
      <c r="E3918" s="703" t="s">
        <v>435</v>
      </c>
      <c r="F3918" s="1044">
        <v>0.58333333333333337</v>
      </c>
      <c r="G3918" s="1045"/>
      <c r="H3918" s="1046"/>
      <c r="I3918" s="1032"/>
      <c r="J3918" s="1033"/>
      <c r="K3918" s="1034"/>
      <c r="L3918" s="647">
        <v>0.8125</v>
      </c>
      <c r="M3918" s="648">
        <v>0.70833333333333337</v>
      </c>
      <c r="N3918" s="33"/>
      <c r="O3918" s="33"/>
      <c r="P3918" s="33"/>
      <c r="Q3918" s="33"/>
      <c r="R3918" s="33"/>
      <c r="S3918" s="33"/>
      <c r="T3918" s="33"/>
      <c r="U3918" s="33"/>
    </row>
    <row r="3919" spans="4:32" ht="25" thickBot="1">
      <c r="E3919" s="696" t="s">
        <v>436</v>
      </c>
      <c r="F3919" s="706" t="s">
        <v>29</v>
      </c>
      <c r="G3919" s="706" t="s">
        <v>28</v>
      </c>
      <c r="H3919" s="707" t="s">
        <v>27</v>
      </c>
      <c r="I3919" s="1032"/>
      <c r="J3919" s="1033"/>
      <c r="K3919" s="1034"/>
      <c r="L3919" s="99"/>
      <c r="M3919" s="100"/>
      <c r="N3919" s="722" t="s">
        <v>29</v>
      </c>
      <c r="O3919" s="722" t="s">
        <v>28</v>
      </c>
      <c r="P3919" s="722" t="s">
        <v>27</v>
      </c>
      <c r="R3919" s="723" t="s">
        <v>1748</v>
      </c>
      <c r="S3919" s="724" t="s">
        <v>1749</v>
      </c>
      <c r="T3919" s="724" t="s">
        <v>34</v>
      </c>
      <c r="U3919" s="724" t="s">
        <v>35</v>
      </c>
      <c r="V3919" s="89"/>
      <c r="W3919" s="32" t="s">
        <v>1822</v>
      </c>
      <c r="X3919" s="32" t="s">
        <v>1823</v>
      </c>
      <c r="Y3919" s="32" t="s">
        <v>1824</v>
      </c>
      <c r="AA3919" s="725" t="s">
        <v>1750</v>
      </c>
      <c r="AB3919" s="726">
        <v>0.25</v>
      </c>
      <c r="AC3919" s="727">
        <v>1E-3</v>
      </c>
      <c r="AD3919" s="728">
        <v>3.0000000000000001E-3</v>
      </c>
      <c r="AE3919" s="729">
        <v>7.0000000000000001E-3</v>
      </c>
      <c r="AF3919" s="730"/>
    </row>
    <row r="3920" spans="4:32" ht="24">
      <c r="E3920" s="657">
        <v>45740</v>
      </c>
      <c r="F3920" s="741">
        <v>54.3</v>
      </c>
      <c r="G3920" s="741" t="s">
        <v>1856</v>
      </c>
      <c r="H3920" s="741">
        <v>51</v>
      </c>
      <c r="I3920" s="1032"/>
      <c r="J3920" s="1033"/>
      <c r="K3920" s="1034"/>
      <c r="L3920" s="99"/>
      <c r="M3920" s="100"/>
      <c r="N3920" s="731">
        <v>54.3</v>
      </c>
      <c r="O3920" s="722" t="s">
        <v>1856</v>
      </c>
      <c r="P3920" s="732">
        <v>51</v>
      </c>
      <c r="Q3920" s="730"/>
      <c r="R3920" s="733" t="s">
        <v>1751</v>
      </c>
      <c r="S3920" s="734">
        <v>3</v>
      </c>
      <c r="T3920" s="734" t="s">
        <v>1784</v>
      </c>
      <c r="U3920" s="733">
        <v>45740</v>
      </c>
      <c r="V3920" s="89"/>
      <c r="W3920" s="32" t="s">
        <v>1857</v>
      </c>
      <c r="X3920" s="32" t="s">
        <v>1858</v>
      </c>
      <c r="Y3920" s="32" t="s">
        <v>1859</v>
      </c>
      <c r="AA3920" s="725" t="s">
        <v>1753</v>
      </c>
      <c r="AB3920" s="726">
        <v>0.29166666666666669</v>
      </c>
      <c r="AC3920" s="735">
        <v>7.0000000000000001E-3</v>
      </c>
      <c r="AD3920" s="728">
        <v>4.0000000000000001E-3</v>
      </c>
      <c r="AE3920" s="735">
        <v>1E-3</v>
      </c>
      <c r="AF3920" s="730"/>
    </row>
    <row r="3921" spans="1:32" ht="24">
      <c r="E3921" s="657">
        <v>45721</v>
      </c>
      <c r="F3921" s="741">
        <v>51</v>
      </c>
      <c r="G3921" s="741" t="s">
        <v>1690</v>
      </c>
      <c r="H3921" s="741">
        <v>52.9</v>
      </c>
      <c r="I3921" s="1032"/>
      <c r="J3921" s="1033"/>
      <c r="K3921" s="1034"/>
      <c r="L3921" s="99"/>
      <c r="M3921" s="100"/>
      <c r="N3921" s="731">
        <v>51</v>
      </c>
      <c r="O3921" s="722" t="s">
        <v>1690</v>
      </c>
      <c r="P3921" s="732">
        <v>52.9</v>
      </c>
      <c r="R3921" s="733" t="s">
        <v>1751</v>
      </c>
      <c r="S3921" s="734">
        <v>3</v>
      </c>
      <c r="T3921" s="734" t="s">
        <v>1783</v>
      </c>
      <c r="U3921" s="733">
        <v>45721</v>
      </c>
      <c r="V3921" s="89"/>
      <c r="W3921" s="32" t="s">
        <v>1859</v>
      </c>
      <c r="X3921" s="32" t="s">
        <v>1860</v>
      </c>
      <c r="Y3921" s="32" t="s">
        <v>1861</v>
      </c>
      <c r="AA3921" s="725" t="s">
        <v>1755</v>
      </c>
      <c r="AB3921" s="726">
        <v>0.29166666666666669</v>
      </c>
      <c r="AC3921" s="727">
        <v>0</v>
      </c>
      <c r="AD3921" s="728">
        <v>3.0000000000000001E-3</v>
      </c>
      <c r="AE3921" s="729">
        <v>5.0000000000000001E-3</v>
      </c>
      <c r="AF3921" s="730"/>
    </row>
    <row r="3922" spans="1:32" ht="24">
      <c r="E3922" s="657">
        <v>45740</v>
      </c>
      <c r="F3922" s="741">
        <v>54.3</v>
      </c>
      <c r="G3922" s="741" t="s">
        <v>1856</v>
      </c>
      <c r="H3922" s="741">
        <v>51</v>
      </c>
      <c r="I3922" s="1032"/>
      <c r="J3922" s="1033"/>
      <c r="K3922" s="1034"/>
      <c r="L3922" s="649"/>
      <c r="M3922" s="100"/>
      <c r="N3922" s="731">
        <v>54.3</v>
      </c>
      <c r="O3922" s="722" t="s">
        <v>1856</v>
      </c>
      <c r="P3922" s="732">
        <v>51</v>
      </c>
      <c r="Q3922" s="730"/>
      <c r="R3922" s="733" t="s">
        <v>1751</v>
      </c>
      <c r="S3922" s="734">
        <v>3</v>
      </c>
      <c r="T3922" s="734" t="s">
        <v>1784</v>
      </c>
      <c r="U3922" s="733">
        <v>45740</v>
      </c>
      <c r="V3922" s="89"/>
      <c r="W3922" s="32" t="s">
        <v>1862</v>
      </c>
      <c r="X3922" s="32" t="s">
        <v>1858</v>
      </c>
      <c r="Y3922" s="32" t="s">
        <v>1859</v>
      </c>
      <c r="AA3922" s="725" t="s">
        <v>1758</v>
      </c>
      <c r="AB3922" s="726">
        <v>0.29166666666666669</v>
      </c>
      <c r="AC3922" s="735">
        <v>5.0000000000000001E-3</v>
      </c>
      <c r="AD3922" s="728">
        <v>2E-3</v>
      </c>
      <c r="AE3922" s="729">
        <v>6.0000000000000001E-3</v>
      </c>
      <c r="AF3922" s="730"/>
    </row>
    <row r="3923" spans="1:32" ht="24">
      <c r="E3923" s="657">
        <v>45721</v>
      </c>
      <c r="F3923" s="741">
        <v>51</v>
      </c>
      <c r="G3923" s="741" t="s">
        <v>1690</v>
      </c>
      <c r="H3923" s="741">
        <v>52.9</v>
      </c>
      <c r="I3923" s="1032"/>
      <c r="J3923" s="1033"/>
      <c r="K3923" s="1034"/>
      <c r="L3923" s="99"/>
      <c r="M3923" s="100"/>
      <c r="N3923" s="731">
        <v>51</v>
      </c>
      <c r="O3923" s="722" t="s">
        <v>1690</v>
      </c>
      <c r="P3923" s="732">
        <v>52.9</v>
      </c>
      <c r="R3923" s="733" t="s">
        <v>1751</v>
      </c>
      <c r="S3923" s="734">
        <v>3</v>
      </c>
      <c r="T3923" s="734" t="s">
        <v>1783</v>
      </c>
      <c r="U3923" s="733">
        <v>45721</v>
      </c>
      <c r="V3923" s="89"/>
      <c r="W3923" s="32" t="s">
        <v>1859</v>
      </c>
      <c r="X3923" s="32" t="s">
        <v>1860</v>
      </c>
      <c r="Y3923" s="32" t="s">
        <v>1861</v>
      </c>
      <c r="AA3923" s="725" t="s">
        <v>1760</v>
      </c>
      <c r="AB3923" s="726">
        <v>0.29166666666666669</v>
      </c>
      <c r="AC3923" s="735">
        <v>6.0000000000000001E-3</v>
      </c>
      <c r="AD3923" s="728">
        <v>3.0000000000000001E-3</v>
      </c>
      <c r="AE3923" s="729">
        <v>1E-3</v>
      </c>
      <c r="AF3923" s="730"/>
    </row>
    <row r="3924" spans="1:32" ht="24">
      <c r="E3924" s="657">
        <v>45740</v>
      </c>
      <c r="F3924" s="741">
        <v>54.3</v>
      </c>
      <c r="G3924" s="741" t="s">
        <v>1856</v>
      </c>
      <c r="H3924" s="741">
        <v>51</v>
      </c>
      <c r="I3924" s="1032"/>
      <c r="J3924" s="1033"/>
      <c r="K3924" s="1034"/>
      <c r="L3924" s="99"/>
      <c r="M3924" s="100"/>
      <c r="N3924" s="731">
        <v>54.3</v>
      </c>
      <c r="O3924" s="722" t="s">
        <v>1856</v>
      </c>
      <c r="P3924" s="732">
        <v>51</v>
      </c>
      <c r="Q3924" s="730"/>
      <c r="R3924" s="733" t="s">
        <v>1751</v>
      </c>
      <c r="S3924" s="734">
        <v>3</v>
      </c>
      <c r="T3924" s="734" t="s">
        <v>1784</v>
      </c>
      <c r="U3924" s="733">
        <v>45740</v>
      </c>
      <c r="V3924" s="89"/>
      <c r="W3924" s="32" t="s">
        <v>1862</v>
      </c>
      <c r="X3924" s="32" t="s">
        <v>1858</v>
      </c>
      <c r="Y3924" s="32" t="s">
        <v>1859</v>
      </c>
      <c r="AA3924" s="725" t="s">
        <v>1761</v>
      </c>
      <c r="AB3924" s="726">
        <v>0.29166666666666669</v>
      </c>
      <c r="AC3924" s="729">
        <v>1E-3</v>
      </c>
      <c r="AD3924" s="728">
        <v>1E-3</v>
      </c>
      <c r="AE3924" s="729">
        <v>-4.0000000000000001E-3</v>
      </c>
      <c r="AF3924" s="730"/>
    </row>
    <row r="3925" spans="1:32" ht="25" thickBot="1">
      <c r="E3925" s="657">
        <v>45721</v>
      </c>
      <c r="F3925" s="741">
        <v>51</v>
      </c>
      <c r="G3925" s="741" t="s">
        <v>1690</v>
      </c>
      <c r="H3925" s="741">
        <v>52.9</v>
      </c>
      <c r="I3925" s="1035"/>
      <c r="J3925" s="1036"/>
      <c r="K3925" s="1037"/>
      <c r="L3925" s="102"/>
      <c r="M3925" s="103"/>
      <c r="N3925" s="731">
        <v>51</v>
      </c>
      <c r="O3925" s="722" t="s">
        <v>1690</v>
      </c>
      <c r="P3925" s="732">
        <v>52.9</v>
      </c>
      <c r="R3925" s="733" t="s">
        <v>1751</v>
      </c>
      <c r="S3925" s="734">
        <v>3</v>
      </c>
      <c r="T3925" s="734" t="s">
        <v>1783</v>
      </c>
      <c r="U3925" s="733">
        <v>45721</v>
      </c>
      <c r="V3925" s="89"/>
      <c r="W3925" s="32" t="s">
        <v>1859</v>
      </c>
      <c r="X3925" s="32" t="s">
        <v>1860</v>
      </c>
      <c r="Y3925" s="32" t="s">
        <v>1861</v>
      </c>
      <c r="AA3925" s="725"/>
      <c r="AB3925" s="726"/>
      <c r="AC3925" s="737"/>
      <c r="AD3925" s="722"/>
      <c r="AE3925" s="732"/>
    </row>
    <row r="3926" spans="1:32" ht="25" customHeight="1" thickBot="1">
      <c r="D3926">
        <v>1</v>
      </c>
      <c r="E3926" s="624" t="s">
        <v>30</v>
      </c>
      <c r="F3926" s="1057" t="s">
        <v>1732</v>
      </c>
      <c r="G3926" s="1058"/>
      <c r="H3926" s="1059"/>
      <c r="I3926" s="1060" t="s">
        <v>633</v>
      </c>
      <c r="J3926" s="1061"/>
      <c r="K3926" s="1062"/>
      <c r="L3926" s="158" t="s">
        <v>430</v>
      </c>
      <c r="M3926" s="105" t="s">
        <v>431</v>
      </c>
      <c r="N3926" s="33"/>
      <c r="O3926" s="33"/>
      <c r="P3926" s="33"/>
      <c r="Q3926" s="33"/>
      <c r="R3926" s="33"/>
      <c r="S3926" s="33"/>
      <c r="T3926" s="33"/>
      <c r="U3926" s="33"/>
    </row>
    <row r="3927" spans="1:32" ht="24" customHeight="1">
      <c r="E3927" s="625" t="s">
        <v>432</v>
      </c>
      <c r="F3927" s="992"/>
      <c r="G3927" s="993"/>
      <c r="H3927" s="994"/>
      <c r="I3927" s="995" t="s">
        <v>1731</v>
      </c>
      <c r="J3927" s="996"/>
      <c r="K3927" s="997"/>
      <c r="L3927" s="99"/>
      <c r="M3927" s="100"/>
      <c r="N3927" s="33"/>
      <c r="O3927" s="33"/>
      <c r="P3927" s="33"/>
      <c r="Q3927" s="33"/>
      <c r="R3927" s="33"/>
      <c r="S3927" s="33"/>
      <c r="T3927" s="33"/>
      <c r="U3927" s="33"/>
    </row>
    <row r="3928" spans="1:32" ht="24">
      <c r="E3928" s="626" t="s">
        <v>433</v>
      </c>
      <c r="F3928" s="1075">
        <v>53</v>
      </c>
      <c r="G3928" s="1073"/>
      <c r="H3928" s="1074"/>
      <c r="I3928" s="995"/>
      <c r="J3928" s="996"/>
      <c r="K3928" s="997"/>
      <c r="L3928" s="99"/>
      <c r="M3928" s="100"/>
      <c r="N3928" s="33"/>
      <c r="O3928" s="33"/>
      <c r="P3928" s="33"/>
      <c r="Q3928" s="33"/>
      <c r="R3928" s="33"/>
      <c r="S3928" s="33"/>
      <c r="T3928" s="33"/>
      <c r="U3928" s="33"/>
    </row>
    <row r="3929" spans="1:32" ht="25" thickBot="1">
      <c r="E3929" s="626" t="s">
        <v>434</v>
      </c>
      <c r="F3929" s="1075">
        <v>53.5</v>
      </c>
      <c r="G3929" s="1073"/>
      <c r="H3929" s="1074"/>
      <c r="I3929" s="995"/>
      <c r="J3929" s="996"/>
      <c r="K3929" s="997"/>
      <c r="L3929" s="99"/>
      <c r="M3929" s="100"/>
      <c r="N3929" s="33"/>
      <c r="O3929" s="33"/>
      <c r="P3929" s="33"/>
      <c r="Q3929" s="33"/>
      <c r="R3929" s="33"/>
      <c r="S3929" s="33"/>
      <c r="T3929" s="33"/>
      <c r="U3929" s="33"/>
    </row>
    <row r="3930" spans="1:32" ht="25" thickBot="1">
      <c r="E3930" s="627" t="s">
        <v>435</v>
      </c>
      <c r="F3930" s="1007">
        <v>0.58333333333333337</v>
      </c>
      <c r="G3930" s="1008"/>
      <c r="H3930" s="1009"/>
      <c r="I3930" s="995"/>
      <c r="J3930" s="996"/>
      <c r="K3930" s="997"/>
      <c r="L3930" s="647">
        <v>0.8125</v>
      </c>
      <c r="M3930" s="648">
        <v>0.70833333333333337</v>
      </c>
      <c r="N3930" s="33"/>
      <c r="O3930" s="33"/>
      <c r="P3930" s="33"/>
      <c r="Q3930" s="33"/>
      <c r="R3930" s="33"/>
      <c r="S3930" s="33"/>
      <c r="T3930" s="33"/>
      <c r="U3930" s="33"/>
    </row>
    <row r="3931" spans="1:32" ht="25" thickBot="1">
      <c r="E3931" s="628" t="s">
        <v>436</v>
      </c>
      <c r="F3931" s="200" t="s">
        <v>29</v>
      </c>
      <c r="G3931" s="200" t="s">
        <v>28</v>
      </c>
      <c r="H3931" s="201" t="s">
        <v>27</v>
      </c>
      <c r="I3931" s="995"/>
      <c r="J3931" s="996"/>
      <c r="K3931" s="997"/>
      <c r="L3931" s="99"/>
      <c r="M3931" s="100"/>
      <c r="N3931" s="722" t="s">
        <v>29</v>
      </c>
      <c r="O3931" s="722" t="s">
        <v>28</v>
      </c>
      <c r="P3931" s="722" t="s">
        <v>27</v>
      </c>
      <c r="R3931" s="723" t="s">
        <v>1748</v>
      </c>
      <c r="S3931" s="724" t="s">
        <v>1749</v>
      </c>
      <c r="T3931" s="724" t="s">
        <v>34</v>
      </c>
      <c r="U3931" s="724" t="s">
        <v>35</v>
      </c>
      <c r="V3931" s="89"/>
      <c r="W3931" s="89"/>
      <c r="X3931" s="89"/>
      <c r="AA3931" s="725" t="s">
        <v>1750</v>
      </c>
      <c r="AB3931" s="726">
        <v>0.25</v>
      </c>
      <c r="AC3931" s="727">
        <v>1E-3</v>
      </c>
      <c r="AD3931" s="728">
        <v>3.0000000000000001E-3</v>
      </c>
      <c r="AE3931" s="729">
        <v>7.0000000000000001E-3</v>
      </c>
      <c r="AF3931" s="730"/>
    </row>
    <row r="3932" spans="1:32" ht="24">
      <c r="E3932" s="629">
        <v>45721</v>
      </c>
      <c r="F3932" s="217">
        <v>53.5</v>
      </c>
      <c r="G3932" s="217" t="s">
        <v>1863</v>
      </c>
      <c r="H3932" s="217">
        <v>52.8</v>
      </c>
      <c r="I3932" s="995"/>
      <c r="J3932" s="996"/>
      <c r="K3932" s="997"/>
      <c r="L3932" s="99"/>
      <c r="M3932" s="100"/>
      <c r="N3932" s="731">
        <v>53.5</v>
      </c>
      <c r="O3932" s="722" t="s">
        <v>1863</v>
      </c>
      <c r="P3932" s="732">
        <v>52.8</v>
      </c>
      <c r="Q3932" s="730"/>
      <c r="R3932" s="733" t="s">
        <v>1751</v>
      </c>
      <c r="S3932" s="734">
        <v>3</v>
      </c>
      <c r="T3932" s="734" t="s">
        <v>1783</v>
      </c>
      <c r="U3932" s="733">
        <v>45721</v>
      </c>
      <c r="V3932" s="89"/>
      <c r="W3932" s="89"/>
      <c r="X3932" s="89"/>
      <c r="AA3932" s="725" t="s">
        <v>1753</v>
      </c>
      <c r="AB3932" s="726">
        <v>0.29166666666666669</v>
      </c>
      <c r="AC3932" s="735">
        <v>7.0000000000000001E-3</v>
      </c>
      <c r="AD3932" s="728">
        <v>4.0000000000000001E-3</v>
      </c>
      <c r="AE3932" s="735">
        <v>1E-3</v>
      </c>
      <c r="AF3932" s="730"/>
    </row>
    <row r="3933" spans="1:32" ht="24">
      <c r="A3933" t="s">
        <v>1864</v>
      </c>
      <c r="E3933" s="629">
        <v>45693</v>
      </c>
      <c r="F3933" s="217">
        <v>52.8</v>
      </c>
      <c r="G3933" s="217" t="s">
        <v>1865</v>
      </c>
      <c r="H3933" s="217">
        <v>54</v>
      </c>
      <c r="I3933" s="995"/>
      <c r="J3933" s="996"/>
      <c r="K3933" s="997"/>
      <c r="L3933" s="99"/>
      <c r="M3933" s="100"/>
      <c r="N3933" s="736">
        <v>52.8</v>
      </c>
      <c r="O3933" s="722" t="s">
        <v>1865</v>
      </c>
      <c r="P3933" s="736">
        <v>54</v>
      </c>
      <c r="Q3933" s="730"/>
      <c r="R3933" s="733" t="s">
        <v>1751</v>
      </c>
      <c r="S3933" s="734">
        <v>2</v>
      </c>
      <c r="T3933" s="734" t="s">
        <v>1783</v>
      </c>
      <c r="U3933" s="733">
        <v>45693</v>
      </c>
      <c r="V3933" s="89"/>
      <c r="W3933" s="89"/>
      <c r="X3933" s="89"/>
      <c r="AA3933" s="725" t="s">
        <v>1755</v>
      </c>
      <c r="AB3933" s="726">
        <v>0.29166666666666669</v>
      </c>
      <c r="AC3933" s="727">
        <v>0</v>
      </c>
      <c r="AD3933" s="728">
        <v>3.0000000000000001E-3</v>
      </c>
      <c r="AE3933" s="729">
        <v>5.0000000000000001E-3</v>
      </c>
      <c r="AF3933" s="730"/>
    </row>
    <row r="3934" spans="1:32" ht="24">
      <c r="E3934" s="629">
        <v>45664</v>
      </c>
      <c r="F3934" s="217">
        <v>54.1</v>
      </c>
      <c r="G3934" s="217" t="s">
        <v>902</v>
      </c>
      <c r="H3934" s="217">
        <v>52.1</v>
      </c>
      <c r="I3934" s="995"/>
      <c r="J3934" s="996"/>
      <c r="K3934" s="997"/>
      <c r="L3934" s="649"/>
      <c r="M3934" s="100"/>
      <c r="N3934" s="731">
        <v>54.1</v>
      </c>
      <c r="O3934" s="722" t="s">
        <v>902</v>
      </c>
      <c r="P3934" s="732">
        <v>52.1</v>
      </c>
      <c r="Q3934" s="730"/>
      <c r="R3934" s="733" t="s">
        <v>1751</v>
      </c>
      <c r="S3934" s="734">
        <v>1</v>
      </c>
      <c r="T3934" s="734" t="s">
        <v>1788</v>
      </c>
      <c r="U3934" s="733">
        <v>45664</v>
      </c>
      <c r="V3934" s="89"/>
      <c r="W3934" s="89"/>
      <c r="X3934" s="89"/>
      <c r="AA3934" s="725" t="s">
        <v>1758</v>
      </c>
      <c r="AB3934" s="726">
        <v>0.29166666666666669</v>
      </c>
      <c r="AC3934" s="735">
        <v>5.0000000000000001E-3</v>
      </c>
      <c r="AD3934" s="728">
        <v>2E-3</v>
      </c>
      <c r="AE3934" s="729">
        <v>6.0000000000000001E-3</v>
      </c>
      <c r="AF3934" s="730"/>
    </row>
    <row r="3935" spans="1:32" ht="24">
      <c r="E3935" s="629">
        <v>45630</v>
      </c>
      <c r="F3935" s="217">
        <v>52.1</v>
      </c>
      <c r="G3935" s="217" t="s">
        <v>523</v>
      </c>
      <c r="H3935" s="217">
        <v>56</v>
      </c>
      <c r="I3935" s="995"/>
      <c r="J3935" s="996"/>
      <c r="K3935" s="997"/>
      <c r="L3935" s="99"/>
      <c r="M3935" s="100"/>
      <c r="N3935" s="736">
        <v>52.1</v>
      </c>
      <c r="O3935" s="722" t="s">
        <v>523</v>
      </c>
      <c r="P3935" s="732">
        <v>56</v>
      </c>
      <c r="Q3935" s="730"/>
      <c r="R3935" s="733" t="s">
        <v>1756</v>
      </c>
      <c r="S3935" s="734">
        <v>12</v>
      </c>
      <c r="T3935" s="734" t="s">
        <v>1810</v>
      </c>
      <c r="U3935" s="733">
        <v>45630</v>
      </c>
      <c r="V3935" s="89"/>
      <c r="W3935" s="89"/>
      <c r="X3935" s="89"/>
      <c r="AA3935" s="725" t="s">
        <v>1760</v>
      </c>
      <c r="AB3935" s="726">
        <v>0.29166666666666669</v>
      </c>
      <c r="AC3935" s="735">
        <v>6.0000000000000001E-3</v>
      </c>
      <c r="AD3935" s="728">
        <v>3.0000000000000001E-3</v>
      </c>
      <c r="AE3935" s="729">
        <v>1E-3</v>
      </c>
      <c r="AF3935" s="730"/>
    </row>
    <row r="3936" spans="1:32" ht="24">
      <c r="E3936" s="629">
        <v>45601</v>
      </c>
      <c r="F3936" s="217">
        <v>56</v>
      </c>
      <c r="G3936" s="217" t="s">
        <v>1344</v>
      </c>
      <c r="H3936" s="217">
        <v>54.9</v>
      </c>
      <c r="I3936" s="995"/>
      <c r="J3936" s="996"/>
      <c r="K3936" s="997"/>
      <c r="L3936" s="99"/>
      <c r="M3936" s="100"/>
      <c r="N3936" s="731">
        <v>56</v>
      </c>
      <c r="O3936" s="722" t="s">
        <v>1344</v>
      </c>
      <c r="P3936" s="732">
        <v>54.9</v>
      </c>
      <c r="Q3936" s="730"/>
      <c r="R3936" s="733" t="s">
        <v>1756</v>
      </c>
      <c r="S3936" s="734">
        <v>11</v>
      </c>
      <c r="T3936" s="734" t="s">
        <v>1783</v>
      </c>
      <c r="U3936" s="733">
        <v>45601</v>
      </c>
      <c r="V3936" s="89"/>
      <c r="W3936" s="89"/>
      <c r="X3936" s="89"/>
      <c r="AA3936" s="725" t="s">
        <v>1761</v>
      </c>
      <c r="AB3936" s="726">
        <v>0.29166666666666669</v>
      </c>
      <c r="AC3936" s="729">
        <v>1E-3</v>
      </c>
      <c r="AD3936" s="728">
        <v>1E-3</v>
      </c>
      <c r="AE3936" s="729">
        <v>-4.0000000000000001E-3</v>
      </c>
      <c r="AF3936" s="730"/>
    </row>
    <row r="3937" spans="4:32" ht="25" thickBot="1">
      <c r="E3937" s="629">
        <v>45568</v>
      </c>
      <c r="F3937" s="217">
        <v>54.9</v>
      </c>
      <c r="G3937" s="217" t="s">
        <v>506</v>
      </c>
      <c r="H3937" s="217">
        <v>51.5</v>
      </c>
      <c r="I3937" s="998"/>
      <c r="J3937" s="999"/>
      <c r="K3937" s="1000"/>
      <c r="L3937" s="102"/>
      <c r="M3937" s="103"/>
      <c r="N3937" s="731">
        <v>54.9</v>
      </c>
      <c r="O3937" s="722" t="s">
        <v>506</v>
      </c>
      <c r="P3937" s="732">
        <v>51.5</v>
      </c>
      <c r="R3937" s="733" t="s">
        <v>1756</v>
      </c>
      <c r="S3937" s="734">
        <v>10</v>
      </c>
      <c r="T3937" s="734" t="s">
        <v>1786</v>
      </c>
      <c r="U3937" s="733">
        <v>45568</v>
      </c>
      <c r="V3937" s="89"/>
      <c r="W3937" s="89"/>
      <c r="X3937" s="89"/>
      <c r="AA3937" s="725"/>
      <c r="AB3937" s="726"/>
      <c r="AC3937" s="737"/>
      <c r="AD3937" s="722"/>
      <c r="AE3937" s="732"/>
    </row>
    <row r="3938" spans="4:32" ht="25" customHeight="1" thickBot="1">
      <c r="D3938">
        <v>1</v>
      </c>
      <c r="E3938" s="628" t="s">
        <v>30</v>
      </c>
      <c r="F3938" s="1057" t="s">
        <v>1733</v>
      </c>
      <c r="G3938" s="1058"/>
      <c r="H3938" s="1059"/>
      <c r="I3938" s="1060" t="s">
        <v>633</v>
      </c>
      <c r="J3938" s="1061"/>
      <c r="K3938" s="1062"/>
      <c r="L3938" s="158" t="s">
        <v>430</v>
      </c>
      <c r="M3938" s="105" t="s">
        <v>431</v>
      </c>
      <c r="N3938" s="33"/>
      <c r="O3938" s="33"/>
      <c r="P3938" s="33"/>
      <c r="Q3938" s="33"/>
      <c r="R3938" s="33"/>
      <c r="S3938" s="33"/>
      <c r="T3938" s="33"/>
      <c r="U3938" s="33"/>
    </row>
    <row r="3939" spans="4:32" ht="24" customHeight="1">
      <c r="E3939" s="625" t="s">
        <v>432</v>
      </c>
      <c r="F3939" s="992"/>
      <c r="G3939" s="993"/>
      <c r="H3939" s="994"/>
      <c r="I3939" s="995" t="s">
        <v>1734</v>
      </c>
      <c r="J3939" s="996"/>
      <c r="K3939" s="997"/>
      <c r="L3939" s="99"/>
      <c r="M3939" s="100"/>
      <c r="N3939" s="33"/>
      <c r="O3939" s="33"/>
      <c r="P3939" s="33"/>
      <c r="Q3939" s="33"/>
      <c r="R3939" s="33"/>
      <c r="S3939" s="33"/>
      <c r="T3939" s="33"/>
      <c r="U3939" s="33"/>
    </row>
    <row r="3940" spans="4:32" ht="24">
      <c r="E3940" s="626" t="s">
        <v>433</v>
      </c>
      <c r="F3940" s="1072" t="s">
        <v>1090</v>
      </c>
      <c r="G3940" s="1073"/>
      <c r="H3940" s="1074"/>
      <c r="I3940" s="995"/>
      <c r="J3940" s="996"/>
      <c r="K3940" s="997"/>
      <c r="L3940" s="99"/>
      <c r="M3940" s="100"/>
      <c r="N3940" s="33"/>
      <c r="O3940" s="33"/>
      <c r="P3940" s="33"/>
      <c r="Q3940" s="33"/>
      <c r="R3940" s="33"/>
      <c r="S3940" s="33"/>
      <c r="T3940" s="33"/>
      <c r="U3940" s="33"/>
    </row>
    <row r="3941" spans="4:32" ht="25" thickBot="1">
      <c r="E3941" s="626" t="s">
        <v>434</v>
      </c>
      <c r="F3941" s="1075">
        <v>62.6</v>
      </c>
      <c r="G3941" s="1073"/>
      <c r="H3941" s="1074"/>
      <c r="I3941" s="995"/>
      <c r="J3941" s="996"/>
      <c r="K3941" s="997"/>
      <c r="L3941" s="99"/>
      <c r="M3941" s="100"/>
      <c r="N3941" s="33"/>
      <c r="O3941" s="33"/>
      <c r="P3941" s="33"/>
      <c r="Q3941" s="33"/>
      <c r="R3941" s="33"/>
      <c r="S3941" s="33"/>
      <c r="T3941" s="33"/>
      <c r="U3941" s="33"/>
    </row>
    <row r="3942" spans="4:32" ht="25" thickBot="1">
      <c r="E3942" s="627" t="s">
        <v>435</v>
      </c>
      <c r="F3942" s="1007">
        <v>0.58333333333333337</v>
      </c>
      <c r="G3942" s="1008"/>
      <c r="H3942" s="1009"/>
      <c r="I3942" s="995"/>
      <c r="J3942" s="996"/>
      <c r="K3942" s="997"/>
      <c r="L3942" s="647">
        <v>0.8125</v>
      </c>
      <c r="M3942" s="648">
        <v>0.70833333333333337</v>
      </c>
      <c r="N3942" s="33"/>
      <c r="O3942" s="33"/>
      <c r="P3942" s="33"/>
      <c r="Q3942" s="33"/>
      <c r="R3942" s="33"/>
      <c r="S3942" s="33"/>
      <c r="T3942" s="33"/>
      <c r="U3942" s="33"/>
    </row>
    <row r="3943" spans="4:32" ht="25" thickBot="1">
      <c r="E3943" s="628" t="s">
        <v>436</v>
      </c>
      <c r="F3943" s="200" t="s">
        <v>29</v>
      </c>
      <c r="G3943" s="200" t="s">
        <v>28</v>
      </c>
      <c r="H3943" s="201" t="s">
        <v>27</v>
      </c>
      <c r="I3943" s="995"/>
      <c r="J3943" s="996"/>
      <c r="K3943" s="997"/>
      <c r="L3943" s="99"/>
      <c r="M3943" s="100"/>
      <c r="N3943" s="722" t="s">
        <v>29</v>
      </c>
      <c r="O3943" s="722" t="s">
        <v>28</v>
      </c>
      <c r="P3943" s="722" t="s">
        <v>27</v>
      </c>
      <c r="R3943" s="723" t="s">
        <v>1748</v>
      </c>
      <c r="S3943" s="724" t="s">
        <v>1749</v>
      </c>
      <c r="T3943" s="724" t="s">
        <v>34</v>
      </c>
      <c r="U3943" s="724" t="s">
        <v>35</v>
      </c>
      <c r="V3943" s="89"/>
      <c r="W3943" s="89"/>
      <c r="X3943" s="89"/>
      <c r="AA3943" s="725" t="s">
        <v>1750</v>
      </c>
      <c r="AB3943" s="726">
        <v>0.25</v>
      </c>
      <c r="AC3943" s="727">
        <v>1E-3</v>
      </c>
      <c r="AD3943" s="728">
        <v>3.0000000000000001E-3</v>
      </c>
      <c r="AE3943" s="729">
        <v>7.0000000000000001E-3</v>
      </c>
      <c r="AF3943" s="730"/>
    </row>
    <row r="3944" spans="4:32" ht="24">
      <c r="E3944" s="629">
        <v>45721</v>
      </c>
      <c r="F3944" s="217">
        <v>62.6</v>
      </c>
      <c r="G3944" s="217" t="s">
        <v>522</v>
      </c>
      <c r="H3944" s="217">
        <v>60.4</v>
      </c>
      <c r="I3944" s="995"/>
      <c r="J3944" s="996"/>
      <c r="K3944" s="997"/>
      <c r="L3944" s="99"/>
      <c r="M3944" s="100"/>
      <c r="N3944" s="731">
        <v>62.6</v>
      </c>
      <c r="O3944" s="722" t="s">
        <v>522</v>
      </c>
      <c r="P3944" s="732">
        <v>60.4</v>
      </c>
      <c r="Q3944" s="730"/>
      <c r="R3944" s="733" t="s">
        <v>1751</v>
      </c>
      <c r="S3944" s="734">
        <v>3</v>
      </c>
      <c r="T3944" s="734" t="s">
        <v>1783</v>
      </c>
      <c r="U3944" s="733">
        <v>45721</v>
      </c>
      <c r="V3944" s="89"/>
      <c r="W3944" s="89"/>
      <c r="X3944" s="89"/>
      <c r="AA3944" s="725" t="s">
        <v>1753</v>
      </c>
      <c r="AB3944" s="726">
        <v>0.29166666666666669</v>
      </c>
      <c r="AC3944" s="735">
        <v>7.0000000000000001E-3</v>
      </c>
      <c r="AD3944" s="728">
        <v>4.0000000000000001E-3</v>
      </c>
      <c r="AE3944" s="735">
        <v>1E-3</v>
      </c>
      <c r="AF3944" s="730"/>
    </row>
    <row r="3945" spans="4:32" ht="24">
      <c r="E3945" s="629">
        <v>45693</v>
      </c>
      <c r="F3945" s="217">
        <v>60.4</v>
      </c>
      <c r="G3945" s="217" t="s">
        <v>754</v>
      </c>
      <c r="H3945" s="217">
        <v>64.400000000000006</v>
      </c>
      <c r="I3945" s="995"/>
      <c r="J3945" s="996"/>
      <c r="K3945" s="997"/>
      <c r="L3945" s="99"/>
      <c r="M3945" s="100"/>
      <c r="N3945" s="732">
        <v>60.4</v>
      </c>
      <c r="O3945" s="722" t="s">
        <v>754</v>
      </c>
      <c r="P3945" s="732">
        <v>64.400000000000006</v>
      </c>
      <c r="Q3945" s="730"/>
      <c r="R3945" s="733" t="s">
        <v>1751</v>
      </c>
      <c r="S3945" s="734">
        <v>2</v>
      </c>
      <c r="T3945" s="734" t="s">
        <v>1783</v>
      </c>
      <c r="U3945" s="733">
        <v>45693</v>
      </c>
      <c r="V3945" s="89"/>
      <c r="W3945" s="89"/>
      <c r="X3945" s="89"/>
      <c r="AA3945" s="725" t="s">
        <v>1755</v>
      </c>
      <c r="AB3945" s="726">
        <v>0.29166666666666669</v>
      </c>
      <c r="AC3945" s="727">
        <v>0</v>
      </c>
      <c r="AD3945" s="728">
        <v>3.0000000000000001E-3</v>
      </c>
      <c r="AE3945" s="729">
        <v>5.0000000000000001E-3</v>
      </c>
      <c r="AF3945" s="730"/>
    </row>
    <row r="3946" spans="4:32" ht="24">
      <c r="E3946" s="629">
        <v>45664</v>
      </c>
      <c r="F3946" s="217">
        <v>64.400000000000006</v>
      </c>
      <c r="G3946" s="217" t="s">
        <v>1866</v>
      </c>
      <c r="H3946" s="217">
        <v>58.2</v>
      </c>
      <c r="I3946" s="995"/>
      <c r="J3946" s="996"/>
      <c r="K3946" s="997"/>
      <c r="L3946" s="649"/>
      <c r="M3946" s="100"/>
      <c r="N3946" s="731">
        <v>64.400000000000006</v>
      </c>
      <c r="O3946" s="722" t="s">
        <v>1866</v>
      </c>
      <c r="P3946" s="732">
        <v>58.2</v>
      </c>
      <c r="Q3946" s="730"/>
      <c r="R3946" s="733" t="s">
        <v>1751</v>
      </c>
      <c r="S3946" s="734">
        <v>1</v>
      </c>
      <c r="T3946" s="734" t="s">
        <v>1788</v>
      </c>
      <c r="U3946" s="733">
        <v>45664</v>
      </c>
      <c r="V3946" s="89"/>
      <c r="W3946" s="89"/>
      <c r="X3946" s="89"/>
      <c r="AA3946" s="725" t="s">
        <v>1758</v>
      </c>
      <c r="AB3946" s="726">
        <v>0.29166666666666669</v>
      </c>
      <c r="AC3946" s="735">
        <v>5.0000000000000001E-3</v>
      </c>
      <c r="AD3946" s="728">
        <v>2E-3</v>
      </c>
      <c r="AE3946" s="729">
        <v>6.0000000000000001E-3</v>
      </c>
      <c r="AF3946" s="730"/>
    </row>
    <row r="3947" spans="4:32" ht="24">
      <c r="E3947" s="629">
        <v>45630</v>
      </c>
      <c r="F3947" s="217">
        <v>58.2</v>
      </c>
      <c r="G3947" s="217" t="s">
        <v>1345</v>
      </c>
      <c r="H3947" s="217">
        <v>58.1</v>
      </c>
      <c r="I3947" s="995"/>
      <c r="J3947" s="996"/>
      <c r="K3947" s="997"/>
      <c r="L3947" s="99"/>
      <c r="M3947" s="100"/>
      <c r="N3947" s="731">
        <v>58.2</v>
      </c>
      <c r="O3947" s="722" t="s">
        <v>1345</v>
      </c>
      <c r="P3947" s="732">
        <v>58.1</v>
      </c>
      <c r="Q3947" s="730"/>
      <c r="R3947" s="733" t="s">
        <v>1756</v>
      </c>
      <c r="S3947" s="734">
        <v>12</v>
      </c>
      <c r="T3947" s="734" t="s">
        <v>1810</v>
      </c>
      <c r="U3947" s="733">
        <v>45630</v>
      </c>
      <c r="V3947" s="89"/>
      <c r="W3947" s="89"/>
      <c r="X3947" s="89"/>
      <c r="AA3947" s="725" t="s">
        <v>1760</v>
      </c>
      <c r="AB3947" s="726">
        <v>0.29166666666666669</v>
      </c>
      <c r="AC3947" s="735">
        <v>6.0000000000000001E-3</v>
      </c>
      <c r="AD3947" s="728">
        <v>3.0000000000000001E-3</v>
      </c>
      <c r="AE3947" s="729">
        <v>1E-3</v>
      </c>
      <c r="AF3947" s="730"/>
    </row>
    <row r="3948" spans="4:32" ht="24">
      <c r="E3948" s="629">
        <v>45601</v>
      </c>
      <c r="F3948" s="217">
        <v>58.1</v>
      </c>
      <c r="G3948" s="217" t="s">
        <v>1346</v>
      </c>
      <c r="H3948" s="217">
        <v>59.4</v>
      </c>
      <c r="I3948" s="995"/>
      <c r="J3948" s="996"/>
      <c r="K3948" s="997"/>
      <c r="L3948" s="99"/>
      <c r="M3948" s="100"/>
      <c r="N3948" s="731">
        <v>58.1</v>
      </c>
      <c r="O3948" s="722" t="s">
        <v>1346</v>
      </c>
      <c r="P3948" s="732">
        <v>59.4</v>
      </c>
      <c r="Q3948" s="730"/>
      <c r="R3948" s="733" t="s">
        <v>1756</v>
      </c>
      <c r="S3948" s="734">
        <v>11</v>
      </c>
      <c r="T3948" s="734" t="s">
        <v>1783</v>
      </c>
      <c r="U3948" s="733">
        <v>45601</v>
      </c>
      <c r="V3948" s="89"/>
      <c r="W3948" s="89"/>
      <c r="X3948" s="89"/>
      <c r="AA3948" s="725" t="s">
        <v>1761</v>
      </c>
      <c r="AB3948" s="726">
        <v>0.29166666666666669</v>
      </c>
      <c r="AC3948" s="729">
        <v>1E-3</v>
      </c>
      <c r="AD3948" s="728">
        <v>1E-3</v>
      </c>
      <c r="AE3948" s="729">
        <v>-4.0000000000000001E-3</v>
      </c>
      <c r="AF3948" s="730"/>
    </row>
    <row r="3949" spans="4:32" ht="25" thickBot="1">
      <c r="E3949" s="629">
        <v>45568</v>
      </c>
      <c r="F3949" s="217">
        <v>59.4</v>
      </c>
      <c r="G3949" s="217" t="s">
        <v>943</v>
      </c>
      <c r="H3949" s="217">
        <v>57.3</v>
      </c>
      <c r="I3949" s="998"/>
      <c r="J3949" s="999"/>
      <c r="K3949" s="1000"/>
      <c r="L3949" s="102"/>
      <c r="M3949" s="103"/>
      <c r="N3949" s="731">
        <v>59.4</v>
      </c>
      <c r="O3949" s="722" t="s">
        <v>943</v>
      </c>
      <c r="P3949" s="732">
        <v>57.3</v>
      </c>
      <c r="R3949" s="733" t="s">
        <v>1756</v>
      </c>
      <c r="S3949" s="734">
        <v>10</v>
      </c>
      <c r="T3949" s="734" t="s">
        <v>1786</v>
      </c>
      <c r="U3949" s="733">
        <v>45568</v>
      </c>
      <c r="V3949" s="89"/>
      <c r="W3949" s="89"/>
      <c r="X3949" s="89"/>
      <c r="AA3949" s="725"/>
      <c r="AB3949" s="726"/>
      <c r="AC3949" s="737"/>
      <c r="AD3949" s="722"/>
      <c r="AE3949" s="732"/>
    </row>
    <row r="3950" spans="4:32" ht="25" customHeight="1" outlineLevel="1" thickBot="1">
      <c r="D3950">
        <v>1</v>
      </c>
      <c r="E3950" s="624" t="s">
        <v>30</v>
      </c>
      <c r="F3950" s="1057" t="s">
        <v>1735</v>
      </c>
      <c r="G3950" s="1058"/>
      <c r="H3950" s="1059"/>
      <c r="I3950" s="1060" t="s">
        <v>633</v>
      </c>
      <c r="J3950" s="1061"/>
      <c r="K3950" s="1062"/>
      <c r="L3950" s="158" t="s">
        <v>430</v>
      </c>
      <c r="M3950" s="105" t="s">
        <v>431</v>
      </c>
      <c r="N3950" s="33"/>
      <c r="O3950" s="33"/>
      <c r="P3950" s="33"/>
      <c r="Q3950" s="33"/>
      <c r="R3950" s="33"/>
      <c r="S3950" s="33"/>
      <c r="T3950" s="33"/>
      <c r="U3950" s="33"/>
    </row>
    <row r="3951" spans="4:32" ht="24" customHeight="1" outlineLevel="1">
      <c r="E3951" s="625" t="s">
        <v>432</v>
      </c>
      <c r="F3951" s="992"/>
      <c r="G3951" s="993"/>
      <c r="H3951" s="994"/>
      <c r="I3951" s="995" t="s">
        <v>1520</v>
      </c>
      <c r="J3951" s="996"/>
      <c r="K3951" s="997"/>
      <c r="L3951" s="99"/>
      <c r="M3951" s="100"/>
      <c r="N3951" s="33"/>
      <c r="O3951" s="33"/>
      <c r="P3951" s="33"/>
      <c r="Q3951" s="33"/>
      <c r="R3951" s="33"/>
      <c r="S3951" s="33"/>
      <c r="T3951" s="33"/>
      <c r="U3951" s="33"/>
    </row>
    <row r="3952" spans="4:32" ht="24" outlineLevel="1">
      <c r="E3952" s="626" t="s">
        <v>433</v>
      </c>
      <c r="F3952" s="1072" t="s">
        <v>1090</v>
      </c>
      <c r="G3952" s="1073"/>
      <c r="H3952" s="1074"/>
      <c r="I3952" s="995"/>
      <c r="J3952" s="996"/>
      <c r="K3952" s="997"/>
      <c r="L3952" s="99"/>
      <c r="M3952" s="100"/>
      <c r="N3952" s="33"/>
      <c r="O3952" s="33"/>
      <c r="P3952" s="33"/>
      <c r="Q3952" s="33"/>
      <c r="R3952" s="33"/>
      <c r="S3952" s="33"/>
      <c r="T3952" s="33"/>
      <c r="U3952" s="33"/>
    </row>
    <row r="3953" spans="4:32" ht="25" outlineLevel="1" thickBot="1">
      <c r="E3953" s="626" t="s">
        <v>434</v>
      </c>
      <c r="F3953" s="1072">
        <v>0</v>
      </c>
      <c r="G3953" s="1073"/>
      <c r="H3953" s="1074"/>
      <c r="I3953" s="995"/>
      <c r="J3953" s="996"/>
      <c r="K3953" s="997"/>
      <c r="L3953" s="99"/>
      <c r="M3953" s="100"/>
      <c r="N3953" s="33"/>
      <c r="O3953" s="33"/>
      <c r="P3953" s="33"/>
      <c r="Q3953" s="33"/>
      <c r="R3953" s="33"/>
      <c r="S3953" s="33"/>
      <c r="T3953" s="33"/>
      <c r="U3953" s="33"/>
    </row>
    <row r="3954" spans="4:32" ht="25" outlineLevel="1" thickBot="1">
      <c r="E3954" s="627" t="s">
        <v>435</v>
      </c>
      <c r="F3954" s="1007" t="e">
        <v>#VALUE!</v>
      </c>
      <c r="G3954" s="1008"/>
      <c r="H3954" s="1009"/>
      <c r="I3954" s="995"/>
      <c r="J3954" s="996"/>
      <c r="K3954" s="997"/>
      <c r="L3954" s="647" t="s">
        <v>1449</v>
      </c>
      <c r="M3954" s="648" t="e">
        <v>#VALUE!</v>
      </c>
      <c r="N3954" s="33"/>
      <c r="O3954" s="33"/>
      <c r="P3954" s="33"/>
      <c r="Q3954" s="33"/>
      <c r="R3954" s="33"/>
      <c r="S3954" s="33"/>
      <c r="T3954" s="33"/>
      <c r="U3954" s="33"/>
    </row>
    <row r="3955" spans="4:32" ht="25" outlineLevel="1" thickBot="1">
      <c r="E3955" s="628" t="s">
        <v>436</v>
      </c>
      <c r="F3955" s="200" t="s">
        <v>29</v>
      </c>
      <c r="G3955" s="200" t="s">
        <v>28</v>
      </c>
      <c r="H3955" s="201" t="s">
        <v>27</v>
      </c>
      <c r="I3955" s="995"/>
      <c r="J3955" s="996"/>
      <c r="K3955" s="997"/>
      <c r="L3955" s="99"/>
      <c r="M3955" s="100"/>
      <c r="N3955" s="722" t="s">
        <v>29</v>
      </c>
      <c r="O3955" s="722" t="s">
        <v>28</v>
      </c>
      <c r="P3955" s="722" t="s">
        <v>27</v>
      </c>
      <c r="R3955" s="723" t="s">
        <v>1748</v>
      </c>
      <c r="S3955" s="724" t="s">
        <v>1749</v>
      </c>
      <c r="T3955" s="724" t="s">
        <v>34</v>
      </c>
      <c r="U3955" s="724" t="s">
        <v>35</v>
      </c>
      <c r="V3955" s="89"/>
      <c r="W3955" s="89"/>
      <c r="X3955" s="89"/>
      <c r="AA3955" s="725" t="s">
        <v>1750</v>
      </c>
      <c r="AB3955" s="726">
        <v>0.25</v>
      </c>
      <c r="AC3955" s="727">
        <v>1E-3</v>
      </c>
      <c r="AD3955" s="728">
        <v>3.0000000000000001E-3</v>
      </c>
      <c r="AE3955" s="729">
        <v>7.0000000000000001E-3</v>
      </c>
      <c r="AF3955" s="730"/>
    </row>
    <row r="3956" spans="4:32" ht="24" outlineLevel="1">
      <c r="E3956" s="629">
        <v>45686</v>
      </c>
      <c r="F3956" s="202">
        <v>0.03</v>
      </c>
      <c r="G3956" s="202" t="s">
        <v>1548</v>
      </c>
      <c r="H3956" s="202">
        <v>3.2500000000000001E-2</v>
      </c>
      <c r="I3956" s="995"/>
      <c r="J3956" s="996"/>
      <c r="K3956" s="997"/>
      <c r="L3956" s="99"/>
      <c r="M3956" s="100"/>
      <c r="N3956" s="729">
        <v>0.03</v>
      </c>
      <c r="O3956" s="722" t="s">
        <v>1548</v>
      </c>
      <c r="P3956" s="729">
        <v>3.2500000000000001E-2</v>
      </c>
      <c r="Q3956" s="730"/>
      <c r="R3956" s="733" t="s">
        <v>1751</v>
      </c>
      <c r="S3956" s="734">
        <v>1</v>
      </c>
      <c r="T3956" s="734" t="s">
        <v>1779</v>
      </c>
      <c r="U3956" s="733">
        <v>45686</v>
      </c>
      <c r="V3956" s="89"/>
      <c r="W3956" s="89"/>
      <c r="X3956" s="89"/>
      <c r="AA3956" s="725" t="s">
        <v>1753</v>
      </c>
      <c r="AB3956" s="726">
        <v>0.29166666666666669</v>
      </c>
      <c r="AC3956" s="735">
        <v>7.0000000000000001E-3</v>
      </c>
      <c r="AD3956" s="728">
        <v>4.0000000000000001E-3</v>
      </c>
      <c r="AE3956" s="735">
        <v>1E-3</v>
      </c>
      <c r="AF3956" s="730"/>
    </row>
    <row r="3957" spans="4:32" ht="24" outlineLevel="1">
      <c r="E3957" s="629">
        <v>45637</v>
      </c>
      <c r="F3957" s="202">
        <v>3.2500000000000001E-2</v>
      </c>
      <c r="G3957" s="202" t="s">
        <v>1542</v>
      </c>
      <c r="H3957" s="202">
        <v>3.7499999999999999E-2</v>
      </c>
      <c r="I3957" s="995"/>
      <c r="J3957" s="996"/>
      <c r="K3957" s="997"/>
      <c r="L3957" s="99"/>
      <c r="M3957" s="100"/>
      <c r="N3957" s="729">
        <v>3.2500000000000001E-2</v>
      </c>
      <c r="O3957" s="722" t="s">
        <v>1542</v>
      </c>
      <c r="P3957" s="729">
        <v>3.7499999999999999E-2</v>
      </c>
      <c r="Q3957" s="730"/>
      <c r="R3957" s="733" t="s">
        <v>1756</v>
      </c>
      <c r="S3957" s="734">
        <v>12</v>
      </c>
      <c r="T3957" s="734" t="s">
        <v>1803</v>
      </c>
      <c r="U3957" s="733">
        <v>45637</v>
      </c>
      <c r="V3957" s="89"/>
      <c r="W3957" s="89"/>
      <c r="X3957" s="89"/>
      <c r="AA3957" s="725" t="s">
        <v>1755</v>
      </c>
      <c r="AB3957" s="726">
        <v>0.29166666666666669</v>
      </c>
      <c r="AC3957" s="727">
        <v>0</v>
      </c>
      <c r="AD3957" s="728">
        <v>3.0000000000000001E-3</v>
      </c>
      <c r="AE3957" s="729">
        <v>5.0000000000000001E-3</v>
      </c>
      <c r="AF3957" s="730"/>
    </row>
    <row r="3958" spans="4:32" ht="24" outlineLevel="1">
      <c r="E3958" s="629">
        <v>45588</v>
      </c>
      <c r="F3958" s="202">
        <v>3.7499999999999999E-2</v>
      </c>
      <c r="G3958" s="202" t="s">
        <v>1543</v>
      </c>
      <c r="H3958" s="202">
        <v>4.2500000000000003E-2</v>
      </c>
      <c r="I3958" s="995"/>
      <c r="J3958" s="996"/>
      <c r="K3958" s="997"/>
      <c r="L3958" s="649"/>
      <c r="M3958" s="100"/>
      <c r="N3958" s="729">
        <v>3.7499999999999999E-2</v>
      </c>
      <c r="O3958" s="722" t="s">
        <v>1543</v>
      </c>
      <c r="P3958" s="729">
        <v>4.2500000000000003E-2</v>
      </c>
      <c r="Q3958" s="730"/>
      <c r="R3958" s="733" t="s">
        <v>1756</v>
      </c>
      <c r="S3958" s="734">
        <v>10</v>
      </c>
      <c r="T3958" s="734" t="s">
        <v>1867</v>
      </c>
      <c r="U3958" s="733">
        <v>45588</v>
      </c>
      <c r="V3958" s="89"/>
      <c r="W3958" s="89"/>
      <c r="X3958" s="89"/>
      <c r="AA3958" s="725" t="s">
        <v>1758</v>
      </c>
      <c r="AB3958" s="726">
        <v>0.29166666666666669</v>
      </c>
      <c r="AC3958" s="735">
        <v>5.0000000000000001E-3</v>
      </c>
      <c r="AD3958" s="728">
        <v>2E-3</v>
      </c>
      <c r="AE3958" s="729">
        <v>6.0000000000000001E-3</v>
      </c>
      <c r="AF3958" s="730"/>
    </row>
    <row r="3959" spans="4:32" ht="24" outlineLevel="1">
      <c r="E3959" s="629">
        <v>45539</v>
      </c>
      <c r="F3959" s="202">
        <v>4.2500000000000003E-2</v>
      </c>
      <c r="G3959" s="202" t="s">
        <v>723</v>
      </c>
      <c r="H3959" s="202">
        <v>4.4999999999999998E-2</v>
      </c>
      <c r="I3959" s="995"/>
      <c r="J3959" s="996"/>
      <c r="K3959" s="997"/>
      <c r="L3959" s="99"/>
      <c r="M3959" s="100"/>
      <c r="N3959" s="729">
        <v>4.2500000000000003E-2</v>
      </c>
      <c r="O3959" s="722" t="s">
        <v>723</v>
      </c>
      <c r="P3959" s="729">
        <v>4.4999999999999998E-2</v>
      </c>
      <c r="Q3959" s="730"/>
      <c r="R3959" s="733" t="s">
        <v>1756</v>
      </c>
      <c r="S3959" s="734">
        <v>9</v>
      </c>
      <c r="T3959" s="734" t="s">
        <v>1810</v>
      </c>
      <c r="U3959" s="733">
        <v>45539</v>
      </c>
      <c r="V3959" s="89"/>
      <c r="W3959" s="89"/>
      <c r="X3959" s="89"/>
      <c r="AA3959" s="725" t="s">
        <v>1760</v>
      </c>
      <c r="AB3959" s="726">
        <v>0.29166666666666669</v>
      </c>
      <c r="AC3959" s="735">
        <v>6.0000000000000001E-3</v>
      </c>
      <c r="AD3959" s="728">
        <v>3.0000000000000001E-3</v>
      </c>
      <c r="AE3959" s="729">
        <v>1E-3</v>
      </c>
      <c r="AF3959" s="730"/>
    </row>
    <row r="3960" spans="4:32" ht="24" outlineLevel="1">
      <c r="E3960" s="629">
        <v>45497</v>
      </c>
      <c r="F3960" s="202">
        <v>4.4999999999999998E-2</v>
      </c>
      <c r="G3960" s="202" t="s">
        <v>725</v>
      </c>
      <c r="H3960" s="202">
        <v>4.7500000000000001E-2</v>
      </c>
      <c r="I3960" s="995"/>
      <c r="J3960" s="996"/>
      <c r="K3960" s="997"/>
      <c r="L3960" s="99"/>
      <c r="M3960" s="100"/>
      <c r="N3960" s="729">
        <v>4.4999999999999998E-2</v>
      </c>
      <c r="O3960" s="722" t="s">
        <v>725</v>
      </c>
      <c r="P3960" s="729">
        <v>4.7500000000000001E-2</v>
      </c>
      <c r="Q3960" s="730"/>
      <c r="R3960" s="733" t="s">
        <v>1756</v>
      </c>
      <c r="S3960" s="734">
        <v>7</v>
      </c>
      <c r="T3960" s="734" t="s">
        <v>1784</v>
      </c>
      <c r="U3960" s="733">
        <v>45497</v>
      </c>
      <c r="V3960" s="89"/>
      <c r="W3960" s="89"/>
      <c r="X3960" s="89"/>
      <c r="AA3960" s="725" t="s">
        <v>1761</v>
      </c>
      <c r="AB3960" s="726">
        <v>0.29166666666666669</v>
      </c>
      <c r="AC3960" s="729">
        <v>1E-3</v>
      </c>
      <c r="AD3960" s="728">
        <v>1E-3</v>
      </c>
      <c r="AE3960" s="729">
        <v>-4.0000000000000001E-3</v>
      </c>
      <c r="AF3960" s="730"/>
    </row>
    <row r="3961" spans="4:32" ht="25" outlineLevel="1" thickBot="1">
      <c r="E3961" s="629">
        <v>45448</v>
      </c>
      <c r="F3961" s="202">
        <v>4.7500000000000001E-2</v>
      </c>
      <c r="G3961" s="202" t="s">
        <v>726</v>
      </c>
      <c r="H3961" s="202">
        <v>0.05</v>
      </c>
      <c r="I3961" s="998"/>
      <c r="J3961" s="999"/>
      <c r="K3961" s="1000"/>
      <c r="L3961" s="102"/>
      <c r="M3961" s="103"/>
      <c r="N3961" s="729">
        <v>4.7500000000000001E-2</v>
      </c>
      <c r="O3961" s="722" t="s">
        <v>726</v>
      </c>
      <c r="P3961" s="729">
        <v>0.05</v>
      </c>
      <c r="R3961" s="733" t="s">
        <v>1756</v>
      </c>
      <c r="S3961" s="734">
        <v>6</v>
      </c>
      <c r="T3961" s="734" t="s">
        <v>1783</v>
      </c>
      <c r="U3961" s="733">
        <v>45448</v>
      </c>
      <c r="V3961" s="89"/>
      <c r="W3961" s="89"/>
      <c r="X3961" s="89"/>
      <c r="AA3961" s="725"/>
      <c r="AB3961" s="726"/>
      <c r="AC3961" s="737"/>
      <c r="AD3961" s="722"/>
      <c r="AE3961" s="732"/>
    </row>
    <row r="3962" spans="4:32" ht="25" customHeight="1" outlineLevel="1" thickBot="1">
      <c r="D3962">
        <v>1</v>
      </c>
      <c r="E3962" s="624" t="s">
        <v>30</v>
      </c>
      <c r="F3962" s="1057" t="s">
        <v>1736</v>
      </c>
      <c r="G3962" s="1058"/>
      <c r="H3962" s="1059"/>
      <c r="I3962" s="1060" t="s">
        <v>633</v>
      </c>
      <c r="J3962" s="1061"/>
      <c r="K3962" s="1062"/>
      <c r="L3962" s="158" t="s">
        <v>430</v>
      </c>
      <c r="M3962" s="105" t="s">
        <v>431</v>
      </c>
      <c r="N3962" s="33"/>
      <c r="O3962" s="33"/>
      <c r="P3962" s="33"/>
      <c r="Q3962" s="33"/>
      <c r="R3962" s="33"/>
      <c r="S3962" s="33"/>
      <c r="T3962" s="33"/>
      <c r="U3962" s="33"/>
    </row>
    <row r="3963" spans="4:32" ht="24" customHeight="1" outlineLevel="1">
      <c r="E3963" s="625" t="s">
        <v>432</v>
      </c>
      <c r="F3963" s="992"/>
      <c r="G3963" s="993"/>
      <c r="H3963" s="994"/>
      <c r="I3963" s="995" t="s">
        <v>1520</v>
      </c>
      <c r="J3963" s="996"/>
      <c r="K3963" s="997"/>
      <c r="L3963" s="99"/>
      <c r="M3963" s="100"/>
      <c r="N3963" s="33"/>
      <c r="O3963" s="33"/>
      <c r="P3963" s="33"/>
      <c r="Q3963" s="33"/>
      <c r="R3963" s="33"/>
      <c r="S3963" s="33"/>
      <c r="T3963" s="33"/>
      <c r="U3963" s="33"/>
    </row>
    <row r="3964" spans="4:32" ht="24" outlineLevel="1">
      <c r="E3964" s="626" t="s">
        <v>433</v>
      </c>
      <c r="F3964" s="1072">
        <v>5.0999999999999997E-2</v>
      </c>
      <c r="G3964" s="1073"/>
      <c r="H3964" s="1074"/>
      <c r="I3964" s="995"/>
      <c r="J3964" s="996"/>
      <c r="K3964" s="997"/>
      <c r="L3964" s="99"/>
      <c r="M3964" s="100"/>
      <c r="N3964" s="33"/>
      <c r="O3964" s="33"/>
      <c r="P3964" s="33"/>
      <c r="Q3964" s="33"/>
      <c r="R3964" s="33"/>
      <c r="S3964" s="33"/>
      <c r="T3964" s="33"/>
      <c r="U3964" s="33"/>
    </row>
    <row r="3965" spans="4:32" ht="25" outlineLevel="1" thickBot="1">
      <c r="E3965" s="626" t="s">
        <v>434</v>
      </c>
      <c r="F3965" s="1072">
        <v>0</v>
      </c>
      <c r="G3965" s="1073"/>
      <c r="H3965" s="1074"/>
      <c r="I3965" s="995"/>
      <c r="J3965" s="996"/>
      <c r="K3965" s="997"/>
      <c r="L3965" s="99"/>
      <c r="M3965" s="100"/>
      <c r="N3965" s="33"/>
      <c r="O3965" s="33"/>
      <c r="P3965" s="33"/>
      <c r="Q3965" s="33"/>
      <c r="R3965" s="33"/>
      <c r="S3965" s="33"/>
      <c r="T3965" s="33"/>
      <c r="U3965" s="33"/>
    </row>
    <row r="3966" spans="4:32" ht="25" outlineLevel="1" thickBot="1">
      <c r="E3966" s="627" t="s">
        <v>435</v>
      </c>
      <c r="F3966" s="1218">
        <v>0.77083333333333337</v>
      </c>
      <c r="G3966" s="1219"/>
      <c r="H3966" s="1220"/>
      <c r="I3966" s="995"/>
      <c r="J3966" s="996"/>
      <c r="K3966" s="997"/>
      <c r="L3966" s="647">
        <v>0</v>
      </c>
      <c r="M3966" s="648">
        <v>-0.10416666666666667</v>
      </c>
      <c r="N3966" s="33"/>
      <c r="O3966" s="33"/>
      <c r="P3966" s="33"/>
      <c r="Q3966" s="33"/>
      <c r="R3966" s="33"/>
      <c r="S3966" s="33"/>
      <c r="T3966" s="33"/>
      <c r="U3966" s="33"/>
    </row>
    <row r="3967" spans="4:32" ht="25" outlineLevel="1" thickBot="1">
      <c r="E3967" s="628" t="s">
        <v>436</v>
      </c>
      <c r="F3967" s="200" t="s">
        <v>29</v>
      </c>
      <c r="G3967" s="200" t="s">
        <v>28</v>
      </c>
      <c r="H3967" s="201" t="s">
        <v>27</v>
      </c>
      <c r="I3967" s="995"/>
      <c r="J3967" s="996"/>
      <c r="K3967" s="997"/>
      <c r="L3967" s="99"/>
      <c r="M3967" s="100"/>
      <c r="N3967" s="722" t="s">
        <v>29</v>
      </c>
      <c r="O3967" s="722" t="s">
        <v>28</v>
      </c>
      <c r="P3967" s="722" t="s">
        <v>27</v>
      </c>
      <c r="R3967" s="723" t="s">
        <v>1748</v>
      </c>
      <c r="S3967" s="724" t="s">
        <v>1749</v>
      </c>
      <c r="T3967" s="724" t="s">
        <v>34</v>
      </c>
      <c r="U3967" s="724" t="s">
        <v>35</v>
      </c>
      <c r="V3967" s="89"/>
      <c r="W3967" s="89"/>
      <c r="X3967" s="89"/>
      <c r="AA3967" s="725" t="s">
        <v>1750</v>
      </c>
      <c r="AB3967" s="726">
        <v>0.25</v>
      </c>
      <c r="AC3967" s="727">
        <v>1E-3</v>
      </c>
      <c r="AD3967" s="728">
        <v>3.0000000000000001E-3</v>
      </c>
      <c r="AE3967" s="729">
        <v>7.0000000000000001E-3</v>
      </c>
      <c r="AF3967" s="730"/>
    </row>
    <row r="3968" spans="4:32" ht="23" outlineLevel="1">
      <c r="E3968" s="657">
        <v>45686</v>
      </c>
      <c r="F3968" s="202"/>
      <c r="G3968" s="202"/>
      <c r="H3968" s="202"/>
      <c r="I3968" s="995"/>
      <c r="J3968" s="996"/>
      <c r="K3968" s="997"/>
      <c r="L3968" s="99"/>
      <c r="M3968" s="100"/>
      <c r="N3968" s="732"/>
      <c r="O3968" s="722" t="s">
        <v>754</v>
      </c>
      <c r="P3968" s="732"/>
      <c r="Q3968" s="730"/>
      <c r="R3968" s="733" t="s">
        <v>1751</v>
      </c>
      <c r="S3968" s="734">
        <v>1</v>
      </c>
      <c r="T3968" s="734" t="s">
        <v>1779</v>
      </c>
      <c r="U3968" s="733">
        <v>45686</v>
      </c>
      <c r="V3968" s="89"/>
      <c r="W3968" s="89"/>
      <c r="X3968" s="89"/>
      <c r="AA3968" s="725" t="s">
        <v>1753</v>
      </c>
      <c r="AB3968" s="726">
        <v>0.29166666666666669</v>
      </c>
      <c r="AC3968" s="735">
        <v>7.0000000000000001E-3</v>
      </c>
      <c r="AD3968" s="728">
        <v>4.0000000000000001E-3</v>
      </c>
      <c r="AE3968" s="735">
        <v>1E-3</v>
      </c>
      <c r="AF3968" s="730"/>
    </row>
    <row r="3969" spans="4:32" ht="23" outlineLevel="1">
      <c r="E3969" s="657">
        <v>45644</v>
      </c>
      <c r="F3969" s="202"/>
      <c r="G3969" s="202"/>
      <c r="H3969" s="202"/>
      <c r="I3969" s="995"/>
      <c r="J3969" s="996"/>
      <c r="K3969" s="997"/>
      <c r="L3969" s="99"/>
      <c r="M3969" s="100"/>
      <c r="N3969" s="732"/>
      <c r="O3969" s="722" t="s">
        <v>754</v>
      </c>
      <c r="P3969" s="732"/>
      <c r="Q3969" s="730"/>
      <c r="R3969" s="733" t="s">
        <v>1756</v>
      </c>
      <c r="S3969" s="734">
        <v>12</v>
      </c>
      <c r="T3969" s="734" t="s">
        <v>1781</v>
      </c>
      <c r="U3969" s="733">
        <v>45644</v>
      </c>
      <c r="V3969" s="89"/>
      <c r="W3969" s="89"/>
      <c r="X3969" s="89"/>
      <c r="AA3969" s="725" t="s">
        <v>1755</v>
      </c>
      <c r="AB3969" s="726">
        <v>0.29166666666666669</v>
      </c>
      <c r="AC3969" s="727">
        <v>0</v>
      </c>
      <c r="AD3969" s="728">
        <v>3.0000000000000001E-3</v>
      </c>
      <c r="AE3969" s="729">
        <v>5.0000000000000001E-3</v>
      </c>
      <c r="AF3969" s="730"/>
    </row>
    <row r="3970" spans="4:32" ht="23" outlineLevel="1">
      <c r="E3970" s="657">
        <v>45603</v>
      </c>
      <c r="F3970" s="202"/>
      <c r="G3970" s="202"/>
      <c r="H3970" s="202"/>
      <c r="I3970" s="995"/>
      <c r="J3970" s="996"/>
      <c r="K3970" s="997"/>
      <c r="L3970" s="649"/>
      <c r="M3970" s="100"/>
      <c r="N3970" s="732"/>
      <c r="O3970" s="722" t="s">
        <v>754</v>
      </c>
      <c r="P3970" s="732"/>
      <c r="Q3970" s="730"/>
      <c r="R3970" s="733" t="s">
        <v>1756</v>
      </c>
      <c r="S3970" s="734">
        <v>11</v>
      </c>
      <c r="T3970" s="734" t="s">
        <v>1788</v>
      </c>
      <c r="U3970" s="733">
        <v>45603</v>
      </c>
      <c r="V3970" s="89"/>
      <c r="W3970" s="89"/>
      <c r="X3970" s="89"/>
      <c r="AA3970" s="725" t="s">
        <v>1758</v>
      </c>
      <c r="AB3970" s="726">
        <v>0.29166666666666669</v>
      </c>
      <c r="AC3970" s="735">
        <v>5.0000000000000001E-3</v>
      </c>
      <c r="AD3970" s="728">
        <v>2E-3</v>
      </c>
      <c r="AE3970" s="729">
        <v>6.0000000000000001E-3</v>
      </c>
      <c r="AF3970" s="730"/>
    </row>
    <row r="3971" spans="4:32" ht="23" outlineLevel="1">
      <c r="E3971" s="657">
        <v>45553</v>
      </c>
      <c r="F3971" s="202"/>
      <c r="G3971" s="202"/>
      <c r="H3971" s="202"/>
      <c r="I3971" s="995"/>
      <c r="J3971" s="996"/>
      <c r="K3971" s="997"/>
      <c r="L3971" s="99"/>
      <c r="M3971" s="100"/>
      <c r="N3971" s="732"/>
      <c r="O3971" s="722" t="s">
        <v>754</v>
      </c>
      <c r="P3971" s="732"/>
      <c r="Q3971" s="730"/>
      <c r="R3971" s="733" t="s">
        <v>1756</v>
      </c>
      <c r="S3971" s="734">
        <v>9</v>
      </c>
      <c r="T3971" s="734" t="s">
        <v>1781</v>
      </c>
      <c r="U3971" s="733">
        <v>45553</v>
      </c>
      <c r="V3971" s="89"/>
      <c r="W3971" s="89"/>
      <c r="X3971" s="89"/>
      <c r="AA3971" s="725" t="s">
        <v>1760</v>
      </c>
      <c r="AB3971" s="726">
        <v>0.29166666666666669</v>
      </c>
      <c r="AC3971" s="735">
        <v>6.0000000000000001E-3</v>
      </c>
      <c r="AD3971" s="728">
        <v>3.0000000000000001E-3</v>
      </c>
      <c r="AE3971" s="729">
        <v>1E-3</v>
      </c>
      <c r="AF3971" s="730"/>
    </row>
    <row r="3972" spans="4:32" ht="23" outlineLevel="1">
      <c r="E3972" s="657">
        <v>45504</v>
      </c>
      <c r="F3972" s="202"/>
      <c r="G3972" s="202"/>
      <c r="H3972" s="202"/>
      <c r="I3972" s="995"/>
      <c r="J3972" s="996"/>
      <c r="K3972" s="997"/>
      <c r="L3972" s="99"/>
      <c r="M3972" s="100"/>
      <c r="N3972" s="732"/>
      <c r="O3972" s="722" t="s">
        <v>754</v>
      </c>
      <c r="P3972" s="732"/>
      <c r="Q3972" s="730"/>
      <c r="R3972" s="733" t="s">
        <v>1756</v>
      </c>
      <c r="S3972" s="734">
        <v>7</v>
      </c>
      <c r="T3972" s="734" t="s">
        <v>1757</v>
      </c>
      <c r="U3972" s="733">
        <v>45504</v>
      </c>
      <c r="V3972" s="89"/>
      <c r="W3972" s="89"/>
      <c r="X3972" s="89"/>
      <c r="AA3972" s="725" t="s">
        <v>1761</v>
      </c>
      <c r="AB3972" s="726">
        <v>0.29166666666666669</v>
      </c>
      <c r="AC3972" s="729">
        <v>1E-3</v>
      </c>
      <c r="AD3972" s="728">
        <v>1E-3</v>
      </c>
      <c r="AE3972" s="729">
        <v>-4.0000000000000001E-3</v>
      </c>
      <c r="AF3972" s="730"/>
    </row>
    <row r="3973" spans="4:32" ht="24" outlineLevel="1" thickBot="1">
      <c r="E3973" s="657">
        <v>45455</v>
      </c>
      <c r="F3973" s="202"/>
      <c r="G3973" s="202"/>
      <c r="H3973" s="202"/>
      <c r="I3973" s="998"/>
      <c r="J3973" s="999"/>
      <c r="K3973" s="1000"/>
      <c r="L3973" s="102"/>
      <c r="M3973" s="103"/>
      <c r="N3973" s="732"/>
      <c r="O3973" s="722" t="s">
        <v>754</v>
      </c>
      <c r="P3973" s="732"/>
      <c r="R3973" s="733" t="s">
        <v>1756</v>
      </c>
      <c r="S3973" s="734">
        <v>6</v>
      </c>
      <c r="T3973" s="734" t="s">
        <v>1233</v>
      </c>
      <c r="U3973" s="733">
        <v>45455</v>
      </c>
      <c r="V3973" s="89"/>
      <c r="W3973" s="89"/>
      <c r="X3973" s="89"/>
      <c r="AA3973" s="725"/>
      <c r="AB3973" s="726"/>
      <c r="AC3973" s="737"/>
      <c r="AD3973" s="722"/>
      <c r="AE3973" s="732"/>
    </row>
    <row r="3974" spans="4:32" ht="25" customHeight="1" thickBot="1">
      <c r="D3974">
        <v>1</v>
      </c>
      <c r="E3974" s="628" t="s">
        <v>30</v>
      </c>
      <c r="F3974" s="986" t="s">
        <v>1737</v>
      </c>
      <c r="G3974" s="987"/>
      <c r="H3974" s="988"/>
      <c r="I3974" s="989" t="s">
        <v>633</v>
      </c>
      <c r="J3974" s="990"/>
      <c r="K3974" s="991"/>
      <c r="L3974" s="658" t="s">
        <v>430</v>
      </c>
      <c r="M3974" s="659" t="s">
        <v>431</v>
      </c>
      <c r="N3974" s="33"/>
      <c r="O3974" s="33"/>
      <c r="P3974" s="33"/>
      <c r="Q3974" s="33"/>
      <c r="R3974" s="33"/>
      <c r="S3974" s="33"/>
      <c r="T3974" s="33"/>
      <c r="U3974" s="33"/>
    </row>
    <row r="3975" spans="4:32" ht="24" customHeight="1">
      <c r="E3975" s="625" t="s">
        <v>432</v>
      </c>
      <c r="F3975" s="992"/>
      <c r="G3975" s="993"/>
      <c r="H3975" s="994"/>
      <c r="I3975" s="995" t="s">
        <v>1738</v>
      </c>
      <c r="J3975" s="996"/>
      <c r="K3975" s="997"/>
      <c r="L3975" s="99"/>
      <c r="M3975" s="100"/>
      <c r="N3975" s="33"/>
      <c r="O3975" s="33"/>
      <c r="P3975" s="33"/>
      <c r="Q3975" s="33"/>
      <c r="R3975" s="33"/>
      <c r="S3975" s="33"/>
      <c r="T3975" s="33"/>
      <c r="U3975" s="33"/>
    </row>
    <row r="3976" spans="4:32" ht="24">
      <c r="E3976" s="626" t="s">
        <v>433</v>
      </c>
      <c r="F3976" s="1001" t="s">
        <v>1090</v>
      </c>
      <c r="G3976" s="1002"/>
      <c r="H3976" s="1003"/>
      <c r="I3976" s="995"/>
      <c r="J3976" s="996"/>
      <c r="K3976" s="997"/>
      <c r="L3976" s="99"/>
      <c r="M3976" s="100"/>
      <c r="N3976" s="33"/>
      <c r="O3976" s="33"/>
      <c r="P3976" s="33"/>
      <c r="Q3976" s="33"/>
      <c r="R3976" s="33"/>
      <c r="S3976" s="33"/>
      <c r="T3976" s="33"/>
      <c r="U3976" s="33"/>
    </row>
    <row r="3977" spans="4:32" ht="25" thickBot="1">
      <c r="E3977" s="626" t="s">
        <v>434</v>
      </c>
      <c r="F3977" s="1001">
        <v>3.0000000000000001E-3</v>
      </c>
      <c r="G3977" s="1002"/>
      <c r="H3977" s="1003"/>
      <c r="I3977" s="995"/>
      <c r="J3977" s="996"/>
      <c r="K3977" s="997"/>
      <c r="L3977" s="99"/>
      <c r="M3977" s="100"/>
      <c r="N3977" s="33"/>
      <c r="O3977" s="33"/>
      <c r="P3977" s="33"/>
      <c r="Q3977" s="33"/>
      <c r="R3977" s="33"/>
      <c r="S3977" s="33"/>
      <c r="T3977" s="33"/>
      <c r="U3977" s="33"/>
    </row>
    <row r="3978" spans="4:32" ht="25" thickBot="1">
      <c r="E3978" s="627" t="s">
        <v>435</v>
      </c>
      <c r="F3978" s="1007">
        <v>0.52083333333333337</v>
      </c>
      <c r="G3978" s="1008"/>
      <c r="H3978" s="1009"/>
      <c r="I3978" s="995"/>
      <c r="J3978" s="996"/>
      <c r="K3978" s="997"/>
      <c r="L3978" s="647">
        <v>0.75</v>
      </c>
      <c r="M3978" s="648">
        <v>0.64583333333333337</v>
      </c>
      <c r="N3978" s="33"/>
      <c r="O3978" s="33"/>
      <c r="P3978" s="33"/>
      <c r="Q3978" s="33"/>
      <c r="R3978" s="33"/>
      <c r="S3978" s="33"/>
      <c r="T3978" s="33"/>
      <c r="U3978" s="33"/>
    </row>
    <row r="3979" spans="4:32" ht="25" thickBot="1">
      <c r="E3979" s="628" t="s">
        <v>436</v>
      </c>
      <c r="F3979" s="200" t="s">
        <v>29</v>
      </c>
      <c r="G3979" s="200" t="s">
        <v>28</v>
      </c>
      <c r="H3979" s="201" t="s">
        <v>27</v>
      </c>
      <c r="I3979" s="995"/>
      <c r="J3979" s="996"/>
      <c r="K3979" s="997"/>
      <c r="L3979" s="99"/>
      <c r="M3979" s="100"/>
      <c r="N3979" s="722" t="s">
        <v>29</v>
      </c>
      <c r="O3979" s="722" t="s">
        <v>28</v>
      </c>
      <c r="P3979" s="722" t="s">
        <v>27</v>
      </c>
      <c r="R3979" s="723" t="s">
        <v>1748</v>
      </c>
      <c r="S3979" s="724" t="s">
        <v>1749</v>
      </c>
      <c r="T3979" s="724" t="s">
        <v>34</v>
      </c>
      <c r="U3979" s="724" t="s">
        <v>35</v>
      </c>
      <c r="V3979" s="89"/>
      <c r="W3979" s="89"/>
      <c r="X3979" s="89"/>
      <c r="AA3979" s="725" t="s">
        <v>1750</v>
      </c>
      <c r="AB3979" s="726">
        <v>0.25</v>
      </c>
      <c r="AC3979" s="727">
        <v>1E-3</v>
      </c>
      <c r="AD3979" s="728">
        <v>3.0000000000000001E-3</v>
      </c>
      <c r="AE3979" s="729">
        <v>7.0000000000000001E-3</v>
      </c>
      <c r="AF3979" s="730"/>
    </row>
    <row r="3980" spans="4:32" ht="24">
      <c r="E3980" s="629">
        <v>45723</v>
      </c>
      <c r="F3980" s="632">
        <v>3.0000000000000001E-3</v>
      </c>
      <c r="G3980" s="632" t="s">
        <v>467</v>
      </c>
      <c r="H3980" s="632">
        <v>4.0000000000000001E-3</v>
      </c>
      <c r="I3980" s="995"/>
      <c r="J3980" s="996"/>
      <c r="K3980" s="997"/>
      <c r="L3980" s="99"/>
      <c r="M3980" s="100"/>
      <c r="N3980" s="729">
        <v>3.0000000000000001E-3</v>
      </c>
      <c r="O3980" s="722" t="s">
        <v>467</v>
      </c>
      <c r="P3980" s="738">
        <v>4.0000000000000001E-3</v>
      </c>
      <c r="Q3980" s="730"/>
      <c r="R3980" s="733" t="s">
        <v>1751</v>
      </c>
      <c r="S3980" s="734">
        <v>3</v>
      </c>
      <c r="T3980" s="734" t="s">
        <v>1788</v>
      </c>
      <c r="U3980" s="733">
        <v>45723</v>
      </c>
      <c r="V3980" s="89"/>
      <c r="W3980" s="89"/>
      <c r="X3980" s="89"/>
      <c r="AA3980" s="725" t="s">
        <v>1753</v>
      </c>
      <c r="AB3980" s="726">
        <v>0.29166666666666669</v>
      </c>
      <c r="AC3980" s="735">
        <v>7.0000000000000001E-3</v>
      </c>
      <c r="AD3980" s="728">
        <v>4.0000000000000001E-3</v>
      </c>
      <c r="AE3980" s="735">
        <v>1E-3</v>
      </c>
      <c r="AF3980" s="730"/>
    </row>
    <row r="3981" spans="4:32" ht="24">
      <c r="E3981" s="629">
        <v>45695</v>
      </c>
      <c r="F3981" s="632">
        <v>5.0000000000000001E-3</v>
      </c>
      <c r="G3981" s="632" t="s">
        <v>467</v>
      </c>
      <c r="H3981" s="632">
        <v>3.0000000000000001E-3</v>
      </c>
      <c r="I3981" s="995"/>
      <c r="J3981" s="996"/>
      <c r="K3981" s="997"/>
      <c r="L3981" s="99"/>
      <c r="M3981" s="100"/>
      <c r="N3981" s="739">
        <v>5.0000000000000001E-3</v>
      </c>
      <c r="O3981" s="722" t="s">
        <v>467</v>
      </c>
      <c r="P3981" s="729">
        <v>3.0000000000000001E-3</v>
      </c>
      <c r="Q3981" s="730"/>
      <c r="R3981" s="733" t="s">
        <v>1751</v>
      </c>
      <c r="S3981" s="734">
        <v>2</v>
      </c>
      <c r="T3981" s="734" t="s">
        <v>1788</v>
      </c>
      <c r="U3981" s="733">
        <v>45695</v>
      </c>
      <c r="V3981" s="89"/>
      <c r="W3981" s="89"/>
      <c r="X3981" s="89"/>
      <c r="AA3981" s="725" t="s">
        <v>1755</v>
      </c>
      <c r="AB3981" s="726">
        <v>0.29166666666666669</v>
      </c>
      <c r="AC3981" s="727">
        <v>0</v>
      </c>
      <c r="AD3981" s="728">
        <v>3.0000000000000001E-3</v>
      </c>
      <c r="AE3981" s="729">
        <v>5.0000000000000001E-3</v>
      </c>
      <c r="AF3981" s="730"/>
    </row>
    <row r="3982" spans="4:32" ht="24">
      <c r="E3982" s="629">
        <v>45667</v>
      </c>
      <c r="F3982" s="632">
        <v>3.0000000000000001E-3</v>
      </c>
      <c r="G3982" s="632" t="s">
        <v>467</v>
      </c>
      <c r="H3982" s="632">
        <v>4.0000000000000001E-3</v>
      </c>
      <c r="I3982" s="995"/>
      <c r="J3982" s="996"/>
      <c r="K3982" s="997"/>
      <c r="L3982" s="649"/>
      <c r="M3982" s="100"/>
      <c r="N3982" s="729">
        <v>3.0000000000000001E-3</v>
      </c>
      <c r="O3982" s="722" t="s">
        <v>467</v>
      </c>
      <c r="P3982" s="729">
        <v>4.0000000000000001E-3</v>
      </c>
      <c r="Q3982" s="730"/>
      <c r="R3982" s="733" t="s">
        <v>1751</v>
      </c>
      <c r="S3982" s="734">
        <v>1</v>
      </c>
      <c r="T3982" s="734" t="s">
        <v>1782</v>
      </c>
      <c r="U3982" s="733">
        <v>45667</v>
      </c>
      <c r="V3982" s="89"/>
      <c r="W3982" s="89"/>
      <c r="X3982" s="89"/>
      <c r="AA3982" s="725" t="s">
        <v>1758</v>
      </c>
      <c r="AB3982" s="726">
        <v>0.29166666666666669</v>
      </c>
      <c r="AC3982" s="735">
        <v>5.0000000000000001E-3</v>
      </c>
      <c r="AD3982" s="728">
        <v>2E-3</v>
      </c>
      <c r="AE3982" s="729">
        <v>6.0000000000000001E-3</v>
      </c>
      <c r="AF3982" s="730"/>
    </row>
    <row r="3983" spans="4:32" ht="24">
      <c r="E3983" s="629">
        <v>45632</v>
      </c>
      <c r="F3983" s="632">
        <v>4.0000000000000001E-3</v>
      </c>
      <c r="G3983" s="632" t="s">
        <v>467</v>
      </c>
      <c r="H3983" s="632">
        <v>4.0000000000000001E-3</v>
      </c>
      <c r="I3983" s="995"/>
      <c r="J3983" s="996"/>
      <c r="K3983" s="997"/>
      <c r="L3983" s="99"/>
      <c r="M3983" s="100"/>
      <c r="N3983" s="739">
        <v>4.0000000000000001E-3</v>
      </c>
      <c r="O3983" s="722" t="s">
        <v>467</v>
      </c>
      <c r="P3983" s="729">
        <v>4.0000000000000001E-3</v>
      </c>
      <c r="Q3983" s="730"/>
      <c r="R3983" s="733" t="s">
        <v>1756</v>
      </c>
      <c r="S3983" s="734">
        <v>12</v>
      </c>
      <c r="T3983" s="734" t="s">
        <v>1775</v>
      </c>
      <c r="U3983" s="733">
        <v>45632</v>
      </c>
      <c r="V3983" s="89"/>
      <c r="W3983" s="89"/>
      <c r="X3983" s="89"/>
      <c r="AA3983" s="725" t="s">
        <v>1760</v>
      </c>
      <c r="AB3983" s="726">
        <v>0.29166666666666669</v>
      </c>
      <c r="AC3983" s="735">
        <v>6.0000000000000001E-3</v>
      </c>
      <c r="AD3983" s="728">
        <v>3.0000000000000001E-3</v>
      </c>
      <c r="AE3983" s="729">
        <v>1E-3</v>
      </c>
      <c r="AF3983" s="730"/>
    </row>
    <row r="3984" spans="4:32" ht="24">
      <c r="E3984" s="629">
        <v>45597</v>
      </c>
      <c r="F3984" s="632">
        <v>4.0000000000000001E-3</v>
      </c>
      <c r="G3984" s="632" t="s">
        <v>467</v>
      </c>
      <c r="H3984" s="632">
        <v>3.0000000000000001E-3</v>
      </c>
      <c r="I3984" s="995"/>
      <c r="J3984" s="996"/>
      <c r="K3984" s="997"/>
      <c r="L3984" s="99"/>
      <c r="M3984" s="100"/>
      <c r="N3984" s="739">
        <v>4.0000000000000001E-3</v>
      </c>
      <c r="O3984" s="722" t="s">
        <v>467</v>
      </c>
      <c r="P3984" s="738">
        <v>3.0000000000000001E-3</v>
      </c>
      <c r="Q3984" s="730"/>
      <c r="R3984" s="733" t="s">
        <v>1756</v>
      </c>
      <c r="S3984" s="734">
        <v>11</v>
      </c>
      <c r="T3984" s="734" t="s">
        <v>1752</v>
      </c>
      <c r="U3984" s="733">
        <v>45597</v>
      </c>
      <c r="V3984" s="89"/>
      <c r="W3984" s="89"/>
      <c r="X3984" s="89"/>
      <c r="AA3984" s="725" t="s">
        <v>1761</v>
      </c>
      <c r="AB3984" s="726">
        <v>0.29166666666666669</v>
      </c>
      <c r="AC3984" s="729">
        <v>1E-3</v>
      </c>
      <c r="AD3984" s="728">
        <v>1E-3</v>
      </c>
      <c r="AE3984" s="729">
        <v>-4.0000000000000001E-3</v>
      </c>
      <c r="AF3984" s="730"/>
    </row>
    <row r="3985" spans="4:37" ht="25" thickBot="1">
      <c r="E3985" s="629">
        <v>45569</v>
      </c>
      <c r="F3985" s="632">
        <v>4.0000000000000001E-3</v>
      </c>
      <c r="G3985" s="632" t="s">
        <v>467</v>
      </c>
      <c r="H3985" s="632">
        <v>5.0000000000000001E-3</v>
      </c>
      <c r="I3985" s="998"/>
      <c r="J3985" s="999"/>
      <c r="K3985" s="1000"/>
      <c r="L3985" s="102"/>
      <c r="M3985" s="103"/>
      <c r="N3985" s="739">
        <v>4.0000000000000001E-3</v>
      </c>
      <c r="O3985" s="722" t="s">
        <v>467</v>
      </c>
      <c r="P3985" s="739">
        <v>5.0000000000000001E-3</v>
      </c>
      <c r="R3985" s="733" t="s">
        <v>1756</v>
      </c>
      <c r="S3985" s="734">
        <v>10</v>
      </c>
      <c r="T3985" s="734" t="s">
        <v>1810</v>
      </c>
      <c r="U3985" s="733">
        <v>45569</v>
      </c>
      <c r="V3985" s="89"/>
      <c r="W3985" s="89"/>
      <c r="X3985" s="89"/>
      <c r="AA3985" s="725"/>
      <c r="AB3985" s="726"/>
      <c r="AC3985" s="737"/>
      <c r="AD3985" s="722"/>
      <c r="AE3985" s="732"/>
    </row>
    <row r="3986" spans="4:37" ht="25" customHeight="1" thickBot="1">
      <c r="D3986">
        <v>2</v>
      </c>
      <c r="E3986" s="628" t="s">
        <v>30</v>
      </c>
      <c r="F3986" s="986" t="s">
        <v>1739</v>
      </c>
      <c r="G3986" s="987"/>
      <c r="H3986" s="988"/>
      <c r="I3986" s="989" t="s">
        <v>633</v>
      </c>
      <c r="J3986" s="990"/>
      <c r="K3986" s="991"/>
      <c r="L3986" s="658" t="s">
        <v>430</v>
      </c>
      <c r="M3986" s="659" t="s">
        <v>431</v>
      </c>
      <c r="N3986" s="33"/>
      <c r="O3986" s="33"/>
      <c r="P3986" s="33"/>
      <c r="Q3986" s="33"/>
      <c r="R3986" s="33"/>
      <c r="S3986" s="33"/>
      <c r="T3986" s="33"/>
      <c r="U3986" s="33"/>
      <c r="V3986" s="89"/>
      <c r="W3986" s="89"/>
      <c r="X3986" s="89"/>
    </row>
    <row r="3987" spans="4:37" ht="24" customHeight="1">
      <c r="E3987" s="625" t="s">
        <v>432</v>
      </c>
      <c r="F3987" s="992"/>
      <c r="G3987" s="993"/>
      <c r="H3987" s="994"/>
      <c r="I3987" s="995" t="s">
        <v>1742</v>
      </c>
      <c r="J3987" s="996"/>
      <c r="K3987" s="997"/>
      <c r="L3987" s="99"/>
      <c r="M3987" s="100"/>
      <c r="N3987" s="33"/>
      <c r="O3987" s="33"/>
      <c r="P3987" s="33"/>
      <c r="Q3987" s="33"/>
      <c r="R3987" s="33"/>
      <c r="S3987" s="33"/>
      <c r="T3987" s="33"/>
      <c r="U3987" s="33"/>
      <c r="V3987" s="89"/>
      <c r="W3987" s="89"/>
      <c r="X3987" s="89"/>
    </row>
    <row r="3988" spans="4:37" ht="24">
      <c r="E3988" s="626" t="s">
        <v>433</v>
      </c>
      <c r="F3988" s="1004"/>
      <c r="G3988" s="1005"/>
      <c r="H3988" s="1006"/>
      <c r="I3988" s="995"/>
      <c r="J3988" s="996"/>
      <c r="K3988" s="997"/>
      <c r="L3988" s="99"/>
      <c r="M3988" s="100"/>
      <c r="N3988" s="33"/>
      <c r="O3988" s="33"/>
      <c r="P3988" s="33"/>
      <c r="Q3988" s="33"/>
      <c r="R3988" s="33"/>
      <c r="S3988" s="33"/>
      <c r="T3988" s="33"/>
      <c r="U3988" s="33"/>
      <c r="V3988" s="89"/>
      <c r="W3988" s="89"/>
      <c r="X3988" s="89"/>
    </row>
    <row r="3989" spans="4:37" ht="25" thickBot="1">
      <c r="E3989" s="626" t="s">
        <v>434</v>
      </c>
      <c r="F3989" s="1004" t="s">
        <v>1741</v>
      </c>
      <c r="G3989" s="1005"/>
      <c r="H3989" s="1006"/>
      <c r="I3989" s="995"/>
      <c r="J3989" s="996"/>
      <c r="K3989" s="997"/>
      <c r="L3989" s="99"/>
      <c r="M3989" s="100"/>
      <c r="N3989" s="33"/>
      <c r="O3989" s="33"/>
      <c r="P3989" s="33"/>
      <c r="Q3989" s="33"/>
      <c r="R3989" s="33"/>
      <c r="S3989" s="33"/>
      <c r="T3989" s="33"/>
      <c r="U3989" s="33"/>
      <c r="V3989" s="89"/>
      <c r="W3989" s="89"/>
      <c r="X3989" s="89"/>
    </row>
    <row r="3990" spans="4:37" ht="25" thickBot="1">
      <c r="E3990" s="627" t="s">
        <v>435</v>
      </c>
      <c r="F3990" s="1007">
        <v>0.52083333333333337</v>
      </c>
      <c r="G3990" s="1008"/>
      <c r="H3990" s="1009"/>
      <c r="I3990" s="995"/>
      <c r="J3990" s="996"/>
      <c r="K3990" s="997"/>
      <c r="L3990" s="647">
        <v>0.75</v>
      </c>
      <c r="M3990" s="648">
        <v>0.64583333333333337</v>
      </c>
      <c r="N3990" s="33"/>
      <c r="O3990" s="33"/>
      <c r="P3990" s="33"/>
      <c r="Q3990" s="33"/>
      <c r="R3990" s="33"/>
      <c r="S3990" s="33"/>
      <c r="T3990" s="33"/>
      <c r="U3990" s="33"/>
      <c r="V3990" s="89"/>
      <c r="W3990" s="89"/>
      <c r="X3990" s="89"/>
    </row>
    <row r="3991" spans="4:37" ht="73" thickBot="1">
      <c r="E3991" s="628" t="s">
        <v>436</v>
      </c>
      <c r="F3991" s="200" t="s">
        <v>29</v>
      </c>
      <c r="G3991" s="200" t="s">
        <v>28</v>
      </c>
      <c r="H3991" s="201" t="s">
        <v>27</v>
      </c>
      <c r="I3991" s="995"/>
      <c r="J3991" s="996"/>
      <c r="K3991" s="997"/>
      <c r="L3991" s="330"/>
      <c r="M3991" s="650"/>
      <c r="N3991" s="722" t="s">
        <v>29</v>
      </c>
      <c r="O3991" s="722" t="s">
        <v>28</v>
      </c>
      <c r="P3991" s="722" t="s">
        <v>27</v>
      </c>
      <c r="R3991" s="723" t="s">
        <v>1748</v>
      </c>
      <c r="S3991" s="724" t="s">
        <v>1749</v>
      </c>
      <c r="T3991" s="724" t="s">
        <v>34</v>
      </c>
      <c r="U3991" s="724" t="s">
        <v>35</v>
      </c>
      <c r="V3991" s="89"/>
      <c r="W3991" s="89"/>
      <c r="X3991" s="89"/>
      <c r="AA3991" s="725" t="s">
        <v>1869</v>
      </c>
      <c r="AB3991" s="725" t="s">
        <v>793</v>
      </c>
      <c r="AC3991" s="725" t="s">
        <v>29</v>
      </c>
      <c r="AD3991" s="725" t="s">
        <v>28</v>
      </c>
      <c r="AE3991" s="725" t="s">
        <v>27</v>
      </c>
      <c r="AF3991" s="725"/>
      <c r="AH3991" s="628" t="s">
        <v>436</v>
      </c>
      <c r="AI3991" s="200" t="s">
        <v>29</v>
      </c>
      <c r="AJ3991" s="200" t="s">
        <v>28</v>
      </c>
      <c r="AK3991" s="201" t="s">
        <v>27</v>
      </c>
    </row>
    <row r="3992" spans="4:37" ht="23" customHeight="1">
      <c r="E3992" s="629">
        <v>45723</v>
      </c>
      <c r="F3992" s="632" t="s">
        <v>1870</v>
      </c>
      <c r="G3992" s="632" t="s">
        <v>1194</v>
      </c>
      <c r="H3992" s="632" t="s">
        <v>1871</v>
      </c>
      <c r="I3992" s="995"/>
      <c r="J3992" s="996"/>
      <c r="K3992" s="997"/>
      <c r="L3992" s="99"/>
      <c r="M3992" s="100"/>
      <c r="N3992" s="736" t="s">
        <v>1741</v>
      </c>
      <c r="O3992" s="722" t="s">
        <v>1872</v>
      </c>
      <c r="P3992" s="736" t="s">
        <v>1873</v>
      </c>
      <c r="Q3992" s="730"/>
      <c r="R3992" s="733" t="s">
        <v>1751</v>
      </c>
      <c r="S3992" s="734">
        <v>3</v>
      </c>
      <c r="T3992" s="734" t="s">
        <v>1788</v>
      </c>
      <c r="U3992" s="733">
        <v>45723</v>
      </c>
      <c r="V3992" s="89"/>
      <c r="W3992" s="32" t="s">
        <v>1870</v>
      </c>
      <c r="X3992" s="32" t="s">
        <v>1194</v>
      </c>
      <c r="Y3992" s="32" t="s">
        <v>1871</v>
      </c>
      <c r="AA3992" s="725" t="s">
        <v>1874</v>
      </c>
      <c r="AB3992" s="726">
        <v>0.5625</v>
      </c>
      <c r="AC3992" s="727">
        <v>1E-3</v>
      </c>
      <c r="AD3992" s="728">
        <v>3.0000000000000001E-3</v>
      </c>
      <c r="AE3992" s="735">
        <v>0.01</v>
      </c>
      <c r="AF3992" s="730"/>
      <c r="AH3992" s="629">
        <v>45723</v>
      </c>
      <c r="AI3992" s="636">
        <v>151</v>
      </c>
      <c r="AJ3992" s="636">
        <v>159</v>
      </c>
      <c r="AK3992" s="636">
        <v>125</v>
      </c>
    </row>
    <row r="3993" spans="4:37" ht="24">
      <c r="E3993" s="629">
        <v>45695</v>
      </c>
      <c r="F3993" s="632" t="s">
        <v>1195</v>
      </c>
      <c r="G3993" s="632" t="s">
        <v>1875</v>
      </c>
      <c r="H3993" s="632" t="s">
        <v>1876</v>
      </c>
      <c r="I3993" s="995"/>
      <c r="J3993" s="996"/>
      <c r="K3993" s="997"/>
      <c r="L3993" s="99"/>
      <c r="M3993" s="100"/>
      <c r="N3993" s="736" t="s">
        <v>635</v>
      </c>
      <c r="O3993" s="722" t="s">
        <v>1877</v>
      </c>
      <c r="P3993" s="731" t="s">
        <v>1878</v>
      </c>
      <c r="Q3993" s="730"/>
      <c r="R3993" s="733" t="s">
        <v>1751</v>
      </c>
      <c r="S3993" s="734">
        <v>2</v>
      </c>
      <c r="T3993" s="734" t="s">
        <v>1788</v>
      </c>
      <c r="U3993" s="733">
        <v>45695</v>
      </c>
      <c r="V3993" s="89"/>
      <c r="W3993" s="32" t="s">
        <v>1195</v>
      </c>
      <c r="X3993" s="32" t="s">
        <v>1875</v>
      </c>
      <c r="Y3993" s="32" t="s">
        <v>1876</v>
      </c>
      <c r="AA3993" s="725" t="s">
        <v>1879</v>
      </c>
      <c r="AB3993" s="726">
        <v>0.52083333333333337</v>
      </c>
      <c r="AC3993" s="735">
        <v>5.0000000000000001E-3</v>
      </c>
      <c r="AD3993" s="728">
        <v>1E-3</v>
      </c>
      <c r="AE3993" s="735">
        <v>2E-3</v>
      </c>
      <c r="AF3993" s="730"/>
      <c r="AH3993" s="629">
        <v>45695</v>
      </c>
      <c r="AI3993" s="636">
        <v>143</v>
      </c>
      <c r="AJ3993" s="636">
        <v>169</v>
      </c>
      <c r="AK3993" s="636">
        <v>307</v>
      </c>
    </row>
    <row r="3994" spans="4:37" ht="24">
      <c r="E3994" s="629">
        <v>45667</v>
      </c>
      <c r="F3994" s="632" t="s">
        <v>1880</v>
      </c>
      <c r="G3994" s="632" t="s">
        <v>1237</v>
      </c>
      <c r="H3994" s="632" t="s">
        <v>1881</v>
      </c>
      <c r="I3994" s="995"/>
      <c r="J3994" s="996"/>
      <c r="K3994" s="997"/>
      <c r="L3994" s="649"/>
      <c r="M3994" s="100"/>
      <c r="N3994" s="731" t="s">
        <v>1882</v>
      </c>
      <c r="O3994" s="722" t="s">
        <v>614</v>
      </c>
      <c r="P3994" s="736" t="s">
        <v>1883</v>
      </c>
      <c r="Q3994" s="730"/>
      <c r="R3994" s="733" t="s">
        <v>1751</v>
      </c>
      <c r="S3994" s="734">
        <v>1</v>
      </c>
      <c r="T3994" s="734" t="s">
        <v>1782</v>
      </c>
      <c r="U3994" s="733">
        <v>45667</v>
      </c>
      <c r="V3994" s="89"/>
      <c r="W3994" s="32" t="s">
        <v>1880</v>
      </c>
      <c r="X3994" s="32" t="s">
        <v>1237</v>
      </c>
      <c r="Y3994" s="32" t="s">
        <v>1881</v>
      </c>
      <c r="AA3994" s="725" t="s">
        <v>1884</v>
      </c>
      <c r="AB3994" s="726">
        <v>0.52083333333333337</v>
      </c>
      <c r="AC3994" s="727">
        <v>1E-3</v>
      </c>
      <c r="AD3994" s="728">
        <v>2E-3</v>
      </c>
      <c r="AE3994" s="729">
        <v>4.0000000000000001E-3</v>
      </c>
      <c r="AF3994" s="730"/>
      <c r="AH3994" s="629">
        <v>45667</v>
      </c>
      <c r="AI3994" s="636">
        <v>256</v>
      </c>
      <c r="AJ3994" s="636">
        <v>164</v>
      </c>
      <c r="AK3994" s="636">
        <v>212</v>
      </c>
    </row>
    <row r="3995" spans="4:37" ht="24">
      <c r="E3995" s="629">
        <v>45632</v>
      </c>
      <c r="F3995" s="632" t="s">
        <v>978</v>
      </c>
      <c r="G3995" s="632" t="s">
        <v>1397</v>
      </c>
      <c r="H3995" s="632" t="s">
        <v>1398</v>
      </c>
      <c r="I3995" s="995"/>
      <c r="J3995" s="996"/>
      <c r="K3995" s="997"/>
      <c r="L3995" s="99"/>
      <c r="M3995" s="100"/>
      <c r="N3995" s="731" t="s">
        <v>209</v>
      </c>
      <c r="O3995" s="722" t="s">
        <v>1885</v>
      </c>
      <c r="P3995" s="731" t="s">
        <v>1886</v>
      </c>
      <c r="Q3995" s="730"/>
      <c r="R3995" s="733" t="s">
        <v>1756</v>
      </c>
      <c r="S3995" s="734">
        <v>12</v>
      </c>
      <c r="T3995" s="734" t="s">
        <v>1775</v>
      </c>
      <c r="U3995" s="733">
        <v>45632</v>
      </c>
      <c r="V3995" s="89"/>
      <c r="W3995" s="32" t="s">
        <v>978</v>
      </c>
      <c r="X3995" s="32" t="s">
        <v>1397</v>
      </c>
      <c r="Y3995" s="32" t="s">
        <v>1398</v>
      </c>
      <c r="AA3995" s="725" t="s">
        <v>1887</v>
      </c>
      <c r="AB3995" s="726">
        <v>0.52083333333333337</v>
      </c>
      <c r="AC3995" s="735">
        <v>4.0000000000000001E-3</v>
      </c>
      <c r="AD3995" s="728">
        <v>1E-3</v>
      </c>
      <c r="AE3995" s="735">
        <v>5.0000000000000001E-3</v>
      </c>
      <c r="AF3995" s="730"/>
      <c r="AH3995" s="629">
        <v>45632</v>
      </c>
      <c r="AI3995" s="636">
        <v>227</v>
      </c>
      <c r="AJ3995" s="636">
        <v>202</v>
      </c>
      <c r="AK3995" s="636">
        <v>36</v>
      </c>
    </row>
    <row r="3996" spans="4:37" ht="24">
      <c r="E3996" s="629">
        <v>45597</v>
      </c>
      <c r="F3996" s="632" t="s">
        <v>1233</v>
      </c>
      <c r="G3996" s="632" t="s">
        <v>1234</v>
      </c>
      <c r="H3996" s="632" t="s">
        <v>973</v>
      </c>
      <c r="I3996" s="995"/>
      <c r="J3996" s="996"/>
      <c r="K3996" s="997"/>
      <c r="L3996" s="99"/>
      <c r="M3996" s="100"/>
      <c r="N3996" s="736" t="s">
        <v>1888</v>
      </c>
      <c r="O3996" s="722" t="s">
        <v>1889</v>
      </c>
      <c r="P3996" s="736" t="s">
        <v>1347</v>
      </c>
      <c r="Q3996" s="730"/>
      <c r="R3996" s="733" t="s">
        <v>1756</v>
      </c>
      <c r="S3996" s="734">
        <v>11</v>
      </c>
      <c r="T3996" s="734" t="s">
        <v>1752</v>
      </c>
      <c r="U3996" s="733">
        <v>45597</v>
      </c>
      <c r="V3996" s="89"/>
      <c r="W3996" s="32" t="s">
        <v>1233</v>
      </c>
      <c r="X3996" s="32" t="s">
        <v>1234</v>
      </c>
      <c r="Y3996" s="32" t="s">
        <v>973</v>
      </c>
      <c r="AA3996" s="725" t="s">
        <v>1890</v>
      </c>
      <c r="AB3996" s="726">
        <v>0.52083333333333337</v>
      </c>
      <c r="AC3996" s="735">
        <v>4.0000000000000001E-3</v>
      </c>
      <c r="AD3996" s="728">
        <v>1E-3</v>
      </c>
      <c r="AE3996" s="735">
        <v>1E-3</v>
      </c>
      <c r="AF3996" s="730"/>
      <c r="AH3996" s="629">
        <v>45597</v>
      </c>
      <c r="AI3996" s="636">
        <v>12</v>
      </c>
      <c r="AJ3996" s="636">
        <v>106</v>
      </c>
      <c r="AK3996" s="636">
        <v>223</v>
      </c>
    </row>
    <row r="3997" spans="4:37" ht="25" thickBot="1">
      <c r="E3997" s="629">
        <v>45569</v>
      </c>
      <c r="F3997" s="632" t="s">
        <v>1235</v>
      </c>
      <c r="G3997" s="632" t="s">
        <v>1202</v>
      </c>
      <c r="H3997" s="632" t="s">
        <v>1194</v>
      </c>
      <c r="I3997" s="998"/>
      <c r="J3997" s="999"/>
      <c r="K3997" s="1000"/>
      <c r="L3997" s="102"/>
      <c r="M3997" s="103"/>
      <c r="N3997" s="731" t="s">
        <v>641</v>
      </c>
      <c r="O3997" s="722" t="s">
        <v>548</v>
      </c>
      <c r="P3997" s="731" t="s">
        <v>900</v>
      </c>
      <c r="R3997" s="733" t="s">
        <v>1756</v>
      </c>
      <c r="S3997" s="734">
        <v>10</v>
      </c>
      <c r="T3997" s="734" t="s">
        <v>1810</v>
      </c>
      <c r="U3997" s="733">
        <v>45569</v>
      </c>
      <c r="V3997" s="89"/>
      <c r="W3997" s="32" t="s">
        <v>1235</v>
      </c>
      <c r="X3997" s="32" t="s">
        <v>1202</v>
      </c>
      <c r="Y3997" s="32" t="s">
        <v>1194</v>
      </c>
      <c r="AA3997" s="725" t="s">
        <v>1891</v>
      </c>
      <c r="AB3997" s="726">
        <v>0.52083333333333337</v>
      </c>
      <c r="AC3997" s="727">
        <v>-1E-3</v>
      </c>
      <c r="AD3997" s="728">
        <v>2E-3</v>
      </c>
      <c r="AE3997" s="727">
        <v>-1E-3</v>
      </c>
      <c r="AF3997" s="730"/>
      <c r="AH3997" s="629">
        <v>45569</v>
      </c>
      <c r="AI3997" s="636">
        <v>254</v>
      </c>
      <c r="AJ3997" s="636">
        <v>147</v>
      </c>
      <c r="AK3997" s="636">
        <v>159</v>
      </c>
    </row>
    <row r="3998" spans="4:37" ht="25" customHeight="1" thickBot="1">
      <c r="D3998">
        <v>2</v>
      </c>
      <c r="E3998" s="628" t="s">
        <v>30</v>
      </c>
      <c r="F3998" s="986" t="s">
        <v>1743</v>
      </c>
      <c r="G3998" s="987"/>
      <c r="H3998" s="988"/>
      <c r="I3998" s="989" t="s">
        <v>633</v>
      </c>
      <c r="J3998" s="990"/>
      <c r="K3998" s="991"/>
      <c r="L3998" s="658" t="s">
        <v>430</v>
      </c>
      <c r="M3998" s="659" t="s">
        <v>431</v>
      </c>
      <c r="N3998" s="33"/>
      <c r="O3998" s="33"/>
      <c r="P3998" s="33"/>
      <c r="Q3998" s="33"/>
      <c r="R3998" s="33"/>
      <c r="S3998" s="33"/>
      <c r="T3998" s="33"/>
      <c r="U3998" s="33"/>
      <c r="V3998" s="89"/>
      <c r="W3998" s="89"/>
      <c r="X3998" s="89"/>
    </row>
    <row r="3999" spans="4:37" ht="24" customHeight="1">
      <c r="E3999" s="625" t="s">
        <v>432</v>
      </c>
      <c r="F3999" s="992"/>
      <c r="G3999" s="993"/>
      <c r="H3999" s="994"/>
      <c r="I3999" s="995" t="s">
        <v>1744</v>
      </c>
      <c r="J3999" s="996"/>
      <c r="K3999" s="997"/>
      <c r="L3999" s="99"/>
      <c r="M3999" s="100"/>
      <c r="N3999" s="33"/>
      <c r="O3999" s="33"/>
      <c r="P3999" s="33"/>
      <c r="Q3999" s="33"/>
      <c r="R3999" s="33"/>
      <c r="S3999" s="33"/>
      <c r="T3999" s="33"/>
      <c r="U3999" s="33"/>
      <c r="V3999" s="89"/>
      <c r="W3999" s="89"/>
      <c r="X3999" s="89"/>
    </row>
    <row r="4000" spans="4:37" ht="24">
      <c r="E4000" s="626" t="s">
        <v>433</v>
      </c>
      <c r="F4000" s="1004"/>
      <c r="G4000" s="1005"/>
      <c r="H4000" s="1006"/>
      <c r="I4000" s="995"/>
      <c r="J4000" s="996"/>
      <c r="K4000" s="997"/>
      <c r="L4000" s="99"/>
      <c r="M4000" s="100"/>
      <c r="N4000" s="33"/>
      <c r="O4000" s="33"/>
      <c r="P4000" s="33"/>
      <c r="Q4000" s="33"/>
      <c r="R4000" s="33"/>
      <c r="S4000" s="33"/>
      <c r="T4000" s="33"/>
      <c r="U4000" s="33"/>
      <c r="V4000" s="89"/>
      <c r="W4000" s="89"/>
      <c r="X4000" s="89"/>
    </row>
    <row r="4001" spans="4:32" ht="25" thickBot="1">
      <c r="E4001" s="626" t="s">
        <v>434</v>
      </c>
      <c r="F4001" s="1004">
        <v>4.1000000000000002E-2</v>
      </c>
      <c r="G4001" s="1005"/>
      <c r="H4001" s="1006"/>
      <c r="I4001" s="995"/>
      <c r="J4001" s="996"/>
      <c r="K4001" s="997"/>
      <c r="L4001" s="99"/>
      <c r="M4001" s="100"/>
      <c r="N4001" s="33"/>
      <c r="O4001" s="33"/>
      <c r="P4001" s="33"/>
      <c r="Q4001" s="33"/>
      <c r="R4001" s="33"/>
      <c r="S4001" s="33"/>
      <c r="T4001" s="33"/>
      <c r="U4001" s="33"/>
      <c r="V4001" s="89"/>
      <c r="W4001" s="89"/>
      <c r="X4001" s="89"/>
    </row>
    <row r="4002" spans="4:32" ht="25" thickBot="1">
      <c r="E4002" s="627" t="s">
        <v>435</v>
      </c>
      <c r="F4002" s="1007">
        <v>0.52083333333333337</v>
      </c>
      <c r="G4002" s="1008"/>
      <c r="H4002" s="1009"/>
      <c r="I4002" s="995"/>
      <c r="J4002" s="996"/>
      <c r="K4002" s="997"/>
      <c r="L4002" s="647">
        <v>0.75</v>
      </c>
      <c r="M4002" s="648">
        <v>0.64583333333333337</v>
      </c>
      <c r="N4002" s="33"/>
      <c r="O4002" s="33"/>
      <c r="P4002" s="33"/>
      <c r="Q4002" s="33"/>
      <c r="R4002" s="33"/>
      <c r="S4002" s="33"/>
      <c r="T4002" s="33"/>
      <c r="U4002" s="33"/>
      <c r="V4002" s="89"/>
      <c r="W4002" s="89"/>
      <c r="X4002" s="89"/>
    </row>
    <row r="4003" spans="4:32" ht="25" thickBot="1">
      <c r="E4003" s="628" t="s">
        <v>436</v>
      </c>
      <c r="F4003" s="200" t="s">
        <v>29</v>
      </c>
      <c r="G4003" s="200" t="s">
        <v>28</v>
      </c>
      <c r="H4003" s="201" t="s">
        <v>27</v>
      </c>
      <c r="I4003" s="995"/>
      <c r="J4003" s="996"/>
      <c r="K4003" s="997"/>
      <c r="L4003" s="330"/>
      <c r="M4003" s="650"/>
      <c r="N4003" s="722" t="s">
        <v>29</v>
      </c>
      <c r="O4003" s="722" t="s">
        <v>28</v>
      </c>
      <c r="P4003" s="722" t="s">
        <v>27</v>
      </c>
      <c r="R4003" s="723" t="s">
        <v>1748</v>
      </c>
      <c r="S4003" s="724" t="s">
        <v>1749</v>
      </c>
      <c r="T4003" s="724" t="s">
        <v>34</v>
      </c>
      <c r="U4003" s="724" t="s">
        <v>35</v>
      </c>
      <c r="V4003" s="89"/>
      <c r="W4003" s="89"/>
      <c r="X4003" s="89"/>
      <c r="AA4003" s="725" t="s">
        <v>1869</v>
      </c>
      <c r="AB4003" s="725" t="s">
        <v>793</v>
      </c>
      <c r="AC4003" s="725" t="s">
        <v>29</v>
      </c>
      <c r="AD4003" s="725" t="s">
        <v>28</v>
      </c>
      <c r="AE4003" s="725" t="s">
        <v>27</v>
      </c>
      <c r="AF4003" s="725"/>
    </row>
    <row r="4004" spans="4:32" ht="23" customHeight="1">
      <c r="E4004" s="629">
        <v>45723</v>
      </c>
      <c r="F4004" s="632">
        <v>4.1000000000000002E-2</v>
      </c>
      <c r="G4004" s="632" t="s">
        <v>630</v>
      </c>
      <c r="H4004" s="632">
        <v>0.04</v>
      </c>
      <c r="I4004" s="995"/>
      <c r="J4004" s="996"/>
      <c r="K4004" s="997"/>
      <c r="L4004" s="99"/>
      <c r="M4004" s="100"/>
      <c r="N4004" s="738">
        <v>4.1000000000000002E-2</v>
      </c>
      <c r="O4004" s="722" t="s">
        <v>630</v>
      </c>
      <c r="P4004" s="729">
        <v>0.04</v>
      </c>
      <c r="Q4004" s="730"/>
      <c r="R4004" s="733" t="s">
        <v>1751</v>
      </c>
      <c r="S4004" s="734">
        <v>3</v>
      </c>
      <c r="T4004" s="734" t="s">
        <v>1788</v>
      </c>
      <c r="U4004" s="733">
        <v>45723</v>
      </c>
      <c r="V4004" s="89"/>
      <c r="W4004" s="32" t="s">
        <v>1763</v>
      </c>
      <c r="X4004" s="32" t="s">
        <v>1892</v>
      </c>
      <c r="Y4004" s="32" t="s">
        <v>1763</v>
      </c>
      <c r="AA4004" s="725" t="s">
        <v>1874</v>
      </c>
      <c r="AB4004" s="726">
        <v>0.5625</v>
      </c>
      <c r="AC4004" s="727">
        <v>1E-3</v>
      </c>
      <c r="AD4004" s="728">
        <v>3.0000000000000001E-3</v>
      </c>
      <c r="AE4004" s="735">
        <v>0.01</v>
      </c>
      <c r="AF4004" s="730"/>
    </row>
    <row r="4005" spans="4:32" ht="24">
      <c r="E4005" s="629">
        <v>45695</v>
      </c>
      <c r="F4005" s="632">
        <v>0.04</v>
      </c>
      <c r="G4005" s="632" t="s">
        <v>629</v>
      </c>
      <c r="H4005" s="632">
        <v>4.1000000000000002E-2</v>
      </c>
      <c r="I4005" s="995"/>
      <c r="J4005" s="996"/>
      <c r="K4005" s="997"/>
      <c r="L4005" s="99"/>
      <c r="M4005" s="100"/>
      <c r="N4005" s="739">
        <v>0.04</v>
      </c>
      <c r="O4005" s="722" t="s">
        <v>629</v>
      </c>
      <c r="P4005" s="729">
        <v>4.1000000000000002E-2</v>
      </c>
      <c r="Q4005" s="730"/>
      <c r="R4005" s="733" t="s">
        <v>1751</v>
      </c>
      <c r="S4005" s="734">
        <v>2</v>
      </c>
      <c r="T4005" s="734" t="s">
        <v>1788</v>
      </c>
      <c r="U4005" s="733">
        <v>45695</v>
      </c>
      <c r="V4005" s="89"/>
      <c r="W4005" s="32" t="s">
        <v>1763</v>
      </c>
      <c r="X4005" s="32" t="s">
        <v>1893</v>
      </c>
      <c r="Y4005" s="32" t="s">
        <v>1763</v>
      </c>
      <c r="AA4005" s="725" t="s">
        <v>1879</v>
      </c>
      <c r="AB4005" s="726">
        <v>0.52083333333333337</v>
      </c>
      <c r="AC4005" s="735">
        <v>5.0000000000000001E-3</v>
      </c>
      <c r="AD4005" s="728">
        <v>1E-3</v>
      </c>
      <c r="AE4005" s="735">
        <v>2E-3</v>
      </c>
      <c r="AF4005" s="730"/>
    </row>
    <row r="4006" spans="4:32" ht="24">
      <c r="E4006" s="629">
        <v>45667</v>
      </c>
      <c r="F4006" s="632">
        <v>4.1000000000000002E-2</v>
      </c>
      <c r="G4006" s="632" t="s">
        <v>628</v>
      </c>
      <c r="H4006" s="632">
        <v>4.2000000000000003E-2</v>
      </c>
      <c r="I4006" s="995"/>
      <c r="J4006" s="996"/>
      <c r="K4006" s="997"/>
      <c r="L4006" s="649"/>
      <c r="M4006" s="100"/>
      <c r="N4006" s="739">
        <v>4.1000000000000002E-2</v>
      </c>
      <c r="O4006" s="722" t="s">
        <v>628</v>
      </c>
      <c r="P4006" s="729">
        <v>4.2000000000000003E-2</v>
      </c>
      <c r="Q4006" s="730"/>
      <c r="R4006" s="733" t="s">
        <v>1751</v>
      </c>
      <c r="S4006" s="734">
        <v>1</v>
      </c>
      <c r="T4006" s="734" t="s">
        <v>1782</v>
      </c>
      <c r="U4006" s="733">
        <v>45667</v>
      </c>
      <c r="V4006" s="89"/>
      <c r="W4006" s="32" t="s">
        <v>1763</v>
      </c>
      <c r="X4006" s="32" t="s">
        <v>1894</v>
      </c>
      <c r="Y4006" s="32" t="s">
        <v>1763</v>
      </c>
      <c r="AA4006" s="725" t="s">
        <v>1884</v>
      </c>
      <c r="AB4006" s="726">
        <v>0.52083333333333337</v>
      </c>
      <c r="AC4006" s="727">
        <v>1E-3</v>
      </c>
      <c r="AD4006" s="728">
        <v>2E-3</v>
      </c>
      <c r="AE4006" s="729">
        <v>4.0000000000000001E-3</v>
      </c>
      <c r="AF4006" s="730"/>
    </row>
    <row r="4007" spans="4:32" ht="24">
      <c r="E4007" s="629">
        <v>45632</v>
      </c>
      <c r="F4007" s="632">
        <v>4.2000000000000003E-2</v>
      </c>
      <c r="G4007" s="632" t="s">
        <v>628</v>
      </c>
      <c r="H4007" s="632">
        <v>4.1000000000000002E-2</v>
      </c>
      <c r="I4007" s="995"/>
      <c r="J4007" s="996"/>
      <c r="K4007" s="997"/>
      <c r="L4007" s="99"/>
      <c r="M4007" s="100"/>
      <c r="N4007" s="729">
        <v>4.2000000000000003E-2</v>
      </c>
      <c r="O4007" s="722" t="s">
        <v>628</v>
      </c>
      <c r="P4007" s="729">
        <v>4.1000000000000002E-2</v>
      </c>
      <c r="Q4007" s="730"/>
      <c r="R4007" s="733" t="s">
        <v>1756</v>
      </c>
      <c r="S4007" s="734">
        <v>12</v>
      </c>
      <c r="T4007" s="734" t="s">
        <v>1775</v>
      </c>
      <c r="U4007" s="733">
        <v>45632</v>
      </c>
      <c r="V4007" s="89"/>
      <c r="W4007" s="32" t="s">
        <v>1763</v>
      </c>
      <c r="X4007" s="32" t="s">
        <v>1894</v>
      </c>
      <c r="Y4007" s="32" t="s">
        <v>1763</v>
      </c>
      <c r="AA4007" s="725" t="s">
        <v>1887</v>
      </c>
      <c r="AB4007" s="726">
        <v>0.52083333333333337</v>
      </c>
      <c r="AC4007" s="735">
        <v>4.0000000000000001E-3</v>
      </c>
      <c r="AD4007" s="728">
        <v>1E-3</v>
      </c>
      <c r="AE4007" s="735">
        <v>5.0000000000000001E-3</v>
      </c>
      <c r="AF4007" s="730"/>
    </row>
    <row r="4008" spans="4:32" ht="24">
      <c r="E4008" s="629">
        <v>45597</v>
      </c>
      <c r="F4008" s="632">
        <v>4.1000000000000002E-2</v>
      </c>
      <c r="G4008" s="632" t="s">
        <v>629</v>
      </c>
      <c r="H4008" s="632">
        <v>4.1000000000000002E-2</v>
      </c>
      <c r="I4008" s="995"/>
      <c r="J4008" s="996"/>
      <c r="K4008" s="997"/>
      <c r="L4008" s="99"/>
      <c r="M4008" s="100"/>
      <c r="N4008" s="729">
        <v>4.1000000000000002E-2</v>
      </c>
      <c r="O4008" s="722" t="s">
        <v>629</v>
      </c>
      <c r="P4008" s="729">
        <v>4.1000000000000002E-2</v>
      </c>
      <c r="Q4008" s="730"/>
      <c r="R4008" s="733" t="s">
        <v>1756</v>
      </c>
      <c r="S4008" s="734">
        <v>11</v>
      </c>
      <c r="T4008" s="734" t="s">
        <v>1752</v>
      </c>
      <c r="U4008" s="733">
        <v>45597</v>
      </c>
      <c r="V4008" s="89"/>
      <c r="W4008" s="32" t="s">
        <v>1763</v>
      </c>
      <c r="X4008" s="32" t="s">
        <v>1893</v>
      </c>
      <c r="Y4008" s="32" t="s">
        <v>1763</v>
      </c>
      <c r="AA4008" s="725" t="s">
        <v>1890</v>
      </c>
      <c r="AB4008" s="726">
        <v>0.52083333333333337</v>
      </c>
      <c r="AC4008" s="735">
        <v>4.0000000000000001E-3</v>
      </c>
      <c r="AD4008" s="728">
        <v>1E-3</v>
      </c>
      <c r="AE4008" s="735">
        <v>1E-3</v>
      </c>
      <c r="AF4008" s="730"/>
    </row>
    <row r="4009" spans="4:32" ht="25" thickBot="1">
      <c r="E4009" s="629">
        <v>45569</v>
      </c>
      <c r="F4009" s="632">
        <v>4.1000000000000002E-2</v>
      </c>
      <c r="G4009" s="632" t="s">
        <v>628</v>
      </c>
      <c r="H4009" s="632">
        <v>4.2000000000000003E-2</v>
      </c>
      <c r="I4009" s="998"/>
      <c r="J4009" s="999"/>
      <c r="K4009" s="1000"/>
      <c r="L4009" s="102"/>
      <c r="M4009" s="103"/>
      <c r="N4009" s="739">
        <v>4.1000000000000002E-2</v>
      </c>
      <c r="O4009" s="722" t="s">
        <v>628</v>
      </c>
      <c r="P4009" s="729">
        <v>4.2000000000000003E-2</v>
      </c>
      <c r="R4009" s="733" t="s">
        <v>1756</v>
      </c>
      <c r="S4009" s="734">
        <v>10</v>
      </c>
      <c r="T4009" s="734" t="s">
        <v>1810</v>
      </c>
      <c r="U4009" s="733">
        <v>45569</v>
      </c>
      <c r="V4009" s="89"/>
      <c r="W4009" s="32" t="s">
        <v>1763</v>
      </c>
      <c r="X4009" s="32" t="s">
        <v>1894</v>
      </c>
      <c r="Y4009" s="32" t="s">
        <v>1763</v>
      </c>
      <c r="AA4009" s="725" t="s">
        <v>1891</v>
      </c>
      <c r="AB4009" s="726">
        <v>0.52083333333333337</v>
      </c>
      <c r="AC4009" s="727">
        <v>-1E-3</v>
      </c>
      <c r="AD4009" s="728">
        <v>2E-3</v>
      </c>
      <c r="AE4009" s="727">
        <v>-1E-3</v>
      </c>
      <c r="AF4009" s="730"/>
    </row>
    <row r="4010" spans="4:32" ht="25" customHeight="1" thickBot="1">
      <c r="D4010">
        <v>3</v>
      </c>
      <c r="E4010" s="628" t="s">
        <v>30</v>
      </c>
      <c r="F4010" s="986" t="s">
        <v>1745</v>
      </c>
      <c r="G4010" s="987"/>
      <c r="H4010" s="988"/>
      <c r="I4010" s="989" t="s">
        <v>633</v>
      </c>
      <c r="J4010" s="990"/>
      <c r="K4010" s="991"/>
      <c r="L4010" s="658" t="s">
        <v>430</v>
      </c>
      <c r="M4010" s="659" t="s">
        <v>431</v>
      </c>
      <c r="N4010" s="33"/>
      <c r="O4010" s="33"/>
      <c r="P4010" s="33"/>
      <c r="Q4010" s="33"/>
      <c r="R4010" s="33"/>
      <c r="S4010" s="33"/>
      <c r="T4010" s="33"/>
      <c r="U4010" s="33"/>
      <c r="V4010" s="89"/>
      <c r="W4010" s="89"/>
      <c r="X4010" s="89"/>
    </row>
    <row r="4011" spans="4:32" ht="24" customHeight="1">
      <c r="E4011" s="625" t="s">
        <v>432</v>
      </c>
      <c r="F4011" s="992"/>
      <c r="G4011" s="993"/>
      <c r="H4011" s="994"/>
      <c r="I4011" s="995" t="s">
        <v>1746</v>
      </c>
      <c r="J4011" s="996"/>
      <c r="K4011" s="997"/>
      <c r="L4011" s="99"/>
      <c r="M4011" s="100"/>
      <c r="N4011" s="33"/>
      <c r="O4011" s="33"/>
      <c r="P4011" s="33"/>
      <c r="Q4011" s="33"/>
      <c r="R4011" s="33"/>
      <c r="S4011" s="33"/>
      <c r="T4011" s="33"/>
      <c r="U4011" s="33"/>
      <c r="V4011" s="89"/>
      <c r="W4011" s="89"/>
      <c r="X4011" s="89"/>
    </row>
    <row r="4012" spans="4:32" ht="24">
      <c r="E4012" s="626" t="s">
        <v>433</v>
      </c>
      <c r="F4012" s="1004"/>
      <c r="G4012" s="1005"/>
      <c r="H4012" s="1006"/>
      <c r="I4012" s="995"/>
      <c r="J4012" s="996"/>
      <c r="K4012" s="997"/>
      <c r="L4012" s="99"/>
      <c r="M4012" s="100"/>
      <c r="N4012" s="33"/>
      <c r="O4012" s="33"/>
      <c r="P4012" s="33"/>
      <c r="Q4012" s="33"/>
      <c r="R4012" s="33"/>
      <c r="S4012" s="33"/>
      <c r="T4012" s="33"/>
      <c r="U4012" s="33"/>
      <c r="V4012" s="89"/>
      <c r="W4012" s="89"/>
      <c r="X4012" s="89"/>
    </row>
    <row r="4013" spans="4:32" ht="25" thickBot="1">
      <c r="E4013" s="626" t="s">
        <v>434</v>
      </c>
      <c r="F4013" s="1022">
        <v>18.100000000000001</v>
      </c>
      <c r="G4013" s="1005"/>
      <c r="H4013" s="1006"/>
      <c r="I4013" s="995"/>
      <c r="J4013" s="996"/>
      <c r="K4013" s="997"/>
      <c r="L4013" s="99"/>
      <c r="M4013" s="100"/>
      <c r="N4013" s="33"/>
      <c r="O4013" s="33"/>
      <c r="P4013" s="33"/>
      <c r="Q4013" s="33"/>
      <c r="R4013" s="33"/>
      <c r="S4013" s="33"/>
      <c r="T4013" s="33"/>
      <c r="U4013" s="33"/>
      <c r="V4013" s="89"/>
      <c r="W4013" s="89"/>
      <c r="X4013" s="89"/>
    </row>
    <row r="4014" spans="4:32" ht="24" thickBot="1">
      <c r="D4014" t="s">
        <v>435</v>
      </c>
      <c r="E4014" s="627">
        <v>0.64236111111111116</v>
      </c>
      <c r="F4014" s="1007"/>
      <c r="G4014" s="1008"/>
      <c r="H4014" s="1009"/>
      <c r="I4014" s="995"/>
      <c r="J4014" s="996"/>
      <c r="K4014" s="997">
        <v>0.87152777777777779</v>
      </c>
      <c r="L4014" s="647">
        <v>0.76736111111111116</v>
      </c>
      <c r="N4014" s="33"/>
      <c r="O4014" s="33"/>
      <c r="P4014" s="33"/>
      <c r="Q4014" s="33"/>
      <c r="R4014" s="33"/>
      <c r="S4014" s="33"/>
      <c r="T4014" s="33"/>
      <c r="U4014" s="33"/>
      <c r="V4014" s="89"/>
      <c r="W4014" s="89"/>
      <c r="X4014" s="89"/>
    </row>
    <row r="4015" spans="4:32" ht="25" thickBot="1">
      <c r="D4015" t="s">
        <v>436</v>
      </c>
      <c r="E4015" s="628" t="s">
        <v>29</v>
      </c>
      <c r="F4015" s="200" t="s">
        <v>28</v>
      </c>
      <c r="G4015" s="200" t="s">
        <v>27</v>
      </c>
      <c r="H4015" s="201"/>
      <c r="I4015" s="995"/>
      <c r="J4015" s="996"/>
      <c r="K4015" s="997"/>
      <c r="L4015" s="330"/>
      <c r="M4015" s="722" t="s">
        <v>436</v>
      </c>
      <c r="N4015" s="722" t="s">
        <v>29</v>
      </c>
      <c r="O4015" s="722" t="s">
        <v>28</v>
      </c>
      <c r="P4015" s="722" t="s">
        <v>27</v>
      </c>
      <c r="R4015" s="723" t="s">
        <v>1748</v>
      </c>
      <c r="S4015" s="724" t="s">
        <v>1749</v>
      </c>
      <c r="T4015" s="724" t="s">
        <v>34</v>
      </c>
      <c r="U4015" s="724" t="s">
        <v>35</v>
      </c>
      <c r="V4015" s="89"/>
      <c r="W4015" s="89"/>
      <c r="X4015" s="89"/>
      <c r="AA4015" s="725" t="s">
        <v>1869</v>
      </c>
      <c r="AB4015" s="725" t="s">
        <v>793</v>
      </c>
      <c r="AC4015" s="725" t="s">
        <v>29</v>
      </c>
      <c r="AD4015" s="725" t="s">
        <v>28</v>
      </c>
      <c r="AE4015" s="725" t="s">
        <v>27</v>
      </c>
      <c r="AF4015" s="725"/>
    </row>
    <row r="4016" spans="4:32" ht="23" customHeight="1">
      <c r="D4016">
        <v>45723</v>
      </c>
      <c r="E4016" s="629">
        <v>0</v>
      </c>
      <c r="F4016" s="633" t="s">
        <v>754</v>
      </c>
      <c r="G4016" s="633">
        <v>0</v>
      </c>
      <c r="H4016" s="633"/>
      <c r="I4016" s="995"/>
      <c r="J4016" s="996"/>
      <c r="K4016" s="997"/>
      <c r="L4016" s="99"/>
      <c r="M4016" s="725" t="s">
        <v>1868</v>
      </c>
      <c r="N4016" s="732"/>
      <c r="O4016" s="722" t="s">
        <v>754</v>
      </c>
      <c r="P4016" s="732"/>
      <c r="Q4016" s="730"/>
      <c r="R4016" s="733" t="s">
        <v>1751</v>
      </c>
      <c r="S4016" s="734">
        <v>3</v>
      </c>
      <c r="T4016" s="734" t="s">
        <v>1788</v>
      </c>
      <c r="U4016" s="733">
        <v>45723</v>
      </c>
      <c r="V4016" s="89"/>
      <c r="W4016" s="32" t="s">
        <v>1090</v>
      </c>
      <c r="X4016" s="32" t="s">
        <v>754</v>
      </c>
      <c r="Y4016" s="32" t="s">
        <v>1090</v>
      </c>
      <c r="AA4016" s="725" t="s">
        <v>1874</v>
      </c>
      <c r="AB4016" s="726">
        <v>0.5625</v>
      </c>
      <c r="AC4016" s="727">
        <v>1E-3</v>
      </c>
      <c r="AD4016" s="728">
        <v>3.0000000000000001E-3</v>
      </c>
      <c r="AE4016" s="735">
        <v>0.01</v>
      </c>
      <c r="AF4016" s="730"/>
    </row>
    <row r="4017" spans="3:32" ht="24">
      <c r="D4017">
        <v>45630</v>
      </c>
      <c r="E4017" s="629">
        <v>0</v>
      </c>
      <c r="F4017" s="633" t="s">
        <v>754</v>
      </c>
      <c r="G4017" s="633">
        <v>0</v>
      </c>
      <c r="H4017" s="633"/>
      <c r="I4017" s="995"/>
      <c r="J4017" s="996"/>
      <c r="K4017" s="997"/>
      <c r="L4017" s="99"/>
      <c r="M4017" s="725" t="s">
        <v>1837</v>
      </c>
      <c r="N4017" s="732"/>
      <c r="O4017" s="722" t="s">
        <v>754</v>
      </c>
      <c r="P4017" s="732"/>
      <c r="Q4017" s="730"/>
      <c r="R4017" s="733" t="s">
        <v>1756</v>
      </c>
      <c r="S4017" s="734">
        <v>12</v>
      </c>
      <c r="T4017" s="734" t="s">
        <v>1810</v>
      </c>
      <c r="U4017" s="733">
        <v>45630</v>
      </c>
      <c r="V4017" s="89"/>
      <c r="W4017" s="32" t="s">
        <v>1090</v>
      </c>
      <c r="X4017" s="32" t="s">
        <v>754</v>
      </c>
      <c r="Y4017" s="32" t="s">
        <v>1090</v>
      </c>
      <c r="AA4017" s="725" t="s">
        <v>1879</v>
      </c>
      <c r="AB4017" s="726">
        <v>0.52083333333333337</v>
      </c>
      <c r="AC4017" s="735">
        <v>5.0000000000000001E-3</v>
      </c>
      <c r="AD4017" s="728">
        <v>1E-3</v>
      </c>
      <c r="AE4017" s="735">
        <v>2E-3</v>
      </c>
      <c r="AF4017" s="730"/>
    </row>
    <row r="4018" spans="3:32" ht="24">
      <c r="D4018">
        <v>45610</v>
      </c>
      <c r="E4018" s="629">
        <v>0</v>
      </c>
      <c r="F4018" s="633" t="s">
        <v>754</v>
      </c>
      <c r="G4018" s="633">
        <v>0</v>
      </c>
      <c r="H4018" s="633"/>
      <c r="I4018" s="995"/>
      <c r="J4018" s="996"/>
      <c r="K4018" s="997"/>
      <c r="L4018" s="649"/>
      <c r="M4018" s="725" t="s">
        <v>1895</v>
      </c>
      <c r="N4018" s="732"/>
      <c r="O4018" s="722" t="s">
        <v>754</v>
      </c>
      <c r="P4018" s="732"/>
      <c r="R4018" s="733" t="s">
        <v>1756</v>
      </c>
      <c r="S4018" s="734">
        <v>11</v>
      </c>
      <c r="T4018" s="734" t="s">
        <v>1762</v>
      </c>
      <c r="U4018" s="733">
        <v>45610</v>
      </c>
      <c r="V4018" s="89"/>
      <c r="W4018" s="32" t="s">
        <v>1090</v>
      </c>
      <c r="X4018" s="32" t="s">
        <v>754</v>
      </c>
      <c r="Y4018" s="32" t="s">
        <v>1090</v>
      </c>
      <c r="AA4018" s="725" t="s">
        <v>1884</v>
      </c>
      <c r="AB4018" s="726">
        <v>0.52083333333333337</v>
      </c>
      <c r="AC4018" s="727">
        <v>1E-3</v>
      </c>
      <c r="AD4018" s="728">
        <v>2E-3</v>
      </c>
      <c r="AE4018" s="729">
        <v>4.0000000000000001E-3</v>
      </c>
      <c r="AF4018" s="730"/>
    </row>
    <row r="4019" spans="3:32" ht="24">
      <c r="D4019">
        <v>45723</v>
      </c>
      <c r="E4019" s="629">
        <v>0</v>
      </c>
      <c r="F4019" s="633" t="s">
        <v>754</v>
      </c>
      <c r="G4019" s="633">
        <v>0</v>
      </c>
      <c r="H4019" s="633"/>
      <c r="I4019" s="995"/>
      <c r="J4019" s="996"/>
      <c r="K4019" s="997"/>
      <c r="L4019" s="99"/>
      <c r="M4019" s="725" t="s">
        <v>1868</v>
      </c>
      <c r="N4019" s="732"/>
      <c r="O4019" s="722" t="s">
        <v>754</v>
      </c>
      <c r="P4019" s="732"/>
      <c r="Q4019" s="730"/>
      <c r="R4019" s="733" t="s">
        <v>1751</v>
      </c>
      <c r="S4019" s="734">
        <v>3</v>
      </c>
      <c r="T4019" s="734" t="s">
        <v>1788</v>
      </c>
      <c r="U4019" s="733">
        <v>45723</v>
      </c>
      <c r="V4019" s="89"/>
      <c r="W4019" s="32" t="s">
        <v>1090</v>
      </c>
      <c r="X4019" s="32" t="s">
        <v>754</v>
      </c>
      <c r="Y4019" s="32" t="s">
        <v>1090</v>
      </c>
      <c r="AA4019" s="725" t="s">
        <v>1887</v>
      </c>
      <c r="AB4019" s="726">
        <v>0.52083333333333337</v>
      </c>
      <c r="AC4019" s="735">
        <v>4.0000000000000001E-3</v>
      </c>
      <c r="AD4019" s="728">
        <v>1E-3</v>
      </c>
      <c r="AE4019" s="735">
        <v>5.0000000000000001E-3</v>
      </c>
      <c r="AF4019" s="730"/>
    </row>
    <row r="4020" spans="3:32" ht="24">
      <c r="D4020">
        <v>45630</v>
      </c>
      <c r="E4020" s="629">
        <v>0</v>
      </c>
      <c r="F4020" s="633" t="s">
        <v>754</v>
      </c>
      <c r="G4020" s="633">
        <v>0</v>
      </c>
      <c r="H4020" s="633"/>
      <c r="I4020" s="995"/>
      <c r="J4020" s="996"/>
      <c r="K4020" s="997"/>
      <c r="L4020" s="99"/>
      <c r="M4020" s="725" t="s">
        <v>1837</v>
      </c>
      <c r="N4020" s="732"/>
      <c r="O4020" s="722" t="s">
        <v>754</v>
      </c>
      <c r="P4020" s="732"/>
      <c r="Q4020" s="730"/>
      <c r="R4020" s="733" t="s">
        <v>1756</v>
      </c>
      <c r="S4020" s="734">
        <v>12</v>
      </c>
      <c r="T4020" s="734" t="s">
        <v>1810</v>
      </c>
      <c r="U4020" s="733">
        <v>45630</v>
      </c>
      <c r="V4020" s="89"/>
      <c r="W4020" s="32" t="s">
        <v>1090</v>
      </c>
      <c r="X4020" s="32" t="s">
        <v>754</v>
      </c>
      <c r="Y4020" s="32" t="s">
        <v>1090</v>
      </c>
      <c r="AA4020" s="725" t="s">
        <v>1890</v>
      </c>
      <c r="AB4020" s="726">
        <v>0.52083333333333337</v>
      </c>
      <c r="AC4020" s="735">
        <v>4.0000000000000001E-3</v>
      </c>
      <c r="AD4020" s="728">
        <v>1E-3</v>
      </c>
      <c r="AE4020" s="735">
        <v>1E-3</v>
      </c>
      <c r="AF4020" s="730"/>
    </row>
    <row r="4021" spans="3:32" ht="25" thickBot="1">
      <c r="D4021">
        <v>45610</v>
      </c>
      <c r="E4021" s="629">
        <v>0</v>
      </c>
      <c r="F4021" s="633" t="s">
        <v>754</v>
      </c>
      <c r="G4021" s="633">
        <v>0</v>
      </c>
      <c r="H4021" s="633"/>
      <c r="I4021" s="998"/>
      <c r="J4021" s="999"/>
      <c r="K4021" s="1000"/>
      <c r="L4021" s="102"/>
      <c r="M4021" s="725" t="s">
        <v>1895</v>
      </c>
      <c r="N4021" s="732"/>
      <c r="O4021" s="722" t="s">
        <v>754</v>
      </c>
      <c r="P4021" s="732"/>
      <c r="R4021" s="733" t="s">
        <v>1756</v>
      </c>
      <c r="S4021" s="734">
        <v>11</v>
      </c>
      <c r="T4021" s="734" t="s">
        <v>1762</v>
      </c>
      <c r="U4021" s="733">
        <v>45610</v>
      </c>
      <c r="V4021" s="89"/>
      <c r="W4021" s="32" t="s">
        <v>1090</v>
      </c>
      <c r="X4021" s="32" t="s">
        <v>754</v>
      </c>
      <c r="Y4021" s="32" t="s">
        <v>1090</v>
      </c>
      <c r="AA4021" s="725" t="s">
        <v>1891</v>
      </c>
      <c r="AB4021" s="726">
        <v>0.52083333333333337</v>
      </c>
      <c r="AC4021" s="727">
        <v>-1E-3</v>
      </c>
      <c r="AD4021" s="728">
        <v>2E-3</v>
      </c>
      <c r="AE4021" s="727">
        <v>-1E-3</v>
      </c>
      <c r="AF4021" s="730"/>
    </row>
    <row r="4022" spans="3:32" ht="25" customHeight="1" thickBot="1">
      <c r="C4022" t="s">
        <v>105</v>
      </c>
      <c r="D4022">
        <v>1</v>
      </c>
      <c r="E4022" s="756" t="s">
        <v>30</v>
      </c>
      <c r="F4022" s="1066" t="s">
        <v>1897</v>
      </c>
      <c r="G4022" s="1067"/>
      <c r="H4022" s="1068"/>
      <c r="I4022" s="1069" t="s">
        <v>633</v>
      </c>
      <c r="J4022" s="1070"/>
      <c r="K4022" s="1071"/>
      <c r="L4022" s="158" t="s">
        <v>430</v>
      </c>
      <c r="M4022" s="105" t="s">
        <v>431</v>
      </c>
    </row>
    <row r="4023" spans="3:32" ht="24" customHeight="1">
      <c r="E4023" s="625" t="s">
        <v>432</v>
      </c>
      <c r="F4023" s="992"/>
      <c r="G4023" s="993"/>
      <c r="H4023" s="994"/>
      <c r="I4023" s="995" t="s">
        <v>1898</v>
      </c>
      <c r="J4023" s="996"/>
      <c r="K4023" s="997"/>
      <c r="L4023" s="99"/>
      <c r="M4023" s="100"/>
    </row>
    <row r="4024" spans="3:32" ht="24">
      <c r="E4024" s="626" t="s">
        <v>433</v>
      </c>
      <c r="F4024" s="1072"/>
      <c r="G4024" s="1073"/>
      <c r="H4024" s="1074"/>
      <c r="I4024" s="995"/>
      <c r="J4024" s="996"/>
      <c r="K4024" s="997"/>
      <c r="L4024" s="99"/>
      <c r="M4024" s="100"/>
    </row>
    <row r="4025" spans="3:32" ht="25" thickBot="1">
      <c r="E4025" s="626" t="s">
        <v>434</v>
      </c>
      <c r="F4025" s="1063">
        <v>3.7499999999999999E-2</v>
      </c>
      <c r="G4025" s="1064"/>
      <c r="H4025" s="1065"/>
      <c r="I4025" s="995"/>
      <c r="J4025" s="996"/>
      <c r="K4025" s="997"/>
      <c r="L4025" s="99"/>
      <c r="M4025" s="100"/>
    </row>
    <row r="4026" spans="3:32" ht="25" thickBot="1">
      <c r="E4026" s="627" t="s">
        <v>435</v>
      </c>
      <c r="F4026" s="1007">
        <v>8.3333333333333329E-2</v>
      </c>
      <c r="G4026" s="1008"/>
      <c r="H4026" s="1009"/>
      <c r="I4026" s="995"/>
      <c r="J4026" s="996"/>
      <c r="K4026" s="997"/>
      <c r="L4026" s="647">
        <v>0.3125</v>
      </c>
      <c r="M4026" s="648">
        <v>0.20833333333333334</v>
      </c>
    </row>
    <row r="4027" spans="3:32" ht="25" thickBot="1">
      <c r="E4027" s="628" t="s">
        <v>436</v>
      </c>
      <c r="F4027" s="200" t="s">
        <v>29</v>
      </c>
      <c r="G4027" s="200" t="s">
        <v>28</v>
      </c>
      <c r="H4027" s="201" t="s">
        <v>27</v>
      </c>
      <c r="I4027" s="995"/>
      <c r="J4027" s="996"/>
      <c r="K4027" s="997"/>
      <c r="L4027" s="99"/>
      <c r="M4027" s="100"/>
    </row>
    <row r="4028" spans="3:32" ht="24">
      <c r="E4028" s="629">
        <v>45707</v>
      </c>
      <c r="F4028" s="634">
        <v>3.7499999999999999E-2</v>
      </c>
      <c r="G4028" s="634" t="s">
        <v>1543</v>
      </c>
      <c r="H4028" s="634">
        <v>4.2500000000000003E-2</v>
      </c>
      <c r="I4028" s="995"/>
      <c r="J4028" s="996"/>
      <c r="K4028" s="997"/>
      <c r="L4028" s="99"/>
      <c r="M4028" s="100"/>
    </row>
    <row r="4029" spans="3:32" ht="24">
      <c r="E4029" s="629">
        <v>45623</v>
      </c>
      <c r="F4029" s="634">
        <v>4.2500000000000003E-2</v>
      </c>
      <c r="G4029" s="634" t="s">
        <v>723</v>
      </c>
      <c r="H4029" s="634">
        <v>4.7500000000000001E-2</v>
      </c>
      <c r="I4029" s="995"/>
      <c r="J4029" s="996"/>
      <c r="K4029" s="997"/>
      <c r="L4029" s="99"/>
      <c r="M4029" s="100"/>
    </row>
    <row r="4030" spans="3:32" ht="24">
      <c r="E4030" s="629">
        <v>45574</v>
      </c>
      <c r="F4030" s="634">
        <v>4.7500000000000001E-2</v>
      </c>
      <c r="G4030" s="634" t="s">
        <v>726</v>
      </c>
      <c r="H4030" s="634">
        <v>5.2499999999999998E-2</v>
      </c>
      <c r="I4030" s="995"/>
      <c r="J4030" s="996"/>
      <c r="K4030" s="997"/>
      <c r="L4030" s="649"/>
      <c r="M4030" s="100"/>
    </row>
    <row r="4031" spans="3:32" ht="24">
      <c r="E4031" s="629">
        <v>45518</v>
      </c>
      <c r="F4031" s="634">
        <v>5.2499999999999998E-2</v>
      </c>
      <c r="G4031" s="634" t="s">
        <v>942</v>
      </c>
      <c r="H4031" s="634">
        <v>5.5E-2</v>
      </c>
      <c r="I4031" s="995"/>
      <c r="J4031" s="996"/>
      <c r="K4031" s="997"/>
      <c r="L4031" s="99"/>
      <c r="M4031" s="100"/>
    </row>
    <row r="4032" spans="3:32" ht="24">
      <c r="E4032" s="629">
        <v>45483</v>
      </c>
      <c r="F4032" s="634">
        <v>5.5E-2</v>
      </c>
      <c r="G4032" s="634" t="s">
        <v>942</v>
      </c>
      <c r="H4032" s="634">
        <v>5.5E-2</v>
      </c>
      <c r="I4032" s="995"/>
      <c r="J4032" s="996"/>
      <c r="K4032" s="997"/>
      <c r="L4032" s="99"/>
      <c r="M4032" s="100"/>
    </row>
    <row r="4033" spans="4:13" ht="25" thickBot="1">
      <c r="E4033" s="629">
        <v>45434</v>
      </c>
      <c r="F4033" s="634">
        <v>5.5E-2</v>
      </c>
      <c r="G4033" s="634" t="s">
        <v>942</v>
      </c>
      <c r="H4033" s="634">
        <v>5.5E-2</v>
      </c>
      <c r="I4033" s="998"/>
      <c r="J4033" s="999"/>
      <c r="K4033" s="1000"/>
      <c r="L4033" s="102"/>
      <c r="M4033" s="103"/>
    </row>
    <row r="4034" spans="4:13" ht="25" customHeight="1" thickBot="1">
      <c r="D4034">
        <v>1</v>
      </c>
      <c r="E4034" s="756" t="s">
        <v>30</v>
      </c>
      <c r="F4034" s="1066" t="s">
        <v>1503</v>
      </c>
      <c r="G4034" s="1067"/>
      <c r="H4034" s="1068"/>
      <c r="I4034" s="1069" t="s">
        <v>633</v>
      </c>
      <c r="J4034" s="1070"/>
      <c r="K4034" s="1071"/>
      <c r="L4034" s="158" t="s">
        <v>430</v>
      </c>
      <c r="M4034" s="105" t="s">
        <v>431</v>
      </c>
    </row>
    <row r="4035" spans="4:13" ht="24" customHeight="1">
      <c r="E4035" s="625" t="s">
        <v>432</v>
      </c>
      <c r="F4035" s="992"/>
      <c r="G4035" s="993"/>
      <c r="H4035" s="994"/>
      <c r="I4035" s="995" t="s">
        <v>1505</v>
      </c>
      <c r="J4035" s="996"/>
      <c r="K4035" s="997"/>
      <c r="L4035" s="99"/>
      <c r="M4035" s="100"/>
    </row>
    <row r="4036" spans="4:13" ht="24">
      <c r="E4036" s="626" t="s">
        <v>433</v>
      </c>
      <c r="F4036" s="1072"/>
      <c r="G4036" s="1073"/>
      <c r="H4036" s="1074"/>
      <c r="I4036" s="995"/>
      <c r="J4036" s="996"/>
      <c r="K4036" s="997"/>
      <c r="L4036" s="99"/>
      <c r="M4036" s="100"/>
    </row>
    <row r="4037" spans="4:13" ht="25" thickBot="1">
      <c r="E4037" s="626" t="s">
        <v>434</v>
      </c>
      <c r="F4037" s="1063">
        <v>6.165</v>
      </c>
      <c r="G4037" s="1064"/>
      <c r="H4037" s="1065"/>
      <c r="I4037" s="995"/>
      <c r="J4037" s="996"/>
      <c r="K4037" s="997"/>
      <c r="L4037" s="99"/>
      <c r="M4037" s="100"/>
    </row>
    <row r="4038" spans="4:13" ht="25" thickBot="1">
      <c r="E4038" s="627" t="s">
        <v>435</v>
      </c>
      <c r="F4038" s="1007">
        <v>0.60416666666666663</v>
      </c>
      <c r="G4038" s="1008"/>
      <c r="H4038" s="1009"/>
      <c r="I4038" s="995"/>
      <c r="J4038" s="996"/>
      <c r="K4038" s="997"/>
      <c r="L4038" s="647">
        <v>0.83333333333333337</v>
      </c>
      <c r="M4038" s="648">
        <v>0.72916666666666663</v>
      </c>
    </row>
    <row r="4039" spans="4:13" ht="25" thickBot="1">
      <c r="E4039" s="628" t="s">
        <v>436</v>
      </c>
      <c r="F4039" s="200" t="s">
        <v>29</v>
      </c>
      <c r="G4039" s="200" t="s">
        <v>28</v>
      </c>
      <c r="H4039" s="201" t="s">
        <v>27</v>
      </c>
      <c r="I4039" s="995"/>
      <c r="J4039" s="996"/>
      <c r="K4039" s="997"/>
      <c r="L4039" s="99"/>
      <c r="M4039" s="100"/>
    </row>
    <row r="4040" spans="4:13" ht="23">
      <c r="E4040" s="629">
        <v>45749</v>
      </c>
      <c r="F4040" s="634">
        <v>6.165</v>
      </c>
      <c r="G4040" s="634">
        <v>-0.2</v>
      </c>
      <c r="H4040" s="634">
        <v>-3.34</v>
      </c>
      <c r="I4040" s="995"/>
      <c r="J4040" s="996"/>
      <c r="K4040" s="997"/>
      <c r="L4040" s="99"/>
      <c r="M4040" s="100"/>
    </row>
    <row r="4041" spans="4:13" ht="23">
      <c r="E4041" s="629">
        <v>45742</v>
      </c>
      <c r="F4041" s="634">
        <v>-3.34</v>
      </c>
      <c r="G4041" s="634">
        <v>1.5</v>
      </c>
      <c r="H4041" s="634">
        <v>1.7450000000000001</v>
      </c>
      <c r="I4041" s="995"/>
      <c r="J4041" s="996"/>
      <c r="K4041" s="997"/>
      <c r="L4041" s="99"/>
      <c r="M4041" s="100"/>
    </row>
    <row r="4042" spans="4:13" ht="23">
      <c r="E4042" s="629">
        <v>45735</v>
      </c>
      <c r="F4042" s="634">
        <v>1.7450000000000001</v>
      </c>
      <c r="G4042" s="634">
        <v>0.8</v>
      </c>
      <c r="H4042" s="634">
        <v>1.448</v>
      </c>
      <c r="I4042" s="995"/>
      <c r="J4042" s="996"/>
      <c r="K4042" s="997"/>
      <c r="L4042" s="649"/>
      <c r="M4042" s="100"/>
    </row>
    <row r="4043" spans="4:13" ht="23">
      <c r="E4043" s="629">
        <v>45728</v>
      </c>
      <c r="F4043" s="634">
        <v>1.448</v>
      </c>
      <c r="G4043" s="634">
        <v>2.1</v>
      </c>
      <c r="H4043" s="634">
        <v>3.6139999999999999</v>
      </c>
      <c r="I4043" s="995"/>
      <c r="J4043" s="996"/>
      <c r="K4043" s="997"/>
      <c r="L4043" s="99"/>
      <c r="M4043" s="100"/>
    </row>
    <row r="4044" spans="4:13" ht="23">
      <c r="E4044" s="629">
        <v>45721</v>
      </c>
      <c r="F4044" s="634">
        <v>3.6139999999999999</v>
      </c>
      <c r="G4044" s="634">
        <v>0.6</v>
      </c>
      <c r="H4044" s="634">
        <v>-2.33</v>
      </c>
      <c r="I4044" s="995"/>
      <c r="J4044" s="996"/>
      <c r="K4044" s="997"/>
      <c r="L4044" s="99"/>
      <c r="M4044" s="100"/>
    </row>
    <row r="4045" spans="4:13" ht="24" thickBot="1">
      <c r="E4045" s="629">
        <v>45714</v>
      </c>
      <c r="F4045" s="634">
        <v>-2.33</v>
      </c>
      <c r="G4045" s="634">
        <v>2.5</v>
      </c>
      <c r="H4045" s="634">
        <v>4.633</v>
      </c>
      <c r="I4045" s="998"/>
      <c r="J4045" s="999"/>
      <c r="K4045" s="1000"/>
      <c r="L4045" s="102"/>
      <c r="M4045" s="103"/>
    </row>
    <row r="4046" spans="4:13" ht="25" customHeight="1" thickBot="1">
      <c r="D4046">
        <v>1</v>
      </c>
      <c r="E4046" s="624" t="s">
        <v>30</v>
      </c>
      <c r="F4046" s="1057" t="s">
        <v>1900</v>
      </c>
      <c r="G4046" s="1058"/>
      <c r="H4046" s="1059"/>
      <c r="I4046" s="1060" t="s">
        <v>633</v>
      </c>
      <c r="J4046" s="1061"/>
      <c r="K4046" s="1062"/>
      <c r="L4046" s="158" t="s">
        <v>430</v>
      </c>
      <c r="M4046" s="105" t="s">
        <v>431</v>
      </c>
    </row>
    <row r="4047" spans="4:13" ht="24" customHeight="1">
      <c r="E4047" s="625" t="s">
        <v>432</v>
      </c>
      <c r="F4047" s="992"/>
      <c r="G4047" s="993"/>
      <c r="H4047" s="994"/>
      <c r="I4047" s="995" t="s">
        <v>1901</v>
      </c>
      <c r="J4047" s="996"/>
      <c r="K4047" s="997"/>
      <c r="L4047" s="99"/>
      <c r="M4047" s="100"/>
    </row>
    <row r="4048" spans="4:13" ht="24">
      <c r="E4048" s="626" t="s">
        <v>433</v>
      </c>
      <c r="F4048" s="1072"/>
      <c r="G4048" s="1073"/>
      <c r="H4048" s="1074"/>
      <c r="I4048" s="995"/>
      <c r="J4048" s="996"/>
      <c r="K4048" s="997"/>
      <c r="L4048" s="99"/>
      <c r="M4048" s="100"/>
    </row>
    <row r="4049" spans="4:13" ht="25" thickBot="1">
      <c r="E4049" s="626" t="s">
        <v>434</v>
      </c>
      <c r="F4049" s="1063">
        <v>4.3099999999999999E-2</v>
      </c>
      <c r="G4049" s="1064"/>
      <c r="H4049" s="1065"/>
      <c r="I4049" s="995"/>
      <c r="J4049" s="996"/>
      <c r="K4049" s="997"/>
      <c r="L4049" s="99"/>
      <c r="M4049" s="100"/>
    </row>
    <row r="4050" spans="4:13" ht="25" thickBot="1">
      <c r="E4050" s="627" t="s">
        <v>435</v>
      </c>
      <c r="F4050" s="1007">
        <v>0.70833333333333337</v>
      </c>
      <c r="G4050" s="1008"/>
      <c r="H4050" s="1009"/>
      <c r="I4050" s="995"/>
      <c r="J4050" s="996"/>
      <c r="K4050" s="997"/>
      <c r="L4050" s="647">
        <v>0.9375</v>
      </c>
      <c r="M4050" s="648">
        <v>0.83333333333333337</v>
      </c>
    </row>
    <row r="4051" spans="4:13" ht="25" thickBot="1">
      <c r="E4051" s="628" t="s">
        <v>436</v>
      </c>
      <c r="F4051" s="200" t="s">
        <v>29</v>
      </c>
      <c r="G4051" s="200" t="s">
        <v>28</v>
      </c>
      <c r="H4051" s="201" t="s">
        <v>27</v>
      </c>
      <c r="I4051" s="995"/>
      <c r="J4051" s="996"/>
      <c r="K4051" s="997"/>
      <c r="L4051" s="99"/>
      <c r="M4051" s="100"/>
    </row>
    <row r="4052" spans="4:13" ht="24">
      <c r="E4052" s="629">
        <v>45728</v>
      </c>
      <c r="F4052" s="634">
        <v>4.3099999999999999E-2</v>
      </c>
      <c r="G4052" s="634" t="s">
        <v>754</v>
      </c>
      <c r="H4052" s="634">
        <v>4.6300000000000001E-2</v>
      </c>
      <c r="I4052" s="995"/>
      <c r="J4052" s="996"/>
      <c r="K4052" s="997"/>
      <c r="L4052" s="99"/>
      <c r="M4052" s="100"/>
    </row>
    <row r="4053" spans="4:13" ht="24">
      <c r="E4053" s="629">
        <v>45700</v>
      </c>
      <c r="F4053" s="634">
        <v>4.6300000000000001E-2</v>
      </c>
      <c r="G4053" s="634" t="s">
        <v>754</v>
      </c>
      <c r="H4053" s="634">
        <v>4.6800000000000001E-2</v>
      </c>
      <c r="I4053" s="995"/>
      <c r="J4053" s="996"/>
      <c r="K4053" s="997"/>
      <c r="L4053" s="99"/>
      <c r="M4053" s="100"/>
    </row>
    <row r="4054" spans="4:13" ht="24">
      <c r="E4054" s="629">
        <v>45664</v>
      </c>
      <c r="F4054" s="634">
        <v>4.6800000000000001E-2</v>
      </c>
      <c r="G4054" s="634" t="s">
        <v>754</v>
      </c>
      <c r="H4054" s="634">
        <v>4.24E-2</v>
      </c>
      <c r="I4054" s="995"/>
      <c r="J4054" s="996"/>
      <c r="K4054" s="997"/>
      <c r="L4054" s="649"/>
      <c r="M4054" s="100"/>
    </row>
    <row r="4055" spans="4:13" ht="24">
      <c r="E4055" s="629">
        <v>45637</v>
      </c>
      <c r="F4055" s="634">
        <v>4.24E-2</v>
      </c>
      <c r="G4055" s="634" t="s">
        <v>754</v>
      </c>
      <c r="H4055" s="634">
        <v>4.3499999999999997E-2</v>
      </c>
      <c r="I4055" s="995"/>
      <c r="J4055" s="996"/>
      <c r="K4055" s="997"/>
      <c r="L4055" s="99"/>
      <c r="M4055" s="100"/>
    </row>
    <row r="4056" spans="4:13" ht="24">
      <c r="E4056" s="629">
        <v>45601</v>
      </c>
      <c r="F4056" s="634">
        <v>4.3499999999999997E-2</v>
      </c>
      <c r="G4056" s="634" t="s">
        <v>754</v>
      </c>
      <c r="H4056" s="634">
        <v>4.07E-2</v>
      </c>
      <c r="I4056" s="995"/>
      <c r="J4056" s="996"/>
      <c r="K4056" s="997"/>
      <c r="L4056" s="99"/>
      <c r="M4056" s="100"/>
    </row>
    <row r="4057" spans="4:13" ht="25" thickBot="1">
      <c r="E4057" s="629">
        <v>45574</v>
      </c>
      <c r="F4057" s="634">
        <v>4.07E-2</v>
      </c>
      <c r="G4057" s="634" t="s">
        <v>754</v>
      </c>
      <c r="H4057" s="634">
        <v>3.6499999999999998E-2</v>
      </c>
      <c r="I4057" s="998"/>
      <c r="J4057" s="999"/>
      <c r="K4057" s="1000"/>
      <c r="L4057" s="102"/>
      <c r="M4057" s="103"/>
    </row>
    <row r="4058" spans="4:13" ht="25" customHeight="1" thickBot="1">
      <c r="D4058">
        <v>1</v>
      </c>
      <c r="E4058" s="756" t="s">
        <v>30</v>
      </c>
      <c r="F4058" s="1066" t="s">
        <v>1902</v>
      </c>
      <c r="G4058" s="1067"/>
      <c r="H4058" s="1068"/>
      <c r="I4058" s="1069" t="s">
        <v>633</v>
      </c>
      <c r="J4058" s="1070"/>
      <c r="K4058" s="1071"/>
      <c r="L4058" s="158" t="s">
        <v>430</v>
      </c>
      <c r="M4058" s="105" t="s">
        <v>431</v>
      </c>
    </row>
    <row r="4059" spans="4:13" ht="24" customHeight="1">
      <c r="E4059" s="625" t="s">
        <v>432</v>
      </c>
      <c r="F4059" s="992"/>
      <c r="G4059" s="993"/>
      <c r="H4059" s="994"/>
      <c r="I4059" s="995" t="s">
        <v>1903</v>
      </c>
      <c r="J4059" s="996"/>
      <c r="K4059" s="997"/>
      <c r="L4059" s="99"/>
      <c r="M4059" s="100"/>
    </row>
    <row r="4060" spans="4:13" ht="24">
      <c r="E4060" s="626" t="s">
        <v>433</v>
      </c>
      <c r="F4060" s="1072"/>
      <c r="G4060" s="1073"/>
      <c r="H4060" s="1074"/>
      <c r="I4060" s="995"/>
      <c r="J4060" s="996"/>
      <c r="K4060" s="997"/>
      <c r="L4060" s="99"/>
      <c r="M4060" s="100"/>
    </row>
    <row r="4061" spans="4:13" ht="25" thickBot="1">
      <c r="E4061" s="626" t="s">
        <v>434</v>
      </c>
      <c r="F4061" s="1063"/>
      <c r="G4061" s="1064"/>
      <c r="H4061" s="1065"/>
      <c r="I4061" s="995"/>
      <c r="J4061" s="996"/>
      <c r="K4061" s="997"/>
      <c r="L4061" s="99"/>
      <c r="M4061" s="100"/>
    </row>
    <row r="4062" spans="4:13" ht="25" thickBot="1">
      <c r="E4062" s="627" t="s">
        <v>435</v>
      </c>
      <c r="F4062" s="1007">
        <v>0.75</v>
      </c>
      <c r="G4062" s="1008"/>
      <c r="H4062" s="1009"/>
      <c r="I4062" s="995"/>
      <c r="J4062" s="996"/>
      <c r="K4062" s="997"/>
      <c r="L4062" s="647">
        <v>0.97916666666666663</v>
      </c>
      <c r="M4062" s="648">
        <v>0.875</v>
      </c>
    </row>
    <row r="4063" spans="4:13" ht="25" thickBot="1">
      <c r="E4063" s="628" t="s">
        <v>436</v>
      </c>
      <c r="F4063" s="200" t="s">
        <v>29</v>
      </c>
      <c r="G4063" s="200" t="s">
        <v>28</v>
      </c>
      <c r="H4063" s="201" t="s">
        <v>27</v>
      </c>
      <c r="I4063" s="995"/>
      <c r="J4063" s="996"/>
      <c r="K4063" s="997"/>
      <c r="L4063" s="99"/>
      <c r="M4063" s="100"/>
    </row>
    <row r="4064" spans="4:13" ht="23">
      <c r="E4064" s="629">
        <v>45707</v>
      </c>
      <c r="F4064" s="634"/>
      <c r="G4064" s="634"/>
      <c r="H4064" s="634"/>
      <c r="I4064" s="995"/>
      <c r="J4064" s="996"/>
      <c r="K4064" s="997"/>
      <c r="L4064" s="99"/>
      <c r="M4064" s="100"/>
    </row>
    <row r="4065" spans="4:13" ht="23">
      <c r="E4065" s="629">
        <v>45665</v>
      </c>
      <c r="F4065" s="634"/>
      <c r="G4065" s="634"/>
      <c r="H4065" s="634"/>
      <c r="I4065" s="995"/>
      <c r="J4065" s="996"/>
      <c r="K4065" s="997"/>
      <c r="L4065" s="99"/>
      <c r="M4065" s="100"/>
    </row>
    <row r="4066" spans="4:13" ht="23">
      <c r="E4066" s="629">
        <v>45622</v>
      </c>
      <c r="F4066" s="634"/>
      <c r="G4066" s="634"/>
      <c r="H4066" s="634"/>
      <c r="I4066" s="995"/>
      <c r="J4066" s="996"/>
      <c r="K4066" s="997"/>
      <c r="L4066" s="649"/>
      <c r="M4066" s="100"/>
    </row>
    <row r="4067" spans="4:13" ht="23">
      <c r="E4067" s="629">
        <v>45574</v>
      </c>
      <c r="F4067" s="634"/>
      <c r="G4067" s="634"/>
      <c r="H4067" s="634"/>
      <c r="I4067" s="995"/>
      <c r="J4067" s="996"/>
      <c r="K4067" s="997"/>
      <c r="L4067" s="99"/>
      <c r="M4067" s="100"/>
    </row>
    <row r="4068" spans="4:13" ht="23">
      <c r="E4068" s="629">
        <v>45525</v>
      </c>
      <c r="F4068" s="634"/>
      <c r="G4068" s="634"/>
      <c r="H4068" s="634"/>
      <c r="I4068" s="995"/>
      <c r="J4068" s="996"/>
      <c r="K4068" s="997"/>
      <c r="L4068" s="99"/>
      <c r="M4068" s="100"/>
    </row>
    <row r="4069" spans="4:13" ht="24" thickBot="1">
      <c r="E4069" s="629">
        <v>45476</v>
      </c>
      <c r="F4069" s="634"/>
      <c r="G4069" s="634"/>
      <c r="H4069" s="634"/>
      <c r="I4069" s="998"/>
      <c r="J4069" s="999"/>
      <c r="K4069" s="1000"/>
      <c r="L4069" s="102"/>
      <c r="M4069" s="103"/>
    </row>
    <row r="4070" spans="4:13" ht="25" customHeight="1" thickBot="1">
      <c r="D4070">
        <v>1</v>
      </c>
      <c r="E4070" s="624" t="s">
        <v>30</v>
      </c>
      <c r="F4070" s="1057" t="s">
        <v>1904</v>
      </c>
      <c r="G4070" s="1058"/>
      <c r="H4070" s="1059"/>
      <c r="I4070" s="1060" t="s">
        <v>633</v>
      </c>
      <c r="J4070" s="1061"/>
      <c r="K4070" s="1062"/>
      <c r="L4070" s="158" t="s">
        <v>430</v>
      </c>
      <c r="M4070" s="105" t="s">
        <v>431</v>
      </c>
    </row>
    <row r="4071" spans="4:13" ht="24" customHeight="1">
      <c r="E4071" s="625" t="s">
        <v>432</v>
      </c>
      <c r="F4071" s="992"/>
      <c r="G4071" s="993"/>
      <c r="H4071" s="994"/>
      <c r="I4071" s="995" t="s">
        <v>1905</v>
      </c>
      <c r="J4071" s="996"/>
      <c r="K4071" s="997"/>
      <c r="L4071" s="99"/>
      <c r="M4071" s="100"/>
    </row>
    <row r="4072" spans="4:13" ht="24">
      <c r="E4072" s="626" t="s">
        <v>433</v>
      </c>
      <c r="F4072" s="1063"/>
      <c r="G4072" s="1064"/>
      <c r="H4072" s="1065"/>
      <c r="I4072" s="995"/>
      <c r="J4072" s="996"/>
      <c r="K4072" s="997"/>
      <c r="L4072" s="99"/>
      <c r="M4072" s="100"/>
    </row>
    <row r="4073" spans="4:13" ht="46" customHeight="1" thickBot="1">
      <c r="E4073" s="626" t="s">
        <v>434</v>
      </c>
      <c r="F4073" s="1076" t="s">
        <v>1923</v>
      </c>
      <c r="G4073" s="1064"/>
      <c r="H4073" s="1065"/>
      <c r="I4073" s="995"/>
      <c r="J4073" s="996"/>
      <c r="K4073" s="997"/>
      <c r="L4073" s="99"/>
      <c r="M4073" s="100"/>
    </row>
    <row r="4074" spans="4:13" ht="25" thickBot="1">
      <c r="E4074" s="627" t="s">
        <v>435</v>
      </c>
      <c r="F4074" s="1007" t="e">
        <v>#VALUE!</v>
      </c>
      <c r="G4074" s="1008"/>
      <c r="H4074" s="1009"/>
      <c r="I4074" s="995"/>
      <c r="J4074" s="996"/>
      <c r="K4074" s="997"/>
      <c r="L4074" s="647" t="s">
        <v>1449</v>
      </c>
      <c r="M4074" s="648" t="e">
        <v>#VALUE!</v>
      </c>
    </row>
    <row r="4075" spans="4:13" ht="25" thickBot="1">
      <c r="E4075" s="628" t="s">
        <v>436</v>
      </c>
      <c r="F4075" s="200" t="s">
        <v>29</v>
      </c>
      <c r="G4075" s="200" t="s">
        <v>28</v>
      </c>
      <c r="H4075" s="201" t="s">
        <v>27</v>
      </c>
      <c r="I4075" s="995"/>
      <c r="J4075" s="996"/>
      <c r="K4075" s="997"/>
      <c r="L4075" s="99"/>
      <c r="M4075" s="100"/>
    </row>
    <row r="4076" spans="4:13" ht="24">
      <c r="E4076" s="629">
        <v>45721</v>
      </c>
      <c r="F4076" s="204">
        <v>51</v>
      </c>
      <c r="G4076" s="204" t="s">
        <v>1921</v>
      </c>
      <c r="H4076" s="204">
        <v>52.9</v>
      </c>
      <c r="I4076" s="995"/>
      <c r="J4076" s="996"/>
      <c r="K4076" s="997"/>
      <c r="L4076" s="99"/>
      <c r="M4076" s="100"/>
    </row>
    <row r="4077" spans="4:13" ht="24">
      <c r="E4077" s="629">
        <v>45709</v>
      </c>
      <c r="F4077" s="204">
        <v>49.7</v>
      </c>
      <c r="G4077" s="204" t="s">
        <v>1922</v>
      </c>
      <c r="H4077" s="204">
        <v>52.9</v>
      </c>
      <c r="I4077" s="995"/>
      <c r="J4077" s="996"/>
      <c r="K4077" s="997"/>
      <c r="L4077" s="99"/>
      <c r="M4077" s="100"/>
    </row>
    <row r="4078" spans="4:13" ht="24">
      <c r="E4078" s="629"/>
      <c r="F4078" s="204">
        <v>51</v>
      </c>
      <c r="G4078" s="204" t="s">
        <v>1921</v>
      </c>
      <c r="H4078" s="204">
        <v>52.9</v>
      </c>
      <c r="I4078" s="995"/>
      <c r="J4078" s="996"/>
      <c r="K4078" s="997"/>
      <c r="L4078" s="649"/>
      <c r="M4078" s="100"/>
    </row>
    <row r="4079" spans="4:13" ht="24">
      <c r="E4079" s="629"/>
      <c r="F4079" s="204">
        <v>49.7</v>
      </c>
      <c r="G4079" s="204" t="s">
        <v>1922</v>
      </c>
      <c r="H4079" s="204">
        <v>52.9</v>
      </c>
      <c r="I4079" s="995"/>
      <c r="J4079" s="996"/>
      <c r="K4079" s="997"/>
      <c r="L4079" s="99"/>
      <c r="M4079" s="100"/>
    </row>
    <row r="4080" spans="4:13" ht="24">
      <c r="E4080" s="629"/>
      <c r="F4080" s="204">
        <v>51</v>
      </c>
      <c r="G4080" s="204" t="s">
        <v>1921</v>
      </c>
      <c r="H4080" s="204">
        <v>52.9</v>
      </c>
      <c r="I4080" s="995"/>
      <c r="J4080" s="996"/>
      <c r="K4080" s="997"/>
      <c r="L4080" s="99"/>
      <c r="M4080" s="100"/>
    </row>
    <row r="4081" spans="4:13" ht="25" thickBot="1">
      <c r="E4081" s="629"/>
      <c r="F4081" s="204">
        <v>49.7</v>
      </c>
      <c r="G4081" s="204" t="s">
        <v>1922</v>
      </c>
      <c r="H4081" s="204">
        <v>52.9</v>
      </c>
      <c r="I4081" s="998"/>
      <c r="J4081" s="999"/>
      <c r="K4081" s="1000"/>
      <c r="L4081" s="102"/>
      <c r="M4081" s="103"/>
    </row>
    <row r="4082" spans="4:13" ht="25" customHeight="1" thickBot="1">
      <c r="D4082">
        <v>1</v>
      </c>
      <c r="E4082" s="756" t="s">
        <v>30</v>
      </c>
      <c r="F4082" s="1066" t="s">
        <v>1906</v>
      </c>
      <c r="G4082" s="1067"/>
      <c r="H4082" s="1068"/>
      <c r="I4082" s="1069" t="s">
        <v>633</v>
      </c>
      <c r="J4082" s="1070"/>
      <c r="K4082" s="1071"/>
      <c r="L4082" s="158" t="s">
        <v>430</v>
      </c>
      <c r="M4082" s="105" t="s">
        <v>431</v>
      </c>
    </row>
    <row r="4083" spans="4:13" ht="24" customHeight="1">
      <c r="E4083" s="625" t="s">
        <v>432</v>
      </c>
      <c r="F4083" s="992"/>
      <c r="G4083" s="993"/>
      <c r="H4083" s="994"/>
      <c r="I4083" s="995" t="s">
        <v>1907</v>
      </c>
      <c r="J4083" s="996"/>
      <c r="K4083" s="997"/>
      <c r="L4083" s="99"/>
      <c r="M4083" s="100"/>
    </row>
    <row r="4084" spans="4:13" ht="24">
      <c r="E4084" s="626" t="s">
        <v>433</v>
      </c>
      <c r="F4084" s="1072"/>
      <c r="G4084" s="1073"/>
      <c r="H4084" s="1074"/>
      <c r="I4084" s="995"/>
      <c r="J4084" s="996"/>
      <c r="K4084" s="997"/>
      <c r="L4084" s="99"/>
      <c r="M4084" s="100"/>
    </row>
    <row r="4085" spans="4:13" ht="25" thickBot="1">
      <c r="E4085" s="626" t="s">
        <v>434</v>
      </c>
      <c r="F4085" s="1063">
        <v>2E-3</v>
      </c>
      <c r="G4085" s="1064"/>
      <c r="H4085" s="1065"/>
      <c r="I4085" s="995"/>
      <c r="J4085" s="996"/>
      <c r="K4085" s="997"/>
      <c r="L4085" s="99"/>
      <c r="M4085" s="100"/>
    </row>
    <row r="4086" spans="4:13" ht="25" thickBot="1">
      <c r="E4086" s="627" t="s">
        <v>435</v>
      </c>
      <c r="F4086" s="1007">
        <v>0.52083333333333337</v>
      </c>
      <c r="G4086" s="1008"/>
      <c r="H4086" s="1009"/>
      <c r="I4086" s="995"/>
      <c r="J4086" s="996"/>
      <c r="K4086" s="997"/>
      <c r="L4086" s="647">
        <v>0.75</v>
      </c>
      <c r="M4086" s="648">
        <v>0.64583333333333337</v>
      </c>
    </row>
    <row r="4087" spans="4:13" ht="25" thickBot="1">
      <c r="E4087" s="628" t="s">
        <v>436</v>
      </c>
      <c r="F4087" s="200" t="s">
        <v>29</v>
      </c>
      <c r="G4087" s="200" t="s">
        <v>28</v>
      </c>
      <c r="H4087" s="201" t="s">
        <v>27</v>
      </c>
      <c r="I4087" s="995"/>
      <c r="J4087" s="996"/>
      <c r="K4087" s="997"/>
      <c r="L4087" s="99"/>
      <c r="M4087" s="100"/>
    </row>
    <row r="4088" spans="4:13" ht="24">
      <c r="E4088" s="629">
        <v>45728</v>
      </c>
      <c r="F4088" s="634">
        <v>2E-3</v>
      </c>
      <c r="G4088" s="634" t="s">
        <v>467</v>
      </c>
      <c r="H4088" s="634">
        <v>4.0000000000000001E-3</v>
      </c>
      <c r="I4088" s="995"/>
      <c r="J4088" s="996"/>
      <c r="K4088" s="997"/>
      <c r="L4088" s="99"/>
      <c r="M4088" s="100"/>
    </row>
    <row r="4089" spans="4:13" ht="24">
      <c r="E4089" s="629">
        <v>45700</v>
      </c>
      <c r="F4089" s="634">
        <v>4.0000000000000001E-3</v>
      </c>
      <c r="G4089" s="634" t="s">
        <v>467</v>
      </c>
      <c r="H4089" s="634">
        <v>2E-3</v>
      </c>
      <c r="I4089" s="995"/>
      <c r="J4089" s="996"/>
      <c r="K4089" s="997"/>
      <c r="L4089" s="99"/>
      <c r="M4089" s="100"/>
    </row>
    <row r="4090" spans="4:13" ht="24">
      <c r="E4090" s="629">
        <v>45672</v>
      </c>
      <c r="F4090" s="634">
        <v>2E-3</v>
      </c>
      <c r="G4090" s="634" t="s">
        <v>467</v>
      </c>
      <c r="H4090" s="634">
        <v>3.0000000000000001E-3</v>
      </c>
      <c r="I4090" s="995"/>
      <c r="J4090" s="996"/>
      <c r="K4090" s="997"/>
      <c r="L4090" s="649"/>
      <c r="M4090" s="100"/>
    </row>
    <row r="4091" spans="4:13" ht="24">
      <c r="E4091" s="629">
        <v>45637</v>
      </c>
      <c r="F4091" s="634">
        <v>3.0000000000000001E-3</v>
      </c>
      <c r="G4091" s="634" t="s">
        <v>467</v>
      </c>
      <c r="H4091" s="634">
        <v>3.0000000000000001E-3</v>
      </c>
      <c r="I4091" s="995"/>
      <c r="J4091" s="996"/>
      <c r="K4091" s="997"/>
      <c r="L4091" s="99"/>
      <c r="M4091" s="100"/>
    </row>
    <row r="4092" spans="4:13" ht="24">
      <c r="E4092" s="629">
        <v>45609</v>
      </c>
      <c r="F4092" s="634">
        <v>3.0000000000000001E-3</v>
      </c>
      <c r="G4092" s="634" t="s">
        <v>467</v>
      </c>
      <c r="H4092" s="634">
        <v>3.0000000000000001E-3</v>
      </c>
      <c r="I4092" s="995"/>
      <c r="J4092" s="996"/>
      <c r="K4092" s="997"/>
      <c r="L4092" s="99"/>
      <c r="M4092" s="100"/>
    </row>
    <row r="4093" spans="4:13" ht="25" thickBot="1">
      <c r="E4093" s="629">
        <v>45575</v>
      </c>
      <c r="F4093" s="634">
        <v>3.0000000000000001E-3</v>
      </c>
      <c r="G4093" s="634" t="s">
        <v>460</v>
      </c>
      <c r="H4093" s="634">
        <v>3.0000000000000001E-3</v>
      </c>
      <c r="I4093" s="998"/>
      <c r="J4093" s="999"/>
      <c r="K4093" s="1000"/>
      <c r="L4093" s="102"/>
      <c r="M4093" s="103"/>
    </row>
    <row r="4094" spans="4:13" ht="25" customHeight="1" thickBot="1">
      <c r="D4094">
        <v>1</v>
      </c>
      <c r="E4094" s="756" t="s">
        <v>30</v>
      </c>
      <c r="F4094" s="1066" t="s">
        <v>1908</v>
      </c>
      <c r="G4094" s="1067"/>
      <c r="H4094" s="1068"/>
      <c r="I4094" s="1069" t="s">
        <v>633</v>
      </c>
      <c r="J4094" s="1070"/>
      <c r="K4094" s="1071"/>
      <c r="L4094" s="158" t="s">
        <v>430</v>
      </c>
      <c r="M4094" s="105" t="s">
        <v>431</v>
      </c>
    </row>
    <row r="4095" spans="4:13" ht="24" customHeight="1">
      <c r="E4095" s="625" t="s">
        <v>432</v>
      </c>
      <c r="F4095" s="992"/>
      <c r="G4095" s="993"/>
      <c r="H4095" s="994"/>
      <c r="I4095" s="995" t="s">
        <v>1909</v>
      </c>
      <c r="J4095" s="996"/>
      <c r="K4095" s="997"/>
      <c r="L4095" s="99"/>
      <c r="M4095" s="100"/>
    </row>
    <row r="4096" spans="4:13" ht="24">
      <c r="E4096" s="626" t="s">
        <v>433</v>
      </c>
      <c r="F4096" s="1063"/>
      <c r="G4096" s="1064"/>
      <c r="H4096" s="1065"/>
      <c r="I4096" s="995"/>
      <c r="J4096" s="996"/>
      <c r="K4096" s="997"/>
      <c r="L4096" s="99"/>
      <c r="M4096" s="100"/>
    </row>
    <row r="4097" spans="4:13" ht="25" thickBot="1">
      <c r="E4097" s="626" t="s">
        <v>434</v>
      </c>
      <c r="F4097" s="1063">
        <v>2.8000000000000001E-2</v>
      </c>
      <c r="G4097" s="1064"/>
      <c r="H4097" s="1065"/>
      <c r="I4097" s="995"/>
      <c r="J4097" s="996"/>
      <c r="K4097" s="997"/>
      <c r="L4097" s="99"/>
      <c r="M4097" s="100"/>
    </row>
    <row r="4098" spans="4:13" ht="25" thickBot="1">
      <c r="E4098" s="627" t="s">
        <v>435</v>
      </c>
      <c r="F4098" s="1007">
        <v>0.52083333333333337</v>
      </c>
      <c r="G4098" s="1008"/>
      <c r="H4098" s="1009"/>
      <c r="I4098" s="995"/>
      <c r="J4098" s="996"/>
      <c r="K4098" s="997"/>
      <c r="L4098" s="647">
        <v>0.75</v>
      </c>
      <c r="M4098" s="648">
        <v>0.64583333333333337</v>
      </c>
    </row>
    <row r="4099" spans="4:13" ht="25" thickBot="1">
      <c r="E4099" s="628" t="s">
        <v>436</v>
      </c>
      <c r="F4099" s="200" t="s">
        <v>29</v>
      </c>
      <c r="G4099" s="200" t="s">
        <v>28</v>
      </c>
      <c r="H4099" s="201" t="s">
        <v>27</v>
      </c>
      <c r="I4099" s="995"/>
      <c r="J4099" s="996"/>
      <c r="K4099" s="997"/>
      <c r="L4099" s="99"/>
      <c r="M4099" s="100"/>
    </row>
    <row r="4100" spans="4:13" ht="24">
      <c r="E4100" s="629">
        <v>45728</v>
      </c>
      <c r="F4100" s="202">
        <v>2.8000000000000001E-2</v>
      </c>
      <c r="G4100" s="202" t="s">
        <v>667</v>
      </c>
      <c r="H4100" s="202">
        <v>0.03</v>
      </c>
      <c r="I4100" s="995"/>
      <c r="J4100" s="996"/>
      <c r="K4100" s="997"/>
      <c r="L4100" s="99"/>
      <c r="M4100" s="100"/>
    </row>
    <row r="4101" spans="4:13" ht="24">
      <c r="E4101" s="629">
        <v>45700</v>
      </c>
      <c r="F4101" s="202">
        <v>0.03</v>
      </c>
      <c r="G4101" s="202" t="s">
        <v>667</v>
      </c>
      <c r="H4101" s="202">
        <v>2.9000000000000001E-2</v>
      </c>
      <c r="I4101" s="995"/>
      <c r="J4101" s="996"/>
      <c r="K4101" s="997"/>
      <c r="L4101" s="99"/>
      <c r="M4101" s="100"/>
    </row>
    <row r="4102" spans="4:13" ht="24">
      <c r="E4102" s="629">
        <v>45672</v>
      </c>
      <c r="F4102" s="202">
        <v>2.9000000000000001E-2</v>
      </c>
      <c r="G4102" s="202" t="s">
        <v>667</v>
      </c>
      <c r="H4102" s="202">
        <v>2.7E-2</v>
      </c>
      <c r="I4102" s="995"/>
      <c r="J4102" s="996"/>
      <c r="K4102" s="997"/>
      <c r="L4102" s="649"/>
      <c r="M4102" s="100"/>
    </row>
    <row r="4103" spans="4:13" ht="24">
      <c r="E4103" s="629">
        <v>45637</v>
      </c>
      <c r="F4103" s="202">
        <v>2.7E-2</v>
      </c>
      <c r="G4103" s="202" t="s">
        <v>665</v>
      </c>
      <c r="H4103" s="202">
        <v>2.5999999999999999E-2</v>
      </c>
      <c r="I4103" s="995"/>
      <c r="J4103" s="996"/>
      <c r="K4103" s="997"/>
      <c r="L4103" s="99"/>
      <c r="M4103" s="100"/>
    </row>
    <row r="4104" spans="4:13" ht="24">
      <c r="E4104" s="629">
        <v>45609</v>
      </c>
      <c r="F4104" s="202">
        <v>2.5999999999999999E-2</v>
      </c>
      <c r="G4104" s="202" t="s">
        <v>493</v>
      </c>
      <c r="H4104" s="202">
        <v>2.4E-2</v>
      </c>
      <c r="I4104" s="995"/>
      <c r="J4104" s="996"/>
      <c r="K4104" s="997"/>
      <c r="L4104" s="99"/>
      <c r="M4104" s="100"/>
    </row>
    <row r="4105" spans="4:13" ht="25" thickBot="1">
      <c r="E4105" s="629">
        <v>45575</v>
      </c>
      <c r="F4105" s="202">
        <v>2.4E-2</v>
      </c>
      <c r="G4105" s="202" t="s">
        <v>971</v>
      </c>
      <c r="H4105" s="202">
        <v>2.5000000000000001E-2</v>
      </c>
      <c r="I4105" s="998"/>
      <c r="J4105" s="999"/>
      <c r="K4105" s="1000"/>
      <c r="L4105" s="102"/>
      <c r="M4105" s="103"/>
    </row>
    <row r="4106" spans="4:13" ht="25" customHeight="1" thickBot="1">
      <c r="D4106">
        <v>2</v>
      </c>
      <c r="E4106" s="756" t="s">
        <v>30</v>
      </c>
      <c r="F4106" s="1066" t="s">
        <v>1910</v>
      </c>
      <c r="G4106" s="1067"/>
      <c r="H4106" s="1068"/>
      <c r="I4106" s="1060" t="s">
        <v>633</v>
      </c>
      <c r="J4106" s="1061"/>
      <c r="K4106" s="1062"/>
      <c r="L4106" s="158" t="s">
        <v>430</v>
      </c>
      <c r="M4106" s="105" t="s">
        <v>431</v>
      </c>
    </row>
    <row r="4107" spans="4:13" ht="24" customHeight="1">
      <c r="E4107" s="625" t="s">
        <v>432</v>
      </c>
      <c r="F4107" s="992"/>
      <c r="G4107" s="993"/>
      <c r="H4107" s="994"/>
      <c r="I4107" s="995" t="s">
        <v>1911</v>
      </c>
      <c r="J4107" s="996"/>
      <c r="K4107" s="997"/>
      <c r="L4107" s="99"/>
      <c r="M4107" s="100"/>
    </row>
    <row r="4108" spans="4:13" ht="24">
      <c r="E4108" s="626" t="s">
        <v>433</v>
      </c>
      <c r="F4108" s="1063"/>
      <c r="G4108" s="1064"/>
      <c r="H4108" s="1065"/>
      <c r="I4108" s="995"/>
      <c r="J4108" s="996"/>
      <c r="K4108" s="997"/>
      <c r="L4108" s="99"/>
      <c r="M4108" s="100"/>
    </row>
    <row r="4109" spans="4:13" ht="25" thickBot="1">
      <c r="E4109" s="626" t="s">
        <v>434</v>
      </c>
      <c r="F4109" s="1063">
        <v>2E-3</v>
      </c>
      <c r="G4109" s="1064"/>
      <c r="H4109" s="1065"/>
      <c r="I4109" s="995"/>
      <c r="J4109" s="996"/>
      <c r="K4109" s="997"/>
      <c r="L4109" s="99"/>
      <c r="M4109" s="100"/>
    </row>
    <row r="4110" spans="4:13" ht="25" thickBot="1">
      <c r="E4110" s="627" t="s">
        <v>435</v>
      </c>
      <c r="F4110" s="1007">
        <v>0.52083333333333337</v>
      </c>
      <c r="G4110" s="1008"/>
      <c r="H4110" s="1009"/>
      <c r="I4110" s="995"/>
      <c r="J4110" s="996"/>
      <c r="K4110" s="997"/>
      <c r="L4110" s="647">
        <v>0.75</v>
      </c>
      <c r="M4110" s="648">
        <v>0.64583333333333337</v>
      </c>
    </row>
    <row r="4111" spans="4:13" ht="25" thickBot="1">
      <c r="E4111" s="628" t="s">
        <v>436</v>
      </c>
      <c r="F4111" s="200" t="s">
        <v>29</v>
      </c>
      <c r="G4111" s="200" t="s">
        <v>28</v>
      </c>
      <c r="H4111" s="201" t="s">
        <v>27</v>
      </c>
      <c r="I4111" s="995"/>
      <c r="J4111" s="996"/>
      <c r="K4111" s="997"/>
      <c r="L4111" s="99"/>
      <c r="M4111" s="100"/>
    </row>
    <row r="4112" spans="4:13" ht="24">
      <c r="E4112" s="629">
        <v>45728</v>
      </c>
      <c r="F4112" s="634">
        <v>2E-3</v>
      </c>
      <c r="G4112" s="634" t="s">
        <v>467</v>
      </c>
      <c r="H4112" s="634">
        <v>5.0000000000000001E-3</v>
      </c>
      <c r="I4112" s="995"/>
      <c r="J4112" s="996"/>
      <c r="K4112" s="997"/>
      <c r="L4112" s="99"/>
      <c r="M4112" s="100"/>
    </row>
    <row r="4113" spans="4:13" ht="24">
      <c r="E4113" s="629">
        <v>45700</v>
      </c>
      <c r="F4113" s="634">
        <v>5.0000000000000001E-3</v>
      </c>
      <c r="G4113" s="634" t="s">
        <v>467</v>
      </c>
      <c r="H4113" s="634">
        <v>4.0000000000000001E-3</v>
      </c>
      <c r="I4113" s="995"/>
      <c r="J4113" s="996"/>
      <c r="K4113" s="997"/>
      <c r="L4113" s="99"/>
      <c r="M4113" s="100"/>
    </row>
    <row r="4114" spans="4:13" ht="24">
      <c r="E4114" s="629">
        <v>45672</v>
      </c>
      <c r="F4114" s="634">
        <v>4.0000000000000001E-3</v>
      </c>
      <c r="G4114" s="634" t="s">
        <v>452</v>
      </c>
      <c r="H4114" s="634">
        <v>3.0000000000000001E-3</v>
      </c>
      <c r="I4114" s="995"/>
      <c r="J4114" s="996"/>
      <c r="K4114" s="997"/>
      <c r="L4114" s="649"/>
      <c r="M4114" s="100"/>
    </row>
    <row r="4115" spans="4:13" ht="24">
      <c r="E4115" s="629">
        <v>45637</v>
      </c>
      <c r="F4115" s="634">
        <v>3.0000000000000001E-3</v>
      </c>
      <c r="G4115" s="634" t="s">
        <v>467</v>
      </c>
      <c r="H4115" s="634">
        <v>2E-3</v>
      </c>
      <c r="I4115" s="995"/>
      <c r="J4115" s="996"/>
      <c r="K4115" s="997"/>
      <c r="L4115" s="99"/>
      <c r="M4115" s="100"/>
    </row>
    <row r="4116" spans="4:13" ht="24">
      <c r="E4116" s="629">
        <v>45609</v>
      </c>
      <c r="F4116" s="634">
        <v>2E-3</v>
      </c>
      <c r="G4116" s="634" t="s">
        <v>460</v>
      </c>
      <c r="H4116" s="634">
        <v>2E-3</v>
      </c>
      <c r="I4116" s="995"/>
      <c r="J4116" s="996"/>
      <c r="K4116" s="997"/>
      <c r="L4116" s="99"/>
      <c r="M4116" s="100"/>
    </row>
    <row r="4117" spans="4:13" ht="25" thickBot="1">
      <c r="E4117" s="629">
        <v>45575</v>
      </c>
      <c r="F4117" s="634">
        <v>2E-3</v>
      </c>
      <c r="G4117" s="634" t="s">
        <v>462</v>
      </c>
      <c r="H4117" s="634">
        <v>2E-3</v>
      </c>
      <c r="I4117" s="998"/>
      <c r="J4117" s="999"/>
      <c r="K4117" s="1000"/>
      <c r="L4117" s="102"/>
      <c r="M4117" s="103"/>
    </row>
    <row r="4118" spans="4:13" ht="25" customHeight="1" thickBot="1">
      <c r="D4118">
        <v>2</v>
      </c>
      <c r="E4118" s="756" t="s">
        <v>30</v>
      </c>
      <c r="F4118" s="1066" t="s">
        <v>1421</v>
      </c>
      <c r="G4118" s="1067"/>
      <c r="H4118" s="1068"/>
      <c r="I4118" s="1060" t="s">
        <v>633</v>
      </c>
      <c r="J4118" s="1061"/>
      <c r="K4118" s="1062"/>
      <c r="L4118" s="158" t="s">
        <v>430</v>
      </c>
      <c r="M4118" s="105" t="s">
        <v>431</v>
      </c>
    </row>
    <row r="4119" spans="4:13" ht="24" customHeight="1">
      <c r="E4119" s="625" t="s">
        <v>432</v>
      </c>
      <c r="F4119" s="992"/>
      <c r="G4119" s="993"/>
      <c r="H4119" s="994"/>
      <c r="I4119" s="995" t="s">
        <v>1912</v>
      </c>
      <c r="J4119" s="996"/>
      <c r="K4119" s="997"/>
      <c r="L4119" s="99"/>
      <c r="M4119" s="100"/>
    </row>
    <row r="4120" spans="4:13" ht="24">
      <c r="E4120" s="626" t="s">
        <v>433</v>
      </c>
      <c r="F4120" s="1063"/>
      <c r="G4120" s="1064"/>
      <c r="H4120" s="1065"/>
      <c r="I4120" s="995"/>
      <c r="J4120" s="996"/>
      <c r="K4120" s="997"/>
      <c r="L4120" s="99"/>
      <c r="M4120" s="100"/>
    </row>
    <row r="4121" spans="4:13" ht="25" thickBot="1">
      <c r="E4121" s="626" t="s">
        <v>434</v>
      </c>
      <c r="F4121" s="1063" t="s">
        <v>345</v>
      </c>
      <c r="G4121" s="1064"/>
      <c r="H4121" s="1065"/>
      <c r="I4121" s="995"/>
      <c r="J4121" s="996"/>
      <c r="K4121" s="997"/>
      <c r="L4121" s="99"/>
      <c r="M4121" s="100"/>
    </row>
    <row r="4122" spans="4:13" ht="25" thickBot="1">
      <c r="E4122" s="627" t="s">
        <v>435</v>
      </c>
      <c r="F4122" s="1007">
        <v>0.52083333333333337</v>
      </c>
      <c r="G4122" s="1008"/>
      <c r="H4122" s="1009"/>
      <c r="I4122" s="995"/>
      <c r="J4122" s="996"/>
      <c r="K4122" s="997"/>
      <c r="L4122" s="647">
        <v>0.75</v>
      </c>
      <c r="M4122" s="648">
        <v>0.64583333333333337</v>
      </c>
    </row>
    <row r="4123" spans="4:13" ht="25" thickBot="1">
      <c r="E4123" s="628" t="s">
        <v>436</v>
      </c>
      <c r="F4123" s="200" t="s">
        <v>29</v>
      </c>
      <c r="G4123" s="200" t="s">
        <v>28</v>
      </c>
      <c r="H4123" s="201" t="s">
        <v>27</v>
      </c>
      <c r="I4123" s="995"/>
      <c r="J4123" s="996"/>
      <c r="K4123" s="997"/>
      <c r="L4123" s="99"/>
      <c r="M4123" s="100"/>
    </row>
    <row r="4124" spans="4:13" ht="23">
      <c r="E4124" s="629">
        <v>45750</v>
      </c>
      <c r="F4124" s="634">
        <v>219</v>
      </c>
      <c r="G4124" s="634">
        <v>225</v>
      </c>
      <c r="H4124" s="634">
        <v>225</v>
      </c>
      <c r="I4124" s="995"/>
      <c r="J4124" s="996"/>
      <c r="K4124" s="997"/>
      <c r="L4124" s="99"/>
      <c r="M4124" s="100"/>
    </row>
    <row r="4125" spans="4:13" ht="23">
      <c r="E4125" s="629">
        <v>45743</v>
      </c>
      <c r="F4125" s="634">
        <v>224</v>
      </c>
      <c r="G4125" s="634">
        <v>225</v>
      </c>
      <c r="H4125" s="634">
        <v>225</v>
      </c>
      <c r="I4125" s="995"/>
      <c r="J4125" s="996"/>
      <c r="K4125" s="997"/>
      <c r="L4125" s="99"/>
      <c r="M4125" s="100"/>
    </row>
    <row r="4126" spans="4:13" ht="23">
      <c r="E4126" s="629">
        <v>45736</v>
      </c>
      <c r="F4126" s="634">
        <v>223</v>
      </c>
      <c r="G4126" s="634">
        <v>224</v>
      </c>
      <c r="H4126" s="634">
        <v>221</v>
      </c>
      <c r="I4126" s="995"/>
      <c r="J4126" s="996"/>
      <c r="K4126" s="997"/>
      <c r="L4126" s="649"/>
      <c r="M4126" s="100"/>
    </row>
    <row r="4127" spans="4:13" ht="23">
      <c r="E4127" s="629">
        <v>45729</v>
      </c>
      <c r="F4127" s="634">
        <v>220</v>
      </c>
      <c r="G4127" s="634">
        <v>226</v>
      </c>
      <c r="H4127" s="634">
        <v>222</v>
      </c>
      <c r="I4127" s="995"/>
      <c r="J4127" s="996"/>
      <c r="K4127" s="997"/>
      <c r="L4127" s="99"/>
      <c r="M4127" s="100"/>
    </row>
    <row r="4128" spans="4:13" ht="23">
      <c r="E4128" s="629">
        <v>45722</v>
      </c>
      <c r="F4128" s="634">
        <v>221</v>
      </c>
      <c r="G4128" s="634">
        <v>234</v>
      </c>
      <c r="H4128" s="634">
        <v>242</v>
      </c>
      <c r="I4128" s="995"/>
      <c r="J4128" s="996"/>
      <c r="K4128" s="997"/>
      <c r="L4128" s="99"/>
      <c r="M4128" s="100"/>
    </row>
    <row r="4129" spans="4:13" ht="24" thickBot="1">
      <c r="E4129" s="629">
        <v>45715</v>
      </c>
      <c r="F4129" s="634">
        <v>242</v>
      </c>
      <c r="G4129" s="634">
        <v>222</v>
      </c>
      <c r="H4129" s="634">
        <v>220</v>
      </c>
      <c r="I4129" s="998"/>
      <c r="J4129" s="999"/>
      <c r="K4129" s="1000"/>
      <c r="L4129" s="102"/>
      <c r="M4129" s="103"/>
    </row>
    <row r="4130" spans="4:13" ht="25" customHeight="1" thickBot="1">
      <c r="D4130">
        <v>3</v>
      </c>
      <c r="E4130" s="624" t="s">
        <v>30</v>
      </c>
      <c r="F4130" s="1057" t="s">
        <v>1913</v>
      </c>
      <c r="G4130" s="1058"/>
      <c r="H4130" s="1059"/>
      <c r="I4130" s="1060" t="s">
        <v>633</v>
      </c>
      <c r="J4130" s="1061"/>
      <c r="K4130" s="1062"/>
      <c r="L4130" s="158" t="s">
        <v>430</v>
      </c>
      <c r="M4130" s="105" t="s">
        <v>431</v>
      </c>
    </row>
    <row r="4131" spans="4:13" ht="24" customHeight="1">
      <c r="E4131" s="625" t="s">
        <v>432</v>
      </c>
      <c r="F4131" s="992"/>
      <c r="G4131" s="993"/>
      <c r="H4131" s="994"/>
      <c r="I4131" s="995" t="s">
        <v>1914</v>
      </c>
      <c r="J4131" s="996"/>
      <c r="K4131" s="997"/>
      <c r="L4131" s="99"/>
      <c r="M4131" s="100"/>
    </row>
    <row r="4132" spans="4:13" ht="24">
      <c r="E4132" s="626" t="s">
        <v>433</v>
      </c>
      <c r="F4132" s="1063"/>
      <c r="G4132" s="1064"/>
      <c r="H4132" s="1065"/>
      <c r="I4132" s="995"/>
      <c r="J4132" s="996"/>
      <c r="K4132" s="997"/>
      <c r="L4132" s="99"/>
      <c r="M4132" s="100"/>
    </row>
    <row r="4133" spans="4:13" ht="25" thickBot="1">
      <c r="E4133" s="626" t="s">
        <v>434</v>
      </c>
      <c r="F4133" s="1077">
        <v>4.623E-2</v>
      </c>
      <c r="G4133" s="1078"/>
      <c r="H4133" s="1079"/>
      <c r="I4133" s="995"/>
      <c r="J4133" s="996"/>
      <c r="K4133" s="997"/>
      <c r="L4133" s="99"/>
      <c r="M4133" s="100"/>
    </row>
    <row r="4134" spans="4:13" ht="25" thickBot="1">
      <c r="E4134" s="627" t="s">
        <v>435</v>
      </c>
      <c r="F4134" s="1007">
        <v>0.70833333333333337</v>
      </c>
      <c r="G4134" s="1008"/>
      <c r="H4134" s="1009"/>
      <c r="I4134" s="995"/>
      <c r="J4134" s="996"/>
      <c r="K4134" s="997"/>
      <c r="L4134" s="647">
        <v>0.9375</v>
      </c>
      <c r="M4134" s="648">
        <v>0.83333333333333337</v>
      </c>
    </row>
    <row r="4135" spans="4:13" ht="25" thickBot="1">
      <c r="E4135" s="628" t="s">
        <v>436</v>
      </c>
      <c r="F4135" s="200" t="s">
        <v>29</v>
      </c>
      <c r="G4135" s="200" t="s">
        <v>28</v>
      </c>
      <c r="H4135" s="201" t="s">
        <v>27</v>
      </c>
      <c r="I4135" s="995"/>
      <c r="J4135" s="996"/>
      <c r="K4135" s="997"/>
      <c r="L4135" s="99"/>
      <c r="M4135" s="100"/>
    </row>
    <row r="4136" spans="4:13" ht="23">
      <c r="E4136" s="629">
        <v>45729</v>
      </c>
      <c r="F4136" s="634">
        <v>4.6199999999999998E-2</v>
      </c>
      <c r="G4136" s="634"/>
      <c r="H4136" s="634">
        <v>4.7500000000000001E-2</v>
      </c>
      <c r="I4136" s="995"/>
      <c r="J4136" s="996"/>
      <c r="K4136" s="997"/>
      <c r="L4136" s="99"/>
      <c r="M4136" s="100"/>
    </row>
    <row r="4137" spans="4:13" ht="23">
      <c r="E4137" s="629">
        <v>45701</v>
      </c>
      <c r="F4137" s="634">
        <v>4.7500000000000001E-2</v>
      </c>
      <c r="G4137" s="634"/>
      <c r="H4137" s="634">
        <v>4.9099999999999998E-2</v>
      </c>
      <c r="I4137" s="995"/>
      <c r="J4137" s="996"/>
      <c r="K4137" s="997"/>
      <c r="L4137" s="99"/>
      <c r="M4137" s="100"/>
    </row>
    <row r="4138" spans="4:13" ht="23">
      <c r="E4138" s="629">
        <v>45665</v>
      </c>
      <c r="F4138" s="634">
        <v>4.9099999999999998E-2</v>
      </c>
      <c r="G4138" s="634"/>
      <c r="H4138" s="634">
        <v>4.5400000000000003E-2</v>
      </c>
      <c r="I4138" s="995"/>
      <c r="J4138" s="996"/>
      <c r="K4138" s="997"/>
      <c r="L4138" s="649"/>
      <c r="M4138" s="100"/>
    </row>
    <row r="4139" spans="4:13" ht="23">
      <c r="E4139" s="629">
        <v>45638</v>
      </c>
      <c r="F4139" s="634">
        <v>4.5400000000000003E-2</v>
      </c>
      <c r="G4139" s="634"/>
      <c r="H4139" s="634">
        <v>4.6100000000000002E-2</v>
      </c>
      <c r="I4139" s="995"/>
      <c r="J4139" s="996"/>
      <c r="K4139" s="997"/>
      <c r="L4139" s="99"/>
      <c r="M4139" s="100"/>
    </row>
    <row r="4140" spans="4:13" ht="23">
      <c r="E4140" s="629">
        <v>45602</v>
      </c>
      <c r="F4140" s="634">
        <v>4.6100000000000002E-2</v>
      </c>
      <c r="G4140" s="634"/>
      <c r="H4140" s="634">
        <v>4.3900000000000002E-2</v>
      </c>
      <c r="I4140" s="995"/>
      <c r="J4140" s="996"/>
      <c r="K4140" s="997"/>
      <c r="L4140" s="99"/>
      <c r="M4140" s="100"/>
    </row>
    <row r="4141" spans="4:13" ht="24" thickBot="1">
      <c r="E4141" s="629">
        <v>45575</v>
      </c>
      <c r="F4141" s="634">
        <v>4.3900000000000002E-2</v>
      </c>
      <c r="G4141" s="634"/>
      <c r="H4141" s="634">
        <v>4.02E-2</v>
      </c>
      <c r="I4141" s="998"/>
      <c r="J4141" s="999"/>
      <c r="K4141" s="1000"/>
      <c r="L4141" s="102"/>
      <c r="M4141" s="103"/>
    </row>
    <row r="4142" spans="4:13" ht="25" customHeight="1" thickBot="1">
      <c r="D4142">
        <v>2</v>
      </c>
      <c r="E4142" s="756" t="s">
        <v>30</v>
      </c>
      <c r="F4142" s="1066" t="s">
        <v>1915</v>
      </c>
      <c r="G4142" s="1067"/>
      <c r="H4142" s="1068"/>
      <c r="I4142" s="1069" t="s">
        <v>633</v>
      </c>
      <c r="J4142" s="1070"/>
      <c r="K4142" s="1071"/>
      <c r="L4142" s="158" t="s">
        <v>430</v>
      </c>
      <c r="M4142" s="105" t="s">
        <v>431</v>
      </c>
    </row>
    <row r="4143" spans="4:13" ht="24" customHeight="1">
      <c r="E4143" s="625" t="s">
        <v>432</v>
      </c>
      <c r="F4143" s="992"/>
      <c r="G4143" s="993"/>
      <c r="H4143" s="994"/>
      <c r="I4143" s="995" t="s">
        <v>1916</v>
      </c>
      <c r="J4143" s="996"/>
      <c r="K4143" s="997"/>
      <c r="L4143" s="99"/>
      <c r="M4143" s="100"/>
    </row>
    <row r="4144" spans="4:13" ht="24">
      <c r="E4144" s="626" t="s">
        <v>433</v>
      </c>
      <c r="F4144" s="1063"/>
      <c r="G4144" s="1064"/>
      <c r="H4144" s="1065"/>
      <c r="I4144" s="995"/>
      <c r="J4144" s="996"/>
      <c r="K4144" s="997"/>
      <c r="L4144" s="99"/>
      <c r="M4144" s="100"/>
    </row>
    <row r="4145" spans="4:13" ht="25" thickBot="1">
      <c r="E4145" s="626" t="s">
        <v>434</v>
      </c>
      <c r="F4145" s="1063">
        <v>-1E-3</v>
      </c>
      <c r="G4145" s="1064"/>
      <c r="H4145" s="1065"/>
      <c r="I4145" s="995"/>
      <c r="J4145" s="996"/>
      <c r="K4145" s="997"/>
      <c r="L4145" s="99"/>
      <c r="M4145" s="100"/>
    </row>
    <row r="4146" spans="4:13" ht="25" thickBot="1">
      <c r="E4146" s="627" t="s">
        <v>435</v>
      </c>
      <c r="F4146" s="1007">
        <v>0.25</v>
      </c>
      <c r="G4146" s="1008"/>
      <c r="H4146" s="1009"/>
      <c r="I4146" s="995"/>
      <c r="J4146" s="996"/>
      <c r="K4146" s="997"/>
      <c r="L4146" s="647">
        <v>0.47916666666666669</v>
      </c>
      <c r="M4146" s="648">
        <v>0.375</v>
      </c>
    </row>
    <row r="4147" spans="4:13" ht="25" thickBot="1">
      <c r="E4147" s="628" t="s">
        <v>436</v>
      </c>
      <c r="F4147" s="200" t="s">
        <v>29</v>
      </c>
      <c r="G4147" s="200" t="s">
        <v>28</v>
      </c>
      <c r="H4147" s="201" t="s">
        <v>27</v>
      </c>
      <c r="I4147" s="995"/>
      <c r="J4147" s="996"/>
      <c r="K4147" s="997"/>
      <c r="L4147" s="99"/>
      <c r="M4147" s="100"/>
    </row>
    <row r="4148" spans="4:13" ht="24">
      <c r="E4148" s="629">
        <v>45730</v>
      </c>
      <c r="F4148" s="634">
        <v>-1E-3</v>
      </c>
      <c r="G4148" s="634" t="s">
        <v>462</v>
      </c>
      <c r="H4148" s="634">
        <v>4.0000000000000001E-3</v>
      </c>
      <c r="I4148" s="995"/>
      <c r="J4148" s="996"/>
      <c r="K4148" s="997"/>
      <c r="L4148" s="99"/>
      <c r="M4148" s="100"/>
    </row>
    <row r="4149" spans="4:13" ht="24">
      <c r="E4149" s="629">
        <v>45701</v>
      </c>
      <c r="F4149" s="634">
        <v>4.0000000000000001E-3</v>
      </c>
      <c r="G4149" s="634" t="s">
        <v>462</v>
      </c>
      <c r="H4149" s="634">
        <v>1E-3</v>
      </c>
      <c r="I4149" s="995"/>
      <c r="J4149" s="996"/>
      <c r="K4149" s="997"/>
      <c r="L4149" s="99"/>
      <c r="M4149" s="100"/>
    </row>
    <row r="4150" spans="4:13" ht="24">
      <c r="E4150" s="629">
        <v>45673</v>
      </c>
      <c r="F4150" s="634">
        <v>1E-3</v>
      </c>
      <c r="G4150" s="634" t="s">
        <v>460</v>
      </c>
      <c r="H4150" s="634">
        <v>-1E-3</v>
      </c>
      <c r="I4150" s="995"/>
      <c r="J4150" s="996"/>
      <c r="K4150" s="997"/>
      <c r="L4150" s="649"/>
      <c r="M4150" s="100"/>
    </row>
    <row r="4151" spans="4:13" ht="24">
      <c r="E4151" s="629">
        <v>45639</v>
      </c>
      <c r="F4151" s="634">
        <v>-1E-3</v>
      </c>
      <c r="G4151" s="634" t="s">
        <v>462</v>
      </c>
      <c r="H4151" s="634">
        <v>-1E-3</v>
      </c>
      <c r="I4151" s="995"/>
      <c r="J4151" s="996"/>
      <c r="K4151" s="997"/>
      <c r="L4151" s="99"/>
      <c r="M4151" s="100"/>
    </row>
    <row r="4152" spans="4:13" ht="24">
      <c r="E4152" s="629">
        <v>45611</v>
      </c>
      <c r="F4152" s="634">
        <v>-1E-3</v>
      </c>
      <c r="G4152" s="634" t="s">
        <v>460</v>
      </c>
      <c r="H4152" s="634">
        <v>2E-3</v>
      </c>
      <c r="I4152" s="995"/>
      <c r="J4152" s="996"/>
      <c r="K4152" s="997"/>
      <c r="L4152" s="99"/>
      <c r="M4152" s="100"/>
    </row>
    <row r="4153" spans="4:13" ht="25" thickBot="1">
      <c r="E4153" s="629">
        <v>45576</v>
      </c>
      <c r="F4153" s="634">
        <v>2E-3</v>
      </c>
      <c r="G4153" s="634" t="s">
        <v>460</v>
      </c>
      <c r="H4153" s="634">
        <v>0</v>
      </c>
      <c r="I4153" s="998"/>
      <c r="J4153" s="999"/>
      <c r="K4153" s="1000"/>
      <c r="L4153" s="102"/>
      <c r="M4153" s="103"/>
    </row>
    <row r="4154" spans="4:13" ht="25" customHeight="1" thickBot="1">
      <c r="D4154">
        <v>3</v>
      </c>
      <c r="E4154" s="756" t="s">
        <v>30</v>
      </c>
      <c r="F4154" s="1066" t="s">
        <v>1917</v>
      </c>
      <c r="G4154" s="1067"/>
      <c r="H4154" s="1068"/>
      <c r="I4154" s="1069" t="s">
        <v>633</v>
      </c>
      <c r="J4154" s="1070"/>
      <c r="K4154" s="1071"/>
      <c r="L4154" s="658" t="s">
        <v>430</v>
      </c>
      <c r="M4154" s="659" t="s">
        <v>431</v>
      </c>
    </row>
    <row r="4155" spans="4:13" ht="24" customHeight="1">
      <c r="E4155" s="625" t="s">
        <v>432</v>
      </c>
      <c r="F4155" s="992"/>
      <c r="G4155" s="993"/>
      <c r="H4155" s="994"/>
      <c r="I4155" s="995" t="s">
        <v>1635</v>
      </c>
      <c r="J4155" s="996"/>
      <c r="K4155" s="997"/>
      <c r="L4155" s="99"/>
      <c r="M4155" s="100"/>
    </row>
    <row r="4156" spans="4:13" ht="46" customHeight="1">
      <c r="E4156" s="626" t="s">
        <v>433</v>
      </c>
      <c r="F4156" s="1022" t="s">
        <v>1923</v>
      </c>
      <c r="G4156" s="1005"/>
      <c r="H4156" s="1006"/>
      <c r="I4156" s="995"/>
      <c r="J4156" s="996"/>
      <c r="K4156" s="997"/>
      <c r="L4156" s="99"/>
      <c r="M4156" s="100"/>
    </row>
    <row r="4157" spans="4:13" ht="25" thickBot="1">
      <c r="E4157" s="626" t="s">
        <v>434</v>
      </c>
      <c r="F4157" s="1083">
        <v>4.0000000000000001E-3</v>
      </c>
      <c r="G4157" s="1084"/>
      <c r="H4157" s="1085"/>
      <c r="I4157" s="995"/>
      <c r="J4157" s="996"/>
      <c r="K4157" s="997"/>
      <c r="L4157" s="99"/>
      <c r="M4157" s="100"/>
    </row>
    <row r="4158" spans="4:13" ht="25" thickBot="1">
      <c r="E4158" s="627" t="s">
        <v>435</v>
      </c>
      <c r="F4158" s="1007">
        <v>0.25</v>
      </c>
      <c r="G4158" s="1008"/>
      <c r="H4158" s="1009"/>
      <c r="I4158" s="995"/>
      <c r="J4158" s="996"/>
      <c r="K4158" s="997"/>
      <c r="L4158" s="647">
        <v>0.47916666666666669</v>
      </c>
      <c r="M4158" s="648">
        <v>0.375</v>
      </c>
    </row>
    <row r="4159" spans="4:13" ht="25" thickBot="1">
      <c r="E4159" s="628" t="s">
        <v>436</v>
      </c>
      <c r="F4159" s="200" t="s">
        <v>29</v>
      </c>
      <c r="G4159" s="200" t="s">
        <v>28</v>
      </c>
      <c r="H4159" s="201" t="s">
        <v>27</v>
      </c>
      <c r="I4159" s="995"/>
      <c r="J4159" s="996"/>
      <c r="K4159" s="997"/>
      <c r="L4159" s="99"/>
      <c r="M4159" s="100"/>
    </row>
    <row r="4160" spans="4:13" ht="24">
      <c r="E4160" s="629">
        <v>45747</v>
      </c>
      <c r="F4160" s="635">
        <v>3.0000000000000001E-3</v>
      </c>
      <c r="G4160" s="635" t="s">
        <v>467</v>
      </c>
      <c r="H4160" s="635">
        <v>4.0000000000000001E-3</v>
      </c>
      <c r="I4160" s="995"/>
      <c r="J4160" s="996"/>
      <c r="K4160" s="997"/>
      <c r="L4160" s="99"/>
      <c r="M4160" s="100"/>
    </row>
    <row r="4161" spans="4:13" ht="24">
      <c r="E4161" s="629">
        <v>45730</v>
      </c>
      <c r="F4161" s="635">
        <v>4.0000000000000001E-3</v>
      </c>
      <c r="G4161" s="635" t="s">
        <v>452</v>
      </c>
      <c r="H4161" s="635">
        <v>-2E-3</v>
      </c>
      <c r="I4161" s="995"/>
      <c r="J4161" s="996"/>
      <c r="K4161" s="997"/>
      <c r="L4161" s="99"/>
      <c r="M4161" s="100"/>
    </row>
    <row r="4162" spans="4:13" ht="24">
      <c r="E4162" s="629">
        <v>45716</v>
      </c>
      <c r="F4162" s="635">
        <v>4.0000000000000001E-3</v>
      </c>
      <c r="G4162" s="635" t="s">
        <v>452</v>
      </c>
      <c r="H4162" s="635">
        <v>-2E-3</v>
      </c>
      <c r="I4162" s="995"/>
      <c r="J4162" s="996"/>
      <c r="K4162" s="997"/>
      <c r="L4162" s="649"/>
      <c r="M4162" s="100"/>
    </row>
    <row r="4163" spans="4:13" ht="24">
      <c r="E4163" s="629">
        <v>45701</v>
      </c>
      <c r="F4163" s="635">
        <v>-2E-3</v>
      </c>
      <c r="G4163" s="635" t="s">
        <v>461</v>
      </c>
      <c r="H4163" s="635">
        <v>5.0000000000000001E-3</v>
      </c>
      <c r="I4163" s="995"/>
      <c r="J4163" s="996"/>
      <c r="K4163" s="997"/>
      <c r="L4163" s="99"/>
      <c r="M4163" s="100"/>
    </row>
    <row r="4164" spans="4:13" ht="24">
      <c r="E4164" s="629">
        <v>45688</v>
      </c>
      <c r="F4164" s="635">
        <v>-2E-3</v>
      </c>
      <c r="G4164" s="635" t="s">
        <v>462</v>
      </c>
      <c r="H4164" s="635">
        <v>5.0000000000000001E-3</v>
      </c>
      <c r="I4164" s="995"/>
      <c r="J4164" s="996"/>
      <c r="K4164" s="997"/>
      <c r="L4164" s="99"/>
      <c r="M4164" s="100"/>
    </row>
    <row r="4165" spans="4:13" ht="25" thickBot="1">
      <c r="E4165" s="629">
        <v>45673</v>
      </c>
      <c r="F4165" s="635">
        <v>5.0000000000000001E-3</v>
      </c>
      <c r="G4165" s="635" t="s">
        <v>452</v>
      </c>
      <c r="H4165" s="635">
        <v>-2E-3</v>
      </c>
      <c r="I4165" s="998"/>
      <c r="J4165" s="999"/>
      <c r="K4165" s="1000"/>
      <c r="L4165" s="102"/>
      <c r="M4165" s="103"/>
    </row>
    <row r="4166" spans="4:13" ht="25" customHeight="1" thickBot="1">
      <c r="D4166">
        <v>3</v>
      </c>
      <c r="E4166" s="756" t="s">
        <v>30</v>
      </c>
      <c r="F4166" s="1066" t="s">
        <v>1918</v>
      </c>
      <c r="G4166" s="1067"/>
      <c r="H4166" s="1068"/>
      <c r="I4166" s="1069" t="s">
        <v>633</v>
      </c>
      <c r="J4166" s="1070"/>
      <c r="K4166" s="1071"/>
      <c r="L4166" s="658" t="s">
        <v>430</v>
      </c>
      <c r="M4166" s="659" t="s">
        <v>431</v>
      </c>
    </row>
    <row r="4167" spans="4:13" ht="24" customHeight="1">
      <c r="E4167" s="625" t="s">
        <v>432</v>
      </c>
      <c r="F4167" s="992"/>
      <c r="G4167" s="993"/>
      <c r="H4167" s="994"/>
      <c r="I4167" s="995" t="s">
        <v>1919</v>
      </c>
      <c r="J4167" s="996"/>
      <c r="K4167" s="997"/>
      <c r="L4167" s="99"/>
      <c r="M4167" s="100"/>
    </row>
    <row r="4168" spans="4:13" ht="46" customHeight="1">
      <c r="E4168" s="626" t="s">
        <v>433</v>
      </c>
      <c r="F4168" s="1022" t="s">
        <v>1923</v>
      </c>
      <c r="G4168" s="1005"/>
      <c r="H4168" s="1006"/>
      <c r="I4168" s="995"/>
      <c r="J4168" s="996"/>
      <c r="K4168" s="997"/>
      <c r="L4168" s="99"/>
      <c r="M4168" s="100"/>
    </row>
    <row r="4169" spans="4:13" ht="25" thickBot="1">
      <c r="E4169" s="626" t="s">
        <v>434</v>
      </c>
      <c r="F4169" s="1083">
        <v>0</v>
      </c>
      <c r="G4169" s="1084"/>
      <c r="H4169" s="1085"/>
      <c r="I4169" s="995"/>
      <c r="J4169" s="996"/>
      <c r="K4169" s="997"/>
      <c r="L4169" s="99"/>
      <c r="M4169" s="100"/>
    </row>
    <row r="4170" spans="4:13" ht="25" thickBot="1">
      <c r="E4170" s="627" t="s">
        <v>435</v>
      </c>
      <c r="F4170" s="1007">
        <v>0.52083333333333337</v>
      </c>
      <c r="G4170" s="1008"/>
      <c r="H4170" s="1009"/>
      <c r="I4170" s="995"/>
      <c r="J4170" s="996"/>
      <c r="K4170" s="997"/>
      <c r="L4170" s="647">
        <v>0.75</v>
      </c>
      <c r="M4170" s="648">
        <v>0.64583333333333337</v>
      </c>
    </row>
    <row r="4171" spans="4:13" ht="25" thickBot="1">
      <c r="E4171" s="628" t="s">
        <v>436</v>
      </c>
      <c r="F4171" s="200" t="s">
        <v>29</v>
      </c>
      <c r="G4171" s="200" t="s">
        <v>28</v>
      </c>
      <c r="H4171" s="201" t="s">
        <v>27</v>
      </c>
      <c r="I4171" s="995"/>
      <c r="J4171" s="996"/>
      <c r="K4171" s="997"/>
      <c r="L4171" s="99"/>
      <c r="M4171" s="100"/>
    </row>
    <row r="4172" spans="4:13" ht="24">
      <c r="E4172" s="629">
        <v>45729</v>
      </c>
      <c r="F4172" s="635">
        <v>0</v>
      </c>
      <c r="G4172" s="635" t="s">
        <v>467</v>
      </c>
      <c r="H4172" s="635">
        <v>6.0000000000000001E-3</v>
      </c>
      <c r="I4172" s="995"/>
      <c r="J4172" s="996"/>
      <c r="K4172" s="997"/>
      <c r="L4172" s="99"/>
      <c r="M4172" s="100"/>
    </row>
    <row r="4173" spans="4:13" ht="24">
      <c r="E4173" s="629">
        <v>45701</v>
      </c>
      <c r="F4173" s="635">
        <v>4.0000000000000001E-3</v>
      </c>
      <c r="G4173" s="635" t="s">
        <v>467</v>
      </c>
      <c r="H4173" s="635">
        <v>5.0000000000000001E-3</v>
      </c>
      <c r="I4173" s="995"/>
      <c r="J4173" s="996"/>
      <c r="K4173" s="997"/>
      <c r="L4173" s="99"/>
      <c r="M4173" s="100"/>
    </row>
    <row r="4174" spans="4:13" ht="24">
      <c r="E4174" s="629">
        <v>45671</v>
      </c>
      <c r="F4174" s="635">
        <v>2E-3</v>
      </c>
      <c r="G4174" s="635" t="s">
        <v>452</v>
      </c>
      <c r="H4174" s="635">
        <v>4.0000000000000001E-3</v>
      </c>
      <c r="I4174" s="995"/>
      <c r="J4174" s="996"/>
      <c r="K4174" s="997"/>
      <c r="L4174" s="649"/>
      <c r="M4174" s="100"/>
    </row>
    <row r="4175" spans="4:13" ht="24">
      <c r="E4175" s="629">
        <v>45638</v>
      </c>
      <c r="F4175" s="635">
        <v>4.0000000000000001E-3</v>
      </c>
      <c r="G4175" s="635" t="s">
        <v>460</v>
      </c>
      <c r="H4175" s="635">
        <v>3.0000000000000001E-3</v>
      </c>
      <c r="I4175" s="995"/>
      <c r="J4175" s="996"/>
      <c r="K4175" s="997"/>
      <c r="L4175" s="99"/>
      <c r="M4175" s="100"/>
    </row>
    <row r="4176" spans="4:13" ht="24">
      <c r="E4176" s="629">
        <v>45610</v>
      </c>
      <c r="F4176" s="635">
        <v>2E-3</v>
      </c>
      <c r="G4176" s="635" t="s">
        <v>460</v>
      </c>
      <c r="H4176" s="635">
        <v>1E-3</v>
      </c>
      <c r="I4176" s="995"/>
      <c r="J4176" s="996"/>
      <c r="K4176" s="997"/>
      <c r="L4176" s="99"/>
      <c r="M4176" s="100"/>
    </row>
    <row r="4177" spans="3:13" ht="25" thickBot="1">
      <c r="E4177" s="629">
        <v>45576</v>
      </c>
      <c r="F4177" s="635">
        <v>0</v>
      </c>
      <c r="G4177" s="635" t="s">
        <v>462</v>
      </c>
      <c r="H4177" s="635">
        <v>2E-3</v>
      </c>
      <c r="I4177" s="998"/>
      <c r="J4177" s="999"/>
      <c r="K4177" s="1000"/>
      <c r="L4177" s="102"/>
      <c r="M4177" s="103"/>
    </row>
    <row r="4178" spans="3:13" ht="25" thickBot="1">
      <c r="C4178" t="s">
        <v>105</v>
      </c>
      <c r="D4178">
        <v>1</v>
      </c>
      <c r="E4178" s="624" t="s">
        <v>30</v>
      </c>
      <c r="F4178" s="1057" t="s">
        <v>1930</v>
      </c>
      <c r="G4178" s="1058"/>
      <c r="H4178" s="1059"/>
      <c r="I4178" s="1060" t="s">
        <v>633</v>
      </c>
      <c r="J4178" s="1061"/>
      <c r="K4178" s="1062"/>
      <c r="L4178" s="158" t="s">
        <v>430</v>
      </c>
      <c r="M4178" s="105" t="s">
        <v>431</v>
      </c>
    </row>
    <row r="4179" spans="3:13" ht="24">
      <c r="E4179" s="625" t="s">
        <v>432</v>
      </c>
      <c r="F4179" s="992"/>
      <c r="G4179" s="993"/>
      <c r="H4179" s="994"/>
      <c r="I4179" s="995" t="s">
        <v>1931</v>
      </c>
      <c r="J4179" s="996"/>
      <c r="K4179" s="997"/>
      <c r="L4179" s="99"/>
      <c r="M4179" s="100"/>
    </row>
    <row r="4180" spans="3:13" ht="24">
      <c r="E4180" s="626" t="s">
        <v>433</v>
      </c>
      <c r="F4180" s="1072"/>
      <c r="G4180" s="1073"/>
      <c r="H4180" s="1074"/>
      <c r="I4180" s="995"/>
      <c r="J4180" s="996"/>
      <c r="K4180" s="997"/>
      <c r="L4180" s="99"/>
      <c r="M4180" s="100"/>
    </row>
    <row r="4181" spans="3:13" ht="25" thickBot="1">
      <c r="E4181" s="626" t="s">
        <v>434</v>
      </c>
      <c r="F4181" s="1063">
        <v>5.3999999999999999E-2</v>
      </c>
      <c r="G4181" s="1064"/>
      <c r="H4181" s="1065"/>
      <c r="I4181" s="995"/>
      <c r="J4181" s="996"/>
      <c r="K4181" s="997"/>
      <c r="L4181" s="99"/>
      <c r="M4181" s="100"/>
    </row>
    <row r="4182" spans="3:13" ht="25" thickBot="1">
      <c r="E4182" s="627" t="s">
        <v>435</v>
      </c>
      <c r="F4182" s="1007">
        <v>8.3333333333333343E-2</v>
      </c>
      <c r="G4182" s="1008"/>
      <c r="H4182" s="1009"/>
      <c r="I4182" s="995"/>
      <c r="J4182" s="996"/>
      <c r="K4182" s="997"/>
      <c r="L4182" s="647">
        <v>0.3125</v>
      </c>
      <c r="M4182" s="648">
        <v>0.20833333333333331</v>
      </c>
    </row>
    <row r="4183" spans="3:13" ht="25" thickBot="1">
      <c r="E4183" s="628" t="s">
        <v>436</v>
      </c>
      <c r="F4183" s="200" t="s">
        <v>29</v>
      </c>
      <c r="G4183" s="200" t="s">
        <v>28</v>
      </c>
      <c r="H4183" s="201" t="s">
        <v>27</v>
      </c>
      <c r="I4183" s="995"/>
      <c r="J4183" s="996"/>
      <c r="K4183" s="997"/>
      <c r="L4183" s="99"/>
      <c r="M4183" s="100"/>
    </row>
    <row r="4184" spans="3:13" ht="23">
      <c r="E4184" s="629">
        <v>45674</v>
      </c>
      <c r="F4184" s="634">
        <v>5.3999999999999999E-2</v>
      </c>
      <c r="G4184" s="634">
        <v>0.05</v>
      </c>
      <c r="H4184" s="634">
        <v>4.5999999999999999E-2</v>
      </c>
      <c r="I4184" s="995"/>
      <c r="J4184" s="996"/>
      <c r="K4184" s="997"/>
      <c r="L4184" s="99"/>
      <c r="M4184" s="100"/>
    </row>
    <row r="4185" spans="3:13" ht="23">
      <c r="E4185" s="629">
        <v>45583</v>
      </c>
      <c r="F4185" s="634">
        <v>4.5999999999999999E-2</v>
      </c>
      <c r="G4185" s="634">
        <v>4.5999999999999999E-2</v>
      </c>
      <c r="H4185" s="634">
        <v>4.7E-2</v>
      </c>
      <c r="I4185" s="995"/>
      <c r="J4185" s="996"/>
      <c r="K4185" s="997"/>
      <c r="L4185" s="99"/>
      <c r="M4185" s="100"/>
    </row>
    <row r="4186" spans="3:13" ht="23">
      <c r="E4186" s="629">
        <v>45488</v>
      </c>
      <c r="F4186" s="634">
        <v>4.7E-2</v>
      </c>
      <c r="G4186" s="634">
        <v>5.0999999999999997E-2</v>
      </c>
      <c r="H4186" s="634">
        <v>5.2999999999999999E-2</v>
      </c>
      <c r="I4186" s="995"/>
      <c r="J4186" s="996"/>
      <c r="K4186" s="997"/>
      <c r="L4186" s="649"/>
      <c r="M4186" s="100"/>
    </row>
    <row r="4187" spans="3:13" ht="23">
      <c r="E4187" s="629">
        <v>45398</v>
      </c>
      <c r="F4187" s="634">
        <v>5.2999999999999999E-2</v>
      </c>
      <c r="G4187" s="634">
        <v>4.8000000000000001E-2</v>
      </c>
      <c r="H4187" s="634">
        <v>5.1999999999999998E-2</v>
      </c>
      <c r="I4187" s="995"/>
      <c r="J4187" s="996"/>
      <c r="K4187" s="997"/>
      <c r="L4187" s="99"/>
      <c r="M4187" s="100"/>
    </row>
    <row r="4188" spans="3:13" ht="23">
      <c r="E4188" s="629">
        <v>45308</v>
      </c>
      <c r="F4188" s="634">
        <v>5.1999999999999998E-2</v>
      </c>
      <c r="G4188" s="634">
        <v>5.2999999999999999E-2</v>
      </c>
      <c r="H4188" s="634">
        <v>4.9000000000000002E-2</v>
      </c>
      <c r="I4188" s="995"/>
      <c r="J4188" s="996"/>
      <c r="K4188" s="997"/>
      <c r="L4188" s="99"/>
      <c r="M4188" s="100"/>
    </row>
    <row r="4189" spans="3:13" ht="24" thickBot="1">
      <c r="E4189" s="629">
        <v>45217</v>
      </c>
      <c r="F4189" s="634">
        <v>4.9000000000000002E-2</v>
      </c>
      <c r="G4189" s="634">
        <v>4.3999999999999997E-2</v>
      </c>
      <c r="H4189" s="634">
        <v>6.3E-2</v>
      </c>
      <c r="I4189" s="998"/>
      <c r="J4189" s="999"/>
      <c r="K4189" s="1000"/>
      <c r="L4189" s="102"/>
      <c r="M4189" s="103"/>
    </row>
    <row r="4190" spans="3:13" ht="25" thickBot="1">
      <c r="D4190">
        <v>1</v>
      </c>
      <c r="E4190" s="756" t="s">
        <v>30</v>
      </c>
      <c r="F4190" s="1066" t="s">
        <v>1932</v>
      </c>
      <c r="G4190" s="1067"/>
      <c r="H4190" s="1068"/>
      <c r="I4190" s="1069" t="s">
        <v>633</v>
      </c>
      <c r="J4190" s="1070"/>
      <c r="K4190" s="1071"/>
      <c r="L4190" s="158" t="s">
        <v>430</v>
      </c>
      <c r="M4190" s="105" t="s">
        <v>431</v>
      </c>
    </row>
    <row r="4191" spans="3:13" ht="24">
      <c r="E4191" s="625" t="s">
        <v>432</v>
      </c>
      <c r="F4191" s="992"/>
      <c r="G4191" s="993"/>
      <c r="H4191" s="994"/>
      <c r="I4191" s="995" t="s">
        <v>1933</v>
      </c>
      <c r="J4191" s="996"/>
      <c r="K4191" s="997"/>
      <c r="L4191" s="99"/>
      <c r="M4191" s="100"/>
    </row>
    <row r="4192" spans="3:13" ht="24">
      <c r="E4192" s="626" t="s">
        <v>433</v>
      </c>
      <c r="F4192" s="1072"/>
      <c r="G4192" s="1073"/>
      <c r="H4192" s="1074"/>
      <c r="I4192" s="995"/>
      <c r="J4192" s="996"/>
      <c r="K4192" s="997"/>
      <c r="L4192" s="99"/>
      <c r="M4192" s="100"/>
    </row>
    <row r="4193" spans="4:13" ht="25" thickBot="1">
      <c r="E4193" s="626" t="s">
        <v>434</v>
      </c>
      <c r="F4193" s="1063">
        <v>2.8000000000000001E-2</v>
      </c>
      <c r="G4193" s="1064"/>
      <c r="H4193" s="1065"/>
      <c r="I4193" s="995"/>
      <c r="J4193" s="996"/>
      <c r="K4193" s="997"/>
      <c r="L4193" s="99"/>
      <c r="M4193" s="100"/>
    </row>
    <row r="4194" spans="4:13" ht="25" thickBot="1">
      <c r="E4194" s="627" t="s">
        <v>435</v>
      </c>
      <c r="F4194" s="1007">
        <v>0.25</v>
      </c>
      <c r="G4194" s="1008"/>
      <c r="H4194" s="1009"/>
      <c r="I4194" s="995"/>
      <c r="J4194" s="996"/>
      <c r="K4194" s="997"/>
      <c r="L4194" s="647">
        <v>0.47916666666666669</v>
      </c>
      <c r="M4194" s="648">
        <v>0.375</v>
      </c>
    </row>
    <row r="4195" spans="4:13" ht="25" thickBot="1">
      <c r="E4195" s="628" t="s">
        <v>436</v>
      </c>
      <c r="F4195" s="200" t="s">
        <v>29</v>
      </c>
      <c r="G4195" s="200" t="s">
        <v>28</v>
      </c>
      <c r="H4195" s="201" t="s">
        <v>27</v>
      </c>
      <c r="I4195" s="995"/>
      <c r="J4195" s="996"/>
      <c r="K4195" s="997"/>
      <c r="L4195" s="99"/>
      <c r="M4195" s="100"/>
    </row>
    <row r="4196" spans="4:13" ht="23">
      <c r="E4196" s="629">
        <v>45742</v>
      </c>
      <c r="F4196" s="634">
        <v>2.8000000000000001E-2</v>
      </c>
      <c r="G4196" s="634">
        <v>0.03</v>
      </c>
      <c r="H4196" s="634">
        <v>0.03</v>
      </c>
      <c r="I4196" s="995"/>
      <c r="J4196" s="996"/>
      <c r="K4196" s="997"/>
      <c r="L4196" s="99"/>
      <c r="M4196" s="100"/>
    </row>
    <row r="4197" spans="4:13" ht="23">
      <c r="E4197" s="629">
        <v>45707</v>
      </c>
      <c r="F4197" s="634">
        <v>0.03</v>
      </c>
      <c r="G4197" s="634">
        <v>2.8000000000000001E-2</v>
      </c>
      <c r="H4197" s="634">
        <v>2.5000000000000001E-2</v>
      </c>
      <c r="I4197" s="995"/>
      <c r="J4197" s="996"/>
      <c r="K4197" s="997"/>
      <c r="L4197" s="99"/>
      <c r="M4197" s="100"/>
    </row>
    <row r="4198" spans="4:13" ht="23">
      <c r="E4198" s="629">
        <v>45672</v>
      </c>
      <c r="F4198" s="634">
        <v>2.5000000000000001E-2</v>
      </c>
      <c r="G4198" s="634">
        <v>2.5999999999999999E-2</v>
      </c>
      <c r="H4198" s="634">
        <v>2.5999999999999999E-2</v>
      </c>
      <c r="I4198" s="995"/>
      <c r="J4198" s="996"/>
      <c r="K4198" s="997"/>
      <c r="L4198" s="649"/>
      <c r="M4198" s="100"/>
    </row>
    <row r="4199" spans="4:13" ht="23">
      <c r="E4199" s="629">
        <v>45644</v>
      </c>
      <c r="F4199" s="634">
        <v>2.5999999999999999E-2</v>
      </c>
      <c r="G4199" s="634">
        <v>2.5999999999999999E-2</v>
      </c>
      <c r="H4199" s="634">
        <v>2.3E-2</v>
      </c>
      <c r="I4199" s="995"/>
      <c r="J4199" s="996"/>
      <c r="K4199" s="997"/>
      <c r="L4199" s="99"/>
      <c r="M4199" s="100"/>
    </row>
    <row r="4200" spans="4:13" ht="23">
      <c r="E4200" s="629">
        <v>45616</v>
      </c>
      <c r="F4200" s="634">
        <v>2.3E-2</v>
      </c>
      <c r="G4200" s="634">
        <v>2.1999999999999999E-2</v>
      </c>
      <c r="H4200" s="634">
        <v>1.7000000000000001E-2</v>
      </c>
      <c r="I4200" s="995"/>
      <c r="J4200" s="996"/>
      <c r="K4200" s="997"/>
      <c r="L4200" s="99"/>
      <c r="M4200" s="100"/>
    </row>
    <row r="4201" spans="4:13" ht="24" thickBot="1">
      <c r="E4201" s="629">
        <v>45581</v>
      </c>
      <c r="F4201" s="634">
        <v>1.7000000000000001E-2</v>
      </c>
      <c r="G4201" s="634">
        <v>1.9E-2</v>
      </c>
      <c r="H4201" s="634">
        <v>2.1999999999999999E-2</v>
      </c>
      <c r="I4201" s="998"/>
      <c r="J4201" s="999"/>
      <c r="K4201" s="1000"/>
      <c r="L4201" s="102"/>
      <c r="M4201" s="103"/>
    </row>
    <row r="4202" spans="4:13" ht="25" thickBot="1">
      <c r="D4202">
        <v>1</v>
      </c>
      <c r="E4202" s="624" t="s">
        <v>30</v>
      </c>
      <c r="F4202" s="1057" t="s">
        <v>1934</v>
      </c>
      <c r="G4202" s="1058"/>
      <c r="H4202" s="1059"/>
      <c r="I4202" s="1060" t="s">
        <v>633</v>
      </c>
      <c r="J4202" s="1061"/>
      <c r="K4202" s="1062"/>
      <c r="L4202" s="158" t="s">
        <v>430</v>
      </c>
      <c r="M4202" s="105" t="s">
        <v>431</v>
      </c>
    </row>
    <row r="4203" spans="4:13" ht="24">
      <c r="E4203" s="625" t="s">
        <v>432</v>
      </c>
      <c r="F4203" s="992"/>
      <c r="G4203" s="993"/>
      <c r="H4203" s="994"/>
      <c r="I4203" s="995" t="s">
        <v>1935</v>
      </c>
      <c r="J4203" s="996"/>
      <c r="K4203" s="997"/>
      <c r="L4203" s="99"/>
      <c r="M4203" s="100"/>
    </row>
    <row r="4204" spans="4:13" ht="24">
      <c r="E4204" s="626" t="s">
        <v>433</v>
      </c>
      <c r="F4204" s="1063"/>
      <c r="G4204" s="1064"/>
      <c r="H4204" s="1065"/>
      <c r="I4204" s="995"/>
      <c r="J4204" s="996"/>
      <c r="K4204" s="997"/>
      <c r="L4204" s="99"/>
      <c r="M4204" s="100"/>
    </row>
    <row r="4205" spans="4:13" ht="25" thickBot="1">
      <c r="E4205" s="626" t="s">
        <v>434</v>
      </c>
      <c r="F4205" s="1063">
        <v>2.1999999999999999E-2</v>
      </c>
      <c r="G4205" s="1064"/>
      <c r="H4205" s="1065"/>
      <c r="I4205" s="995"/>
      <c r="J4205" s="996"/>
      <c r="K4205" s="997"/>
      <c r="L4205" s="99"/>
      <c r="M4205" s="100"/>
    </row>
    <row r="4206" spans="4:13" ht="25" thickBot="1">
      <c r="E4206" s="627" t="s">
        <v>435</v>
      </c>
      <c r="F4206" s="1007">
        <v>0.375</v>
      </c>
      <c r="G4206" s="1008"/>
      <c r="H4206" s="1009"/>
      <c r="I4206" s="995"/>
      <c r="J4206" s="996"/>
      <c r="K4206" s="997"/>
      <c r="L4206" s="647">
        <v>0.60416666666666663</v>
      </c>
      <c r="M4206" s="648">
        <v>0.49999999999999994</v>
      </c>
    </row>
    <row r="4207" spans="4:13" ht="25" thickBot="1">
      <c r="E4207" s="628" t="s">
        <v>436</v>
      </c>
      <c r="F4207" s="200" t="s">
        <v>29</v>
      </c>
      <c r="G4207" s="200" t="s">
        <v>28</v>
      </c>
      <c r="H4207" s="201" t="s">
        <v>27</v>
      </c>
      <c r="I4207" s="995"/>
      <c r="J4207" s="996"/>
      <c r="K4207" s="997"/>
      <c r="L4207" s="99"/>
      <c r="M4207" s="100"/>
    </row>
    <row r="4208" spans="4:13" ht="23">
      <c r="E4208" s="629">
        <v>45748</v>
      </c>
      <c r="F4208" s="634">
        <v>2.1999999999999999E-2</v>
      </c>
      <c r="G4208" s="634">
        <v>2.1999999999999999E-2</v>
      </c>
      <c r="H4208" s="634">
        <v>2.3E-2</v>
      </c>
      <c r="I4208" s="995"/>
      <c r="J4208" s="996"/>
      <c r="K4208" s="997"/>
      <c r="L4208" s="99"/>
      <c r="M4208" s="100"/>
    </row>
    <row r="4209" spans="4:13" ht="23">
      <c r="E4209" s="629">
        <v>45735</v>
      </c>
      <c r="F4209" s="634">
        <v>2.3E-2</v>
      </c>
      <c r="G4209" s="634">
        <v>2.4E-2</v>
      </c>
      <c r="H4209" s="634">
        <v>2.5000000000000001E-2</v>
      </c>
      <c r="I4209" s="995"/>
      <c r="J4209" s="996"/>
      <c r="K4209" s="997"/>
      <c r="L4209" s="99"/>
      <c r="M4209" s="100"/>
    </row>
    <row r="4210" spans="4:13" ht="23">
      <c r="E4210" s="629">
        <v>45719</v>
      </c>
      <c r="F4210" s="634">
        <v>2.4E-2</v>
      </c>
      <c r="G4210" s="634">
        <v>2.3E-2</v>
      </c>
      <c r="H4210" s="634">
        <v>2.5000000000000001E-2</v>
      </c>
      <c r="I4210" s="995"/>
      <c r="J4210" s="996"/>
      <c r="K4210" s="997"/>
      <c r="L4210" s="649"/>
      <c r="M4210" s="100"/>
    </row>
    <row r="4211" spans="4:13" ht="23">
      <c r="E4211" s="629">
        <v>45712</v>
      </c>
      <c r="F4211" s="634">
        <v>2.5000000000000001E-2</v>
      </c>
      <c r="G4211" s="634">
        <v>2.5000000000000001E-2</v>
      </c>
      <c r="H4211" s="634">
        <v>2.4E-2</v>
      </c>
      <c r="I4211" s="995"/>
      <c r="J4211" s="996"/>
      <c r="K4211" s="997"/>
      <c r="L4211" s="99"/>
      <c r="M4211" s="100"/>
    </row>
    <row r="4212" spans="4:13" ht="23">
      <c r="E4212" s="629">
        <v>45691</v>
      </c>
      <c r="F4212" s="634">
        <v>2.5000000000000001E-2</v>
      </c>
      <c r="G4212" s="634">
        <v>2.4E-2</v>
      </c>
      <c r="H4212" s="634">
        <v>2.4E-2</v>
      </c>
      <c r="I4212" s="995"/>
      <c r="J4212" s="996"/>
      <c r="K4212" s="997"/>
      <c r="L4212" s="99"/>
      <c r="M4212" s="100"/>
    </row>
    <row r="4213" spans="4:13" ht="24" thickBot="1">
      <c r="E4213" s="629">
        <v>45674</v>
      </c>
      <c r="F4213" s="634">
        <v>2.4E-2</v>
      </c>
      <c r="G4213" s="634">
        <v>2.4E-2</v>
      </c>
      <c r="H4213" s="634">
        <v>2.1999999999999999E-2</v>
      </c>
      <c r="I4213" s="998"/>
      <c r="J4213" s="999"/>
      <c r="K4213" s="1000"/>
      <c r="L4213" s="102"/>
      <c r="M4213" s="103"/>
    </row>
    <row r="4214" spans="4:13" ht="25" thickBot="1">
      <c r="D4214">
        <v>1</v>
      </c>
      <c r="E4214" s="756" t="s">
        <v>30</v>
      </c>
      <c r="F4214" s="1066" t="s">
        <v>1936</v>
      </c>
      <c r="G4214" s="1067"/>
      <c r="H4214" s="1068"/>
      <c r="I4214" s="1069" t="s">
        <v>633</v>
      </c>
      <c r="J4214" s="1070"/>
      <c r="K4214" s="1071"/>
      <c r="L4214" s="158" t="s">
        <v>430</v>
      </c>
      <c r="M4214" s="105" t="s">
        <v>431</v>
      </c>
    </row>
    <row r="4215" spans="4:13" ht="24">
      <c r="E4215" s="625" t="s">
        <v>432</v>
      </c>
      <c r="F4215" s="992"/>
      <c r="G4215" s="993"/>
      <c r="H4215" s="994"/>
      <c r="I4215" s="995" t="s">
        <v>1937</v>
      </c>
      <c r="J4215" s="996"/>
      <c r="K4215" s="997"/>
      <c r="L4215" s="99"/>
      <c r="M4215" s="100"/>
    </row>
    <row r="4216" spans="4:13" ht="24">
      <c r="E4216" s="626" t="s">
        <v>433</v>
      </c>
      <c r="F4216" s="1072">
        <v>4.0000000000000001E-3</v>
      </c>
      <c r="G4216" s="1073"/>
      <c r="H4216" s="1074"/>
      <c r="I4216" s="995"/>
      <c r="J4216" s="996"/>
      <c r="K4216" s="997"/>
      <c r="L4216" s="99"/>
      <c r="M4216" s="100"/>
    </row>
    <row r="4217" spans="4:13" ht="25" thickBot="1">
      <c r="E4217" s="626" t="s">
        <v>434</v>
      </c>
      <c r="F4217" s="1063">
        <v>3.0000000000000001E-3</v>
      </c>
      <c r="G4217" s="1064"/>
      <c r="H4217" s="1065"/>
      <c r="I4217" s="995"/>
      <c r="J4217" s="996"/>
      <c r="K4217" s="997"/>
      <c r="L4217" s="99"/>
      <c r="M4217" s="100"/>
    </row>
    <row r="4218" spans="4:13" ht="25" thickBot="1">
      <c r="E4218" s="627" t="s">
        <v>435</v>
      </c>
      <c r="F4218" s="1007">
        <v>0.52083333333333337</v>
      </c>
      <c r="G4218" s="1008"/>
      <c r="H4218" s="1009"/>
      <c r="I4218" s="995"/>
      <c r="J4218" s="996"/>
      <c r="K4218" s="997"/>
      <c r="L4218" s="647">
        <v>0.75</v>
      </c>
      <c r="M4218" s="648">
        <v>0.60416666666666663</v>
      </c>
    </row>
    <row r="4219" spans="4:13" ht="25" thickBot="1">
      <c r="E4219" s="628" t="s">
        <v>436</v>
      </c>
      <c r="F4219" s="200" t="s">
        <v>29</v>
      </c>
      <c r="G4219" s="200" t="s">
        <v>28</v>
      </c>
      <c r="H4219" s="201" t="s">
        <v>27</v>
      </c>
      <c r="I4219" s="995"/>
      <c r="J4219" s="996"/>
      <c r="K4219" s="997"/>
      <c r="L4219" s="99"/>
      <c r="M4219" s="100"/>
    </row>
    <row r="4220" spans="4:13" ht="23">
      <c r="E4220" s="629">
        <v>45733</v>
      </c>
      <c r="F4220" s="634">
        <v>3.0000000000000001E-3</v>
      </c>
      <c r="G4220" s="634">
        <v>3.0000000000000001E-3</v>
      </c>
      <c r="H4220" s="634">
        <v>-6.0000000000000001E-3</v>
      </c>
      <c r="I4220" s="995"/>
      <c r="J4220" s="996"/>
      <c r="K4220" s="997"/>
      <c r="L4220" s="99"/>
      <c r="M4220" s="100"/>
    </row>
    <row r="4221" spans="4:13" ht="23">
      <c r="E4221" s="629">
        <v>45702</v>
      </c>
      <c r="F4221" s="634">
        <v>-4.0000000000000001E-3</v>
      </c>
      <c r="G4221" s="634">
        <v>3.0000000000000001E-3</v>
      </c>
      <c r="H4221" s="634">
        <v>7.0000000000000001E-3</v>
      </c>
      <c r="I4221" s="995"/>
      <c r="J4221" s="996"/>
      <c r="K4221" s="997"/>
      <c r="L4221" s="99"/>
      <c r="M4221" s="100"/>
    </row>
    <row r="4222" spans="4:13" ht="23">
      <c r="E4222" s="629">
        <v>45673</v>
      </c>
      <c r="F4222" s="634">
        <v>4.0000000000000001E-3</v>
      </c>
      <c r="G4222" s="634">
        <v>5.0000000000000001E-3</v>
      </c>
      <c r="H4222" s="634">
        <v>2E-3</v>
      </c>
      <c r="I4222" s="995"/>
      <c r="J4222" s="996"/>
      <c r="K4222" s="997"/>
      <c r="L4222" s="649"/>
      <c r="M4222" s="100"/>
    </row>
    <row r="4223" spans="4:13" ht="23">
      <c r="E4223" s="629">
        <v>45643</v>
      </c>
      <c r="F4223" s="634">
        <v>2E-3</v>
      </c>
      <c r="G4223" s="634">
        <v>4.0000000000000001E-3</v>
      </c>
      <c r="H4223" s="634">
        <v>2E-3</v>
      </c>
      <c r="I4223" s="995"/>
      <c r="J4223" s="996"/>
      <c r="K4223" s="997"/>
      <c r="L4223" s="99"/>
      <c r="M4223" s="100"/>
    </row>
    <row r="4224" spans="4:13" ht="23">
      <c r="E4224" s="629">
        <v>45611</v>
      </c>
      <c r="F4224" s="634">
        <v>1E-3</v>
      </c>
      <c r="G4224" s="634">
        <v>3.0000000000000001E-3</v>
      </c>
      <c r="H4224" s="634">
        <v>0.01</v>
      </c>
      <c r="I4224" s="995"/>
      <c r="J4224" s="996"/>
      <c r="K4224" s="997"/>
      <c r="L4224" s="99"/>
      <c r="M4224" s="100"/>
    </row>
    <row r="4225" spans="4:13" ht="24" thickBot="1">
      <c r="E4225" s="629">
        <v>45582</v>
      </c>
      <c r="F4225" s="634">
        <v>5.0000000000000001E-3</v>
      </c>
      <c r="G4225" s="634">
        <v>1E-3</v>
      </c>
      <c r="H4225" s="634">
        <v>2E-3</v>
      </c>
      <c r="I4225" s="998"/>
      <c r="J4225" s="999"/>
      <c r="K4225" s="1000"/>
      <c r="L4225" s="102"/>
      <c r="M4225" s="103"/>
    </row>
    <row r="4226" spans="4:13" ht="25" thickBot="1">
      <c r="D4226">
        <v>1</v>
      </c>
      <c r="E4226" s="756" t="s">
        <v>30</v>
      </c>
      <c r="F4226" s="1066" t="s">
        <v>1938</v>
      </c>
      <c r="G4226" s="1067"/>
      <c r="H4226" s="1068"/>
      <c r="I4226" s="1069" t="s">
        <v>633</v>
      </c>
      <c r="J4226" s="1070"/>
      <c r="K4226" s="1071"/>
      <c r="L4226" s="158" t="s">
        <v>430</v>
      </c>
      <c r="M4226" s="105" t="s">
        <v>431</v>
      </c>
    </row>
    <row r="4227" spans="4:13" ht="24">
      <c r="E4227" s="625" t="s">
        <v>432</v>
      </c>
      <c r="F4227" s="992"/>
      <c r="G4227" s="993"/>
      <c r="H4227" s="994"/>
      <c r="I4227" s="995" t="s">
        <v>1939</v>
      </c>
      <c r="J4227" s="996"/>
      <c r="K4227" s="997"/>
      <c r="L4227" s="99"/>
      <c r="M4227" s="100"/>
    </row>
    <row r="4228" spans="4:13" ht="24">
      <c r="E4228" s="626" t="s">
        <v>433</v>
      </c>
      <c r="F4228" s="1063"/>
      <c r="G4228" s="1064"/>
      <c r="H4228" s="1065"/>
      <c r="I4228" s="995"/>
      <c r="J4228" s="996"/>
      <c r="K4228" s="997"/>
      <c r="L4228" s="99"/>
      <c r="M4228" s="100"/>
    </row>
    <row r="4229" spans="4:13" ht="25" thickBot="1">
      <c r="E4229" s="626" t="s">
        <v>434</v>
      </c>
      <c r="F4229" s="1063">
        <v>2E-3</v>
      </c>
      <c r="G4229" s="1064"/>
      <c r="H4229" s="1065"/>
      <c r="I4229" s="995"/>
      <c r="J4229" s="996"/>
      <c r="K4229" s="997"/>
      <c r="L4229" s="99"/>
      <c r="M4229" s="100"/>
    </row>
    <row r="4230" spans="4:13" ht="25" thickBot="1">
      <c r="E4230" s="627" t="s">
        <v>435</v>
      </c>
      <c r="F4230" s="1007">
        <v>0.52083333333333337</v>
      </c>
      <c r="G4230" s="1008"/>
      <c r="H4230" s="1009"/>
      <c r="I4230" s="995"/>
      <c r="J4230" s="996"/>
      <c r="K4230" s="997"/>
      <c r="L4230" s="647">
        <v>0.75</v>
      </c>
      <c r="M4230" s="648">
        <v>0.64583333333333337</v>
      </c>
    </row>
    <row r="4231" spans="4:13" ht="25" thickBot="1">
      <c r="E4231" s="628" t="s">
        <v>436</v>
      </c>
      <c r="F4231" s="200" t="s">
        <v>29</v>
      </c>
      <c r="G4231" s="200" t="s">
        <v>28</v>
      </c>
      <c r="H4231" s="201" t="s">
        <v>27</v>
      </c>
      <c r="I4231" s="995"/>
      <c r="J4231" s="996"/>
      <c r="K4231" s="997"/>
      <c r="L4231" s="99"/>
      <c r="M4231" s="100"/>
    </row>
    <row r="4232" spans="4:13" ht="23">
      <c r="E4232" s="629">
        <v>45733</v>
      </c>
      <c r="F4232" s="202">
        <v>2E-3</v>
      </c>
      <c r="G4232" s="202">
        <v>6.0000000000000001E-3</v>
      </c>
      <c r="H4232" s="202">
        <v>-1.2E-2</v>
      </c>
      <c r="I4232" s="995"/>
      <c r="J4232" s="996"/>
      <c r="K4232" s="997"/>
      <c r="L4232" s="99"/>
      <c r="M4232" s="100"/>
    </row>
    <row r="4233" spans="4:13" ht="23">
      <c r="E4233" s="629">
        <v>45702</v>
      </c>
      <c r="F4233" s="202">
        <v>-8.9999999999999993E-3</v>
      </c>
      <c r="G4233" s="202">
        <v>-2E-3</v>
      </c>
      <c r="H4233" s="202">
        <v>7.0000000000000001E-3</v>
      </c>
      <c r="I4233" s="995"/>
      <c r="J4233" s="996"/>
      <c r="K4233" s="997"/>
      <c r="L4233" s="99"/>
      <c r="M4233" s="100"/>
    </row>
    <row r="4234" spans="4:13" ht="23">
      <c r="E4234" s="629">
        <v>45673</v>
      </c>
      <c r="F4234" s="202">
        <v>4.0000000000000001E-3</v>
      </c>
      <c r="G4234" s="202">
        <v>6.0000000000000001E-3</v>
      </c>
      <c r="H4234" s="202">
        <v>8.0000000000000002E-3</v>
      </c>
      <c r="I4234" s="995"/>
      <c r="J4234" s="996"/>
      <c r="K4234" s="997"/>
      <c r="L4234" s="649"/>
      <c r="M4234" s="100"/>
    </row>
    <row r="4235" spans="4:13" ht="23">
      <c r="E4235" s="629">
        <v>45643</v>
      </c>
      <c r="F4235" s="202">
        <v>7.0000000000000001E-3</v>
      </c>
      <c r="G4235" s="202">
        <v>6.0000000000000001E-3</v>
      </c>
      <c r="H4235" s="202">
        <v>5.0000000000000001E-3</v>
      </c>
      <c r="I4235" s="995"/>
      <c r="J4235" s="996"/>
      <c r="K4235" s="997"/>
      <c r="L4235" s="99"/>
      <c r="M4235" s="100"/>
    </row>
    <row r="4236" spans="4:13" ht="23">
      <c r="E4236" s="629">
        <v>45611</v>
      </c>
      <c r="F4236" s="202">
        <v>4.0000000000000001E-3</v>
      </c>
      <c r="G4236" s="202">
        <v>3.0000000000000001E-3</v>
      </c>
      <c r="H4236" s="202">
        <v>8.0000000000000002E-3</v>
      </c>
      <c r="I4236" s="995"/>
      <c r="J4236" s="996"/>
      <c r="K4236" s="997"/>
      <c r="L4236" s="99"/>
      <c r="M4236" s="100"/>
    </row>
    <row r="4237" spans="4:13" ht="24" thickBot="1">
      <c r="E4237" s="629">
        <v>45582</v>
      </c>
      <c r="F4237" s="202">
        <v>4.0000000000000001E-3</v>
      </c>
      <c r="G4237" s="202">
        <v>3.0000000000000001E-3</v>
      </c>
      <c r="H4237" s="202">
        <v>1E-3</v>
      </c>
      <c r="I4237" s="998"/>
      <c r="J4237" s="999"/>
      <c r="K4237" s="1000"/>
      <c r="L4237" s="102"/>
      <c r="M4237" s="103"/>
    </row>
    <row r="4238" spans="4:13" ht="25" thickBot="1">
      <c r="D4238">
        <v>2</v>
      </c>
      <c r="E4238" s="756" t="s">
        <v>30</v>
      </c>
      <c r="F4238" s="1066" t="s">
        <v>1501</v>
      </c>
      <c r="G4238" s="1067"/>
      <c r="H4238" s="1068"/>
      <c r="I4238" s="1060" t="s">
        <v>633</v>
      </c>
      <c r="J4238" s="1061"/>
      <c r="K4238" s="1062"/>
      <c r="L4238" s="158" t="s">
        <v>430</v>
      </c>
      <c r="M4238" s="105" t="s">
        <v>431</v>
      </c>
    </row>
    <row r="4239" spans="4:13" ht="24">
      <c r="E4239" s="625" t="s">
        <v>432</v>
      </c>
      <c r="F4239" s="992"/>
      <c r="G4239" s="993"/>
      <c r="H4239" s="994"/>
      <c r="I4239" s="995" t="s">
        <v>1940</v>
      </c>
      <c r="J4239" s="996"/>
      <c r="K4239" s="997"/>
      <c r="L4239" s="99"/>
      <c r="M4239" s="100"/>
    </row>
    <row r="4240" spans="4:13" ht="24">
      <c r="E4240" s="626" t="s">
        <v>433</v>
      </c>
      <c r="F4240" s="1063">
        <v>2.75E-2</v>
      </c>
      <c r="G4240" s="1064"/>
      <c r="H4240" s="1065"/>
      <c r="I4240" s="995"/>
      <c r="J4240" s="996"/>
      <c r="K4240" s="997"/>
      <c r="L4240" s="99"/>
      <c r="M4240" s="100"/>
    </row>
    <row r="4241" spans="4:13" ht="25" thickBot="1">
      <c r="E4241" s="626" t="s">
        <v>434</v>
      </c>
      <c r="F4241" s="1063">
        <v>2.75E-2</v>
      </c>
      <c r="G4241" s="1064"/>
      <c r="H4241" s="1065"/>
      <c r="I4241" s="995"/>
      <c r="J4241" s="996"/>
      <c r="K4241" s="997"/>
      <c r="L4241" s="99"/>
      <c r="M4241" s="100"/>
    </row>
    <row r="4242" spans="4:13" ht="25" thickBot="1">
      <c r="E4242" s="627" t="s">
        <v>435</v>
      </c>
      <c r="F4242" s="1007">
        <v>0.57291666666666674</v>
      </c>
      <c r="G4242" s="1008"/>
      <c r="H4242" s="1009"/>
      <c r="I4242" s="995"/>
      <c r="J4242" s="996"/>
      <c r="K4242" s="997"/>
      <c r="L4242" s="647">
        <v>0.80208333333333337</v>
      </c>
      <c r="M4242" s="648">
        <v>0.69791666666666674</v>
      </c>
    </row>
    <row r="4243" spans="4:13" ht="25" thickBot="1">
      <c r="E4243" s="628" t="s">
        <v>436</v>
      </c>
      <c r="F4243" s="200" t="s">
        <v>29</v>
      </c>
      <c r="G4243" s="200" t="s">
        <v>28</v>
      </c>
      <c r="H4243" s="201" t="s">
        <v>27</v>
      </c>
      <c r="I4243" s="995"/>
      <c r="J4243" s="996"/>
      <c r="K4243" s="997"/>
      <c r="L4243" s="99"/>
      <c r="M4243" s="100"/>
    </row>
    <row r="4244" spans="4:13" ht="23">
      <c r="E4244" s="629">
        <v>45728</v>
      </c>
      <c r="F4244" s="634">
        <v>2.75E-2</v>
      </c>
      <c r="G4244" s="634">
        <v>2.75E-2</v>
      </c>
      <c r="H4244" s="634">
        <v>0.03</v>
      </c>
      <c r="I4244" s="995"/>
      <c r="J4244" s="996"/>
      <c r="K4244" s="997"/>
      <c r="L4244" s="99"/>
      <c r="M4244" s="100"/>
    </row>
    <row r="4245" spans="4:13" ht="23">
      <c r="E4245" s="629">
        <v>45686</v>
      </c>
      <c r="F4245" s="634">
        <v>0.03</v>
      </c>
      <c r="G4245" s="634">
        <v>0.03</v>
      </c>
      <c r="H4245" s="634">
        <v>3.2500000000000001E-2</v>
      </c>
      <c r="I4245" s="995"/>
      <c r="J4245" s="996"/>
      <c r="K4245" s="997"/>
      <c r="L4245" s="99"/>
      <c r="M4245" s="100"/>
    </row>
    <row r="4246" spans="4:13" ht="23">
      <c r="E4246" s="629">
        <v>45637</v>
      </c>
      <c r="F4246" s="634">
        <v>3.2500000000000001E-2</v>
      </c>
      <c r="G4246" s="634">
        <v>3.2500000000000001E-2</v>
      </c>
      <c r="H4246" s="634">
        <v>3.7499999999999999E-2</v>
      </c>
      <c r="I4246" s="995"/>
      <c r="J4246" s="996"/>
      <c r="K4246" s="997"/>
      <c r="L4246" s="649"/>
      <c r="M4246" s="100"/>
    </row>
    <row r="4247" spans="4:13" ht="23">
      <c r="E4247" s="629">
        <v>45588</v>
      </c>
      <c r="F4247" s="634">
        <v>3.7499999999999999E-2</v>
      </c>
      <c r="G4247" s="634">
        <v>3.7499999999999999E-2</v>
      </c>
      <c r="H4247" s="634">
        <v>4.2500000000000003E-2</v>
      </c>
      <c r="I4247" s="995"/>
      <c r="J4247" s="996"/>
      <c r="K4247" s="997"/>
      <c r="L4247" s="99"/>
      <c r="M4247" s="100"/>
    </row>
    <row r="4248" spans="4:13" ht="23">
      <c r="E4248" s="629">
        <v>45539</v>
      </c>
      <c r="F4248" s="634">
        <v>4.2500000000000003E-2</v>
      </c>
      <c r="G4248" s="634">
        <v>4.2500000000000003E-2</v>
      </c>
      <c r="H4248" s="634">
        <v>4.4999999999999998E-2</v>
      </c>
      <c r="I4248" s="995"/>
      <c r="J4248" s="996"/>
      <c r="K4248" s="997"/>
      <c r="L4248" s="99"/>
      <c r="M4248" s="100"/>
    </row>
    <row r="4249" spans="4:13" ht="24" thickBot="1">
      <c r="E4249" s="629">
        <v>45497</v>
      </c>
      <c r="F4249" s="634">
        <v>4.4999999999999998E-2</v>
      </c>
      <c r="G4249" s="634">
        <v>4.4999999999999998E-2</v>
      </c>
      <c r="H4249" s="634">
        <v>4.7500000000000001E-2</v>
      </c>
      <c r="I4249" s="998"/>
      <c r="J4249" s="999"/>
      <c r="K4249" s="1000"/>
      <c r="L4249" s="102"/>
      <c r="M4249" s="103"/>
    </row>
    <row r="4250" spans="4:13" ht="25" thickBot="1">
      <c r="D4250">
        <v>2</v>
      </c>
      <c r="E4250" s="756" t="s">
        <v>30</v>
      </c>
      <c r="F4250" s="1066" t="s">
        <v>1503</v>
      </c>
      <c r="G4250" s="1067"/>
      <c r="H4250" s="1068"/>
      <c r="I4250" s="1060" t="s">
        <v>633</v>
      </c>
      <c r="J4250" s="1061"/>
      <c r="K4250" s="1062"/>
      <c r="L4250" s="158" t="s">
        <v>430</v>
      </c>
      <c r="M4250" s="105" t="s">
        <v>431</v>
      </c>
    </row>
    <row r="4251" spans="4:13" ht="24">
      <c r="E4251" s="625" t="s">
        <v>432</v>
      </c>
      <c r="F4251" s="992"/>
      <c r="G4251" s="993"/>
      <c r="H4251" s="994"/>
      <c r="I4251" s="995" t="s">
        <v>1678</v>
      </c>
      <c r="J4251" s="996"/>
      <c r="K4251" s="997"/>
      <c r="L4251" s="99"/>
      <c r="M4251" s="100"/>
    </row>
    <row r="4252" spans="4:13" ht="24">
      <c r="E4252" s="626" t="s">
        <v>433</v>
      </c>
      <c r="F4252" s="1063" t="s">
        <v>1090</v>
      </c>
      <c r="G4252" s="1064"/>
      <c r="H4252" s="1065"/>
      <c r="I4252" s="995"/>
      <c r="J4252" s="996"/>
      <c r="K4252" s="997"/>
      <c r="L4252" s="99"/>
      <c r="M4252" s="100"/>
    </row>
    <row r="4253" spans="4:13" ht="25" thickBot="1">
      <c r="E4253" s="626" t="s">
        <v>434</v>
      </c>
      <c r="F4253" s="1063" t="s">
        <v>1941</v>
      </c>
      <c r="G4253" s="1064"/>
      <c r="H4253" s="1065"/>
      <c r="I4253" s="995"/>
      <c r="J4253" s="996"/>
      <c r="K4253" s="997"/>
      <c r="L4253" s="99"/>
      <c r="M4253" s="100"/>
    </row>
    <row r="4254" spans="4:13" ht="25" thickBot="1">
      <c r="E4254" s="627" t="s">
        <v>435</v>
      </c>
      <c r="F4254" s="1007">
        <v>0.60416666666666674</v>
      </c>
      <c r="G4254" s="1008"/>
      <c r="H4254" s="1009"/>
      <c r="I4254" s="995"/>
      <c r="J4254" s="996"/>
      <c r="K4254" s="997"/>
      <c r="L4254" s="647">
        <v>0.83333333333333337</v>
      </c>
      <c r="M4254" s="648">
        <v>0.72916666666666674</v>
      </c>
    </row>
    <row r="4255" spans="4:13" ht="25" thickBot="1">
      <c r="E4255" s="628" t="s">
        <v>436</v>
      </c>
      <c r="F4255" s="200" t="s">
        <v>29</v>
      </c>
      <c r="G4255" s="200" t="s">
        <v>28</v>
      </c>
      <c r="H4255" s="201" t="s">
        <v>27</v>
      </c>
      <c r="I4255" s="995"/>
      <c r="J4255" s="996"/>
      <c r="K4255" s="997"/>
      <c r="L4255" s="99"/>
      <c r="M4255" s="100"/>
    </row>
    <row r="4256" spans="4:13" ht="24">
      <c r="E4256" s="629">
        <v>45756</v>
      </c>
      <c r="F4256" s="634" t="s">
        <v>1957</v>
      </c>
      <c r="G4256" s="634" t="s">
        <v>1602</v>
      </c>
      <c r="H4256" s="634" t="s">
        <v>1899</v>
      </c>
      <c r="I4256" s="995"/>
      <c r="J4256" s="996"/>
      <c r="K4256" s="997"/>
      <c r="L4256" s="99"/>
      <c r="M4256" s="100"/>
    </row>
    <row r="4257" spans="4:13" ht="24">
      <c r="E4257" s="629">
        <v>45749</v>
      </c>
      <c r="F4257" s="634" t="s">
        <v>1899</v>
      </c>
      <c r="G4257" s="634" t="s">
        <v>1926</v>
      </c>
      <c r="H4257" s="634" t="s">
        <v>1840</v>
      </c>
      <c r="I4257" s="995"/>
      <c r="J4257" s="996"/>
      <c r="K4257" s="997"/>
      <c r="L4257" s="99"/>
      <c r="M4257" s="100"/>
    </row>
    <row r="4258" spans="4:13" ht="24">
      <c r="E4258" s="629">
        <v>45742</v>
      </c>
      <c r="F4258" s="634" t="s">
        <v>1840</v>
      </c>
      <c r="G4258" s="634" t="s">
        <v>991</v>
      </c>
      <c r="H4258" s="634" t="s">
        <v>1696</v>
      </c>
      <c r="I4258" s="995"/>
      <c r="J4258" s="996"/>
      <c r="K4258" s="997"/>
      <c r="L4258" s="649"/>
      <c r="M4258" s="100"/>
    </row>
    <row r="4259" spans="4:13" ht="24">
      <c r="E4259" s="629">
        <v>45735</v>
      </c>
      <c r="F4259" s="634" t="s">
        <v>1696</v>
      </c>
      <c r="G4259" s="634" t="s">
        <v>993</v>
      </c>
      <c r="H4259" s="634" t="s">
        <v>1697</v>
      </c>
      <c r="I4259" s="995"/>
      <c r="J4259" s="996"/>
      <c r="K4259" s="997"/>
      <c r="L4259" s="99"/>
      <c r="M4259" s="100"/>
    </row>
    <row r="4260" spans="4:13" ht="24">
      <c r="E4260" s="629">
        <v>45728</v>
      </c>
      <c r="F4260" s="634" t="s">
        <v>1697</v>
      </c>
      <c r="G4260" s="634" t="s">
        <v>1698</v>
      </c>
      <c r="H4260" s="634" t="s">
        <v>1699</v>
      </c>
      <c r="I4260" s="995"/>
      <c r="J4260" s="996"/>
      <c r="K4260" s="997"/>
      <c r="L4260" s="99"/>
      <c r="M4260" s="100"/>
    </row>
    <row r="4261" spans="4:13" ht="25" thickBot="1">
      <c r="E4261" s="629">
        <v>45721</v>
      </c>
      <c r="F4261" s="634" t="s">
        <v>1699</v>
      </c>
      <c r="G4261" s="634" t="s">
        <v>1700</v>
      </c>
      <c r="H4261" s="634" t="s">
        <v>1701</v>
      </c>
      <c r="I4261" s="998"/>
      <c r="J4261" s="999"/>
      <c r="K4261" s="1000"/>
      <c r="L4261" s="102"/>
      <c r="M4261" s="103"/>
    </row>
    <row r="4262" spans="4:13" ht="25" thickBot="1">
      <c r="D4262">
        <v>3</v>
      </c>
      <c r="E4262" s="756" t="s">
        <v>30</v>
      </c>
      <c r="F4262" s="1066" t="s">
        <v>1745</v>
      </c>
      <c r="G4262" s="1067"/>
      <c r="H4262" s="1068"/>
      <c r="I4262" s="1060" t="s">
        <v>633</v>
      </c>
      <c r="J4262" s="1061"/>
      <c r="K4262" s="1062"/>
      <c r="L4262" s="158" t="s">
        <v>430</v>
      </c>
      <c r="M4262" s="105" t="s">
        <v>431</v>
      </c>
    </row>
    <row r="4263" spans="4:13" ht="24">
      <c r="E4263" s="625" t="s">
        <v>432</v>
      </c>
      <c r="F4263" s="992"/>
      <c r="G4263" s="993"/>
      <c r="H4263" s="994"/>
      <c r="I4263" s="995" t="s">
        <v>1942</v>
      </c>
      <c r="J4263" s="996"/>
      <c r="K4263" s="997"/>
      <c r="L4263" s="99"/>
      <c r="M4263" s="100"/>
    </row>
    <row r="4264" spans="4:13" ht="24">
      <c r="E4264" s="626" t="s">
        <v>433</v>
      </c>
      <c r="F4264" s="1063" t="s">
        <v>1090</v>
      </c>
      <c r="G4264" s="1064"/>
      <c r="H4264" s="1065"/>
      <c r="I4264" s="995"/>
      <c r="J4264" s="996"/>
      <c r="K4264" s="997"/>
      <c r="L4264" s="99"/>
      <c r="M4264" s="100"/>
    </row>
    <row r="4265" spans="4:13" ht="25" thickBot="1">
      <c r="E4265" s="626" t="s">
        <v>434</v>
      </c>
      <c r="F4265" s="1077"/>
      <c r="G4265" s="1078"/>
      <c r="H4265" s="1079"/>
      <c r="I4265" s="995"/>
      <c r="J4265" s="996"/>
      <c r="K4265" s="997"/>
      <c r="L4265" s="99"/>
      <c r="M4265" s="100"/>
    </row>
    <row r="4266" spans="4:13" ht="25" thickBot="1">
      <c r="E4266" s="627" t="s">
        <v>435</v>
      </c>
      <c r="F4266" s="1007">
        <v>0.71875</v>
      </c>
      <c r="G4266" s="1008"/>
      <c r="H4266" s="1009"/>
      <c r="I4266" s="995"/>
      <c r="J4266" s="996"/>
      <c r="K4266" s="997"/>
      <c r="L4266" s="647">
        <v>0.94791666666666663</v>
      </c>
      <c r="M4266" s="648">
        <v>0.84375</v>
      </c>
    </row>
    <row r="4267" spans="4:13" ht="25" thickBot="1">
      <c r="E4267" s="628" t="s">
        <v>436</v>
      </c>
      <c r="F4267" s="200" t="s">
        <v>29</v>
      </c>
      <c r="G4267" s="200" t="s">
        <v>28</v>
      </c>
      <c r="H4267" s="201" t="s">
        <v>27</v>
      </c>
      <c r="I4267" s="995"/>
      <c r="J4267" s="996"/>
      <c r="K4267" s="997"/>
      <c r="L4267" s="99"/>
      <c r="M4267" s="100"/>
    </row>
    <row r="4268" spans="4:13" ht="23">
      <c r="E4268" s="629">
        <v>45763</v>
      </c>
      <c r="F4268" s="634"/>
      <c r="G4268" s="634"/>
      <c r="H4268" s="634"/>
      <c r="I4268" s="995"/>
      <c r="J4268" s="996"/>
      <c r="K4268" s="997"/>
      <c r="L4268" s="99"/>
      <c r="M4268" s="100"/>
    </row>
    <row r="4269" spans="4:13" ht="23">
      <c r="E4269" s="629">
        <v>45751</v>
      </c>
      <c r="F4269" s="634"/>
      <c r="G4269" s="634"/>
      <c r="H4269" s="634"/>
      <c r="I4269" s="995"/>
      <c r="J4269" s="996"/>
      <c r="K4269" s="997"/>
      <c r="L4269" s="99"/>
      <c r="M4269" s="100"/>
    </row>
    <row r="4270" spans="4:13" ht="23">
      <c r="E4270" s="629">
        <v>45723</v>
      </c>
      <c r="F4270" s="634"/>
      <c r="G4270" s="634"/>
      <c r="H4270" s="634"/>
      <c r="I4270" s="995"/>
      <c r="J4270" s="996"/>
      <c r="K4270" s="997"/>
      <c r="L4270" s="649"/>
      <c r="M4270" s="100"/>
    </row>
    <row r="4271" spans="4:13" ht="23">
      <c r="E4271" s="629">
        <v>45631</v>
      </c>
      <c r="F4271" s="634"/>
      <c r="G4271" s="634"/>
      <c r="H4271" s="634"/>
      <c r="I4271" s="995"/>
      <c r="J4271" s="996"/>
      <c r="K4271" s="997"/>
      <c r="L4271" s="99"/>
      <c r="M4271" s="100"/>
    </row>
    <row r="4272" spans="4:13" ht="23">
      <c r="E4272" s="629">
        <v>45611</v>
      </c>
      <c r="F4272" s="634"/>
      <c r="G4272" s="634"/>
      <c r="H4272" s="634"/>
      <c r="I4272" s="995"/>
      <c r="J4272" s="996"/>
      <c r="K4272" s="997"/>
      <c r="L4272" s="99"/>
      <c r="M4272" s="100"/>
    </row>
    <row r="4273" spans="4:13" ht="24" thickBot="1">
      <c r="E4273" s="629">
        <v>45565</v>
      </c>
      <c r="F4273" s="634"/>
      <c r="G4273" s="634"/>
      <c r="H4273" s="634"/>
      <c r="I4273" s="998"/>
      <c r="J4273" s="999"/>
      <c r="K4273" s="1000"/>
      <c r="L4273" s="102"/>
      <c r="M4273" s="103"/>
    </row>
    <row r="4274" spans="4:13" ht="25" thickBot="1">
      <c r="D4274">
        <v>3</v>
      </c>
      <c r="E4274" s="756" t="s">
        <v>30</v>
      </c>
      <c r="F4274" s="1066" t="s">
        <v>1946</v>
      </c>
      <c r="G4274" s="1067"/>
      <c r="H4274" s="1068"/>
      <c r="I4274" s="1069" t="s">
        <v>633</v>
      </c>
      <c r="J4274" s="1070"/>
      <c r="K4274" s="1071"/>
      <c r="L4274" s="658" t="s">
        <v>430</v>
      </c>
      <c r="M4274" s="659" t="s">
        <v>431</v>
      </c>
    </row>
    <row r="4275" spans="4:13" ht="24">
      <c r="E4275" s="625" t="s">
        <v>432</v>
      </c>
      <c r="F4275" s="992"/>
      <c r="G4275" s="993"/>
      <c r="H4275" s="994"/>
      <c r="I4275" s="995" t="s">
        <v>1947</v>
      </c>
      <c r="J4275" s="996"/>
      <c r="K4275" s="997"/>
      <c r="L4275" s="99"/>
      <c r="M4275" s="100"/>
    </row>
    <row r="4276" spans="4:13" ht="24">
      <c r="E4276" s="626" t="s">
        <v>433</v>
      </c>
      <c r="F4276" s="1022">
        <v>2.2499999999999999E-2</v>
      </c>
      <c r="G4276" s="1005"/>
      <c r="H4276" s="1006"/>
      <c r="I4276" s="995"/>
      <c r="J4276" s="996"/>
      <c r="K4276" s="997"/>
      <c r="L4276" s="99"/>
      <c r="M4276" s="100"/>
    </row>
    <row r="4277" spans="4:13" ht="25" thickBot="1">
      <c r="E4277" s="626" t="s">
        <v>434</v>
      </c>
      <c r="F4277" s="1083">
        <v>2.5000000000000001E-2</v>
      </c>
      <c r="G4277" s="1084"/>
      <c r="H4277" s="1085"/>
      <c r="I4277" s="995"/>
      <c r="J4277" s="996"/>
      <c r="K4277" s="997"/>
      <c r="L4277" s="99"/>
      <c r="M4277" s="100"/>
    </row>
    <row r="4278" spans="4:13" ht="25" thickBot="1">
      <c r="E4278" s="627" t="s">
        <v>435</v>
      </c>
      <c r="F4278" s="1007">
        <v>0.51041666666666674</v>
      </c>
      <c r="G4278" s="1008"/>
      <c r="H4278" s="1009"/>
      <c r="I4278" s="995"/>
      <c r="J4278" s="996"/>
      <c r="K4278" s="997"/>
      <c r="L4278" s="647">
        <v>0.73958333333333337</v>
      </c>
      <c r="M4278" s="648">
        <v>0.63541666666666674</v>
      </c>
    </row>
    <row r="4279" spans="4:13" ht="25" thickBot="1">
      <c r="E4279" s="628" t="s">
        <v>436</v>
      </c>
      <c r="F4279" s="200" t="s">
        <v>29</v>
      </c>
      <c r="G4279" s="200" t="s">
        <v>28</v>
      </c>
      <c r="H4279" s="201" t="s">
        <v>27</v>
      </c>
      <c r="I4279" s="995"/>
      <c r="J4279" s="996"/>
      <c r="K4279" s="997"/>
      <c r="L4279" s="99"/>
      <c r="M4279" s="100"/>
    </row>
    <row r="4280" spans="4:13" ht="23">
      <c r="E4280" s="629">
        <v>45722</v>
      </c>
      <c r="F4280" s="634">
        <v>2.5000000000000001E-2</v>
      </c>
      <c r="G4280" s="634">
        <v>2.5000000000000001E-2</v>
      </c>
      <c r="H4280" s="634">
        <v>2.75E-2</v>
      </c>
      <c r="I4280" s="995"/>
      <c r="J4280" s="996"/>
      <c r="K4280" s="997"/>
      <c r="L4280" s="99"/>
      <c r="M4280" s="100"/>
    </row>
    <row r="4281" spans="4:13" ht="23">
      <c r="E4281" s="629">
        <v>45687</v>
      </c>
      <c r="F4281" s="634">
        <v>2.75E-2</v>
      </c>
      <c r="G4281" s="634">
        <v>2.75E-2</v>
      </c>
      <c r="H4281" s="634">
        <v>0.03</v>
      </c>
      <c r="I4281" s="995"/>
      <c r="J4281" s="996"/>
      <c r="K4281" s="997"/>
      <c r="L4281" s="99"/>
      <c r="M4281" s="100"/>
    </row>
    <row r="4282" spans="4:13" ht="23">
      <c r="E4282" s="629">
        <v>45638</v>
      </c>
      <c r="F4282" s="634">
        <v>0.03</v>
      </c>
      <c r="G4282" s="634">
        <v>0.03</v>
      </c>
      <c r="H4282" s="634">
        <v>3.2500000000000001E-2</v>
      </c>
      <c r="I4282" s="995"/>
      <c r="J4282" s="996"/>
      <c r="K4282" s="997"/>
      <c r="L4282" s="649"/>
      <c r="M4282" s="100"/>
    </row>
    <row r="4283" spans="4:13" ht="23">
      <c r="E4283" s="629">
        <v>45582</v>
      </c>
      <c r="F4283" s="634">
        <v>3.2500000000000001E-2</v>
      </c>
      <c r="G4283" s="634">
        <v>3.2500000000000001E-2</v>
      </c>
      <c r="H4283" s="634">
        <v>3.5000000000000003E-2</v>
      </c>
      <c r="I4283" s="995"/>
      <c r="J4283" s="996"/>
      <c r="K4283" s="997"/>
      <c r="L4283" s="99"/>
      <c r="M4283" s="100"/>
    </row>
    <row r="4284" spans="4:13" ht="23">
      <c r="E4284" s="629">
        <v>45547</v>
      </c>
      <c r="F4284" s="634">
        <v>3.5000000000000003E-2</v>
      </c>
      <c r="G4284" s="634">
        <v>3.5000000000000003E-2</v>
      </c>
      <c r="H4284" s="634">
        <v>3.7499999999999999E-2</v>
      </c>
      <c r="I4284" s="995"/>
      <c r="J4284" s="996"/>
      <c r="K4284" s="997"/>
      <c r="L4284" s="99"/>
      <c r="M4284" s="100"/>
    </row>
    <row r="4285" spans="4:13" ht="24" thickBot="1">
      <c r="E4285" s="629">
        <v>45491</v>
      </c>
      <c r="F4285" s="634">
        <v>3.7499999999999999E-2</v>
      </c>
      <c r="G4285" s="634">
        <v>3.7499999999999999E-2</v>
      </c>
      <c r="H4285" s="634">
        <v>3.7499999999999999E-2</v>
      </c>
      <c r="I4285" s="998"/>
      <c r="J4285" s="999"/>
      <c r="K4285" s="1000"/>
      <c r="L4285" s="102"/>
      <c r="M4285" s="103"/>
    </row>
    <row r="4286" spans="4:13" ht="25" thickBot="1">
      <c r="D4286">
        <v>3</v>
      </c>
      <c r="E4286" s="624" t="s">
        <v>30</v>
      </c>
      <c r="F4286" s="1057" t="s">
        <v>1948</v>
      </c>
      <c r="G4286" s="1058"/>
      <c r="H4286" s="1059"/>
      <c r="I4286" s="1086" t="s">
        <v>633</v>
      </c>
      <c r="J4286" s="1061"/>
      <c r="K4286" s="1062"/>
      <c r="L4286" s="158" t="s">
        <v>430</v>
      </c>
      <c r="M4286" s="105" t="s">
        <v>431</v>
      </c>
    </row>
    <row r="4287" spans="4:13" ht="24">
      <c r="E4287" s="625" t="s">
        <v>432</v>
      </c>
      <c r="F4287" s="1011"/>
      <c r="G4287" s="1012"/>
      <c r="H4287" s="1013"/>
      <c r="I4287" s="1021" t="s">
        <v>1949</v>
      </c>
      <c r="J4287" s="1015"/>
      <c r="K4287" s="1016"/>
      <c r="L4287" s="99"/>
      <c r="M4287" s="100"/>
    </row>
    <row r="4288" spans="4:13" ht="24">
      <c r="E4288" s="626" t="s">
        <v>433</v>
      </c>
      <c r="F4288" s="1063"/>
      <c r="G4288" s="1064"/>
      <c r="H4288" s="1065"/>
      <c r="I4288" s="995"/>
      <c r="J4288" s="996"/>
      <c r="K4288" s="997"/>
      <c r="L4288" s="99"/>
      <c r="M4288" s="100"/>
    </row>
    <row r="4289" spans="4:13" ht="25" thickBot="1">
      <c r="E4289" s="626" t="s">
        <v>434</v>
      </c>
      <c r="F4289" s="1087">
        <v>2.6499999999999999E-2</v>
      </c>
      <c r="G4289" s="1088"/>
      <c r="H4289" s="1089"/>
      <c r="I4289" s="995"/>
      <c r="J4289" s="996"/>
      <c r="K4289" s="997"/>
      <c r="L4289" s="99"/>
      <c r="M4289" s="100"/>
    </row>
    <row r="4290" spans="4:13" ht="25" thickBot="1">
      <c r="E4290" s="627" t="s">
        <v>435</v>
      </c>
      <c r="F4290" s="1090">
        <v>0.51041666666666674</v>
      </c>
      <c r="G4290" s="1091"/>
      <c r="H4290" s="1092"/>
      <c r="I4290" s="995"/>
      <c r="J4290" s="996"/>
      <c r="K4290" s="997"/>
      <c r="L4290" s="647">
        <v>0.73958333333333337</v>
      </c>
      <c r="M4290" s="648">
        <v>0.63541666666666674</v>
      </c>
    </row>
    <row r="4291" spans="4:13" ht="25" thickBot="1">
      <c r="E4291" s="628" t="s">
        <v>436</v>
      </c>
      <c r="F4291" s="200" t="s">
        <v>29</v>
      </c>
      <c r="G4291" s="200" t="s">
        <v>28</v>
      </c>
      <c r="H4291" s="201" t="s">
        <v>27</v>
      </c>
      <c r="I4291" s="995"/>
      <c r="J4291" s="996"/>
      <c r="K4291" s="997"/>
      <c r="L4291" s="99"/>
      <c r="M4291" s="100"/>
    </row>
    <row r="4292" spans="4:13" ht="23">
      <c r="E4292" s="629">
        <v>45722</v>
      </c>
      <c r="F4292" s="634">
        <v>2.6499999999999999E-2</v>
      </c>
      <c r="G4292" s="634">
        <v>2.6499999999999999E-2</v>
      </c>
      <c r="H4292" s="634">
        <v>2.9000000000000001E-2</v>
      </c>
      <c r="I4292" s="995"/>
      <c r="J4292" s="996"/>
      <c r="K4292" s="997"/>
      <c r="L4292" s="99"/>
      <c r="M4292" s="100"/>
    </row>
    <row r="4293" spans="4:13" ht="23">
      <c r="E4293" s="629">
        <v>45687</v>
      </c>
      <c r="F4293" s="634">
        <v>2.9000000000000001E-2</v>
      </c>
      <c r="G4293" s="634">
        <v>2.9000000000000001E-2</v>
      </c>
      <c r="H4293" s="634">
        <v>3.15E-2</v>
      </c>
      <c r="I4293" s="995"/>
      <c r="J4293" s="996"/>
      <c r="K4293" s="997"/>
      <c r="L4293" s="99"/>
      <c r="M4293" s="100"/>
    </row>
    <row r="4294" spans="4:13" ht="23">
      <c r="E4294" s="629">
        <v>45638</v>
      </c>
      <c r="F4294" s="634">
        <v>3.15E-2</v>
      </c>
      <c r="G4294" s="634">
        <v>3.15E-2</v>
      </c>
      <c r="H4294" s="634">
        <v>3.4000000000000002E-2</v>
      </c>
      <c r="I4294" s="995"/>
      <c r="J4294" s="996"/>
      <c r="K4294" s="997"/>
      <c r="L4294" s="649"/>
      <c r="M4294" s="100"/>
    </row>
    <row r="4295" spans="4:13" ht="23">
      <c r="E4295" s="629">
        <v>45582</v>
      </c>
      <c r="F4295" s="634">
        <v>3.4000000000000002E-2</v>
      </c>
      <c r="G4295" s="634">
        <v>3.4000000000000002E-2</v>
      </c>
      <c r="H4295" s="634">
        <v>3.6499999999999998E-2</v>
      </c>
      <c r="I4295" s="995"/>
      <c r="J4295" s="996"/>
      <c r="K4295" s="997"/>
      <c r="L4295" s="99"/>
      <c r="M4295" s="100"/>
    </row>
    <row r="4296" spans="4:13" ht="23">
      <c r="E4296" s="629">
        <v>45547</v>
      </c>
      <c r="F4296" s="634">
        <v>3.6499999999999998E-2</v>
      </c>
      <c r="G4296" s="634">
        <v>3.6499999999999998E-2</v>
      </c>
      <c r="H4296" s="634">
        <v>4.2500000000000003E-2</v>
      </c>
      <c r="I4296" s="995"/>
      <c r="J4296" s="996"/>
      <c r="K4296" s="997"/>
      <c r="L4296" s="99"/>
      <c r="M4296" s="100"/>
    </row>
    <row r="4297" spans="4:13" ht="24" thickBot="1">
      <c r="E4297" s="629">
        <v>45491</v>
      </c>
      <c r="F4297" s="634">
        <v>4.2500000000000003E-2</v>
      </c>
      <c r="G4297" s="634">
        <v>4.2500000000000003E-2</v>
      </c>
      <c r="H4297" s="634">
        <v>4.2500000000000003E-2</v>
      </c>
      <c r="I4297" s="998"/>
      <c r="J4297" s="999"/>
      <c r="K4297" s="1000"/>
      <c r="L4297" s="102"/>
      <c r="M4297" s="103"/>
    </row>
    <row r="4298" spans="4:13" ht="25" thickBot="1">
      <c r="D4298">
        <v>2</v>
      </c>
      <c r="E4298" s="756" t="s">
        <v>30</v>
      </c>
      <c r="F4298" s="1066" t="s">
        <v>1421</v>
      </c>
      <c r="G4298" s="1067"/>
      <c r="H4298" s="1068"/>
      <c r="I4298" s="1069" t="s">
        <v>633</v>
      </c>
      <c r="J4298" s="1070"/>
      <c r="K4298" s="1071"/>
      <c r="L4298" s="158" t="s">
        <v>430</v>
      </c>
      <c r="M4298" s="105" t="s">
        <v>431</v>
      </c>
    </row>
    <row r="4299" spans="4:13" ht="24">
      <c r="E4299" s="625" t="s">
        <v>432</v>
      </c>
      <c r="F4299" s="992"/>
      <c r="G4299" s="993"/>
      <c r="H4299" s="994"/>
      <c r="I4299" s="995" t="s">
        <v>1912</v>
      </c>
      <c r="J4299" s="996"/>
      <c r="K4299" s="997"/>
      <c r="L4299" s="99"/>
      <c r="M4299" s="100"/>
    </row>
    <row r="4300" spans="4:13" ht="24">
      <c r="E4300" s="626" t="s">
        <v>433</v>
      </c>
      <c r="F4300" s="1063"/>
      <c r="G4300" s="1064"/>
      <c r="H4300" s="1065"/>
      <c r="I4300" s="995"/>
      <c r="J4300" s="996"/>
      <c r="K4300" s="997"/>
      <c r="L4300" s="99"/>
      <c r="M4300" s="100"/>
    </row>
    <row r="4301" spans="4:13" ht="25" thickBot="1">
      <c r="E4301" s="626" t="s">
        <v>434</v>
      </c>
      <c r="F4301" s="1063"/>
      <c r="G4301" s="1064"/>
      <c r="H4301" s="1065"/>
      <c r="I4301" s="995"/>
      <c r="J4301" s="996"/>
      <c r="K4301" s="997"/>
      <c r="L4301" s="99"/>
      <c r="M4301" s="100"/>
    </row>
    <row r="4302" spans="4:13" ht="25" thickBot="1">
      <c r="E4302" s="627" t="s">
        <v>435</v>
      </c>
      <c r="F4302" s="1007">
        <v>0.52083333333333337</v>
      </c>
      <c r="G4302" s="1008"/>
      <c r="H4302" s="1009"/>
      <c r="I4302" s="995"/>
      <c r="J4302" s="996"/>
      <c r="K4302" s="997"/>
      <c r="L4302" s="647">
        <v>0.75</v>
      </c>
      <c r="M4302" s="648">
        <v>0.64583333333333337</v>
      </c>
    </row>
    <row r="4303" spans="4:13" ht="25" thickBot="1">
      <c r="E4303" s="628" t="s">
        <v>436</v>
      </c>
      <c r="F4303" s="200" t="s">
        <v>29</v>
      </c>
      <c r="G4303" s="200" t="s">
        <v>28</v>
      </c>
      <c r="H4303" s="201" t="s">
        <v>27</v>
      </c>
      <c r="I4303" s="995"/>
      <c r="J4303" s="996"/>
      <c r="K4303" s="997"/>
      <c r="L4303" s="99"/>
      <c r="M4303" s="100"/>
    </row>
    <row r="4304" spans="4:13" ht="24">
      <c r="E4304" s="629">
        <v>45750</v>
      </c>
      <c r="F4304" s="634" t="s">
        <v>987</v>
      </c>
      <c r="G4304" s="634" t="s">
        <v>985</v>
      </c>
      <c r="H4304" s="634" t="s">
        <v>985</v>
      </c>
      <c r="I4304" s="995"/>
      <c r="J4304" s="996"/>
      <c r="K4304" s="997"/>
      <c r="L4304" s="99"/>
      <c r="M4304" s="100"/>
    </row>
    <row r="4305" spans="4:13" ht="24">
      <c r="E4305" s="629">
        <v>45743</v>
      </c>
      <c r="F4305" s="634" t="s">
        <v>1032</v>
      </c>
      <c r="G4305" s="634" t="s">
        <v>985</v>
      </c>
      <c r="H4305" s="634" t="s">
        <v>985</v>
      </c>
      <c r="I4305" s="995"/>
      <c r="J4305" s="996"/>
      <c r="K4305" s="997"/>
      <c r="L4305" s="99"/>
      <c r="M4305" s="100"/>
    </row>
    <row r="4306" spans="4:13" ht="24">
      <c r="E4306" s="629">
        <v>45736</v>
      </c>
      <c r="F4306" s="634" t="s">
        <v>973</v>
      </c>
      <c r="G4306" s="634" t="s">
        <v>1032</v>
      </c>
      <c r="H4306" s="634" t="s">
        <v>972</v>
      </c>
      <c r="I4306" s="995"/>
      <c r="J4306" s="996"/>
      <c r="K4306" s="997"/>
      <c r="L4306" s="649"/>
      <c r="M4306" s="100"/>
    </row>
    <row r="4307" spans="4:13" ht="24">
      <c r="E4307" s="629">
        <v>45729</v>
      </c>
      <c r="F4307" s="634" t="s">
        <v>1112</v>
      </c>
      <c r="G4307" s="634" t="s">
        <v>1703</v>
      </c>
      <c r="H4307" s="634" t="s">
        <v>986</v>
      </c>
      <c r="I4307" s="995"/>
      <c r="J4307" s="996"/>
      <c r="K4307" s="997"/>
      <c r="L4307" s="99"/>
      <c r="M4307" s="100"/>
    </row>
    <row r="4308" spans="4:13" ht="24">
      <c r="E4308" s="629">
        <v>45722</v>
      </c>
      <c r="F4308" s="634" t="s">
        <v>972</v>
      </c>
      <c r="G4308" s="634" t="s">
        <v>1704</v>
      </c>
      <c r="H4308" s="634" t="s">
        <v>980</v>
      </c>
      <c r="I4308" s="995"/>
      <c r="J4308" s="996"/>
      <c r="K4308" s="997"/>
      <c r="L4308" s="99"/>
      <c r="M4308" s="100"/>
    </row>
    <row r="4309" spans="4:13" ht="25" thickBot="1">
      <c r="E4309" s="629">
        <v>45715</v>
      </c>
      <c r="F4309" s="634" t="s">
        <v>980</v>
      </c>
      <c r="G4309" s="634" t="s">
        <v>986</v>
      </c>
      <c r="H4309" s="634" t="s">
        <v>1112</v>
      </c>
      <c r="I4309" s="998"/>
      <c r="J4309" s="999"/>
      <c r="K4309" s="1000"/>
      <c r="L4309" s="102"/>
      <c r="M4309" s="103"/>
    </row>
    <row r="4310" spans="4:13" ht="25" thickBot="1">
      <c r="D4310">
        <v>3</v>
      </c>
      <c r="E4310" s="756" t="s">
        <v>30</v>
      </c>
      <c r="F4310" s="1066" t="s">
        <v>1950</v>
      </c>
      <c r="G4310" s="1067"/>
      <c r="H4310" s="1068"/>
      <c r="I4310" s="1069" t="s">
        <v>633</v>
      </c>
      <c r="J4310" s="1070"/>
      <c r="K4310" s="1071"/>
      <c r="L4310" s="658" t="s">
        <v>430</v>
      </c>
      <c r="M4310" s="659" t="s">
        <v>431</v>
      </c>
    </row>
    <row r="4311" spans="4:13" ht="24">
      <c r="E4311" s="625" t="s">
        <v>432</v>
      </c>
      <c r="F4311" s="992"/>
      <c r="G4311" s="993"/>
      <c r="H4311" s="994"/>
      <c r="I4311" s="995" t="s">
        <v>1951</v>
      </c>
      <c r="J4311" s="996"/>
      <c r="K4311" s="997"/>
      <c r="L4311" s="99"/>
      <c r="M4311" s="100"/>
    </row>
    <row r="4312" spans="4:13" ht="24">
      <c r="E4312" s="626" t="s">
        <v>433</v>
      </c>
      <c r="F4312" s="1022">
        <v>3.1</v>
      </c>
      <c r="G4312" s="1005"/>
      <c r="H4312" s="1006"/>
      <c r="I4312" s="995"/>
      <c r="J4312" s="996"/>
      <c r="K4312" s="997"/>
      <c r="L4312" s="99"/>
      <c r="M4312" s="100"/>
    </row>
    <row r="4313" spans="4:13" ht="25" thickBot="1">
      <c r="E4313" s="626" t="s">
        <v>434</v>
      </c>
      <c r="F4313" s="1080">
        <v>12.5</v>
      </c>
      <c r="G4313" s="1081"/>
      <c r="H4313" s="1082"/>
      <c r="I4313" s="995"/>
      <c r="J4313" s="996"/>
      <c r="K4313" s="997"/>
      <c r="L4313" s="99"/>
      <c r="M4313" s="100"/>
    </row>
    <row r="4314" spans="4:13" ht="25" thickBot="1">
      <c r="E4314" s="627" t="s">
        <v>435</v>
      </c>
      <c r="F4314" s="1007">
        <v>0.52083333333333337</v>
      </c>
      <c r="G4314" s="1008"/>
      <c r="H4314" s="1009"/>
      <c r="I4314" s="995"/>
      <c r="J4314" s="996"/>
      <c r="K4314" s="997"/>
      <c r="L4314" s="647">
        <v>0.75</v>
      </c>
      <c r="M4314" s="648">
        <v>0.64583333333333337</v>
      </c>
    </row>
    <row r="4315" spans="4:13" ht="25" thickBot="1">
      <c r="E4315" s="628" t="s">
        <v>436</v>
      </c>
      <c r="F4315" s="200" t="s">
        <v>29</v>
      </c>
      <c r="G4315" s="200" t="s">
        <v>28</v>
      </c>
      <c r="H4315" s="201" t="s">
        <v>27</v>
      </c>
      <c r="I4315" s="995"/>
      <c r="J4315" s="996"/>
      <c r="K4315" s="997"/>
      <c r="L4315" s="99"/>
      <c r="M4315" s="100"/>
    </row>
    <row r="4316" spans="4:13" ht="23">
      <c r="E4316" s="629">
        <v>45736</v>
      </c>
      <c r="F4316" s="636">
        <v>12.5</v>
      </c>
      <c r="G4316" s="636">
        <v>8.8000000000000007</v>
      </c>
      <c r="H4316" s="636">
        <v>18.100000000000001</v>
      </c>
      <c r="I4316" s="995"/>
      <c r="J4316" s="996"/>
      <c r="K4316" s="997"/>
      <c r="L4316" s="99"/>
      <c r="M4316" s="100"/>
    </row>
    <row r="4317" spans="4:13" ht="23">
      <c r="E4317" s="629">
        <v>45708</v>
      </c>
      <c r="F4317" s="636">
        <v>18.100000000000001</v>
      </c>
      <c r="G4317" s="636">
        <v>19.399999999999999</v>
      </c>
      <c r="H4317" s="636">
        <v>44.3</v>
      </c>
      <c r="I4317" s="995"/>
      <c r="J4317" s="996"/>
      <c r="K4317" s="997"/>
      <c r="L4317" s="99"/>
      <c r="M4317" s="100"/>
    </row>
    <row r="4318" spans="4:13" ht="23">
      <c r="E4318" s="629">
        <v>45673</v>
      </c>
      <c r="F4318" s="636">
        <v>44.3</v>
      </c>
      <c r="G4318" s="636">
        <v>-5</v>
      </c>
      <c r="H4318" s="636">
        <v>-10.9</v>
      </c>
      <c r="I4318" s="995"/>
      <c r="J4318" s="996"/>
      <c r="K4318" s="997"/>
      <c r="L4318" s="649"/>
      <c r="M4318" s="100"/>
    </row>
    <row r="4319" spans="4:13" ht="23">
      <c r="E4319" s="629">
        <v>45645</v>
      </c>
      <c r="F4319" s="636">
        <v>-16.399999999999999</v>
      </c>
      <c r="G4319" s="636">
        <v>2.9</v>
      </c>
      <c r="H4319" s="636">
        <v>-5.5</v>
      </c>
      <c r="I4319" s="995"/>
      <c r="J4319" s="996"/>
      <c r="K4319" s="997"/>
      <c r="L4319" s="99"/>
      <c r="M4319" s="100"/>
    </row>
    <row r="4320" spans="4:13" ht="23">
      <c r="E4320" s="629">
        <v>45617</v>
      </c>
      <c r="F4320" s="636">
        <v>-5.5</v>
      </c>
      <c r="G4320" s="636">
        <v>7.4</v>
      </c>
      <c r="H4320" s="636">
        <v>10.3</v>
      </c>
      <c r="I4320" s="995"/>
      <c r="J4320" s="996"/>
      <c r="K4320" s="997"/>
      <c r="L4320" s="99"/>
      <c r="M4320" s="100"/>
    </row>
    <row r="4321" spans="3:13" ht="24" thickBot="1">
      <c r="E4321" s="629">
        <v>45582</v>
      </c>
      <c r="F4321" s="636">
        <v>10.3</v>
      </c>
      <c r="G4321" s="636">
        <v>4.2</v>
      </c>
      <c r="H4321" s="636">
        <v>1.7</v>
      </c>
      <c r="I4321" s="998"/>
      <c r="J4321" s="999"/>
      <c r="K4321" s="1000"/>
      <c r="L4321" s="102"/>
      <c r="M4321" s="103"/>
    </row>
    <row r="4322" spans="3:13" ht="25" thickBot="1">
      <c r="D4322">
        <v>3</v>
      </c>
      <c r="E4322" s="756" t="s">
        <v>30</v>
      </c>
      <c r="F4322" s="1066" t="s">
        <v>1952</v>
      </c>
      <c r="G4322" s="1067"/>
      <c r="H4322" s="1068"/>
      <c r="I4322" s="1069" t="s">
        <v>633</v>
      </c>
      <c r="J4322" s="1070"/>
      <c r="K4322" s="1071"/>
      <c r="L4322" s="658" t="s">
        <v>430</v>
      </c>
      <c r="M4322" s="659" t="s">
        <v>431</v>
      </c>
    </row>
    <row r="4323" spans="3:13" ht="24">
      <c r="E4323" s="625" t="s">
        <v>432</v>
      </c>
      <c r="F4323" s="992"/>
      <c r="G4323" s="993"/>
      <c r="H4323" s="994"/>
      <c r="I4323" s="995" t="s">
        <v>1953</v>
      </c>
      <c r="J4323" s="996"/>
      <c r="K4323" s="997"/>
      <c r="L4323" s="99"/>
      <c r="M4323" s="100"/>
    </row>
    <row r="4324" spans="3:13" ht="24">
      <c r="E4324" s="626" t="s">
        <v>433</v>
      </c>
      <c r="F4324" s="1022">
        <v>0</v>
      </c>
      <c r="G4324" s="1005"/>
      <c r="H4324" s="1006"/>
      <c r="I4324" s="995"/>
      <c r="J4324" s="996"/>
      <c r="K4324" s="997"/>
      <c r="L4324" s="99"/>
      <c r="M4324" s="100"/>
    </row>
    <row r="4325" spans="3:13" ht="25" thickBot="1">
      <c r="E4325" s="626" t="s">
        <v>434</v>
      </c>
      <c r="F4325" s="1080"/>
      <c r="G4325" s="1081"/>
      <c r="H4325" s="1082"/>
      <c r="I4325" s="995"/>
      <c r="J4325" s="996"/>
      <c r="K4325" s="997"/>
      <c r="L4325" s="99"/>
      <c r="M4325" s="100"/>
    </row>
    <row r="4326" spans="3:13" ht="25" thickBot="1">
      <c r="E4326" s="627" t="s">
        <v>435</v>
      </c>
      <c r="F4326" s="1007">
        <v>0.53125</v>
      </c>
      <c r="G4326" s="1008"/>
      <c r="H4326" s="1009"/>
      <c r="I4326" s="995"/>
      <c r="J4326" s="996"/>
      <c r="K4326" s="997"/>
      <c r="L4326" s="647">
        <v>0.76041666666666663</v>
      </c>
      <c r="M4326" s="648">
        <v>0.65625</v>
      </c>
    </row>
    <row r="4327" spans="3:13" ht="25" thickBot="1">
      <c r="E4327" s="628" t="s">
        <v>436</v>
      </c>
      <c r="F4327" s="200" t="s">
        <v>29</v>
      </c>
      <c r="G4327" s="200" t="s">
        <v>28</v>
      </c>
      <c r="H4327" s="201" t="s">
        <v>27</v>
      </c>
      <c r="I4327" s="995"/>
      <c r="J4327" s="996"/>
      <c r="K4327" s="997"/>
      <c r="L4327" s="99"/>
      <c r="M4327" s="100"/>
    </row>
    <row r="4328" spans="3:13" ht="23">
      <c r="E4328" s="629">
        <v>45722</v>
      </c>
      <c r="F4328" s="636"/>
      <c r="G4328" s="636"/>
      <c r="H4328" s="636"/>
      <c r="I4328" s="995"/>
      <c r="J4328" s="996"/>
      <c r="K4328" s="997"/>
      <c r="L4328" s="99"/>
      <c r="M4328" s="100"/>
    </row>
    <row r="4329" spans="3:13" ht="23">
      <c r="E4329" s="629">
        <v>45687</v>
      </c>
      <c r="F4329" s="636"/>
      <c r="G4329" s="636"/>
      <c r="H4329" s="636"/>
      <c r="I4329" s="995"/>
      <c r="J4329" s="996"/>
      <c r="K4329" s="997"/>
      <c r="L4329" s="99"/>
      <c r="M4329" s="100"/>
    </row>
    <row r="4330" spans="3:13" ht="23">
      <c r="E4330" s="629">
        <v>45638</v>
      </c>
      <c r="F4330" s="636"/>
      <c r="G4330" s="636"/>
      <c r="H4330" s="636"/>
      <c r="I4330" s="995"/>
      <c r="J4330" s="996"/>
      <c r="K4330" s="997"/>
      <c r="L4330" s="649"/>
      <c r="M4330" s="100"/>
    </row>
    <row r="4331" spans="3:13" ht="23">
      <c r="E4331" s="629">
        <v>45582</v>
      </c>
      <c r="F4331" s="636"/>
      <c r="G4331" s="636"/>
      <c r="H4331" s="636"/>
      <c r="I4331" s="995"/>
      <c r="J4331" s="996"/>
      <c r="K4331" s="997"/>
      <c r="L4331" s="99"/>
      <c r="M4331" s="100"/>
    </row>
    <row r="4332" spans="3:13" ht="23">
      <c r="E4332" s="629">
        <v>45547</v>
      </c>
      <c r="F4332" s="636"/>
      <c r="G4332" s="636"/>
      <c r="H4332" s="636"/>
      <c r="I4332" s="995"/>
      <c r="J4332" s="996"/>
      <c r="K4332" s="997"/>
      <c r="L4332" s="99"/>
      <c r="M4332" s="100"/>
    </row>
    <row r="4333" spans="3:13" ht="24" thickBot="1">
      <c r="E4333" s="629">
        <v>45491</v>
      </c>
      <c r="F4333" s="636"/>
      <c r="G4333" s="636"/>
      <c r="H4333" s="636"/>
      <c r="I4333" s="998"/>
      <c r="J4333" s="999"/>
      <c r="K4333" s="1000"/>
      <c r="L4333" s="102"/>
      <c r="M4333" s="103"/>
    </row>
    <row r="4334" spans="3:13" ht="25" customHeight="1" thickBot="1">
      <c r="C4334" t="s">
        <v>105</v>
      </c>
      <c r="D4334">
        <v>1</v>
      </c>
      <c r="E4334" s="756" t="s">
        <v>30</v>
      </c>
      <c r="F4334" s="1066" t="s">
        <v>1970</v>
      </c>
      <c r="G4334" s="1067"/>
      <c r="H4334" s="1068"/>
      <c r="I4334" s="1069" t="s">
        <v>633</v>
      </c>
      <c r="J4334" s="1070"/>
      <c r="K4334" s="1071"/>
      <c r="L4334" s="158" t="s">
        <v>430</v>
      </c>
      <c r="M4334" s="105" t="s">
        <v>431</v>
      </c>
    </row>
    <row r="4335" spans="3:13" ht="24">
      <c r="E4335" s="625" t="s">
        <v>432</v>
      </c>
      <c r="F4335" s="992"/>
      <c r="G4335" s="993"/>
      <c r="H4335" s="994"/>
      <c r="I4335" s="995" t="s">
        <v>1482</v>
      </c>
      <c r="J4335" s="996"/>
      <c r="K4335" s="997"/>
      <c r="L4335" s="99"/>
      <c r="M4335" s="100"/>
    </row>
    <row r="4336" spans="3:13" ht="24">
      <c r="E4336" s="626" t="s">
        <v>433</v>
      </c>
      <c r="F4336" s="1072"/>
      <c r="G4336" s="1073"/>
      <c r="H4336" s="1074"/>
      <c r="I4336" s="995"/>
      <c r="J4336" s="996"/>
      <c r="K4336" s="997"/>
      <c r="L4336" s="99"/>
      <c r="M4336" s="100"/>
    </row>
    <row r="4337" spans="4:13" ht="25" thickBot="1">
      <c r="E4337" s="626" t="s">
        <v>434</v>
      </c>
      <c r="F4337" s="1063" t="s">
        <v>1971</v>
      </c>
      <c r="G4337" s="1064"/>
      <c r="H4337" s="1065"/>
      <c r="I4337" s="995"/>
      <c r="J4337" s="996"/>
      <c r="K4337" s="997"/>
      <c r="L4337" s="99"/>
      <c r="M4337" s="100"/>
    </row>
    <row r="4338" spans="4:13" ht="25" thickBot="1">
      <c r="E4338" s="627" t="s">
        <v>435</v>
      </c>
      <c r="F4338" s="1007">
        <v>0.58333333333333337</v>
      </c>
      <c r="G4338" s="1008"/>
      <c r="H4338" s="1009"/>
      <c r="I4338" s="995"/>
      <c r="J4338" s="996"/>
      <c r="K4338" s="997"/>
      <c r="L4338" s="647">
        <v>0.8125</v>
      </c>
      <c r="M4338" s="648">
        <v>0.70833333333333337</v>
      </c>
    </row>
    <row r="4339" spans="4:13" ht="25" thickBot="1">
      <c r="E4339" s="628" t="s">
        <v>436</v>
      </c>
      <c r="F4339" s="200" t="s">
        <v>29</v>
      </c>
      <c r="G4339" s="200" t="s">
        <v>28</v>
      </c>
      <c r="H4339" s="201" t="s">
        <v>27</v>
      </c>
      <c r="I4339" s="995"/>
      <c r="J4339" s="996"/>
      <c r="K4339" s="997"/>
      <c r="L4339" s="99"/>
      <c r="M4339" s="100"/>
    </row>
    <row r="4340" spans="4:13" ht="24">
      <c r="E4340" s="629">
        <v>45741</v>
      </c>
      <c r="F4340" s="634" t="s">
        <v>2001</v>
      </c>
      <c r="G4340" s="634" t="s">
        <v>2002</v>
      </c>
      <c r="H4340" s="634" t="s">
        <v>1532</v>
      </c>
      <c r="I4340" s="995"/>
      <c r="J4340" s="996"/>
      <c r="K4340" s="997"/>
      <c r="L4340" s="99"/>
      <c r="M4340" s="100"/>
    </row>
    <row r="4341" spans="4:13" ht="24">
      <c r="E4341" s="629">
        <v>45714</v>
      </c>
      <c r="F4341" s="634" t="s">
        <v>1693</v>
      </c>
      <c r="G4341" s="634" t="s">
        <v>1694</v>
      </c>
      <c r="H4341" s="634" t="s">
        <v>1695</v>
      </c>
      <c r="I4341" s="995"/>
      <c r="J4341" s="996"/>
      <c r="K4341" s="997"/>
      <c r="L4341" s="99"/>
      <c r="M4341" s="100"/>
    </row>
    <row r="4342" spans="4:13" ht="24">
      <c r="E4342" s="629">
        <v>45684</v>
      </c>
      <c r="F4342" s="634" t="s">
        <v>1106</v>
      </c>
      <c r="G4342" s="634" t="s">
        <v>1650</v>
      </c>
      <c r="H4342" s="634" t="s">
        <v>1651</v>
      </c>
      <c r="I4342" s="995"/>
      <c r="J4342" s="996"/>
      <c r="K4342" s="997"/>
      <c r="L4342" s="649"/>
      <c r="M4342" s="100"/>
    </row>
    <row r="4343" spans="4:13" ht="24">
      <c r="E4343" s="629">
        <v>45649</v>
      </c>
      <c r="F4343" s="634" t="s">
        <v>1532</v>
      </c>
      <c r="G4343" s="634" t="s">
        <v>1533</v>
      </c>
      <c r="H4343" s="634" t="s">
        <v>1534</v>
      </c>
      <c r="I4343" s="995"/>
      <c r="J4343" s="996"/>
      <c r="K4343" s="997"/>
      <c r="L4343" s="99"/>
      <c r="M4343" s="100"/>
    </row>
    <row r="4344" spans="4:13" ht="24">
      <c r="E4344" s="629">
        <v>45622</v>
      </c>
      <c r="F4344" s="634" t="s">
        <v>1316</v>
      </c>
      <c r="G4344" s="634" t="s">
        <v>1317</v>
      </c>
      <c r="H4344" s="634" t="s">
        <v>1092</v>
      </c>
      <c r="I4344" s="995"/>
      <c r="J4344" s="996"/>
      <c r="K4344" s="997"/>
      <c r="L4344" s="99"/>
      <c r="M4344" s="100"/>
    </row>
    <row r="4345" spans="4:13" ht="25" thickBot="1">
      <c r="E4345" s="629">
        <v>45589</v>
      </c>
      <c r="F4345" s="634" t="s">
        <v>1092</v>
      </c>
      <c r="G4345" s="634" t="s">
        <v>1093</v>
      </c>
      <c r="H4345" s="634" t="s">
        <v>1094</v>
      </c>
      <c r="I4345" s="998"/>
      <c r="J4345" s="999"/>
      <c r="K4345" s="1000"/>
      <c r="L4345" s="102"/>
      <c r="M4345" s="103"/>
    </row>
    <row r="4346" spans="4:13" ht="25" thickBot="1">
      <c r="D4346">
        <v>1</v>
      </c>
      <c r="E4346" s="756" t="s">
        <v>30</v>
      </c>
      <c r="F4346" s="1066" t="s">
        <v>1964</v>
      </c>
      <c r="G4346" s="1067"/>
      <c r="H4346" s="1068"/>
      <c r="I4346" s="1069" t="s">
        <v>633</v>
      </c>
      <c r="J4346" s="1070"/>
      <c r="K4346" s="1071"/>
      <c r="L4346" s="158" t="s">
        <v>430</v>
      </c>
      <c r="M4346" s="105" t="s">
        <v>431</v>
      </c>
    </row>
    <row r="4347" spans="4:13" ht="24">
      <c r="E4347" s="625" t="s">
        <v>432</v>
      </c>
      <c r="F4347" s="992"/>
      <c r="G4347" s="993"/>
      <c r="H4347" s="994"/>
      <c r="I4347" s="995" t="s">
        <v>1965</v>
      </c>
      <c r="J4347" s="996"/>
      <c r="K4347" s="997"/>
      <c r="L4347" s="99"/>
      <c r="M4347" s="100"/>
    </row>
    <row r="4348" spans="4:13" ht="24">
      <c r="E4348" s="626" t="s">
        <v>433</v>
      </c>
      <c r="F4348" s="1072"/>
      <c r="G4348" s="1073"/>
      <c r="H4348" s="1074"/>
      <c r="I4348" s="995"/>
      <c r="J4348" s="996"/>
      <c r="K4348" s="997"/>
      <c r="L4348" s="99"/>
      <c r="M4348" s="100"/>
    </row>
    <row r="4349" spans="4:13" ht="25" thickBot="1">
      <c r="E4349" s="626" t="s">
        <v>434</v>
      </c>
      <c r="F4349" s="1063"/>
      <c r="G4349" s="1064"/>
      <c r="H4349" s="1065"/>
      <c r="I4349" s="995"/>
      <c r="J4349" s="996"/>
      <c r="K4349" s="997"/>
      <c r="L4349" s="99"/>
      <c r="M4349" s="100"/>
    </row>
    <row r="4350" spans="4:13" ht="25" thickBot="1">
      <c r="E4350" s="627" t="s">
        <v>435</v>
      </c>
      <c r="F4350" s="1007">
        <v>0.83333333333333337</v>
      </c>
      <c r="G4350" s="1008"/>
      <c r="H4350" s="1009"/>
      <c r="I4350" s="995"/>
      <c r="J4350" s="996"/>
      <c r="K4350" s="997"/>
      <c r="L4350" s="647">
        <v>6.25E-2</v>
      </c>
      <c r="M4350" s="648">
        <v>0.95833333333333337</v>
      </c>
    </row>
    <row r="4351" spans="4:13" ht="25" thickBot="1">
      <c r="E4351" s="628" t="s">
        <v>436</v>
      </c>
      <c r="F4351" s="200" t="s">
        <v>29</v>
      </c>
      <c r="G4351" s="200" t="s">
        <v>28</v>
      </c>
      <c r="H4351" s="201" t="s">
        <v>27</v>
      </c>
      <c r="I4351" s="995"/>
      <c r="J4351" s="996"/>
      <c r="K4351" s="997"/>
      <c r="L4351" s="99"/>
      <c r="M4351" s="100"/>
    </row>
    <row r="4352" spans="4:13" ht="24">
      <c r="E4352" s="629">
        <v>45686</v>
      </c>
      <c r="F4352" s="769" t="s">
        <v>1983</v>
      </c>
      <c r="G4352" s="769" t="s">
        <v>1982</v>
      </c>
      <c r="H4352" s="634"/>
      <c r="I4352" s="995"/>
      <c r="J4352" s="996"/>
      <c r="K4352" s="997"/>
      <c r="L4352" s="99"/>
      <c r="M4352" s="100"/>
    </row>
    <row r="4353" spans="4:13" ht="24">
      <c r="E4353" s="629">
        <v>45588</v>
      </c>
      <c r="F4353" s="769" t="s">
        <v>1982</v>
      </c>
      <c r="G4353" s="769" t="s">
        <v>1984</v>
      </c>
      <c r="H4353" s="634"/>
      <c r="I4353" s="995"/>
      <c r="J4353" s="996"/>
      <c r="K4353" s="997"/>
      <c r="L4353" s="99"/>
      <c r="M4353" s="100"/>
    </row>
    <row r="4354" spans="4:13" ht="24">
      <c r="E4354" s="629">
        <v>45496</v>
      </c>
      <c r="F4354" s="769" t="s">
        <v>1985</v>
      </c>
      <c r="G4354" s="769" t="s">
        <v>1984</v>
      </c>
      <c r="H4354" s="634"/>
      <c r="I4354" s="995"/>
      <c r="J4354" s="996"/>
      <c r="K4354" s="997"/>
      <c r="L4354" s="649"/>
      <c r="M4354" s="100"/>
    </row>
    <row r="4355" spans="4:13" ht="24">
      <c r="E4355" s="629">
        <v>45405</v>
      </c>
      <c r="F4355" s="769" t="s">
        <v>1986</v>
      </c>
      <c r="G4355" s="769" t="s">
        <v>1986</v>
      </c>
      <c r="H4355" s="634"/>
      <c r="I4355" s="995"/>
      <c r="J4355" s="996"/>
      <c r="K4355" s="997"/>
      <c r="L4355" s="99"/>
      <c r="M4355" s="100"/>
    </row>
    <row r="4356" spans="4:13" ht="24">
      <c r="E4356" s="629">
        <v>45315</v>
      </c>
      <c r="F4356" s="769" t="s">
        <v>1988</v>
      </c>
      <c r="G4356" s="769" t="s">
        <v>1987</v>
      </c>
      <c r="H4356" s="634"/>
      <c r="I4356" s="995"/>
      <c r="J4356" s="996"/>
      <c r="K4356" s="997"/>
      <c r="L4356" s="99"/>
      <c r="M4356" s="100"/>
    </row>
    <row r="4357" spans="4:13" ht="25" thickBot="1">
      <c r="E4357" s="629">
        <v>45217</v>
      </c>
      <c r="F4357" s="769" t="s">
        <v>1990</v>
      </c>
      <c r="G4357" s="769" t="s">
        <v>1989</v>
      </c>
      <c r="H4357" s="634"/>
      <c r="I4357" s="998"/>
      <c r="J4357" s="999"/>
      <c r="K4357" s="1000"/>
      <c r="L4357" s="102"/>
      <c r="M4357" s="103"/>
    </row>
    <row r="4358" spans="4:13" ht="25" thickBot="1">
      <c r="D4358">
        <v>1</v>
      </c>
      <c r="E4358" s="756" t="s">
        <v>30</v>
      </c>
      <c r="F4358" s="1066" t="s">
        <v>1966</v>
      </c>
      <c r="G4358" s="1067"/>
      <c r="H4358" s="1068"/>
      <c r="I4358" s="1069" t="s">
        <v>633</v>
      </c>
      <c r="J4358" s="1070"/>
      <c r="K4358" s="1071"/>
      <c r="L4358" s="158" t="s">
        <v>430</v>
      </c>
      <c r="M4358" s="105" t="s">
        <v>431</v>
      </c>
    </row>
    <row r="4359" spans="4:13" ht="24">
      <c r="E4359" s="625" t="s">
        <v>432</v>
      </c>
      <c r="F4359" s="992"/>
      <c r="G4359" s="993"/>
      <c r="H4359" s="994"/>
      <c r="I4359" s="995" t="s">
        <v>1967</v>
      </c>
      <c r="J4359" s="996"/>
      <c r="K4359" s="997"/>
      <c r="L4359" s="99"/>
      <c r="M4359" s="100"/>
    </row>
    <row r="4360" spans="4:13" ht="24">
      <c r="E4360" s="626" t="s">
        <v>433</v>
      </c>
      <c r="F4360" s="1072"/>
      <c r="G4360" s="1073"/>
      <c r="H4360" s="1074"/>
      <c r="I4360" s="995"/>
      <c r="J4360" s="996"/>
      <c r="K4360" s="997"/>
      <c r="L4360" s="99"/>
      <c r="M4360" s="100"/>
    </row>
    <row r="4361" spans="4:13" ht="25" thickBot="1">
      <c r="E4361" s="626" t="s">
        <v>434</v>
      </c>
      <c r="F4361" s="1076">
        <v>50.2</v>
      </c>
      <c r="G4361" s="1064"/>
      <c r="H4361" s="1065"/>
      <c r="I4361" s="995"/>
      <c r="J4361" s="996"/>
      <c r="K4361" s="997"/>
      <c r="L4361" s="99"/>
      <c r="M4361" s="100"/>
    </row>
    <row r="4362" spans="4:13" ht="25" thickBot="1">
      <c r="E4362" s="627" t="s">
        <v>435</v>
      </c>
      <c r="F4362" s="1007">
        <v>0.57291666666666674</v>
      </c>
      <c r="G4362" s="1008"/>
      <c r="H4362" s="1009"/>
      <c r="I4362" s="995"/>
      <c r="J4362" s="996"/>
      <c r="K4362" s="997"/>
      <c r="L4362" s="647">
        <v>0.80208333333333337</v>
      </c>
      <c r="M4362" s="648">
        <v>0.69791666666666674</v>
      </c>
    </row>
    <row r="4363" spans="4:13" ht="25" thickBot="1">
      <c r="E4363" s="628" t="s">
        <v>436</v>
      </c>
      <c r="F4363" s="200" t="s">
        <v>29</v>
      </c>
      <c r="G4363" s="200" t="s">
        <v>28</v>
      </c>
      <c r="H4363" s="201" t="s">
        <v>27</v>
      </c>
      <c r="I4363" s="995"/>
      <c r="J4363" s="996"/>
      <c r="K4363" s="997"/>
      <c r="L4363" s="99"/>
      <c r="M4363" s="100"/>
    </row>
    <row r="4364" spans="4:13" ht="23">
      <c r="E4364" s="629">
        <v>45748</v>
      </c>
      <c r="F4364" s="217">
        <v>50.2</v>
      </c>
      <c r="G4364" s="217">
        <v>49.8</v>
      </c>
      <c r="H4364" s="217">
        <v>52.7</v>
      </c>
      <c r="I4364" s="995"/>
      <c r="J4364" s="996"/>
      <c r="K4364" s="997"/>
      <c r="L4364" s="99"/>
      <c r="M4364" s="100"/>
    </row>
    <row r="4365" spans="4:13" ht="23">
      <c r="E4365" s="629">
        <v>45740</v>
      </c>
      <c r="F4365" s="217">
        <v>49.8</v>
      </c>
      <c r="G4365" s="217">
        <v>51.9</v>
      </c>
      <c r="H4365" s="217">
        <v>52.7</v>
      </c>
      <c r="I4365" s="995"/>
      <c r="J4365" s="996"/>
      <c r="K4365" s="997"/>
      <c r="L4365" s="99"/>
      <c r="M4365" s="100"/>
    </row>
    <row r="4366" spans="4:13" ht="23">
      <c r="E4366" s="629">
        <v>45748</v>
      </c>
      <c r="F4366" s="217">
        <v>50.2</v>
      </c>
      <c r="G4366" s="217">
        <v>49.8</v>
      </c>
      <c r="H4366" s="217">
        <v>52.7</v>
      </c>
      <c r="I4366" s="995"/>
      <c r="J4366" s="996"/>
      <c r="K4366" s="997"/>
      <c r="L4366" s="649"/>
      <c r="M4366" s="100"/>
    </row>
    <row r="4367" spans="4:13" ht="23">
      <c r="E4367" s="629">
        <v>45740</v>
      </c>
      <c r="F4367" s="217">
        <v>49.8</v>
      </c>
      <c r="G4367" s="217">
        <v>51.9</v>
      </c>
      <c r="H4367" s="217">
        <v>52.7</v>
      </c>
      <c r="I4367" s="995"/>
      <c r="J4367" s="996"/>
      <c r="K4367" s="997"/>
      <c r="L4367" s="99"/>
      <c r="M4367" s="100"/>
    </row>
    <row r="4368" spans="4:13" ht="23">
      <c r="E4368" s="629">
        <v>45748</v>
      </c>
      <c r="F4368" s="217">
        <v>50.2</v>
      </c>
      <c r="G4368" s="217">
        <v>49.8</v>
      </c>
      <c r="H4368" s="217">
        <v>52.7</v>
      </c>
      <c r="I4368" s="995"/>
      <c r="J4368" s="996"/>
      <c r="K4368" s="997"/>
      <c r="L4368" s="99"/>
      <c r="M4368" s="100"/>
    </row>
    <row r="4369" spans="4:13" ht="24" thickBot="1">
      <c r="E4369" s="629">
        <v>45740</v>
      </c>
      <c r="F4369" s="217">
        <v>49.8</v>
      </c>
      <c r="G4369" s="217">
        <v>51.9</v>
      </c>
      <c r="H4369" s="217">
        <v>52.7</v>
      </c>
      <c r="I4369" s="998"/>
      <c r="J4369" s="999"/>
      <c r="K4369" s="1000"/>
      <c r="L4369" s="102"/>
      <c r="M4369" s="103"/>
    </row>
    <row r="4370" spans="4:13" ht="25" thickBot="1">
      <c r="D4370">
        <v>1</v>
      </c>
      <c r="E4370" s="756" t="s">
        <v>30</v>
      </c>
      <c r="F4370" s="1066" t="s">
        <v>1968</v>
      </c>
      <c r="G4370" s="1067"/>
      <c r="H4370" s="1068"/>
      <c r="I4370" s="1069" t="s">
        <v>633</v>
      </c>
      <c r="J4370" s="1070"/>
      <c r="K4370" s="1071"/>
      <c r="L4370" s="158" t="s">
        <v>430</v>
      </c>
      <c r="M4370" s="105" t="s">
        <v>431</v>
      </c>
    </row>
    <row r="4371" spans="4:13" ht="24">
      <c r="E4371" s="625" t="s">
        <v>432</v>
      </c>
      <c r="F4371" s="992"/>
      <c r="G4371" s="993"/>
      <c r="H4371" s="994"/>
      <c r="I4371" s="995" t="s">
        <v>1969</v>
      </c>
      <c r="J4371" s="996"/>
      <c r="K4371" s="997"/>
      <c r="L4371" s="99"/>
      <c r="M4371" s="100"/>
    </row>
    <row r="4372" spans="4:13" ht="24">
      <c r="E4372" s="626" t="s">
        <v>433</v>
      </c>
      <c r="F4372" s="1072"/>
      <c r="G4372" s="1073"/>
      <c r="H4372" s="1074"/>
      <c r="I4372" s="995"/>
      <c r="J4372" s="996"/>
      <c r="K4372" s="997"/>
      <c r="L4372" s="99"/>
      <c r="M4372" s="100"/>
    </row>
    <row r="4373" spans="4:13" ht="25" thickBot="1">
      <c r="E4373" s="626" t="s">
        <v>434</v>
      </c>
      <c r="F4373" s="1076">
        <v>54.4</v>
      </c>
      <c r="G4373" s="1064"/>
      <c r="H4373" s="1065"/>
      <c r="I4373" s="995"/>
      <c r="J4373" s="996"/>
      <c r="K4373" s="997"/>
      <c r="L4373" s="99"/>
      <c r="M4373" s="100"/>
    </row>
    <row r="4374" spans="4:13" ht="25" thickBot="1">
      <c r="E4374" s="627" t="s">
        <v>435</v>
      </c>
      <c r="F4374" s="1007">
        <v>0.57291666666666674</v>
      </c>
      <c r="G4374" s="1008"/>
      <c r="H4374" s="1009"/>
      <c r="I4374" s="995"/>
      <c r="J4374" s="996"/>
      <c r="K4374" s="997"/>
      <c r="L4374" s="647">
        <v>0.80208333333333337</v>
      </c>
      <c r="M4374" s="648">
        <v>0.69791666666666674</v>
      </c>
    </row>
    <row r="4375" spans="4:13" ht="25" thickBot="1">
      <c r="E4375" s="628" t="s">
        <v>436</v>
      </c>
      <c r="F4375" s="200" t="s">
        <v>29</v>
      </c>
      <c r="G4375" s="200" t="s">
        <v>28</v>
      </c>
      <c r="H4375" s="201" t="s">
        <v>27</v>
      </c>
      <c r="I4375" s="995"/>
      <c r="J4375" s="996"/>
      <c r="K4375" s="997"/>
      <c r="L4375" s="99"/>
      <c r="M4375" s="100"/>
    </row>
    <row r="4376" spans="4:13" ht="23">
      <c r="E4376" s="629">
        <v>45750</v>
      </c>
      <c r="F4376" s="217">
        <v>54.4</v>
      </c>
      <c r="G4376" s="217">
        <v>54.3</v>
      </c>
      <c r="H4376" s="217">
        <v>51</v>
      </c>
      <c r="I4376" s="995"/>
      <c r="J4376" s="996"/>
      <c r="K4376" s="997"/>
      <c r="L4376" s="99"/>
      <c r="M4376" s="100"/>
    </row>
    <row r="4377" spans="4:13" ht="23">
      <c r="E4377" s="629">
        <v>45740</v>
      </c>
      <c r="F4377" s="217">
        <v>54.3</v>
      </c>
      <c r="G4377" s="217">
        <v>51.2</v>
      </c>
      <c r="H4377" s="217">
        <v>51</v>
      </c>
      <c r="I4377" s="995"/>
      <c r="J4377" s="996"/>
      <c r="K4377" s="997"/>
      <c r="L4377" s="99"/>
      <c r="M4377" s="100"/>
    </row>
    <row r="4378" spans="4:13" ht="23">
      <c r="E4378" s="629">
        <v>45750</v>
      </c>
      <c r="F4378" s="217">
        <v>54.4</v>
      </c>
      <c r="G4378" s="217">
        <v>54.3</v>
      </c>
      <c r="H4378" s="217">
        <v>51</v>
      </c>
      <c r="I4378" s="995"/>
      <c r="J4378" s="996"/>
      <c r="K4378" s="997"/>
      <c r="L4378" s="649"/>
      <c r="M4378" s="100"/>
    </row>
    <row r="4379" spans="4:13" ht="23">
      <c r="E4379" s="629">
        <v>45740</v>
      </c>
      <c r="F4379" s="217">
        <v>54.3</v>
      </c>
      <c r="G4379" s="217">
        <v>51.2</v>
      </c>
      <c r="H4379" s="217">
        <v>51</v>
      </c>
      <c r="I4379" s="995"/>
      <c r="J4379" s="996"/>
      <c r="K4379" s="997"/>
      <c r="L4379" s="99"/>
      <c r="M4379" s="100"/>
    </row>
    <row r="4380" spans="4:13" ht="23">
      <c r="E4380" s="629">
        <v>45750</v>
      </c>
      <c r="F4380" s="217">
        <v>54.4</v>
      </c>
      <c r="G4380" s="217">
        <v>54.3</v>
      </c>
      <c r="H4380" s="217">
        <v>51</v>
      </c>
      <c r="I4380" s="995"/>
      <c r="J4380" s="996"/>
      <c r="K4380" s="997"/>
      <c r="L4380" s="99"/>
      <c r="M4380" s="100"/>
    </row>
    <row r="4381" spans="4:13" ht="24" thickBot="1">
      <c r="E4381" s="629">
        <v>45740</v>
      </c>
      <c r="F4381" s="217">
        <v>54.3</v>
      </c>
      <c r="G4381" s="217">
        <v>51.2</v>
      </c>
      <c r="H4381" s="217">
        <v>51</v>
      </c>
      <c r="I4381" s="998"/>
      <c r="J4381" s="999"/>
      <c r="K4381" s="1000"/>
      <c r="L4381" s="102"/>
      <c r="M4381" s="103"/>
    </row>
    <row r="4382" spans="4:13" ht="25" thickBot="1">
      <c r="D4382">
        <v>1</v>
      </c>
      <c r="E4382" s="756" t="s">
        <v>30</v>
      </c>
      <c r="F4382" s="1066" t="s">
        <v>1503</v>
      </c>
      <c r="G4382" s="1067"/>
      <c r="H4382" s="1068"/>
      <c r="I4382" s="1069" t="s">
        <v>633</v>
      </c>
      <c r="J4382" s="1070"/>
      <c r="K4382" s="1071"/>
      <c r="L4382" s="158" t="s">
        <v>430</v>
      </c>
      <c r="M4382" s="105" t="s">
        <v>431</v>
      </c>
    </row>
    <row r="4383" spans="4:13" ht="24">
      <c r="E4383" s="625" t="s">
        <v>432</v>
      </c>
      <c r="F4383" s="992"/>
      <c r="G4383" s="993"/>
      <c r="H4383" s="994"/>
      <c r="I4383" s="995" t="s">
        <v>1631</v>
      </c>
      <c r="J4383" s="996"/>
      <c r="K4383" s="997"/>
      <c r="L4383" s="99"/>
      <c r="M4383" s="100"/>
    </row>
    <row r="4384" spans="4:13" ht="24">
      <c r="E4384" s="626" t="s">
        <v>433</v>
      </c>
      <c r="F4384" s="1072"/>
      <c r="G4384" s="1073"/>
      <c r="H4384" s="1074"/>
      <c r="I4384" s="995"/>
      <c r="J4384" s="996"/>
      <c r="K4384" s="997"/>
      <c r="L4384" s="99"/>
      <c r="M4384" s="100"/>
    </row>
    <row r="4385" spans="4:13" ht="25" thickBot="1">
      <c r="E4385" s="626" t="s">
        <v>434</v>
      </c>
      <c r="F4385" s="1063" t="s">
        <v>1972</v>
      </c>
      <c r="G4385" s="1064"/>
      <c r="H4385" s="1065"/>
      <c r="I4385" s="995"/>
      <c r="J4385" s="996"/>
      <c r="K4385" s="997"/>
      <c r="L4385" s="99"/>
      <c r="M4385" s="100"/>
    </row>
    <row r="4386" spans="4:13" ht="25" thickBot="1">
      <c r="E4386" s="627" t="s">
        <v>435</v>
      </c>
      <c r="F4386" s="1007">
        <v>0.60416666666666674</v>
      </c>
      <c r="G4386" s="1008"/>
      <c r="H4386" s="1009"/>
      <c r="I4386" s="995"/>
      <c r="J4386" s="996"/>
      <c r="K4386" s="997"/>
      <c r="L4386" s="647">
        <v>0.83333333333333337</v>
      </c>
      <c r="M4386" s="648">
        <v>0.72916666666666674</v>
      </c>
    </row>
    <row r="4387" spans="4:13" ht="25" thickBot="1">
      <c r="E4387" s="628" t="s">
        <v>436</v>
      </c>
      <c r="F4387" s="200" t="s">
        <v>29</v>
      </c>
      <c r="G4387" s="200" t="s">
        <v>28</v>
      </c>
      <c r="H4387" s="201" t="s">
        <v>27</v>
      </c>
      <c r="I4387" s="995"/>
      <c r="J4387" s="996"/>
      <c r="K4387" s="997"/>
      <c r="L4387" s="99"/>
      <c r="M4387" s="100"/>
    </row>
    <row r="4388" spans="4:13" ht="24">
      <c r="E4388" s="629">
        <v>45763</v>
      </c>
      <c r="F4388" s="634" t="s">
        <v>2003</v>
      </c>
      <c r="G4388" s="634" t="s">
        <v>1030</v>
      </c>
      <c r="H4388" s="634" t="s">
        <v>1957</v>
      </c>
      <c r="I4388" s="995"/>
      <c r="J4388" s="996"/>
      <c r="K4388" s="997"/>
      <c r="L4388" s="99"/>
      <c r="M4388" s="100"/>
    </row>
    <row r="4389" spans="4:13" ht="24">
      <c r="E4389" s="629">
        <v>45756</v>
      </c>
      <c r="F4389" s="634" t="s">
        <v>1957</v>
      </c>
      <c r="G4389" s="634" t="s">
        <v>1602</v>
      </c>
      <c r="H4389" s="634" t="s">
        <v>1899</v>
      </c>
      <c r="I4389" s="995"/>
      <c r="J4389" s="996"/>
      <c r="K4389" s="997"/>
      <c r="L4389" s="99"/>
      <c r="M4389" s="100"/>
    </row>
    <row r="4390" spans="4:13" ht="24">
      <c r="E4390" s="629">
        <v>45749</v>
      </c>
      <c r="F4390" s="634" t="s">
        <v>1899</v>
      </c>
      <c r="G4390" s="634" t="s">
        <v>1926</v>
      </c>
      <c r="H4390" s="634" t="s">
        <v>1840</v>
      </c>
      <c r="I4390" s="995"/>
      <c r="J4390" s="996"/>
      <c r="K4390" s="997"/>
      <c r="L4390" s="649"/>
      <c r="M4390" s="100"/>
    </row>
    <row r="4391" spans="4:13" ht="24">
      <c r="E4391" s="629">
        <v>45742</v>
      </c>
      <c r="F4391" s="634" t="s">
        <v>1840</v>
      </c>
      <c r="G4391" s="634" t="s">
        <v>991</v>
      </c>
      <c r="H4391" s="634" t="s">
        <v>1696</v>
      </c>
      <c r="I4391" s="995"/>
      <c r="J4391" s="996"/>
      <c r="K4391" s="997"/>
      <c r="L4391" s="99"/>
      <c r="M4391" s="100"/>
    </row>
    <row r="4392" spans="4:13" ht="24">
      <c r="E4392" s="629">
        <v>45735</v>
      </c>
      <c r="F4392" s="634" t="s">
        <v>1696</v>
      </c>
      <c r="G4392" s="634" t="s">
        <v>993</v>
      </c>
      <c r="H4392" s="634" t="s">
        <v>1697</v>
      </c>
      <c r="I4392" s="995"/>
      <c r="J4392" s="996"/>
      <c r="K4392" s="997"/>
      <c r="L4392" s="99"/>
      <c r="M4392" s="100"/>
    </row>
    <row r="4393" spans="4:13" ht="25" thickBot="1">
      <c r="E4393" s="629">
        <v>45728</v>
      </c>
      <c r="F4393" s="634" t="s">
        <v>1697</v>
      </c>
      <c r="G4393" s="634" t="s">
        <v>1698</v>
      </c>
      <c r="H4393" s="634" t="s">
        <v>1699</v>
      </c>
      <c r="I4393" s="998"/>
      <c r="J4393" s="999"/>
      <c r="K4393" s="1000"/>
      <c r="L4393" s="102"/>
      <c r="M4393" s="103"/>
    </row>
    <row r="4394" spans="4:13" ht="25" thickBot="1">
      <c r="D4394">
        <v>1</v>
      </c>
      <c r="E4394" s="624" t="s">
        <v>30</v>
      </c>
      <c r="F4394" s="1057" t="s">
        <v>1973</v>
      </c>
      <c r="G4394" s="1058"/>
      <c r="H4394" s="1059"/>
      <c r="I4394" s="1060" t="s">
        <v>633</v>
      </c>
      <c r="J4394" s="1061"/>
      <c r="K4394" s="1062"/>
      <c r="L4394" s="158" t="s">
        <v>430</v>
      </c>
      <c r="M4394" s="105" t="s">
        <v>431</v>
      </c>
    </row>
    <row r="4395" spans="4:13" ht="24">
      <c r="E4395" s="625" t="s">
        <v>432</v>
      </c>
      <c r="F4395" s="992"/>
      <c r="G4395" s="993"/>
      <c r="H4395" s="994"/>
      <c r="I4395" s="995" t="s">
        <v>1631</v>
      </c>
      <c r="J4395" s="996"/>
      <c r="K4395" s="997"/>
      <c r="L4395" s="99"/>
      <c r="M4395" s="100"/>
    </row>
    <row r="4396" spans="4:13" ht="24">
      <c r="E4396" s="626" t="s">
        <v>433</v>
      </c>
      <c r="F4396" s="1072"/>
      <c r="G4396" s="1073"/>
      <c r="H4396" s="1074"/>
      <c r="I4396" s="995"/>
      <c r="J4396" s="996"/>
      <c r="K4396" s="997"/>
      <c r="L4396" s="99"/>
      <c r="M4396" s="100"/>
    </row>
    <row r="4397" spans="4:13" ht="25" thickBot="1">
      <c r="E4397" s="626" t="s">
        <v>434</v>
      </c>
      <c r="F4397" s="1063">
        <v>0.01</v>
      </c>
      <c r="G4397" s="1064"/>
      <c r="H4397" s="1065"/>
      <c r="I4397" s="995"/>
      <c r="J4397" s="996"/>
      <c r="K4397" s="997"/>
      <c r="L4397" s="99"/>
      <c r="M4397" s="100"/>
    </row>
    <row r="4398" spans="4:13" ht="25" thickBot="1">
      <c r="E4398" s="627" t="s">
        <v>435</v>
      </c>
      <c r="F4398" s="1007">
        <v>0.52083333333333337</v>
      </c>
      <c r="G4398" s="1008"/>
      <c r="H4398" s="1009"/>
      <c r="I4398" s="995"/>
      <c r="J4398" s="996"/>
      <c r="K4398" s="997"/>
      <c r="L4398" s="647">
        <v>0.75</v>
      </c>
      <c r="M4398" s="648">
        <v>0.64583333333333337</v>
      </c>
    </row>
    <row r="4399" spans="4:13" ht="25" thickBot="1">
      <c r="E4399" s="628" t="s">
        <v>436</v>
      </c>
      <c r="F4399" s="200" t="s">
        <v>29</v>
      </c>
      <c r="G4399" s="200" t="s">
        <v>28</v>
      </c>
      <c r="H4399" s="201" t="s">
        <v>27</v>
      </c>
      <c r="I4399" s="995"/>
      <c r="J4399" s="996"/>
      <c r="K4399" s="997"/>
      <c r="L4399" s="99"/>
      <c r="M4399" s="100"/>
    </row>
    <row r="4400" spans="4:13" ht="23">
      <c r="E4400" s="629">
        <v>45742</v>
      </c>
      <c r="F4400" s="634">
        <v>8.9999999999999993E-3</v>
      </c>
      <c r="G4400" s="634">
        <v>-1.0999999999999999E-2</v>
      </c>
      <c r="H4400" s="634">
        <v>3.3000000000000002E-2</v>
      </c>
      <c r="I4400" s="995"/>
      <c r="J4400" s="996"/>
      <c r="K4400" s="997"/>
      <c r="L4400" s="99"/>
      <c r="M4400" s="100"/>
    </row>
    <row r="4401" spans="4:13" ht="23">
      <c r="E4401" s="629">
        <v>45715</v>
      </c>
      <c r="F4401" s="634">
        <v>3.1E-2</v>
      </c>
      <c r="G4401" s="634">
        <v>0.02</v>
      </c>
      <c r="H4401" s="634">
        <v>-1.7999999999999999E-2</v>
      </c>
      <c r="I4401" s="995"/>
      <c r="J4401" s="996"/>
      <c r="K4401" s="997"/>
      <c r="L4401" s="99"/>
      <c r="M4401" s="100"/>
    </row>
    <row r="4402" spans="4:13" ht="23">
      <c r="E4402" s="629">
        <v>45685</v>
      </c>
      <c r="F4402" s="634">
        <v>-2.1999999999999999E-2</v>
      </c>
      <c r="G4402" s="634">
        <v>3.0000000000000001E-3</v>
      </c>
      <c r="H4402" s="634">
        <v>-0.02</v>
      </c>
      <c r="I4402" s="995"/>
      <c r="J4402" s="996"/>
      <c r="K4402" s="997"/>
      <c r="L4402" s="649"/>
      <c r="M4402" s="100"/>
    </row>
    <row r="4403" spans="4:13" ht="23">
      <c r="E4403" s="629">
        <v>45649</v>
      </c>
      <c r="F4403" s="634">
        <v>-1.0999999999999999E-2</v>
      </c>
      <c r="G4403" s="634">
        <v>-3.0000000000000001E-3</v>
      </c>
      <c r="H4403" s="634">
        <v>8.0000000000000002E-3</v>
      </c>
      <c r="I4403" s="995"/>
      <c r="J4403" s="996"/>
      <c r="K4403" s="997"/>
      <c r="L4403" s="99"/>
      <c r="M4403" s="100"/>
    </row>
    <row r="4404" spans="4:13" ht="23">
      <c r="E4404" s="629">
        <v>45623</v>
      </c>
      <c r="F4404" s="634">
        <v>2E-3</v>
      </c>
      <c r="G4404" s="634">
        <v>-8.0000000000000002E-3</v>
      </c>
      <c r="H4404" s="634">
        <v>-4.0000000000000001E-3</v>
      </c>
      <c r="I4404" s="995"/>
      <c r="J4404" s="996"/>
      <c r="K4404" s="997"/>
      <c r="L4404" s="99"/>
      <c r="M4404" s="100"/>
    </row>
    <row r="4405" spans="4:13" ht="24" thickBot="1">
      <c r="E4405" s="629">
        <v>45590</v>
      </c>
      <c r="F4405" s="634">
        <v>-8.0000000000000002E-3</v>
      </c>
      <c r="G4405" s="634">
        <v>-1.0999999999999999E-2</v>
      </c>
      <c r="H4405" s="634">
        <v>-8.0000000000000002E-3</v>
      </c>
      <c r="I4405" s="998"/>
      <c r="J4405" s="999"/>
      <c r="K4405" s="1000"/>
      <c r="L4405" s="102"/>
      <c r="M4405" s="103"/>
    </row>
    <row r="4406" spans="4:13" ht="25" thickBot="1">
      <c r="D4406">
        <v>1</v>
      </c>
      <c r="E4406" s="624" t="s">
        <v>30</v>
      </c>
      <c r="F4406" s="1057" t="s">
        <v>1421</v>
      </c>
      <c r="G4406" s="1058"/>
      <c r="H4406" s="1059"/>
      <c r="I4406" s="1060" t="s">
        <v>633</v>
      </c>
      <c r="J4406" s="1061"/>
      <c r="K4406" s="1062"/>
      <c r="L4406" s="158" t="s">
        <v>430</v>
      </c>
      <c r="M4406" s="105" t="s">
        <v>431</v>
      </c>
    </row>
    <row r="4407" spans="4:13" ht="24">
      <c r="E4407" s="625" t="s">
        <v>432</v>
      </c>
      <c r="F4407" s="992"/>
      <c r="G4407" s="993"/>
      <c r="H4407" s="994"/>
      <c r="I4407" s="995" t="s">
        <v>1460</v>
      </c>
      <c r="J4407" s="996"/>
      <c r="K4407" s="997"/>
      <c r="L4407" s="99"/>
      <c r="M4407" s="100"/>
    </row>
    <row r="4408" spans="4:13" ht="24">
      <c r="E4408" s="626" t="s">
        <v>433</v>
      </c>
      <c r="F4408" s="1072"/>
      <c r="G4408" s="1073"/>
      <c r="H4408" s="1074"/>
      <c r="I4408" s="995"/>
      <c r="J4408" s="996"/>
      <c r="K4408" s="997"/>
      <c r="L4408" s="99"/>
      <c r="M4408" s="100"/>
    </row>
    <row r="4409" spans="4:13" ht="25" thickBot="1">
      <c r="E4409" s="626" t="s">
        <v>434</v>
      </c>
      <c r="F4409" s="1063"/>
      <c r="G4409" s="1064"/>
      <c r="H4409" s="1065"/>
      <c r="I4409" s="995"/>
      <c r="J4409" s="996"/>
      <c r="K4409" s="997"/>
      <c r="L4409" s="99"/>
      <c r="M4409" s="100"/>
    </row>
    <row r="4410" spans="4:13" ht="25" thickBot="1">
      <c r="E4410" s="627" t="s">
        <v>435</v>
      </c>
      <c r="F4410" s="1007">
        <v>0.52083333333333337</v>
      </c>
      <c r="G4410" s="1008"/>
      <c r="H4410" s="1009"/>
      <c r="I4410" s="995"/>
      <c r="J4410" s="996"/>
      <c r="K4410" s="997"/>
      <c r="L4410" s="647">
        <v>0.75</v>
      </c>
      <c r="M4410" s="648">
        <v>0.64583333333333337</v>
      </c>
    </row>
    <row r="4411" spans="4:13" ht="25" thickBot="1">
      <c r="E4411" s="628" t="s">
        <v>436</v>
      </c>
      <c r="F4411" s="200" t="s">
        <v>29</v>
      </c>
      <c r="G4411" s="200" t="s">
        <v>28</v>
      </c>
      <c r="H4411" s="201" t="s">
        <v>27</v>
      </c>
      <c r="I4411" s="995"/>
      <c r="J4411" s="996"/>
      <c r="K4411" s="997"/>
      <c r="L4411" s="99"/>
      <c r="M4411" s="100"/>
    </row>
    <row r="4412" spans="4:13" ht="24">
      <c r="E4412" s="629">
        <v>45764</v>
      </c>
      <c r="F4412" s="634" t="s">
        <v>1232</v>
      </c>
      <c r="G4412" s="634" t="s">
        <v>985</v>
      </c>
      <c r="H4412" s="634" t="s">
        <v>1032</v>
      </c>
      <c r="I4412" s="995"/>
      <c r="J4412" s="996"/>
      <c r="K4412" s="997"/>
      <c r="L4412" s="99"/>
      <c r="M4412" s="100"/>
    </row>
    <row r="4413" spans="4:13" ht="24">
      <c r="E4413" s="629">
        <v>45757</v>
      </c>
      <c r="F4413" s="634" t="s">
        <v>973</v>
      </c>
      <c r="G4413" s="634" t="s">
        <v>973</v>
      </c>
      <c r="H4413" s="634" t="s">
        <v>987</v>
      </c>
      <c r="I4413" s="995"/>
      <c r="J4413" s="996"/>
      <c r="K4413" s="997"/>
      <c r="L4413" s="99"/>
      <c r="M4413" s="100"/>
    </row>
    <row r="4414" spans="4:13" ht="24">
      <c r="E4414" s="629">
        <v>45750</v>
      </c>
      <c r="F4414" s="634" t="s">
        <v>987</v>
      </c>
      <c r="G4414" s="634" t="s">
        <v>985</v>
      </c>
      <c r="H4414" s="634" t="s">
        <v>985</v>
      </c>
      <c r="I4414" s="995"/>
      <c r="J4414" s="996"/>
      <c r="K4414" s="997"/>
      <c r="L4414" s="649"/>
      <c r="M4414" s="100"/>
    </row>
    <row r="4415" spans="4:13" ht="24">
      <c r="E4415" s="629">
        <v>45743</v>
      </c>
      <c r="F4415" s="634" t="s">
        <v>1032</v>
      </c>
      <c r="G4415" s="634" t="s">
        <v>985</v>
      </c>
      <c r="H4415" s="634" t="s">
        <v>985</v>
      </c>
      <c r="I4415" s="995"/>
      <c r="J4415" s="996"/>
      <c r="K4415" s="997"/>
      <c r="L4415" s="99"/>
      <c r="M4415" s="100"/>
    </row>
    <row r="4416" spans="4:13" ht="24">
      <c r="E4416" s="629">
        <v>45736</v>
      </c>
      <c r="F4416" s="634" t="s">
        <v>973</v>
      </c>
      <c r="G4416" s="634" t="s">
        <v>1032</v>
      </c>
      <c r="H4416" s="634" t="s">
        <v>972</v>
      </c>
      <c r="I4416" s="995"/>
      <c r="J4416" s="996"/>
      <c r="K4416" s="997"/>
      <c r="L4416" s="99"/>
      <c r="M4416" s="100"/>
    </row>
    <row r="4417" spans="4:13" ht="25" thickBot="1">
      <c r="E4417" s="629">
        <v>45729</v>
      </c>
      <c r="F4417" s="634" t="s">
        <v>1112</v>
      </c>
      <c r="G4417" s="634" t="s">
        <v>1703</v>
      </c>
      <c r="H4417" s="634" t="s">
        <v>986</v>
      </c>
      <c r="I4417" s="998"/>
      <c r="J4417" s="999"/>
      <c r="K4417" s="1000"/>
      <c r="L4417" s="102"/>
      <c r="M4417" s="103"/>
    </row>
    <row r="4418" spans="4:13" ht="25" thickBot="1">
      <c r="D4418">
        <v>1</v>
      </c>
      <c r="E4418" s="756" t="s">
        <v>30</v>
      </c>
      <c r="F4418" s="1066" t="s">
        <v>1974</v>
      </c>
      <c r="G4418" s="1067"/>
      <c r="H4418" s="1068"/>
      <c r="I4418" s="1069" t="s">
        <v>633</v>
      </c>
      <c r="J4418" s="1070"/>
      <c r="K4418" s="1071"/>
      <c r="L4418" s="158" t="s">
        <v>430</v>
      </c>
      <c r="M4418" s="105" t="s">
        <v>431</v>
      </c>
    </row>
    <row r="4419" spans="4:13" ht="24">
      <c r="E4419" s="625" t="s">
        <v>432</v>
      </c>
      <c r="F4419" s="992"/>
      <c r="G4419" s="993"/>
      <c r="H4419" s="994"/>
      <c r="I4419" s="995" t="s">
        <v>1976</v>
      </c>
      <c r="J4419" s="996"/>
      <c r="K4419" s="997"/>
      <c r="L4419" s="99"/>
      <c r="M4419" s="100"/>
    </row>
    <row r="4420" spans="4:13" ht="24">
      <c r="E4420" s="626" t="s">
        <v>433</v>
      </c>
      <c r="F4420" s="1072"/>
      <c r="G4420" s="1073"/>
      <c r="H4420" s="1074"/>
      <c r="I4420" s="995"/>
      <c r="J4420" s="996"/>
      <c r="K4420" s="997"/>
      <c r="L4420" s="99"/>
      <c r="M4420" s="100"/>
    </row>
    <row r="4421" spans="4:13" ht="25" thickBot="1">
      <c r="E4421" s="626" t="s">
        <v>434</v>
      </c>
      <c r="F4421" s="1063" t="s">
        <v>1975</v>
      </c>
      <c r="G4421" s="1064"/>
      <c r="H4421" s="1065"/>
      <c r="I4421" s="995"/>
      <c r="J4421" s="996"/>
      <c r="K4421" s="997"/>
      <c r="L4421" s="99"/>
      <c r="M4421" s="100"/>
    </row>
    <row r="4422" spans="4:13" ht="25" thickBot="1">
      <c r="E4422" s="627" t="s">
        <v>435</v>
      </c>
      <c r="F4422" s="1007">
        <v>0.58333333333333337</v>
      </c>
      <c r="G4422" s="1008"/>
      <c r="H4422" s="1009"/>
      <c r="I4422" s="995"/>
      <c r="J4422" s="996"/>
      <c r="K4422" s="997"/>
      <c r="L4422" s="647">
        <v>0.8125</v>
      </c>
      <c r="M4422" s="648">
        <v>0.70833333333333337</v>
      </c>
    </row>
    <row r="4423" spans="4:13" ht="25" thickBot="1">
      <c r="E4423" s="628" t="s">
        <v>436</v>
      </c>
      <c r="F4423" s="200" t="s">
        <v>29</v>
      </c>
      <c r="G4423" s="200" t="s">
        <v>28</v>
      </c>
      <c r="H4423" s="201" t="s">
        <v>27</v>
      </c>
      <c r="I4423" s="995"/>
      <c r="J4423" s="996"/>
      <c r="K4423" s="997"/>
      <c r="L4423" s="99"/>
      <c r="M4423" s="100"/>
    </row>
    <row r="4424" spans="4:13" ht="24">
      <c r="E4424" s="629">
        <v>45736</v>
      </c>
      <c r="F4424" s="634" t="s">
        <v>2004</v>
      </c>
      <c r="G4424" s="634" t="s">
        <v>1044</v>
      </c>
      <c r="H4424" s="634" t="s">
        <v>1541</v>
      </c>
      <c r="I4424" s="995"/>
      <c r="J4424" s="996"/>
      <c r="K4424" s="997"/>
      <c r="L4424" s="99"/>
      <c r="M4424" s="100"/>
    </row>
    <row r="4425" spans="4:13" ht="24">
      <c r="E4425" s="629">
        <v>45709</v>
      </c>
      <c r="F4425" s="634" t="s">
        <v>1050</v>
      </c>
      <c r="G4425" s="634" t="s">
        <v>2005</v>
      </c>
      <c r="H4425" s="634" t="s">
        <v>2006</v>
      </c>
      <c r="I4425" s="995"/>
      <c r="J4425" s="996"/>
      <c r="K4425" s="997"/>
      <c r="L4425" s="99"/>
      <c r="M4425" s="100"/>
    </row>
    <row r="4426" spans="4:13" ht="24">
      <c r="E4426" s="629">
        <v>45681</v>
      </c>
      <c r="F4426" s="634" t="s">
        <v>2007</v>
      </c>
      <c r="G4426" s="634" t="s">
        <v>2008</v>
      </c>
      <c r="H4426" s="634" t="s">
        <v>1540</v>
      </c>
      <c r="I4426" s="995"/>
      <c r="J4426" s="996"/>
      <c r="K4426" s="997"/>
      <c r="L4426" s="649"/>
      <c r="M4426" s="100"/>
    </row>
    <row r="4427" spans="4:13" ht="24">
      <c r="E4427" s="629">
        <v>45645</v>
      </c>
      <c r="F4427" s="634" t="s">
        <v>1540</v>
      </c>
      <c r="G4427" s="634" t="s">
        <v>1541</v>
      </c>
      <c r="H4427" s="634" t="s">
        <v>1043</v>
      </c>
      <c r="I4427" s="995"/>
      <c r="J4427" s="996"/>
      <c r="K4427" s="997"/>
      <c r="L4427" s="99"/>
      <c r="M4427" s="100"/>
    </row>
    <row r="4428" spans="4:13" ht="24">
      <c r="E4428" s="629">
        <v>45617</v>
      </c>
      <c r="F4428" s="634" t="s">
        <v>1043</v>
      </c>
      <c r="G4428" s="634" t="s">
        <v>1044</v>
      </c>
      <c r="H4428" s="634" t="s">
        <v>1293</v>
      </c>
      <c r="I4428" s="995"/>
      <c r="J4428" s="996"/>
      <c r="K4428" s="997"/>
      <c r="L4428" s="99"/>
      <c r="M4428" s="100"/>
    </row>
    <row r="4429" spans="4:13" ht="25" thickBot="1">
      <c r="E4429" s="629">
        <v>45588</v>
      </c>
      <c r="F4429" s="634" t="s">
        <v>1039</v>
      </c>
      <c r="G4429" s="634" t="s">
        <v>1040</v>
      </c>
      <c r="H4429" s="634" t="s">
        <v>1040</v>
      </c>
      <c r="I4429" s="998"/>
      <c r="J4429" s="999"/>
      <c r="K4429" s="1000"/>
      <c r="L4429" s="102"/>
      <c r="M4429" s="103"/>
    </row>
    <row r="4430" spans="4:13" ht="25" thickBot="1">
      <c r="D4430">
        <v>1</v>
      </c>
      <c r="E4430" s="756" t="s">
        <v>30</v>
      </c>
      <c r="F4430" s="1066" t="s">
        <v>1977</v>
      </c>
      <c r="G4430" s="1067"/>
      <c r="H4430" s="1068"/>
      <c r="I4430" s="1069" t="s">
        <v>633</v>
      </c>
      <c r="J4430" s="1070"/>
      <c r="K4430" s="1071"/>
      <c r="L4430" s="158" t="s">
        <v>430</v>
      </c>
      <c r="M4430" s="105" t="s">
        <v>431</v>
      </c>
    </row>
    <row r="4431" spans="4:13" ht="24">
      <c r="E4431" s="625" t="s">
        <v>432</v>
      </c>
      <c r="F4431" s="992"/>
      <c r="G4431" s="993"/>
      <c r="H4431" s="994"/>
      <c r="I4431" s="995" t="s">
        <v>1965</v>
      </c>
      <c r="J4431" s="996"/>
      <c r="K4431" s="997"/>
      <c r="L4431" s="99"/>
      <c r="M4431" s="100"/>
    </row>
    <row r="4432" spans="4:13" ht="24">
      <c r="E4432" s="626" t="s">
        <v>433</v>
      </c>
      <c r="F4432" s="1072"/>
      <c r="G4432" s="1073"/>
      <c r="H4432" s="1074"/>
      <c r="I4432" s="995"/>
      <c r="J4432" s="996"/>
      <c r="K4432" s="997"/>
      <c r="L4432" s="99"/>
      <c r="M4432" s="100"/>
    </row>
    <row r="4433" spans="4:13" ht="25" thickBot="1">
      <c r="E4433" s="626" t="s">
        <v>434</v>
      </c>
      <c r="F4433" s="1063" t="s">
        <v>1347</v>
      </c>
      <c r="G4433" s="1064"/>
      <c r="H4433" s="1065"/>
      <c r="I4433" s="995"/>
      <c r="J4433" s="996"/>
      <c r="K4433" s="997"/>
      <c r="L4433" s="99"/>
      <c r="M4433" s="100"/>
    </row>
    <row r="4434" spans="4:13" ht="25" thickBot="1">
      <c r="E4434" s="627" t="s">
        <v>435</v>
      </c>
      <c r="F4434" s="1007">
        <v>0.58333333333333337</v>
      </c>
      <c r="G4434" s="1008"/>
      <c r="H4434" s="1009"/>
      <c r="I4434" s="995"/>
      <c r="J4434" s="996"/>
      <c r="K4434" s="997"/>
      <c r="L4434" s="647">
        <v>0.8125</v>
      </c>
      <c r="M4434" s="648">
        <v>0.70833333333333337</v>
      </c>
    </row>
    <row r="4435" spans="4:13" ht="25" thickBot="1">
      <c r="E4435" s="628" t="s">
        <v>436</v>
      </c>
      <c r="F4435" s="200" t="s">
        <v>29</v>
      </c>
      <c r="G4435" s="200" t="s">
        <v>28</v>
      </c>
      <c r="H4435" s="201" t="s">
        <v>27</v>
      </c>
      <c r="I4435" s="995"/>
      <c r="J4435" s="996"/>
      <c r="K4435" s="997"/>
      <c r="L4435" s="99"/>
      <c r="M4435" s="100"/>
    </row>
    <row r="4436" spans="4:13" ht="24">
      <c r="E4436" s="629">
        <v>45692</v>
      </c>
      <c r="F4436" s="769" t="s">
        <v>1992</v>
      </c>
      <c r="G4436" s="769" t="s">
        <v>1991</v>
      </c>
      <c r="H4436" s="634"/>
      <c r="I4436" s="995"/>
      <c r="J4436" s="996"/>
      <c r="K4436" s="997"/>
      <c r="L4436" s="99"/>
      <c r="M4436" s="100"/>
    </row>
    <row r="4437" spans="4:13" ht="24">
      <c r="E4437" s="629">
        <v>45594</v>
      </c>
      <c r="F4437" s="769" t="s">
        <v>1991</v>
      </c>
      <c r="G4437" s="769" t="s">
        <v>1993</v>
      </c>
      <c r="H4437" s="634"/>
      <c r="I4437" s="995"/>
      <c r="J4437" s="996"/>
      <c r="K4437" s="997"/>
      <c r="L4437" s="99"/>
      <c r="M4437" s="100"/>
    </row>
    <row r="4438" spans="4:13" ht="24">
      <c r="E4438" s="629">
        <v>45496</v>
      </c>
      <c r="F4438" s="769" t="s">
        <v>1995</v>
      </c>
      <c r="G4438" s="769" t="s">
        <v>1994</v>
      </c>
      <c r="H4438" s="634"/>
      <c r="I4438" s="995"/>
      <c r="J4438" s="996"/>
      <c r="K4438" s="997"/>
      <c r="L4438" s="649"/>
      <c r="M4438" s="100"/>
    </row>
    <row r="4439" spans="4:13" ht="24">
      <c r="E4439" s="629">
        <v>45407</v>
      </c>
      <c r="F4439" s="769" t="s">
        <v>1995</v>
      </c>
      <c r="G4439" s="769" t="s">
        <v>1996</v>
      </c>
      <c r="H4439" s="634"/>
      <c r="I4439" s="995"/>
      <c r="J4439" s="996"/>
      <c r="K4439" s="997"/>
      <c r="L4439" s="99"/>
      <c r="M4439" s="100"/>
    </row>
    <row r="4440" spans="4:13" ht="24">
      <c r="E4440" s="629">
        <v>45321</v>
      </c>
      <c r="F4440" s="769" t="s">
        <v>1998</v>
      </c>
      <c r="G4440" s="769" t="s">
        <v>1997</v>
      </c>
      <c r="H4440" s="634"/>
      <c r="I4440" s="995"/>
      <c r="J4440" s="996"/>
      <c r="K4440" s="997"/>
      <c r="L4440" s="99"/>
      <c r="M4440" s="100"/>
    </row>
    <row r="4441" spans="4:13" ht="25" thickBot="1">
      <c r="E4441" s="629">
        <v>45223</v>
      </c>
      <c r="F4441" s="769" t="s">
        <v>2000</v>
      </c>
      <c r="G4441" s="769" t="s">
        <v>1999</v>
      </c>
      <c r="H4441" s="634"/>
      <c r="I4441" s="998"/>
      <c r="J4441" s="999"/>
      <c r="K4441" s="1000"/>
      <c r="L4441" s="102"/>
      <c r="M4441" s="103"/>
    </row>
    <row r="4442" spans="4:13" ht="25" thickBot="1">
      <c r="D4442">
        <v>1</v>
      </c>
      <c r="E4442" s="624" t="s">
        <v>30</v>
      </c>
      <c r="F4442" s="1057" t="s">
        <v>1979</v>
      </c>
      <c r="G4442" s="1058"/>
      <c r="H4442" s="1059"/>
      <c r="I4442" s="1060" t="s">
        <v>633</v>
      </c>
      <c r="J4442" s="1061"/>
      <c r="K4442" s="1062"/>
      <c r="L4442" s="158" t="s">
        <v>430</v>
      </c>
      <c r="M4442" s="105" t="s">
        <v>431</v>
      </c>
    </row>
    <row r="4443" spans="4:13" ht="24">
      <c r="E4443" s="625" t="s">
        <v>432</v>
      </c>
      <c r="F4443" s="992"/>
      <c r="G4443" s="993"/>
      <c r="H4443" s="994"/>
      <c r="I4443" s="995" t="s">
        <v>1963</v>
      </c>
      <c r="J4443" s="996"/>
      <c r="K4443" s="997"/>
      <c r="L4443" s="99"/>
      <c r="M4443" s="100"/>
    </row>
    <row r="4444" spans="4:13" ht="24">
      <c r="E4444" s="626" t="s">
        <v>433</v>
      </c>
      <c r="F4444" s="1063"/>
      <c r="G4444" s="1064"/>
      <c r="H4444" s="1065"/>
      <c r="I4444" s="995"/>
      <c r="J4444" s="996"/>
      <c r="K4444" s="997"/>
      <c r="L4444" s="99"/>
      <c r="M4444" s="100"/>
    </row>
    <row r="4445" spans="4:13" ht="25" thickBot="1">
      <c r="E4445" s="626" t="s">
        <v>434</v>
      </c>
      <c r="F4445" s="1063">
        <v>0</v>
      </c>
      <c r="G4445" s="1064"/>
      <c r="H4445" s="1065"/>
      <c r="I4445" s="995"/>
      <c r="J4445" s="996"/>
      <c r="K4445" s="997"/>
      <c r="L4445" s="99"/>
      <c r="M4445" s="100"/>
    </row>
    <row r="4446" spans="4:13" ht="25" thickBot="1">
      <c r="E4446" s="627" t="s">
        <v>435</v>
      </c>
      <c r="F4446" s="1007" t="e">
        <v>#VALUE!</v>
      </c>
      <c r="G4446" s="1008"/>
      <c r="H4446" s="1009"/>
      <c r="I4446" s="995"/>
      <c r="J4446" s="996"/>
      <c r="K4446" s="997"/>
      <c r="L4446" s="647" t="s">
        <v>1449</v>
      </c>
      <c r="M4446" s="648" t="e">
        <v>#VALUE!</v>
      </c>
    </row>
    <row r="4447" spans="4:13" ht="25" thickBot="1">
      <c r="E4447" s="628" t="s">
        <v>436</v>
      </c>
      <c r="F4447" s="200" t="s">
        <v>29</v>
      </c>
      <c r="G4447" s="200" t="s">
        <v>28</v>
      </c>
      <c r="H4447" s="201" t="s">
        <v>27</v>
      </c>
      <c r="I4447" s="995"/>
      <c r="J4447" s="996"/>
      <c r="K4447" s="997"/>
      <c r="L4447" s="99"/>
      <c r="M4447" s="100"/>
    </row>
    <row r="4448" spans="4:13" ht="23">
      <c r="E4448" s="629">
        <v>45748</v>
      </c>
      <c r="F4448" s="634">
        <v>2.1999999999999999E-2</v>
      </c>
      <c r="G4448" s="634">
        <v>2.1999999999999999E-2</v>
      </c>
      <c r="H4448" s="634">
        <v>2.3E-2</v>
      </c>
      <c r="I4448" s="995"/>
      <c r="J4448" s="996"/>
      <c r="K4448" s="997"/>
      <c r="L4448" s="99"/>
      <c r="M4448" s="100"/>
    </row>
    <row r="4449" spans="4:13" ht="23">
      <c r="E4449" s="629">
        <v>45735</v>
      </c>
      <c r="F4449" s="634">
        <v>2.3E-2</v>
      </c>
      <c r="G4449" s="634">
        <v>2.4E-2</v>
      </c>
      <c r="H4449" s="634">
        <v>2.5000000000000001E-2</v>
      </c>
      <c r="I4449" s="995"/>
      <c r="J4449" s="996"/>
      <c r="K4449" s="997"/>
      <c r="L4449" s="99"/>
      <c r="M4449" s="100"/>
    </row>
    <row r="4450" spans="4:13" ht="23">
      <c r="E4450" s="629">
        <v>45719</v>
      </c>
      <c r="F4450" s="634">
        <v>2.4E-2</v>
      </c>
      <c r="G4450" s="634">
        <v>2.3E-2</v>
      </c>
      <c r="H4450" s="634">
        <v>2.5000000000000001E-2</v>
      </c>
      <c r="I4450" s="995"/>
      <c r="J4450" s="996"/>
      <c r="K4450" s="997"/>
      <c r="L4450" s="649"/>
      <c r="M4450" s="100"/>
    </row>
    <row r="4451" spans="4:13" ht="23">
      <c r="E4451" s="629">
        <v>45712</v>
      </c>
      <c r="F4451" s="634">
        <v>2.5000000000000001E-2</v>
      </c>
      <c r="G4451" s="634">
        <v>2.5000000000000001E-2</v>
      </c>
      <c r="H4451" s="634">
        <v>2.4E-2</v>
      </c>
      <c r="I4451" s="995"/>
      <c r="J4451" s="996"/>
      <c r="K4451" s="997"/>
      <c r="L4451" s="99"/>
      <c r="M4451" s="100"/>
    </row>
    <row r="4452" spans="4:13" ht="23">
      <c r="E4452" s="629">
        <v>45691</v>
      </c>
      <c r="F4452" s="634">
        <v>2.5000000000000001E-2</v>
      </c>
      <c r="G4452" s="634">
        <v>2.4E-2</v>
      </c>
      <c r="H4452" s="634">
        <v>2.4E-2</v>
      </c>
      <c r="I4452" s="995"/>
      <c r="J4452" s="996"/>
      <c r="K4452" s="997"/>
      <c r="L4452" s="99"/>
      <c r="M4452" s="100"/>
    </row>
    <row r="4453" spans="4:13" ht="24" thickBot="1">
      <c r="E4453" s="629">
        <v>45674</v>
      </c>
      <c r="F4453" s="634">
        <v>2.4E-2</v>
      </c>
      <c r="G4453" s="634">
        <v>2.4E-2</v>
      </c>
      <c r="H4453" s="634">
        <v>2.1999999999999999E-2</v>
      </c>
      <c r="I4453" s="998"/>
      <c r="J4453" s="999"/>
      <c r="K4453" s="1000"/>
      <c r="L4453" s="102"/>
      <c r="M4453" s="103"/>
    </row>
    <row r="4454" spans="4:13" ht="25" thickBot="1">
      <c r="D4454">
        <v>1</v>
      </c>
      <c r="E4454" s="756" t="s">
        <v>30</v>
      </c>
      <c r="F4454" s="1066" t="s">
        <v>1980</v>
      </c>
      <c r="G4454" s="1067"/>
      <c r="H4454" s="1068"/>
      <c r="I4454" s="1069" t="s">
        <v>633</v>
      </c>
      <c r="J4454" s="1070"/>
      <c r="K4454" s="1071"/>
      <c r="L4454" s="158" t="s">
        <v>430</v>
      </c>
      <c r="M4454" s="105" t="s">
        <v>431</v>
      </c>
    </row>
    <row r="4455" spans="4:13" ht="24">
      <c r="E4455" s="625" t="s">
        <v>432</v>
      </c>
      <c r="F4455" s="992"/>
      <c r="G4455" s="993"/>
      <c r="H4455" s="994"/>
      <c r="I4455" s="995" t="s">
        <v>1963</v>
      </c>
      <c r="J4455" s="996"/>
      <c r="K4455" s="997"/>
      <c r="L4455" s="99"/>
      <c r="M4455" s="100"/>
    </row>
    <row r="4456" spans="4:13" ht="24">
      <c r="E4456" s="626" t="s">
        <v>433</v>
      </c>
      <c r="F4456" s="1072" t="s">
        <v>1090</v>
      </c>
      <c r="G4456" s="1073"/>
      <c r="H4456" s="1074"/>
      <c r="I4456" s="995"/>
      <c r="J4456" s="996"/>
      <c r="K4456" s="997"/>
      <c r="L4456" s="99"/>
      <c r="M4456" s="100"/>
    </row>
    <row r="4457" spans="4:13" ht="25" thickBot="1">
      <c r="E4457" s="626" t="s">
        <v>434</v>
      </c>
      <c r="F4457" s="1063">
        <v>0</v>
      </c>
      <c r="G4457" s="1064"/>
      <c r="H4457" s="1065"/>
      <c r="I4457" s="995"/>
      <c r="J4457" s="996"/>
      <c r="K4457" s="997"/>
      <c r="L4457" s="99"/>
      <c r="M4457" s="100"/>
    </row>
    <row r="4458" spans="4:13" ht="25" thickBot="1">
      <c r="E4458" s="627" t="s">
        <v>435</v>
      </c>
      <c r="F4458" s="1007" t="e">
        <v>#VALUE!</v>
      </c>
      <c r="G4458" s="1008"/>
      <c r="H4458" s="1009"/>
      <c r="I4458" s="995"/>
      <c r="J4458" s="996"/>
      <c r="K4458" s="997"/>
      <c r="L4458" s="647" t="s">
        <v>1449</v>
      </c>
      <c r="M4458" s="648" t="e">
        <v>#VALUE!</v>
      </c>
    </row>
    <row r="4459" spans="4:13" ht="25" thickBot="1">
      <c r="E4459" s="628" t="s">
        <v>436</v>
      </c>
      <c r="F4459" s="200" t="s">
        <v>29</v>
      </c>
      <c r="G4459" s="200" t="s">
        <v>28</v>
      </c>
      <c r="H4459" s="201" t="s">
        <v>27</v>
      </c>
      <c r="I4459" s="995"/>
      <c r="J4459" s="996"/>
      <c r="K4459" s="997"/>
      <c r="L4459" s="99"/>
      <c r="M4459" s="100"/>
    </row>
    <row r="4460" spans="4:13" ht="23">
      <c r="E4460" s="629">
        <v>45733</v>
      </c>
      <c r="F4460" s="634">
        <v>3.0000000000000001E-3</v>
      </c>
      <c r="G4460" s="634">
        <v>3.0000000000000001E-3</v>
      </c>
      <c r="H4460" s="634">
        <v>-6.0000000000000001E-3</v>
      </c>
      <c r="I4460" s="995"/>
      <c r="J4460" s="996"/>
      <c r="K4460" s="997"/>
      <c r="L4460" s="99"/>
      <c r="M4460" s="100"/>
    </row>
    <row r="4461" spans="4:13" ht="23">
      <c r="E4461" s="629">
        <v>45702</v>
      </c>
      <c r="F4461" s="634">
        <v>-4.0000000000000001E-3</v>
      </c>
      <c r="G4461" s="634">
        <v>3.0000000000000001E-3</v>
      </c>
      <c r="H4461" s="634">
        <v>7.0000000000000001E-3</v>
      </c>
      <c r="I4461" s="995"/>
      <c r="J4461" s="996"/>
      <c r="K4461" s="997"/>
      <c r="L4461" s="99"/>
      <c r="M4461" s="100"/>
    </row>
    <row r="4462" spans="4:13" ht="23">
      <c r="E4462" s="629">
        <v>45673</v>
      </c>
      <c r="F4462" s="634">
        <v>4.0000000000000001E-3</v>
      </c>
      <c r="G4462" s="634">
        <v>5.0000000000000001E-3</v>
      </c>
      <c r="H4462" s="634">
        <v>2E-3</v>
      </c>
      <c r="I4462" s="995"/>
      <c r="J4462" s="996"/>
      <c r="K4462" s="997"/>
      <c r="L4462" s="649"/>
      <c r="M4462" s="100"/>
    </row>
    <row r="4463" spans="4:13" ht="23">
      <c r="E4463" s="629">
        <v>45643</v>
      </c>
      <c r="F4463" s="634">
        <v>2E-3</v>
      </c>
      <c r="G4463" s="634">
        <v>4.0000000000000001E-3</v>
      </c>
      <c r="H4463" s="634">
        <v>2E-3</v>
      </c>
      <c r="I4463" s="995"/>
      <c r="J4463" s="996"/>
      <c r="K4463" s="997"/>
      <c r="L4463" s="99"/>
      <c r="M4463" s="100"/>
    </row>
    <row r="4464" spans="4:13" ht="23">
      <c r="E4464" s="629">
        <v>45611</v>
      </c>
      <c r="F4464" s="634">
        <v>1E-3</v>
      </c>
      <c r="G4464" s="634">
        <v>3.0000000000000001E-3</v>
      </c>
      <c r="H4464" s="634">
        <v>0.01</v>
      </c>
      <c r="I4464" s="995"/>
      <c r="J4464" s="996"/>
      <c r="K4464" s="997"/>
      <c r="L4464" s="99"/>
      <c r="M4464" s="100"/>
    </row>
    <row r="4465" spans="4:13" ht="24" thickBot="1">
      <c r="E4465" s="629">
        <v>45582</v>
      </c>
      <c r="F4465" s="634">
        <v>5.0000000000000001E-3</v>
      </c>
      <c r="G4465" s="634">
        <v>1E-3</v>
      </c>
      <c r="H4465" s="634">
        <v>2E-3</v>
      </c>
      <c r="I4465" s="998"/>
      <c r="J4465" s="999"/>
      <c r="K4465" s="1000"/>
      <c r="L4465" s="102"/>
      <c r="M4465" s="103"/>
    </row>
    <row r="4466" spans="4:13" ht="25" thickBot="1">
      <c r="D4466">
        <v>1</v>
      </c>
      <c r="E4466" s="756" t="s">
        <v>30</v>
      </c>
      <c r="F4466" s="1066" t="s">
        <v>1938</v>
      </c>
      <c r="G4466" s="1067"/>
      <c r="H4466" s="1068"/>
      <c r="I4466" s="1069" t="s">
        <v>633</v>
      </c>
      <c r="J4466" s="1070"/>
      <c r="K4466" s="1071"/>
      <c r="L4466" s="158" t="s">
        <v>430</v>
      </c>
      <c r="M4466" s="105" t="s">
        <v>431</v>
      </c>
    </row>
    <row r="4467" spans="4:13" ht="24">
      <c r="E4467" s="625" t="s">
        <v>432</v>
      </c>
      <c r="F4467" s="992"/>
      <c r="G4467" s="993"/>
      <c r="H4467" s="994"/>
      <c r="I4467" s="995" t="s">
        <v>1939</v>
      </c>
      <c r="J4467" s="996"/>
      <c r="K4467" s="997"/>
      <c r="L4467" s="99"/>
      <c r="M4467" s="100"/>
    </row>
    <row r="4468" spans="4:13" ht="24">
      <c r="E4468" s="626" t="s">
        <v>433</v>
      </c>
      <c r="F4468" s="1063"/>
      <c r="G4468" s="1064"/>
      <c r="H4468" s="1065"/>
      <c r="I4468" s="995"/>
      <c r="J4468" s="996"/>
      <c r="K4468" s="997"/>
      <c r="L4468" s="99"/>
      <c r="M4468" s="100"/>
    </row>
    <row r="4469" spans="4:13" ht="25" thickBot="1">
      <c r="E4469" s="626" t="s">
        <v>434</v>
      </c>
      <c r="F4469" s="1063">
        <v>2E-3</v>
      </c>
      <c r="G4469" s="1064"/>
      <c r="H4469" s="1065"/>
      <c r="I4469" s="995"/>
      <c r="J4469" s="996"/>
      <c r="K4469" s="997"/>
      <c r="L4469" s="99"/>
      <c r="M4469" s="100"/>
    </row>
    <row r="4470" spans="4:13" ht="25" thickBot="1">
      <c r="E4470" s="627" t="s">
        <v>435</v>
      </c>
      <c r="F4470" s="1007">
        <v>0.52083333333333337</v>
      </c>
      <c r="G4470" s="1008"/>
      <c r="H4470" s="1009"/>
      <c r="I4470" s="995"/>
      <c r="J4470" s="996"/>
      <c r="K4470" s="997"/>
      <c r="L4470" s="647">
        <v>0.75</v>
      </c>
      <c r="M4470" s="648">
        <v>0.64583333333333337</v>
      </c>
    </row>
    <row r="4471" spans="4:13" ht="25" thickBot="1">
      <c r="E4471" s="628" t="s">
        <v>436</v>
      </c>
      <c r="F4471" s="200" t="s">
        <v>29</v>
      </c>
      <c r="G4471" s="200" t="s">
        <v>28</v>
      </c>
      <c r="H4471" s="201" t="s">
        <v>27</v>
      </c>
      <c r="I4471" s="995"/>
      <c r="J4471" s="996"/>
      <c r="K4471" s="997"/>
      <c r="L4471" s="99"/>
      <c r="M4471" s="100"/>
    </row>
    <row r="4472" spans="4:13" ht="23">
      <c r="E4472" s="629">
        <v>45733</v>
      </c>
      <c r="F4472" s="202">
        <v>2E-3</v>
      </c>
      <c r="G4472" s="202">
        <v>6.0000000000000001E-3</v>
      </c>
      <c r="H4472" s="202">
        <v>-1.2E-2</v>
      </c>
      <c r="I4472" s="995"/>
      <c r="J4472" s="996"/>
      <c r="K4472" s="997"/>
      <c r="L4472" s="99"/>
      <c r="M4472" s="100"/>
    </row>
    <row r="4473" spans="4:13" ht="23">
      <c r="E4473" s="629">
        <v>45702</v>
      </c>
      <c r="F4473" s="202">
        <v>-8.9999999999999993E-3</v>
      </c>
      <c r="G4473" s="202">
        <v>-2E-3</v>
      </c>
      <c r="H4473" s="202">
        <v>7.0000000000000001E-3</v>
      </c>
      <c r="I4473" s="995"/>
      <c r="J4473" s="996"/>
      <c r="K4473" s="997"/>
      <c r="L4473" s="99"/>
      <c r="M4473" s="100"/>
    </row>
    <row r="4474" spans="4:13" ht="23">
      <c r="E4474" s="629">
        <v>45673</v>
      </c>
      <c r="F4474" s="202">
        <v>4.0000000000000001E-3</v>
      </c>
      <c r="G4474" s="202">
        <v>6.0000000000000001E-3</v>
      </c>
      <c r="H4474" s="202">
        <v>8.0000000000000002E-3</v>
      </c>
      <c r="I4474" s="995"/>
      <c r="J4474" s="996"/>
      <c r="K4474" s="997"/>
      <c r="L4474" s="649"/>
      <c r="M4474" s="100"/>
    </row>
    <row r="4475" spans="4:13" ht="23">
      <c r="E4475" s="629">
        <v>45643</v>
      </c>
      <c r="F4475" s="202">
        <v>7.0000000000000001E-3</v>
      </c>
      <c r="G4475" s="202">
        <v>6.0000000000000001E-3</v>
      </c>
      <c r="H4475" s="202">
        <v>5.0000000000000001E-3</v>
      </c>
      <c r="I4475" s="995"/>
      <c r="J4475" s="996"/>
      <c r="K4475" s="997"/>
      <c r="L4475" s="99"/>
      <c r="M4475" s="100"/>
    </row>
    <row r="4476" spans="4:13" ht="23">
      <c r="E4476" s="629">
        <v>45611</v>
      </c>
      <c r="F4476" s="202">
        <v>4.0000000000000001E-3</v>
      </c>
      <c r="G4476" s="202">
        <v>3.0000000000000001E-3</v>
      </c>
      <c r="H4476" s="202">
        <v>8.0000000000000002E-3</v>
      </c>
      <c r="I4476" s="995"/>
      <c r="J4476" s="996"/>
      <c r="K4476" s="997"/>
      <c r="L4476" s="99"/>
      <c r="M4476" s="100"/>
    </row>
    <row r="4477" spans="4:13" ht="24" thickBot="1">
      <c r="E4477" s="629">
        <v>45582</v>
      </c>
      <c r="F4477" s="202">
        <v>4.0000000000000001E-3</v>
      </c>
      <c r="G4477" s="202">
        <v>3.0000000000000001E-3</v>
      </c>
      <c r="H4477" s="202">
        <v>1E-3</v>
      </c>
      <c r="I4477" s="998"/>
      <c r="J4477" s="999"/>
      <c r="K4477" s="1000"/>
      <c r="L4477" s="102"/>
      <c r="M4477" s="103"/>
    </row>
    <row r="4478" spans="4:13" ht="25" thickBot="1">
      <c r="D4478">
        <v>2</v>
      </c>
      <c r="E4478" s="756" t="s">
        <v>30</v>
      </c>
      <c r="F4478" s="1066" t="s">
        <v>1501</v>
      </c>
      <c r="G4478" s="1067"/>
      <c r="H4478" s="1068"/>
      <c r="I4478" s="1060" t="s">
        <v>633</v>
      </c>
      <c r="J4478" s="1061"/>
      <c r="K4478" s="1062"/>
      <c r="L4478" s="158" t="s">
        <v>430</v>
      </c>
      <c r="M4478" s="105" t="s">
        <v>431</v>
      </c>
    </row>
    <row r="4479" spans="4:13" ht="24">
      <c r="E4479" s="625" t="s">
        <v>432</v>
      </c>
      <c r="F4479" s="992"/>
      <c r="G4479" s="993"/>
      <c r="H4479" s="994"/>
      <c r="I4479" s="995" t="s">
        <v>1940</v>
      </c>
      <c r="J4479" s="996"/>
      <c r="K4479" s="997"/>
      <c r="L4479" s="99"/>
      <c r="M4479" s="100"/>
    </row>
    <row r="4480" spans="4:13" ht="24">
      <c r="E4480" s="626" t="s">
        <v>433</v>
      </c>
      <c r="F4480" s="1063">
        <v>2.75E-2</v>
      </c>
      <c r="G4480" s="1064"/>
      <c r="H4480" s="1065"/>
      <c r="I4480" s="995"/>
      <c r="J4480" s="996"/>
      <c r="K4480" s="997"/>
      <c r="L4480" s="99"/>
      <c r="M4480" s="100"/>
    </row>
    <row r="4481" spans="4:13" ht="25" thickBot="1">
      <c r="E4481" s="626" t="s">
        <v>434</v>
      </c>
      <c r="F4481" s="1063">
        <v>2.75E-2</v>
      </c>
      <c r="G4481" s="1064"/>
      <c r="H4481" s="1065"/>
      <c r="I4481" s="995"/>
      <c r="J4481" s="996"/>
      <c r="K4481" s="997"/>
      <c r="L4481" s="99"/>
      <c r="M4481" s="100"/>
    </row>
    <row r="4482" spans="4:13" ht="25" thickBot="1">
      <c r="E4482" s="627" t="s">
        <v>435</v>
      </c>
      <c r="F4482" s="1007">
        <v>0.57291666666666674</v>
      </c>
      <c r="G4482" s="1008"/>
      <c r="H4482" s="1009"/>
      <c r="I4482" s="995"/>
      <c r="J4482" s="996"/>
      <c r="K4482" s="997"/>
      <c r="L4482" s="647">
        <v>0.80208333333333337</v>
      </c>
      <c r="M4482" s="648">
        <v>0.69791666666666674</v>
      </c>
    </row>
    <row r="4483" spans="4:13" ht="25" thickBot="1">
      <c r="E4483" s="628" t="s">
        <v>436</v>
      </c>
      <c r="F4483" s="200" t="s">
        <v>29</v>
      </c>
      <c r="G4483" s="200" t="s">
        <v>28</v>
      </c>
      <c r="H4483" s="201" t="s">
        <v>27</v>
      </c>
      <c r="I4483" s="995"/>
      <c r="J4483" s="996"/>
      <c r="K4483" s="997"/>
      <c r="L4483" s="99"/>
      <c r="M4483" s="100"/>
    </row>
    <row r="4484" spans="4:13" ht="23">
      <c r="E4484" s="629">
        <v>45728</v>
      </c>
      <c r="F4484" s="634">
        <v>2.75E-2</v>
      </c>
      <c r="G4484" s="634">
        <v>2.75E-2</v>
      </c>
      <c r="H4484" s="634">
        <v>0.03</v>
      </c>
      <c r="I4484" s="995"/>
      <c r="J4484" s="996"/>
      <c r="K4484" s="997"/>
      <c r="L4484" s="99"/>
      <c r="M4484" s="100"/>
    </row>
    <row r="4485" spans="4:13" ht="23">
      <c r="E4485" s="629">
        <v>45700</v>
      </c>
      <c r="F4485" s="634">
        <v>0.03</v>
      </c>
      <c r="G4485" s="634">
        <v>0.03</v>
      </c>
      <c r="H4485" s="634">
        <v>3.2500000000000001E-2</v>
      </c>
      <c r="I4485" s="995"/>
      <c r="J4485" s="996"/>
      <c r="K4485" s="997"/>
      <c r="L4485" s="99"/>
      <c r="M4485" s="100"/>
    </row>
    <row r="4486" spans="4:13" ht="23">
      <c r="E4486" s="629">
        <v>45664</v>
      </c>
      <c r="F4486" s="634">
        <v>3.2500000000000001E-2</v>
      </c>
      <c r="G4486" s="634">
        <v>3.2500000000000001E-2</v>
      </c>
      <c r="H4486" s="634">
        <v>3.7499999999999999E-2</v>
      </c>
      <c r="I4486" s="995"/>
      <c r="J4486" s="996"/>
      <c r="K4486" s="997"/>
      <c r="L4486" s="649"/>
      <c r="M4486" s="100"/>
    </row>
    <row r="4487" spans="4:13" ht="23">
      <c r="E4487" s="629">
        <v>45637</v>
      </c>
      <c r="F4487" s="634">
        <v>3.7499999999999999E-2</v>
      </c>
      <c r="G4487" s="634">
        <v>3.7499999999999999E-2</v>
      </c>
      <c r="H4487" s="634">
        <v>4.2500000000000003E-2</v>
      </c>
      <c r="I4487" s="995"/>
      <c r="J4487" s="996"/>
      <c r="K4487" s="997"/>
      <c r="L4487" s="99"/>
      <c r="M4487" s="100"/>
    </row>
    <row r="4488" spans="4:13" ht="23">
      <c r="E4488" s="629">
        <v>45601</v>
      </c>
      <c r="F4488" s="634">
        <v>4.2500000000000003E-2</v>
      </c>
      <c r="G4488" s="634">
        <v>4.2500000000000003E-2</v>
      </c>
      <c r="H4488" s="634">
        <v>4.4999999999999998E-2</v>
      </c>
      <c r="I4488" s="995"/>
      <c r="J4488" s="996"/>
      <c r="K4488" s="997"/>
      <c r="L4488" s="99"/>
      <c r="M4488" s="100"/>
    </row>
    <row r="4489" spans="4:13" ht="24" thickBot="1">
      <c r="E4489" s="629">
        <v>45574</v>
      </c>
      <c r="F4489" s="634">
        <v>4.4999999999999998E-2</v>
      </c>
      <c r="G4489" s="634">
        <v>4.4999999999999998E-2</v>
      </c>
      <c r="H4489" s="634">
        <v>4.7500000000000001E-2</v>
      </c>
      <c r="I4489" s="998"/>
      <c r="J4489" s="999"/>
      <c r="K4489" s="1000"/>
      <c r="L4489" s="102"/>
      <c r="M4489" s="103"/>
    </row>
    <row r="4490" spans="4:13" ht="25" thickBot="1">
      <c r="D4490">
        <v>2</v>
      </c>
      <c r="E4490" s="756" t="s">
        <v>30</v>
      </c>
      <c r="F4490" s="1066" t="s">
        <v>1503</v>
      </c>
      <c r="G4490" s="1067"/>
      <c r="H4490" s="1068"/>
      <c r="I4490" s="1060" t="s">
        <v>633</v>
      </c>
      <c r="J4490" s="1061"/>
      <c r="K4490" s="1062"/>
      <c r="L4490" s="158" t="s">
        <v>430</v>
      </c>
      <c r="M4490" s="105" t="s">
        <v>431</v>
      </c>
    </row>
    <row r="4491" spans="4:13" ht="24">
      <c r="E4491" s="625" t="s">
        <v>432</v>
      </c>
      <c r="F4491" s="992"/>
      <c r="G4491" s="993"/>
      <c r="H4491" s="994"/>
      <c r="I4491" s="995" t="s">
        <v>1678</v>
      </c>
      <c r="J4491" s="996"/>
      <c r="K4491" s="997"/>
      <c r="L4491" s="99"/>
      <c r="M4491" s="100"/>
    </row>
    <row r="4492" spans="4:13" ht="24">
      <c r="E4492" s="626" t="s">
        <v>433</v>
      </c>
      <c r="F4492" s="1063" t="s">
        <v>1090</v>
      </c>
      <c r="G4492" s="1064"/>
      <c r="H4492" s="1065"/>
      <c r="I4492" s="995"/>
      <c r="J4492" s="996"/>
      <c r="K4492" s="997"/>
      <c r="L4492" s="99"/>
      <c r="M4492" s="100"/>
    </row>
    <row r="4493" spans="4:13" ht="25" thickBot="1">
      <c r="E4493" s="626" t="s">
        <v>434</v>
      </c>
      <c r="F4493" s="1063" t="s">
        <v>1941</v>
      </c>
      <c r="G4493" s="1064"/>
      <c r="H4493" s="1065"/>
      <c r="I4493" s="995"/>
      <c r="J4493" s="996"/>
      <c r="K4493" s="997"/>
      <c r="L4493" s="99"/>
      <c r="M4493" s="100"/>
    </row>
    <row r="4494" spans="4:13" ht="25" thickBot="1">
      <c r="E4494" s="627" t="s">
        <v>435</v>
      </c>
      <c r="F4494" s="1007">
        <v>0.60416666666666674</v>
      </c>
      <c r="G4494" s="1008"/>
      <c r="H4494" s="1009"/>
      <c r="I4494" s="995"/>
      <c r="J4494" s="996"/>
      <c r="K4494" s="997"/>
      <c r="L4494" s="647">
        <v>0.83333333333333337</v>
      </c>
      <c r="M4494" s="648">
        <v>0.72916666666666674</v>
      </c>
    </row>
    <row r="4495" spans="4:13" ht="25" thickBot="1">
      <c r="E4495" s="628" t="s">
        <v>436</v>
      </c>
      <c r="F4495" s="200" t="s">
        <v>29</v>
      </c>
      <c r="G4495" s="200" t="s">
        <v>28</v>
      </c>
      <c r="H4495" s="201" t="s">
        <v>27</v>
      </c>
      <c r="I4495" s="995"/>
      <c r="J4495" s="996"/>
      <c r="K4495" s="997"/>
      <c r="L4495" s="99"/>
      <c r="M4495" s="100"/>
    </row>
    <row r="4496" spans="4:13" ht="24">
      <c r="E4496" s="629">
        <v>45756</v>
      </c>
      <c r="F4496" s="634" t="s">
        <v>1957</v>
      </c>
      <c r="G4496" s="634" t="s">
        <v>1602</v>
      </c>
      <c r="H4496" s="634" t="s">
        <v>1899</v>
      </c>
      <c r="I4496" s="995"/>
      <c r="J4496" s="996"/>
      <c r="K4496" s="997"/>
      <c r="L4496" s="99"/>
      <c r="M4496" s="100"/>
    </row>
    <row r="4497" spans="4:13" ht="24">
      <c r="E4497" s="629">
        <v>45749</v>
      </c>
      <c r="F4497" s="634" t="s">
        <v>1899</v>
      </c>
      <c r="G4497" s="634" t="s">
        <v>1926</v>
      </c>
      <c r="H4497" s="634" t="s">
        <v>1840</v>
      </c>
      <c r="I4497" s="995"/>
      <c r="J4497" s="996"/>
      <c r="K4497" s="997"/>
      <c r="L4497" s="99"/>
      <c r="M4497" s="100"/>
    </row>
    <row r="4498" spans="4:13" ht="24">
      <c r="E4498" s="629">
        <v>45742</v>
      </c>
      <c r="F4498" s="634" t="s">
        <v>1840</v>
      </c>
      <c r="G4498" s="634" t="s">
        <v>991</v>
      </c>
      <c r="H4498" s="634" t="s">
        <v>1696</v>
      </c>
      <c r="I4498" s="995"/>
      <c r="J4498" s="996"/>
      <c r="K4498" s="997"/>
      <c r="L4498" s="649"/>
      <c r="M4498" s="100"/>
    </row>
    <row r="4499" spans="4:13" ht="24">
      <c r="E4499" s="629">
        <v>45735</v>
      </c>
      <c r="F4499" s="634" t="s">
        <v>1696</v>
      </c>
      <c r="G4499" s="634" t="s">
        <v>993</v>
      </c>
      <c r="H4499" s="634" t="s">
        <v>1697</v>
      </c>
      <c r="I4499" s="995"/>
      <c r="J4499" s="996"/>
      <c r="K4499" s="997"/>
      <c r="L4499" s="99"/>
      <c r="M4499" s="100"/>
    </row>
    <row r="4500" spans="4:13" ht="24">
      <c r="E4500" s="629">
        <v>45728</v>
      </c>
      <c r="F4500" s="634" t="s">
        <v>1697</v>
      </c>
      <c r="G4500" s="634" t="s">
        <v>1698</v>
      </c>
      <c r="H4500" s="634" t="s">
        <v>1699</v>
      </c>
      <c r="I4500" s="995"/>
      <c r="J4500" s="996"/>
      <c r="K4500" s="997"/>
      <c r="L4500" s="99"/>
      <c r="M4500" s="100"/>
    </row>
    <row r="4501" spans="4:13" ht="25" thickBot="1">
      <c r="E4501" s="629">
        <v>45721</v>
      </c>
      <c r="F4501" s="634" t="s">
        <v>1699</v>
      </c>
      <c r="G4501" s="634" t="s">
        <v>1700</v>
      </c>
      <c r="H4501" s="634" t="s">
        <v>1701</v>
      </c>
      <c r="I4501" s="998"/>
      <c r="J4501" s="999"/>
      <c r="K4501" s="1000"/>
      <c r="L4501" s="102"/>
      <c r="M4501" s="103"/>
    </row>
    <row r="4502" spans="4:13" ht="25" thickBot="1">
      <c r="D4502">
        <v>3</v>
      </c>
      <c r="E4502" s="756" t="s">
        <v>30</v>
      </c>
      <c r="F4502" s="1066" t="s">
        <v>1745</v>
      </c>
      <c r="G4502" s="1067"/>
      <c r="H4502" s="1068"/>
      <c r="I4502" s="1060" t="s">
        <v>633</v>
      </c>
      <c r="J4502" s="1061"/>
      <c r="K4502" s="1062"/>
      <c r="L4502" s="158" t="s">
        <v>430</v>
      </c>
      <c r="M4502" s="105" t="s">
        <v>431</v>
      </c>
    </row>
    <row r="4503" spans="4:13" ht="24">
      <c r="E4503" s="625" t="s">
        <v>432</v>
      </c>
      <c r="F4503" s="992"/>
      <c r="G4503" s="993"/>
      <c r="H4503" s="994"/>
      <c r="I4503" s="995" t="s">
        <v>1942</v>
      </c>
      <c r="J4503" s="996"/>
      <c r="K4503" s="997"/>
      <c r="L4503" s="99"/>
      <c r="M4503" s="100"/>
    </row>
    <row r="4504" spans="4:13" ht="24">
      <c r="E4504" s="626" t="s">
        <v>433</v>
      </c>
      <c r="F4504" s="1063" t="s">
        <v>1090</v>
      </c>
      <c r="G4504" s="1064"/>
      <c r="H4504" s="1065"/>
      <c r="I4504" s="995"/>
      <c r="J4504" s="996"/>
      <c r="K4504" s="997"/>
      <c r="L4504" s="99"/>
      <c r="M4504" s="100"/>
    </row>
    <row r="4505" spans="4:13" ht="25" thickBot="1">
      <c r="E4505" s="626" t="s">
        <v>434</v>
      </c>
      <c r="F4505" s="1077"/>
      <c r="G4505" s="1078"/>
      <c r="H4505" s="1079"/>
      <c r="I4505" s="995"/>
      <c r="J4505" s="996"/>
      <c r="K4505" s="997"/>
      <c r="L4505" s="99"/>
      <c r="M4505" s="100"/>
    </row>
    <row r="4506" spans="4:13" ht="25" thickBot="1">
      <c r="E4506" s="627" t="s">
        <v>435</v>
      </c>
      <c r="F4506" s="1007">
        <v>0.71875</v>
      </c>
      <c r="G4506" s="1008"/>
      <c r="H4506" s="1009"/>
      <c r="I4506" s="995"/>
      <c r="J4506" s="996"/>
      <c r="K4506" s="997"/>
      <c r="L4506" s="647">
        <v>0.94791666666666663</v>
      </c>
      <c r="M4506" s="648">
        <v>0.84375</v>
      </c>
    </row>
    <row r="4507" spans="4:13" ht="25" thickBot="1">
      <c r="E4507" s="628" t="s">
        <v>436</v>
      </c>
      <c r="F4507" s="200" t="s">
        <v>29</v>
      </c>
      <c r="G4507" s="200" t="s">
        <v>28</v>
      </c>
      <c r="H4507" s="201" t="s">
        <v>27</v>
      </c>
      <c r="I4507" s="995"/>
      <c r="J4507" s="996"/>
      <c r="K4507" s="997"/>
      <c r="L4507" s="99"/>
      <c r="M4507" s="100"/>
    </row>
    <row r="4508" spans="4:13" ht="23">
      <c r="E4508" s="629">
        <v>45763</v>
      </c>
      <c r="F4508" s="634"/>
      <c r="G4508" s="634"/>
      <c r="H4508" s="634"/>
      <c r="I4508" s="995"/>
      <c r="J4508" s="996"/>
      <c r="K4508" s="997"/>
      <c r="L4508" s="99"/>
      <c r="M4508" s="100"/>
    </row>
    <row r="4509" spans="4:13" ht="23">
      <c r="E4509" s="629">
        <v>45751</v>
      </c>
      <c r="F4509" s="634"/>
      <c r="G4509" s="634"/>
      <c r="H4509" s="634"/>
      <c r="I4509" s="995"/>
      <c r="J4509" s="996"/>
      <c r="K4509" s="997"/>
      <c r="L4509" s="99"/>
      <c r="M4509" s="100"/>
    </row>
    <row r="4510" spans="4:13" ht="23">
      <c r="E4510" s="629">
        <v>45723</v>
      </c>
      <c r="F4510" s="634"/>
      <c r="G4510" s="634"/>
      <c r="H4510" s="634"/>
      <c r="I4510" s="995"/>
      <c r="J4510" s="996"/>
      <c r="K4510" s="997"/>
      <c r="L4510" s="649"/>
      <c r="M4510" s="100"/>
    </row>
    <row r="4511" spans="4:13" ht="23">
      <c r="E4511" s="629">
        <v>45631</v>
      </c>
      <c r="F4511" s="634"/>
      <c r="G4511" s="634"/>
      <c r="H4511" s="634"/>
      <c r="I4511" s="995"/>
      <c r="J4511" s="996"/>
      <c r="K4511" s="997"/>
      <c r="L4511" s="99"/>
      <c r="M4511" s="100"/>
    </row>
    <row r="4512" spans="4:13" ht="23">
      <c r="E4512" s="629">
        <v>45611</v>
      </c>
      <c r="F4512" s="634"/>
      <c r="G4512" s="634"/>
      <c r="H4512" s="634"/>
      <c r="I4512" s="995"/>
      <c r="J4512" s="996"/>
      <c r="K4512" s="997"/>
      <c r="L4512" s="99"/>
      <c r="M4512" s="100"/>
    </row>
    <row r="4513" spans="4:13" ht="24" thickBot="1">
      <c r="E4513" s="629">
        <v>45565</v>
      </c>
      <c r="F4513" s="634"/>
      <c r="G4513" s="634"/>
      <c r="H4513" s="634"/>
      <c r="I4513" s="998"/>
      <c r="J4513" s="999"/>
      <c r="K4513" s="1000"/>
      <c r="L4513" s="102"/>
      <c r="M4513" s="103"/>
    </row>
    <row r="4514" spans="4:13" ht="25" thickBot="1">
      <c r="D4514">
        <v>3</v>
      </c>
      <c r="E4514" s="756" t="s">
        <v>30</v>
      </c>
      <c r="F4514" s="1066" t="s">
        <v>1946</v>
      </c>
      <c r="G4514" s="1067"/>
      <c r="H4514" s="1068"/>
      <c r="I4514" s="1069" t="s">
        <v>633</v>
      </c>
      <c r="J4514" s="1070"/>
      <c r="K4514" s="1071"/>
      <c r="L4514" s="658" t="s">
        <v>430</v>
      </c>
      <c r="M4514" s="659" t="s">
        <v>431</v>
      </c>
    </row>
    <row r="4515" spans="4:13" ht="24">
      <c r="E4515" s="625" t="s">
        <v>432</v>
      </c>
      <c r="F4515" s="992"/>
      <c r="G4515" s="993"/>
      <c r="H4515" s="994"/>
      <c r="I4515" s="995" t="s">
        <v>1947</v>
      </c>
      <c r="J4515" s="996"/>
      <c r="K4515" s="997"/>
      <c r="L4515" s="99"/>
      <c r="M4515" s="100"/>
    </row>
    <row r="4516" spans="4:13" ht="24">
      <c r="E4516" s="626" t="s">
        <v>433</v>
      </c>
      <c r="F4516" s="1022">
        <v>2.2499999999999999E-2</v>
      </c>
      <c r="G4516" s="1005"/>
      <c r="H4516" s="1006"/>
      <c r="I4516" s="995"/>
      <c r="J4516" s="996"/>
      <c r="K4516" s="997"/>
      <c r="L4516" s="99"/>
      <c r="M4516" s="100"/>
    </row>
    <row r="4517" spans="4:13" ht="25" thickBot="1">
      <c r="E4517" s="626" t="s">
        <v>434</v>
      </c>
      <c r="F4517" s="1083">
        <v>2.5000000000000001E-2</v>
      </c>
      <c r="G4517" s="1084"/>
      <c r="H4517" s="1085"/>
      <c r="I4517" s="995"/>
      <c r="J4517" s="996"/>
      <c r="K4517" s="997"/>
      <c r="L4517" s="99"/>
      <c r="M4517" s="100"/>
    </row>
    <row r="4518" spans="4:13" ht="25" thickBot="1">
      <c r="E4518" s="627" t="s">
        <v>435</v>
      </c>
      <c r="F4518" s="1007">
        <v>0.51041666666666674</v>
      </c>
      <c r="G4518" s="1008"/>
      <c r="H4518" s="1009"/>
      <c r="I4518" s="995"/>
      <c r="J4518" s="996"/>
      <c r="K4518" s="997"/>
      <c r="L4518" s="647">
        <v>0.73958333333333337</v>
      </c>
      <c r="M4518" s="648">
        <v>0.63541666666666674</v>
      </c>
    </row>
    <row r="4519" spans="4:13" ht="25" thickBot="1">
      <c r="E4519" s="628" t="s">
        <v>436</v>
      </c>
      <c r="F4519" s="200" t="s">
        <v>29</v>
      </c>
      <c r="G4519" s="200" t="s">
        <v>28</v>
      </c>
      <c r="H4519" s="201" t="s">
        <v>27</v>
      </c>
      <c r="I4519" s="995"/>
      <c r="J4519" s="996"/>
      <c r="K4519" s="997"/>
      <c r="L4519" s="99"/>
      <c r="M4519" s="100"/>
    </row>
    <row r="4520" spans="4:13" ht="23">
      <c r="E4520" s="629">
        <v>45722</v>
      </c>
      <c r="F4520" s="634">
        <v>2.5000000000000001E-2</v>
      </c>
      <c r="G4520" s="634">
        <v>2.5000000000000001E-2</v>
      </c>
      <c r="H4520" s="634">
        <v>2.75E-2</v>
      </c>
      <c r="I4520" s="995"/>
      <c r="J4520" s="996"/>
      <c r="K4520" s="997"/>
      <c r="L4520" s="99"/>
      <c r="M4520" s="100"/>
    </row>
    <row r="4521" spans="4:13" ht="23">
      <c r="E4521" s="629">
        <v>45687</v>
      </c>
      <c r="F4521" s="634">
        <v>2.75E-2</v>
      </c>
      <c r="G4521" s="634">
        <v>2.75E-2</v>
      </c>
      <c r="H4521" s="634">
        <v>0.03</v>
      </c>
      <c r="I4521" s="995"/>
      <c r="J4521" s="996"/>
      <c r="K4521" s="997"/>
      <c r="L4521" s="99"/>
      <c r="M4521" s="100"/>
    </row>
    <row r="4522" spans="4:13" ht="23">
      <c r="E4522" s="629">
        <v>45638</v>
      </c>
      <c r="F4522" s="634">
        <v>0.03</v>
      </c>
      <c r="G4522" s="634">
        <v>0.03</v>
      </c>
      <c r="H4522" s="634">
        <v>3.2500000000000001E-2</v>
      </c>
      <c r="I4522" s="995"/>
      <c r="J4522" s="996"/>
      <c r="K4522" s="997"/>
      <c r="L4522" s="649"/>
      <c r="M4522" s="100"/>
    </row>
    <row r="4523" spans="4:13" ht="23">
      <c r="E4523" s="629">
        <v>45582</v>
      </c>
      <c r="F4523" s="634">
        <v>3.2500000000000001E-2</v>
      </c>
      <c r="G4523" s="634">
        <v>3.2500000000000001E-2</v>
      </c>
      <c r="H4523" s="634">
        <v>3.5000000000000003E-2</v>
      </c>
      <c r="I4523" s="995"/>
      <c r="J4523" s="996"/>
      <c r="K4523" s="997"/>
      <c r="L4523" s="99"/>
      <c r="M4523" s="100"/>
    </row>
    <row r="4524" spans="4:13" ht="23">
      <c r="E4524" s="629">
        <v>45547</v>
      </c>
      <c r="F4524" s="634">
        <v>3.5000000000000003E-2</v>
      </c>
      <c r="G4524" s="634">
        <v>3.5000000000000003E-2</v>
      </c>
      <c r="H4524" s="634">
        <v>3.7499999999999999E-2</v>
      </c>
      <c r="I4524" s="995"/>
      <c r="J4524" s="996"/>
      <c r="K4524" s="997"/>
      <c r="L4524" s="99"/>
      <c r="M4524" s="100"/>
    </row>
    <row r="4525" spans="4:13" ht="24" thickBot="1">
      <c r="E4525" s="629">
        <v>45491</v>
      </c>
      <c r="F4525" s="634">
        <v>3.7499999999999999E-2</v>
      </c>
      <c r="G4525" s="634">
        <v>3.7499999999999999E-2</v>
      </c>
      <c r="H4525" s="634">
        <v>3.7499999999999999E-2</v>
      </c>
      <c r="I4525" s="998"/>
      <c r="J4525" s="999"/>
      <c r="K4525" s="1000"/>
      <c r="L4525" s="102"/>
      <c r="M4525" s="103"/>
    </row>
    <row r="4526" spans="4:13" ht="25" thickBot="1">
      <c r="D4526">
        <v>3</v>
      </c>
      <c r="E4526" s="624" t="s">
        <v>30</v>
      </c>
      <c r="F4526" s="1057" t="s">
        <v>1948</v>
      </c>
      <c r="G4526" s="1058"/>
      <c r="H4526" s="1059"/>
      <c r="I4526" s="1086" t="s">
        <v>633</v>
      </c>
      <c r="J4526" s="1061"/>
      <c r="K4526" s="1062"/>
      <c r="L4526" s="158" t="s">
        <v>430</v>
      </c>
      <c r="M4526" s="105" t="s">
        <v>431</v>
      </c>
    </row>
    <row r="4527" spans="4:13" ht="24">
      <c r="E4527" s="625" t="s">
        <v>432</v>
      </c>
      <c r="F4527" s="1011"/>
      <c r="G4527" s="1012"/>
      <c r="H4527" s="1013"/>
      <c r="I4527" s="1021" t="s">
        <v>1949</v>
      </c>
      <c r="J4527" s="1015"/>
      <c r="K4527" s="1016"/>
      <c r="L4527" s="99"/>
      <c r="M4527" s="100"/>
    </row>
    <row r="4528" spans="4:13" ht="24">
      <c r="E4528" s="626" t="s">
        <v>433</v>
      </c>
      <c r="F4528" s="1063"/>
      <c r="G4528" s="1064"/>
      <c r="H4528" s="1065"/>
      <c r="I4528" s="995"/>
      <c r="J4528" s="996"/>
      <c r="K4528" s="997"/>
      <c r="L4528" s="99"/>
      <c r="M4528" s="100"/>
    </row>
    <row r="4529" spans="4:13" ht="25" thickBot="1">
      <c r="E4529" s="626" t="s">
        <v>434</v>
      </c>
      <c r="F4529" s="1087">
        <v>2.6499999999999999E-2</v>
      </c>
      <c r="G4529" s="1088"/>
      <c r="H4529" s="1089"/>
      <c r="I4529" s="995"/>
      <c r="J4529" s="996"/>
      <c r="K4529" s="997"/>
      <c r="L4529" s="99"/>
      <c r="M4529" s="100"/>
    </row>
    <row r="4530" spans="4:13" ht="25" thickBot="1">
      <c r="E4530" s="627" t="s">
        <v>435</v>
      </c>
      <c r="F4530" s="1090">
        <v>0.51041666666666674</v>
      </c>
      <c r="G4530" s="1091"/>
      <c r="H4530" s="1092"/>
      <c r="I4530" s="995"/>
      <c r="J4530" s="996"/>
      <c r="K4530" s="997"/>
      <c r="L4530" s="647">
        <v>0.73958333333333337</v>
      </c>
      <c r="M4530" s="648">
        <v>0.63541666666666674</v>
      </c>
    </row>
    <row r="4531" spans="4:13" ht="25" thickBot="1">
      <c r="E4531" s="628" t="s">
        <v>436</v>
      </c>
      <c r="F4531" s="200" t="s">
        <v>29</v>
      </c>
      <c r="G4531" s="200" t="s">
        <v>28</v>
      </c>
      <c r="H4531" s="201" t="s">
        <v>27</v>
      </c>
      <c r="I4531" s="995"/>
      <c r="J4531" s="996"/>
      <c r="K4531" s="997"/>
      <c r="L4531" s="99"/>
      <c r="M4531" s="100"/>
    </row>
    <row r="4532" spans="4:13" ht="23">
      <c r="E4532" s="629">
        <v>45722</v>
      </c>
      <c r="F4532" s="634">
        <v>2.6499999999999999E-2</v>
      </c>
      <c r="G4532" s="634">
        <v>2.6499999999999999E-2</v>
      </c>
      <c r="H4532" s="634">
        <v>2.9000000000000001E-2</v>
      </c>
      <c r="I4532" s="995"/>
      <c r="J4532" s="996"/>
      <c r="K4532" s="997"/>
      <c r="L4532" s="99"/>
      <c r="M4532" s="100"/>
    </row>
    <row r="4533" spans="4:13" ht="23">
      <c r="E4533" s="629">
        <v>45687</v>
      </c>
      <c r="F4533" s="634">
        <v>2.9000000000000001E-2</v>
      </c>
      <c r="G4533" s="634">
        <v>2.9000000000000001E-2</v>
      </c>
      <c r="H4533" s="634">
        <v>3.15E-2</v>
      </c>
      <c r="I4533" s="995"/>
      <c r="J4533" s="996"/>
      <c r="K4533" s="997"/>
      <c r="L4533" s="99"/>
      <c r="M4533" s="100"/>
    </row>
    <row r="4534" spans="4:13" ht="23">
      <c r="E4534" s="629">
        <v>45638</v>
      </c>
      <c r="F4534" s="634">
        <v>3.15E-2</v>
      </c>
      <c r="G4534" s="634">
        <v>3.15E-2</v>
      </c>
      <c r="H4534" s="634">
        <v>3.4000000000000002E-2</v>
      </c>
      <c r="I4534" s="995"/>
      <c r="J4534" s="996"/>
      <c r="K4534" s="997"/>
      <c r="L4534" s="649"/>
      <c r="M4534" s="100"/>
    </row>
    <row r="4535" spans="4:13" ht="23">
      <c r="E4535" s="629">
        <v>45582</v>
      </c>
      <c r="F4535" s="634">
        <v>3.4000000000000002E-2</v>
      </c>
      <c r="G4535" s="634">
        <v>3.4000000000000002E-2</v>
      </c>
      <c r="H4535" s="634">
        <v>3.6499999999999998E-2</v>
      </c>
      <c r="I4535" s="995"/>
      <c r="J4535" s="996"/>
      <c r="K4535" s="997"/>
      <c r="L4535" s="99"/>
      <c r="M4535" s="100"/>
    </row>
    <row r="4536" spans="4:13" ht="23">
      <c r="E4536" s="629">
        <v>45547</v>
      </c>
      <c r="F4536" s="634">
        <v>3.6499999999999998E-2</v>
      </c>
      <c r="G4536" s="634">
        <v>3.6499999999999998E-2</v>
      </c>
      <c r="H4536" s="634">
        <v>4.2500000000000003E-2</v>
      </c>
      <c r="I4536" s="995"/>
      <c r="J4536" s="996"/>
      <c r="K4536" s="997"/>
      <c r="L4536" s="99"/>
      <c r="M4536" s="100"/>
    </row>
    <row r="4537" spans="4:13" ht="24" thickBot="1">
      <c r="E4537" s="629">
        <v>45491</v>
      </c>
      <c r="F4537" s="634">
        <v>4.2500000000000003E-2</v>
      </c>
      <c r="G4537" s="634">
        <v>4.2500000000000003E-2</v>
      </c>
      <c r="H4537" s="634">
        <v>4.2500000000000003E-2</v>
      </c>
      <c r="I4537" s="998"/>
      <c r="J4537" s="999"/>
      <c r="K4537" s="1000"/>
      <c r="L4537" s="102"/>
      <c r="M4537" s="103"/>
    </row>
    <row r="4538" spans="4:13" ht="25" thickBot="1">
      <c r="D4538">
        <v>2</v>
      </c>
      <c r="E4538" s="756" t="s">
        <v>30</v>
      </c>
      <c r="F4538" s="1066" t="s">
        <v>1421</v>
      </c>
      <c r="G4538" s="1067"/>
      <c r="H4538" s="1068"/>
      <c r="I4538" s="1069" t="s">
        <v>633</v>
      </c>
      <c r="J4538" s="1070"/>
      <c r="K4538" s="1071"/>
      <c r="L4538" s="158" t="s">
        <v>430</v>
      </c>
      <c r="M4538" s="105" t="s">
        <v>431</v>
      </c>
    </row>
    <row r="4539" spans="4:13" ht="24">
      <c r="E4539" s="625" t="s">
        <v>432</v>
      </c>
      <c r="F4539" s="992"/>
      <c r="G4539" s="993"/>
      <c r="H4539" s="994"/>
      <c r="I4539" s="995" t="s">
        <v>1912</v>
      </c>
      <c r="J4539" s="996"/>
      <c r="K4539" s="997"/>
      <c r="L4539" s="99"/>
      <c r="M4539" s="100"/>
    </row>
    <row r="4540" spans="4:13" ht="24">
      <c r="E4540" s="626" t="s">
        <v>433</v>
      </c>
      <c r="F4540" s="1063"/>
      <c r="G4540" s="1064"/>
      <c r="H4540" s="1065"/>
      <c r="I4540" s="995"/>
      <c r="J4540" s="996"/>
      <c r="K4540" s="997"/>
      <c r="L4540" s="99"/>
      <c r="M4540" s="100"/>
    </row>
    <row r="4541" spans="4:13" ht="25" thickBot="1">
      <c r="E4541" s="626" t="s">
        <v>434</v>
      </c>
      <c r="F4541" s="1063"/>
      <c r="G4541" s="1064"/>
      <c r="H4541" s="1065"/>
      <c r="I4541" s="995"/>
      <c r="J4541" s="996"/>
      <c r="K4541" s="997"/>
      <c r="L4541" s="99"/>
      <c r="M4541" s="100"/>
    </row>
    <row r="4542" spans="4:13" ht="25" thickBot="1">
      <c r="E4542" s="627" t="s">
        <v>435</v>
      </c>
      <c r="F4542" s="1007">
        <v>0.52083333333333337</v>
      </c>
      <c r="G4542" s="1008"/>
      <c r="H4542" s="1009"/>
      <c r="I4542" s="995"/>
      <c r="J4542" s="996"/>
      <c r="K4542" s="997"/>
      <c r="L4542" s="647">
        <v>0.75</v>
      </c>
      <c r="M4542" s="648">
        <v>0.64583333333333337</v>
      </c>
    </row>
    <row r="4543" spans="4:13" ht="25" thickBot="1">
      <c r="E4543" s="628" t="s">
        <v>436</v>
      </c>
      <c r="F4543" s="200" t="s">
        <v>29</v>
      </c>
      <c r="G4543" s="200" t="s">
        <v>28</v>
      </c>
      <c r="H4543" s="201" t="s">
        <v>27</v>
      </c>
      <c r="I4543" s="995"/>
      <c r="J4543" s="996"/>
      <c r="K4543" s="997"/>
      <c r="L4543" s="99"/>
      <c r="M4543" s="100"/>
    </row>
    <row r="4544" spans="4:13" ht="24">
      <c r="E4544" s="629">
        <v>45750</v>
      </c>
      <c r="F4544" s="634" t="s">
        <v>987</v>
      </c>
      <c r="G4544" s="634" t="s">
        <v>985</v>
      </c>
      <c r="H4544" s="634" t="s">
        <v>985</v>
      </c>
      <c r="I4544" s="995"/>
      <c r="J4544" s="996"/>
      <c r="K4544" s="997"/>
      <c r="L4544" s="99"/>
      <c r="M4544" s="100"/>
    </row>
    <row r="4545" spans="4:13" ht="24">
      <c r="E4545" s="629">
        <v>45743</v>
      </c>
      <c r="F4545" s="634" t="s">
        <v>1032</v>
      </c>
      <c r="G4545" s="634" t="s">
        <v>985</v>
      </c>
      <c r="H4545" s="634" t="s">
        <v>985</v>
      </c>
      <c r="I4545" s="995"/>
      <c r="J4545" s="996"/>
      <c r="K4545" s="997"/>
      <c r="L4545" s="99"/>
      <c r="M4545" s="100"/>
    </row>
    <row r="4546" spans="4:13" ht="24">
      <c r="E4546" s="629">
        <v>45736</v>
      </c>
      <c r="F4546" s="634" t="s">
        <v>973</v>
      </c>
      <c r="G4546" s="634" t="s">
        <v>1032</v>
      </c>
      <c r="H4546" s="634" t="s">
        <v>972</v>
      </c>
      <c r="I4546" s="995"/>
      <c r="J4546" s="996"/>
      <c r="K4546" s="997"/>
      <c r="L4546" s="649"/>
      <c r="M4546" s="100"/>
    </row>
    <row r="4547" spans="4:13" ht="24">
      <c r="E4547" s="629">
        <v>45729</v>
      </c>
      <c r="F4547" s="634" t="s">
        <v>1112</v>
      </c>
      <c r="G4547" s="634" t="s">
        <v>1703</v>
      </c>
      <c r="H4547" s="634" t="s">
        <v>986</v>
      </c>
      <c r="I4547" s="995"/>
      <c r="J4547" s="996"/>
      <c r="K4547" s="997"/>
      <c r="L4547" s="99"/>
      <c r="M4547" s="100"/>
    </row>
    <row r="4548" spans="4:13" ht="24">
      <c r="E4548" s="629">
        <v>45722</v>
      </c>
      <c r="F4548" s="634" t="s">
        <v>972</v>
      </c>
      <c r="G4548" s="634" t="s">
        <v>1704</v>
      </c>
      <c r="H4548" s="634" t="s">
        <v>980</v>
      </c>
      <c r="I4548" s="995"/>
      <c r="J4548" s="996"/>
      <c r="K4548" s="997"/>
      <c r="L4548" s="99"/>
      <c r="M4548" s="100"/>
    </row>
    <row r="4549" spans="4:13" ht="25" thickBot="1">
      <c r="E4549" s="629">
        <v>45715</v>
      </c>
      <c r="F4549" s="634" t="s">
        <v>980</v>
      </c>
      <c r="G4549" s="634" t="s">
        <v>986</v>
      </c>
      <c r="H4549" s="634" t="s">
        <v>1112</v>
      </c>
      <c r="I4549" s="998"/>
      <c r="J4549" s="999"/>
      <c r="K4549" s="1000"/>
      <c r="L4549" s="102"/>
      <c r="M4549" s="103"/>
    </row>
    <row r="4550" spans="4:13" ht="25" thickBot="1">
      <c r="D4550">
        <v>3</v>
      </c>
      <c r="E4550" s="756" t="s">
        <v>30</v>
      </c>
      <c r="F4550" s="1066" t="s">
        <v>1950</v>
      </c>
      <c r="G4550" s="1067"/>
      <c r="H4550" s="1068"/>
      <c r="I4550" s="1069" t="s">
        <v>633</v>
      </c>
      <c r="J4550" s="1070"/>
      <c r="K4550" s="1071"/>
      <c r="L4550" s="658" t="s">
        <v>430</v>
      </c>
      <c r="M4550" s="659" t="s">
        <v>431</v>
      </c>
    </row>
    <row r="4551" spans="4:13" ht="24">
      <c r="E4551" s="625" t="s">
        <v>432</v>
      </c>
      <c r="F4551" s="992"/>
      <c r="G4551" s="993"/>
      <c r="H4551" s="994"/>
      <c r="I4551" s="995" t="s">
        <v>1951</v>
      </c>
      <c r="J4551" s="996"/>
      <c r="K4551" s="997"/>
      <c r="L4551" s="99"/>
      <c r="M4551" s="100"/>
    </row>
    <row r="4552" spans="4:13" ht="24">
      <c r="E4552" s="626" t="s">
        <v>433</v>
      </c>
      <c r="F4552" s="1022">
        <v>3.1</v>
      </c>
      <c r="G4552" s="1005"/>
      <c r="H4552" s="1006"/>
      <c r="I4552" s="995"/>
      <c r="J4552" s="996"/>
      <c r="K4552" s="997"/>
      <c r="L4552" s="99"/>
      <c r="M4552" s="100"/>
    </row>
    <row r="4553" spans="4:13" ht="25" thickBot="1">
      <c r="E4553" s="626" t="s">
        <v>434</v>
      </c>
      <c r="F4553" s="1080">
        <v>12.5</v>
      </c>
      <c r="G4553" s="1081"/>
      <c r="H4553" s="1082"/>
      <c r="I4553" s="995"/>
      <c r="J4553" s="996"/>
      <c r="K4553" s="997"/>
      <c r="L4553" s="99"/>
      <c r="M4553" s="100"/>
    </row>
    <row r="4554" spans="4:13" ht="25" thickBot="1">
      <c r="E4554" s="627" t="s">
        <v>435</v>
      </c>
      <c r="F4554" s="1007">
        <v>0.52083333333333337</v>
      </c>
      <c r="G4554" s="1008"/>
      <c r="H4554" s="1009"/>
      <c r="I4554" s="995"/>
      <c r="J4554" s="996"/>
      <c r="K4554" s="997"/>
      <c r="L4554" s="647">
        <v>0.75</v>
      </c>
      <c r="M4554" s="648">
        <v>0.64583333333333337</v>
      </c>
    </row>
    <row r="4555" spans="4:13" ht="25" thickBot="1">
      <c r="E4555" s="628" t="s">
        <v>436</v>
      </c>
      <c r="F4555" s="200" t="s">
        <v>29</v>
      </c>
      <c r="G4555" s="200" t="s">
        <v>28</v>
      </c>
      <c r="H4555" s="201" t="s">
        <v>27</v>
      </c>
      <c r="I4555" s="995"/>
      <c r="J4555" s="996"/>
      <c r="K4555" s="997"/>
      <c r="L4555" s="99"/>
      <c r="M4555" s="100"/>
    </row>
    <row r="4556" spans="4:13" ht="23">
      <c r="E4556" s="629">
        <v>45736</v>
      </c>
      <c r="F4556" s="636">
        <v>12.5</v>
      </c>
      <c r="G4556" s="636">
        <v>8.8000000000000007</v>
      </c>
      <c r="H4556" s="636">
        <v>18.100000000000001</v>
      </c>
      <c r="I4556" s="995"/>
      <c r="J4556" s="996"/>
      <c r="K4556" s="997"/>
      <c r="L4556" s="99"/>
      <c r="M4556" s="100"/>
    </row>
    <row r="4557" spans="4:13" ht="23">
      <c r="E4557" s="629">
        <v>45708</v>
      </c>
      <c r="F4557" s="636">
        <v>18.100000000000001</v>
      </c>
      <c r="G4557" s="636">
        <v>19.399999999999999</v>
      </c>
      <c r="H4557" s="636">
        <v>44.3</v>
      </c>
      <c r="I4557" s="995"/>
      <c r="J4557" s="996"/>
      <c r="K4557" s="997"/>
      <c r="L4557" s="99"/>
      <c r="M4557" s="100"/>
    </row>
    <row r="4558" spans="4:13" ht="23">
      <c r="E4558" s="629">
        <v>45673</v>
      </c>
      <c r="F4558" s="636">
        <v>44.3</v>
      </c>
      <c r="G4558" s="636">
        <v>-5</v>
      </c>
      <c r="H4558" s="636">
        <v>-10.9</v>
      </c>
      <c r="I4558" s="995"/>
      <c r="J4558" s="996"/>
      <c r="K4558" s="997"/>
      <c r="L4558" s="649"/>
      <c r="M4558" s="100"/>
    </row>
    <row r="4559" spans="4:13" ht="23">
      <c r="E4559" s="629">
        <v>45645</v>
      </c>
      <c r="F4559" s="636">
        <v>-16.399999999999999</v>
      </c>
      <c r="G4559" s="636">
        <v>2.9</v>
      </c>
      <c r="H4559" s="636">
        <v>-5.5</v>
      </c>
      <c r="I4559" s="995"/>
      <c r="J4559" s="996"/>
      <c r="K4559" s="997"/>
      <c r="L4559" s="99"/>
      <c r="M4559" s="100"/>
    </row>
    <row r="4560" spans="4:13" ht="23">
      <c r="E4560" s="629">
        <v>45617</v>
      </c>
      <c r="F4560" s="636">
        <v>-5.5</v>
      </c>
      <c r="G4560" s="636">
        <v>7.4</v>
      </c>
      <c r="H4560" s="636">
        <v>10.3</v>
      </c>
      <c r="I4560" s="995"/>
      <c r="J4560" s="996"/>
      <c r="K4560" s="997"/>
      <c r="L4560" s="99"/>
      <c r="M4560" s="100"/>
    </row>
    <row r="4561" spans="3:13" ht="24" thickBot="1">
      <c r="E4561" s="629">
        <v>45582</v>
      </c>
      <c r="F4561" s="636">
        <v>10.3</v>
      </c>
      <c r="G4561" s="636">
        <v>4.2</v>
      </c>
      <c r="H4561" s="636">
        <v>1.7</v>
      </c>
      <c r="I4561" s="998"/>
      <c r="J4561" s="999"/>
      <c r="K4561" s="1000"/>
      <c r="L4561" s="102"/>
      <c r="M4561" s="103"/>
    </row>
    <row r="4562" spans="3:13" ht="25" thickBot="1">
      <c r="D4562">
        <v>3</v>
      </c>
      <c r="E4562" s="756" t="s">
        <v>30</v>
      </c>
      <c r="F4562" s="1066" t="s">
        <v>1952</v>
      </c>
      <c r="G4562" s="1067"/>
      <c r="H4562" s="1068"/>
      <c r="I4562" s="1069" t="s">
        <v>633</v>
      </c>
      <c r="J4562" s="1070"/>
      <c r="K4562" s="1071"/>
      <c r="L4562" s="658" t="s">
        <v>430</v>
      </c>
      <c r="M4562" s="659" t="s">
        <v>431</v>
      </c>
    </row>
    <row r="4563" spans="3:13" ht="24">
      <c r="E4563" s="625" t="s">
        <v>432</v>
      </c>
      <c r="F4563" s="992"/>
      <c r="G4563" s="993"/>
      <c r="H4563" s="994"/>
      <c r="I4563" s="995" t="s">
        <v>1953</v>
      </c>
      <c r="J4563" s="996"/>
      <c r="K4563" s="997"/>
      <c r="L4563" s="99"/>
      <c r="M4563" s="100"/>
    </row>
    <row r="4564" spans="3:13" ht="24">
      <c r="E4564" s="626" t="s">
        <v>433</v>
      </c>
      <c r="F4564" s="1022">
        <v>0</v>
      </c>
      <c r="G4564" s="1005"/>
      <c r="H4564" s="1006"/>
      <c r="I4564" s="995"/>
      <c r="J4564" s="996"/>
      <c r="K4564" s="997"/>
      <c r="L4564" s="99"/>
      <c r="M4564" s="100"/>
    </row>
    <row r="4565" spans="3:13" ht="25" thickBot="1">
      <c r="E4565" s="626" t="s">
        <v>434</v>
      </c>
      <c r="F4565" s="1080"/>
      <c r="G4565" s="1081"/>
      <c r="H4565" s="1082"/>
      <c r="I4565" s="995"/>
      <c r="J4565" s="996"/>
      <c r="K4565" s="997"/>
      <c r="L4565" s="99"/>
      <c r="M4565" s="100"/>
    </row>
    <row r="4566" spans="3:13" ht="25" thickBot="1">
      <c r="E4566" s="627" t="s">
        <v>435</v>
      </c>
      <c r="F4566" s="1007">
        <v>0.53125</v>
      </c>
      <c r="G4566" s="1008"/>
      <c r="H4566" s="1009"/>
      <c r="I4566" s="995"/>
      <c r="J4566" s="996"/>
      <c r="K4566" s="997"/>
      <c r="L4566" s="647">
        <v>0.76041666666666663</v>
      </c>
      <c r="M4566" s="648">
        <v>0.65625</v>
      </c>
    </row>
    <row r="4567" spans="3:13" ht="25" thickBot="1">
      <c r="E4567" s="628" t="s">
        <v>436</v>
      </c>
      <c r="F4567" s="200" t="s">
        <v>29</v>
      </c>
      <c r="G4567" s="200" t="s">
        <v>28</v>
      </c>
      <c r="H4567" s="201" t="s">
        <v>27</v>
      </c>
      <c r="I4567" s="995"/>
      <c r="J4567" s="996"/>
      <c r="K4567" s="997"/>
      <c r="L4567" s="99"/>
      <c r="M4567" s="100"/>
    </row>
    <row r="4568" spans="3:13" ht="23">
      <c r="E4568" s="629">
        <v>45722</v>
      </c>
      <c r="F4568" s="636"/>
      <c r="G4568" s="636"/>
      <c r="H4568" s="636"/>
      <c r="I4568" s="995"/>
      <c r="J4568" s="996"/>
      <c r="K4568" s="997"/>
      <c r="L4568" s="99"/>
      <c r="M4568" s="100"/>
    </row>
    <row r="4569" spans="3:13" ht="23">
      <c r="E4569" s="629">
        <v>45687</v>
      </c>
      <c r="F4569" s="636"/>
      <c r="G4569" s="636"/>
      <c r="H4569" s="636"/>
      <c r="I4569" s="995"/>
      <c r="J4569" s="996"/>
      <c r="K4569" s="997"/>
      <c r="L4569" s="99"/>
      <c r="M4569" s="100"/>
    </row>
    <row r="4570" spans="3:13" ht="23">
      <c r="E4570" s="629">
        <v>45638</v>
      </c>
      <c r="F4570" s="636"/>
      <c r="G4570" s="636"/>
      <c r="H4570" s="636"/>
      <c r="I4570" s="995"/>
      <c r="J4570" s="996"/>
      <c r="K4570" s="997"/>
      <c r="L4570" s="649"/>
      <c r="M4570" s="100"/>
    </row>
    <row r="4571" spans="3:13" ht="23">
      <c r="E4571" s="629">
        <v>45582</v>
      </c>
      <c r="F4571" s="636"/>
      <c r="G4571" s="636"/>
      <c r="H4571" s="636"/>
      <c r="I4571" s="995"/>
      <c r="J4571" s="996"/>
      <c r="K4571" s="997"/>
      <c r="L4571" s="99"/>
      <c r="M4571" s="100"/>
    </row>
    <row r="4572" spans="3:13" ht="23">
      <c r="E4572" s="629">
        <v>45547</v>
      </c>
      <c r="F4572" s="636"/>
      <c r="G4572" s="636"/>
      <c r="H4572" s="636"/>
      <c r="I4572" s="995"/>
      <c r="J4572" s="996"/>
      <c r="K4572" s="997"/>
      <c r="L4572" s="99"/>
      <c r="M4572" s="100"/>
    </row>
    <row r="4573" spans="3:13" ht="24" thickBot="1">
      <c r="E4573" s="629">
        <v>45491</v>
      </c>
      <c r="F4573" s="636"/>
      <c r="G4573" s="636"/>
      <c r="H4573" s="636"/>
      <c r="I4573" s="998"/>
      <c r="J4573" s="999"/>
      <c r="K4573" s="1000"/>
      <c r="L4573" s="102"/>
      <c r="M4573" s="103"/>
    </row>
    <row r="4574" spans="3:13" ht="25" thickBot="1">
      <c r="C4574" t="s">
        <v>105</v>
      </c>
      <c r="D4574">
        <v>1</v>
      </c>
      <c r="E4574" s="756" t="s">
        <v>30</v>
      </c>
      <c r="F4574" s="1066" t="s">
        <v>2012</v>
      </c>
      <c r="G4574" s="1067"/>
      <c r="H4574" s="1068"/>
      <c r="I4574" s="1069" t="s">
        <v>633</v>
      </c>
      <c r="J4574" s="1070"/>
      <c r="K4574" s="1071"/>
      <c r="L4574" s="158" t="s">
        <v>430</v>
      </c>
      <c r="M4574" s="105" t="s">
        <v>431</v>
      </c>
    </row>
    <row r="4575" spans="3:13" ht="24">
      <c r="E4575" s="625" t="s">
        <v>432</v>
      </c>
      <c r="F4575" s="992"/>
      <c r="G4575" s="993"/>
      <c r="H4575" s="994"/>
      <c r="I4575" s="995" t="s">
        <v>1620</v>
      </c>
      <c r="J4575" s="996"/>
      <c r="K4575" s="997"/>
      <c r="L4575" s="99"/>
      <c r="M4575" s="100"/>
    </row>
    <row r="4576" spans="3:13" ht="24">
      <c r="E4576" s="626" t="s">
        <v>433</v>
      </c>
      <c r="F4576" s="1072"/>
      <c r="G4576" s="1073"/>
      <c r="H4576" s="1074"/>
      <c r="I4576" s="995"/>
      <c r="J4576" s="996"/>
      <c r="K4576" s="997"/>
      <c r="L4576" s="99"/>
      <c r="M4576" s="100"/>
    </row>
    <row r="4577" spans="4:13" ht="25" thickBot="1">
      <c r="E4577" s="626" t="s">
        <v>434</v>
      </c>
      <c r="F4577" s="1076">
        <v>92.9</v>
      </c>
      <c r="G4577" s="1064"/>
      <c r="H4577" s="1065"/>
      <c r="I4577" s="995"/>
      <c r="J4577" s="996"/>
      <c r="K4577" s="997"/>
      <c r="L4577" s="99"/>
      <c r="M4577" s="100"/>
    </row>
    <row r="4578" spans="4:13" ht="25" thickBot="1">
      <c r="E4578" s="627" t="s">
        <v>435</v>
      </c>
      <c r="F4578" s="1007">
        <v>0.58333333333333337</v>
      </c>
      <c r="G4578" s="1008"/>
      <c r="H4578" s="1009"/>
      <c r="I4578" s="995"/>
      <c r="J4578" s="996"/>
      <c r="K4578" s="997"/>
      <c r="L4578" s="647">
        <v>0.8125</v>
      </c>
      <c r="M4578" s="648">
        <v>0.70833333333333337</v>
      </c>
    </row>
    <row r="4579" spans="4:13" ht="25" thickBot="1">
      <c r="E4579" s="628" t="s">
        <v>436</v>
      </c>
      <c r="F4579" s="200" t="s">
        <v>29</v>
      </c>
      <c r="G4579" s="200" t="s">
        <v>28</v>
      </c>
      <c r="H4579" s="201" t="s">
        <v>27</v>
      </c>
      <c r="I4579" s="995"/>
      <c r="J4579" s="996"/>
      <c r="K4579" s="997"/>
      <c r="L4579" s="99"/>
      <c r="M4579" s="100"/>
    </row>
    <row r="4580" spans="4:13" ht="23">
      <c r="E4580" s="629">
        <v>45741</v>
      </c>
      <c r="F4580" s="217">
        <v>92.9</v>
      </c>
      <c r="G4580" s="217">
        <v>94.2</v>
      </c>
      <c r="H4580" s="217">
        <v>100.1</v>
      </c>
      <c r="I4580" s="995"/>
      <c r="J4580" s="996"/>
      <c r="K4580" s="997"/>
      <c r="L4580" s="99"/>
      <c r="M4580" s="100"/>
    </row>
    <row r="4581" spans="4:13" ht="23">
      <c r="E4581" s="629">
        <v>45713</v>
      </c>
      <c r="F4581" s="217">
        <v>98.3</v>
      </c>
      <c r="G4581" s="217">
        <v>102.7</v>
      </c>
      <c r="H4581" s="217">
        <v>105.3</v>
      </c>
      <c r="I4581" s="995"/>
      <c r="J4581" s="996"/>
      <c r="K4581" s="997"/>
      <c r="L4581" s="99"/>
      <c r="M4581" s="100"/>
    </row>
    <row r="4582" spans="4:13" ht="23">
      <c r="E4582" s="629">
        <v>45685</v>
      </c>
      <c r="F4582" s="217">
        <v>104.1</v>
      </c>
      <c r="G4582" s="217">
        <v>105.7</v>
      </c>
      <c r="H4582" s="217">
        <v>109.5</v>
      </c>
      <c r="I4582" s="995"/>
      <c r="J4582" s="996"/>
      <c r="K4582" s="997"/>
      <c r="L4582" s="649"/>
      <c r="M4582" s="100"/>
    </row>
    <row r="4583" spans="4:13" ht="23">
      <c r="E4583" s="629">
        <v>45649</v>
      </c>
      <c r="F4583" s="217">
        <v>104.7</v>
      </c>
      <c r="G4583" s="217">
        <v>112.9</v>
      </c>
      <c r="H4583" s="217">
        <v>112.8</v>
      </c>
      <c r="I4583" s="995"/>
      <c r="J4583" s="996"/>
      <c r="K4583" s="997"/>
      <c r="L4583" s="99"/>
      <c r="M4583" s="100"/>
    </row>
    <row r="4584" spans="4:13" ht="23">
      <c r="E4584" s="629">
        <v>45622</v>
      </c>
      <c r="F4584" s="217">
        <v>111.7</v>
      </c>
      <c r="G4584" s="217">
        <v>111.8</v>
      </c>
      <c r="H4584" s="217">
        <v>109.6</v>
      </c>
      <c r="I4584" s="995"/>
      <c r="J4584" s="996"/>
      <c r="K4584" s="997"/>
      <c r="L4584" s="99"/>
      <c r="M4584" s="100"/>
    </row>
    <row r="4585" spans="4:13" ht="24" thickBot="1">
      <c r="E4585" s="629">
        <v>45594</v>
      </c>
      <c r="F4585" s="217">
        <v>108.7</v>
      </c>
      <c r="G4585" s="217">
        <v>99.5</v>
      </c>
      <c r="H4585" s="217">
        <v>99.2</v>
      </c>
      <c r="I4585" s="998"/>
      <c r="J4585" s="999"/>
      <c r="K4585" s="1000"/>
      <c r="L4585" s="102"/>
      <c r="M4585" s="103"/>
    </row>
    <row r="4586" spans="4:13" ht="25" thickBot="1">
      <c r="D4586">
        <v>1</v>
      </c>
      <c r="E4586" s="756" t="s">
        <v>30</v>
      </c>
      <c r="F4586" s="1066" t="s">
        <v>2013</v>
      </c>
      <c r="G4586" s="1067"/>
      <c r="H4586" s="1068"/>
      <c r="I4586" s="1069" t="s">
        <v>633</v>
      </c>
      <c r="J4586" s="1070"/>
      <c r="K4586" s="1071"/>
      <c r="L4586" s="158" t="s">
        <v>430</v>
      </c>
      <c r="M4586" s="105" t="s">
        <v>431</v>
      </c>
    </row>
    <row r="4587" spans="4:13" ht="24">
      <c r="E4587" s="625" t="s">
        <v>432</v>
      </c>
      <c r="F4587" s="992"/>
      <c r="G4587" s="993"/>
      <c r="H4587" s="994"/>
      <c r="I4587" s="995" t="s">
        <v>2015</v>
      </c>
      <c r="J4587" s="996"/>
      <c r="K4587" s="997"/>
      <c r="L4587" s="99"/>
      <c r="M4587" s="100"/>
    </row>
    <row r="4588" spans="4:13" ht="24">
      <c r="E4588" s="626" t="s">
        <v>433</v>
      </c>
      <c r="F4588" s="1072"/>
      <c r="G4588" s="1073"/>
      <c r="H4588" s="1074"/>
      <c r="I4588" s="995"/>
      <c r="J4588" s="996"/>
      <c r="K4588" s="997"/>
      <c r="L4588" s="99"/>
      <c r="M4588" s="100"/>
    </row>
    <row r="4589" spans="4:13" ht="25" thickBot="1">
      <c r="E4589" s="626" t="s">
        <v>434</v>
      </c>
      <c r="F4589" s="1076" t="s">
        <v>2014</v>
      </c>
      <c r="G4589" s="1064"/>
      <c r="H4589" s="1065"/>
      <c r="I4589" s="995"/>
      <c r="J4589" s="996"/>
      <c r="K4589" s="997"/>
      <c r="L4589" s="99"/>
      <c r="M4589" s="100"/>
    </row>
    <row r="4590" spans="4:13" ht="25" thickBot="1">
      <c r="E4590" s="627" t="s">
        <v>435</v>
      </c>
      <c r="F4590" s="1007">
        <v>0.58333333333333337</v>
      </c>
      <c r="G4590" s="1008"/>
      <c r="H4590" s="1009"/>
      <c r="I4590" s="995"/>
      <c r="J4590" s="996"/>
      <c r="K4590" s="997"/>
      <c r="L4590" s="647">
        <v>0.8125</v>
      </c>
      <c r="M4590" s="648">
        <v>0.70833333333333337</v>
      </c>
    </row>
    <row r="4591" spans="4:13" ht="25" thickBot="1">
      <c r="E4591" s="628" t="s">
        <v>436</v>
      </c>
      <c r="F4591" s="200" t="s">
        <v>29</v>
      </c>
      <c r="G4591" s="200" t="s">
        <v>28</v>
      </c>
      <c r="H4591" s="201" t="s">
        <v>27</v>
      </c>
      <c r="I4591" s="995"/>
      <c r="J4591" s="996"/>
      <c r="K4591" s="997"/>
      <c r="L4591" s="99"/>
      <c r="M4591" s="100"/>
    </row>
    <row r="4592" spans="4:13" ht="24">
      <c r="E4592" s="629">
        <v>45748</v>
      </c>
      <c r="F4592" s="634" t="s">
        <v>2056</v>
      </c>
      <c r="G4592" s="634" t="s">
        <v>2057</v>
      </c>
      <c r="H4592" s="634" t="s">
        <v>2058</v>
      </c>
      <c r="I4592" s="995"/>
      <c r="J4592" s="996"/>
      <c r="K4592" s="997"/>
      <c r="L4592" s="99"/>
      <c r="M4592" s="100"/>
    </row>
    <row r="4593" spans="4:13" ht="24">
      <c r="E4593" s="629">
        <v>45727</v>
      </c>
      <c r="F4593" s="634" t="s">
        <v>1798</v>
      </c>
      <c r="G4593" s="634" t="s">
        <v>1799</v>
      </c>
      <c r="H4593" s="634" t="s">
        <v>1800</v>
      </c>
      <c r="I4593" s="995"/>
      <c r="J4593" s="996"/>
      <c r="K4593" s="997"/>
      <c r="L4593" s="99"/>
      <c r="M4593" s="100"/>
    </row>
    <row r="4594" spans="4:13" ht="24">
      <c r="E4594" s="629">
        <v>45692</v>
      </c>
      <c r="F4594" s="634" t="s">
        <v>1804</v>
      </c>
      <c r="G4594" s="634" t="s">
        <v>1805</v>
      </c>
      <c r="H4594" s="634" t="s">
        <v>1806</v>
      </c>
      <c r="I4594" s="995"/>
      <c r="J4594" s="996"/>
      <c r="K4594" s="997"/>
      <c r="L4594" s="649"/>
      <c r="M4594" s="100"/>
    </row>
    <row r="4595" spans="4:13" ht="24">
      <c r="E4595" s="629">
        <v>45664</v>
      </c>
      <c r="F4595" s="634" t="s">
        <v>1811</v>
      </c>
      <c r="G4595" s="634" t="s">
        <v>1812</v>
      </c>
      <c r="H4595" s="634" t="s">
        <v>1813</v>
      </c>
      <c r="I4595" s="995"/>
      <c r="J4595" s="996"/>
      <c r="K4595" s="997"/>
      <c r="L4595" s="99"/>
      <c r="M4595" s="100"/>
    </row>
    <row r="4596" spans="4:13" ht="24">
      <c r="E4596" s="629">
        <v>45629</v>
      </c>
      <c r="F4596" s="634" t="s">
        <v>1385</v>
      </c>
      <c r="G4596" s="634" t="s">
        <v>1386</v>
      </c>
      <c r="H4596" s="634" t="s">
        <v>1387</v>
      </c>
      <c r="I4596" s="995"/>
      <c r="J4596" s="996"/>
      <c r="K4596" s="997"/>
      <c r="L4596" s="99"/>
      <c r="M4596" s="100"/>
    </row>
    <row r="4597" spans="4:13" ht="25" thickBot="1">
      <c r="E4597" s="629">
        <v>45594</v>
      </c>
      <c r="F4597" s="634" t="s">
        <v>1174</v>
      </c>
      <c r="G4597" s="634" t="s">
        <v>1175</v>
      </c>
      <c r="H4597" s="634" t="s">
        <v>1176</v>
      </c>
      <c r="I4597" s="998"/>
      <c r="J4597" s="999"/>
      <c r="K4597" s="1000"/>
      <c r="L4597" s="102"/>
      <c r="M4597" s="103"/>
    </row>
    <row r="4598" spans="4:13" ht="25" thickBot="1">
      <c r="D4598">
        <v>1</v>
      </c>
      <c r="E4598" s="756" t="s">
        <v>30</v>
      </c>
      <c r="F4598" s="1066" t="s">
        <v>2016</v>
      </c>
      <c r="G4598" s="1067"/>
      <c r="H4598" s="1068"/>
      <c r="I4598" s="1069" t="s">
        <v>633</v>
      </c>
      <c r="J4598" s="1070"/>
      <c r="K4598" s="1071"/>
      <c r="L4598" s="158" t="s">
        <v>430</v>
      </c>
      <c r="M4598" s="105" t="s">
        <v>431</v>
      </c>
    </row>
    <row r="4599" spans="4:13" ht="24">
      <c r="E4599" s="625" t="s">
        <v>432</v>
      </c>
      <c r="F4599" s="992"/>
      <c r="G4599" s="993"/>
      <c r="H4599" s="994"/>
      <c r="I4599" s="995" t="s">
        <v>2017</v>
      </c>
      <c r="J4599" s="996"/>
      <c r="K4599" s="997"/>
      <c r="L4599" s="99"/>
      <c r="M4599" s="100"/>
    </row>
    <row r="4600" spans="4:13" ht="24">
      <c r="E4600" s="626" t="s">
        <v>433</v>
      </c>
      <c r="F4600" s="1072"/>
      <c r="G4600" s="1073"/>
      <c r="H4600" s="1074"/>
      <c r="I4600" s="995"/>
      <c r="J4600" s="996"/>
      <c r="K4600" s="997"/>
      <c r="L4600" s="99"/>
      <c r="M4600" s="100"/>
    </row>
    <row r="4601" spans="4:13" ht="25" thickBot="1">
      <c r="E4601" s="626" t="s">
        <v>434</v>
      </c>
      <c r="F4601" s="1076">
        <v>49</v>
      </c>
      <c r="G4601" s="1064"/>
      <c r="H4601" s="1065"/>
      <c r="I4601" s="995"/>
      <c r="J4601" s="996"/>
      <c r="K4601" s="997"/>
      <c r="L4601" s="99"/>
      <c r="M4601" s="100"/>
    </row>
    <row r="4602" spans="4:13" ht="25" thickBot="1">
      <c r="E4602" s="627" t="s">
        <v>435</v>
      </c>
      <c r="F4602" s="1007">
        <v>6.2500000000000028E-2</v>
      </c>
      <c r="G4602" s="1008"/>
      <c r="H4602" s="1009"/>
      <c r="I4602" s="995"/>
      <c r="J4602" s="996"/>
      <c r="K4602" s="997"/>
      <c r="L4602" s="647">
        <v>0.29166666666666669</v>
      </c>
      <c r="M4602" s="648">
        <v>0.1875</v>
      </c>
    </row>
    <row r="4603" spans="4:13" ht="25" thickBot="1">
      <c r="E4603" s="628" t="s">
        <v>436</v>
      </c>
      <c r="F4603" s="200" t="s">
        <v>29</v>
      </c>
      <c r="G4603" s="200" t="s">
        <v>28</v>
      </c>
      <c r="H4603" s="201" t="s">
        <v>27</v>
      </c>
      <c r="I4603" s="995"/>
      <c r="J4603" s="996"/>
      <c r="K4603" s="997"/>
      <c r="L4603" s="99"/>
      <c r="M4603" s="100"/>
    </row>
    <row r="4604" spans="4:13" ht="24">
      <c r="E4604" s="629">
        <v>45747</v>
      </c>
      <c r="F4604" s="634" t="s">
        <v>2059</v>
      </c>
      <c r="G4604" s="634" t="s">
        <v>2060</v>
      </c>
      <c r="H4604" s="634" t="s">
        <v>1659</v>
      </c>
      <c r="I4604" s="995"/>
      <c r="J4604" s="996"/>
      <c r="K4604" s="997"/>
      <c r="L4604" s="99"/>
      <c r="M4604" s="100"/>
    </row>
    <row r="4605" spans="4:13" ht="24">
      <c r="E4605" s="629">
        <v>45717</v>
      </c>
      <c r="F4605" s="634" t="s">
        <v>1659</v>
      </c>
      <c r="G4605" s="634" t="s">
        <v>2061</v>
      </c>
      <c r="H4605" s="634" t="s">
        <v>1656</v>
      </c>
      <c r="I4605" s="995"/>
      <c r="J4605" s="996"/>
      <c r="K4605" s="997"/>
      <c r="L4605" s="99"/>
      <c r="M4605" s="100"/>
    </row>
    <row r="4606" spans="4:13" ht="24">
      <c r="E4606" s="629">
        <v>45684</v>
      </c>
      <c r="F4606" s="634" t="s">
        <v>1656</v>
      </c>
      <c r="G4606" s="634" t="s">
        <v>1657</v>
      </c>
      <c r="H4606" s="634" t="s">
        <v>1657</v>
      </c>
      <c r="I4606" s="995"/>
      <c r="J4606" s="996"/>
      <c r="K4606" s="997"/>
      <c r="L4606" s="649"/>
      <c r="M4606" s="100"/>
    </row>
    <row r="4607" spans="4:13" ht="24">
      <c r="E4607" s="629">
        <v>45657</v>
      </c>
      <c r="F4607" s="634" t="s">
        <v>1657</v>
      </c>
      <c r="G4607" s="634" t="s">
        <v>1658</v>
      </c>
      <c r="H4607" s="634" t="s">
        <v>1658</v>
      </c>
      <c r="I4607" s="995"/>
      <c r="J4607" s="996"/>
      <c r="K4607" s="997"/>
      <c r="L4607" s="99"/>
      <c r="M4607" s="100"/>
    </row>
    <row r="4608" spans="4:13" ht="24">
      <c r="E4608" s="629">
        <v>45626</v>
      </c>
      <c r="F4608" s="634" t="s">
        <v>1658</v>
      </c>
      <c r="G4608" s="634" t="s">
        <v>1659</v>
      </c>
      <c r="H4608" s="634" t="s">
        <v>1657</v>
      </c>
      <c r="I4608" s="995"/>
      <c r="J4608" s="996"/>
      <c r="K4608" s="997"/>
      <c r="L4608" s="99"/>
      <c r="M4608" s="100"/>
    </row>
    <row r="4609" spans="4:13" ht="25" thickBot="1">
      <c r="E4609" s="629">
        <v>45596</v>
      </c>
      <c r="F4609" s="634" t="s">
        <v>1657</v>
      </c>
      <c r="G4609" s="634" t="s">
        <v>1172</v>
      </c>
      <c r="H4609" s="634" t="s">
        <v>1172</v>
      </c>
      <c r="I4609" s="998"/>
      <c r="J4609" s="999"/>
      <c r="K4609" s="1000"/>
      <c r="L4609" s="102"/>
      <c r="M4609" s="103"/>
    </row>
    <row r="4610" spans="4:13" ht="25" thickBot="1">
      <c r="D4610">
        <v>1</v>
      </c>
      <c r="E4610" s="756" t="s">
        <v>30</v>
      </c>
      <c r="F4610" s="1066" t="s">
        <v>2018</v>
      </c>
      <c r="G4610" s="1067"/>
      <c r="H4610" s="1068"/>
      <c r="I4610" s="1069" t="s">
        <v>633</v>
      </c>
      <c r="J4610" s="1070"/>
      <c r="K4610" s="1071"/>
      <c r="L4610" s="158" t="s">
        <v>430</v>
      </c>
      <c r="M4610" s="105" t="s">
        <v>431</v>
      </c>
    </row>
    <row r="4611" spans="4:13" ht="24">
      <c r="E4611" s="625" t="s">
        <v>432</v>
      </c>
      <c r="F4611" s="992"/>
      <c r="G4611" s="993"/>
      <c r="H4611" s="994"/>
      <c r="I4611" s="995" t="s">
        <v>2021</v>
      </c>
      <c r="J4611" s="996"/>
      <c r="K4611" s="997"/>
      <c r="L4611" s="99"/>
      <c r="M4611" s="100"/>
    </row>
    <row r="4612" spans="4:13" ht="24">
      <c r="E4612" s="626" t="s">
        <v>433</v>
      </c>
      <c r="F4612" s="1072"/>
      <c r="G4612" s="1073"/>
      <c r="H4612" s="1074"/>
      <c r="I4612" s="995"/>
      <c r="J4612" s="996"/>
      <c r="K4612" s="997"/>
      <c r="L4612" s="99"/>
      <c r="M4612" s="100"/>
    </row>
    <row r="4613" spans="4:13" ht="25" thickBot="1">
      <c r="E4613" s="626" t="s">
        <v>434</v>
      </c>
      <c r="F4613" s="1063">
        <v>-2E-3</v>
      </c>
      <c r="G4613" s="1064"/>
      <c r="H4613" s="1065"/>
      <c r="I4613" s="995"/>
      <c r="J4613" s="996"/>
      <c r="K4613" s="997"/>
      <c r="L4613" s="99"/>
      <c r="M4613" s="100"/>
    </row>
    <row r="4614" spans="4:13" ht="25" thickBot="1">
      <c r="E4614" s="627" t="s">
        <v>435</v>
      </c>
      <c r="F4614" s="1007">
        <v>0.33333333333333337</v>
      </c>
      <c r="G4614" s="1008"/>
      <c r="H4614" s="1009"/>
      <c r="I4614" s="995"/>
      <c r="J4614" s="996"/>
      <c r="K4614" s="997"/>
      <c r="L4614" s="647">
        <v>0.5625</v>
      </c>
      <c r="M4614" s="648">
        <v>0.45833333333333331</v>
      </c>
    </row>
    <row r="4615" spans="4:13" ht="25" thickBot="1">
      <c r="E4615" s="628" t="s">
        <v>436</v>
      </c>
      <c r="F4615" s="200" t="s">
        <v>29</v>
      </c>
      <c r="G4615" s="200" t="s">
        <v>28</v>
      </c>
      <c r="H4615" s="201" t="s">
        <v>27</v>
      </c>
      <c r="I4615" s="995"/>
      <c r="J4615" s="996"/>
      <c r="K4615" s="997"/>
      <c r="L4615" s="99"/>
      <c r="M4615" s="100"/>
    </row>
    <row r="4616" spans="4:13" ht="23">
      <c r="E4616" s="629">
        <v>45713</v>
      </c>
      <c r="F4616" s="634">
        <v>-2E-3</v>
      </c>
      <c r="G4616" s="634">
        <v>-2E-3</v>
      </c>
      <c r="H4616" s="634">
        <v>1E-3</v>
      </c>
      <c r="I4616" s="995"/>
      <c r="J4616" s="996"/>
      <c r="K4616" s="997"/>
      <c r="L4616" s="99"/>
      <c r="M4616" s="100"/>
    </row>
    <row r="4617" spans="4:13" ht="23">
      <c r="E4617" s="629">
        <v>45687</v>
      </c>
      <c r="F4617" s="634">
        <v>-2E-3</v>
      </c>
      <c r="G4617" s="634">
        <v>-1E-3</v>
      </c>
      <c r="H4617" s="634">
        <v>1E-3</v>
      </c>
      <c r="I4617" s="995"/>
      <c r="J4617" s="996"/>
      <c r="K4617" s="997"/>
      <c r="L4617" s="99"/>
      <c r="M4617" s="100"/>
    </row>
    <row r="4618" spans="4:13" ht="23">
      <c r="E4618" s="629">
        <v>45618</v>
      </c>
      <c r="F4618" s="634">
        <v>1E-3</v>
      </c>
      <c r="G4618" s="634">
        <v>2E-3</v>
      </c>
      <c r="H4618" s="634">
        <v>2E-3</v>
      </c>
      <c r="I4618" s="995"/>
      <c r="J4618" s="996"/>
      <c r="K4618" s="997"/>
      <c r="L4618" s="649"/>
      <c r="M4618" s="100"/>
    </row>
    <row r="4619" spans="4:13" ht="23">
      <c r="E4619" s="629">
        <v>45595</v>
      </c>
      <c r="F4619" s="634">
        <v>2E-3</v>
      </c>
      <c r="G4619" s="634">
        <v>-1E-3</v>
      </c>
      <c r="H4619" s="634">
        <v>-3.0000000000000001E-3</v>
      </c>
      <c r="I4619" s="995"/>
      <c r="J4619" s="996"/>
      <c r="K4619" s="997"/>
      <c r="L4619" s="99"/>
      <c r="M4619" s="100"/>
    </row>
    <row r="4620" spans="4:13" ht="23">
      <c r="E4620" s="629">
        <v>45531</v>
      </c>
      <c r="F4620" s="634">
        <v>-1E-3</v>
      </c>
      <c r="G4620" s="634">
        <v>-1E-3</v>
      </c>
      <c r="H4620" s="634">
        <v>2E-3</v>
      </c>
      <c r="I4620" s="995"/>
      <c r="J4620" s="996"/>
      <c r="K4620" s="997"/>
      <c r="L4620" s="99"/>
      <c r="M4620" s="100"/>
    </row>
    <row r="4621" spans="4:13" ht="24" thickBot="1">
      <c r="E4621" s="629">
        <v>45503</v>
      </c>
      <c r="F4621" s="634">
        <v>-1E-3</v>
      </c>
      <c r="G4621" s="634">
        <v>1E-3</v>
      </c>
      <c r="H4621" s="634">
        <v>2E-3</v>
      </c>
      <c r="I4621" s="998"/>
      <c r="J4621" s="999"/>
      <c r="K4621" s="1000"/>
      <c r="L4621" s="102"/>
      <c r="M4621" s="103"/>
    </row>
    <row r="4622" spans="4:13" ht="25" thickBot="1">
      <c r="D4622">
        <v>1</v>
      </c>
      <c r="E4622" s="624" t="s">
        <v>30</v>
      </c>
      <c r="F4622" s="1057" t="s">
        <v>2020</v>
      </c>
      <c r="G4622" s="1058"/>
      <c r="H4622" s="1059"/>
      <c r="I4622" s="1060" t="s">
        <v>633</v>
      </c>
      <c r="J4622" s="1061"/>
      <c r="K4622" s="1062"/>
      <c r="L4622" s="158" t="s">
        <v>430</v>
      </c>
      <c r="M4622" s="105" t="s">
        <v>431</v>
      </c>
    </row>
    <row r="4623" spans="4:13" ht="24">
      <c r="E4623" s="625" t="s">
        <v>432</v>
      </c>
      <c r="F4623" s="992"/>
      <c r="G4623" s="993"/>
      <c r="H4623" s="994"/>
      <c r="I4623" s="995" t="s">
        <v>2021</v>
      </c>
      <c r="J4623" s="996"/>
      <c r="K4623" s="997"/>
      <c r="L4623" s="99"/>
      <c r="M4623" s="100"/>
    </row>
    <row r="4624" spans="4:13" ht="24">
      <c r="E4624" s="626" t="s">
        <v>433</v>
      </c>
      <c r="F4624" s="1072"/>
      <c r="G4624" s="1073"/>
      <c r="H4624" s="1074"/>
      <c r="I4624" s="995"/>
      <c r="J4624" s="996"/>
      <c r="K4624" s="997"/>
      <c r="L4624" s="99"/>
      <c r="M4624" s="100"/>
    </row>
    <row r="4625" spans="4:13" ht="25" thickBot="1">
      <c r="E4625" s="626" t="s">
        <v>434</v>
      </c>
      <c r="F4625" s="1063">
        <v>3.0000000000000001E-3</v>
      </c>
      <c r="G4625" s="1064"/>
      <c r="H4625" s="1065"/>
      <c r="I4625" s="995"/>
      <c r="J4625" s="996"/>
      <c r="K4625" s="997"/>
      <c r="L4625" s="99"/>
      <c r="M4625" s="100"/>
    </row>
    <row r="4626" spans="4:13" ht="25" thickBot="1">
      <c r="E4626" s="627" t="s">
        <v>435</v>
      </c>
      <c r="F4626" s="1007">
        <v>0.5</v>
      </c>
      <c r="G4626" s="1008"/>
      <c r="H4626" s="1009"/>
      <c r="I4626" s="995"/>
      <c r="J4626" s="996"/>
      <c r="K4626" s="997"/>
      <c r="L4626" s="647">
        <v>0.72916666666666663</v>
      </c>
      <c r="M4626" s="648">
        <v>0.625</v>
      </c>
    </row>
    <row r="4627" spans="4:13" ht="25" thickBot="1">
      <c r="E4627" s="628" t="s">
        <v>436</v>
      </c>
      <c r="F4627" s="200" t="s">
        <v>29</v>
      </c>
      <c r="G4627" s="200" t="s">
        <v>28</v>
      </c>
      <c r="H4627" s="201" t="s">
        <v>27</v>
      </c>
      <c r="I4627" s="995"/>
      <c r="J4627" s="996"/>
      <c r="K4627" s="997"/>
      <c r="L4627" s="99"/>
      <c r="M4627" s="100"/>
    </row>
    <row r="4628" spans="4:13" ht="23">
      <c r="E4628" s="629">
        <v>45758</v>
      </c>
      <c r="F4628" s="634">
        <v>3.0000000000000001E-3</v>
      </c>
      <c r="G4628" s="634">
        <v>3.0000000000000001E-3</v>
      </c>
      <c r="H4628" s="634">
        <v>4.0000000000000001E-3</v>
      </c>
      <c r="I4628" s="995"/>
      <c r="J4628" s="996"/>
      <c r="K4628" s="997"/>
      <c r="L4628" s="99"/>
      <c r="M4628" s="100"/>
    </row>
    <row r="4629" spans="4:13" ht="23">
      <c r="E4629" s="629">
        <v>45747</v>
      </c>
      <c r="F4629" s="634">
        <v>3.0000000000000001E-3</v>
      </c>
      <c r="G4629" s="634">
        <v>3.0000000000000001E-3</v>
      </c>
      <c r="H4629" s="634">
        <v>4.0000000000000001E-3</v>
      </c>
      <c r="I4629" s="995"/>
      <c r="J4629" s="996"/>
      <c r="K4629" s="997"/>
      <c r="L4629" s="99"/>
      <c r="M4629" s="100"/>
    </row>
    <row r="4630" spans="4:13" ht="23">
      <c r="E4630" s="629">
        <v>45730</v>
      </c>
      <c r="F4630" s="634">
        <v>4.0000000000000001E-3</v>
      </c>
      <c r="G4630" s="634">
        <v>4.0000000000000001E-3</v>
      </c>
      <c r="H4630" s="634">
        <v>-2E-3</v>
      </c>
      <c r="I4630" s="995"/>
      <c r="J4630" s="996"/>
      <c r="K4630" s="997"/>
      <c r="L4630" s="649"/>
      <c r="M4630" s="100"/>
    </row>
    <row r="4631" spans="4:13" ht="23">
      <c r="E4631" s="629">
        <v>45716</v>
      </c>
      <c r="F4631" s="634">
        <v>4.0000000000000001E-3</v>
      </c>
      <c r="G4631" s="634">
        <v>4.0000000000000001E-3</v>
      </c>
      <c r="H4631" s="634">
        <v>-2E-3</v>
      </c>
      <c r="I4631" s="995"/>
      <c r="J4631" s="996"/>
      <c r="K4631" s="997"/>
      <c r="L4631" s="99"/>
      <c r="M4631" s="100"/>
    </row>
    <row r="4632" spans="4:13" ht="23">
      <c r="E4632" s="629">
        <v>45701</v>
      </c>
      <c r="F4632" s="634">
        <v>-2E-3</v>
      </c>
      <c r="G4632" s="634">
        <v>-2E-3</v>
      </c>
      <c r="H4632" s="634">
        <v>5.0000000000000001E-3</v>
      </c>
      <c r="I4632" s="995"/>
      <c r="J4632" s="996"/>
      <c r="K4632" s="997"/>
      <c r="L4632" s="99"/>
      <c r="M4632" s="100"/>
    </row>
    <row r="4633" spans="4:13" ht="24" thickBot="1">
      <c r="E4633" s="629">
        <v>45688</v>
      </c>
      <c r="F4633" s="634">
        <v>-2E-3</v>
      </c>
      <c r="G4633" s="634">
        <v>1E-3</v>
      </c>
      <c r="H4633" s="634">
        <v>5.0000000000000001E-3</v>
      </c>
      <c r="I4633" s="998"/>
      <c r="J4633" s="999"/>
      <c r="K4633" s="1000"/>
      <c r="L4633" s="102"/>
      <c r="M4633" s="103"/>
    </row>
    <row r="4634" spans="4:13" ht="25" thickBot="1">
      <c r="D4634">
        <v>1</v>
      </c>
      <c r="E4634" s="624" t="s">
        <v>30</v>
      </c>
      <c r="F4634" s="1057" t="s">
        <v>2022</v>
      </c>
      <c r="G4634" s="1058"/>
      <c r="H4634" s="1059"/>
      <c r="I4634" s="1060" t="s">
        <v>633</v>
      </c>
      <c r="J4634" s="1061"/>
      <c r="K4634" s="1062"/>
      <c r="L4634" s="158" t="s">
        <v>430</v>
      </c>
      <c r="M4634" s="105" t="s">
        <v>431</v>
      </c>
    </row>
    <row r="4635" spans="4:13" ht="24">
      <c r="E4635" s="625" t="s">
        <v>432</v>
      </c>
      <c r="F4635" s="992"/>
      <c r="G4635" s="993"/>
      <c r="H4635" s="994"/>
      <c r="I4635" s="995" t="s">
        <v>2023</v>
      </c>
      <c r="J4635" s="996"/>
      <c r="K4635" s="997"/>
      <c r="L4635" s="99"/>
      <c r="M4635" s="100"/>
    </row>
    <row r="4636" spans="4:13" ht="24">
      <c r="E4636" s="626" t="s">
        <v>433</v>
      </c>
      <c r="F4636" s="1072"/>
      <c r="G4636" s="1073"/>
      <c r="H4636" s="1074"/>
      <c r="I4636" s="995"/>
      <c r="J4636" s="996"/>
      <c r="K4636" s="997"/>
      <c r="L4636" s="99"/>
      <c r="M4636" s="100"/>
    </row>
    <row r="4637" spans="4:13" ht="25" thickBot="1">
      <c r="E4637" s="626" t="s">
        <v>434</v>
      </c>
      <c r="F4637" s="1063" t="s">
        <v>292</v>
      </c>
      <c r="G4637" s="1064"/>
      <c r="H4637" s="1065"/>
      <c r="I4637" s="995"/>
      <c r="J4637" s="996"/>
      <c r="K4637" s="997"/>
      <c r="L4637" s="99"/>
      <c r="M4637" s="100"/>
    </row>
    <row r="4638" spans="4:13" ht="25" thickBot="1">
      <c r="E4638" s="627" t="s">
        <v>435</v>
      </c>
      <c r="F4638" s="1007">
        <v>0.52083333333333337</v>
      </c>
      <c r="G4638" s="1008"/>
      <c r="H4638" s="1009"/>
      <c r="I4638" s="995"/>
      <c r="J4638" s="996"/>
      <c r="K4638" s="997"/>
      <c r="L4638" s="647">
        <v>0.73958333333333337</v>
      </c>
      <c r="M4638" s="648">
        <v>0.63541666666666674</v>
      </c>
    </row>
    <row r="4639" spans="4:13" ht="25" thickBot="1">
      <c r="E4639" s="628" t="s">
        <v>436</v>
      </c>
      <c r="F4639" s="200" t="s">
        <v>29</v>
      </c>
      <c r="G4639" s="200" t="s">
        <v>28</v>
      </c>
      <c r="H4639" s="201" t="s">
        <v>27</v>
      </c>
      <c r="I4639" s="995"/>
      <c r="J4639" s="996"/>
      <c r="K4639" s="997"/>
      <c r="L4639" s="99"/>
      <c r="M4639" s="100"/>
    </row>
    <row r="4640" spans="4:13" ht="24">
      <c r="E4640" s="629">
        <v>45749</v>
      </c>
      <c r="F4640" s="634" t="s">
        <v>1203</v>
      </c>
      <c r="G4640" s="634" t="s">
        <v>2062</v>
      </c>
      <c r="H4640" s="634" t="s">
        <v>2063</v>
      </c>
      <c r="I4640" s="995"/>
      <c r="J4640" s="996"/>
      <c r="K4640" s="997"/>
      <c r="L4640" s="99"/>
      <c r="M4640" s="100"/>
    </row>
    <row r="4641" spans="4:13" ht="24">
      <c r="E4641" s="629">
        <v>45721</v>
      </c>
      <c r="F4641" s="634" t="s">
        <v>1825</v>
      </c>
      <c r="G4641" s="634" t="s">
        <v>1826</v>
      </c>
      <c r="H4641" s="634" t="s">
        <v>1827</v>
      </c>
      <c r="I4641" s="995"/>
      <c r="J4641" s="996"/>
      <c r="K4641" s="997"/>
      <c r="L4641" s="99"/>
      <c r="M4641" s="100"/>
    </row>
    <row r="4642" spans="4:13" ht="24">
      <c r="E4642" s="629">
        <v>45693</v>
      </c>
      <c r="F4642" s="634" t="s">
        <v>1830</v>
      </c>
      <c r="G4642" s="634" t="s">
        <v>1831</v>
      </c>
      <c r="H4642" s="634" t="s">
        <v>1239</v>
      </c>
      <c r="I4642" s="995"/>
      <c r="J4642" s="996"/>
      <c r="K4642" s="997"/>
      <c r="L4642" s="649"/>
      <c r="M4642" s="100"/>
    </row>
    <row r="4643" spans="4:13" ht="24">
      <c r="E4643" s="629">
        <v>45665</v>
      </c>
      <c r="F4643" s="634" t="s">
        <v>1201</v>
      </c>
      <c r="G4643" s="634" t="s">
        <v>1834</v>
      </c>
      <c r="H4643" s="634" t="s">
        <v>1388</v>
      </c>
      <c r="I4643" s="995"/>
      <c r="J4643" s="996"/>
      <c r="K4643" s="997"/>
      <c r="L4643" s="99"/>
      <c r="M4643" s="100"/>
    </row>
    <row r="4644" spans="4:13" ht="24">
      <c r="E4644" s="629">
        <v>45630</v>
      </c>
      <c r="F4644" s="634" t="s">
        <v>1388</v>
      </c>
      <c r="G4644" s="634" t="s">
        <v>1389</v>
      </c>
      <c r="H4644" s="634" t="s">
        <v>1390</v>
      </c>
      <c r="I4644" s="995"/>
      <c r="J4644" s="996"/>
      <c r="K4644" s="997"/>
      <c r="L4644" s="99"/>
      <c r="M4644" s="100"/>
    </row>
    <row r="4645" spans="4:13" ht="25" thickBot="1">
      <c r="E4645" s="629">
        <v>45595</v>
      </c>
      <c r="F4645" s="634" t="s">
        <v>1192</v>
      </c>
      <c r="G4645" s="634" t="s">
        <v>1193</v>
      </c>
      <c r="H4645" s="634" t="s">
        <v>1194</v>
      </c>
      <c r="I4645" s="998"/>
      <c r="J4645" s="999"/>
      <c r="K4645" s="1000"/>
      <c r="L4645" s="102"/>
      <c r="M4645" s="103"/>
    </row>
    <row r="4646" spans="4:13" ht="25" thickBot="1">
      <c r="D4646">
        <v>1</v>
      </c>
      <c r="E4646" s="756" t="s">
        <v>30</v>
      </c>
      <c r="F4646" s="1066" t="s">
        <v>2024</v>
      </c>
      <c r="G4646" s="1067"/>
      <c r="H4646" s="1068"/>
      <c r="I4646" s="1069" t="s">
        <v>633</v>
      </c>
      <c r="J4646" s="1070"/>
      <c r="K4646" s="1071"/>
      <c r="L4646" s="158" t="s">
        <v>430</v>
      </c>
      <c r="M4646" s="105" t="s">
        <v>431</v>
      </c>
    </row>
    <row r="4647" spans="4:13" ht="24">
      <c r="E4647" s="625" t="s">
        <v>432</v>
      </c>
      <c r="F4647" s="992"/>
      <c r="G4647" s="993"/>
      <c r="H4647" s="994"/>
      <c r="I4647" s="995" t="s">
        <v>1632</v>
      </c>
      <c r="J4647" s="996"/>
      <c r="K4647" s="997"/>
      <c r="L4647" s="99"/>
      <c r="M4647" s="100"/>
    </row>
    <row r="4648" spans="4:13" ht="24">
      <c r="E4648" s="626" t="s">
        <v>433</v>
      </c>
      <c r="F4648" s="1072"/>
      <c r="G4648" s="1073"/>
      <c r="H4648" s="1074"/>
      <c r="I4648" s="995"/>
      <c r="J4648" s="996"/>
      <c r="K4648" s="997"/>
      <c r="L4648" s="99"/>
      <c r="M4648" s="100"/>
    </row>
    <row r="4649" spans="4:13" ht="25" thickBot="1">
      <c r="E4649" s="626" t="s">
        <v>434</v>
      </c>
      <c r="F4649" s="1063">
        <v>2.4E-2</v>
      </c>
      <c r="G4649" s="1064"/>
      <c r="H4649" s="1065"/>
      <c r="I4649" s="995"/>
      <c r="J4649" s="996"/>
      <c r="K4649" s="997"/>
      <c r="L4649" s="99"/>
      <c r="M4649" s="100"/>
    </row>
    <row r="4650" spans="4:13" ht="25" thickBot="1">
      <c r="E4650" s="627" t="s">
        <v>435</v>
      </c>
      <c r="F4650" s="1007">
        <v>0.52083333333333337</v>
      </c>
      <c r="G4650" s="1008"/>
      <c r="H4650" s="1009"/>
      <c r="I4650" s="995"/>
      <c r="J4650" s="996"/>
      <c r="K4650" s="997"/>
      <c r="L4650" s="647">
        <v>0.75</v>
      </c>
      <c r="M4650" s="648">
        <v>0.64583333333333337</v>
      </c>
    </row>
    <row r="4651" spans="4:13" ht="25" thickBot="1">
      <c r="E4651" s="628" t="s">
        <v>436</v>
      </c>
      <c r="F4651" s="200" t="s">
        <v>29</v>
      </c>
      <c r="G4651" s="200" t="s">
        <v>28</v>
      </c>
      <c r="H4651" s="201" t="s">
        <v>27</v>
      </c>
      <c r="I4651" s="995"/>
      <c r="J4651" s="996"/>
      <c r="K4651" s="997"/>
      <c r="L4651" s="99"/>
      <c r="M4651" s="100"/>
    </row>
    <row r="4652" spans="4:13" ht="23">
      <c r="E4652" s="629">
        <v>45743</v>
      </c>
      <c r="F4652" s="634">
        <v>2.4E-2</v>
      </c>
      <c r="G4652" s="634">
        <v>2.3E-2</v>
      </c>
      <c r="H4652" s="634">
        <v>3.1E-2</v>
      </c>
      <c r="I4652" s="995"/>
      <c r="J4652" s="996"/>
      <c r="K4652" s="997"/>
      <c r="L4652" s="99"/>
      <c r="M4652" s="100"/>
    </row>
    <row r="4653" spans="4:13" ht="23">
      <c r="E4653" s="629">
        <v>45715</v>
      </c>
      <c r="F4653" s="634">
        <v>2.3E-2</v>
      </c>
      <c r="G4653" s="634">
        <v>2.3E-2</v>
      </c>
      <c r="H4653" s="634">
        <v>3.1E-2</v>
      </c>
      <c r="I4653" s="995"/>
      <c r="J4653" s="996"/>
      <c r="K4653" s="997"/>
      <c r="L4653" s="99"/>
      <c r="M4653" s="100"/>
    </row>
    <row r="4654" spans="4:13" ht="23">
      <c r="E4654" s="629">
        <v>45687</v>
      </c>
      <c r="F4654" s="634">
        <v>2.3E-2</v>
      </c>
      <c r="G4654" s="634">
        <v>2.7E-2</v>
      </c>
      <c r="H4654" s="634">
        <v>3.1E-2</v>
      </c>
      <c r="I4654" s="995"/>
      <c r="J4654" s="996"/>
      <c r="K4654" s="997"/>
      <c r="L4654" s="649"/>
      <c r="M4654" s="100"/>
    </row>
    <row r="4655" spans="4:13" ht="23">
      <c r="E4655" s="629">
        <v>45645</v>
      </c>
      <c r="F4655" s="634">
        <v>3.1E-2</v>
      </c>
      <c r="G4655" s="634">
        <v>2.8000000000000001E-2</v>
      </c>
      <c r="H4655" s="634">
        <v>0.03</v>
      </c>
      <c r="I4655" s="995"/>
      <c r="J4655" s="996"/>
      <c r="K4655" s="997"/>
      <c r="L4655" s="99"/>
      <c r="M4655" s="100"/>
    </row>
    <row r="4656" spans="4:13" ht="23">
      <c r="E4656" s="629">
        <v>45623</v>
      </c>
      <c r="F4656" s="634">
        <v>2.8000000000000001E-2</v>
      </c>
      <c r="G4656" s="634">
        <v>2.8000000000000001E-2</v>
      </c>
      <c r="H4656" s="634">
        <v>0.03</v>
      </c>
      <c r="I4656" s="995"/>
      <c r="J4656" s="996"/>
      <c r="K4656" s="997"/>
      <c r="L4656" s="99"/>
      <c r="M4656" s="100"/>
    </row>
    <row r="4657" spans="4:13" ht="24" thickBot="1">
      <c r="E4657" s="629">
        <v>45595</v>
      </c>
      <c r="F4657" s="634">
        <v>2.8000000000000001E-2</v>
      </c>
      <c r="G4657" s="634">
        <v>0.03</v>
      </c>
      <c r="H4657" s="634">
        <v>0.03</v>
      </c>
      <c r="I4657" s="998"/>
      <c r="J4657" s="999"/>
      <c r="K4657" s="1000"/>
      <c r="L4657" s="102"/>
      <c r="M4657" s="103"/>
    </row>
    <row r="4658" spans="4:13" ht="25" thickBot="1">
      <c r="D4658">
        <v>1</v>
      </c>
      <c r="E4658" s="756" t="s">
        <v>30</v>
      </c>
      <c r="F4658" s="1066" t="s">
        <v>2025</v>
      </c>
      <c r="G4658" s="1067"/>
      <c r="H4658" s="1068"/>
      <c r="I4658" s="1069" t="s">
        <v>633</v>
      </c>
      <c r="J4658" s="1070"/>
      <c r="K4658" s="1071"/>
      <c r="L4658" s="158" t="s">
        <v>430</v>
      </c>
      <c r="M4658" s="105" t="s">
        <v>431</v>
      </c>
    </row>
    <row r="4659" spans="4:13" ht="24">
      <c r="E4659" s="625" t="s">
        <v>432</v>
      </c>
      <c r="F4659" s="992"/>
      <c r="G4659" s="993"/>
      <c r="H4659" s="994"/>
      <c r="I4659" s="995" t="s">
        <v>1640</v>
      </c>
      <c r="J4659" s="996"/>
      <c r="K4659" s="997"/>
      <c r="L4659" s="99"/>
      <c r="M4659" s="100"/>
    </row>
    <row r="4660" spans="4:13" ht="24">
      <c r="E4660" s="626" t="s">
        <v>433</v>
      </c>
      <c r="F4660" s="1072"/>
      <c r="G4660" s="1073"/>
      <c r="H4660" s="1074"/>
      <c r="I4660" s="995"/>
      <c r="J4660" s="996"/>
      <c r="K4660" s="997"/>
      <c r="L4660" s="99"/>
      <c r="M4660" s="100"/>
    </row>
    <row r="4661" spans="4:13" ht="25" thickBot="1">
      <c r="E4661" s="626" t="s">
        <v>434</v>
      </c>
      <c r="F4661" s="1063" t="s">
        <v>1347</v>
      </c>
      <c r="G4661" s="1064"/>
      <c r="H4661" s="1065"/>
      <c r="I4661" s="995"/>
      <c r="J4661" s="996"/>
      <c r="K4661" s="997"/>
      <c r="L4661" s="99"/>
      <c r="M4661" s="100"/>
    </row>
    <row r="4662" spans="4:13" ht="25" thickBot="1">
      <c r="E4662" s="627" t="s">
        <v>435</v>
      </c>
      <c r="F4662" s="1007">
        <v>0.57291666666666674</v>
      </c>
      <c r="G4662" s="1008"/>
      <c r="H4662" s="1009"/>
      <c r="I4662" s="995"/>
      <c r="J4662" s="996"/>
      <c r="K4662" s="997"/>
      <c r="L4662" s="647">
        <v>0.80208333333333337</v>
      </c>
      <c r="M4662" s="648">
        <v>0.69791666666666674</v>
      </c>
    </row>
    <row r="4663" spans="4:13" ht="25" thickBot="1">
      <c r="E4663" s="628" t="s">
        <v>436</v>
      </c>
      <c r="F4663" s="200" t="s">
        <v>29</v>
      </c>
      <c r="G4663" s="200" t="s">
        <v>28</v>
      </c>
      <c r="H4663" s="201" t="s">
        <v>27</v>
      </c>
      <c r="I4663" s="995"/>
      <c r="J4663" s="996"/>
      <c r="K4663" s="997"/>
      <c r="L4663" s="99"/>
      <c r="M4663" s="100"/>
    </row>
    <row r="4664" spans="4:13" ht="23">
      <c r="E4664" s="629">
        <v>45747</v>
      </c>
      <c r="F4664" s="217">
        <v>47.6</v>
      </c>
      <c r="G4664" s="217">
        <v>45.5</v>
      </c>
      <c r="H4664" s="217">
        <v>45.5</v>
      </c>
      <c r="I4664" s="995"/>
      <c r="J4664" s="996"/>
      <c r="K4664" s="997"/>
      <c r="L4664" s="99"/>
      <c r="M4664" s="100"/>
    </row>
    <row r="4665" spans="4:13" ht="23">
      <c r="E4665" s="629">
        <v>45716</v>
      </c>
      <c r="F4665" s="217">
        <v>45.5</v>
      </c>
      <c r="G4665" s="217">
        <v>40.5</v>
      </c>
      <c r="H4665" s="217">
        <v>39.5</v>
      </c>
      <c r="I4665" s="995"/>
      <c r="J4665" s="996"/>
      <c r="K4665" s="997"/>
      <c r="L4665" s="99"/>
      <c r="M4665" s="100"/>
    </row>
    <row r="4666" spans="4:13" ht="23">
      <c r="E4666" s="629">
        <v>45688</v>
      </c>
      <c r="F4666" s="217">
        <v>39.5</v>
      </c>
      <c r="G4666" s="217">
        <v>40.299999999999997</v>
      </c>
      <c r="H4666" s="217">
        <v>36.9</v>
      </c>
      <c r="I4666" s="995"/>
      <c r="J4666" s="996"/>
      <c r="K4666" s="997"/>
      <c r="L4666" s="649"/>
      <c r="M4666" s="100"/>
    </row>
    <row r="4667" spans="4:13" ht="23">
      <c r="E4667" s="629">
        <v>45656</v>
      </c>
      <c r="F4667" s="217">
        <v>36.9</v>
      </c>
      <c r="G4667" s="217">
        <v>42.7</v>
      </c>
      <c r="H4667" s="217">
        <v>40.200000000000003</v>
      </c>
      <c r="I4667" s="995"/>
      <c r="J4667" s="996"/>
      <c r="K4667" s="997"/>
      <c r="L4667" s="99"/>
      <c r="M4667" s="100"/>
    </row>
    <row r="4668" spans="4:13" ht="23">
      <c r="E4668" s="629">
        <v>45625</v>
      </c>
      <c r="F4668" s="217">
        <v>40.200000000000003</v>
      </c>
      <c r="G4668" s="217">
        <v>44.9</v>
      </c>
      <c r="H4668" s="217">
        <v>41.6</v>
      </c>
      <c r="I4668" s="995"/>
      <c r="J4668" s="996"/>
      <c r="K4668" s="997"/>
      <c r="L4668" s="99"/>
      <c r="M4668" s="100"/>
    </row>
    <row r="4669" spans="4:13" ht="24" thickBot="1">
      <c r="E4669" s="629">
        <v>45596</v>
      </c>
      <c r="F4669" s="217">
        <v>41.6</v>
      </c>
      <c r="G4669" s="217">
        <v>46.9</v>
      </c>
      <c r="H4669" s="217">
        <v>46.6</v>
      </c>
      <c r="I4669" s="998"/>
      <c r="J4669" s="999"/>
      <c r="K4669" s="1000"/>
      <c r="L4669" s="102"/>
      <c r="M4669" s="103"/>
    </row>
    <row r="4670" spans="4:13" ht="25" thickBot="1">
      <c r="D4670">
        <v>1</v>
      </c>
      <c r="E4670" s="624" t="s">
        <v>30</v>
      </c>
      <c r="F4670" s="1057" t="s">
        <v>2026</v>
      </c>
      <c r="G4670" s="1058"/>
      <c r="H4670" s="1059"/>
      <c r="I4670" s="1060" t="s">
        <v>633</v>
      </c>
      <c r="J4670" s="1061"/>
      <c r="K4670" s="1062"/>
      <c r="L4670" s="158" t="s">
        <v>430</v>
      </c>
      <c r="M4670" s="105" t="s">
        <v>431</v>
      </c>
    </row>
    <row r="4671" spans="4:13" ht="24">
      <c r="E4671" s="625" t="s">
        <v>432</v>
      </c>
      <c r="F4671" s="992"/>
      <c r="G4671" s="993"/>
      <c r="H4671" s="994"/>
      <c r="I4671" s="995" t="s">
        <v>2027</v>
      </c>
      <c r="J4671" s="996"/>
      <c r="K4671" s="997"/>
      <c r="L4671" s="99"/>
      <c r="M4671" s="100"/>
    </row>
    <row r="4672" spans="4:13" ht="24">
      <c r="E4672" s="626" t="s">
        <v>433</v>
      </c>
      <c r="F4672" s="1063"/>
      <c r="G4672" s="1064"/>
      <c r="H4672" s="1065"/>
      <c r="I4672" s="995"/>
      <c r="J4672" s="996"/>
      <c r="K4672" s="997"/>
      <c r="L4672" s="99"/>
      <c r="M4672" s="100"/>
    </row>
    <row r="4673" spans="4:13" ht="25" thickBot="1">
      <c r="E4673" s="626" t="s">
        <v>434</v>
      </c>
      <c r="F4673" s="1063">
        <v>4.0000000000000001E-3</v>
      </c>
      <c r="G4673" s="1064"/>
      <c r="H4673" s="1065"/>
      <c r="I4673" s="995"/>
      <c r="J4673" s="996"/>
      <c r="K4673" s="997"/>
      <c r="L4673" s="99"/>
      <c r="M4673" s="100"/>
    </row>
    <row r="4674" spans="4:13" ht="25" thickBot="1">
      <c r="E4674" s="627" t="s">
        <v>435</v>
      </c>
      <c r="F4674" s="1007">
        <v>0.58333333333333337</v>
      </c>
      <c r="G4674" s="1008"/>
      <c r="H4674" s="1009"/>
      <c r="I4674" s="995"/>
      <c r="J4674" s="996"/>
      <c r="K4674" s="997"/>
      <c r="L4674" s="647">
        <v>0.8125</v>
      </c>
      <c r="M4674" s="648">
        <v>0.70833333333333337</v>
      </c>
    </row>
    <row r="4675" spans="4:13" ht="25" thickBot="1">
      <c r="E4675" s="628" t="s">
        <v>436</v>
      </c>
      <c r="F4675" s="200" t="s">
        <v>29</v>
      </c>
      <c r="G4675" s="200" t="s">
        <v>28</v>
      </c>
      <c r="H4675" s="201" t="s">
        <v>27</v>
      </c>
      <c r="I4675" s="995"/>
      <c r="J4675" s="996"/>
      <c r="K4675" s="997"/>
      <c r="L4675" s="99"/>
      <c r="M4675" s="100"/>
    </row>
    <row r="4676" spans="4:13" ht="23">
      <c r="E4676" s="629">
        <v>45744</v>
      </c>
      <c r="F4676" s="634">
        <v>4.0000000000000001E-3</v>
      </c>
      <c r="G4676" s="634">
        <v>3.0000000000000001E-3</v>
      </c>
      <c r="H4676" s="634">
        <v>3.0000000000000001E-3</v>
      </c>
      <c r="I4676" s="995"/>
      <c r="J4676" s="996"/>
      <c r="K4676" s="997"/>
      <c r="L4676" s="99"/>
      <c r="M4676" s="100"/>
    </row>
    <row r="4677" spans="4:13" ht="23">
      <c r="E4677" s="629">
        <v>45716</v>
      </c>
      <c r="F4677" s="634">
        <v>3.0000000000000001E-3</v>
      </c>
      <c r="G4677" s="634">
        <v>3.0000000000000001E-3</v>
      </c>
      <c r="H4677" s="634">
        <v>2E-3</v>
      </c>
      <c r="I4677" s="995"/>
      <c r="J4677" s="996"/>
      <c r="K4677" s="997"/>
      <c r="L4677" s="99"/>
      <c r="M4677" s="100"/>
    </row>
    <row r="4678" spans="4:13" ht="23">
      <c r="E4678" s="629">
        <v>45688</v>
      </c>
      <c r="F4678" s="634">
        <v>2E-3</v>
      </c>
      <c r="G4678" s="634">
        <v>2E-3</v>
      </c>
      <c r="H4678" s="634">
        <v>1E-3</v>
      </c>
      <c r="I4678" s="995"/>
      <c r="J4678" s="996"/>
      <c r="K4678" s="997"/>
      <c r="L4678" s="649"/>
      <c r="M4678" s="100"/>
    </row>
    <row r="4679" spans="4:13" ht="23">
      <c r="E4679" s="629">
        <v>45646</v>
      </c>
      <c r="F4679" s="634">
        <v>1E-3</v>
      </c>
      <c r="G4679" s="634">
        <v>2E-3</v>
      </c>
      <c r="H4679" s="634">
        <v>3.0000000000000001E-3</v>
      </c>
      <c r="I4679" s="995"/>
      <c r="J4679" s="996"/>
      <c r="K4679" s="997"/>
      <c r="L4679" s="99"/>
      <c r="M4679" s="100"/>
    </row>
    <row r="4680" spans="4:13" ht="23">
      <c r="E4680" s="629">
        <v>45623</v>
      </c>
      <c r="F4680" s="634">
        <v>3.0000000000000001E-3</v>
      </c>
      <c r="G4680" s="634">
        <v>3.0000000000000001E-3</v>
      </c>
      <c r="H4680" s="634">
        <v>3.0000000000000001E-3</v>
      </c>
      <c r="I4680" s="995"/>
      <c r="J4680" s="996"/>
      <c r="K4680" s="997"/>
      <c r="L4680" s="99"/>
      <c r="M4680" s="100"/>
    </row>
    <row r="4681" spans="4:13" ht="24" thickBot="1">
      <c r="E4681" s="629">
        <v>45596</v>
      </c>
      <c r="F4681" s="634">
        <v>3.0000000000000001E-3</v>
      </c>
      <c r="G4681" s="634">
        <v>3.0000000000000001E-3</v>
      </c>
      <c r="H4681" s="634">
        <v>2E-3</v>
      </c>
      <c r="I4681" s="998"/>
      <c r="J4681" s="999"/>
      <c r="K4681" s="1000"/>
      <c r="L4681" s="102"/>
      <c r="M4681" s="103"/>
    </row>
    <row r="4682" spans="4:13" ht="25" thickBot="1">
      <c r="D4682">
        <v>1</v>
      </c>
      <c r="E4682" s="624" t="s">
        <v>30</v>
      </c>
      <c r="F4682" s="1057" t="s">
        <v>2028</v>
      </c>
      <c r="G4682" s="1058"/>
      <c r="H4682" s="1059"/>
      <c r="I4682" s="1060" t="s">
        <v>633</v>
      </c>
      <c r="J4682" s="1061"/>
      <c r="K4682" s="1062"/>
      <c r="L4682" s="158" t="s">
        <v>430</v>
      </c>
      <c r="M4682" s="105" t="s">
        <v>431</v>
      </c>
    </row>
    <row r="4683" spans="4:13" ht="24">
      <c r="E4683" s="625" t="s">
        <v>432</v>
      </c>
      <c r="F4683" s="992"/>
      <c r="G4683" s="993"/>
      <c r="H4683" s="994"/>
      <c r="I4683" s="995" t="s">
        <v>2029</v>
      </c>
      <c r="J4683" s="996"/>
      <c r="K4683" s="997"/>
      <c r="L4683" s="99"/>
      <c r="M4683" s="100"/>
    </row>
    <row r="4684" spans="4:13" ht="24">
      <c r="E4684" s="626" t="s">
        <v>433</v>
      </c>
      <c r="F4684" s="1063"/>
      <c r="G4684" s="1064"/>
      <c r="H4684" s="1065"/>
      <c r="I4684" s="995"/>
      <c r="J4684" s="996"/>
      <c r="K4684" s="997"/>
      <c r="L4684" s="99"/>
      <c r="M4684" s="100"/>
    </row>
    <row r="4685" spans="4:13" ht="25" thickBot="1">
      <c r="E4685" s="626" t="s">
        <v>434</v>
      </c>
      <c r="F4685" s="1063">
        <v>2E-3</v>
      </c>
      <c r="G4685" s="1064"/>
      <c r="H4685" s="1065"/>
      <c r="I4685" s="995"/>
      <c r="J4685" s="996"/>
      <c r="K4685" s="997"/>
      <c r="L4685" s="99"/>
      <c r="M4685" s="100"/>
    </row>
    <row r="4686" spans="4:13" ht="25" thickBot="1">
      <c r="E4686" s="627" t="s">
        <v>435</v>
      </c>
      <c r="F4686" s="1007">
        <v>0.58333333333333337</v>
      </c>
      <c r="G4686" s="1008"/>
      <c r="H4686" s="1009"/>
      <c r="I4686" s="995"/>
      <c r="J4686" s="996"/>
      <c r="K4686" s="997"/>
      <c r="L4686" s="647">
        <v>0.8125</v>
      </c>
      <c r="M4686" s="648">
        <v>0.70833333333333337</v>
      </c>
    </row>
    <row r="4687" spans="4:13" ht="25" thickBot="1">
      <c r="E4687" s="628" t="s">
        <v>436</v>
      </c>
      <c r="F4687" s="200" t="s">
        <v>29</v>
      </c>
      <c r="G4687" s="200" t="s">
        <v>28</v>
      </c>
      <c r="H4687" s="201" t="s">
        <v>27</v>
      </c>
      <c r="I4687" s="995"/>
      <c r="J4687" s="996"/>
      <c r="K4687" s="997"/>
      <c r="L4687" s="99"/>
      <c r="M4687" s="100"/>
    </row>
    <row r="4688" spans="4:13" ht="23">
      <c r="E4688" s="629">
        <v>45744</v>
      </c>
      <c r="F4688" s="634">
        <v>2.8000000000000001E-2</v>
      </c>
      <c r="G4688" s="634">
        <v>2.7E-2</v>
      </c>
      <c r="H4688" s="634">
        <v>2.7E-2</v>
      </c>
      <c r="I4688" s="995"/>
      <c r="J4688" s="996"/>
      <c r="K4688" s="997"/>
      <c r="L4688" s="99"/>
      <c r="M4688" s="100"/>
    </row>
    <row r="4689" spans="4:13" ht="23">
      <c r="E4689" s="629">
        <v>45716</v>
      </c>
      <c r="F4689" s="634">
        <v>2.5999999999999999E-2</v>
      </c>
      <c r="G4689" s="634">
        <v>2.5999999999999999E-2</v>
      </c>
      <c r="H4689" s="634">
        <v>2.9000000000000001E-2</v>
      </c>
      <c r="I4689" s="995"/>
      <c r="J4689" s="996"/>
      <c r="K4689" s="997"/>
      <c r="L4689" s="99"/>
      <c r="M4689" s="100"/>
    </row>
    <row r="4690" spans="4:13" ht="23">
      <c r="E4690" s="629">
        <v>45688</v>
      </c>
      <c r="F4690" s="634">
        <v>2.8000000000000001E-2</v>
      </c>
      <c r="G4690" s="634">
        <v>2.8000000000000001E-2</v>
      </c>
      <c r="H4690" s="634">
        <v>2.8000000000000001E-2</v>
      </c>
      <c r="I4690" s="995"/>
      <c r="J4690" s="996"/>
      <c r="K4690" s="997"/>
      <c r="L4690" s="649"/>
      <c r="M4690" s="100"/>
    </row>
    <row r="4691" spans="4:13" ht="23">
      <c r="E4691" s="629">
        <v>45646</v>
      </c>
      <c r="F4691" s="634">
        <v>2.8000000000000001E-2</v>
      </c>
      <c r="G4691" s="634">
        <v>2.9000000000000001E-2</v>
      </c>
      <c r="H4691" s="634">
        <v>2.8000000000000001E-2</v>
      </c>
      <c r="I4691" s="995"/>
      <c r="J4691" s="996"/>
      <c r="K4691" s="997"/>
      <c r="L4691" s="99"/>
      <c r="M4691" s="100"/>
    </row>
    <row r="4692" spans="4:13" ht="23">
      <c r="E4692" s="629">
        <v>45623</v>
      </c>
      <c r="F4692" s="634">
        <v>2.8000000000000001E-2</v>
      </c>
      <c r="G4692" s="634">
        <v>2.8000000000000001E-2</v>
      </c>
      <c r="H4692" s="634">
        <v>2.7E-2</v>
      </c>
      <c r="I4692" s="995"/>
      <c r="J4692" s="996"/>
      <c r="K4692" s="997"/>
      <c r="L4692" s="99"/>
      <c r="M4692" s="100"/>
    </row>
    <row r="4693" spans="4:13" ht="24" thickBot="1">
      <c r="E4693" s="629">
        <v>45596</v>
      </c>
      <c r="F4693" s="634">
        <v>2.7E-2</v>
      </c>
      <c r="G4693" s="634">
        <v>2.5999999999999999E-2</v>
      </c>
      <c r="H4693" s="634">
        <v>2.7E-2</v>
      </c>
      <c r="I4693" s="998"/>
      <c r="J4693" s="999"/>
      <c r="K4693" s="1000"/>
      <c r="L4693" s="102"/>
      <c r="M4693" s="103"/>
    </row>
    <row r="4694" spans="4:13" ht="25" thickBot="1">
      <c r="D4694">
        <v>1</v>
      </c>
      <c r="E4694" s="624" t="s">
        <v>30</v>
      </c>
      <c r="F4694" s="1057" t="s">
        <v>1503</v>
      </c>
      <c r="G4694" s="1058"/>
      <c r="H4694" s="1059"/>
      <c r="I4694" s="1060" t="s">
        <v>633</v>
      </c>
      <c r="J4694" s="1061"/>
      <c r="K4694" s="1062"/>
      <c r="L4694" s="158" t="s">
        <v>430</v>
      </c>
      <c r="M4694" s="105" t="s">
        <v>431</v>
      </c>
    </row>
    <row r="4695" spans="4:13" ht="24">
      <c r="E4695" s="625" t="s">
        <v>432</v>
      </c>
      <c r="F4695" s="992"/>
      <c r="G4695" s="993"/>
      <c r="H4695" s="994"/>
      <c r="I4695" s="995" t="s">
        <v>1505</v>
      </c>
      <c r="J4695" s="996"/>
      <c r="K4695" s="997"/>
      <c r="L4695" s="99"/>
      <c r="M4695" s="100"/>
    </row>
    <row r="4696" spans="4:13" ht="24">
      <c r="E4696" s="626" t="s">
        <v>433</v>
      </c>
      <c r="F4696" s="1063"/>
      <c r="G4696" s="1064"/>
      <c r="H4696" s="1065"/>
      <c r="I4696" s="995"/>
      <c r="J4696" s="996"/>
      <c r="K4696" s="997"/>
      <c r="L4696" s="99"/>
      <c r="M4696" s="100"/>
    </row>
    <row r="4697" spans="4:13" ht="25" thickBot="1">
      <c r="E4697" s="626" t="s">
        <v>434</v>
      </c>
      <c r="F4697" s="1063" t="s">
        <v>2030</v>
      </c>
      <c r="G4697" s="1064"/>
      <c r="H4697" s="1065"/>
      <c r="I4697" s="995"/>
      <c r="J4697" s="996"/>
      <c r="K4697" s="997"/>
      <c r="L4697" s="99"/>
      <c r="M4697" s="100"/>
    </row>
    <row r="4698" spans="4:13" ht="25" thickBot="1">
      <c r="E4698" s="627" t="s">
        <v>435</v>
      </c>
      <c r="F4698" s="1007">
        <v>0.60416666666666674</v>
      </c>
      <c r="G4698" s="1008"/>
      <c r="H4698" s="1009"/>
      <c r="I4698" s="995"/>
      <c r="J4698" s="996"/>
      <c r="K4698" s="997"/>
      <c r="L4698" s="647">
        <v>0.83333333333333337</v>
      </c>
      <c r="M4698" s="648">
        <v>0.72916666666666674</v>
      </c>
    </row>
    <row r="4699" spans="4:13" ht="25" thickBot="1">
      <c r="E4699" s="628" t="s">
        <v>436</v>
      </c>
      <c r="F4699" s="200" t="s">
        <v>29</v>
      </c>
      <c r="G4699" s="200" t="s">
        <v>28</v>
      </c>
      <c r="H4699" s="201" t="s">
        <v>27</v>
      </c>
      <c r="I4699" s="995"/>
      <c r="J4699" s="996"/>
      <c r="K4699" s="997"/>
      <c r="L4699" s="99"/>
      <c r="M4699" s="100"/>
    </row>
    <row r="4700" spans="4:13" ht="24">
      <c r="E4700" s="629">
        <v>45770</v>
      </c>
      <c r="F4700" s="634" t="s">
        <v>2064</v>
      </c>
      <c r="G4700" s="634" t="s">
        <v>2065</v>
      </c>
      <c r="H4700" s="634" t="s">
        <v>2003</v>
      </c>
      <c r="I4700" s="995"/>
      <c r="J4700" s="996"/>
      <c r="K4700" s="997"/>
      <c r="L4700" s="99"/>
      <c r="M4700" s="100"/>
    </row>
    <row r="4701" spans="4:13" ht="24">
      <c r="E4701" s="629">
        <v>45763</v>
      </c>
      <c r="F4701" s="634" t="s">
        <v>2003</v>
      </c>
      <c r="G4701" s="634" t="s">
        <v>1030</v>
      </c>
      <c r="H4701" s="634" t="s">
        <v>1957</v>
      </c>
      <c r="I4701" s="995"/>
      <c r="J4701" s="996"/>
      <c r="K4701" s="997"/>
      <c r="L4701" s="99"/>
      <c r="M4701" s="100"/>
    </row>
    <row r="4702" spans="4:13" ht="24">
      <c r="E4702" s="629">
        <v>45756</v>
      </c>
      <c r="F4702" s="634" t="s">
        <v>1957</v>
      </c>
      <c r="G4702" s="634" t="s">
        <v>1602</v>
      </c>
      <c r="H4702" s="634" t="s">
        <v>1899</v>
      </c>
      <c r="I4702" s="995"/>
      <c r="J4702" s="996"/>
      <c r="K4702" s="997"/>
      <c r="L4702" s="649"/>
      <c r="M4702" s="100"/>
    </row>
    <row r="4703" spans="4:13" ht="24">
      <c r="E4703" s="629">
        <v>45749</v>
      </c>
      <c r="F4703" s="634" t="s">
        <v>1899</v>
      </c>
      <c r="G4703" s="634" t="s">
        <v>1926</v>
      </c>
      <c r="H4703" s="634" t="s">
        <v>1840</v>
      </c>
      <c r="I4703" s="995"/>
      <c r="J4703" s="996"/>
      <c r="K4703" s="997"/>
      <c r="L4703" s="99"/>
      <c r="M4703" s="100"/>
    </row>
    <row r="4704" spans="4:13" ht="24">
      <c r="E4704" s="629">
        <v>45742</v>
      </c>
      <c r="F4704" s="634" t="s">
        <v>1840</v>
      </c>
      <c r="G4704" s="634" t="s">
        <v>991</v>
      </c>
      <c r="H4704" s="634" t="s">
        <v>1696</v>
      </c>
      <c r="I4704" s="995"/>
      <c r="J4704" s="996"/>
      <c r="K4704" s="997"/>
      <c r="L4704" s="99"/>
      <c r="M4704" s="100"/>
    </row>
    <row r="4705" spans="4:13" ht="25" thickBot="1">
      <c r="E4705" s="629">
        <v>45735</v>
      </c>
      <c r="F4705" s="634" t="s">
        <v>1696</v>
      </c>
      <c r="G4705" s="634" t="s">
        <v>993</v>
      </c>
      <c r="H4705" s="634" t="s">
        <v>1697</v>
      </c>
      <c r="I4705" s="998"/>
      <c r="J4705" s="999"/>
      <c r="K4705" s="1000"/>
      <c r="L4705" s="102"/>
      <c r="M4705" s="103"/>
    </row>
    <row r="4706" spans="4:13" ht="25" thickBot="1">
      <c r="D4706">
        <v>1</v>
      </c>
      <c r="E4706" s="624" t="s">
        <v>30</v>
      </c>
      <c r="F4706" s="1057" t="s">
        <v>2031</v>
      </c>
      <c r="G4706" s="1058"/>
      <c r="H4706" s="1059"/>
      <c r="I4706" s="1060" t="s">
        <v>633</v>
      </c>
      <c r="J4706" s="1061"/>
      <c r="K4706" s="1062"/>
      <c r="L4706" s="158" t="s">
        <v>430</v>
      </c>
      <c r="M4706" s="105" t="s">
        <v>431</v>
      </c>
    </row>
    <row r="4707" spans="4:13" ht="24">
      <c r="E4707" s="625" t="s">
        <v>432</v>
      </c>
      <c r="F4707" s="992"/>
      <c r="G4707" s="993"/>
      <c r="H4707" s="994"/>
      <c r="I4707" s="995" t="s">
        <v>2032</v>
      </c>
      <c r="J4707" s="996"/>
      <c r="K4707" s="997"/>
      <c r="L4707" s="99"/>
      <c r="M4707" s="100"/>
    </row>
    <row r="4708" spans="4:13" ht="24">
      <c r="E4708" s="626" t="s">
        <v>433</v>
      </c>
      <c r="F4708" s="1063"/>
      <c r="G4708" s="1064"/>
      <c r="H4708" s="1065"/>
      <c r="I4708" s="995"/>
      <c r="J4708" s="996"/>
      <c r="K4708" s="997"/>
      <c r="L4708" s="99"/>
      <c r="M4708" s="100"/>
    </row>
    <row r="4709" spans="4:13" ht="25" thickBot="1">
      <c r="E4709" s="626" t="s">
        <v>434</v>
      </c>
      <c r="F4709" s="1076">
        <v>3.23</v>
      </c>
      <c r="G4709" s="1064"/>
      <c r="H4709" s="1065"/>
      <c r="I4709" s="995"/>
      <c r="J4709" s="996"/>
      <c r="K4709" s="997"/>
      <c r="L4709" s="99"/>
      <c r="M4709" s="100"/>
    </row>
    <row r="4710" spans="4:13" ht="25" thickBot="1">
      <c r="E4710" s="627" t="s">
        <v>435</v>
      </c>
      <c r="F4710" s="1007">
        <v>0.83333333333333337</v>
      </c>
      <c r="G4710" s="1008"/>
      <c r="H4710" s="1009"/>
      <c r="I4710" s="995"/>
      <c r="J4710" s="996"/>
      <c r="K4710" s="997"/>
      <c r="L4710" s="647">
        <v>6.25E-2</v>
      </c>
      <c r="M4710" s="648">
        <v>0.95833333333333337</v>
      </c>
    </row>
    <row r="4711" spans="4:13" ht="25" thickBot="1">
      <c r="E4711" s="628" t="s">
        <v>436</v>
      </c>
      <c r="F4711" s="200" t="s">
        <v>29</v>
      </c>
      <c r="G4711" s="200" t="s">
        <v>28</v>
      </c>
      <c r="H4711" s="201" t="s">
        <v>27</v>
      </c>
      <c r="I4711" s="995"/>
      <c r="J4711" s="996"/>
      <c r="K4711" s="997"/>
      <c r="L4711" s="99"/>
      <c r="M4711" s="100"/>
    </row>
    <row r="4712" spans="4:13" ht="23">
      <c r="E4712" s="770">
        <v>45686</v>
      </c>
      <c r="F4712" s="217">
        <v>3.23</v>
      </c>
      <c r="G4712" s="217">
        <v>3.11</v>
      </c>
      <c r="H4712" s="217">
        <v>2.93</v>
      </c>
      <c r="I4712" s="995"/>
      <c r="J4712" s="996"/>
      <c r="K4712" s="997"/>
      <c r="L4712" s="99"/>
      <c r="M4712" s="100"/>
    </row>
    <row r="4713" spans="4:13" ht="23">
      <c r="E4713" s="770">
        <v>45595</v>
      </c>
      <c r="F4713" s="217">
        <v>3.3</v>
      </c>
      <c r="G4713" s="217">
        <v>3.08</v>
      </c>
      <c r="H4713" s="217">
        <v>2.99</v>
      </c>
      <c r="I4713" s="995"/>
      <c r="J4713" s="996"/>
      <c r="K4713" s="997"/>
      <c r="L4713" s="99"/>
      <c r="M4713" s="100"/>
    </row>
    <row r="4714" spans="4:13" ht="23">
      <c r="E4714" s="770">
        <v>45503</v>
      </c>
      <c r="F4714" s="217">
        <v>2.95</v>
      </c>
      <c r="G4714" s="217">
        <v>2.9</v>
      </c>
      <c r="H4714" s="217">
        <v>2.69</v>
      </c>
      <c r="I4714" s="995"/>
      <c r="J4714" s="996"/>
      <c r="K4714" s="997"/>
      <c r="L4714" s="649"/>
      <c r="M4714" s="100"/>
    </row>
    <row r="4715" spans="4:13" ht="23">
      <c r="E4715" s="770">
        <v>45407</v>
      </c>
      <c r="F4715" s="217">
        <v>2.94</v>
      </c>
      <c r="G4715" s="217">
        <v>2.81</v>
      </c>
      <c r="H4715" s="217">
        <v>2.4500000000000002</v>
      </c>
      <c r="I4715" s="995"/>
      <c r="J4715" s="996"/>
      <c r="K4715" s="997"/>
      <c r="L4715" s="99"/>
      <c r="M4715" s="100"/>
    </row>
    <row r="4716" spans="4:13" ht="23">
      <c r="E4716" s="770">
        <v>45321</v>
      </c>
      <c r="F4716" s="217">
        <v>2.93</v>
      </c>
      <c r="G4716" s="217">
        <v>2.76</v>
      </c>
      <c r="H4716" s="217">
        <v>2.3199999999999998</v>
      </c>
      <c r="I4716" s="995"/>
      <c r="J4716" s="996"/>
      <c r="K4716" s="997"/>
      <c r="L4716" s="99"/>
      <c r="M4716" s="100"/>
    </row>
    <row r="4717" spans="4:13" ht="24" thickBot="1">
      <c r="E4717" s="770">
        <v>45223</v>
      </c>
      <c r="F4717" s="217">
        <v>2.99</v>
      </c>
      <c r="G4717" s="217">
        <v>2.65</v>
      </c>
      <c r="H4717" s="217">
        <v>2.35</v>
      </c>
      <c r="I4717" s="998"/>
      <c r="J4717" s="999"/>
      <c r="K4717" s="1000"/>
      <c r="L4717" s="102"/>
      <c r="M4717" s="103"/>
    </row>
    <row r="4718" spans="4:13" ht="25" thickBot="1">
      <c r="D4718">
        <v>1</v>
      </c>
      <c r="E4718" s="624" t="s">
        <v>30</v>
      </c>
      <c r="F4718" s="1057" t="s">
        <v>2033</v>
      </c>
      <c r="G4718" s="1058"/>
      <c r="H4718" s="1059"/>
      <c r="I4718" s="1060" t="s">
        <v>633</v>
      </c>
      <c r="J4718" s="1061"/>
      <c r="K4718" s="1062"/>
      <c r="L4718" s="158" t="s">
        <v>430</v>
      </c>
      <c r="M4718" s="105" t="s">
        <v>431</v>
      </c>
    </row>
    <row r="4719" spans="4:13" ht="24">
      <c r="E4719" s="625" t="s">
        <v>432</v>
      </c>
      <c r="F4719" s="992"/>
      <c r="G4719" s="993"/>
      <c r="H4719" s="994"/>
      <c r="I4719" s="995" t="s">
        <v>2034</v>
      </c>
      <c r="J4719" s="996"/>
      <c r="K4719" s="997"/>
      <c r="L4719" s="99"/>
      <c r="M4719" s="100"/>
    </row>
    <row r="4720" spans="4:13" ht="24">
      <c r="E4720" s="626" t="s">
        <v>433</v>
      </c>
      <c r="F4720" s="1063"/>
      <c r="G4720" s="1064"/>
      <c r="H4720" s="1065"/>
      <c r="I4720" s="995"/>
      <c r="J4720" s="996"/>
      <c r="K4720" s="997"/>
      <c r="L4720" s="99"/>
      <c r="M4720" s="100"/>
    </row>
    <row r="4721" spans="4:13" ht="25" thickBot="1">
      <c r="E4721" s="626" t="s">
        <v>434</v>
      </c>
      <c r="F4721" s="1076">
        <v>5.21</v>
      </c>
      <c r="G4721" s="1064"/>
      <c r="H4721" s="1065"/>
      <c r="I4721" s="995"/>
      <c r="J4721" s="996"/>
      <c r="K4721" s="997"/>
      <c r="L4721" s="99"/>
      <c r="M4721" s="100"/>
    </row>
    <row r="4722" spans="4:13" ht="25" thickBot="1">
      <c r="E4722" s="627" t="s">
        <v>435</v>
      </c>
      <c r="F4722" s="1007">
        <v>0.85416666666666674</v>
      </c>
      <c r="G4722" s="1008"/>
      <c r="H4722" s="1009"/>
      <c r="I4722" s="995"/>
      <c r="J4722" s="996"/>
      <c r="K4722" s="997"/>
      <c r="L4722" s="647">
        <v>8.3333333333333329E-2</v>
      </c>
      <c r="M4722" s="648">
        <v>0.97916666666666663</v>
      </c>
    </row>
    <row r="4723" spans="4:13" ht="25" thickBot="1">
      <c r="E4723" s="628" t="s">
        <v>436</v>
      </c>
      <c r="F4723" s="200" t="s">
        <v>29</v>
      </c>
      <c r="G4723" s="200" t="s">
        <v>28</v>
      </c>
      <c r="H4723" s="201" t="s">
        <v>27</v>
      </c>
      <c r="I4723" s="995"/>
      <c r="J4723" s="996"/>
      <c r="K4723" s="997"/>
      <c r="L4723" s="99"/>
      <c r="M4723" s="100"/>
    </row>
    <row r="4724" spans="4:13" ht="23">
      <c r="E4724" s="770">
        <v>45686</v>
      </c>
      <c r="F4724" s="217">
        <v>8.02</v>
      </c>
      <c r="G4724" s="217">
        <v>6.68</v>
      </c>
      <c r="H4724" s="217">
        <v>5.33</v>
      </c>
      <c r="I4724" s="995"/>
      <c r="J4724" s="996"/>
      <c r="K4724" s="997"/>
      <c r="L4724" s="99"/>
      <c r="M4724" s="100"/>
    </row>
    <row r="4725" spans="4:13" ht="23">
      <c r="E4725" s="770">
        <v>45595</v>
      </c>
      <c r="F4725" s="217">
        <v>6.03</v>
      </c>
      <c r="G4725" s="217">
        <v>5.19</v>
      </c>
      <c r="H4725" s="217">
        <v>4.3899999999999997</v>
      </c>
      <c r="I4725" s="995"/>
      <c r="J4725" s="996"/>
      <c r="K4725" s="997"/>
      <c r="L4725" s="99"/>
      <c r="M4725" s="100"/>
    </row>
    <row r="4726" spans="4:13" ht="23">
      <c r="E4726" s="770">
        <v>45504</v>
      </c>
      <c r="F4726" s="217">
        <v>5.16</v>
      </c>
      <c r="G4726" s="217">
        <v>4.7</v>
      </c>
      <c r="H4726" s="217">
        <v>3.23</v>
      </c>
      <c r="I4726" s="995"/>
      <c r="J4726" s="996"/>
      <c r="K4726" s="997"/>
      <c r="L4726" s="649"/>
      <c r="M4726" s="100"/>
    </row>
    <row r="4727" spans="4:13" ht="23">
      <c r="E4727" s="770">
        <v>45406</v>
      </c>
      <c r="F4727" s="217">
        <v>4.71</v>
      </c>
      <c r="G4727" s="217">
        <v>4.32</v>
      </c>
      <c r="H4727" s="217">
        <v>2.64</v>
      </c>
      <c r="I4727" s="995"/>
      <c r="J4727" s="996"/>
      <c r="K4727" s="997"/>
      <c r="L4727" s="99"/>
      <c r="M4727" s="100"/>
    </row>
    <row r="4728" spans="4:13" ht="23">
      <c r="E4728" s="770">
        <v>45323</v>
      </c>
      <c r="F4728" s="217">
        <v>5.33</v>
      </c>
      <c r="G4728" s="217">
        <v>4.83</v>
      </c>
      <c r="H4728" s="217">
        <v>3</v>
      </c>
      <c r="I4728" s="995"/>
      <c r="J4728" s="996"/>
      <c r="K4728" s="997"/>
      <c r="L4728" s="99"/>
      <c r="M4728" s="100"/>
    </row>
    <row r="4729" spans="4:13" ht="24" thickBot="1">
      <c r="E4729" s="770">
        <v>45224</v>
      </c>
      <c r="F4729" s="217">
        <v>4.3899999999999997</v>
      </c>
      <c r="G4729" s="217">
        <v>3.62</v>
      </c>
      <c r="H4729" s="217">
        <v>1.64</v>
      </c>
      <c r="I4729" s="998"/>
      <c r="J4729" s="999"/>
      <c r="K4729" s="1000"/>
      <c r="L4729" s="102"/>
      <c r="M4729" s="103"/>
    </row>
    <row r="4730" spans="4:13" ht="25" thickBot="1">
      <c r="D4730">
        <v>1</v>
      </c>
      <c r="E4730" s="624" t="s">
        <v>30</v>
      </c>
      <c r="F4730" s="1057" t="s">
        <v>1464</v>
      </c>
      <c r="G4730" s="1058"/>
      <c r="H4730" s="1059"/>
      <c r="I4730" s="1060" t="s">
        <v>633</v>
      </c>
      <c r="J4730" s="1061"/>
      <c r="K4730" s="1062"/>
      <c r="L4730" s="158" t="s">
        <v>430</v>
      </c>
      <c r="M4730" s="105" t="s">
        <v>431</v>
      </c>
    </row>
    <row r="4731" spans="4:13" ht="24">
      <c r="E4731" s="625" t="s">
        <v>432</v>
      </c>
      <c r="F4731" s="992"/>
      <c r="G4731" s="993"/>
      <c r="H4731" s="994"/>
      <c r="I4731" s="995" t="s">
        <v>2036</v>
      </c>
      <c r="J4731" s="996"/>
      <c r="K4731" s="997"/>
      <c r="L4731" s="99"/>
      <c r="M4731" s="100"/>
    </row>
    <row r="4732" spans="4:13" ht="24">
      <c r="E4732" s="626" t="s">
        <v>433</v>
      </c>
      <c r="F4732" s="1063"/>
      <c r="G4732" s="1064"/>
      <c r="H4732" s="1065"/>
      <c r="I4732" s="995"/>
      <c r="J4732" s="996"/>
      <c r="K4732" s="997"/>
      <c r="L4732" s="99"/>
      <c r="M4732" s="100"/>
    </row>
    <row r="4733" spans="4:13" ht="25" thickBot="1">
      <c r="E4733" s="626" t="s">
        <v>434</v>
      </c>
      <c r="F4733" s="1063">
        <v>5.0000000000000001E-3</v>
      </c>
      <c r="G4733" s="1064"/>
      <c r="H4733" s="1065"/>
      <c r="I4733" s="995"/>
      <c r="J4733" s="996"/>
      <c r="K4733" s="997"/>
      <c r="L4733" s="99"/>
      <c r="M4733" s="100"/>
    </row>
    <row r="4734" spans="4:13" ht="25" thickBot="1">
      <c r="E4734" s="627" t="s">
        <v>435</v>
      </c>
      <c r="F4734" s="1007">
        <v>0.12500000000000003</v>
      </c>
      <c r="G4734" s="1008"/>
      <c r="H4734" s="1009"/>
      <c r="I4734" s="995"/>
      <c r="J4734" s="996"/>
      <c r="K4734" s="997"/>
      <c r="L4734" s="647">
        <v>0.35416666666666669</v>
      </c>
      <c r="M4734" s="648">
        <v>0.25</v>
      </c>
    </row>
    <row r="4735" spans="4:13" ht="25" thickBot="1">
      <c r="E4735" s="628" t="s">
        <v>436</v>
      </c>
      <c r="F4735" s="200" t="s">
        <v>29</v>
      </c>
      <c r="G4735" s="200" t="s">
        <v>28</v>
      </c>
      <c r="H4735" s="201" t="s">
        <v>27</v>
      </c>
      <c r="I4735" s="995"/>
      <c r="J4735" s="996"/>
      <c r="K4735" s="997"/>
      <c r="L4735" s="99"/>
      <c r="M4735" s="100"/>
    </row>
    <row r="4736" spans="4:13" ht="23">
      <c r="E4736" s="629">
        <v>45735</v>
      </c>
      <c r="F4736" s="634">
        <v>5.0000000000000001E-3</v>
      </c>
      <c r="G4736" s="634">
        <v>5.0000000000000001E-3</v>
      </c>
      <c r="H4736" s="634">
        <v>5.0000000000000001E-3</v>
      </c>
      <c r="I4736" s="995"/>
      <c r="J4736" s="996"/>
      <c r="K4736" s="997"/>
      <c r="L4736" s="99"/>
      <c r="M4736" s="100"/>
    </row>
    <row r="4737" spans="4:13" ht="23">
      <c r="E4737" s="629">
        <v>45681</v>
      </c>
      <c r="F4737" s="634">
        <v>5.0000000000000001E-3</v>
      </c>
      <c r="G4737" s="634">
        <v>5.0000000000000001E-3</v>
      </c>
      <c r="H4737" s="634">
        <v>2.5000000000000001E-3</v>
      </c>
      <c r="I4737" s="995"/>
      <c r="J4737" s="996"/>
      <c r="K4737" s="997"/>
      <c r="L4737" s="99"/>
      <c r="M4737" s="100"/>
    </row>
    <row r="4738" spans="4:13" ht="23">
      <c r="E4738" s="629">
        <v>45645</v>
      </c>
      <c r="F4738" s="634">
        <v>2.5000000000000001E-3</v>
      </c>
      <c r="G4738" s="634">
        <v>2.5000000000000001E-3</v>
      </c>
      <c r="H4738" s="634">
        <v>2.5000000000000001E-3</v>
      </c>
      <c r="I4738" s="995"/>
      <c r="J4738" s="996"/>
      <c r="K4738" s="997"/>
      <c r="L4738" s="649"/>
      <c r="M4738" s="100"/>
    </row>
    <row r="4739" spans="4:13" ht="23">
      <c r="E4739" s="629">
        <v>45596</v>
      </c>
      <c r="F4739" s="634">
        <v>2.5000000000000001E-3</v>
      </c>
      <c r="G4739" s="634">
        <v>2.5000000000000001E-3</v>
      </c>
      <c r="H4739" s="634">
        <v>2.5000000000000001E-3</v>
      </c>
      <c r="I4739" s="995"/>
      <c r="J4739" s="996"/>
      <c r="K4739" s="997"/>
      <c r="L4739" s="99"/>
      <c r="M4739" s="100"/>
    </row>
    <row r="4740" spans="4:13" ht="23">
      <c r="E4740" s="629">
        <v>45555</v>
      </c>
      <c r="F4740" s="634">
        <v>2.5000000000000001E-3</v>
      </c>
      <c r="G4740" s="634">
        <v>2.5000000000000001E-3</v>
      </c>
      <c r="H4740" s="634">
        <v>2.5000000000000001E-3</v>
      </c>
      <c r="I4740" s="995"/>
      <c r="J4740" s="996"/>
      <c r="K4740" s="997"/>
      <c r="L4740" s="99"/>
      <c r="M4740" s="100"/>
    </row>
    <row r="4741" spans="4:13" ht="24" thickBot="1">
      <c r="E4741" s="629">
        <v>45504</v>
      </c>
      <c r="F4741" s="634">
        <v>2.5000000000000001E-3</v>
      </c>
      <c r="G4741" s="634">
        <v>1E-3</v>
      </c>
      <c r="H4741" s="634">
        <v>1E-3</v>
      </c>
      <c r="I4741" s="998"/>
      <c r="J4741" s="999"/>
      <c r="K4741" s="1000"/>
      <c r="L4741" s="102"/>
      <c r="M4741" s="103"/>
    </row>
    <row r="4742" spans="4:13" ht="25" thickBot="1">
      <c r="D4742">
        <v>1</v>
      </c>
      <c r="E4742" s="624" t="s">
        <v>30</v>
      </c>
      <c r="F4742" s="1057" t="s">
        <v>1421</v>
      </c>
      <c r="G4742" s="1058"/>
      <c r="H4742" s="1059"/>
      <c r="I4742" s="1060" t="s">
        <v>633</v>
      </c>
      <c r="J4742" s="1061"/>
      <c r="K4742" s="1062"/>
      <c r="L4742" s="158" t="s">
        <v>430</v>
      </c>
      <c r="M4742" s="105" t="s">
        <v>431</v>
      </c>
    </row>
    <row r="4743" spans="4:13" ht="24">
      <c r="E4743" s="625" t="s">
        <v>432</v>
      </c>
      <c r="F4743" s="992"/>
      <c r="G4743" s="993"/>
      <c r="H4743" s="994"/>
      <c r="I4743" s="995" t="s">
        <v>2037</v>
      </c>
      <c r="J4743" s="996"/>
      <c r="K4743" s="997"/>
      <c r="L4743" s="99"/>
      <c r="M4743" s="100"/>
    </row>
    <row r="4744" spans="4:13" ht="24">
      <c r="E4744" s="626" t="s">
        <v>433</v>
      </c>
      <c r="F4744" s="1063"/>
      <c r="G4744" s="1064"/>
      <c r="H4744" s="1065"/>
      <c r="I4744" s="995"/>
      <c r="J4744" s="996"/>
      <c r="K4744" s="997"/>
      <c r="L4744" s="99"/>
      <c r="M4744" s="100"/>
    </row>
    <row r="4745" spans="4:13" ht="25" thickBot="1">
      <c r="E4745" s="626" t="s">
        <v>434</v>
      </c>
      <c r="F4745" s="1063"/>
      <c r="G4745" s="1064"/>
      <c r="H4745" s="1065"/>
      <c r="I4745" s="995"/>
      <c r="J4745" s="996"/>
      <c r="K4745" s="997"/>
      <c r="L4745" s="99"/>
      <c r="M4745" s="100"/>
    </row>
    <row r="4746" spans="4:13" ht="25" thickBot="1">
      <c r="E4746" s="627" t="s">
        <v>435</v>
      </c>
      <c r="F4746" s="1007">
        <v>0.52083333333333337</v>
      </c>
      <c r="G4746" s="1008"/>
      <c r="H4746" s="1009"/>
      <c r="I4746" s="995"/>
      <c r="J4746" s="996"/>
      <c r="K4746" s="997"/>
      <c r="L4746" s="647">
        <v>0.75</v>
      </c>
      <c r="M4746" s="648">
        <v>0.64583333333333337</v>
      </c>
    </row>
    <row r="4747" spans="4:13" ht="25" thickBot="1">
      <c r="E4747" s="628" t="s">
        <v>436</v>
      </c>
      <c r="F4747" s="200" t="s">
        <v>29</v>
      </c>
      <c r="G4747" s="200" t="s">
        <v>28</v>
      </c>
      <c r="H4747" s="201" t="s">
        <v>27</v>
      </c>
      <c r="I4747" s="995"/>
      <c r="J4747" s="996"/>
      <c r="K4747" s="997"/>
      <c r="L4747" s="99"/>
      <c r="M4747" s="100"/>
    </row>
    <row r="4748" spans="4:13" ht="24">
      <c r="E4748" s="629">
        <v>45764</v>
      </c>
      <c r="F4748" s="634" t="s">
        <v>1232</v>
      </c>
      <c r="G4748" s="634" t="s">
        <v>985</v>
      </c>
      <c r="H4748" s="634" t="s">
        <v>1032</v>
      </c>
      <c r="I4748" s="995"/>
      <c r="J4748" s="996"/>
      <c r="K4748" s="997"/>
      <c r="L4748" s="99"/>
      <c r="M4748" s="100"/>
    </row>
    <row r="4749" spans="4:13" ht="24">
      <c r="E4749" s="629">
        <v>45757</v>
      </c>
      <c r="F4749" s="634" t="s">
        <v>973</v>
      </c>
      <c r="G4749" s="634" t="s">
        <v>973</v>
      </c>
      <c r="H4749" s="634" t="s">
        <v>987</v>
      </c>
      <c r="I4749" s="995"/>
      <c r="J4749" s="996"/>
      <c r="K4749" s="997"/>
      <c r="L4749" s="99"/>
      <c r="M4749" s="100"/>
    </row>
    <row r="4750" spans="4:13" ht="24">
      <c r="E4750" s="629">
        <v>45750</v>
      </c>
      <c r="F4750" s="634" t="s">
        <v>987</v>
      </c>
      <c r="G4750" s="634" t="s">
        <v>985</v>
      </c>
      <c r="H4750" s="634" t="s">
        <v>985</v>
      </c>
      <c r="I4750" s="995"/>
      <c r="J4750" s="996"/>
      <c r="K4750" s="997"/>
      <c r="L4750" s="649"/>
      <c r="M4750" s="100"/>
    </row>
    <row r="4751" spans="4:13" ht="24">
      <c r="E4751" s="629">
        <v>45743</v>
      </c>
      <c r="F4751" s="634" t="s">
        <v>1032</v>
      </c>
      <c r="G4751" s="634" t="s">
        <v>985</v>
      </c>
      <c r="H4751" s="634" t="s">
        <v>985</v>
      </c>
      <c r="I4751" s="995"/>
      <c r="J4751" s="996"/>
      <c r="K4751" s="997"/>
      <c r="L4751" s="99"/>
      <c r="M4751" s="100"/>
    </row>
    <row r="4752" spans="4:13" ht="24">
      <c r="E4752" s="629">
        <v>45736</v>
      </c>
      <c r="F4752" s="634" t="s">
        <v>973</v>
      </c>
      <c r="G4752" s="634" t="s">
        <v>1032</v>
      </c>
      <c r="H4752" s="634" t="s">
        <v>972</v>
      </c>
      <c r="I4752" s="995"/>
      <c r="J4752" s="996"/>
      <c r="K4752" s="997"/>
      <c r="L4752" s="99"/>
      <c r="M4752" s="100"/>
    </row>
    <row r="4753" spans="4:13" ht="25" thickBot="1">
      <c r="E4753" s="629">
        <v>45729</v>
      </c>
      <c r="F4753" s="634" t="s">
        <v>1112</v>
      </c>
      <c r="G4753" s="634" t="s">
        <v>1703</v>
      </c>
      <c r="H4753" s="634" t="s">
        <v>986</v>
      </c>
      <c r="I4753" s="998"/>
      <c r="J4753" s="999"/>
      <c r="K4753" s="1000"/>
      <c r="L4753" s="102"/>
      <c r="M4753" s="103"/>
    </row>
    <row r="4754" spans="4:13" ht="25" thickBot="1">
      <c r="D4754">
        <v>1</v>
      </c>
      <c r="E4754" s="624" t="s">
        <v>30</v>
      </c>
      <c r="F4754" s="1057" t="s">
        <v>2038</v>
      </c>
      <c r="G4754" s="1058"/>
      <c r="H4754" s="1059"/>
      <c r="I4754" s="1060" t="s">
        <v>633</v>
      </c>
      <c r="J4754" s="1061"/>
      <c r="K4754" s="1062"/>
      <c r="L4754" s="158" t="s">
        <v>430</v>
      </c>
      <c r="M4754" s="105" t="s">
        <v>431</v>
      </c>
    </row>
    <row r="4755" spans="4:13" ht="24">
      <c r="E4755" s="625" t="s">
        <v>432</v>
      </c>
      <c r="F4755" s="992"/>
      <c r="G4755" s="993"/>
      <c r="H4755" s="994"/>
      <c r="I4755" s="995" t="s">
        <v>2039</v>
      </c>
      <c r="J4755" s="996"/>
      <c r="K4755" s="997"/>
      <c r="L4755" s="99"/>
      <c r="M4755" s="100"/>
    </row>
    <row r="4756" spans="4:13" ht="24">
      <c r="E4756" s="626" t="s">
        <v>433</v>
      </c>
      <c r="F4756" s="1063"/>
      <c r="G4756" s="1064"/>
      <c r="H4756" s="1065"/>
      <c r="I4756" s="995"/>
      <c r="J4756" s="996"/>
      <c r="K4756" s="997"/>
      <c r="L4756" s="99"/>
      <c r="M4756" s="100"/>
    </row>
    <row r="4757" spans="4:13" ht="25" thickBot="1">
      <c r="E4757" s="626" t="s">
        <v>434</v>
      </c>
      <c r="F4757" s="1076">
        <v>49</v>
      </c>
      <c r="G4757" s="1064"/>
      <c r="H4757" s="1065"/>
      <c r="I4757" s="995"/>
      <c r="J4757" s="996"/>
      <c r="K4757" s="997"/>
      <c r="L4757" s="99"/>
      <c r="M4757" s="100"/>
    </row>
    <row r="4758" spans="4:13" ht="25" thickBot="1">
      <c r="E4758" s="627" t="s">
        <v>435</v>
      </c>
      <c r="F4758" s="1007">
        <v>0.58333333333333337</v>
      </c>
      <c r="G4758" s="1008"/>
      <c r="H4758" s="1009"/>
      <c r="I4758" s="995"/>
      <c r="J4758" s="996"/>
      <c r="K4758" s="997"/>
      <c r="L4758" s="647">
        <v>0.8125</v>
      </c>
      <c r="M4758" s="648">
        <v>0.70833333333333337</v>
      </c>
    </row>
    <row r="4759" spans="4:13" ht="25" thickBot="1">
      <c r="E4759" s="628" t="s">
        <v>436</v>
      </c>
      <c r="F4759" s="200" t="s">
        <v>29</v>
      </c>
      <c r="G4759" s="200" t="s">
        <v>28</v>
      </c>
      <c r="H4759" s="201" t="s">
        <v>27</v>
      </c>
      <c r="I4759" s="995"/>
      <c r="J4759" s="996"/>
      <c r="K4759" s="997"/>
      <c r="L4759" s="99"/>
      <c r="M4759" s="100"/>
    </row>
    <row r="4760" spans="4:13" ht="23">
      <c r="E4760" s="629">
        <v>45748</v>
      </c>
      <c r="F4760" s="217">
        <v>49</v>
      </c>
      <c r="G4760" s="217">
        <v>49.5</v>
      </c>
      <c r="H4760" s="217">
        <v>50.3</v>
      </c>
      <c r="I4760" s="995"/>
      <c r="J4760" s="996"/>
      <c r="K4760" s="997"/>
      <c r="L4760" s="99"/>
      <c r="M4760" s="100"/>
    </row>
    <row r="4761" spans="4:13" ht="23">
      <c r="E4761" s="629">
        <v>45719</v>
      </c>
      <c r="F4761" s="217">
        <v>50.3</v>
      </c>
      <c r="G4761" s="217">
        <v>50.6</v>
      </c>
      <c r="H4761" s="217">
        <v>50.9</v>
      </c>
      <c r="I4761" s="995"/>
      <c r="J4761" s="996"/>
      <c r="K4761" s="997"/>
      <c r="L4761" s="99"/>
      <c r="M4761" s="100"/>
    </row>
    <row r="4762" spans="4:13" ht="23">
      <c r="E4762" s="629">
        <v>45691</v>
      </c>
      <c r="F4762" s="217">
        <v>50.9</v>
      </c>
      <c r="G4762" s="217">
        <v>49.3</v>
      </c>
      <c r="H4762" s="217">
        <v>49.2</v>
      </c>
      <c r="I4762" s="995"/>
      <c r="J4762" s="996"/>
      <c r="K4762" s="997"/>
      <c r="L4762" s="649"/>
      <c r="M4762" s="100"/>
    </row>
    <row r="4763" spans="4:13" ht="23">
      <c r="E4763" s="629">
        <v>45660</v>
      </c>
      <c r="F4763" s="217">
        <v>49.3</v>
      </c>
      <c r="G4763" s="217">
        <v>48.2</v>
      </c>
      <c r="H4763" s="217">
        <v>48.4</v>
      </c>
      <c r="I4763" s="995"/>
      <c r="J4763" s="996"/>
      <c r="K4763" s="997"/>
      <c r="L4763" s="99"/>
      <c r="M4763" s="100"/>
    </row>
    <row r="4764" spans="4:13" ht="23">
      <c r="E4764" s="629">
        <v>45628</v>
      </c>
      <c r="F4764" s="217">
        <v>48.4</v>
      </c>
      <c r="G4764" s="217">
        <v>47.7</v>
      </c>
      <c r="H4764" s="217">
        <v>46.5</v>
      </c>
      <c r="I4764" s="995"/>
      <c r="J4764" s="996"/>
      <c r="K4764" s="997"/>
      <c r="L4764" s="99"/>
      <c r="M4764" s="100"/>
    </row>
    <row r="4765" spans="4:13" ht="24" thickBot="1">
      <c r="E4765" s="629">
        <v>45597</v>
      </c>
      <c r="F4765" s="217">
        <v>46.5</v>
      </c>
      <c r="G4765" s="217">
        <v>47.6</v>
      </c>
      <c r="H4765" s="217">
        <v>47.2</v>
      </c>
      <c r="I4765" s="998"/>
      <c r="J4765" s="999"/>
      <c r="K4765" s="1000"/>
      <c r="L4765" s="102"/>
      <c r="M4765" s="103"/>
    </row>
    <row r="4766" spans="4:13" ht="25" thickBot="1">
      <c r="D4766">
        <v>1</v>
      </c>
      <c r="E4766" s="624" t="s">
        <v>30</v>
      </c>
      <c r="F4766" s="1057" t="s">
        <v>2040</v>
      </c>
      <c r="G4766" s="1058"/>
      <c r="H4766" s="1059"/>
      <c r="I4766" s="1060" t="s">
        <v>633</v>
      </c>
      <c r="J4766" s="1061"/>
      <c r="K4766" s="1062"/>
      <c r="L4766" s="158" t="s">
        <v>430</v>
      </c>
      <c r="M4766" s="105" t="s">
        <v>431</v>
      </c>
    </row>
    <row r="4767" spans="4:13" ht="24">
      <c r="E4767" s="625" t="s">
        <v>432</v>
      </c>
      <c r="F4767" s="992"/>
      <c r="G4767" s="993"/>
      <c r="H4767" s="994"/>
      <c r="I4767" s="995" t="s">
        <v>2041</v>
      </c>
      <c r="J4767" s="996"/>
      <c r="K4767" s="997"/>
      <c r="L4767" s="99"/>
      <c r="M4767" s="100"/>
    </row>
    <row r="4768" spans="4:13" ht="24">
      <c r="E4768" s="626" t="s">
        <v>433</v>
      </c>
      <c r="F4768" s="1063"/>
      <c r="G4768" s="1064"/>
      <c r="H4768" s="1065"/>
      <c r="I4768" s="995"/>
      <c r="J4768" s="996"/>
      <c r="K4768" s="997"/>
      <c r="L4768" s="99"/>
      <c r="M4768" s="100"/>
    </row>
    <row r="4769" spans="4:13" ht="25" thickBot="1">
      <c r="E4769" s="626" t="s">
        <v>434</v>
      </c>
      <c r="F4769" s="1076">
        <v>69.400000000000006</v>
      </c>
      <c r="G4769" s="1064"/>
      <c r="H4769" s="1065"/>
      <c r="I4769" s="995"/>
      <c r="J4769" s="996"/>
      <c r="K4769" s="997"/>
      <c r="L4769" s="99"/>
      <c r="M4769" s="100"/>
    </row>
    <row r="4770" spans="4:13" ht="25" thickBot="1">
      <c r="E4770" s="627" t="s">
        <v>435</v>
      </c>
      <c r="F4770" s="1007">
        <v>0.58333333333333337</v>
      </c>
      <c r="G4770" s="1008"/>
      <c r="H4770" s="1009"/>
      <c r="I4770" s="995"/>
      <c r="J4770" s="996"/>
      <c r="K4770" s="997"/>
      <c r="L4770" s="647">
        <v>0.8125</v>
      </c>
      <c r="M4770" s="648">
        <v>0.70833333333333337</v>
      </c>
    </row>
    <row r="4771" spans="4:13" ht="25" thickBot="1">
      <c r="E4771" s="628" t="s">
        <v>436</v>
      </c>
      <c r="F4771" s="200" t="s">
        <v>29</v>
      </c>
      <c r="G4771" s="200" t="s">
        <v>28</v>
      </c>
      <c r="H4771" s="201" t="s">
        <v>27</v>
      </c>
      <c r="I4771" s="995"/>
      <c r="J4771" s="996"/>
      <c r="K4771" s="997"/>
      <c r="L4771" s="99"/>
      <c r="M4771" s="100"/>
    </row>
    <row r="4772" spans="4:13" ht="23">
      <c r="E4772" s="629">
        <v>45748</v>
      </c>
      <c r="F4772" s="217">
        <v>69.400000000000006</v>
      </c>
      <c r="G4772" s="217">
        <v>64.599999999999994</v>
      </c>
      <c r="H4772" s="217">
        <v>62.4</v>
      </c>
      <c r="I4772" s="995"/>
      <c r="J4772" s="996"/>
      <c r="K4772" s="997"/>
      <c r="L4772" s="99"/>
      <c r="M4772" s="100"/>
    </row>
    <row r="4773" spans="4:13" ht="23">
      <c r="E4773" s="629">
        <v>45719</v>
      </c>
      <c r="F4773" s="217">
        <v>62.4</v>
      </c>
      <c r="G4773" s="217">
        <v>56.2</v>
      </c>
      <c r="H4773" s="217">
        <v>54.9</v>
      </c>
      <c r="I4773" s="995"/>
      <c r="J4773" s="996"/>
      <c r="K4773" s="997"/>
      <c r="L4773" s="99"/>
      <c r="M4773" s="100"/>
    </row>
    <row r="4774" spans="4:13" ht="23">
      <c r="E4774" s="629">
        <v>45691</v>
      </c>
      <c r="F4774" s="217">
        <v>54.9</v>
      </c>
      <c r="G4774" s="217">
        <v>52.6</v>
      </c>
      <c r="H4774" s="217">
        <v>52.5</v>
      </c>
      <c r="I4774" s="995"/>
      <c r="J4774" s="996"/>
      <c r="K4774" s="997"/>
      <c r="L4774" s="649"/>
      <c r="M4774" s="100"/>
    </row>
    <row r="4775" spans="4:13" ht="23">
      <c r="E4775" s="629">
        <v>45660</v>
      </c>
      <c r="F4775" s="217">
        <v>52.5</v>
      </c>
      <c r="G4775" s="217">
        <v>51.5</v>
      </c>
      <c r="H4775" s="217">
        <v>50.3</v>
      </c>
      <c r="I4775" s="995"/>
      <c r="J4775" s="996"/>
      <c r="K4775" s="997"/>
      <c r="L4775" s="99"/>
      <c r="M4775" s="100"/>
    </row>
    <row r="4776" spans="4:13" ht="23">
      <c r="E4776" s="629">
        <v>45628</v>
      </c>
      <c r="F4776" s="217">
        <v>50.3</v>
      </c>
      <c r="G4776" s="217">
        <v>55.2</v>
      </c>
      <c r="H4776" s="217">
        <v>54.8</v>
      </c>
      <c r="I4776" s="995"/>
      <c r="J4776" s="996"/>
      <c r="K4776" s="997"/>
      <c r="L4776" s="99"/>
      <c r="M4776" s="100"/>
    </row>
    <row r="4777" spans="4:13" ht="24" thickBot="1">
      <c r="E4777" s="629">
        <v>45597</v>
      </c>
      <c r="F4777" s="217">
        <v>54.8</v>
      </c>
      <c r="G4777" s="217">
        <v>49.9</v>
      </c>
      <c r="H4777" s="217">
        <v>48</v>
      </c>
      <c r="I4777" s="998"/>
      <c r="J4777" s="999"/>
      <c r="K4777" s="1000"/>
      <c r="L4777" s="102"/>
      <c r="M4777" s="103"/>
    </row>
    <row r="4778" spans="4:13" ht="25" thickBot="1">
      <c r="D4778">
        <v>1</v>
      </c>
      <c r="E4778" s="624" t="s">
        <v>30</v>
      </c>
      <c r="F4778" s="1057" t="s">
        <v>2044</v>
      </c>
      <c r="G4778" s="1058"/>
      <c r="H4778" s="1059"/>
      <c r="I4778" s="1060" t="s">
        <v>633</v>
      </c>
      <c r="J4778" s="1061"/>
      <c r="K4778" s="1062"/>
      <c r="L4778" s="158" t="s">
        <v>430</v>
      </c>
      <c r="M4778" s="105" t="s">
        <v>431</v>
      </c>
    </row>
    <row r="4779" spans="4:13" ht="24">
      <c r="E4779" s="625" t="s">
        <v>432</v>
      </c>
      <c r="F4779" s="992"/>
      <c r="G4779" s="993"/>
      <c r="H4779" s="994"/>
      <c r="I4779" s="995" t="s">
        <v>2045</v>
      </c>
      <c r="J4779" s="996"/>
      <c r="K4779" s="997"/>
      <c r="L4779" s="99"/>
      <c r="M4779" s="100"/>
    </row>
    <row r="4780" spans="4:13" ht="24">
      <c r="E4780" s="626" t="s">
        <v>433</v>
      </c>
      <c r="F4780" s="1063"/>
      <c r="G4780" s="1064"/>
      <c r="H4780" s="1065"/>
      <c r="I4780" s="995"/>
      <c r="J4780" s="996"/>
      <c r="K4780" s="997"/>
      <c r="L4780" s="99"/>
      <c r="M4780" s="100"/>
    </row>
    <row r="4781" spans="4:13" ht="25" thickBot="1">
      <c r="E4781" s="626" t="s">
        <v>434</v>
      </c>
      <c r="F4781" s="1076">
        <v>1.35</v>
      </c>
      <c r="G4781" s="1064"/>
      <c r="H4781" s="1065"/>
      <c r="I4781" s="995"/>
      <c r="J4781" s="996"/>
      <c r="K4781" s="997"/>
      <c r="L4781" s="99"/>
      <c r="M4781" s="100"/>
    </row>
    <row r="4782" spans="4:13" ht="25" thickBot="1">
      <c r="E4782" s="627" t="s">
        <v>435</v>
      </c>
      <c r="F4782" s="1007">
        <v>0.83333333333333337</v>
      </c>
      <c r="G4782" s="1008"/>
      <c r="H4782" s="1009"/>
      <c r="I4782" s="995"/>
      <c r="J4782" s="996"/>
      <c r="K4782" s="997"/>
      <c r="L4782" s="647">
        <v>6.25E-2</v>
      </c>
      <c r="M4782" s="648">
        <v>0.95833333333333337</v>
      </c>
    </row>
    <row r="4783" spans="4:13" ht="25" thickBot="1">
      <c r="E4783" s="628" t="s">
        <v>436</v>
      </c>
      <c r="F4783" s="200" t="s">
        <v>29</v>
      </c>
      <c r="G4783" s="200" t="s">
        <v>28</v>
      </c>
      <c r="H4783" s="201" t="s">
        <v>27</v>
      </c>
      <c r="I4783" s="995"/>
      <c r="J4783" s="996"/>
      <c r="K4783" s="997"/>
      <c r="L4783" s="99"/>
      <c r="M4783" s="100"/>
    </row>
    <row r="4784" spans="4:13" ht="23">
      <c r="E4784" s="770">
        <v>45694</v>
      </c>
      <c r="F4784" s="217">
        <v>1.86</v>
      </c>
      <c r="G4784" s="217">
        <v>1.52</v>
      </c>
      <c r="H4784" s="217">
        <v>1.01</v>
      </c>
      <c r="I4784" s="995"/>
      <c r="J4784" s="996"/>
      <c r="K4784" s="997"/>
      <c r="L4784" s="99"/>
      <c r="M4784" s="100"/>
    </row>
    <row r="4785" spans="4:13" ht="23">
      <c r="E4785" s="770">
        <v>45596</v>
      </c>
      <c r="F4785" s="217">
        <v>1.43</v>
      </c>
      <c r="G4785" s="217">
        <v>1.1399999999999999</v>
      </c>
      <c r="H4785" s="217">
        <v>0.85</v>
      </c>
      <c r="I4785" s="995"/>
      <c r="J4785" s="996"/>
      <c r="K4785" s="997"/>
      <c r="L4785" s="99"/>
      <c r="M4785" s="100"/>
    </row>
    <row r="4786" spans="4:13" ht="23">
      <c r="E4786" s="770">
        <v>45505</v>
      </c>
      <c r="F4786" s="217">
        <v>1.23</v>
      </c>
      <c r="G4786" s="217">
        <v>1.05</v>
      </c>
      <c r="H4786" s="217">
        <v>0.63</v>
      </c>
      <c r="I4786" s="995"/>
      <c r="J4786" s="996"/>
      <c r="K4786" s="997"/>
      <c r="L4786" s="649"/>
      <c r="M4786" s="100"/>
    </row>
    <row r="4787" spans="4:13" ht="23">
      <c r="E4787" s="770">
        <v>45412</v>
      </c>
      <c r="F4787" s="217">
        <v>1.1299999999999999</v>
      </c>
      <c r="G4787" s="217">
        <v>0.83</v>
      </c>
      <c r="H4787" s="217">
        <v>0.31</v>
      </c>
      <c r="I4787" s="995"/>
      <c r="J4787" s="996"/>
      <c r="K4787" s="997"/>
      <c r="L4787" s="99"/>
      <c r="M4787" s="100"/>
    </row>
    <row r="4788" spans="4:13" ht="23">
      <c r="E4788" s="770">
        <v>45323</v>
      </c>
      <c r="F4788" s="217">
        <v>1.01</v>
      </c>
      <c r="G4788" s="217">
        <v>0.81</v>
      </c>
      <c r="H4788" s="217">
        <v>0.21</v>
      </c>
      <c r="I4788" s="995"/>
      <c r="J4788" s="996"/>
      <c r="K4788" s="997"/>
      <c r="L4788" s="99"/>
      <c r="M4788" s="100"/>
    </row>
    <row r="4789" spans="4:13" ht="24" thickBot="1">
      <c r="E4789" s="770">
        <v>45225</v>
      </c>
      <c r="F4789" s="217">
        <v>0.85</v>
      </c>
      <c r="G4789" s="217">
        <v>0.57999999999999996</v>
      </c>
      <c r="H4789" s="217">
        <v>0.2</v>
      </c>
      <c r="I4789" s="998"/>
      <c r="J4789" s="999"/>
      <c r="K4789" s="1000"/>
      <c r="L4789" s="102"/>
      <c r="M4789" s="103"/>
    </row>
    <row r="4790" spans="4:13" ht="25" thickBot="1">
      <c r="D4790">
        <v>1</v>
      </c>
      <c r="E4790" s="624" t="s">
        <v>30</v>
      </c>
      <c r="F4790" s="1057" t="s">
        <v>2046</v>
      </c>
      <c r="G4790" s="1058"/>
      <c r="H4790" s="1059"/>
      <c r="I4790" s="1060" t="s">
        <v>633</v>
      </c>
      <c r="J4790" s="1061"/>
      <c r="K4790" s="1062"/>
      <c r="L4790" s="158" t="s">
        <v>430</v>
      </c>
      <c r="M4790" s="105" t="s">
        <v>431</v>
      </c>
    </row>
    <row r="4791" spans="4:13" ht="24">
      <c r="E4791" s="625" t="s">
        <v>432</v>
      </c>
      <c r="F4791" s="992"/>
      <c r="G4791" s="993"/>
      <c r="H4791" s="994"/>
      <c r="I4791" s="995" t="s">
        <v>2047</v>
      </c>
      <c r="J4791" s="996"/>
      <c r="K4791" s="997"/>
      <c r="L4791" s="99"/>
      <c r="M4791" s="100"/>
    </row>
    <row r="4792" spans="4:13" ht="24">
      <c r="E4792" s="626" t="s">
        <v>433</v>
      </c>
      <c r="F4792" s="1063"/>
      <c r="G4792" s="1064"/>
      <c r="H4792" s="1065"/>
      <c r="I4792" s="995"/>
      <c r="J4792" s="996"/>
      <c r="K4792" s="997"/>
      <c r="L4792" s="99"/>
      <c r="M4792" s="100"/>
    </row>
    <row r="4793" spans="4:13" ht="25" thickBot="1">
      <c r="E4793" s="626" t="s">
        <v>434</v>
      </c>
      <c r="F4793" s="1076">
        <v>2.4</v>
      </c>
      <c r="G4793" s="1064"/>
      <c r="H4793" s="1065"/>
      <c r="I4793" s="995"/>
      <c r="J4793" s="996"/>
      <c r="K4793" s="997"/>
      <c r="L4793" s="99"/>
      <c r="M4793" s="100"/>
    </row>
    <row r="4794" spans="4:13" ht="25" thickBot="1">
      <c r="E4794" s="627" t="s">
        <v>435</v>
      </c>
      <c r="F4794" s="1007">
        <v>0.85416666666666674</v>
      </c>
      <c r="G4794" s="1008"/>
      <c r="H4794" s="1009"/>
      <c r="I4794" s="995"/>
      <c r="J4794" s="996"/>
      <c r="K4794" s="997"/>
      <c r="L4794" s="647">
        <v>8.3333333333333329E-2</v>
      </c>
      <c r="M4794" s="648">
        <v>0.97916666666666663</v>
      </c>
    </row>
    <row r="4795" spans="4:13" ht="25" thickBot="1">
      <c r="E4795" s="628" t="s">
        <v>436</v>
      </c>
      <c r="F4795" s="200" t="s">
        <v>29</v>
      </c>
      <c r="G4795" s="200" t="s">
        <v>28</v>
      </c>
      <c r="H4795" s="201" t="s">
        <v>27</v>
      </c>
      <c r="I4795" s="995"/>
      <c r="J4795" s="996"/>
      <c r="K4795" s="997"/>
      <c r="L4795" s="99"/>
      <c r="M4795" s="100"/>
    </row>
    <row r="4796" spans="4:13" ht="23">
      <c r="E4796" s="770">
        <v>45687</v>
      </c>
      <c r="F4796" s="217">
        <v>2.4</v>
      </c>
      <c r="G4796" s="217">
        <v>2.36</v>
      </c>
      <c r="H4796" s="217">
        <v>2.1800000000000002</v>
      </c>
      <c r="I4796" s="995"/>
      <c r="J4796" s="996"/>
      <c r="K4796" s="997"/>
      <c r="L4796" s="99"/>
      <c r="M4796" s="100"/>
    </row>
    <row r="4797" spans="4:13" ht="23">
      <c r="E4797" s="770">
        <v>45596</v>
      </c>
      <c r="F4797" s="217">
        <v>1.64</v>
      </c>
      <c r="G4797" s="217">
        <v>1.49</v>
      </c>
      <c r="H4797" s="217">
        <v>1.46</v>
      </c>
      <c r="I4797" s="995"/>
      <c r="J4797" s="996"/>
      <c r="K4797" s="997"/>
      <c r="L4797" s="99"/>
      <c r="M4797" s="100"/>
    </row>
    <row r="4798" spans="4:13" ht="23">
      <c r="E4798" s="770">
        <v>45505</v>
      </c>
      <c r="F4798" s="217">
        <v>1.4</v>
      </c>
      <c r="G4798" s="217">
        <v>1.34</v>
      </c>
      <c r="H4798" s="217">
        <v>1.26</v>
      </c>
      <c r="I4798" s="995"/>
      <c r="J4798" s="996"/>
      <c r="K4798" s="997"/>
      <c r="L4798" s="649"/>
      <c r="M4798" s="100"/>
    </row>
    <row r="4799" spans="4:13" ht="23">
      <c r="E4799" s="770">
        <v>45414</v>
      </c>
      <c r="F4799" s="217">
        <v>1.53</v>
      </c>
      <c r="G4799" s="217">
        <v>1.51</v>
      </c>
      <c r="H4799" s="217">
        <v>1.52</v>
      </c>
      <c r="I4799" s="995"/>
      <c r="J4799" s="996"/>
      <c r="K4799" s="997"/>
      <c r="L4799" s="99"/>
      <c r="M4799" s="100"/>
    </row>
    <row r="4800" spans="4:13" ht="23">
      <c r="E4800" s="770">
        <v>45323</v>
      </c>
      <c r="F4800" s="217">
        <v>2.1800000000000002</v>
      </c>
      <c r="G4800" s="217">
        <v>2.09</v>
      </c>
      <c r="H4800" s="217">
        <v>1.88</v>
      </c>
      <c r="I4800" s="995"/>
      <c r="J4800" s="996"/>
      <c r="K4800" s="997"/>
      <c r="L4800" s="99"/>
      <c r="M4800" s="100"/>
    </row>
    <row r="4801" spans="4:13" ht="24" thickBot="1">
      <c r="E4801" s="770">
        <v>45232</v>
      </c>
      <c r="F4801" s="217">
        <v>1.46</v>
      </c>
      <c r="G4801" s="217">
        <v>1.39</v>
      </c>
      <c r="H4801" s="217">
        <v>1.29</v>
      </c>
      <c r="I4801" s="998"/>
      <c r="J4801" s="999"/>
      <c r="K4801" s="1000"/>
      <c r="L4801" s="102"/>
      <c r="M4801" s="103"/>
    </row>
    <row r="4802" spans="4:13" ht="25" thickBot="1">
      <c r="D4802">
        <v>1</v>
      </c>
      <c r="E4802" s="624" t="s">
        <v>30</v>
      </c>
      <c r="F4802" s="1057" t="s">
        <v>2048</v>
      </c>
      <c r="G4802" s="1058"/>
      <c r="H4802" s="1059"/>
      <c r="I4802" s="1060" t="s">
        <v>633</v>
      </c>
      <c r="J4802" s="1061"/>
      <c r="K4802" s="1062"/>
      <c r="L4802" s="158" t="s">
        <v>430</v>
      </c>
      <c r="M4802" s="105" t="s">
        <v>431</v>
      </c>
    </row>
    <row r="4803" spans="4:13" ht="24">
      <c r="E4803" s="625" t="s">
        <v>432</v>
      </c>
      <c r="F4803" s="992"/>
      <c r="G4803" s="993"/>
      <c r="H4803" s="994"/>
      <c r="I4803" s="995" t="s">
        <v>2049</v>
      </c>
      <c r="J4803" s="996"/>
      <c r="K4803" s="997"/>
      <c r="L4803" s="99"/>
      <c r="M4803" s="100"/>
    </row>
    <row r="4804" spans="4:13" ht="24">
      <c r="E4804" s="626" t="s">
        <v>433</v>
      </c>
      <c r="F4804" s="1063"/>
      <c r="G4804" s="1064"/>
      <c r="H4804" s="1065"/>
      <c r="I4804" s="995"/>
      <c r="J4804" s="996"/>
      <c r="K4804" s="997"/>
      <c r="L4804" s="99"/>
      <c r="M4804" s="100"/>
    </row>
    <row r="4805" spans="4:13" ht="25" thickBot="1">
      <c r="E4805" s="626" t="s">
        <v>434</v>
      </c>
      <c r="F4805" s="1063">
        <v>2.5000000000000001E-2</v>
      </c>
      <c r="G4805" s="1064"/>
      <c r="H4805" s="1065"/>
      <c r="I4805" s="995"/>
      <c r="J4805" s="996"/>
      <c r="K4805" s="997"/>
      <c r="L4805" s="99"/>
      <c r="M4805" s="100"/>
    </row>
    <row r="4806" spans="4:13" ht="25" thickBot="1">
      <c r="E4806" s="627" t="s">
        <v>435</v>
      </c>
      <c r="F4806" s="1007">
        <v>0.375</v>
      </c>
      <c r="G4806" s="1008"/>
      <c r="H4806" s="1009"/>
      <c r="I4806" s="995"/>
      <c r="J4806" s="996"/>
      <c r="K4806" s="997"/>
      <c r="L4806" s="647">
        <v>0.60416666666666663</v>
      </c>
      <c r="M4806" s="648">
        <v>0.49999999999999994</v>
      </c>
    </row>
    <row r="4807" spans="4:13" ht="25" thickBot="1">
      <c r="E4807" s="628" t="s">
        <v>436</v>
      </c>
      <c r="F4807" s="200" t="s">
        <v>29</v>
      </c>
      <c r="G4807" s="200" t="s">
        <v>28</v>
      </c>
      <c r="H4807" s="201" t="s">
        <v>27</v>
      </c>
      <c r="I4807" s="995"/>
      <c r="J4807" s="996"/>
      <c r="K4807" s="997"/>
      <c r="L4807" s="99"/>
      <c r="M4807" s="100"/>
    </row>
    <row r="4808" spans="4:13" ht="23">
      <c r="E4808" s="629">
        <v>45763</v>
      </c>
      <c r="F4808" s="634">
        <v>2.1999999999999999E-2</v>
      </c>
      <c r="G4808" s="634">
        <v>2.1999999999999999E-2</v>
      </c>
      <c r="H4808" s="634">
        <v>2.3E-2</v>
      </c>
      <c r="I4808" s="995"/>
      <c r="J4808" s="996"/>
      <c r="K4808" s="997"/>
      <c r="L4808" s="99"/>
      <c r="M4808" s="100"/>
    </row>
    <row r="4809" spans="4:13" ht="23">
      <c r="E4809" s="629">
        <v>45748</v>
      </c>
      <c r="F4809" s="634">
        <v>2.1999999999999999E-2</v>
      </c>
      <c r="G4809" s="634">
        <v>2.1999999999999999E-2</v>
      </c>
      <c r="H4809" s="634">
        <v>2.3E-2</v>
      </c>
      <c r="I4809" s="995"/>
      <c r="J4809" s="996"/>
      <c r="K4809" s="997"/>
      <c r="L4809" s="99"/>
      <c r="M4809" s="100"/>
    </row>
    <row r="4810" spans="4:13" ht="23">
      <c r="E4810" s="629">
        <v>45735</v>
      </c>
      <c r="F4810" s="634">
        <v>2.3E-2</v>
      </c>
      <c r="G4810" s="634">
        <v>2.4E-2</v>
      </c>
      <c r="H4810" s="634">
        <v>2.5000000000000001E-2</v>
      </c>
      <c r="I4810" s="995"/>
      <c r="J4810" s="996"/>
      <c r="K4810" s="997"/>
      <c r="L4810" s="649"/>
      <c r="M4810" s="100"/>
    </row>
    <row r="4811" spans="4:13" ht="23">
      <c r="E4811" s="629">
        <v>45719</v>
      </c>
      <c r="F4811" s="634">
        <v>2.4E-2</v>
      </c>
      <c r="G4811" s="634">
        <v>2.3E-2</v>
      </c>
      <c r="H4811" s="634">
        <v>2.5000000000000001E-2</v>
      </c>
      <c r="I4811" s="995"/>
      <c r="J4811" s="996"/>
      <c r="K4811" s="997"/>
      <c r="L4811" s="99"/>
      <c r="M4811" s="100"/>
    </row>
    <row r="4812" spans="4:13" ht="23">
      <c r="E4812" s="629">
        <v>45712</v>
      </c>
      <c r="F4812" s="634">
        <v>2.5000000000000001E-2</v>
      </c>
      <c r="G4812" s="634">
        <v>2.5000000000000001E-2</v>
      </c>
      <c r="H4812" s="634">
        <v>2.4E-2</v>
      </c>
      <c r="I4812" s="995"/>
      <c r="J4812" s="996"/>
      <c r="K4812" s="997"/>
      <c r="L4812" s="99"/>
      <c r="M4812" s="100"/>
    </row>
    <row r="4813" spans="4:13" ht="24" thickBot="1">
      <c r="E4813" s="629">
        <v>45691</v>
      </c>
      <c r="F4813" s="634">
        <v>2.5000000000000001E-2</v>
      </c>
      <c r="G4813" s="634">
        <v>2.4E-2</v>
      </c>
      <c r="H4813" s="634">
        <v>2.4E-2</v>
      </c>
      <c r="I4813" s="998"/>
      <c r="J4813" s="999"/>
      <c r="K4813" s="1000"/>
      <c r="L4813" s="102"/>
      <c r="M4813" s="103"/>
    </row>
    <row r="4814" spans="4:13" ht="25" thickBot="1">
      <c r="D4814">
        <v>1</v>
      </c>
      <c r="E4814" s="624" t="s">
        <v>30</v>
      </c>
      <c r="F4814" s="1057" t="s">
        <v>2050</v>
      </c>
      <c r="G4814" s="1058"/>
      <c r="H4814" s="1059"/>
      <c r="I4814" s="1060" t="s">
        <v>633</v>
      </c>
      <c r="J4814" s="1061"/>
      <c r="K4814" s="1062"/>
      <c r="L4814" s="158" t="s">
        <v>430</v>
      </c>
      <c r="M4814" s="105" t="s">
        <v>431</v>
      </c>
    </row>
    <row r="4815" spans="4:13" ht="24">
      <c r="E4815" s="625" t="s">
        <v>432</v>
      </c>
      <c r="F4815" s="992"/>
      <c r="G4815" s="993"/>
      <c r="H4815" s="994"/>
      <c r="I4815" s="995" t="s">
        <v>2051</v>
      </c>
      <c r="J4815" s="996"/>
      <c r="K4815" s="997"/>
      <c r="L4815" s="99"/>
      <c r="M4815" s="100"/>
    </row>
    <row r="4816" spans="4:13" ht="24">
      <c r="E4816" s="626" t="s">
        <v>433</v>
      </c>
      <c r="F4816" s="1063"/>
      <c r="G4816" s="1064"/>
      <c r="H4816" s="1065"/>
      <c r="I4816" s="995"/>
      <c r="J4816" s="996"/>
      <c r="K4816" s="997"/>
      <c r="L4816" s="99"/>
      <c r="M4816" s="100"/>
    </row>
    <row r="4817" spans="4:13" ht="25" thickBot="1">
      <c r="E4817" s="626" t="s">
        <v>434</v>
      </c>
      <c r="F4817" s="1063">
        <v>3.0000000000000001E-3</v>
      </c>
      <c r="G4817" s="1064"/>
      <c r="H4817" s="1065"/>
      <c r="I4817" s="995"/>
      <c r="J4817" s="996"/>
      <c r="K4817" s="997"/>
      <c r="L4817" s="99"/>
      <c r="M4817" s="100"/>
    </row>
    <row r="4818" spans="4:13" ht="25" thickBot="1">
      <c r="E4818" s="627" t="s">
        <v>435</v>
      </c>
      <c r="F4818" s="1007">
        <v>0.52083333333333337</v>
      </c>
      <c r="G4818" s="1008"/>
      <c r="H4818" s="1009"/>
      <c r="I4818" s="995"/>
      <c r="J4818" s="996"/>
      <c r="K4818" s="997"/>
      <c r="L4818" s="647">
        <v>0.75</v>
      </c>
      <c r="M4818" s="648">
        <v>0.64583333333333337</v>
      </c>
    </row>
    <row r="4819" spans="4:13" ht="25" thickBot="1">
      <c r="E4819" s="628" t="s">
        <v>436</v>
      </c>
      <c r="F4819" s="200" t="s">
        <v>29</v>
      </c>
      <c r="G4819" s="200" t="s">
        <v>28</v>
      </c>
      <c r="H4819" s="201" t="s">
        <v>27</v>
      </c>
      <c r="I4819" s="995"/>
      <c r="J4819" s="996"/>
      <c r="K4819" s="997"/>
      <c r="L4819" s="99"/>
      <c r="M4819" s="100"/>
    </row>
    <row r="4820" spans="4:13" ht="23">
      <c r="E4820" s="629">
        <v>45751</v>
      </c>
      <c r="F4820" s="634">
        <v>3.0000000000000001E-3</v>
      </c>
      <c r="G4820" s="634">
        <v>3.0000000000000001E-3</v>
      </c>
      <c r="H4820" s="634">
        <v>2E-3</v>
      </c>
      <c r="I4820" s="995"/>
      <c r="J4820" s="996"/>
      <c r="K4820" s="997"/>
      <c r="L4820" s="99"/>
      <c r="M4820" s="100"/>
    </row>
    <row r="4821" spans="4:13" ht="23">
      <c r="E4821" s="629">
        <v>45723</v>
      </c>
      <c r="F4821" s="634">
        <v>3.0000000000000001E-3</v>
      </c>
      <c r="G4821" s="634">
        <v>3.0000000000000001E-3</v>
      </c>
      <c r="H4821" s="634">
        <v>4.0000000000000001E-3</v>
      </c>
      <c r="I4821" s="995"/>
      <c r="J4821" s="996"/>
      <c r="K4821" s="997"/>
      <c r="L4821" s="99"/>
      <c r="M4821" s="100"/>
    </row>
    <row r="4822" spans="4:13" ht="23">
      <c r="E4822" s="629">
        <v>45695</v>
      </c>
      <c r="F4822" s="634">
        <v>5.0000000000000001E-3</v>
      </c>
      <c r="G4822" s="634">
        <v>3.0000000000000001E-3</v>
      </c>
      <c r="H4822" s="634">
        <v>3.0000000000000001E-3</v>
      </c>
      <c r="I4822" s="995"/>
      <c r="J4822" s="996"/>
      <c r="K4822" s="997"/>
      <c r="L4822" s="649"/>
      <c r="M4822" s="100"/>
    </row>
    <row r="4823" spans="4:13" ht="23">
      <c r="E4823" s="629">
        <v>45667</v>
      </c>
      <c r="F4823" s="634">
        <v>3.0000000000000001E-3</v>
      </c>
      <c r="G4823" s="634">
        <v>3.0000000000000001E-3</v>
      </c>
      <c r="H4823" s="634">
        <v>4.0000000000000001E-3</v>
      </c>
      <c r="I4823" s="995"/>
      <c r="J4823" s="996"/>
      <c r="K4823" s="997"/>
      <c r="L4823" s="99"/>
      <c r="M4823" s="100"/>
    </row>
    <row r="4824" spans="4:13" ht="23">
      <c r="E4824" s="629">
        <v>45632</v>
      </c>
      <c r="F4824" s="634">
        <v>4.0000000000000001E-3</v>
      </c>
      <c r="G4824" s="634">
        <v>3.0000000000000001E-3</v>
      </c>
      <c r="H4824" s="634">
        <v>4.0000000000000001E-3</v>
      </c>
      <c r="I4824" s="995"/>
      <c r="J4824" s="996"/>
      <c r="K4824" s="997"/>
      <c r="L4824" s="99"/>
      <c r="M4824" s="100"/>
    </row>
    <row r="4825" spans="4:13" ht="24" thickBot="1">
      <c r="E4825" s="629">
        <v>45597</v>
      </c>
      <c r="F4825" s="634">
        <v>4.0000000000000001E-3</v>
      </c>
      <c r="G4825" s="634">
        <v>3.0000000000000001E-3</v>
      </c>
      <c r="H4825" s="634">
        <v>3.0000000000000001E-3</v>
      </c>
      <c r="I4825" s="998"/>
      <c r="J4825" s="999"/>
      <c r="K4825" s="1000"/>
      <c r="L4825" s="102"/>
      <c r="M4825" s="103"/>
    </row>
    <row r="4826" spans="4:13" ht="25" thickBot="1">
      <c r="D4826">
        <v>1</v>
      </c>
      <c r="E4826" s="624" t="s">
        <v>30</v>
      </c>
      <c r="F4826" s="1057" t="s">
        <v>2052</v>
      </c>
      <c r="G4826" s="1058"/>
      <c r="H4826" s="1059"/>
      <c r="I4826" s="1060" t="s">
        <v>633</v>
      </c>
      <c r="J4826" s="1061"/>
      <c r="K4826" s="1062"/>
      <c r="L4826" s="158" t="s">
        <v>430</v>
      </c>
      <c r="M4826" s="105" t="s">
        <v>431</v>
      </c>
    </row>
    <row r="4827" spans="4:13" ht="24">
      <c r="E4827" s="625" t="s">
        <v>432</v>
      </c>
      <c r="F4827" s="992"/>
      <c r="G4827" s="993"/>
      <c r="H4827" s="994"/>
      <c r="I4827" s="995" t="s">
        <v>2053</v>
      </c>
      <c r="J4827" s="996"/>
      <c r="K4827" s="997"/>
      <c r="L4827" s="99"/>
      <c r="M4827" s="100"/>
    </row>
    <row r="4828" spans="4:13" ht="24">
      <c r="E4828" s="626" t="s">
        <v>433</v>
      </c>
      <c r="F4828" s="1063"/>
      <c r="G4828" s="1064"/>
      <c r="H4828" s="1065"/>
      <c r="I4828" s="995"/>
      <c r="J4828" s="996"/>
      <c r="K4828" s="997"/>
      <c r="L4828" s="99"/>
      <c r="M4828" s="100"/>
    </row>
    <row r="4829" spans="4:13" ht="25" thickBot="1">
      <c r="E4829" s="626" t="s">
        <v>434</v>
      </c>
      <c r="F4829" s="1076" t="s">
        <v>579</v>
      </c>
      <c r="G4829" s="1064"/>
      <c r="H4829" s="1065"/>
      <c r="I4829" s="995"/>
      <c r="J4829" s="996"/>
      <c r="K4829" s="997"/>
      <c r="L4829" s="99"/>
      <c r="M4829" s="100"/>
    </row>
    <row r="4830" spans="4:13" ht="25" thickBot="1">
      <c r="E4830" s="627" t="s">
        <v>435</v>
      </c>
      <c r="F4830" s="1007">
        <v>0.52083333333333337</v>
      </c>
      <c r="G4830" s="1008"/>
      <c r="H4830" s="1009"/>
      <c r="I4830" s="995"/>
      <c r="J4830" s="996"/>
      <c r="K4830" s="997"/>
      <c r="L4830" s="647">
        <v>0.75</v>
      </c>
      <c r="M4830" s="648">
        <v>0.64583333333333337</v>
      </c>
    </row>
    <row r="4831" spans="4:13" ht="25" thickBot="1">
      <c r="E4831" s="628" t="s">
        <v>436</v>
      </c>
      <c r="F4831" s="200" t="s">
        <v>29</v>
      </c>
      <c r="G4831" s="200" t="s">
        <v>28</v>
      </c>
      <c r="H4831" s="201" t="s">
        <v>27</v>
      </c>
      <c r="I4831" s="995"/>
      <c r="J4831" s="996"/>
      <c r="K4831" s="997"/>
      <c r="L4831" s="99"/>
      <c r="M4831" s="100"/>
    </row>
    <row r="4832" spans="4:13" ht="24">
      <c r="E4832" s="629">
        <v>45751</v>
      </c>
      <c r="F4832" s="634" t="s">
        <v>977</v>
      </c>
      <c r="G4832" s="634" t="s">
        <v>2066</v>
      </c>
      <c r="H4832" s="634" t="s">
        <v>2067</v>
      </c>
      <c r="I4832" s="995"/>
      <c r="J4832" s="996"/>
      <c r="K4832" s="997"/>
      <c r="L4832" s="99"/>
      <c r="M4832" s="100"/>
    </row>
    <row r="4833" spans="4:13" ht="24">
      <c r="E4833" s="629">
        <v>45723</v>
      </c>
      <c r="F4833" s="634" t="s">
        <v>1870</v>
      </c>
      <c r="G4833" s="634" t="s">
        <v>1194</v>
      </c>
      <c r="H4833" s="634" t="s">
        <v>1871</v>
      </c>
      <c r="I4833" s="995"/>
      <c r="J4833" s="996"/>
      <c r="K4833" s="997"/>
      <c r="L4833" s="99"/>
      <c r="M4833" s="100"/>
    </row>
    <row r="4834" spans="4:13" ht="24">
      <c r="E4834" s="629">
        <v>45695</v>
      </c>
      <c r="F4834" s="634" t="s">
        <v>1195</v>
      </c>
      <c r="G4834" s="634" t="s">
        <v>1875</v>
      </c>
      <c r="H4834" s="634" t="s">
        <v>1876</v>
      </c>
      <c r="I4834" s="995"/>
      <c r="J4834" s="996"/>
      <c r="K4834" s="997"/>
      <c r="L4834" s="649"/>
      <c r="M4834" s="100"/>
    </row>
    <row r="4835" spans="4:13" ht="24">
      <c r="E4835" s="629">
        <v>45667</v>
      </c>
      <c r="F4835" s="634" t="s">
        <v>1880</v>
      </c>
      <c r="G4835" s="634" t="s">
        <v>1237</v>
      </c>
      <c r="H4835" s="634" t="s">
        <v>1881</v>
      </c>
      <c r="I4835" s="995"/>
      <c r="J4835" s="996"/>
      <c r="K4835" s="997"/>
      <c r="L4835" s="99"/>
      <c r="M4835" s="100"/>
    </row>
    <row r="4836" spans="4:13" ht="24">
      <c r="E4836" s="629">
        <v>45632</v>
      </c>
      <c r="F4836" s="634" t="s">
        <v>978</v>
      </c>
      <c r="G4836" s="634" t="s">
        <v>1397</v>
      </c>
      <c r="H4836" s="634" t="s">
        <v>1398</v>
      </c>
      <c r="I4836" s="995"/>
      <c r="J4836" s="996"/>
      <c r="K4836" s="997"/>
      <c r="L4836" s="99"/>
      <c r="M4836" s="100"/>
    </row>
    <row r="4837" spans="4:13" ht="25" thickBot="1">
      <c r="E4837" s="629">
        <v>45597</v>
      </c>
      <c r="F4837" s="634" t="s">
        <v>1233</v>
      </c>
      <c r="G4837" s="634" t="s">
        <v>1234</v>
      </c>
      <c r="H4837" s="634" t="s">
        <v>973</v>
      </c>
      <c r="I4837" s="998"/>
      <c r="J4837" s="999"/>
      <c r="K4837" s="1000"/>
      <c r="L4837" s="102"/>
      <c r="M4837" s="103"/>
    </row>
    <row r="4838" spans="4:13" ht="25" thickBot="1">
      <c r="D4838">
        <v>1</v>
      </c>
      <c r="E4838" s="624" t="s">
        <v>30</v>
      </c>
      <c r="F4838" s="1057" t="s">
        <v>2054</v>
      </c>
      <c r="G4838" s="1058"/>
      <c r="H4838" s="1059"/>
      <c r="I4838" s="1060" t="s">
        <v>633</v>
      </c>
      <c r="J4838" s="1061"/>
      <c r="K4838" s="1062"/>
      <c r="L4838" s="158" t="s">
        <v>430</v>
      </c>
      <c r="M4838" s="105" t="s">
        <v>431</v>
      </c>
    </row>
    <row r="4839" spans="4:13" ht="24">
      <c r="E4839" s="625" t="s">
        <v>432</v>
      </c>
      <c r="F4839" s="992"/>
      <c r="G4839" s="993"/>
      <c r="H4839" s="994"/>
      <c r="I4839" s="995" t="s">
        <v>2055</v>
      </c>
      <c r="J4839" s="996"/>
      <c r="K4839" s="997"/>
      <c r="L4839" s="99"/>
      <c r="M4839" s="100"/>
    </row>
    <row r="4840" spans="4:13" ht="24">
      <c r="E4840" s="626" t="s">
        <v>433</v>
      </c>
      <c r="F4840" s="1063"/>
      <c r="G4840" s="1064"/>
      <c r="H4840" s="1065"/>
      <c r="I4840" s="995"/>
      <c r="J4840" s="996"/>
      <c r="K4840" s="997"/>
      <c r="L4840" s="99"/>
      <c r="M4840" s="100"/>
    </row>
    <row r="4841" spans="4:13" ht="25" thickBot="1">
      <c r="E4841" s="626" t="s">
        <v>434</v>
      </c>
      <c r="F4841" s="1063">
        <v>4.2000000000000003E-2</v>
      </c>
      <c r="G4841" s="1064"/>
      <c r="H4841" s="1065"/>
      <c r="I4841" s="995"/>
      <c r="J4841" s="996"/>
      <c r="K4841" s="997"/>
      <c r="L4841" s="99"/>
      <c r="M4841" s="100"/>
    </row>
    <row r="4842" spans="4:13" ht="25" thickBot="1">
      <c r="E4842" s="627" t="s">
        <v>435</v>
      </c>
      <c r="F4842" s="1007">
        <v>0.52083333333333337</v>
      </c>
      <c r="G4842" s="1008"/>
      <c r="H4842" s="1009"/>
      <c r="I4842" s="995"/>
      <c r="J4842" s="996"/>
      <c r="K4842" s="997"/>
      <c r="L4842" s="647">
        <v>0.75</v>
      </c>
      <c r="M4842" s="648">
        <v>0.64583333333333337</v>
      </c>
    </row>
    <row r="4843" spans="4:13" ht="25" thickBot="1">
      <c r="E4843" s="628" t="s">
        <v>436</v>
      </c>
      <c r="F4843" s="200" t="s">
        <v>29</v>
      </c>
      <c r="G4843" s="200" t="s">
        <v>28</v>
      </c>
      <c r="H4843" s="201" t="s">
        <v>27</v>
      </c>
      <c r="I4843" s="995"/>
      <c r="J4843" s="996"/>
      <c r="K4843" s="997"/>
      <c r="L4843" s="99"/>
      <c r="M4843" s="100"/>
    </row>
    <row r="4844" spans="4:13" ht="23">
      <c r="E4844" s="629">
        <v>45751</v>
      </c>
      <c r="F4844" s="634">
        <v>4.2000000000000003E-2</v>
      </c>
      <c r="G4844" s="634">
        <v>4.1000000000000002E-2</v>
      </c>
      <c r="H4844" s="634">
        <v>4.1000000000000002E-2</v>
      </c>
      <c r="I4844" s="995"/>
      <c r="J4844" s="996"/>
      <c r="K4844" s="997"/>
      <c r="L4844" s="99"/>
      <c r="M4844" s="100"/>
    </row>
    <row r="4845" spans="4:13" ht="23">
      <c r="E4845" s="629">
        <v>45723</v>
      </c>
      <c r="F4845" s="634">
        <v>4.1000000000000002E-2</v>
      </c>
      <c r="G4845" s="634">
        <v>0.04</v>
      </c>
      <c r="H4845" s="634">
        <v>0.04</v>
      </c>
      <c r="I4845" s="995"/>
      <c r="J4845" s="996"/>
      <c r="K4845" s="997"/>
      <c r="L4845" s="99"/>
      <c r="M4845" s="100"/>
    </row>
    <row r="4846" spans="4:13" ht="23">
      <c r="E4846" s="629">
        <v>45695</v>
      </c>
      <c r="F4846" s="634">
        <v>0.04</v>
      </c>
      <c r="G4846" s="634">
        <v>4.1000000000000002E-2</v>
      </c>
      <c r="H4846" s="634">
        <v>4.1000000000000002E-2</v>
      </c>
      <c r="I4846" s="995"/>
      <c r="J4846" s="996"/>
      <c r="K4846" s="997"/>
      <c r="L4846" s="649"/>
      <c r="M4846" s="100"/>
    </row>
    <row r="4847" spans="4:13" ht="23">
      <c r="E4847" s="629">
        <v>45667</v>
      </c>
      <c r="F4847" s="634">
        <v>4.1000000000000002E-2</v>
      </c>
      <c r="G4847" s="634">
        <v>4.2000000000000003E-2</v>
      </c>
      <c r="H4847" s="634">
        <v>4.2000000000000003E-2</v>
      </c>
      <c r="I4847" s="995"/>
      <c r="J4847" s="996"/>
      <c r="K4847" s="997"/>
      <c r="L4847" s="99"/>
      <c r="M4847" s="100"/>
    </row>
    <row r="4848" spans="4:13" ht="23">
      <c r="E4848" s="629">
        <v>45632</v>
      </c>
      <c r="F4848" s="634">
        <v>4.2000000000000003E-2</v>
      </c>
      <c r="G4848" s="634">
        <v>4.2000000000000003E-2</v>
      </c>
      <c r="H4848" s="634">
        <v>4.1000000000000002E-2</v>
      </c>
      <c r="I4848" s="995"/>
      <c r="J4848" s="996"/>
      <c r="K4848" s="997"/>
      <c r="L4848" s="99"/>
      <c r="M4848" s="100"/>
    </row>
    <row r="4849" spans="3:13" ht="24" thickBot="1">
      <c r="E4849" s="629">
        <v>45597</v>
      </c>
      <c r="F4849" s="634">
        <v>4.1000000000000002E-2</v>
      </c>
      <c r="G4849" s="634">
        <v>4.1000000000000002E-2</v>
      </c>
      <c r="H4849" s="634">
        <v>4.1000000000000002E-2</v>
      </c>
      <c r="I4849" s="998"/>
      <c r="J4849" s="999"/>
      <c r="K4849" s="1000"/>
      <c r="L4849" s="102"/>
      <c r="M4849" s="103"/>
    </row>
    <row r="4850" spans="3:13" ht="25" thickBot="1">
      <c r="C4850" t="s">
        <v>105</v>
      </c>
      <c r="D4850">
        <v>1</v>
      </c>
      <c r="E4850" s="756" t="s">
        <v>30</v>
      </c>
      <c r="F4850" s="1066" t="s">
        <v>2072</v>
      </c>
      <c r="G4850" s="1067"/>
      <c r="H4850" s="1068"/>
      <c r="I4850" s="1069" t="s">
        <v>633</v>
      </c>
      <c r="J4850" s="1070"/>
      <c r="K4850" s="1071"/>
      <c r="L4850" s="158" t="s">
        <v>430</v>
      </c>
      <c r="M4850" s="105" t="s">
        <v>431</v>
      </c>
    </row>
    <row r="4851" spans="3:13" ht="24">
      <c r="E4851" s="625" t="s">
        <v>432</v>
      </c>
      <c r="F4851" s="992"/>
      <c r="G4851" s="993"/>
      <c r="H4851" s="994"/>
      <c r="I4851" s="995" t="s">
        <v>1969</v>
      </c>
      <c r="J4851" s="996"/>
      <c r="K4851" s="997"/>
      <c r="L4851" s="99"/>
      <c r="M4851" s="100"/>
    </row>
    <row r="4852" spans="3:13" ht="24">
      <c r="E4852" s="626" t="s">
        <v>433</v>
      </c>
      <c r="F4852" s="1075">
        <v>51.4</v>
      </c>
      <c r="G4852" s="1073"/>
      <c r="H4852" s="1074"/>
      <c r="I4852" s="995"/>
      <c r="J4852" s="996"/>
      <c r="K4852" s="997"/>
      <c r="L4852" s="99"/>
      <c r="M4852" s="100"/>
    </row>
    <row r="4853" spans="3:13" ht="25" thickBot="1">
      <c r="E4853" s="626" t="s">
        <v>434</v>
      </c>
      <c r="F4853" s="1076">
        <v>54.4</v>
      </c>
      <c r="G4853" s="1064"/>
      <c r="H4853" s="1065"/>
      <c r="I4853" s="995"/>
      <c r="J4853" s="996"/>
      <c r="K4853" s="997"/>
      <c r="L4853" s="99"/>
      <c r="M4853" s="100"/>
    </row>
    <row r="4854" spans="3:13" ht="25" thickBot="1">
      <c r="E4854" s="627" t="s">
        <v>435</v>
      </c>
      <c r="F4854" s="1007">
        <v>0.57291666666666674</v>
      </c>
      <c r="G4854" s="1008"/>
      <c r="H4854" s="1009"/>
      <c r="I4854" s="995"/>
      <c r="J4854" s="996"/>
      <c r="K4854" s="997"/>
      <c r="L4854" s="647">
        <v>0.80208333333333337</v>
      </c>
      <c r="M4854" s="648">
        <v>0.69791666666666674</v>
      </c>
    </row>
    <row r="4855" spans="3:13" ht="25" thickBot="1">
      <c r="E4855" s="628" t="s">
        <v>436</v>
      </c>
      <c r="F4855" s="200" t="s">
        <v>29</v>
      </c>
      <c r="G4855" s="200" t="s">
        <v>28</v>
      </c>
      <c r="H4855" s="201" t="s">
        <v>27</v>
      </c>
      <c r="I4855" s="995"/>
      <c r="J4855" s="996"/>
      <c r="K4855" s="997"/>
      <c r="L4855" s="99"/>
      <c r="M4855" s="100"/>
    </row>
    <row r="4856" spans="3:13" ht="24">
      <c r="E4856" s="629">
        <v>45770</v>
      </c>
      <c r="F4856" s="634" t="s">
        <v>1216</v>
      </c>
      <c r="G4856" s="634" t="s">
        <v>2095</v>
      </c>
      <c r="H4856" s="634" t="s">
        <v>2096</v>
      </c>
      <c r="I4856" s="995"/>
      <c r="J4856" s="996"/>
      <c r="K4856" s="997"/>
      <c r="L4856" s="99"/>
      <c r="M4856" s="100"/>
    </row>
    <row r="4857" spans="3:13" ht="24">
      <c r="E4857" s="629">
        <v>45750</v>
      </c>
      <c r="F4857" s="634" t="s">
        <v>2096</v>
      </c>
      <c r="G4857" s="634" t="s">
        <v>2097</v>
      </c>
      <c r="H4857" s="634" t="s">
        <v>1859</v>
      </c>
      <c r="I4857" s="995"/>
      <c r="J4857" s="996"/>
      <c r="K4857" s="997"/>
      <c r="L4857" s="99"/>
      <c r="M4857" s="100"/>
    </row>
    <row r="4858" spans="3:13" ht="24">
      <c r="E4858" s="629">
        <v>45770</v>
      </c>
      <c r="F4858" s="634" t="s">
        <v>1216</v>
      </c>
      <c r="G4858" s="634" t="s">
        <v>2095</v>
      </c>
      <c r="H4858" s="634" t="s">
        <v>2096</v>
      </c>
      <c r="I4858" s="995"/>
      <c r="J4858" s="996"/>
      <c r="K4858" s="997"/>
      <c r="L4858" s="649"/>
      <c r="M4858" s="100"/>
    </row>
    <row r="4859" spans="3:13" ht="24">
      <c r="E4859" s="629">
        <v>45750</v>
      </c>
      <c r="F4859" s="634" t="s">
        <v>2096</v>
      </c>
      <c r="G4859" s="634" t="s">
        <v>2097</v>
      </c>
      <c r="H4859" s="634" t="s">
        <v>1859</v>
      </c>
      <c r="I4859" s="995"/>
      <c r="J4859" s="996"/>
      <c r="K4859" s="997"/>
      <c r="L4859" s="99"/>
      <c r="M4859" s="100"/>
    </row>
    <row r="4860" spans="3:13" ht="24">
      <c r="E4860" s="629">
        <v>45770</v>
      </c>
      <c r="F4860" s="634" t="s">
        <v>1216</v>
      </c>
      <c r="G4860" s="634" t="s">
        <v>2095</v>
      </c>
      <c r="H4860" s="634" t="s">
        <v>2096</v>
      </c>
      <c r="I4860" s="995"/>
      <c r="J4860" s="996"/>
      <c r="K4860" s="997"/>
      <c r="L4860" s="99"/>
      <c r="M4860" s="100"/>
    </row>
    <row r="4861" spans="3:13" ht="25" thickBot="1">
      <c r="E4861" s="629">
        <v>45750</v>
      </c>
      <c r="F4861" s="634" t="s">
        <v>2096</v>
      </c>
      <c r="G4861" s="634" t="s">
        <v>2097</v>
      </c>
      <c r="H4861" s="634" t="s">
        <v>1859</v>
      </c>
      <c r="I4861" s="998"/>
      <c r="J4861" s="999"/>
      <c r="K4861" s="1000"/>
      <c r="L4861" s="102"/>
      <c r="M4861" s="103"/>
    </row>
    <row r="4862" spans="3:13" ht="25" thickBot="1">
      <c r="D4862">
        <v>1</v>
      </c>
      <c r="E4862" s="756" t="s">
        <v>30</v>
      </c>
      <c r="F4862" s="1066" t="s">
        <v>2073</v>
      </c>
      <c r="G4862" s="1067"/>
      <c r="H4862" s="1068"/>
      <c r="I4862" s="1069" t="s">
        <v>633</v>
      </c>
      <c r="J4862" s="1070"/>
      <c r="K4862" s="1071"/>
      <c r="L4862" s="158" t="s">
        <v>430</v>
      </c>
      <c r="M4862" s="105" t="s">
        <v>431</v>
      </c>
    </row>
    <row r="4863" spans="3:13" ht="24">
      <c r="E4863" s="625" t="s">
        <v>432</v>
      </c>
      <c r="F4863" s="992"/>
      <c r="G4863" s="993"/>
      <c r="H4863" s="994"/>
      <c r="I4863" s="995" t="s">
        <v>2076</v>
      </c>
      <c r="J4863" s="996"/>
      <c r="K4863" s="997"/>
      <c r="L4863" s="99"/>
      <c r="M4863" s="100"/>
    </row>
    <row r="4864" spans="3:13" ht="24">
      <c r="E4864" s="626" t="s">
        <v>433</v>
      </c>
      <c r="F4864" s="1072"/>
      <c r="G4864" s="1073"/>
      <c r="H4864" s="1074"/>
      <c r="I4864" s="995"/>
      <c r="J4864" s="996"/>
      <c r="K4864" s="997"/>
      <c r="L4864" s="99"/>
      <c r="M4864" s="100"/>
    </row>
    <row r="4865" spans="4:13" ht="25" thickBot="1">
      <c r="E4865" s="626" t="s">
        <v>434</v>
      </c>
      <c r="F4865" s="1075">
        <v>50.8</v>
      </c>
      <c r="G4865" s="1073"/>
      <c r="H4865" s="1074"/>
      <c r="I4865" s="995"/>
      <c r="J4865" s="996"/>
      <c r="K4865" s="997"/>
      <c r="L4865" s="99"/>
      <c r="M4865" s="100"/>
    </row>
    <row r="4866" spans="4:13" ht="25" thickBot="1">
      <c r="E4866" s="627" t="s">
        <v>435</v>
      </c>
      <c r="F4866" s="1007">
        <v>0.58333333333333337</v>
      </c>
      <c r="G4866" s="1008"/>
      <c r="H4866" s="1009"/>
      <c r="I4866" s="995"/>
      <c r="J4866" s="996"/>
      <c r="K4866" s="997"/>
      <c r="L4866" s="647">
        <v>0.8125</v>
      </c>
      <c r="M4866" s="648">
        <v>0.70833333333333337</v>
      </c>
    </row>
    <row r="4867" spans="4:13" ht="25" thickBot="1">
      <c r="E4867" s="628" t="s">
        <v>436</v>
      </c>
      <c r="F4867" s="200" t="s">
        <v>29</v>
      </c>
      <c r="G4867" s="200" t="s">
        <v>28</v>
      </c>
      <c r="H4867" s="201" t="s">
        <v>27</v>
      </c>
      <c r="I4867" s="995"/>
      <c r="J4867" s="996"/>
      <c r="K4867" s="997"/>
      <c r="L4867" s="99"/>
      <c r="M4867" s="100"/>
    </row>
    <row r="4868" spans="4:13" ht="23">
      <c r="E4868" s="629">
        <v>45750</v>
      </c>
      <c r="F4868" s="217">
        <v>50.8</v>
      </c>
      <c r="G4868" s="217">
        <v>53</v>
      </c>
      <c r="H4868" s="217">
        <v>53.5</v>
      </c>
      <c r="I4868" s="995"/>
      <c r="J4868" s="996"/>
      <c r="K4868" s="997"/>
      <c r="L4868" s="99"/>
      <c r="M4868" s="100"/>
    </row>
    <row r="4869" spans="4:13" ht="23">
      <c r="E4869" s="629">
        <v>45721</v>
      </c>
      <c r="F4869" s="217">
        <v>53.5</v>
      </c>
      <c r="G4869" s="217">
        <v>52.5</v>
      </c>
      <c r="H4869" s="217">
        <v>52.8</v>
      </c>
      <c r="I4869" s="995"/>
      <c r="J4869" s="996"/>
      <c r="K4869" s="997"/>
      <c r="L4869" s="99"/>
      <c r="M4869" s="100"/>
    </row>
    <row r="4870" spans="4:13" ht="23">
      <c r="E4870" s="629">
        <v>45693</v>
      </c>
      <c r="F4870" s="217">
        <v>52.8</v>
      </c>
      <c r="G4870" s="217">
        <v>54.2</v>
      </c>
      <c r="H4870" s="217">
        <v>54</v>
      </c>
      <c r="I4870" s="995"/>
      <c r="J4870" s="996"/>
      <c r="K4870" s="997"/>
      <c r="L4870" s="649"/>
      <c r="M4870" s="100"/>
    </row>
    <row r="4871" spans="4:13" ht="23">
      <c r="E4871" s="629">
        <v>45664</v>
      </c>
      <c r="F4871" s="217">
        <v>54.1</v>
      </c>
      <c r="G4871" s="217">
        <v>53.5</v>
      </c>
      <c r="H4871" s="217">
        <v>52.1</v>
      </c>
      <c r="I4871" s="995"/>
      <c r="J4871" s="996"/>
      <c r="K4871" s="997"/>
      <c r="L4871" s="99"/>
      <c r="M4871" s="100"/>
    </row>
    <row r="4872" spans="4:13" ht="23">
      <c r="E4872" s="629">
        <v>45630</v>
      </c>
      <c r="F4872" s="217">
        <v>52.1</v>
      </c>
      <c r="G4872" s="217">
        <v>55.5</v>
      </c>
      <c r="H4872" s="217">
        <v>56</v>
      </c>
      <c r="I4872" s="995"/>
      <c r="J4872" s="996"/>
      <c r="K4872" s="997"/>
      <c r="L4872" s="99"/>
      <c r="M4872" s="100"/>
    </row>
    <row r="4873" spans="4:13" ht="24" thickBot="1">
      <c r="E4873" s="629">
        <v>45601</v>
      </c>
      <c r="F4873" s="217">
        <v>56</v>
      </c>
      <c r="G4873" s="217">
        <v>53.8</v>
      </c>
      <c r="H4873" s="217">
        <v>54.9</v>
      </c>
      <c r="I4873" s="998"/>
      <c r="J4873" s="999"/>
      <c r="K4873" s="1000"/>
      <c r="L4873" s="102"/>
      <c r="M4873" s="103"/>
    </row>
    <row r="4874" spans="4:13" ht="25" thickBot="1">
      <c r="D4874">
        <v>1</v>
      </c>
      <c r="E4874" s="756" t="s">
        <v>30</v>
      </c>
      <c r="F4874" s="1066" t="s">
        <v>2075</v>
      </c>
      <c r="G4874" s="1067"/>
      <c r="H4874" s="1068"/>
      <c r="I4874" s="1069" t="s">
        <v>633</v>
      </c>
      <c r="J4874" s="1070"/>
      <c r="K4874" s="1071"/>
      <c r="L4874" s="158" t="s">
        <v>430</v>
      </c>
      <c r="M4874" s="105" t="s">
        <v>431</v>
      </c>
    </row>
    <row r="4875" spans="4:13" ht="24">
      <c r="E4875" s="625" t="s">
        <v>432</v>
      </c>
      <c r="F4875" s="992"/>
      <c r="G4875" s="993"/>
      <c r="H4875" s="994"/>
      <c r="I4875" s="995" t="s">
        <v>2076</v>
      </c>
      <c r="J4875" s="996"/>
      <c r="K4875" s="997"/>
      <c r="L4875" s="99"/>
      <c r="M4875" s="100"/>
    </row>
    <row r="4876" spans="4:13" ht="24">
      <c r="E4876" s="626" t="s">
        <v>433</v>
      </c>
      <c r="F4876" s="1072"/>
      <c r="G4876" s="1073"/>
      <c r="H4876" s="1074"/>
      <c r="I4876" s="995"/>
      <c r="J4876" s="996"/>
      <c r="K4876" s="997"/>
      <c r="L4876" s="99"/>
      <c r="M4876" s="100"/>
    </row>
    <row r="4877" spans="4:13" ht="25" thickBot="1">
      <c r="E4877" s="626" t="s">
        <v>434</v>
      </c>
      <c r="F4877" s="1075">
        <v>60.9</v>
      </c>
      <c r="G4877" s="1073"/>
      <c r="H4877" s="1074"/>
      <c r="I4877" s="995"/>
      <c r="J4877" s="996"/>
      <c r="K4877" s="997"/>
      <c r="L4877" s="99"/>
      <c r="M4877" s="100"/>
    </row>
    <row r="4878" spans="4:13" ht="25" thickBot="1">
      <c r="E4878" s="627" t="s">
        <v>435</v>
      </c>
      <c r="F4878" s="1007">
        <v>0.58333333333333337</v>
      </c>
      <c r="G4878" s="1008"/>
      <c r="H4878" s="1009"/>
      <c r="I4878" s="995"/>
      <c r="J4878" s="996"/>
      <c r="K4878" s="997"/>
      <c r="L4878" s="647">
        <v>0.8125</v>
      </c>
      <c r="M4878" s="648">
        <v>0.70833333333333337</v>
      </c>
    </row>
    <row r="4879" spans="4:13" ht="25" thickBot="1">
      <c r="E4879" s="628" t="s">
        <v>436</v>
      </c>
      <c r="F4879" s="200" t="s">
        <v>29</v>
      </c>
      <c r="G4879" s="200" t="s">
        <v>28</v>
      </c>
      <c r="H4879" s="201" t="s">
        <v>27</v>
      </c>
      <c r="I4879" s="995"/>
      <c r="J4879" s="996"/>
      <c r="K4879" s="997"/>
      <c r="L4879" s="99"/>
      <c r="M4879" s="100"/>
    </row>
    <row r="4880" spans="4:13" ht="23">
      <c r="E4880" s="629">
        <v>45750</v>
      </c>
      <c r="F4880" s="217">
        <v>60.9</v>
      </c>
      <c r="G4880" s="217">
        <v>63.1</v>
      </c>
      <c r="H4880" s="217">
        <v>62.6</v>
      </c>
      <c r="I4880" s="995"/>
      <c r="J4880" s="996"/>
      <c r="K4880" s="997"/>
      <c r="L4880" s="99"/>
      <c r="M4880" s="100"/>
    </row>
    <row r="4881" spans="4:13" ht="23">
      <c r="E4881" s="629">
        <v>45721</v>
      </c>
      <c r="F4881" s="217">
        <v>62.6</v>
      </c>
      <c r="G4881" s="217">
        <v>60</v>
      </c>
      <c r="H4881" s="217">
        <v>60.4</v>
      </c>
      <c r="I4881" s="995"/>
      <c r="J4881" s="996"/>
      <c r="K4881" s="997"/>
      <c r="L4881" s="99"/>
      <c r="M4881" s="100"/>
    </row>
    <row r="4882" spans="4:13" ht="23">
      <c r="E4882" s="629">
        <v>45693</v>
      </c>
      <c r="F4882" s="217">
        <v>60.4</v>
      </c>
      <c r="G4882" s="217">
        <v>0</v>
      </c>
      <c r="H4882" s="217">
        <v>64.400000000000006</v>
      </c>
      <c r="I4882" s="995"/>
      <c r="J4882" s="996"/>
      <c r="K4882" s="997"/>
      <c r="L4882" s="649"/>
      <c r="M4882" s="100"/>
    </row>
    <row r="4883" spans="4:13" ht="23">
      <c r="E4883" s="629">
        <v>45664</v>
      </c>
      <c r="F4883" s="217">
        <v>64.400000000000006</v>
      </c>
      <c r="G4883" s="217">
        <v>57.5</v>
      </c>
      <c r="H4883" s="217">
        <v>58.2</v>
      </c>
      <c r="I4883" s="995"/>
      <c r="J4883" s="996"/>
      <c r="K4883" s="997"/>
      <c r="L4883" s="99"/>
      <c r="M4883" s="100"/>
    </row>
    <row r="4884" spans="4:13" ht="23">
      <c r="E4884" s="629">
        <v>45630</v>
      </c>
      <c r="F4884" s="217">
        <v>58.2</v>
      </c>
      <c r="G4884" s="217">
        <v>56.4</v>
      </c>
      <c r="H4884" s="217">
        <v>58.1</v>
      </c>
      <c r="I4884" s="995"/>
      <c r="J4884" s="996"/>
      <c r="K4884" s="997"/>
      <c r="L4884" s="99"/>
      <c r="M4884" s="100"/>
    </row>
    <row r="4885" spans="4:13" ht="24" thickBot="1">
      <c r="E4885" s="629">
        <v>45601</v>
      </c>
      <c r="F4885" s="217">
        <v>58.1</v>
      </c>
      <c r="G4885" s="217">
        <v>58</v>
      </c>
      <c r="H4885" s="217">
        <v>59.4</v>
      </c>
      <c r="I4885" s="998"/>
      <c r="J4885" s="999"/>
      <c r="K4885" s="1000"/>
      <c r="L4885" s="102"/>
      <c r="M4885" s="103"/>
    </row>
    <row r="4886" spans="4:13" ht="25" thickBot="1">
      <c r="D4886">
        <v>1</v>
      </c>
      <c r="E4886" s="624" t="s">
        <v>30</v>
      </c>
      <c r="F4886" s="1057" t="s">
        <v>2077</v>
      </c>
      <c r="G4886" s="1058"/>
      <c r="H4886" s="1059"/>
      <c r="I4886" s="1060" t="s">
        <v>633</v>
      </c>
      <c r="J4886" s="1061"/>
      <c r="K4886" s="1062"/>
      <c r="L4886" s="158" t="s">
        <v>430</v>
      </c>
      <c r="M4886" s="105" t="s">
        <v>431</v>
      </c>
    </row>
    <row r="4887" spans="4:13" ht="24">
      <c r="E4887" s="625" t="s">
        <v>432</v>
      </c>
      <c r="F4887" s="992"/>
      <c r="G4887" s="993"/>
      <c r="H4887" s="994"/>
      <c r="I4887" s="995" t="s">
        <v>2043</v>
      </c>
      <c r="J4887" s="996"/>
      <c r="K4887" s="997"/>
      <c r="L4887" s="99"/>
      <c r="M4887" s="100"/>
    </row>
    <row r="4888" spans="4:13" ht="24">
      <c r="E4888" s="626" t="s">
        <v>433</v>
      </c>
      <c r="F4888" s="1072"/>
      <c r="G4888" s="1073"/>
      <c r="H4888" s="1074"/>
      <c r="I4888" s="995"/>
      <c r="J4888" s="996"/>
      <c r="K4888" s="997"/>
      <c r="L4888" s="99"/>
      <c r="M4888" s="100"/>
    </row>
    <row r="4889" spans="4:13" ht="25" thickBot="1">
      <c r="E4889" s="626" t="s">
        <v>434</v>
      </c>
      <c r="F4889" s="1063">
        <v>0</v>
      </c>
      <c r="G4889" s="1064"/>
      <c r="H4889" s="1065"/>
      <c r="I4889" s="995"/>
      <c r="J4889" s="996"/>
      <c r="K4889" s="997"/>
      <c r="L4889" s="99"/>
      <c r="M4889" s="100"/>
    </row>
    <row r="4890" spans="4:13" ht="25" thickBot="1">
      <c r="E4890" s="627" t="s">
        <v>435</v>
      </c>
      <c r="F4890" s="1007">
        <v>0.52083333333333337</v>
      </c>
      <c r="G4890" s="1008"/>
      <c r="H4890" s="1009"/>
      <c r="I4890" s="995"/>
      <c r="J4890" s="996"/>
      <c r="K4890" s="997"/>
      <c r="L4890" s="647" t="s">
        <v>1449</v>
      </c>
      <c r="M4890" s="648" t="e">
        <v>#VALUE!</v>
      </c>
    </row>
    <row r="4891" spans="4:13" ht="25" thickBot="1">
      <c r="E4891" s="628" t="s">
        <v>436</v>
      </c>
      <c r="F4891" s="200" t="s">
        <v>29</v>
      </c>
      <c r="G4891" s="200" t="s">
        <v>28</v>
      </c>
      <c r="H4891" s="201" t="s">
        <v>27</v>
      </c>
      <c r="I4891" s="995"/>
      <c r="J4891" s="996"/>
      <c r="K4891" s="997"/>
      <c r="L4891" s="99"/>
      <c r="M4891" s="100"/>
    </row>
    <row r="4892" spans="4:13" ht="24">
      <c r="E4892" s="629">
        <v>45749</v>
      </c>
      <c r="F4892" s="634" t="s">
        <v>1203</v>
      </c>
      <c r="G4892" s="634" t="s">
        <v>2062</v>
      </c>
      <c r="H4892" s="634" t="s">
        <v>2063</v>
      </c>
      <c r="I4892" s="995"/>
      <c r="J4892" s="996"/>
      <c r="K4892" s="997"/>
      <c r="L4892" s="99"/>
      <c r="M4892" s="100"/>
    </row>
    <row r="4893" spans="4:13" ht="24">
      <c r="E4893" s="629">
        <v>45721</v>
      </c>
      <c r="F4893" s="634" t="s">
        <v>1825</v>
      </c>
      <c r="G4893" s="634" t="s">
        <v>1826</v>
      </c>
      <c r="H4893" s="634" t="s">
        <v>1827</v>
      </c>
      <c r="I4893" s="995"/>
      <c r="J4893" s="996"/>
      <c r="K4893" s="997"/>
      <c r="L4893" s="99"/>
      <c r="M4893" s="100"/>
    </row>
    <row r="4894" spans="4:13" ht="24">
      <c r="E4894" s="629">
        <v>45693</v>
      </c>
      <c r="F4894" s="634" t="s">
        <v>1830</v>
      </c>
      <c r="G4894" s="634" t="s">
        <v>1831</v>
      </c>
      <c r="H4894" s="634" t="s">
        <v>1239</v>
      </c>
      <c r="I4894" s="995"/>
      <c r="J4894" s="996"/>
      <c r="K4894" s="997"/>
      <c r="L4894" s="649"/>
      <c r="M4894" s="100"/>
    </row>
    <row r="4895" spans="4:13" ht="24">
      <c r="E4895" s="629">
        <v>45665</v>
      </c>
      <c r="F4895" s="634" t="s">
        <v>1201</v>
      </c>
      <c r="G4895" s="634" t="s">
        <v>1834</v>
      </c>
      <c r="H4895" s="634" t="s">
        <v>1388</v>
      </c>
      <c r="I4895" s="995"/>
      <c r="J4895" s="996"/>
      <c r="K4895" s="997"/>
      <c r="L4895" s="99"/>
      <c r="M4895" s="100"/>
    </row>
    <row r="4896" spans="4:13" ht="24">
      <c r="E4896" s="629">
        <v>45630</v>
      </c>
      <c r="F4896" s="634" t="s">
        <v>1388</v>
      </c>
      <c r="G4896" s="634" t="s">
        <v>1389</v>
      </c>
      <c r="H4896" s="634" t="s">
        <v>1390</v>
      </c>
      <c r="I4896" s="995"/>
      <c r="J4896" s="996"/>
      <c r="K4896" s="997"/>
      <c r="L4896" s="99"/>
      <c r="M4896" s="100"/>
    </row>
    <row r="4897" spans="4:13" ht="25" thickBot="1">
      <c r="E4897" s="629">
        <v>45595</v>
      </c>
      <c r="F4897" s="634" t="s">
        <v>1192</v>
      </c>
      <c r="G4897" s="634" t="s">
        <v>1193</v>
      </c>
      <c r="H4897" s="634" t="s">
        <v>1194</v>
      </c>
      <c r="I4897" s="998"/>
      <c r="J4897" s="999"/>
      <c r="K4897" s="1000"/>
      <c r="L4897" s="102"/>
      <c r="M4897" s="103"/>
    </row>
    <row r="4898" spans="4:13" ht="25" thickBot="1">
      <c r="D4898">
        <v>1</v>
      </c>
      <c r="E4898" s="756" t="s">
        <v>30</v>
      </c>
      <c r="F4898" s="1066" t="s">
        <v>2078</v>
      </c>
      <c r="G4898" s="1067"/>
      <c r="H4898" s="1068"/>
      <c r="I4898" s="1069" t="s">
        <v>633</v>
      </c>
      <c r="J4898" s="1070"/>
      <c r="K4898" s="1071"/>
      <c r="L4898" s="158" t="s">
        <v>430</v>
      </c>
      <c r="M4898" s="105" t="s">
        <v>431</v>
      </c>
    </row>
    <row r="4899" spans="4:13" ht="24">
      <c r="E4899" s="625" t="s">
        <v>432</v>
      </c>
      <c r="F4899" s="992"/>
      <c r="G4899" s="993"/>
      <c r="H4899" s="994"/>
      <c r="I4899" s="995" t="s">
        <v>2043</v>
      </c>
      <c r="J4899" s="996"/>
      <c r="K4899" s="997"/>
      <c r="L4899" s="99"/>
      <c r="M4899" s="100"/>
    </row>
    <row r="4900" spans="4:13" ht="24">
      <c r="E4900" s="626" t="s">
        <v>433</v>
      </c>
      <c r="F4900" s="1072"/>
      <c r="G4900" s="1073"/>
      <c r="H4900" s="1074"/>
      <c r="I4900" s="995"/>
      <c r="J4900" s="996"/>
      <c r="K4900" s="997"/>
      <c r="L4900" s="99"/>
      <c r="M4900" s="100"/>
    </row>
    <row r="4901" spans="4:13" ht="25" thickBot="1">
      <c r="E4901" s="626" t="s">
        <v>434</v>
      </c>
      <c r="F4901" s="1063">
        <v>0</v>
      </c>
      <c r="G4901" s="1064"/>
      <c r="H4901" s="1065"/>
      <c r="I4901" s="995"/>
      <c r="J4901" s="996"/>
      <c r="K4901" s="997"/>
      <c r="L4901" s="99"/>
      <c r="M4901" s="100"/>
    </row>
    <row r="4902" spans="4:13" ht="25" thickBot="1">
      <c r="E4902" s="627" t="s">
        <v>435</v>
      </c>
      <c r="F4902" s="1007" t="e">
        <v>#VALUE!</v>
      </c>
      <c r="G4902" s="1008"/>
      <c r="H4902" s="1009"/>
      <c r="I4902" s="995"/>
      <c r="J4902" s="996"/>
      <c r="K4902" s="997"/>
      <c r="L4902" s="647" t="s">
        <v>1449</v>
      </c>
      <c r="M4902" s="648" t="e">
        <v>#VALUE!</v>
      </c>
    </row>
    <row r="4903" spans="4:13" ht="25" thickBot="1">
      <c r="E4903" s="628" t="s">
        <v>436</v>
      </c>
      <c r="F4903" s="200" t="s">
        <v>29</v>
      </c>
      <c r="G4903" s="200" t="s">
        <v>28</v>
      </c>
      <c r="H4903" s="201" t="s">
        <v>27</v>
      </c>
      <c r="I4903" s="995"/>
      <c r="J4903" s="996"/>
      <c r="K4903" s="997"/>
      <c r="L4903" s="99"/>
      <c r="M4903" s="100"/>
    </row>
    <row r="4904" spans="4:13" ht="23">
      <c r="E4904" s="629">
        <v>45743</v>
      </c>
      <c r="F4904" s="634">
        <v>2.4E-2</v>
      </c>
      <c r="G4904" s="634">
        <v>2.3E-2</v>
      </c>
      <c r="H4904" s="634">
        <v>3.1E-2</v>
      </c>
      <c r="I4904" s="995"/>
      <c r="J4904" s="996"/>
      <c r="K4904" s="997"/>
      <c r="L4904" s="99"/>
      <c r="M4904" s="100"/>
    </row>
    <row r="4905" spans="4:13" ht="23">
      <c r="E4905" s="629">
        <v>45715</v>
      </c>
      <c r="F4905" s="634">
        <v>2.3E-2</v>
      </c>
      <c r="G4905" s="634">
        <v>2.3E-2</v>
      </c>
      <c r="H4905" s="634">
        <v>3.1E-2</v>
      </c>
      <c r="I4905" s="995"/>
      <c r="J4905" s="996"/>
      <c r="K4905" s="997"/>
      <c r="L4905" s="99"/>
      <c r="M4905" s="100"/>
    </row>
    <row r="4906" spans="4:13" ht="23">
      <c r="E4906" s="629">
        <v>45687</v>
      </c>
      <c r="F4906" s="634">
        <v>2.3E-2</v>
      </c>
      <c r="G4906" s="634">
        <v>2.7E-2</v>
      </c>
      <c r="H4906" s="634">
        <v>3.1E-2</v>
      </c>
      <c r="I4906" s="995"/>
      <c r="J4906" s="996"/>
      <c r="K4906" s="997"/>
      <c r="L4906" s="649"/>
      <c r="M4906" s="100"/>
    </row>
    <row r="4907" spans="4:13" ht="23">
      <c r="E4907" s="629">
        <v>45645</v>
      </c>
      <c r="F4907" s="634">
        <v>3.1E-2</v>
      </c>
      <c r="G4907" s="634">
        <v>2.8000000000000001E-2</v>
      </c>
      <c r="H4907" s="634">
        <v>0.03</v>
      </c>
      <c r="I4907" s="995"/>
      <c r="J4907" s="996"/>
      <c r="K4907" s="997"/>
      <c r="L4907" s="99"/>
      <c r="M4907" s="100"/>
    </row>
    <row r="4908" spans="4:13" ht="23">
      <c r="E4908" s="629">
        <v>45623</v>
      </c>
      <c r="F4908" s="634">
        <v>2.8000000000000001E-2</v>
      </c>
      <c r="G4908" s="634">
        <v>2.8000000000000001E-2</v>
      </c>
      <c r="H4908" s="634">
        <v>0.03</v>
      </c>
      <c r="I4908" s="995"/>
      <c r="J4908" s="996"/>
      <c r="K4908" s="997"/>
      <c r="L4908" s="99"/>
      <c r="M4908" s="100"/>
    </row>
    <row r="4909" spans="4:13" ht="24" thickBot="1">
      <c r="E4909" s="629">
        <v>45595</v>
      </c>
      <c r="F4909" s="634">
        <v>2.8000000000000001E-2</v>
      </c>
      <c r="G4909" s="634">
        <v>0.03</v>
      </c>
      <c r="H4909" s="634">
        <v>0.03</v>
      </c>
      <c r="I4909" s="998"/>
      <c r="J4909" s="999"/>
      <c r="K4909" s="1000"/>
      <c r="L4909" s="102"/>
      <c r="M4909" s="103"/>
    </row>
    <row r="4910" spans="4:13" ht="25" thickBot="1">
      <c r="D4910">
        <v>1</v>
      </c>
      <c r="E4910" s="696" t="s">
        <v>30</v>
      </c>
      <c r="F4910" s="1023" t="s">
        <v>1900</v>
      </c>
      <c r="G4910" s="1024"/>
      <c r="H4910" s="1025"/>
      <c r="I4910" s="1069" t="s">
        <v>633</v>
      </c>
      <c r="J4910" s="1070"/>
      <c r="K4910" s="1071"/>
      <c r="L4910" s="158" t="s">
        <v>430</v>
      </c>
      <c r="M4910" s="105" t="s">
        <v>431</v>
      </c>
    </row>
    <row r="4911" spans="4:13" ht="24">
      <c r="E4911" s="625" t="s">
        <v>432</v>
      </c>
      <c r="F4911" s="992"/>
      <c r="G4911" s="993"/>
      <c r="H4911" s="994"/>
      <c r="I4911" s="995" t="s">
        <v>2079</v>
      </c>
      <c r="J4911" s="996"/>
      <c r="K4911" s="997"/>
      <c r="L4911" s="99"/>
      <c r="M4911" s="100"/>
    </row>
    <row r="4912" spans="4:13" ht="24">
      <c r="E4912" s="626" t="s">
        <v>433</v>
      </c>
      <c r="F4912" s="1072"/>
      <c r="G4912" s="1073"/>
      <c r="H4912" s="1074"/>
      <c r="I4912" s="995"/>
      <c r="J4912" s="996"/>
      <c r="K4912" s="997"/>
      <c r="L4912" s="99"/>
      <c r="M4912" s="100"/>
    </row>
    <row r="4913" spans="4:13" ht="25" thickBot="1">
      <c r="E4913" s="626" t="s">
        <v>434</v>
      </c>
      <c r="F4913" s="1077">
        <v>4.4350000000000001E-2</v>
      </c>
      <c r="G4913" s="1078"/>
      <c r="H4913" s="1079"/>
      <c r="I4913" s="995"/>
      <c r="J4913" s="996"/>
      <c r="K4913" s="997"/>
      <c r="L4913" s="99"/>
      <c r="M4913" s="100"/>
    </row>
    <row r="4914" spans="4:13" ht="25" thickBot="1">
      <c r="E4914" s="627" t="s">
        <v>435</v>
      </c>
      <c r="F4914" s="1007">
        <v>0.70833333333333337</v>
      </c>
      <c r="G4914" s="1008"/>
      <c r="H4914" s="1009"/>
      <c r="I4914" s="995"/>
      <c r="J4914" s="996"/>
      <c r="K4914" s="997"/>
      <c r="L4914" s="647">
        <v>0.9375</v>
      </c>
      <c r="M4914" s="648">
        <v>0.83333333333333337</v>
      </c>
    </row>
    <row r="4915" spans="4:13" ht="25" thickBot="1">
      <c r="E4915" s="628" t="s">
        <v>436</v>
      </c>
      <c r="F4915" s="200" t="s">
        <v>29</v>
      </c>
      <c r="G4915" s="200" t="s">
        <v>28</v>
      </c>
      <c r="H4915" s="201" t="s">
        <v>27</v>
      </c>
      <c r="I4915" s="995"/>
      <c r="J4915" s="996"/>
      <c r="K4915" s="997"/>
      <c r="L4915" s="99"/>
      <c r="M4915" s="100"/>
    </row>
    <row r="4916" spans="4:13" ht="23">
      <c r="E4916" s="629">
        <v>45756</v>
      </c>
      <c r="F4916" s="794">
        <v>4.4350000000000001E-2</v>
      </c>
      <c r="G4916" s="794"/>
      <c r="H4916" s="794">
        <v>4.3099999999999999E-2</v>
      </c>
      <c r="I4916" s="995"/>
      <c r="J4916" s="996"/>
      <c r="K4916" s="997"/>
      <c r="L4916" s="99"/>
      <c r="M4916" s="100"/>
    </row>
    <row r="4917" spans="4:13" ht="23">
      <c r="E4917" s="629">
        <v>45728</v>
      </c>
      <c r="F4917" s="794">
        <v>4.3099999999999999E-2</v>
      </c>
      <c r="G4917" s="794"/>
      <c r="H4917" s="794">
        <v>4.632E-2</v>
      </c>
      <c r="I4917" s="995"/>
      <c r="J4917" s="996"/>
      <c r="K4917" s="997"/>
      <c r="L4917" s="99"/>
      <c r="M4917" s="100"/>
    </row>
    <row r="4918" spans="4:13" ht="23">
      <c r="E4918" s="629">
        <v>45700</v>
      </c>
      <c r="F4918" s="794">
        <v>4.632E-2</v>
      </c>
      <c r="G4918" s="794"/>
      <c r="H4918" s="794">
        <v>4.6800000000000001E-2</v>
      </c>
      <c r="I4918" s="995"/>
      <c r="J4918" s="996"/>
      <c r="K4918" s="997"/>
      <c r="L4918" s="649"/>
      <c r="M4918" s="100"/>
    </row>
    <row r="4919" spans="4:13" ht="23">
      <c r="E4919" s="629">
        <v>45664</v>
      </c>
      <c r="F4919" s="794">
        <v>4.6800000000000001E-2</v>
      </c>
      <c r="G4919" s="794"/>
      <c r="H4919" s="794">
        <v>4.2349999999999999E-2</v>
      </c>
      <c r="I4919" s="995"/>
      <c r="J4919" s="996"/>
      <c r="K4919" s="997"/>
      <c r="L4919" s="99"/>
      <c r="M4919" s="100"/>
    </row>
    <row r="4920" spans="4:13" ht="23">
      <c r="E4920" s="629">
        <v>45637</v>
      </c>
      <c r="F4920" s="794">
        <v>4.2349999999999999E-2</v>
      </c>
      <c r="G4920" s="794"/>
      <c r="H4920" s="794">
        <v>4.3470000000000002E-2</v>
      </c>
      <c r="I4920" s="995"/>
      <c r="J4920" s="996"/>
      <c r="K4920" s="997"/>
      <c r="L4920" s="99"/>
      <c r="M4920" s="100"/>
    </row>
    <row r="4921" spans="4:13" ht="24" thickBot="1">
      <c r="E4921" s="629">
        <v>45601</v>
      </c>
      <c r="F4921" s="794">
        <v>4.3470000000000002E-2</v>
      </c>
      <c r="G4921" s="794"/>
      <c r="H4921" s="794">
        <v>4.0660000000000002E-2</v>
      </c>
      <c r="I4921" s="998"/>
      <c r="J4921" s="999"/>
      <c r="K4921" s="1000"/>
      <c r="L4921" s="102"/>
      <c r="M4921" s="103"/>
    </row>
    <row r="4922" spans="4:13" ht="25" thickBot="1">
      <c r="D4922">
        <v>1</v>
      </c>
      <c r="E4922" s="696" t="s">
        <v>30</v>
      </c>
      <c r="F4922" s="1023" t="s">
        <v>1503</v>
      </c>
      <c r="G4922" s="1024"/>
      <c r="H4922" s="1025"/>
      <c r="I4922" s="1069" t="s">
        <v>633</v>
      </c>
      <c r="J4922" s="1070"/>
      <c r="K4922" s="1071"/>
      <c r="L4922" s="158" t="s">
        <v>430</v>
      </c>
      <c r="M4922" s="105" t="s">
        <v>431</v>
      </c>
    </row>
    <row r="4923" spans="4:13" ht="24">
      <c r="E4923" s="625" t="s">
        <v>432</v>
      </c>
      <c r="F4923" s="992"/>
      <c r="G4923" s="993"/>
      <c r="H4923" s="994"/>
      <c r="I4923" s="995" t="s">
        <v>2083</v>
      </c>
      <c r="J4923" s="996"/>
      <c r="K4923" s="997"/>
      <c r="L4923" s="99"/>
      <c r="M4923" s="100"/>
    </row>
    <row r="4924" spans="4:13" ht="24">
      <c r="E4924" s="626" t="s">
        <v>433</v>
      </c>
      <c r="F4924" s="1072"/>
      <c r="G4924" s="1073"/>
      <c r="H4924" s="1074"/>
      <c r="I4924" s="995"/>
      <c r="J4924" s="996"/>
      <c r="K4924" s="997"/>
      <c r="L4924" s="99"/>
      <c r="M4924" s="100"/>
    </row>
    <row r="4925" spans="4:13" ht="25" thickBot="1">
      <c r="E4925" s="626" t="s">
        <v>434</v>
      </c>
      <c r="F4925" s="1077" t="s">
        <v>2080</v>
      </c>
      <c r="G4925" s="1078"/>
      <c r="H4925" s="1079"/>
      <c r="I4925" s="995"/>
      <c r="J4925" s="996"/>
      <c r="K4925" s="997"/>
      <c r="L4925" s="99"/>
      <c r="M4925" s="100"/>
    </row>
    <row r="4926" spans="4:13" ht="25" thickBot="1">
      <c r="E4926" s="627" t="s">
        <v>435</v>
      </c>
      <c r="F4926" s="1007">
        <v>0.60416666666666674</v>
      </c>
      <c r="G4926" s="1008"/>
      <c r="H4926" s="1009"/>
      <c r="I4926" s="995"/>
      <c r="J4926" s="996"/>
      <c r="K4926" s="997"/>
      <c r="L4926" s="647">
        <v>0.83333333333333337</v>
      </c>
      <c r="M4926" s="648">
        <v>0.72916666666666674</v>
      </c>
    </row>
    <row r="4927" spans="4:13" ht="25" thickBot="1">
      <c r="E4927" s="628" t="s">
        <v>436</v>
      </c>
      <c r="F4927" s="200" t="s">
        <v>29</v>
      </c>
      <c r="G4927" s="200" t="s">
        <v>28</v>
      </c>
      <c r="H4927" s="201" t="s">
        <v>27</v>
      </c>
      <c r="I4927" s="995"/>
      <c r="J4927" s="996"/>
      <c r="K4927" s="997"/>
      <c r="L4927" s="99"/>
      <c r="M4927" s="100"/>
    </row>
    <row r="4928" spans="4:13" ht="24">
      <c r="E4928" s="629">
        <v>45777</v>
      </c>
      <c r="F4928" s="794" t="s">
        <v>2098</v>
      </c>
      <c r="G4928" s="794" t="s">
        <v>2099</v>
      </c>
      <c r="H4928" s="794" t="s">
        <v>2064</v>
      </c>
      <c r="I4928" s="995"/>
      <c r="J4928" s="996"/>
      <c r="K4928" s="997"/>
      <c r="L4928" s="99"/>
      <c r="M4928" s="100"/>
    </row>
    <row r="4929" spans="4:13" ht="24">
      <c r="E4929" s="629">
        <v>45770</v>
      </c>
      <c r="F4929" s="794" t="s">
        <v>2064</v>
      </c>
      <c r="G4929" s="794" t="s">
        <v>2065</v>
      </c>
      <c r="H4929" s="794" t="s">
        <v>2003</v>
      </c>
      <c r="I4929" s="995"/>
      <c r="J4929" s="996"/>
      <c r="K4929" s="997"/>
      <c r="L4929" s="99"/>
      <c r="M4929" s="100"/>
    </row>
    <row r="4930" spans="4:13" ht="24">
      <c r="E4930" s="629">
        <v>45763</v>
      </c>
      <c r="F4930" s="794" t="s">
        <v>2003</v>
      </c>
      <c r="G4930" s="794" t="s">
        <v>1030</v>
      </c>
      <c r="H4930" s="794" t="s">
        <v>1957</v>
      </c>
      <c r="I4930" s="995"/>
      <c r="J4930" s="996"/>
      <c r="K4930" s="997"/>
      <c r="L4930" s="649"/>
      <c r="M4930" s="100"/>
    </row>
    <row r="4931" spans="4:13" ht="24">
      <c r="E4931" s="629">
        <v>45756</v>
      </c>
      <c r="F4931" s="794" t="s">
        <v>1957</v>
      </c>
      <c r="G4931" s="794" t="s">
        <v>1602</v>
      </c>
      <c r="H4931" s="794" t="s">
        <v>1899</v>
      </c>
      <c r="I4931" s="995"/>
      <c r="J4931" s="996"/>
      <c r="K4931" s="997"/>
      <c r="L4931" s="99"/>
      <c r="M4931" s="100"/>
    </row>
    <row r="4932" spans="4:13" ht="24">
      <c r="E4932" s="629">
        <v>45749</v>
      </c>
      <c r="F4932" s="794" t="s">
        <v>1899</v>
      </c>
      <c r="G4932" s="794" t="s">
        <v>1926</v>
      </c>
      <c r="H4932" s="794" t="s">
        <v>1840</v>
      </c>
      <c r="I4932" s="995"/>
      <c r="J4932" s="996"/>
      <c r="K4932" s="997"/>
      <c r="L4932" s="99"/>
      <c r="M4932" s="100"/>
    </row>
    <row r="4933" spans="4:13" ht="25" thickBot="1">
      <c r="E4933" s="629">
        <v>45742</v>
      </c>
      <c r="F4933" s="794" t="s">
        <v>2100</v>
      </c>
      <c r="G4933" s="794" t="s">
        <v>991</v>
      </c>
      <c r="H4933" s="794" t="s">
        <v>1696</v>
      </c>
      <c r="I4933" s="998"/>
      <c r="J4933" s="999"/>
      <c r="K4933" s="1000"/>
      <c r="L4933" s="102"/>
      <c r="M4933" s="103"/>
    </row>
    <row r="4934" spans="4:13" ht="25" thickBot="1">
      <c r="D4934">
        <v>1</v>
      </c>
      <c r="E4934" s="696" t="s">
        <v>30</v>
      </c>
      <c r="F4934" s="1023" t="s">
        <v>1506</v>
      </c>
      <c r="G4934" s="1024"/>
      <c r="H4934" s="1025"/>
      <c r="I4934" s="1069" t="s">
        <v>633</v>
      </c>
      <c r="J4934" s="1070"/>
      <c r="K4934" s="1071"/>
      <c r="L4934" s="158" t="s">
        <v>430</v>
      </c>
      <c r="M4934" s="105" t="s">
        <v>431</v>
      </c>
    </row>
    <row r="4935" spans="4:13" ht="24">
      <c r="E4935" s="625" t="s">
        <v>432</v>
      </c>
      <c r="F4935" s="992"/>
      <c r="G4935" s="993"/>
      <c r="H4935" s="994"/>
      <c r="I4935" s="995" t="s">
        <v>2082</v>
      </c>
      <c r="J4935" s="996"/>
      <c r="K4935" s="997"/>
      <c r="L4935" s="99"/>
      <c r="M4935" s="100"/>
    </row>
    <row r="4936" spans="4:13" ht="24">
      <c r="E4936" s="626" t="s">
        <v>433</v>
      </c>
      <c r="F4936" s="1072"/>
      <c r="G4936" s="1073"/>
      <c r="H4936" s="1074"/>
      <c r="I4936" s="995"/>
      <c r="J4936" s="996"/>
      <c r="K4936" s="997"/>
      <c r="L4936" s="99"/>
      <c r="M4936" s="100"/>
    </row>
    <row r="4937" spans="4:13" ht="25" thickBot="1">
      <c r="E4937" s="626" t="s">
        <v>434</v>
      </c>
      <c r="F4937" s="1077"/>
      <c r="G4937" s="1078"/>
      <c r="H4937" s="1079"/>
      <c r="I4937" s="995"/>
      <c r="J4937" s="996"/>
      <c r="K4937" s="997"/>
      <c r="L4937" s="99"/>
      <c r="M4937" s="100"/>
    </row>
    <row r="4938" spans="4:13" ht="25" thickBot="1">
      <c r="E4938" s="627" t="s">
        <v>435</v>
      </c>
      <c r="F4938" s="1007">
        <v>0.75</v>
      </c>
      <c r="G4938" s="1008"/>
      <c r="H4938" s="1009"/>
      <c r="I4938" s="995"/>
      <c r="J4938" s="996"/>
      <c r="K4938" s="997"/>
      <c r="L4938" s="647">
        <v>0.97916666666666663</v>
      </c>
      <c r="M4938" s="648">
        <v>0.875</v>
      </c>
    </row>
    <row r="4939" spans="4:13" ht="25" thickBot="1">
      <c r="E4939" s="628" t="s">
        <v>436</v>
      </c>
      <c r="F4939" s="200" t="s">
        <v>29</v>
      </c>
      <c r="G4939" s="200" t="s">
        <v>28</v>
      </c>
      <c r="H4939" s="201" t="s">
        <v>27</v>
      </c>
      <c r="I4939" s="995"/>
      <c r="J4939" s="996"/>
      <c r="K4939" s="997"/>
      <c r="L4939" s="99"/>
      <c r="M4939" s="100"/>
    </row>
    <row r="4940" spans="4:13" ht="23">
      <c r="E4940" s="629">
        <v>45735</v>
      </c>
      <c r="F4940" s="794"/>
      <c r="G4940" s="794"/>
      <c r="H4940" s="794"/>
      <c r="I4940" s="995"/>
      <c r="J4940" s="996"/>
      <c r="K4940" s="997"/>
      <c r="L4940" s="99"/>
      <c r="M4940" s="100"/>
    </row>
    <row r="4941" spans="4:13" ht="23">
      <c r="E4941" s="796">
        <v>45687</v>
      </c>
      <c r="F4941" s="794"/>
      <c r="G4941" s="794"/>
      <c r="H4941" s="794"/>
      <c r="I4941" s="995"/>
      <c r="J4941" s="996"/>
      <c r="K4941" s="997"/>
      <c r="L4941" s="99"/>
      <c r="M4941" s="100"/>
    </row>
    <row r="4942" spans="4:13" ht="23">
      <c r="E4942" s="796">
        <v>45645</v>
      </c>
      <c r="F4942" s="794"/>
      <c r="G4942" s="794"/>
      <c r="H4942" s="794"/>
      <c r="I4942" s="995"/>
      <c r="J4942" s="996"/>
      <c r="K4942" s="997"/>
      <c r="L4942" s="649"/>
      <c r="M4942" s="100"/>
    </row>
    <row r="4943" spans="4:13" ht="23">
      <c r="E4943" s="796">
        <v>45604</v>
      </c>
      <c r="F4943" s="794"/>
      <c r="G4943" s="794"/>
      <c r="H4943" s="794"/>
      <c r="I4943" s="995"/>
      <c r="J4943" s="996"/>
      <c r="K4943" s="997"/>
      <c r="L4943" s="99"/>
      <c r="M4943" s="100"/>
    </row>
    <row r="4944" spans="4:13" ht="23">
      <c r="E4944" s="629">
        <v>45553</v>
      </c>
      <c r="F4944" s="794"/>
      <c r="G4944" s="794"/>
      <c r="H4944" s="794"/>
      <c r="I4944" s="995"/>
      <c r="J4944" s="996"/>
      <c r="K4944" s="997"/>
      <c r="L4944" s="99"/>
      <c r="M4944" s="100"/>
    </row>
    <row r="4945" spans="4:13" ht="24" thickBot="1">
      <c r="E4945" s="629">
        <v>45504</v>
      </c>
      <c r="F4945" s="794"/>
      <c r="G4945" s="794"/>
      <c r="H4945" s="794"/>
      <c r="I4945" s="998"/>
      <c r="J4945" s="999"/>
      <c r="K4945" s="1000"/>
      <c r="L4945" s="102"/>
      <c r="M4945" s="103"/>
    </row>
    <row r="4946" spans="4:13" ht="25" thickBot="1">
      <c r="D4946">
        <v>1</v>
      </c>
      <c r="E4946" s="756" t="s">
        <v>30</v>
      </c>
      <c r="F4946" s="1066" t="s">
        <v>1508</v>
      </c>
      <c r="G4946" s="1067"/>
      <c r="H4946" s="1068"/>
      <c r="I4946" s="1069" t="s">
        <v>633</v>
      </c>
      <c r="J4946" s="1070"/>
      <c r="K4946" s="1071"/>
      <c r="L4946" s="158" t="s">
        <v>430</v>
      </c>
      <c r="M4946" s="105" t="s">
        <v>431</v>
      </c>
    </row>
    <row r="4947" spans="4:13" ht="24">
      <c r="E4947" s="625" t="s">
        <v>432</v>
      </c>
      <c r="F4947" s="992"/>
      <c r="G4947" s="993"/>
      <c r="H4947" s="994"/>
      <c r="I4947" s="995" t="s">
        <v>2083</v>
      </c>
      <c r="J4947" s="996"/>
      <c r="K4947" s="997"/>
      <c r="L4947" s="99"/>
      <c r="M4947" s="100"/>
    </row>
    <row r="4948" spans="4:13" ht="24">
      <c r="E4948" s="626" t="s">
        <v>433</v>
      </c>
      <c r="F4948" s="1072">
        <v>4.36E-2</v>
      </c>
      <c r="G4948" s="1073"/>
      <c r="H4948" s="1074"/>
      <c r="I4948" s="995"/>
      <c r="J4948" s="996"/>
      <c r="K4948" s="997"/>
      <c r="L4948" s="99"/>
      <c r="M4948" s="100"/>
    </row>
    <row r="4949" spans="4:13" ht="25" thickBot="1">
      <c r="E4949" s="626" t="s">
        <v>434</v>
      </c>
      <c r="F4949" s="1063">
        <v>4.4999999999999998E-2</v>
      </c>
      <c r="G4949" s="1064"/>
      <c r="H4949" s="1065"/>
      <c r="I4949" s="995"/>
      <c r="J4949" s="996"/>
      <c r="K4949" s="997"/>
      <c r="L4949" s="99"/>
      <c r="M4949" s="100"/>
    </row>
    <row r="4950" spans="4:13" ht="25" thickBot="1">
      <c r="E4950" s="627" t="s">
        <v>435</v>
      </c>
      <c r="F4950" s="1007">
        <v>0.75</v>
      </c>
      <c r="G4950" s="1008"/>
      <c r="H4950" s="1009"/>
      <c r="I4950" s="995"/>
      <c r="J4950" s="996"/>
      <c r="K4950" s="997"/>
      <c r="L4950" s="647">
        <v>0.97916666666666663</v>
      </c>
      <c r="M4950" s="648">
        <v>0.875</v>
      </c>
    </row>
    <row r="4951" spans="4:13" ht="25" thickBot="1">
      <c r="E4951" s="628" t="s">
        <v>436</v>
      </c>
      <c r="F4951" s="200" t="s">
        <v>29</v>
      </c>
      <c r="G4951" s="200" t="s">
        <v>28</v>
      </c>
      <c r="H4951" s="201" t="s">
        <v>27</v>
      </c>
      <c r="I4951" s="995"/>
      <c r="J4951" s="996"/>
      <c r="K4951" s="997"/>
      <c r="L4951" s="99"/>
      <c r="M4951" s="100"/>
    </row>
    <row r="4952" spans="4:13" ht="23">
      <c r="E4952" s="629">
        <v>45735</v>
      </c>
      <c r="F4952" s="634">
        <v>4.4999999999999998E-2</v>
      </c>
      <c r="G4952" s="634">
        <v>4.4999999999999998E-2</v>
      </c>
      <c r="H4952" s="634">
        <v>4.4999999999999998E-2</v>
      </c>
      <c r="I4952" s="995"/>
      <c r="J4952" s="996"/>
      <c r="K4952" s="997"/>
      <c r="L4952" s="99"/>
      <c r="M4952" s="100"/>
    </row>
    <row r="4953" spans="4:13" ht="23">
      <c r="E4953" s="629">
        <v>45687</v>
      </c>
      <c r="F4953" s="634">
        <v>4.4999999999999998E-2</v>
      </c>
      <c r="G4953" s="634">
        <v>4.4999999999999998E-2</v>
      </c>
      <c r="H4953" s="634">
        <v>4.4999999999999998E-2</v>
      </c>
      <c r="I4953" s="995"/>
      <c r="J4953" s="996"/>
      <c r="K4953" s="997"/>
      <c r="L4953" s="99"/>
      <c r="M4953" s="100"/>
    </row>
    <row r="4954" spans="4:13" ht="23">
      <c r="E4954" s="629">
        <v>45645</v>
      </c>
      <c r="F4954" s="634">
        <v>4.4999999999999998E-2</v>
      </c>
      <c r="G4954" s="634">
        <v>4.4999999999999998E-2</v>
      </c>
      <c r="H4954" s="634">
        <v>4.7500000000000001E-2</v>
      </c>
      <c r="I4954" s="995"/>
      <c r="J4954" s="996"/>
      <c r="K4954" s="997"/>
      <c r="L4954" s="649"/>
      <c r="M4954" s="100"/>
    </row>
    <row r="4955" spans="4:13" ht="23">
      <c r="E4955" s="629">
        <v>45604</v>
      </c>
      <c r="F4955" s="634">
        <v>4.7500000000000001E-2</v>
      </c>
      <c r="G4955" s="634">
        <v>4.7500000000000001E-2</v>
      </c>
      <c r="H4955" s="634">
        <v>0.05</v>
      </c>
      <c r="I4955" s="995"/>
      <c r="J4955" s="996"/>
      <c r="K4955" s="997"/>
      <c r="L4955" s="99"/>
      <c r="M4955" s="100"/>
    </row>
    <row r="4956" spans="4:13" ht="23">
      <c r="E4956" s="629">
        <v>45553</v>
      </c>
      <c r="F4956" s="634">
        <v>0.05</v>
      </c>
      <c r="G4956" s="634">
        <v>5.2499999999999998E-2</v>
      </c>
      <c r="H4956" s="634">
        <v>5.5E-2</v>
      </c>
      <c r="I4956" s="995"/>
      <c r="J4956" s="996"/>
      <c r="K4956" s="997"/>
      <c r="L4956" s="99"/>
      <c r="M4956" s="100"/>
    </row>
    <row r="4957" spans="4:13" ht="24" thickBot="1">
      <c r="E4957" s="629">
        <v>45504</v>
      </c>
      <c r="F4957" s="634">
        <v>5.5E-2</v>
      </c>
      <c r="G4957" s="634">
        <v>5.5E-2</v>
      </c>
      <c r="H4957" s="634">
        <v>5.5E-2</v>
      </c>
      <c r="I4957" s="998"/>
      <c r="J4957" s="999"/>
      <c r="K4957" s="1000"/>
      <c r="L4957" s="102"/>
      <c r="M4957" s="103"/>
    </row>
    <row r="4958" spans="4:13" ht="25" thickBot="1">
      <c r="D4958">
        <v>1</v>
      </c>
      <c r="E4958" s="696" t="s">
        <v>30</v>
      </c>
      <c r="F4958" s="1023" t="s">
        <v>1509</v>
      </c>
      <c r="G4958" s="1024"/>
      <c r="H4958" s="1025"/>
      <c r="I4958" s="1069" t="s">
        <v>633</v>
      </c>
      <c r="J4958" s="1070"/>
      <c r="K4958" s="1071"/>
      <c r="L4958" s="158" t="s">
        <v>430</v>
      </c>
      <c r="M4958" s="105" t="s">
        <v>431</v>
      </c>
    </row>
    <row r="4959" spans="4:13" ht="24">
      <c r="E4959" s="625" t="s">
        <v>432</v>
      </c>
      <c r="F4959" s="992"/>
      <c r="G4959" s="993"/>
      <c r="H4959" s="994"/>
      <c r="I4959" s="995" t="s">
        <v>2084</v>
      </c>
      <c r="J4959" s="996"/>
      <c r="K4959" s="997"/>
      <c r="L4959" s="99"/>
      <c r="M4959" s="100"/>
    </row>
    <row r="4960" spans="4:13" ht="24">
      <c r="E4960" s="626" t="s">
        <v>433</v>
      </c>
      <c r="F4960" s="1072"/>
      <c r="G4960" s="1073"/>
      <c r="H4960" s="1074"/>
      <c r="I4960" s="995"/>
      <c r="J4960" s="996"/>
      <c r="K4960" s="997"/>
      <c r="L4960" s="99"/>
      <c r="M4960" s="100"/>
    </row>
    <row r="4961" spans="4:13" ht="25" thickBot="1">
      <c r="E4961" s="626" t="s">
        <v>434</v>
      </c>
      <c r="F4961" s="1063"/>
      <c r="G4961" s="1064"/>
      <c r="H4961" s="1065"/>
      <c r="I4961" s="995"/>
      <c r="J4961" s="996"/>
      <c r="K4961" s="997"/>
      <c r="L4961" s="99"/>
      <c r="M4961" s="100"/>
    </row>
    <row r="4962" spans="4:13" ht="25" thickBot="1">
      <c r="E4962" s="627" t="s">
        <v>435</v>
      </c>
      <c r="F4962" s="1007">
        <v>0.77083333333333337</v>
      </c>
      <c r="G4962" s="1008"/>
      <c r="H4962" s="1009"/>
      <c r="I4962" s="995"/>
      <c r="J4962" s="996"/>
      <c r="K4962" s="997"/>
      <c r="L4962" s="647">
        <v>0</v>
      </c>
      <c r="M4962" s="648">
        <v>0.89583333333333337</v>
      </c>
    </row>
    <row r="4963" spans="4:13" ht="25" thickBot="1">
      <c r="E4963" s="628" t="s">
        <v>436</v>
      </c>
      <c r="F4963" s="200" t="s">
        <v>29</v>
      </c>
      <c r="G4963" s="200" t="s">
        <v>28</v>
      </c>
      <c r="H4963" s="201" t="s">
        <v>27</v>
      </c>
      <c r="I4963" s="995"/>
      <c r="J4963" s="996"/>
      <c r="K4963" s="997"/>
      <c r="L4963" s="99"/>
      <c r="M4963" s="100"/>
    </row>
    <row r="4964" spans="4:13" ht="23">
      <c r="E4964" s="629">
        <v>45736</v>
      </c>
      <c r="F4964" s="634"/>
      <c r="G4964" s="634"/>
      <c r="H4964" s="634"/>
      <c r="I4964" s="995"/>
      <c r="J4964" s="996"/>
      <c r="K4964" s="997"/>
      <c r="L4964" s="99"/>
      <c r="M4964" s="100"/>
    </row>
    <row r="4965" spans="4:13" ht="23">
      <c r="E4965" s="629">
        <v>45687</v>
      </c>
      <c r="F4965" s="634"/>
      <c r="G4965" s="634"/>
      <c r="H4965" s="634"/>
      <c r="I4965" s="995"/>
      <c r="J4965" s="996"/>
      <c r="K4965" s="997"/>
      <c r="L4965" s="99"/>
      <c r="M4965" s="100"/>
    </row>
    <row r="4966" spans="4:13" ht="23">
      <c r="E4966" s="629">
        <v>45645</v>
      </c>
      <c r="F4966" s="634"/>
      <c r="G4966" s="634"/>
      <c r="H4966" s="634"/>
      <c r="I4966" s="995"/>
      <c r="J4966" s="996"/>
      <c r="K4966" s="997"/>
      <c r="L4966" s="649"/>
      <c r="M4966" s="100"/>
    </row>
    <row r="4967" spans="4:13" ht="23">
      <c r="E4967" s="629">
        <v>45604</v>
      </c>
      <c r="F4967" s="634"/>
      <c r="G4967" s="634"/>
      <c r="H4967" s="634"/>
      <c r="I4967" s="995"/>
      <c r="J4967" s="996"/>
      <c r="K4967" s="997"/>
      <c r="L4967" s="99"/>
      <c r="M4967" s="100"/>
    </row>
    <row r="4968" spans="4:13" ht="23">
      <c r="E4968" s="629">
        <v>45554</v>
      </c>
      <c r="F4968" s="634"/>
      <c r="G4968" s="634"/>
      <c r="H4968" s="634"/>
      <c r="I4968" s="995"/>
      <c r="J4968" s="996"/>
      <c r="K4968" s="997"/>
      <c r="L4968" s="99"/>
      <c r="M4968" s="100"/>
    </row>
    <row r="4969" spans="4:13" ht="24" thickBot="1">
      <c r="E4969" s="629">
        <v>45505</v>
      </c>
      <c r="F4969" s="634"/>
      <c r="G4969" s="634"/>
      <c r="H4969" s="634"/>
      <c r="I4969" s="998"/>
      <c r="J4969" s="999"/>
      <c r="K4969" s="1000"/>
      <c r="L4969" s="102"/>
      <c r="M4969" s="103"/>
    </row>
    <row r="4970" spans="4:13" ht="25" thickBot="1">
      <c r="D4970">
        <v>1</v>
      </c>
      <c r="E4970" s="624" t="s">
        <v>30</v>
      </c>
      <c r="F4970" s="1057" t="s">
        <v>2085</v>
      </c>
      <c r="G4970" s="1058"/>
      <c r="H4970" s="1059"/>
      <c r="I4970" s="1060" t="s">
        <v>633</v>
      </c>
      <c r="J4970" s="1061"/>
      <c r="K4970" s="1062"/>
      <c r="L4970" s="158" t="s">
        <v>430</v>
      </c>
      <c r="M4970" s="105" t="s">
        <v>431</v>
      </c>
    </row>
    <row r="4971" spans="4:13" ht="24">
      <c r="E4971" s="625" t="s">
        <v>432</v>
      </c>
      <c r="F4971" s="992"/>
      <c r="G4971" s="993"/>
      <c r="H4971" s="994"/>
      <c r="I4971" s="995" t="s">
        <v>2086</v>
      </c>
      <c r="J4971" s="996"/>
      <c r="K4971" s="997"/>
      <c r="L4971" s="99"/>
      <c r="M4971" s="100"/>
    </row>
    <row r="4972" spans="4:13" ht="24">
      <c r="E4972" s="626" t="s">
        <v>433</v>
      </c>
      <c r="F4972" s="1063"/>
      <c r="G4972" s="1064"/>
      <c r="H4972" s="1065"/>
      <c r="I4972" s="995"/>
      <c r="J4972" s="996"/>
      <c r="K4972" s="997"/>
      <c r="L4972" s="99"/>
      <c r="M4972" s="100"/>
    </row>
    <row r="4973" spans="4:13" ht="25" thickBot="1">
      <c r="E4973" s="626" t="s">
        <v>434</v>
      </c>
      <c r="F4973" s="1063">
        <v>4.4999999999999998E-2</v>
      </c>
      <c r="G4973" s="1064"/>
      <c r="H4973" s="1065"/>
      <c r="I4973" s="995"/>
      <c r="J4973" s="996"/>
      <c r="K4973" s="997"/>
      <c r="L4973" s="99"/>
      <c r="M4973" s="100"/>
    </row>
    <row r="4974" spans="4:13" ht="25" thickBot="1">
      <c r="E4974" s="627" t="s">
        <v>435</v>
      </c>
      <c r="F4974" s="1007">
        <v>0.45833333333333337</v>
      </c>
      <c r="G4974" s="1008"/>
      <c r="H4974" s="1009"/>
      <c r="I4974" s="995"/>
      <c r="J4974" s="996"/>
      <c r="K4974" s="997"/>
      <c r="L4974" s="647">
        <v>0.6875</v>
      </c>
      <c r="M4974" s="648">
        <v>0.58333333333333337</v>
      </c>
    </row>
    <row r="4975" spans="4:13" ht="25" thickBot="1">
      <c r="E4975" s="628" t="s">
        <v>436</v>
      </c>
      <c r="F4975" s="200" t="s">
        <v>29</v>
      </c>
      <c r="G4975" s="200" t="s">
        <v>28</v>
      </c>
      <c r="H4975" s="201" t="s">
        <v>27</v>
      </c>
      <c r="I4975" s="995"/>
      <c r="J4975" s="996"/>
      <c r="K4975" s="997"/>
      <c r="L4975" s="99"/>
      <c r="M4975" s="100"/>
    </row>
    <row r="4976" spans="4:13" ht="23">
      <c r="E4976" s="629">
        <v>45736</v>
      </c>
      <c r="F4976" s="634">
        <v>4.4999999999999998E-2</v>
      </c>
      <c r="G4976" s="634">
        <v>4.4999999999999998E-2</v>
      </c>
      <c r="H4976" s="634">
        <v>4.4999999999999998E-2</v>
      </c>
      <c r="I4976" s="995"/>
      <c r="J4976" s="996"/>
      <c r="K4976" s="997"/>
      <c r="L4976" s="99"/>
      <c r="M4976" s="100"/>
    </row>
    <row r="4977" spans="4:13" ht="23">
      <c r="E4977" s="629">
        <v>45694</v>
      </c>
      <c r="F4977" s="634">
        <v>4.4999999999999998E-2</v>
      </c>
      <c r="G4977" s="634">
        <v>4.4999999999999998E-2</v>
      </c>
      <c r="H4977" s="634">
        <v>4.7500000000000001E-2</v>
      </c>
      <c r="I4977" s="995"/>
      <c r="J4977" s="996"/>
      <c r="K4977" s="997"/>
      <c r="L4977" s="99"/>
      <c r="M4977" s="100"/>
    </row>
    <row r="4978" spans="4:13" ht="23">
      <c r="E4978" s="629">
        <v>45645</v>
      </c>
      <c r="F4978" s="634">
        <v>4.7500000000000001E-2</v>
      </c>
      <c r="G4978" s="634">
        <v>4.7500000000000001E-2</v>
      </c>
      <c r="H4978" s="634">
        <v>4.7500000000000001E-2</v>
      </c>
      <c r="I4978" s="995"/>
      <c r="J4978" s="996"/>
      <c r="K4978" s="997"/>
      <c r="L4978" s="649"/>
      <c r="M4978" s="100"/>
    </row>
    <row r="4979" spans="4:13" ht="23">
      <c r="E4979" s="629">
        <v>45603</v>
      </c>
      <c r="F4979" s="634">
        <v>4.7500000000000001E-2</v>
      </c>
      <c r="G4979" s="634">
        <v>4.7500000000000001E-2</v>
      </c>
      <c r="H4979" s="634">
        <v>0.05</v>
      </c>
      <c r="I4979" s="995"/>
      <c r="J4979" s="996"/>
      <c r="K4979" s="997"/>
      <c r="L4979" s="99"/>
      <c r="M4979" s="100"/>
    </row>
    <row r="4980" spans="4:13" ht="23">
      <c r="E4980" s="629">
        <v>45554</v>
      </c>
      <c r="F4980" s="634">
        <v>0.05</v>
      </c>
      <c r="G4980" s="634">
        <v>0.05</v>
      </c>
      <c r="H4980" s="634">
        <v>0.05</v>
      </c>
      <c r="I4980" s="995"/>
      <c r="J4980" s="996"/>
      <c r="K4980" s="997"/>
      <c r="L4980" s="99"/>
      <c r="M4980" s="100"/>
    </row>
    <row r="4981" spans="4:13" ht="24" thickBot="1">
      <c r="E4981" s="629">
        <v>45505</v>
      </c>
      <c r="F4981" s="634">
        <v>0.05</v>
      </c>
      <c r="G4981" s="634">
        <v>0.05</v>
      </c>
      <c r="H4981" s="634">
        <v>5.2499999999999998E-2</v>
      </c>
      <c r="I4981" s="998"/>
      <c r="J4981" s="999"/>
      <c r="K4981" s="1000"/>
      <c r="L4981" s="102"/>
      <c r="M4981" s="103"/>
    </row>
    <row r="4982" spans="4:13" ht="25" thickBot="1">
      <c r="D4982" s="695">
        <v>1</v>
      </c>
      <c r="E4982" s="696" t="s">
        <v>30</v>
      </c>
      <c r="F4982" s="1023" t="s">
        <v>1421</v>
      </c>
      <c r="G4982" s="1024"/>
      <c r="H4982" s="1025"/>
      <c r="I4982" s="1026" t="s">
        <v>633</v>
      </c>
      <c r="J4982" s="1027"/>
      <c r="K4982" s="1028"/>
      <c r="L4982" s="697" t="s">
        <v>430</v>
      </c>
      <c r="M4982" s="698" t="s">
        <v>431</v>
      </c>
    </row>
    <row r="4983" spans="4:13" ht="24">
      <c r="D4983" s="695"/>
      <c r="E4983" s="699" t="s">
        <v>432</v>
      </c>
      <c r="F4983" s="1029"/>
      <c r="G4983" s="1030"/>
      <c r="H4983" s="1031"/>
      <c r="I4983" s="1032" t="s">
        <v>2087</v>
      </c>
      <c r="J4983" s="1033"/>
      <c r="K4983" s="1034"/>
      <c r="L4983" s="700"/>
      <c r="M4983" s="701"/>
    </row>
    <row r="4984" spans="4:13" ht="24">
      <c r="D4984" s="695"/>
      <c r="E4984" s="702" t="s">
        <v>433</v>
      </c>
      <c r="F4984" s="1041"/>
      <c r="G4984" s="1042"/>
      <c r="H4984" s="1043"/>
      <c r="I4984" s="1032"/>
      <c r="J4984" s="1033"/>
      <c r="K4984" s="1034"/>
      <c r="L4984" s="700"/>
      <c r="M4984" s="701"/>
    </row>
    <row r="4985" spans="4:13" ht="25" thickBot="1">
      <c r="D4985" s="695"/>
      <c r="E4985" s="702" t="s">
        <v>434</v>
      </c>
      <c r="F4985" s="1041"/>
      <c r="G4985" s="1042"/>
      <c r="H4985" s="1043"/>
      <c r="I4985" s="1032"/>
      <c r="J4985" s="1033"/>
      <c r="K4985" s="1034"/>
      <c r="L4985" s="700"/>
      <c r="M4985" s="701"/>
    </row>
    <row r="4986" spans="4:13" ht="25" thickBot="1">
      <c r="D4986" s="695"/>
      <c r="E4986" s="703" t="s">
        <v>435</v>
      </c>
      <c r="F4986" s="1044">
        <v>0.52083333333333337</v>
      </c>
      <c r="G4986" s="1045"/>
      <c r="H4986" s="1046"/>
      <c r="I4986" s="1032"/>
      <c r="J4986" s="1033"/>
      <c r="K4986" s="1034"/>
      <c r="L4986" s="704">
        <v>0.75</v>
      </c>
      <c r="M4986" s="705">
        <v>0.64583333333333337</v>
      </c>
    </row>
    <row r="4987" spans="4:13" ht="25" thickBot="1">
      <c r="D4987" s="695"/>
      <c r="E4987" s="696" t="s">
        <v>436</v>
      </c>
      <c r="F4987" s="706" t="s">
        <v>29</v>
      </c>
      <c r="G4987" s="706" t="s">
        <v>28</v>
      </c>
      <c r="H4987" s="707" t="s">
        <v>27</v>
      </c>
      <c r="I4987" s="1032"/>
      <c r="J4987" s="1033"/>
      <c r="K4987" s="1034"/>
      <c r="L4987" s="700"/>
      <c r="M4987" s="701"/>
    </row>
    <row r="4988" spans="4:13" ht="24">
      <c r="D4988" s="695"/>
      <c r="E4988" s="657">
        <v>45771</v>
      </c>
      <c r="F4988" s="795" t="s">
        <v>986</v>
      </c>
      <c r="G4988" s="795" t="s">
        <v>986</v>
      </c>
      <c r="H4988" s="795" t="s">
        <v>975</v>
      </c>
      <c r="I4988" s="1032"/>
      <c r="J4988" s="1033"/>
      <c r="K4988" s="1034"/>
      <c r="L4988" s="700"/>
      <c r="M4988" s="701"/>
    </row>
    <row r="4989" spans="4:13" ht="24">
      <c r="D4989" s="695"/>
      <c r="E4989" s="657">
        <v>45764</v>
      </c>
      <c r="F4989" s="795" t="s">
        <v>1232</v>
      </c>
      <c r="G4989" s="795" t="s">
        <v>985</v>
      </c>
      <c r="H4989" s="795" t="s">
        <v>1032</v>
      </c>
      <c r="I4989" s="1032"/>
      <c r="J4989" s="1033"/>
      <c r="K4989" s="1034"/>
      <c r="L4989" s="700"/>
      <c r="M4989" s="701"/>
    </row>
    <row r="4990" spans="4:13" ht="24">
      <c r="D4990" s="695"/>
      <c r="E4990" s="657">
        <v>45757</v>
      </c>
      <c r="F4990" s="795" t="s">
        <v>973</v>
      </c>
      <c r="G4990" s="795" t="s">
        <v>973</v>
      </c>
      <c r="H4990" s="795" t="s">
        <v>987</v>
      </c>
      <c r="I4990" s="1032"/>
      <c r="J4990" s="1033"/>
      <c r="K4990" s="1034"/>
      <c r="L4990" s="709"/>
      <c r="M4990" s="701"/>
    </row>
    <row r="4991" spans="4:13" ht="24">
      <c r="D4991" s="695"/>
      <c r="E4991" s="657">
        <v>45750</v>
      </c>
      <c r="F4991" s="795" t="s">
        <v>987</v>
      </c>
      <c r="G4991" s="795" t="s">
        <v>985</v>
      </c>
      <c r="H4991" s="795" t="s">
        <v>985</v>
      </c>
      <c r="I4991" s="1032"/>
      <c r="J4991" s="1033"/>
      <c r="K4991" s="1034"/>
      <c r="L4991" s="700"/>
      <c r="M4991" s="701"/>
    </row>
    <row r="4992" spans="4:13" ht="24">
      <c r="D4992" s="695"/>
      <c r="E4992" s="657">
        <v>45743</v>
      </c>
      <c r="F4992" s="795" t="s">
        <v>1032</v>
      </c>
      <c r="G4992" s="795" t="s">
        <v>985</v>
      </c>
      <c r="H4992" s="795" t="s">
        <v>985</v>
      </c>
      <c r="I4992" s="1032"/>
      <c r="J4992" s="1033"/>
      <c r="K4992" s="1034"/>
      <c r="L4992" s="700"/>
      <c r="M4992" s="701"/>
    </row>
    <row r="4993" spans="3:13" ht="25" thickBot="1">
      <c r="D4993" s="695"/>
      <c r="E4993" s="657">
        <v>45736</v>
      </c>
      <c r="F4993" s="795" t="s">
        <v>973</v>
      </c>
      <c r="G4993" s="795" t="s">
        <v>1032</v>
      </c>
      <c r="H4993" s="795" t="s">
        <v>972</v>
      </c>
      <c r="I4993" s="1035"/>
      <c r="J4993" s="1036"/>
      <c r="K4993" s="1037"/>
      <c r="L4993" s="710"/>
      <c r="M4993" s="711"/>
    </row>
    <row r="4994" spans="3:13" ht="25" thickBot="1">
      <c r="D4994" s="695">
        <v>1</v>
      </c>
      <c r="E4994" s="696" t="s">
        <v>30</v>
      </c>
      <c r="F4994" s="1023" t="s">
        <v>2088</v>
      </c>
      <c r="G4994" s="1024"/>
      <c r="H4994" s="1025"/>
      <c r="I4994" s="1026" t="s">
        <v>633</v>
      </c>
      <c r="J4994" s="1027"/>
      <c r="K4994" s="1028"/>
      <c r="L4994" s="697" t="s">
        <v>430</v>
      </c>
      <c r="M4994" s="698" t="s">
        <v>431</v>
      </c>
    </row>
    <row r="4995" spans="3:13" ht="24">
      <c r="E4995" s="625" t="s">
        <v>432</v>
      </c>
      <c r="F4995" s="992"/>
      <c r="G4995" s="993"/>
      <c r="H4995" s="994"/>
      <c r="I4995" s="995" t="s">
        <v>2089</v>
      </c>
      <c r="J4995" s="996"/>
      <c r="K4995" s="997"/>
      <c r="L4995" s="99"/>
      <c r="M4995" s="100"/>
    </row>
    <row r="4996" spans="3:13" ht="24">
      <c r="E4996" s="626" t="s">
        <v>433</v>
      </c>
      <c r="F4996" s="1063"/>
      <c r="G4996" s="1064"/>
      <c r="H4996" s="1065"/>
      <c r="I4996" s="995"/>
      <c r="J4996" s="996"/>
      <c r="K4996" s="997"/>
      <c r="L4996" s="99"/>
      <c r="M4996" s="100"/>
    </row>
    <row r="4997" spans="3:13" ht="25" thickBot="1">
      <c r="E4997" s="626" t="s">
        <v>434</v>
      </c>
      <c r="F4997" s="1077">
        <v>4.4350000000000001E-2</v>
      </c>
      <c r="G4997" s="1078"/>
      <c r="H4997" s="1079"/>
      <c r="I4997" s="995"/>
      <c r="J4997" s="996"/>
      <c r="K4997" s="997"/>
      <c r="L4997" s="99"/>
      <c r="M4997" s="100"/>
    </row>
    <row r="4998" spans="3:13" ht="25" thickBot="1">
      <c r="E4998" s="627" t="s">
        <v>435</v>
      </c>
      <c r="F4998" s="1007">
        <v>0.70833333333333337</v>
      </c>
      <c r="G4998" s="1008"/>
      <c r="H4998" s="1009"/>
      <c r="I4998" s="995"/>
      <c r="J4998" s="996"/>
      <c r="K4998" s="997"/>
      <c r="L4998" s="647">
        <v>0.9375</v>
      </c>
      <c r="M4998" s="648">
        <v>0.83333333333333337</v>
      </c>
    </row>
    <row r="4999" spans="3:13" ht="25" thickBot="1">
      <c r="E4999" s="628" t="s">
        <v>436</v>
      </c>
      <c r="F4999" s="200" t="s">
        <v>29</v>
      </c>
      <c r="G4999" s="200" t="s">
        <v>28</v>
      </c>
      <c r="H4999" s="201" t="s">
        <v>27</v>
      </c>
      <c r="I4999" s="995"/>
      <c r="J4999" s="996"/>
      <c r="K4999" s="997"/>
      <c r="L4999" s="99"/>
      <c r="M4999" s="100"/>
    </row>
    <row r="5000" spans="3:13" ht="23">
      <c r="E5000" s="629">
        <v>45757</v>
      </c>
      <c r="F5000" s="794">
        <v>4.8129999999999999E-2</v>
      </c>
      <c r="G5000" s="794"/>
      <c r="H5000" s="794">
        <v>4.623E-2</v>
      </c>
      <c r="I5000" s="995"/>
      <c r="J5000" s="996"/>
      <c r="K5000" s="997"/>
      <c r="L5000" s="99"/>
      <c r="M5000" s="100"/>
    </row>
    <row r="5001" spans="3:13" ht="23">
      <c r="E5001" s="629">
        <v>45729</v>
      </c>
      <c r="F5001" s="794">
        <v>4.623E-2</v>
      </c>
      <c r="G5001" s="794"/>
      <c r="H5001" s="794">
        <v>4.7480000000000001E-2</v>
      </c>
      <c r="I5001" s="995"/>
      <c r="J5001" s="996"/>
      <c r="K5001" s="997"/>
      <c r="L5001" s="99"/>
      <c r="M5001" s="100"/>
    </row>
    <row r="5002" spans="3:13" ht="23">
      <c r="E5002" s="629">
        <v>45701</v>
      </c>
      <c r="F5002" s="794">
        <v>4.7480000000000001E-2</v>
      </c>
      <c r="G5002" s="794"/>
      <c r="H5002" s="794">
        <v>4.913E-2</v>
      </c>
      <c r="I5002" s="995"/>
      <c r="J5002" s="996"/>
      <c r="K5002" s="997"/>
      <c r="L5002" s="649"/>
      <c r="M5002" s="100"/>
    </row>
    <row r="5003" spans="3:13" ht="23">
      <c r="E5003" s="629">
        <v>45665</v>
      </c>
      <c r="F5003" s="794">
        <v>4.913E-2</v>
      </c>
      <c r="G5003" s="794"/>
      <c r="H5003" s="794">
        <v>4.5350000000000001E-2</v>
      </c>
      <c r="I5003" s="995"/>
      <c r="J5003" s="996"/>
      <c r="K5003" s="997"/>
      <c r="L5003" s="99"/>
      <c r="M5003" s="100"/>
    </row>
    <row r="5004" spans="3:13" ht="23">
      <c r="E5004" s="629">
        <v>45638</v>
      </c>
      <c r="F5004" s="794">
        <v>4.5350000000000001E-2</v>
      </c>
      <c r="G5004" s="794"/>
      <c r="H5004" s="794">
        <v>4.6080000000000003E-2</v>
      </c>
      <c r="I5004" s="995"/>
      <c r="J5004" s="996"/>
      <c r="K5004" s="997"/>
      <c r="L5004" s="99"/>
      <c r="M5004" s="100"/>
    </row>
    <row r="5005" spans="3:13" ht="24" thickBot="1">
      <c r="E5005" s="629">
        <v>45602</v>
      </c>
      <c r="F5005" s="794">
        <v>4.6080000000000003E-2</v>
      </c>
      <c r="G5005" s="794"/>
      <c r="H5005" s="794">
        <v>4.3889999999999998E-2</v>
      </c>
      <c r="I5005" s="998"/>
      <c r="J5005" s="999"/>
      <c r="K5005" s="1000"/>
      <c r="L5005" s="102"/>
      <c r="M5005" s="103"/>
    </row>
    <row r="5006" spans="3:13" ht="25" customHeight="1" thickBot="1">
      <c r="C5006" t="s">
        <v>105</v>
      </c>
      <c r="D5006">
        <v>1</v>
      </c>
      <c r="E5006" s="756" t="s">
        <v>30</v>
      </c>
      <c r="F5006" s="1066" t="s">
        <v>2122</v>
      </c>
      <c r="G5006" s="1067"/>
      <c r="H5006" s="1068"/>
      <c r="I5006" s="1069" t="s">
        <v>633</v>
      </c>
      <c r="J5006" s="1070"/>
      <c r="K5006" s="1071"/>
      <c r="L5006" s="158" t="s">
        <v>430</v>
      </c>
      <c r="M5006" s="105" t="s">
        <v>431</v>
      </c>
    </row>
    <row r="5007" spans="3:13" ht="24">
      <c r="E5007" s="625" t="s">
        <v>432</v>
      </c>
      <c r="F5007" s="992"/>
      <c r="G5007" s="993"/>
      <c r="H5007" s="994"/>
      <c r="I5007" s="995" t="s">
        <v>1935</v>
      </c>
      <c r="J5007" s="996"/>
      <c r="K5007" s="997"/>
      <c r="L5007" s="99"/>
      <c r="M5007" s="100"/>
    </row>
    <row r="5008" spans="3:13" ht="24">
      <c r="E5008" s="626" t="s">
        <v>433</v>
      </c>
      <c r="F5008" s="1072"/>
      <c r="G5008" s="1073"/>
      <c r="H5008" s="1074"/>
      <c r="I5008" s="995"/>
      <c r="J5008" s="996"/>
      <c r="K5008" s="997"/>
      <c r="L5008" s="99"/>
      <c r="M5008" s="100"/>
    </row>
    <row r="5009" spans="4:13" ht="25" thickBot="1">
      <c r="E5009" s="626" t="s">
        <v>434</v>
      </c>
      <c r="F5009" s="1063">
        <v>2.1999999999999999E-2</v>
      </c>
      <c r="G5009" s="1064"/>
      <c r="H5009" s="1065"/>
      <c r="I5009" s="995"/>
      <c r="J5009" s="996"/>
      <c r="K5009" s="997"/>
      <c r="L5009" s="99"/>
      <c r="M5009" s="100"/>
    </row>
    <row r="5010" spans="4:13" ht="25" thickBot="1">
      <c r="E5010" s="627" t="s">
        <v>435</v>
      </c>
      <c r="F5010" s="1007">
        <v>0.375</v>
      </c>
      <c r="G5010" s="1008"/>
      <c r="H5010" s="1009"/>
      <c r="I5010" s="995"/>
      <c r="J5010" s="996"/>
      <c r="K5010" s="997"/>
      <c r="L5010" s="647">
        <v>0.60416666666666663</v>
      </c>
      <c r="M5010" s="648">
        <v>0.49999999999999994</v>
      </c>
    </row>
    <row r="5011" spans="4:13" ht="25" thickBot="1">
      <c r="E5011" s="628" t="s">
        <v>436</v>
      </c>
      <c r="F5011" s="200" t="s">
        <v>29</v>
      </c>
      <c r="G5011" s="200" t="s">
        <v>28</v>
      </c>
      <c r="H5011" s="201" t="s">
        <v>27</v>
      </c>
      <c r="I5011" s="995"/>
      <c r="J5011" s="996"/>
      <c r="K5011" s="997"/>
      <c r="L5011" s="99"/>
      <c r="M5011" s="100"/>
    </row>
    <row r="5012" spans="4:13" ht="23">
      <c r="E5012" s="629">
        <v>45779</v>
      </c>
      <c r="F5012" s="202">
        <v>2.1999999999999999E-2</v>
      </c>
      <c r="G5012" s="202">
        <v>2.1000000000000001E-2</v>
      </c>
      <c r="H5012" s="202">
        <v>2.1999999999999999E-2</v>
      </c>
      <c r="I5012" s="995"/>
      <c r="J5012" s="996"/>
      <c r="K5012" s="997"/>
      <c r="L5012" s="99"/>
      <c r="M5012" s="100"/>
    </row>
    <row r="5013" spans="4:13" ht="23">
      <c r="E5013" s="629">
        <v>45763</v>
      </c>
      <c r="F5013" s="202">
        <v>2.1999999999999999E-2</v>
      </c>
      <c r="G5013" s="202">
        <v>2.1999999999999999E-2</v>
      </c>
      <c r="H5013" s="202">
        <v>2.3E-2</v>
      </c>
      <c r="I5013" s="995"/>
      <c r="J5013" s="996"/>
      <c r="K5013" s="997"/>
      <c r="L5013" s="99"/>
      <c r="M5013" s="100"/>
    </row>
    <row r="5014" spans="4:13" ht="23">
      <c r="E5014" s="629">
        <v>45748</v>
      </c>
      <c r="F5014" s="202">
        <v>2.1999999999999999E-2</v>
      </c>
      <c r="G5014" s="202">
        <v>2.1999999999999999E-2</v>
      </c>
      <c r="H5014" s="202">
        <v>2.3E-2</v>
      </c>
      <c r="I5014" s="995"/>
      <c r="J5014" s="996"/>
      <c r="K5014" s="997"/>
      <c r="L5014" s="649"/>
      <c r="M5014" s="100"/>
    </row>
    <row r="5015" spans="4:13" ht="23">
      <c r="E5015" s="629">
        <v>45735</v>
      </c>
      <c r="F5015" s="202">
        <v>2.3E-2</v>
      </c>
      <c r="G5015" s="202">
        <v>2.4E-2</v>
      </c>
      <c r="H5015" s="202">
        <v>2.5000000000000001E-2</v>
      </c>
      <c r="I5015" s="995"/>
      <c r="J5015" s="996"/>
      <c r="K5015" s="997"/>
      <c r="L5015" s="99"/>
      <c r="M5015" s="100"/>
    </row>
    <row r="5016" spans="4:13" ht="23">
      <c r="E5016" s="629">
        <v>45719</v>
      </c>
      <c r="F5016" s="202">
        <v>2.4E-2</v>
      </c>
      <c r="G5016" s="202">
        <v>2.3E-2</v>
      </c>
      <c r="H5016" s="202">
        <v>2.5000000000000001E-2</v>
      </c>
      <c r="I5016" s="995"/>
      <c r="J5016" s="996"/>
      <c r="K5016" s="997"/>
      <c r="L5016" s="99"/>
      <c r="M5016" s="100"/>
    </row>
    <row r="5017" spans="4:13" ht="24" thickBot="1">
      <c r="E5017" s="629">
        <v>45712</v>
      </c>
      <c r="F5017" s="202">
        <v>2.5000000000000001E-2</v>
      </c>
      <c r="G5017" s="202">
        <v>2.5000000000000001E-2</v>
      </c>
      <c r="H5017" s="202">
        <v>2.4E-2</v>
      </c>
      <c r="I5017" s="998"/>
      <c r="J5017" s="999"/>
      <c r="K5017" s="1000"/>
      <c r="L5017" s="102"/>
      <c r="M5017" s="103"/>
    </row>
    <row r="5018" spans="4:13" ht="25" thickBot="1">
      <c r="D5018">
        <v>1</v>
      </c>
      <c r="E5018" s="756" t="s">
        <v>30</v>
      </c>
      <c r="F5018" s="1066" t="s">
        <v>2123</v>
      </c>
      <c r="G5018" s="1067"/>
      <c r="H5018" s="1068"/>
      <c r="I5018" s="1069" t="s">
        <v>633</v>
      </c>
      <c r="J5018" s="1070"/>
      <c r="K5018" s="1071"/>
      <c r="L5018" s="158" t="s">
        <v>430</v>
      </c>
      <c r="M5018" s="105" t="s">
        <v>431</v>
      </c>
    </row>
    <row r="5019" spans="4:13" ht="24">
      <c r="E5019" s="625" t="s">
        <v>432</v>
      </c>
      <c r="F5019" s="992"/>
      <c r="G5019" s="993"/>
      <c r="H5019" s="994"/>
      <c r="I5019" s="995" t="s">
        <v>2124</v>
      </c>
      <c r="J5019" s="996"/>
      <c r="K5019" s="997"/>
      <c r="L5019" s="99"/>
      <c r="M5019" s="100"/>
    </row>
    <row r="5020" spans="4:13" ht="24">
      <c r="E5020" s="626" t="s">
        <v>433</v>
      </c>
      <c r="F5020" s="1072"/>
      <c r="G5020" s="1073"/>
      <c r="H5020" s="1074"/>
      <c r="I5020" s="995"/>
      <c r="J5020" s="996"/>
      <c r="K5020" s="997"/>
      <c r="L5020" s="99"/>
      <c r="M5020" s="100"/>
    </row>
    <row r="5021" spans="4:13" ht="25" thickBot="1">
      <c r="E5021" s="626" t="s">
        <v>434</v>
      </c>
      <c r="F5021" s="1063">
        <v>4.1000000000000002E-2</v>
      </c>
      <c r="G5021" s="1064"/>
      <c r="H5021" s="1065"/>
      <c r="I5021" s="995"/>
      <c r="J5021" s="996"/>
      <c r="K5021" s="997"/>
      <c r="L5021" s="99"/>
      <c r="M5021" s="100"/>
    </row>
    <row r="5022" spans="4:13" ht="25" thickBot="1">
      <c r="E5022" s="627" t="s">
        <v>435</v>
      </c>
      <c r="F5022" s="1007">
        <v>0.18750000000000003</v>
      </c>
      <c r="G5022" s="1008"/>
      <c r="H5022" s="1009"/>
      <c r="I5022" s="995"/>
      <c r="J5022" s="996"/>
      <c r="K5022" s="997"/>
      <c r="L5022" s="647">
        <v>0.41666666666666669</v>
      </c>
      <c r="M5022" s="648">
        <v>0.3125</v>
      </c>
    </row>
    <row r="5023" spans="4:13" ht="25" thickBot="1">
      <c r="E5023" s="628" t="s">
        <v>436</v>
      </c>
      <c r="F5023" s="200" t="s">
        <v>29</v>
      </c>
      <c r="G5023" s="200" t="s">
        <v>28</v>
      </c>
      <c r="H5023" s="201" t="s">
        <v>27</v>
      </c>
      <c r="I5023" s="995"/>
      <c r="J5023" s="996"/>
      <c r="K5023" s="997"/>
      <c r="L5023" s="99"/>
      <c r="M5023" s="100"/>
    </row>
    <row r="5024" spans="4:13" ht="23">
      <c r="E5024" s="629">
        <v>45748</v>
      </c>
      <c r="F5024" s="634">
        <v>4.1000000000000002E-2</v>
      </c>
      <c r="G5024" s="634">
        <v>4.1000000000000002E-2</v>
      </c>
      <c r="H5024" s="634">
        <v>4.1000000000000002E-2</v>
      </c>
      <c r="I5024" s="995"/>
      <c r="J5024" s="996"/>
      <c r="K5024" s="997"/>
      <c r="L5024" s="99"/>
      <c r="M5024" s="100"/>
    </row>
    <row r="5025" spans="4:13" ht="23">
      <c r="E5025" s="629">
        <v>45706</v>
      </c>
      <c r="F5025" s="634">
        <v>4.1000000000000002E-2</v>
      </c>
      <c r="G5025" s="634">
        <v>4.1000000000000002E-2</v>
      </c>
      <c r="H5025" s="634">
        <v>4.3499999999999997E-2</v>
      </c>
      <c r="I5025" s="995"/>
      <c r="J5025" s="996"/>
      <c r="K5025" s="997"/>
      <c r="L5025" s="99"/>
      <c r="M5025" s="100"/>
    </row>
    <row r="5026" spans="4:13" ht="23">
      <c r="E5026" s="629">
        <v>45636</v>
      </c>
      <c r="F5026" s="634">
        <v>4.3499999999999997E-2</v>
      </c>
      <c r="G5026" s="634">
        <v>4.3499999999999997E-2</v>
      </c>
      <c r="H5026" s="634">
        <v>4.3499999999999997E-2</v>
      </c>
      <c r="I5026" s="995"/>
      <c r="J5026" s="996"/>
      <c r="K5026" s="997"/>
      <c r="L5026" s="649"/>
      <c r="M5026" s="100"/>
    </row>
    <row r="5027" spans="4:13" ht="23">
      <c r="E5027" s="629">
        <v>45601</v>
      </c>
      <c r="F5027" s="634">
        <v>4.3499999999999997E-2</v>
      </c>
      <c r="G5027" s="634">
        <v>4.3499999999999997E-2</v>
      </c>
      <c r="H5027" s="634">
        <v>4.3499999999999997E-2</v>
      </c>
      <c r="I5027" s="995"/>
      <c r="J5027" s="996"/>
      <c r="K5027" s="997"/>
      <c r="L5027" s="99"/>
      <c r="M5027" s="100"/>
    </row>
    <row r="5028" spans="4:13" ht="23">
      <c r="E5028" s="629">
        <v>45559</v>
      </c>
      <c r="F5028" s="634">
        <v>4.3499999999999997E-2</v>
      </c>
      <c r="G5028" s="634">
        <v>4.3499999999999997E-2</v>
      </c>
      <c r="H5028" s="634">
        <v>4.3499999999999997E-2</v>
      </c>
      <c r="I5028" s="995"/>
      <c r="J5028" s="996"/>
      <c r="K5028" s="997"/>
      <c r="L5028" s="99"/>
      <c r="M5028" s="100"/>
    </row>
    <row r="5029" spans="4:13" ht="24" thickBot="1">
      <c r="E5029" s="629">
        <v>45510</v>
      </c>
      <c r="F5029" s="634">
        <v>4.3499999999999997E-2</v>
      </c>
      <c r="G5029" s="634">
        <v>4.3499999999999997E-2</v>
      </c>
      <c r="H5029" s="634">
        <v>4.3499999999999997E-2</v>
      </c>
      <c r="I5029" s="998"/>
      <c r="J5029" s="999"/>
      <c r="K5029" s="1000"/>
      <c r="L5029" s="102"/>
      <c r="M5029" s="103"/>
    </row>
    <row r="5030" spans="4:13" ht="25" thickBot="1">
      <c r="D5030">
        <v>1</v>
      </c>
      <c r="E5030" s="756" t="s">
        <v>30</v>
      </c>
      <c r="F5030" s="1066" t="s">
        <v>2125</v>
      </c>
      <c r="G5030" s="1067"/>
      <c r="H5030" s="1068"/>
      <c r="I5030" s="1069" t="s">
        <v>633</v>
      </c>
      <c r="J5030" s="1070"/>
      <c r="K5030" s="1071"/>
      <c r="L5030" s="158" t="s">
        <v>430</v>
      </c>
      <c r="M5030" s="105" t="s">
        <v>431</v>
      </c>
    </row>
    <row r="5031" spans="4:13" ht="24">
      <c r="E5031" s="625" t="s">
        <v>432</v>
      </c>
      <c r="F5031" s="992"/>
      <c r="G5031" s="993"/>
      <c r="H5031" s="994"/>
      <c r="I5031" s="995" t="s">
        <v>1672</v>
      </c>
      <c r="J5031" s="996"/>
      <c r="K5031" s="997"/>
      <c r="L5031" s="99"/>
      <c r="M5031" s="100"/>
    </row>
    <row r="5032" spans="4:13" ht="24">
      <c r="E5032" s="626" t="s">
        <v>433</v>
      </c>
      <c r="F5032" s="1072"/>
      <c r="G5032" s="1073"/>
      <c r="H5032" s="1074"/>
      <c r="I5032" s="995"/>
      <c r="J5032" s="996"/>
      <c r="K5032" s="997"/>
      <c r="L5032" s="99"/>
      <c r="M5032" s="100"/>
    </row>
    <row r="5033" spans="4:13" ht="25" thickBot="1">
      <c r="E5033" s="626" t="s">
        <v>434</v>
      </c>
      <c r="F5033" s="1063">
        <v>2.5999999999999999E-2</v>
      </c>
      <c r="G5033" s="1064"/>
      <c r="H5033" s="1065"/>
      <c r="I5033" s="995"/>
      <c r="J5033" s="996"/>
      <c r="K5033" s="997"/>
      <c r="L5033" s="99"/>
      <c r="M5033" s="100"/>
    </row>
    <row r="5034" spans="4:13" ht="25" thickBot="1">
      <c r="E5034" s="627" t="s">
        <v>435</v>
      </c>
      <c r="F5034" s="1007">
        <v>0.25</v>
      </c>
      <c r="G5034" s="1008"/>
      <c r="H5034" s="1009"/>
      <c r="I5034" s="995"/>
      <c r="J5034" s="996"/>
      <c r="K5034" s="997"/>
      <c r="L5034" s="647">
        <v>0.47916666666666669</v>
      </c>
      <c r="M5034" s="648">
        <v>0.375</v>
      </c>
    </row>
    <row r="5035" spans="4:13" ht="25" thickBot="1">
      <c r="E5035" s="628" t="s">
        <v>436</v>
      </c>
      <c r="F5035" s="200" t="s">
        <v>29</v>
      </c>
      <c r="G5035" s="200" t="s">
        <v>28</v>
      </c>
      <c r="H5035" s="201" t="s">
        <v>27</v>
      </c>
      <c r="I5035" s="995"/>
      <c r="J5035" s="996"/>
      <c r="K5035" s="997"/>
      <c r="L5035" s="99"/>
      <c r="M5035" s="100"/>
    </row>
    <row r="5036" spans="4:13" ht="23">
      <c r="E5036" s="629">
        <v>45763</v>
      </c>
      <c r="F5036" s="202">
        <v>2.5999999999999999E-2</v>
      </c>
      <c r="G5036" s="202">
        <v>2.7E-2</v>
      </c>
      <c r="H5036" s="202">
        <v>2.8000000000000001E-2</v>
      </c>
      <c r="I5036" s="995"/>
      <c r="J5036" s="996"/>
      <c r="K5036" s="997"/>
      <c r="L5036" s="99"/>
      <c r="M5036" s="100"/>
    </row>
    <row r="5037" spans="4:13" ht="23">
      <c r="E5037" s="629">
        <v>45742</v>
      </c>
      <c r="F5037" s="202">
        <v>2.8000000000000001E-2</v>
      </c>
      <c r="G5037" s="202">
        <v>0.03</v>
      </c>
      <c r="H5037" s="202">
        <v>0.03</v>
      </c>
      <c r="I5037" s="995"/>
      <c r="J5037" s="996"/>
      <c r="K5037" s="997"/>
      <c r="L5037" s="99"/>
      <c r="M5037" s="100"/>
    </row>
    <row r="5038" spans="4:13" ht="23">
      <c r="E5038" s="629">
        <v>45707</v>
      </c>
      <c r="F5038" s="202">
        <v>0.03</v>
      </c>
      <c r="G5038" s="202">
        <v>2.8000000000000001E-2</v>
      </c>
      <c r="H5038" s="202">
        <v>2.5000000000000001E-2</v>
      </c>
      <c r="I5038" s="995"/>
      <c r="J5038" s="996"/>
      <c r="K5038" s="997"/>
      <c r="L5038" s="649"/>
      <c r="M5038" s="100"/>
    </row>
    <row r="5039" spans="4:13" ht="23">
      <c r="E5039" s="629">
        <v>45672</v>
      </c>
      <c r="F5039" s="202">
        <v>2.5000000000000001E-2</v>
      </c>
      <c r="G5039" s="202">
        <v>2.5999999999999999E-2</v>
      </c>
      <c r="H5039" s="202">
        <v>2.5999999999999999E-2</v>
      </c>
      <c r="I5039" s="995"/>
      <c r="J5039" s="996"/>
      <c r="K5039" s="997"/>
      <c r="L5039" s="99"/>
      <c r="M5039" s="100"/>
    </row>
    <row r="5040" spans="4:13" ht="23">
      <c r="E5040" s="629">
        <v>45644</v>
      </c>
      <c r="F5040" s="202">
        <v>2.5999999999999999E-2</v>
      </c>
      <c r="G5040" s="202">
        <v>2.5999999999999999E-2</v>
      </c>
      <c r="H5040" s="202">
        <v>2.3E-2</v>
      </c>
      <c r="I5040" s="995"/>
      <c r="J5040" s="996"/>
      <c r="K5040" s="997"/>
      <c r="L5040" s="99"/>
      <c r="M5040" s="100"/>
    </row>
    <row r="5041" spans="4:13" ht="24" thickBot="1">
      <c r="E5041" s="629">
        <v>45616</v>
      </c>
      <c r="F5041" s="202">
        <v>2.3E-2</v>
      </c>
      <c r="G5041" s="202">
        <v>2.1999999999999999E-2</v>
      </c>
      <c r="H5041" s="202">
        <v>1.7000000000000001E-2</v>
      </c>
      <c r="I5041" s="998"/>
      <c r="J5041" s="999"/>
      <c r="K5041" s="1000"/>
      <c r="L5041" s="102"/>
      <c r="M5041" s="103"/>
    </row>
    <row r="5042" spans="4:13" ht="25" thickBot="1">
      <c r="D5042">
        <v>1</v>
      </c>
      <c r="E5042" s="756" t="s">
        <v>30</v>
      </c>
      <c r="F5042" s="1066" t="s">
        <v>1503</v>
      </c>
      <c r="G5042" s="1067"/>
      <c r="H5042" s="1068"/>
      <c r="I5042" s="1069" t="s">
        <v>633</v>
      </c>
      <c r="J5042" s="1070"/>
      <c r="K5042" s="1071"/>
      <c r="L5042" s="158" t="s">
        <v>430</v>
      </c>
      <c r="M5042" s="105" t="s">
        <v>431</v>
      </c>
    </row>
    <row r="5043" spans="4:13" ht="24">
      <c r="E5043" s="625" t="s">
        <v>432</v>
      </c>
      <c r="F5043" s="992"/>
      <c r="G5043" s="993"/>
      <c r="H5043" s="994"/>
      <c r="I5043" s="995" t="s">
        <v>1678</v>
      </c>
      <c r="J5043" s="996"/>
      <c r="K5043" s="997"/>
      <c r="L5043" s="99"/>
      <c r="M5043" s="100"/>
    </row>
    <row r="5044" spans="4:13" ht="24">
      <c r="E5044" s="626" t="s">
        <v>433</v>
      </c>
      <c r="F5044" s="1072"/>
      <c r="G5044" s="1073"/>
      <c r="H5044" s="1074"/>
      <c r="I5044" s="995"/>
      <c r="J5044" s="996"/>
      <c r="K5044" s="997"/>
      <c r="L5044" s="99"/>
      <c r="M5044" s="100"/>
    </row>
    <row r="5045" spans="4:13" ht="25" thickBot="1">
      <c r="E5045" s="626" t="s">
        <v>434</v>
      </c>
      <c r="F5045" s="1063" t="s">
        <v>2126</v>
      </c>
      <c r="G5045" s="1064"/>
      <c r="H5045" s="1065"/>
      <c r="I5045" s="995"/>
      <c r="J5045" s="996"/>
      <c r="K5045" s="997"/>
      <c r="L5045" s="99"/>
      <c r="M5045" s="100"/>
    </row>
    <row r="5046" spans="4:13" ht="25" thickBot="1">
      <c r="E5046" s="627" t="s">
        <v>435</v>
      </c>
      <c r="F5046" s="1007">
        <v>0.60416666666666674</v>
      </c>
      <c r="G5046" s="1008"/>
      <c r="H5046" s="1009"/>
      <c r="I5046" s="995"/>
      <c r="J5046" s="996"/>
      <c r="K5046" s="997"/>
      <c r="L5046" s="647">
        <v>0.83333333333333337</v>
      </c>
      <c r="M5046" s="648">
        <v>0.72916666666666674</v>
      </c>
    </row>
    <row r="5047" spans="4:13" ht="25" thickBot="1">
      <c r="E5047" s="628" t="s">
        <v>436</v>
      </c>
      <c r="F5047" s="200" t="s">
        <v>29</v>
      </c>
      <c r="G5047" s="200" t="s">
        <v>28</v>
      </c>
      <c r="H5047" s="201" t="s">
        <v>27</v>
      </c>
      <c r="I5047" s="995"/>
      <c r="J5047" s="996"/>
      <c r="K5047" s="997"/>
      <c r="L5047" s="99"/>
      <c r="M5047" s="100"/>
    </row>
    <row r="5048" spans="4:13" ht="24">
      <c r="E5048" s="629">
        <v>45791</v>
      </c>
      <c r="F5048" s="202" t="s">
        <v>2127</v>
      </c>
      <c r="G5048" s="202" t="s">
        <v>2128</v>
      </c>
      <c r="H5048" s="202" t="s">
        <v>2129</v>
      </c>
      <c r="I5048" s="995"/>
      <c r="J5048" s="996"/>
      <c r="K5048" s="997"/>
      <c r="L5048" s="99"/>
      <c r="M5048" s="100"/>
    </row>
    <row r="5049" spans="4:13" ht="24">
      <c r="E5049" s="629">
        <v>45784</v>
      </c>
      <c r="F5049" s="202" t="s">
        <v>2129</v>
      </c>
      <c r="G5049" s="202" t="s">
        <v>2130</v>
      </c>
      <c r="H5049" s="202" t="s">
        <v>2131</v>
      </c>
      <c r="I5049" s="995"/>
      <c r="J5049" s="996"/>
      <c r="K5049" s="997"/>
      <c r="L5049" s="99"/>
      <c r="M5049" s="100"/>
    </row>
    <row r="5050" spans="4:13" ht="24">
      <c r="E5050" s="629">
        <v>45777</v>
      </c>
      <c r="F5050" s="202" t="s">
        <v>2131</v>
      </c>
      <c r="G5050" s="202" t="s">
        <v>2099</v>
      </c>
      <c r="H5050" s="202" t="s">
        <v>2064</v>
      </c>
      <c r="I5050" s="995"/>
      <c r="J5050" s="996"/>
      <c r="K5050" s="997"/>
      <c r="L5050" s="649"/>
      <c r="M5050" s="100"/>
    </row>
    <row r="5051" spans="4:13" ht="24">
      <c r="E5051" s="629">
        <v>45770</v>
      </c>
      <c r="F5051" s="202" t="s">
        <v>2064</v>
      </c>
      <c r="G5051" s="202" t="s">
        <v>2065</v>
      </c>
      <c r="H5051" s="202" t="s">
        <v>2003</v>
      </c>
      <c r="I5051" s="995"/>
      <c r="J5051" s="996"/>
      <c r="K5051" s="997"/>
      <c r="L5051" s="99"/>
      <c r="M5051" s="100"/>
    </row>
    <row r="5052" spans="4:13" ht="24">
      <c r="E5052" s="629">
        <v>45763</v>
      </c>
      <c r="F5052" s="202" t="s">
        <v>2003</v>
      </c>
      <c r="G5052" s="202" t="s">
        <v>1030</v>
      </c>
      <c r="H5052" s="202" t="s">
        <v>1957</v>
      </c>
      <c r="I5052" s="995"/>
      <c r="J5052" s="996"/>
      <c r="K5052" s="997"/>
      <c r="L5052" s="99"/>
      <c r="M5052" s="100"/>
    </row>
    <row r="5053" spans="4:13" ht="25" thickBot="1">
      <c r="E5053" s="629">
        <v>45756</v>
      </c>
      <c r="F5053" s="202" t="s">
        <v>1957</v>
      </c>
      <c r="G5053" s="202" t="s">
        <v>1602</v>
      </c>
      <c r="H5053" s="202" t="s">
        <v>1899</v>
      </c>
      <c r="I5053" s="998"/>
      <c r="J5053" s="999"/>
      <c r="K5053" s="1000"/>
      <c r="L5053" s="102"/>
      <c r="M5053" s="103"/>
    </row>
    <row r="5054" spans="4:13" ht="25" thickBot="1">
      <c r="D5054">
        <v>1</v>
      </c>
      <c r="E5054" s="756" t="s">
        <v>30</v>
      </c>
      <c r="F5054" s="1066" t="s">
        <v>1421</v>
      </c>
      <c r="G5054" s="1067"/>
      <c r="H5054" s="1068"/>
      <c r="I5054" s="1069" t="s">
        <v>633</v>
      </c>
      <c r="J5054" s="1070"/>
      <c r="K5054" s="1071"/>
      <c r="L5054" s="158" t="s">
        <v>430</v>
      </c>
      <c r="M5054" s="105" t="s">
        <v>431</v>
      </c>
    </row>
    <row r="5055" spans="4:13" ht="24">
      <c r="E5055" s="625" t="s">
        <v>432</v>
      </c>
      <c r="F5055" s="992"/>
      <c r="G5055" s="993"/>
      <c r="H5055" s="994"/>
      <c r="I5055" s="995" t="s">
        <v>1460</v>
      </c>
      <c r="J5055" s="996"/>
      <c r="K5055" s="997"/>
      <c r="L5055" s="99"/>
      <c r="M5055" s="100"/>
    </row>
    <row r="5056" spans="4:13" ht="24">
      <c r="E5056" s="626" t="s">
        <v>433</v>
      </c>
      <c r="F5056" s="1072"/>
      <c r="G5056" s="1073"/>
      <c r="H5056" s="1074"/>
      <c r="I5056" s="995"/>
      <c r="J5056" s="996"/>
      <c r="K5056" s="997"/>
      <c r="L5056" s="99"/>
      <c r="M5056" s="100"/>
    </row>
    <row r="5057" spans="4:13" ht="25" thickBot="1">
      <c r="E5057" s="626" t="s">
        <v>434</v>
      </c>
      <c r="F5057" s="1063">
        <v>0</v>
      </c>
      <c r="G5057" s="1064"/>
      <c r="H5057" s="1065"/>
      <c r="I5057" s="995"/>
      <c r="J5057" s="996"/>
      <c r="K5057" s="997"/>
      <c r="L5057" s="99"/>
      <c r="M5057" s="100"/>
    </row>
    <row r="5058" spans="4:13" ht="25" thickBot="1">
      <c r="E5058" s="627" t="s">
        <v>435</v>
      </c>
      <c r="F5058" s="1007">
        <v>0.52083333333333337</v>
      </c>
      <c r="G5058" s="1008"/>
      <c r="H5058" s="1009"/>
      <c r="I5058" s="995"/>
      <c r="J5058" s="996"/>
      <c r="K5058" s="997"/>
      <c r="L5058" s="647">
        <v>0.75</v>
      </c>
      <c r="M5058" s="648">
        <v>0.64583333333333337</v>
      </c>
    </row>
    <row r="5059" spans="4:13" ht="25" thickBot="1">
      <c r="E5059" s="628" t="s">
        <v>436</v>
      </c>
      <c r="F5059" s="200" t="s">
        <v>29</v>
      </c>
      <c r="G5059" s="200" t="s">
        <v>28</v>
      </c>
      <c r="H5059" s="201" t="s">
        <v>27</v>
      </c>
      <c r="I5059" s="995"/>
      <c r="J5059" s="996"/>
      <c r="K5059" s="997"/>
      <c r="L5059" s="99"/>
      <c r="M5059" s="100"/>
    </row>
    <row r="5060" spans="4:13" ht="24">
      <c r="E5060" s="629">
        <v>45792</v>
      </c>
      <c r="F5060" s="795"/>
      <c r="G5060" s="634" t="s">
        <v>976</v>
      </c>
      <c r="H5060" s="634" t="s">
        <v>977</v>
      </c>
      <c r="I5060" s="995"/>
      <c r="J5060" s="996"/>
      <c r="K5060" s="997"/>
      <c r="L5060" s="99"/>
      <c r="M5060" s="100"/>
    </row>
    <row r="5061" spans="4:13" ht="24">
      <c r="E5061" s="629">
        <v>45785</v>
      </c>
      <c r="F5061" s="634" t="s">
        <v>977</v>
      </c>
      <c r="G5061" s="634" t="s">
        <v>984</v>
      </c>
      <c r="H5061" s="634" t="s">
        <v>981</v>
      </c>
      <c r="I5061" s="995"/>
      <c r="J5061" s="996"/>
      <c r="K5061" s="997"/>
      <c r="L5061" s="99"/>
      <c r="M5061" s="100"/>
    </row>
    <row r="5062" spans="4:13" ht="24">
      <c r="E5062" s="629">
        <v>45778</v>
      </c>
      <c r="F5062" s="634" t="s">
        <v>981</v>
      </c>
      <c r="G5062" s="634" t="s">
        <v>1032</v>
      </c>
      <c r="H5062" s="634" t="s">
        <v>973</v>
      </c>
      <c r="I5062" s="995"/>
      <c r="J5062" s="996"/>
      <c r="K5062" s="997"/>
      <c r="L5062" s="649"/>
      <c r="M5062" s="100"/>
    </row>
    <row r="5063" spans="4:13" ht="24">
      <c r="E5063" s="629">
        <v>45771</v>
      </c>
      <c r="F5063" s="634" t="s">
        <v>986</v>
      </c>
      <c r="G5063" s="634" t="s">
        <v>986</v>
      </c>
      <c r="H5063" s="634" t="s">
        <v>975</v>
      </c>
      <c r="I5063" s="995"/>
      <c r="J5063" s="996"/>
      <c r="K5063" s="997"/>
      <c r="L5063" s="99"/>
      <c r="M5063" s="100"/>
    </row>
    <row r="5064" spans="4:13" ht="24">
      <c r="E5064" s="629">
        <v>45764</v>
      </c>
      <c r="F5064" s="634" t="s">
        <v>1232</v>
      </c>
      <c r="G5064" s="634" t="s">
        <v>985</v>
      </c>
      <c r="H5064" s="634" t="s">
        <v>1032</v>
      </c>
      <c r="I5064" s="995"/>
      <c r="J5064" s="996"/>
      <c r="K5064" s="997"/>
      <c r="L5064" s="99"/>
      <c r="M5064" s="100"/>
    </row>
    <row r="5065" spans="4:13" ht="25" thickBot="1">
      <c r="E5065" s="629">
        <v>45757</v>
      </c>
      <c r="F5065" s="634" t="s">
        <v>973</v>
      </c>
      <c r="G5065" s="634" t="s">
        <v>973</v>
      </c>
      <c r="H5065" s="634" t="s">
        <v>987</v>
      </c>
      <c r="I5065" s="998"/>
      <c r="J5065" s="999"/>
      <c r="K5065" s="1000"/>
      <c r="L5065" s="102"/>
      <c r="M5065" s="103"/>
    </row>
    <row r="5066" spans="4:13" ht="25" thickBot="1">
      <c r="D5066">
        <v>1</v>
      </c>
      <c r="E5066" s="628" t="s">
        <v>30</v>
      </c>
      <c r="F5066" s="986" t="s">
        <v>2132</v>
      </c>
      <c r="G5066" s="987"/>
      <c r="H5066" s="988"/>
      <c r="I5066" s="989" t="s">
        <v>633</v>
      </c>
      <c r="J5066" s="990"/>
      <c r="K5066" s="991"/>
      <c r="L5066" s="658" t="s">
        <v>430</v>
      </c>
      <c r="M5066" s="659" t="s">
        <v>431</v>
      </c>
    </row>
    <row r="5067" spans="4:13" ht="24">
      <c r="E5067" s="625" t="s">
        <v>432</v>
      </c>
      <c r="F5067" s="1011"/>
      <c r="G5067" s="1012"/>
      <c r="H5067" s="1013"/>
      <c r="I5067" s="1021" t="s">
        <v>2133</v>
      </c>
      <c r="J5067" s="1015"/>
      <c r="K5067" s="1016"/>
      <c r="L5067" s="99"/>
      <c r="M5067" s="100"/>
    </row>
    <row r="5068" spans="4:13" ht="24">
      <c r="E5068" s="626" t="s">
        <v>433</v>
      </c>
      <c r="F5068" s="1001"/>
      <c r="G5068" s="1017"/>
      <c r="H5068" s="1018"/>
      <c r="I5068" s="995"/>
      <c r="J5068" s="996"/>
      <c r="K5068" s="997"/>
      <c r="L5068" s="99"/>
      <c r="M5068" s="100"/>
    </row>
    <row r="5069" spans="4:13" ht="25" thickBot="1">
      <c r="E5069" s="626" t="s">
        <v>434</v>
      </c>
      <c r="F5069" s="1022">
        <v>50.2</v>
      </c>
      <c r="G5069" s="1019"/>
      <c r="H5069" s="1020"/>
      <c r="I5069" s="995"/>
      <c r="J5069" s="996"/>
      <c r="K5069" s="997"/>
      <c r="L5069" s="99"/>
      <c r="M5069" s="100"/>
    </row>
    <row r="5070" spans="4:13" ht="25" thickBot="1">
      <c r="E5070" s="627" t="s">
        <v>435</v>
      </c>
      <c r="F5070" s="1007">
        <v>0.57291666666666674</v>
      </c>
      <c r="G5070" s="1008"/>
      <c r="H5070" s="1009"/>
      <c r="I5070" s="995"/>
      <c r="J5070" s="996"/>
      <c r="K5070" s="997"/>
      <c r="L5070" s="647">
        <v>0.80208333333333337</v>
      </c>
      <c r="M5070" s="648">
        <v>0.69791666666666674</v>
      </c>
    </row>
    <row r="5071" spans="4:13" ht="25" thickBot="1">
      <c r="E5071" s="628" t="s">
        <v>436</v>
      </c>
      <c r="F5071" s="200" t="s">
        <v>29</v>
      </c>
      <c r="G5071" s="200" t="s">
        <v>28</v>
      </c>
      <c r="H5071" s="201" t="s">
        <v>27</v>
      </c>
      <c r="I5071" s="995"/>
      <c r="J5071" s="996"/>
      <c r="K5071" s="997"/>
      <c r="L5071" s="99"/>
      <c r="M5071" s="100"/>
    </row>
    <row r="5072" spans="4:13" ht="23">
      <c r="E5072" s="629">
        <v>45778</v>
      </c>
      <c r="F5072" s="636">
        <v>50.2</v>
      </c>
      <c r="G5072" s="636">
        <v>50.7</v>
      </c>
      <c r="H5072" s="636">
        <v>50.2</v>
      </c>
      <c r="I5072" s="995"/>
      <c r="J5072" s="996"/>
      <c r="K5072" s="997"/>
      <c r="L5072" s="99"/>
      <c r="M5072" s="100"/>
    </row>
    <row r="5073" spans="4:13" ht="23">
      <c r="E5073" s="629">
        <v>45770</v>
      </c>
      <c r="F5073" s="636">
        <v>50.7</v>
      </c>
      <c r="G5073" s="636">
        <v>49</v>
      </c>
      <c r="H5073" s="636">
        <v>50.2</v>
      </c>
      <c r="I5073" s="995"/>
      <c r="J5073" s="996"/>
      <c r="K5073" s="997"/>
      <c r="L5073" s="99"/>
      <c r="M5073" s="100"/>
    </row>
    <row r="5074" spans="4:13" ht="23">
      <c r="E5074" s="629">
        <v>45778</v>
      </c>
      <c r="F5074" s="636">
        <v>50.2</v>
      </c>
      <c r="G5074" s="636">
        <v>50.7</v>
      </c>
      <c r="H5074" s="636">
        <v>50.2</v>
      </c>
      <c r="I5074" s="995"/>
      <c r="J5074" s="996"/>
      <c r="K5074" s="997"/>
      <c r="L5074" s="649"/>
      <c r="M5074" s="100"/>
    </row>
    <row r="5075" spans="4:13" ht="23">
      <c r="E5075" s="629">
        <v>45770</v>
      </c>
      <c r="F5075" s="636">
        <v>50.7</v>
      </c>
      <c r="G5075" s="636">
        <v>49</v>
      </c>
      <c r="H5075" s="636">
        <v>50.2</v>
      </c>
      <c r="I5075" s="995"/>
      <c r="J5075" s="996"/>
      <c r="K5075" s="997"/>
      <c r="L5075" s="99"/>
      <c r="M5075" s="100"/>
    </row>
    <row r="5076" spans="4:13" ht="23">
      <c r="E5076" s="629">
        <v>45778</v>
      </c>
      <c r="F5076" s="636">
        <v>50.2</v>
      </c>
      <c r="G5076" s="636">
        <v>50.7</v>
      </c>
      <c r="H5076" s="636">
        <v>50.2</v>
      </c>
      <c r="I5076" s="995"/>
      <c r="J5076" s="996"/>
      <c r="K5076" s="997"/>
      <c r="L5076" s="99"/>
      <c r="M5076" s="100"/>
    </row>
    <row r="5077" spans="4:13" ht="24" thickBot="1">
      <c r="E5077" s="629">
        <v>45770</v>
      </c>
      <c r="F5077" s="636">
        <v>50.7</v>
      </c>
      <c r="G5077" s="636">
        <v>49</v>
      </c>
      <c r="H5077" s="636">
        <v>50.2</v>
      </c>
      <c r="I5077" s="998"/>
      <c r="J5077" s="999"/>
      <c r="K5077" s="1000"/>
      <c r="L5077" s="102"/>
      <c r="M5077" s="103"/>
    </row>
    <row r="5078" spans="4:13" ht="25" thickBot="1">
      <c r="D5078">
        <v>1</v>
      </c>
      <c r="E5078" s="628" t="s">
        <v>30</v>
      </c>
      <c r="F5078" s="986" t="s">
        <v>2134</v>
      </c>
      <c r="G5078" s="987"/>
      <c r="H5078" s="988"/>
      <c r="I5078" s="989" t="s">
        <v>633</v>
      </c>
      <c r="J5078" s="990"/>
      <c r="K5078" s="991"/>
      <c r="L5078" s="658" t="s">
        <v>430</v>
      </c>
      <c r="M5078" s="659" t="s">
        <v>431</v>
      </c>
    </row>
    <row r="5079" spans="4:13" ht="24">
      <c r="E5079" s="625" t="s">
        <v>432</v>
      </c>
      <c r="F5079" s="992"/>
      <c r="G5079" s="993"/>
      <c r="H5079" s="994"/>
      <c r="I5079" s="995" t="s">
        <v>1969</v>
      </c>
      <c r="J5079" s="996"/>
      <c r="K5079" s="997"/>
      <c r="L5079" s="99"/>
      <c r="M5079" s="100"/>
    </row>
    <row r="5080" spans="4:13" ht="24">
      <c r="E5080" s="626" t="s">
        <v>433</v>
      </c>
      <c r="F5080" s="1001"/>
      <c r="G5080" s="1002"/>
      <c r="H5080" s="1003"/>
      <c r="I5080" s="995"/>
      <c r="J5080" s="996"/>
      <c r="K5080" s="997"/>
      <c r="L5080" s="99"/>
      <c r="M5080" s="100"/>
    </row>
    <row r="5081" spans="4:13" ht="25" thickBot="1">
      <c r="E5081" s="626" t="s">
        <v>434</v>
      </c>
      <c r="F5081" s="1022">
        <v>50.8</v>
      </c>
      <c r="G5081" s="1005"/>
      <c r="H5081" s="1006"/>
      <c r="I5081" s="995"/>
      <c r="J5081" s="996"/>
      <c r="K5081" s="997"/>
      <c r="L5081" s="99"/>
      <c r="M5081" s="100"/>
    </row>
    <row r="5082" spans="4:13" ht="25" thickBot="1">
      <c r="E5082" s="627" t="s">
        <v>435</v>
      </c>
      <c r="F5082" s="1007">
        <v>0.57291666666666674</v>
      </c>
      <c r="G5082" s="1008"/>
      <c r="H5082" s="1009"/>
      <c r="I5082" s="995"/>
      <c r="J5082" s="996"/>
      <c r="K5082" s="997"/>
      <c r="L5082" s="647">
        <v>0.80208333333333337</v>
      </c>
      <c r="M5082" s="648">
        <v>0.69791666666666674</v>
      </c>
    </row>
    <row r="5083" spans="4:13" ht="25" thickBot="1">
      <c r="E5083" s="628" t="s">
        <v>436</v>
      </c>
      <c r="F5083" s="200" t="s">
        <v>29</v>
      </c>
      <c r="G5083" s="200" t="s">
        <v>28</v>
      </c>
      <c r="H5083" s="201" t="s">
        <v>27</v>
      </c>
      <c r="I5083" s="995"/>
      <c r="J5083" s="996"/>
      <c r="K5083" s="997"/>
      <c r="L5083" s="99"/>
      <c r="M5083" s="100"/>
    </row>
    <row r="5084" spans="4:13" ht="23">
      <c r="E5084" s="629">
        <v>45782</v>
      </c>
      <c r="F5084" s="636">
        <v>50.8</v>
      </c>
      <c r="G5084" s="636">
        <v>51.4</v>
      </c>
      <c r="H5084" s="636">
        <v>54.4</v>
      </c>
      <c r="I5084" s="995"/>
      <c r="J5084" s="996"/>
      <c r="K5084" s="997"/>
      <c r="L5084" s="99"/>
      <c r="M5084" s="100"/>
    </row>
    <row r="5085" spans="4:13" ht="23">
      <c r="E5085" s="629">
        <v>45770</v>
      </c>
      <c r="F5085" s="636">
        <v>51.4</v>
      </c>
      <c r="G5085" s="636">
        <v>52.8</v>
      </c>
      <c r="H5085" s="636">
        <v>54.4</v>
      </c>
      <c r="I5085" s="995"/>
      <c r="J5085" s="996"/>
      <c r="K5085" s="997"/>
      <c r="L5085" s="99"/>
      <c r="M5085" s="100"/>
    </row>
    <row r="5086" spans="4:13" ht="23">
      <c r="E5086" s="629">
        <v>45782</v>
      </c>
      <c r="F5086" s="636">
        <v>50.8</v>
      </c>
      <c r="G5086" s="636">
        <v>51.4</v>
      </c>
      <c r="H5086" s="636">
        <v>54.4</v>
      </c>
      <c r="I5086" s="995"/>
      <c r="J5086" s="996"/>
      <c r="K5086" s="997"/>
      <c r="L5086" s="649"/>
      <c r="M5086" s="100"/>
    </row>
    <row r="5087" spans="4:13" ht="23">
      <c r="E5087" s="629">
        <v>45770</v>
      </c>
      <c r="F5087" s="636">
        <v>51.4</v>
      </c>
      <c r="G5087" s="636">
        <v>52.8</v>
      </c>
      <c r="H5087" s="636">
        <v>54.4</v>
      </c>
      <c r="I5087" s="995"/>
      <c r="J5087" s="996"/>
      <c r="K5087" s="997"/>
      <c r="L5087" s="99"/>
      <c r="M5087" s="100"/>
    </row>
    <row r="5088" spans="4:13" ht="23">
      <c r="E5088" s="629">
        <v>45782</v>
      </c>
      <c r="F5088" s="636">
        <v>50.8</v>
      </c>
      <c r="G5088" s="636">
        <v>51.4</v>
      </c>
      <c r="H5088" s="636">
        <v>54.4</v>
      </c>
      <c r="I5088" s="995"/>
      <c r="J5088" s="996"/>
      <c r="K5088" s="997"/>
      <c r="L5088" s="99"/>
      <c r="M5088" s="100"/>
    </row>
    <row r="5089" spans="4:13" ht="24" thickBot="1">
      <c r="E5089" s="629">
        <v>45770</v>
      </c>
      <c r="F5089" s="636">
        <v>51.4</v>
      </c>
      <c r="G5089" s="636">
        <v>52.8</v>
      </c>
      <c r="H5089" s="636">
        <v>54.4</v>
      </c>
      <c r="I5089" s="998"/>
      <c r="J5089" s="999"/>
      <c r="K5089" s="1000"/>
      <c r="L5089" s="102"/>
      <c r="M5089" s="103"/>
    </row>
    <row r="5090" spans="4:13" ht="25" thickBot="1">
      <c r="D5090">
        <v>1</v>
      </c>
      <c r="E5090" s="628" t="s">
        <v>30</v>
      </c>
      <c r="F5090" s="986" t="s">
        <v>2135</v>
      </c>
      <c r="G5090" s="987"/>
      <c r="H5090" s="988"/>
      <c r="I5090" s="989" t="s">
        <v>633</v>
      </c>
      <c r="J5090" s="990"/>
      <c r="K5090" s="991"/>
      <c r="L5090" s="658" t="s">
        <v>430</v>
      </c>
      <c r="M5090" s="659" t="s">
        <v>431</v>
      </c>
    </row>
    <row r="5091" spans="4:13" ht="24">
      <c r="E5091" s="625" t="s">
        <v>432</v>
      </c>
      <c r="F5091" s="992"/>
      <c r="G5091" s="993"/>
      <c r="H5091" s="994"/>
      <c r="I5091" s="995" t="s">
        <v>1976</v>
      </c>
      <c r="J5091" s="996"/>
      <c r="K5091" s="997"/>
      <c r="L5091" s="99"/>
      <c r="M5091" s="100"/>
    </row>
    <row r="5092" spans="4:13" ht="24">
      <c r="E5092" s="626" t="s">
        <v>433</v>
      </c>
      <c r="F5092" s="1072"/>
      <c r="G5092" s="1073"/>
      <c r="H5092" s="1074"/>
      <c r="I5092" s="995"/>
      <c r="J5092" s="996"/>
      <c r="K5092" s="997"/>
      <c r="L5092" s="99"/>
      <c r="M5092" s="100"/>
    </row>
    <row r="5093" spans="4:13" ht="25" thickBot="1">
      <c r="E5093" s="626" t="s">
        <v>434</v>
      </c>
      <c r="F5093" s="1063" t="s">
        <v>2136</v>
      </c>
      <c r="G5093" s="1064"/>
      <c r="H5093" s="1065"/>
      <c r="I5093" s="995"/>
      <c r="J5093" s="996"/>
      <c r="K5093" s="997"/>
      <c r="L5093" s="99"/>
      <c r="M5093" s="100"/>
    </row>
    <row r="5094" spans="4:13" ht="25" thickBot="1">
      <c r="E5094" s="627" t="s">
        <v>435</v>
      </c>
      <c r="F5094" s="1007">
        <v>0.58333333333333337</v>
      </c>
      <c r="G5094" s="1008"/>
      <c r="H5094" s="1009"/>
      <c r="I5094" s="995"/>
      <c r="J5094" s="996"/>
      <c r="K5094" s="997"/>
      <c r="L5094" s="647">
        <v>0.8125</v>
      </c>
      <c r="M5094" s="648">
        <v>0.70833333333333337</v>
      </c>
    </row>
    <row r="5095" spans="4:13" ht="25" thickBot="1">
      <c r="E5095" s="628" t="s">
        <v>436</v>
      </c>
      <c r="F5095" s="200" t="s">
        <v>29</v>
      </c>
      <c r="G5095" s="200" t="s">
        <v>28</v>
      </c>
      <c r="H5095" s="201" t="s">
        <v>27</v>
      </c>
      <c r="I5095" s="995"/>
      <c r="J5095" s="996"/>
      <c r="K5095" s="997"/>
      <c r="L5095" s="99"/>
      <c r="M5095" s="100"/>
    </row>
    <row r="5096" spans="4:13" ht="24">
      <c r="E5096" s="629">
        <v>45771</v>
      </c>
      <c r="F5096" s="634" t="s">
        <v>2137</v>
      </c>
      <c r="G5096" s="634" t="s">
        <v>1051</v>
      </c>
      <c r="H5096" s="634" t="s">
        <v>2138</v>
      </c>
      <c r="I5096" s="995"/>
      <c r="J5096" s="996"/>
      <c r="K5096" s="997"/>
      <c r="L5096" s="99"/>
      <c r="M5096" s="100"/>
    </row>
    <row r="5097" spans="4:13" ht="24">
      <c r="E5097" s="629">
        <v>45736</v>
      </c>
      <c r="F5097" s="634" t="s">
        <v>2004</v>
      </c>
      <c r="G5097" s="634" t="s">
        <v>1044</v>
      </c>
      <c r="H5097" s="634" t="s">
        <v>1541</v>
      </c>
      <c r="I5097" s="995"/>
      <c r="J5097" s="996"/>
      <c r="K5097" s="997"/>
      <c r="L5097" s="99"/>
      <c r="M5097" s="100"/>
    </row>
    <row r="5098" spans="4:13" ht="24">
      <c r="E5098" s="629">
        <v>45709</v>
      </c>
      <c r="F5098" s="634" t="s">
        <v>1050</v>
      </c>
      <c r="G5098" s="634" t="s">
        <v>2005</v>
      </c>
      <c r="H5098" s="634" t="s">
        <v>2006</v>
      </c>
      <c r="I5098" s="995"/>
      <c r="J5098" s="996"/>
      <c r="K5098" s="997"/>
      <c r="L5098" s="649"/>
      <c r="M5098" s="100"/>
    </row>
    <row r="5099" spans="4:13" ht="24">
      <c r="E5099" s="629">
        <v>45681</v>
      </c>
      <c r="F5099" s="634" t="s">
        <v>2007</v>
      </c>
      <c r="G5099" s="634" t="s">
        <v>2008</v>
      </c>
      <c r="H5099" s="634" t="s">
        <v>1540</v>
      </c>
      <c r="I5099" s="995"/>
      <c r="J5099" s="996"/>
      <c r="K5099" s="997"/>
      <c r="L5099" s="99"/>
      <c r="M5099" s="100"/>
    </row>
    <row r="5100" spans="4:13" ht="24">
      <c r="E5100" s="629">
        <v>45645</v>
      </c>
      <c r="F5100" s="634" t="s">
        <v>1540</v>
      </c>
      <c r="G5100" s="634" t="s">
        <v>1541</v>
      </c>
      <c r="H5100" s="634" t="s">
        <v>1043</v>
      </c>
      <c r="I5100" s="995"/>
      <c r="J5100" s="996"/>
      <c r="K5100" s="997"/>
      <c r="L5100" s="99"/>
      <c r="M5100" s="100"/>
    </row>
    <row r="5101" spans="4:13" ht="25" thickBot="1">
      <c r="E5101" s="629">
        <v>45617</v>
      </c>
      <c r="F5101" s="634" t="s">
        <v>1043</v>
      </c>
      <c r="G5101" s="634" t="s">
        <v>1044</v>
      </c>
      <c r="H5101" s="634" t="s">
        <v>1293</v>
      </c>
      <c r="I5101" s="998"/>
      <c r="J5101" s="999"/>
      <c r="K5101" s="1000"/>
      <c r="L5101" s="102"/>
      <c r="M5101" s="103"/>
    </row>
    <row r="5102" spans="4:13" ht="25" thickBot="1">
      <c r="D5102">
        <v>1</v>
      </c>
      <c r="E5102" s="756" t="s">
        <v>30</v>
      </c>
      <c r="F5102" s="1066" t="s">
        <v>2139</v>
      </c>
      <c r="G5102" s="1067"/>
      <c r="H5102" s="1068"/>
      <c r="I5102" s="1069" t="s">
        <v>633</v>
      </c>
      <c r="J5102" s="1070"/>
      <c r="K5102" s="1071"/>
      <c r="L5102" s="158" t="s">
        <v>430</v>
      </c>
      <c r="M5102" s="105" t="s">
        <v>431</v>
      </c>
    </row>
    <row r="5103" spans="4:13" ht="24">
      <c r="E5103" s="625" t="s">
        <v>432</v>
      </c>
      <c r="F5103" s="992"/>
      <c r="G5103" s="993"/>
      <c r="H5103" s="994"/>
      <c r="I5103" s="995" t="s">
        <v>1618</v>
      </c>
      <c r="J5103" s="996"/>
      <c r="K5103" s="997"/>
      <c r="L5103" s="99"/>
      <c r="M5103" s="100"/>
    </row>
    <row r="5104" spans="4:13" ht="24">
      <c r="E5104" s="626" t="s">
        <v>433</v>
      </c>
      <c r="F5104" s="1075">
        <v>0</v>
      </c>
      <c r="G5104" s="1073"/>
      <c r="H5104" s="1074"/>
      <c r="I5104" s="995"/>
      <c r="J5104" s="996"/>
      <c r="K5104" s="997"/>
      <c r="L5104" s="99"/>
      <c r="M5104" s="100"/>
    </row>
    <row r="5105" spans="4:13" ht="25" thickBot="1">
      <c r="E5105" s="626" t="s">
        <v>434</v>
      </c>
      <c r="F5105" s="1096">
        <v>2E-3</v>
      </c>
      <c r="G5105" s="1097"/>
      <c r="H5105" s="1098"/>
      <c r="I5105" s="995"/>
      <c r="J5105" s="996"/>
      <c r="K5105" s="997"/>
      <c r="L5105" s="99"/>
      <c r="M5105" s="100"/>
    </row>
    <row r="5106" spans="4:13" ht="25" thickBot="1">
      <c r="E5106" s="627" t="s">
        <v>435</v>
      </c>
      <c r="F5106" s="1007">
        <v>0.25</v>
      </c>
      <c r="G5106" s="1008"/>
      <c r="H5106" s="1009"/>
      <c r="I5106" s="995"/>
      <c r="J5106" s="996"/>
      <c r="K5106" s="997"/>
      <c r="L5106" s="647">
        <v>0.47916666666666669</v>
      </c>
      <c r="M5106" s="648">
        <v>0.375</v>
      </c>
    </row>
    <row r="5107" spans="4:13" ht="25" thickBot="1">
      <c r="E5107" s="628" t="s">
        <v>436</v>
      </c>
      <c r="F5107" s="200" t="s">
        <v>29</v>
      </c>
      <c r="G5107" s="200" t="s">
        <v>28</v>
      </c>
      <c r="H5107" s="201" t="s">
        <v>27</v>
      </c>
      <c r="I5107" s="995"/>
      <c r="J5107" s="996"/>
      <c r="K5107" s="997"/>
      <c r="L5107" s="99"/>
      <c r="M5107" s="100"/>
    </row>
    <row r="5108" spans="4:13" ht="23">
      <c r="E5108" s="629">
        <v>45777</v>
      </c>
      <c r="F5108" s="634">
        <v>2E-3</v>
      </c>
      <c r="G5108" s="634">
        <v>2E-3</v>
      </c>
      <c r="H5108" s="634">
        <v>-2E-3</v>
      </c>
      <c r="I5108" s="995"/>
      <c r="J5108" s="996"/>
      <c r="K5108" s="997"/>
      <c r="L5108" s="99"/>
      <c r="M5108" s="100"/>
    </row>
    <row r="5109" spans="4:13" ht="23">
      <c r="E5109" s="629">
        <v>45713</v>
      </c>
      <c r="F5109" s="634">
        <v>-2E-3</v>
      </c>
      <c r="G5109" s="634">
        <v>-2E-3</v>
      </c>
      <c r="H5109" s="634">
        <v>1E-3</v>
      </c>
      <c r="I5109" s="995"/>
      <c r="J5109" s="996"/>
      <c r="K5109" s="997"/>
      <c r="L5109" s="99"/>
      <c r="M5109" s="100"/>
    </row>
    <row r="5110" spans="4:13" ht="23">
      <c r="E5110" s="629">
        <v>45687</v>
      </c>
      <c r="F5110" s="634">
        <v>-2E-3</v>
      </c>
      <c r="G5110" s="634">
        <v>-1E-3</v>
      </c>
      <c r="H5110" s="634">
        <v>1E-3</v>
      </c>
      <c r="I5110" s="995"/>
      <c r="J5110" s="996"/>
      <c r="K5110" s="997"/>
      <c r="L5110" s="649"/>
      <c r="M5110" s="100"/>
    </row>
    <row r="5111" spans="4:13" ht="23">
      <c r="E5111" s="629">
        <v>45618</v>
      </c>
      <c r="F5111" s="634">
        <v>1E-3</v>
      </c>
      <c r="G5111" s="634">
        <v>2E-3</v>
      </c>
      <c r="H5111" s="634">
        <v>2E-3</v>
      </c>
      <c r="I5111" s="995"/>
      <c r="J5111" s="996"/>
      <c r="K5111" s="997"/>
      <c r="L5111" s="99"/>
      <c r="M5111" s="100"/>
    </row>
    <row r="5112" spans="4:13" ht="23">
      <c r="E5112" s="629">
        <v>45595</v>
      </c>
      <c r="F5112" s="634">
        <v>2E-3</v>
      </c>
      <c r="G5112" s="634">
        <v>-1E-3</v>
      </c>
      <c r="H5112" s="634">
        <v>-3.0000000000000001E-3</v>
      </c>
      <c r="I5112" s="995"/>
      <c r="J5112" s="996"/>
      <c r="K5112" s="997"/>
      <c r="L5112" s="99"/>
      <c r="M5112" s="100"/>
    </row>
    <row r="5113" spans="4:13" ht="24" thickBot="1">
      <c r="E5113" s="629">
        <v>45531</v>
      </c>
      <c r="F5113" s="634">
        <v>-1E-3</v>
      </c>
      <c r="G5113" s="634">
        <v>-1E-3</v>
      </c>
      <c r="H5113" s="634">
        <v>2E-3</v>
      </c>
      <c r="I5113" s="998"/>
      <c r="J5113" s="999"/>
      <c r="K5113" s="1000"/>
      <c r="L5113" s="102"/>
      <c r="M5113" s="103"/>
    </row>
    <row r="5114" spans="4:13" ht="25" thickBot="1">
      <c r="D5114">
        <v>1</v>
      </c>
      <c r="E5114" s="756" t="s">
        <v>30</v>
      </c>
      <c r="F5114" s="1066" t="s">
        <v>2140</v>
      </c>
      <c r="G5114" s="1067"/>
      <c r="H5114" s="1068"/>
      <c r="I5114" s="1069" t="s">
        <v>633</v>
      </c>
      <c r="J5114" s="1070"/>
      <c r="K5114" s="1071"/>
      <c r="L5114" s="158" t="s">
        <v>430</v>
      </c>
      <c r="M5114" s="105" t="s">
        <v>431</v>
      </c>
    </row>
    <row r="5115" spans="4:13" ht="24">
      <c r="E5115" s="625" t="s">
        <v>432</v>
      </c>
      <c r="F5115" s="992"/>
      <c r="G5115" s="993"/>
      <c r="H5115" s="994"/>
      <c r="I5115" s="995" t="s">
        <v>1682</v>
      </c>
      <c r="J5115" s="996"/>
      <c r="K5115" s="997"/>
      <c r="L5115" s="99"/>
      <c r="M5115" s="100"/>
    </row>
    <row r="5116" spans="4:13" ht="24">
      <c r="E5116" s="626" t="s">
        <v>433</v>
      </c>
      <c r="F5116" s="1072"/>
      <c r="G5116" s="1073"/>
      <c r="H5116" s="1074"/>
      <c r="I5116" s="995"/>
      <c r="J5116" s="996"/>
      <c r="K5116" s="997"/>
      <c r="L5116" s="99"/>
      <c r="M5116" s="100"/>
    </row>
    <row r="5117" spans="4:13" ht="25" thickBot="1">
      <c r="E5117" s="626" t="s">
        <v>434</v>
      </c>
      <c r="F5117" s="1063" t="s">
        <v>2141</v>
      </c>
      <c r="G5117" s="1064"/>
      <c r="H5117" s="1065"/>
      <c r="I5117" s="995"/>
      <c r="J5117" s="996"/>
      <c r="K5117" s="997"/>
      <c r="L5117" s="99"/>
      <c r="M5117" s="100"/>
    </row>
    <row r="5118" spans="4:13" ht="25" thickBot="1">
      <c r="E5118" s="627" t="s">
        <v>435</v>
      </c>
      <c r="F5118" s="1007">
        <v>0.58333333333333337</v>
      </c>
      <c r="G5118" s="1008"/>
      <c r="H5118" s="1009"/>
      <c r="I5118" s="995"/>
      <c r="J5118" s="996"/>
      <c r="K5118" s="997"/>
      <c r="L5118" s="647">
        <v>0.8125</v>
      </c>
      <c r="M5118" s="648">
        <v>0.70833333333333337</v>
      </c>
    </row>
    <row r="5119" spans="4:13" ht="25" thickBot="1">
      <c r="E5119" s="628" t="s">
        <v>436</v>
      </c>
      <c r="F5119" s="200" t="s">
        <v>29</v>
      </c>
      <c r="G5119" s="200" t="s">
        <v>28</v>
      </c>
      <c r="H5119" s="201" t="s">
        <v>27</v>
      </c>
      <c r="I5119" s="995"/>
      <c r="J5119" s="996"/>
      <c r="K5119" s="997"/>
      <c r="L5119" s="99"/>
      <c r="M5119" s="100"/>
    </row>
    <row r="5120" spans="4:13" ht="24">
      <c r="E5120" s="629">
        <v>45770</v>
      </c>
      <c r="F5120" s="202" t="s">
        <v>2142</v>
      </c>
      <c r="G5120" s="202" t="s">
        <v>2143</v>
      </c>
      <c r="H5120" s="202" t="s">
        <v>1651</v>
      </c>
      <c r="I5120" s="995"/>
      <c r="J5120" s="996"/>
      <c r="K5120" s="997"/>
      <c r="L5120" s="99"/>
      <c r="M5120" s="100"/>
    </row>
    <row r="5121" spans="3:13" ht="24">
      <c r="E5121" s="629">
        <v>45741</v>
      </c>
      <c r="F5121" s="202" t="s">
        <v>2001</v>
      </c>
      <c r="G5121" s="202" t="s">
        <v>2002</v>
      </c>
      <c r="H5121" s="202" t="s">
        <v>1532</v>
      </c>
      <c r="I5121" s="995"/>
      <c r="J5121" s="996"/>
      <c r="K5121" s="997"/>
      <c r="L5121" s="99"/>
      <c r="M5121" s="100"/>
    </row>
    <row r="5122" spans="3:13" ht="24">
      <c r="E5122" s="629">
        <v>45714</v>
      </c>
      <c r="F5122" s="202" t="s">
        <v>1693</v>
      </c>
      <c r="G5122" s="202" t="s">
        <v>1694</v>
      </c>
      <c r="H5122" s="202" t="s">
        <v>1695</v>
      </c>
      <c r="I5122" s="995"/>
      <c r="J5122" s="996"/>
      <c r="K5122" s="997"/>
      <c r="L5122" s="649"/>
      <c r="M5122" s="100"/>
    </row>
    <row r="5123" spans="3:13" ht="24">
      <c r="E5123" s="629">
        <v>45684</v>
      </c>
      <c r="F5123" s="202" t="s">
        <v>1106</v>
      </c>
      <c r="G5123" s="202" t="s">
        <v>1650</v>
      </c>
      <c r="H5123" s="202" t="s">
        <v>1651</v>
      </c>
      <c r="I5123" s="995"/>
      <c r="J5123" s="996"/>
      <c r="K5123" s="997"/>
      <c r="L5123" s="99"/>
      <c r="M5123" s="100"/>
    </row>
    <row r="5124" spans="3:13" ht="24">
      <c r="E5124" s="629">
        <v>45649</v>
      </c>
      <c r="F5124" s="202" t="s">
        <v>1532</v>
      </c>
      <c r="G5124" s="202" t="s">
        <v>1533</v>
      </c>
      <c r="H5124" s="202" t="s">
        <v>1534</v>
      </c>
      <c r="I5124" s="995"/>
      <c r="J5124" s="996"/>
      <c r="K5124" s="997"/>
      <c r="L5124" s="99"/>
      <c r="M5124" s="100"/>
    </row>
    <row r="5125" spans="3:13" ht="25" thickBot="1">
      <c r="E5125" s="629">
        <v>45622</v>
      </c>
      <c r="F5125" s="202" t="s">
        <v>1316</v>
      </c>
      <c r="G5125" s="202" t="s">
        <v>1317</v>
      </c>
      <c r="H5125" s="202" t="s">
        <v>1092</v>
      </c>
      <c r="I5125" s="998"/>
      <c r="J5125" s="999"/>
      <c r="K5125" s="1000"/>
      <c r="L5125" s="102"/>
      <c r="M5125" s="103"/>
    </row>
    <row r="5126" spans="3:13" ht="25" customHeight="1" thickBot="1">
      <c r="C5126" t="s">
        <v>105</v>
      </c>
      <c r="D5126">
        <v>1</v>
      </c>
      <c r="E5126" s="628" t="s">
        <v>30</v>
      </c>
      <c r="F5126" s="986" t="s">
        <v>2148</v>
      </c>
      <c r="G5126" s="987"/>
      <c r="H5126" s="988"/>
      <c r="I5126" s="989" t="s">
        <v>633</v>
      </c>
      <c r="J5126" s="990"/>
      <c r="K5126" s="991"/>
      <c r="L5126" s="658" t="s">
        <v>430</v>
      </c>
      <c r="M5126" s="659" t="s">
        <v>431</v>
      </c>
    </row>
    <row r="5127" spans="3:13" ht="24">
      <c r="E5127" s="625" t="s">
        <v>432</v>
      </c>
      <c r="F5127" s="992"/>
      <c r="G5127" s="993"/>
      <c r="H5127" s="994"/>
      <c r="I5127" s="995" t="s">
        <v>2149</v>
      </c>
      <c r="J5127" s="996"/>
      <c r="K5127" s="997"/>
      <c r="L5127" s="99"/>
      <c r="M5127" s="100"/>
    </row>
    <row r="5128" spans="3:13" ht="24">
      <c r="E5128" s="626" t="s">
        <v>433</v>
      </c>
      <c r="F5128" s="1001"/>
      <c r="G5128" s="1002"/>
      <c r="H5128" s="1003"/>
      <c r="I5128" s="995"/>
      <c r="J5128" s="996"/>
      <c r="K5128" s="997"/>
      <c r="L5128" s="99"/>
      <c r="M5128" s="100"/>
    </row>
    <row r="5129" spans="3:13" ht="25" thickBot="1">
      <c r="E5129" s="626" t="s">
        <v>434</v>
      </c>
      <c r="F5129" s="1004"/>
      <c r="G5129" s="1005"/>
      <c r="H5129" s="1006"/>
      <c r="I5129" s="995"/>
      <c r="J5129" s="996"/>
      <c r="K5129" s="997"/>
      <c r="L5129" s="99"/>
      <c r="M5129" s="100"/>
    </row>
    <row r="5130" spans="3:13" ht="25" thickBot="1">
      <c r="E5130" s="627" t="s">
        <v>435</v>
      </c>
      <c r="F5130" s="1007">
        <v>0.77777777777777779</v>
      </c>
      <c r="G5130" s="1008"/>
      <c r="H5130" s="1009"/>
      <c r="I5130" s="995"/>
      <c r="J5130" s="996"/>
      <c r="K5130" s="997"/>
      <c r="L5130" s="647">
        <v>6.9444444444444441E-3</v>
      </c>
      <c r="M5130" s="648">
        <v>0.90277777777777779</v>
      </c>
    </row>
    <row r="5131" spans="3:13" ht="25" thickBot="1">
      <c r="E5131" s="628" t="s">
        <v>436</v>
      </c>
      <c r="F5131" s="200" t="s">
        <v>29</v>
      </c>
      <c r="G5131" s="200" t="s">
        <v>28</v>
      </c>
      <c r="H5131" s="201" t="s">
        <v>27</v>
      </c>
      <c r="I5131" s="995"/>
      <c r="J5131" s="996"/>
      <c r="K5131" s="997"/>
      <c r="L5131" s="99"/>
      <c r="M5131" s="100"/>
    </row>
    <row r="5132" spans="3:13" ht="23">
      <c r="E5132" s="629">
        <v>45792</v>
      </c>
      <c r="F5132" s="632"/>
      <c r="G5132" s="632"/>
      <c r="H5132" s="632"/>
      <c r="I5132" s="995"/>
      <c r="J5132" s="996"/>
      <c r="K5132" s="997"/>
      <c r="L5132" s="99"/>
      <c r="M5132" s="100"/>
    </row>
    <row r="5133" spans="3:13" ht="23">
      <c r="E5133" s="629">
        <v>45763</v>
      </c>
      <c r="F5133" s="632"/>
      <c r="G5133" s="632"/>
      <c r="H5133" s="632"/>
      <c r="I5133" s="995"/>
      <c r="J5133" s="996"/>
      <c r="K5133" s="997"/>
      <c r="L5133" s="99"/>
      <c r="M5133" s="100"/>
    </row>
    <row r="5134" spans="3:13" ht="23">
      <c r="E5134" s="629">
        <v>45751</v>
      </c>
      <c r="F5134" s="632"/>
      <c r="G5134" s="632"/>
      <c r="H5134" s="632"/>
      <c r="I5134" s="995"/>
      <c r="J5134" s="996"/>
      <c r="K5134" s="997"/>
      <c r="L5134" s="649"/>
      <c r="M5134" s="100"/>
    </row>
    <row r="5135" spans="3:13" ht="23">
      <c r="E5135" s="629">
        <v>45723</v>
      </c>
      <c r="F5135" s="632"/>
      <c r="G5135" s="632"/>
      <c r="H5135" s="632"/>
      <c r="I5135" s="995"/>
      <c r="J5135" s="996"/>
      <c r="K5135" s="997"/>
      <c r="L5135" s="99"/>
      <c r="M5135" s="100"/>
    </row>
    <row r="5136" spans="3:13" ht="23">
      <c r="E5136" s="629">
        <v>45631</v>
      </c>
      <c r="F5136" s="632"/>
      <c r="G5136" s="632"/>
      <c r="H5136" s="632"/>
      <c r="I5136" s="995"/>
      <c r="J5136" s="996"/>
      <c r="K5136" s="997"/>
      <c r="L5136" s="99"/>
      <c r="M5136" s="100"/>
    </row>
    <row r="5137" spans="4:13" ht="24" thickBot="1">
      <c r="E5137" s="629">
        <v>45611</v>
      </c>
      <c r="F5137" s="632"/>
      <c r="G5137" s="632"/>
      <c r="H5137" s="632"/>
      <c r="I5137" s="998"/>
      <c r="J5137" s="999"/>
      <c r="K5137" s="1000"/>
      <c r="L5137" s="102"/>
      <c r="M5137" s="103"/>
    </row>
    <row r="5138" spans="4:13" ht="25" thickBot="1">
      <c r="D5138">
        <v>1</v>
      </c>
      <c r="E5138" s="628" t="s">
        <v>30</v>
      </c>
      <c r="F5138" s="986" t="s">
        <v>2150</v>
      </c>
      <c r="G5138" s="987"/>
      <c r="H5138" s="988"/>
      <c r="I5138" s="989" t="s">
        <v>633</v>
      </c>
      <c r="J5138" s="990"/>
      <c r="K5138" s="991"/>
      <c r="L5138" s="658" t="s">
        <v>430</v>
      </c>
      <c r="M5138" s="659" t="s">
        <v>431</v>
      </c>
    </row>
    <row r="5139" spans="4:13" ht="24">
      <c r="E5139" s="625" t="s">
        <v>432</v>
      </c>
      <c r="F5139" s="992"/>
      <c r="G5139" s="993"/>
      <c r="H5139" s="994"/>
      <c r="I5139" s="995" t="s">
        <v>1631</v>
      </c>
      <c r="J5139" s="996"/>
      <c r="K5139" s="997"/>
      <c r="L5139" s="99"/>
      <c r="M5139" s="100"/>
    </row>
    <row r="5140" spans="4:13" ht="24">
      <c r="E5140" s="626" t="s">
        <v>433</v>
      </c>
      <c r="F5140" s="1001"/>
      <c r="G5140" s="1002"/>
      <c r="H5140" s="1003"/>
      <c r="I5140" s="995"/>
      <c r="J5140" s="996"/>
      <c r="K5140" s="997"/>
      <c r="L5140" s="99"/>
      <c r="M5140" s="100"/>
    </row>
    <row r="5141" spans="4:13" ht="25" thickBot="1">
      <c r="E5141" s="626" t="s">
        <v>434</v>
      </c>
      <c r="F5141" s="1004">
        <v>9.1999999999999998E-2</v>
      </c>
      <c r="G5141" s="1005"/>
      <c r="H5141" s="1006"/>
      <c r="I5141" s="995"/>
      <c r="J5141" s="996"/>
      <c r="K5141" s="997"/>
      <c r="L5141" s="99"/>
      <c r="M5141" s="100"/>
    </row>
    <row r="5142" spans="4:13" ht="25" thickBot="1">
      <c r="E5142" s="627" t="s">
        <v>435</v>
      </c>
      <c r="F5142" s="1007">
        <v>0.52083333333333337</v>
      </c>
      <c r="G5142" s="1008"/>
      <c r="H5142" s="1009"/>
      <c r="I5142" s="995"/>
      <c r="J5142" s="996"/>
      <c r="K5142" s="997"/>
      <c r="L5142" s="647">
        <v>0.75</v>
      </c>
      <c r="M5142" s="648">
        <v>0.64583333333333337</v>
      </c>
    </row>
    <row r="5143" spans="4:13" ht="25" thickBot="1">
      <c r="E5143" s="628" t="s">
        <v>436</v>
      </c>
      <c r="F5143" s="200" t="s">
        <v>29</v>
      </c>
      <c r="G5143" s="200" t="s">
        <v>28</v>
      </c>
      <c r="H5143" s="201" t="s">
        <v>27</v>
      </c>
      <c r="I5143" s="995"/>
      <c r="J5143" s="996"/>
      <c r="K5143" s="997"/>
      <c r="L5143" s="99"/>
      <c r="M5143" s="100"/>
    </row>
    <row r="5144" spans="4:13" ht="23">
      <c r="E5144" s="629">
        <v>45771</v>
      </c>
      <c r="F5144" s="632">
        <v>9.1999999999999998E-2</v>
      </c>
      <c r="G5144" s="632">
        <v>2.1000000000000001E-2</v>
      </c>
      <c r="H5144" s="632">
        <v>8.9999999999999993E-3</v>
      </c>
      <c r="I5144" s="995"/>
      <c r="J5144" s="996"/>
      <c r="K5144" s="997"/>
      <c r="L5144" s="99"/>
      <c r="M5144" s="100"/>
    </row>
    <row r="5145" spans="4:13" ht="23">
      <c r="E5145" s="629">
        <v>45742</v>
      </c>
      <c r="F5145" s="632">
        <v>8.9999999999999993E-3</v>
      </c>
      <c r="G5145" s="632">
        <v>-1.0999999999999999E-2</v>
      </c>
      <c r="H5145" s="632">
        <v>3.3000000000000002E-2</v>
      </c>
      <c r="I5145" s="995"/>
      <c r="J5145" s="996"/>
      <c r="K5145" s="997"/>
      <c r="L5145" s="99"/>
      <c r="M5145" s="100"/>
    </row>
    <row r="5146" spans="4:13" ht="23">
      <c r="E5146" s="629">
        <v>45715</v>
      </c>
      <c r="F5146" s="632">
        <v>3.1E-2</v>
      </c>
      <c r="G5146" s="632">
        <v>0.02</v>
      </c>
      <c r="H5146" s="632">
        <v>-1.7999999999999999E-2</v>
      </c>
      <c r="I5146" s="995"/>
      <c r="J5146" s="996"/>
      <c r="K5146" s="997"/>
      <c r="L5146" s="649"/>
      <c r="M5146" s="100"/>
    </row>
    <row r="5147" spans="4:13" ht="23">
      <c r="E5147" s="629">
        <v>45685</v>
      </c>
      <c r="F5147" s="632">
        <v>-2.1999999999999999E-2</v>
      </c>
      <c r="G5147" s="632">
        <v>3.0000000000000001E-3</v>
      </c>
      <c r="H5147" s="632">
        <v>-0.02</v>
      </c>
      <c r="I5147" s="995"/>
      <c r="J5147" s="996"/>
      <c r="K5147" s="997"/>
      <c r="L5147" s="99"/>
      <c r="M5147" s="100"/>
    </row>
    <row r="5148" spans="4:13" ht="23">
      <c r="E5148" s="629">
        <v>45649</v>
      </c>
      <c r="F5148" s="632">
        <v>-1.0999999999999999E-2</v>
      </c>
      <c r="G5148" s="632">
        <v>-3.0000000000000001E-3</v>
      </c>
      <c r="H5148" s="632">
        <v>8.0000000000000002E-3</v>
      </c>
      <c r="I5148" s="995"/>
      <c r="J5148" s="996"/>
      <c r="K5148" s="997"/>
      <c r="L5148" s="99"/>
      <c r="M5148" s="100"/>
    </row>
    <row r="5149" spans="4:13" ht="24" thickBot="1">
      <c r="E5149" s="629">
        <v>45623</v>
      </c>
      <c r="F5149" s="632">
        <v>2E-3</v>
      </c>
      <c r="G5149" s="632">
        <v>-8.0000000000000002E-3</v>
      </c>
      <c r="H5149" s="632">
        <v>-4.0000000000000001E-3</v>
      </c>
      <c r="I5149" s="998"/>
      <c r="J5149" s="999"/>
      <c r="K5149" s="1000"/>
      <c r="L5149" s="102"/>
      <c r="M5149" s="103"/>
    </row>
    <row r="5150" spans="4:13" ht="25" thickBot="1">
      <c r="D5150">
        <v>1</v>
      </c>
      <c r="E5150" s="628" t="s">
        <v>30</v>
      </c>
      <c r="F5150" s="986" t="s">
        <v>2151</v>
      </c>
      <c r="G5150" s="987"/>
      <c r="H5150" s="988"/>
      <c r="I5150" s="989" t="s">
        <v>633</v>
      </c>
      <c r="J5150" s="990"/>
      <c r="K5150" s="991"/>
      <c r="L5150" s="658" t="s">
        <v>430</v>
      </c>
      <c r="M5150" s="659" t="s">
        <v>431</v>
      </c>
    </row>
    <row r="5151" spans="4:13" ht="24">
      <c r="E5151" s="625" t="s">
        <v>432</v>
      </c>
      <c r="F5151" s="992"/>
      <c r="G5151" s="993"/>
      <c r="H5151" s="994"/>
      <c r="I5151" s="995" t="s">
        <v>2152</v>
      </c>
      <c r="J5151" s="996"/>
      <c r="K5151" s="997"/>
      <c r="L5151" s="99"/>
      <c r="M5151" s="100"/>
    </row>
    <row r="5152" spans="4:13" ht="24">
      <c r="E5152" s="626" t="s">
        <v>433</v>
      </c>
      <c r="F5152" s="1001"/>
      <c r="G5152" s="1002"/>
      <c r="H5152" s="1003"/>
      <c r="I5152" s="995"/>
      <c r="J5152" s="996"/>
      <c r="K5152" s="997"/>
      <c r="L5152" s="99"/>
      <c r="M5152" s="100"/>
    </row>
    <row r="5153" spans="4:13" ht="25" thickBot="1">
      <c r="E5153" s="626" t="s">
        <v>434</v>
      </c>
      <c r="F5153" s="1010">
        <v>86</v>
      </c>
      <c r="G5153" s="1002"/>
      <c r="H5153" s="1003"/>
      <c r="I5153" s="995"/>
      <c r="J5153" s="996"/>
      <c r="K5153" s="997"/>
      <c r="L5153" s="99"/>
      <c r="M5153" s="100"/>
    </row>
    <row r="5154" spans="4:13" ht="25" thickBot="1">
      <c r="E5154" s="627" t="s">
        <v>435</v>
      </c>
      <c r="F5154" s="1007">
        <v>0.58333333333333337</v>
      </c>
      <c r="G5154" s="1008"/>
      <c r="H5154" s="1009"/>
      <c r="I5154" s="995"/>
      <c r="J5154" s="996"/>
      <c r="K5154" s="997"/>
      <c r="L5154" s="647">
        <v>0.8125</v>
      </c>
      <c r="M5154" s="648">
        <v>0.70833333333333337</v>
      </c>
    </row>
    <row r="5155" spans="4:13" ht="25" thickBot="1">
      <c r="E5155" s="628" t="s">
        <v>436</v>
      </c>
      <c r="F5155" s="200" t="s">
        <v>29</v>
      </c>
      <c r="G5155" s="200" t="s">
        <v>28</v>
      </c>
      <c r="H5155" s="201" t="s">
        <v>27</v>
      </c>
      <c r="I5155" s="995"/>
      <c r="J5155" s="996"/>
      <c r="K5155" s="997"/>
      <c r="L5155" s="99"/>
      <c r="M5155" s="100"/>
    </row>
    <row r="5156" spans="4:13" ht="23">
      <c r="E5156" s="629">
        <v>45776</v>
      </c>
      <c r="F5156" s="636">
        <v>86</v>
      </c>
      <c r="G5156" s="636">
        <v>87.7</v>
      </c>
      <c r="H5156" s="636">
        <v>93.9</v>
      </c>
      <c r="I5156" s="995"/>
      <c r="J5156" s="996"/>
      <c r="K5156" s="997"/>
      <c r="L5156" s="99"/>
      <c r="M5156" s="100"/>
    </row>
    <row r="5157" spans="4:13" ht="23">
      <c r="E5157" s="629">
        <v>45741</v>
      </c>
      <c r="F5157" s="636">
        <v>92.9</v>
      </c>
      <c r="G5157" s="636">
        <v>94.2</v>
      </c>
      <c r="H5157" s="636">
        <v>100.1</v>
      </c>
      <c r="I5157" s="995"/>
      <c r="J5157" s="996"/>
      <c r="K5157" s="997"/>
      <c r="L5157" s="99"/>
      <c r="M5157" s="100"/>
    </row>
    <row r="5158" spans="4:13" ht="23">
      <c r="E5158" s="629">
        <v>45713</v>
      </c>
      <c r="F5158" s="636">
        <v>98.3</v>
      </c>
      <c r="G5158" s="636">
        <v>102.7</v>
      </c>
      <c r="H5158" s="636">
        <v>105.3</v>
      </c>
      <c r="I5158" s="995"/>
      <c r="J5158" s="996"/>
      <c r="K5158" s="997"/>
      <c r="L5158" s="649"/>
      <c r="M5158" s="100"/>
    </row>
    <row r="5159" spans="4:13" ht="23">
      <c r="E5159" s="629">
        <v>45685</v>
      </c>
      <c r="F5159" s="636">
        <v>104.1</v>
      </c>
      <c r="G5159" s="636">
        <v>105.7</v>
      </c>
      <c r="H5159" s="636">
        <v>109.5</v>
      </c>
      <c r="I5159" s="995"/>
      <c r="J5159" s="996"/>
      <c r="K5159" s="997"/>
      <c r="L5159" s="99"/>
      <c r="M5159" s="100"/>
    </row>
    <row r="5160" spans="4:13" ht="23">
      <c r="E5160" s="629">
        <v>45649</v>
      </c>
      <c r="F5160" s="636">
        <v>104.7</v>
      </c>
      <c r="G5160" s="636">
        <v>112.9</v>
      </c>
      <c r="H5160" s="636">
        <v>112.8</v>
      </c>
      <c r="I5160" s="995"/>
      <c r="J5160" s="996"/>
      <c r="K5160" s="997"/>
      <c r="L5160" s="99"/>
      <c r="M5160" s="100"/>
    </row>
    <row r="5161" spans="4:13" ht="24" thickBot="1">
      <c r="E5161" s="629">
        <v>45622</v>
      </c>
      <c r="F5161" s="636">
        <v>111.7</v>
      </c>
      <c r="G5161" s="636">
        <v>111.8</v>
      </c>
      <c r="H5161" s="636">
        <v>109.6</v>
      </c>
      <c r="I5161" s="998"/>
      <c r="J5161" s="999"/>
      <c r="K5161" s="1000"/>
      <c r="L5161" s="102"/>
      <c r="M5161" s="103"/>
    </row>
    <row r="5162" spans="4:13" ht="25" thickBot="1">
      <c r="D5162">
        <v>1</v>
      </c>
      <c r="E5162" s="628" t="s">
        <v>30</v>
      </c>
      <c r="F5162" s="986" t="s">
        <v>1897</v>
      </c>
      <c r="G5162" s="987"/>
      <c r="H5162" s="988"/>
      <c r="I5162" s="989" t="s">
        <v>633</v>
      </c>
      <c r="J5162" s="990"/>
      <c r="K5162" s="991"/>
      <c r="L5162" s="658" t="s">
        <v>430</v>
      </c>
      <c r="M5162" s="659" t="s">
        <v>431</v>
      </c>
    </row>
    <row r="5163" spans="4:13" ht="24">
      <c r="E5163" s="625" t="s">
        <v>432</v>
      </c>
      <c r="F5163" s="992"/>
      <c r="G5163" s="993"/>
      <c r="H5163" s="994"/>
      <c r="I5163" s="995" t="s">
        <v>2153</v>
      </c>
      <c r="J5163" s="996"/>
      <c r="K5163" s="997"/>
      <c r="L5163" s="99"/>
      <c r="M5163" s="100"/>
    </row>
    <row r="5164" spans="4:13" ht="24">
      <c r="E5164" s="626" t="s">
        <v>433</v>
      </c>
      <c r="F5164" s="1001"/>
      <c r="G5164" s="1002"/>
      <c r="H5164" s="1003"/>
      <c r="I5164" s="995"/>
      <c r="J5164" s="996"/>
      <c r="K5164" s="997"/>
      <c r="L5164" s="99"/>
      <c r="M5164" s="100"/>
    </row>
    <row r="5165" spans="4:13" ht="25" thickBot="1">
      <c r="E5165" s="626" t="s">
        <v>434</v>
      </c>
      <c r="F5165" s="1004">
        <v>3.5000000000000003E-2</v>
      </c>
      <c r="G5165" s="1005"/>
      <c r="H5165" s="1006"/>
      <c r="I5165" s="995"/>
      <c r="J5165" s="996"/>
      <c r="K5165" s="997"/>
      <c r="L5165" s="99"/>
      <c r="M5165" s="100"/>
    </row>
    <row r="5166" spans="4:13" ht="25" thickBot="1">
      <c r="E5166" s="627" t="s">
        <v>435</v>
      </c>
      <c r="F5166" s="1007">
        <v>8.3333333333333343E-2</v>
      </c>
      <c r="G5166" s="1008"/>
      <c r="H5166" s="1009"/>
      <c r="I5166" s="995"/>
      <c r="J5166" s="996"/>
      <c r="K5166" s="997"/>
      <c r="L5166" s="647">
        <v>0.3125</v>
      </c>
      <c r="M5166" s="648">
        <v>0.20833333333333331</v>
      </c>
    </row>
    <row r="5167" spans="4:13" ht="25" thickBot="1">
      <c r="E5167" s="628" t="s">
        <v>436</v>
      </c>
      <c r="F5167" s="200" t="s">
        <v>29</v>
      </c>
      <c r="G5167" s="200" t="s">
        <v>28</v>
      </c>
      <c r="H5167" s="201" t="s">
        <v>27</v>
      </c>
      <c r="I5167" s="995"/>
      <c r="J5167" s="996"/>
      <c r="K5167" s="997"/>
      <c r="L5167" s="99"/>
      <c r="M5167" s="100"/>
    </row>
    <row r="5168" spans="4:13" ht="23">
      <c r="E5168" s="629">
        <v>45756</v>
      </c>
      <c r="F5168" s="632">
        <v>3.5000000000000003E-2</v>
      </c>
      <c r="G5168" s="632">
        <v>3.5000000000000003E-2</v>
      </c>
      <c r="H5168" s="632">
        <v>3.7499999999999999E-2</v>
      </c>
      <c r="I5168" s="995"/>
      <c r="J5168" s="996"/>
      <c r="K5168" s="997"/>
      <c r="L5168" s="99"/>
      <c r="M5168" s="100"/>
    </row>
    <row r="5169" spans="4:13" ht="23">
      <c r="E5169" s="629">
        <v>45707</v>
      </c>
      <c r="F5169" s="632">
        <v>3.7499999999999999E-2</v>
      </c>
      <c r="G5169" s="632">
        <v>3.7499999999999999E-2</v>
      </c>
      <c r="H5169" s="632">
        <v>4.2500000000000003E-2</v>
      </c>
      <c r="I5169" s="995"/>
      <c r="J5169" s="996"/>
      <c r="K5169" s="997"/>
      <c r="L5169" s="99"/>
      <c r="M5169" s="100"/>
    </row>
    <row r="5170" spans="4:13" ht="23">
      <c r="E5170" s="629">
        <v>45623</v>
      </c>
      <c r="F5170" s="632">
        <v>4.2500000000000003E-2</v>
      </c>
      <c r="G5170" s="632">
        <v>4.2500000000000003E-2</v>
      </c>
      <c r="H5170" s="632">
        <v>4.7500000000000001E-2</v>
      </c>
      <c r="I5170" s="995"/>
      <c r="J5170" s="996"/>
      <c r="K5170" s="997"/>
      <c r="L5170" s="649"/>
      <c r="M5170" s="100"/>
    </row>
    <row r="5171" spans="4:13" ht="23">
      <c r="E5171" s="629">
        <v>45574</v>
      </c>
      <c r="F5171" s="632">
        <v>4.7500000000000001E-2</v>
      </c>
      <c r="G5171" s="632">
        <v>4.7500000000000001E-2</v>
      </c>
      <c r="H5171" s="632">
        <v>5.2499999999999998E-2</v>
      </c>
      <c r="I5171" s="995"/>
      <c r="J5171" s="996"/>
      <c r="K5171" s="997"/>
      <c r="L5171" s="99"/>
      <c r="M5171" s="100"/>
    </row>
    <row r="5172" spans="4:13" ht="23">
      <c r="E5172" s="629">
        <v>45518</v>
      </c>
      <c r="F5172" s="632">
        <v>5.2499999999999998E-2</v>
      </c>
      <c r="G5172" s="632">
        <v>5.5E-2</v>
      </c>
      <c r="H5172" s="632">
        <v>5.5E-2</v>
      </c>
      <c r="I5172" s="995"/>
      <c r="J5172" s="996"/>
      <c r="K5172" s="997"/>
      <c r="L5172" s="99"/>
      <c r="M5172" s="100"/>
    </row>
    <row r="5173" spans="4:13" ht="24" thickBot="1">
      <c r="E5173" s="629">
        <v>45483</v>
      </c>
      <c r="F5173" s="632">
        <v>5.5E-2</v>
      </c>
      <c r="G5173" s="632">
        <v>5.5E-2</v>
      </c>
      <c r="H5173" s="632">
        <v>5.5E-2</v>
      </c>
      <c r="I5173" s="998"/>
      <c r="J5173" s="999"/>
      <c r="K5173" s="1000"/>
      <c r="L5173" s="102"/>
      <c r="M5173" s="103"/>
    </row>
    <row r="5174" spans="4:13" ht="25" thickBot="1">
      <c r="D5174">
        <v>1</v>
      </c>
      <c r="E5174" s="628" t="s">
        <v>30</v>
      </c>
      <c r="F5174" s="986" t="s">
        <v>1902</v>
      </c>
      <c r="G5174" s="987"/>
      <c r="H5174" s="988"/>
      <c r="I5174" s="989" t="s">
        <v>633</v>
      </c>
      <c r="J5174" s="990"/>
      <c r="K5174" s="991"/>
      <c r="L5174" s="658" t="s">
        <v>430</v>
      </c>
      <c r="M5174" s="659" t="s">
        <v>431</v>
      </c>
    </row>
    <row r="5175" spans="4:13" ht="24">
      <c r="E5175" s="625" t="s">
        <v>432</v>
      </c>
      <c r="F5175" s="992"/>
      <c r="G5175" s="993"/>
      <c r="H5175" s="994"/>
      <c r="I5175" s="995" t="s">
        <v>2154</v>
      </c>
      <c r="J5175" s="996"/>
      <c r="K5175" s="997"/>
      <c r="L5175" s="99"/>
      <c r="M5175" s="100"/>
    </row>
    <row r="5176" spans="4:13" ht="24">
      <c r="E5176" s="626" t="s">
        <v>433</v>
      </c>
      <c r="F5176" s="1001"/>
      <c r="G5176" s="1002"/>
      <c r="H5176" s="1003"/>
      <c r="I5176" s="995"/>
      <c r="J5176" s="996"/>
      <c r="K5176" s="997"/>
      <c r="L5176" s="99"/>
      <c r="M5176" s="100"/>
    </row>
    <row r="5177" spans="4:13" ht="25" thickBot="1">
      <c r="E5177" s="626" t="s">
        <v>434</v>
      </c>
      <c r="F5177" s="1004"/>
      <c r="G5177" s="1005"/>
      <c r="H5177" s="1006"/>
      <c r="I5177" s="995"/>
      <c r="J5177" s="996"/>
      <c r="K5177" s="997"/>
      <c r="L5177" s="99"/>
      <c r="M5177" s="100"/>
    </row>
    <row r="5178" spans="4:13" ht="25" thickBot="1">
      <c r="E5178" s="627" t="s">
        <v>435</v>
      </c>
      <c r="F5178" s="1007">
        <v>0.75</v>
      </c>
      <c r="G5178" s="1008"/>
      <c r="H5178" s="1009"/>
      <c r="I5178" s="995"/>
      <c r="J5178" s="996"/>
      <c r="K5178" s="997"/>
      <c r="L5178" s="647">
        <v>0.97916666666666663</v>
      </c>
      <c r="M5178" s="648">
        <v>0.875</v>
      </c>
    </row>
    <row r="5179" spans="4:13" ht="25" thickBot="1">
      <c r="E5179" s="628" t="s">
        <v>436</v>
      </c>
      <c r="F5179" s="200" t="s">
        <v>29</v>
      </c>
      <c r="G5179" s="200" t="s">
        <v>28</v>
      </c>
      <c r="H5179" s="201" t="s">
        <v>27</v>
      </c>
      <c r="I5179" s="995"/>
      <c r="J5179" s="996"/>
      <c r="K5179" s="997"/>
      <c r="L5179" s="99"/>
      <c r="M5179" s="100"/>
    </row>
    <row r="5180" spans="4:13" ht="23">
      <c r="E5180" s="629">
        <v>45756</v>
      </c>
      <c r="F5180" s="632"/>
      <c r="G5180" s="632"/>
      <c r="H5180" s="632"/>
      <c r="I5180" s="995"/>
      <c r="J5180" s="996"/>
      <c r="K5180" s="997"/>
      <c r="L5180" s="99"/>
      <c r="M5180" s="100"/>
    </row>
    <row r="5181" spans="4:13" ht="23">
      <c r="E5181" s="802">
        <v>45707</v>
      </c>
      <c r="F5181" s="632"/>
      <c r="G5181" s="632"/>
      <c r="H5181" s="632"/>
      <c r="I5181" s="995"/>
      <c r="J5181" s="996"/>
      <c r="K5181" s="997"/>
      <c r="L5181" s="99"/>
      <c r="M5181" s="100"/>
    </row>
    <row r="5182" spans="4:13" ht="23">
      <c r="E5182" s="802">
        <v>45665</v>
      </c>
      <c r="F5182" s="632"/>
      <c r="G5182" s="632"/>
      <c r="H5182" s="632"/>
      <c r="I5182" s="995"/>
      <c r="J5182" s="996"/>
      <c r="K5182" s="997"/>
      <c r="L5182" s="649"/>
      <c r="M5182" s="100"/>
    </row>
    <row r="5183" spans="4:13" ht="23">
      <c r="E5183" s="802">
        <v>45622</v>
      </c>
      <c r="F5183" s="632"/>
      <c r="G5183" s="632"/>
      <c r="H5183" s="632"/>
      <c r="I5183" s="995"/>
      <c r="J5183" s="996"/>
      <c r="K5183" s="997"/>
      <c r="L5183" s="99"/>
      <c r="M5183" s="100"/>
    </row>
    <row r="5184" spans="4:13" ht="23">
      <c r="E5184" s="629">
        <v>45574</v>
      </c>
      <c r="F5184" s="632"/>
      <c r="G5184" s="632"/>
      <c r="H5184" s="632"/>
      <c r="I5184" s="995"/>
      <c r="J5184" s="996"/>
      <c r="K5184" s="997"/>
      <c r="L5184" s="99"/>
      <c r="M5184" s="100"/>
    </row>
    <row r="5185" spans="4:13" ht="24" thickBot="1">
      <c r="E5185" s="629">
        <v>45525</v>
      </c>
      <c r="F5185" s="632"/>
      <c r="G5185" s="632"/>
      <c r="H5185" s="632"/>
      <c r="I5185" s="998"/>
      <c r="J5185" s="999"/>
      <c r="K5185" s="1000"/>
      <c r="L5185" s="102"/>
      <c r="M5185" s="103"/>
    </row>
    <row r="5186" spans="4:13" ht="25" thickBot="1">
      <c r="D5186">
        <v>1</v>
      </c>
      <c r="E5186" s="696" t="s">
        <v>30</v>
      </c>
      <c r="F5186" s="1023" t="s">
        <v>2155</v>
      </c>
      <c r="G5186" s="1024"/>
      <c r="H5186" s="1025"/>
      <c r="I5186" s="1026" t="s">
        <v>633</v>
      </c>
      <c r="J5186" s="1027"/>
      <c r="K5186" s="1028"/>
      <c r="L5186" s="697" t="s">
        <v>430</v>
      </c>
      <c r="M5186" s="698" t="s">
        <v>431</v>
      </c>
    </row>
    <row r="5187" spans="4:13" ht="24">
      <c r="E5187" s="699" t="s">
        <v>432</v>
      </c>
      <c r="F5187" s="1029"/>
      <c r="G5187" s="1030"/>
      <c r="H5187" s="1031"/>
      <c r="I5187" s="1032" t="s">
        <v>1963</v>
      </c>
      <c r="J5187" s="1033"/>
      <c r="K5187" s="1034"/>
      <c r="L5187" s="700"/>
      <c r="M5187" s="701"/>
    </row>
    <row r="5188" spans="4:13" ht="24">
      <c r="E5188" s="702" t="s">
        <v>433</v>
      </c>
      <c r="F5188" s="1038"/>
      <c r="G5188" s="1047"/>
      <c r="H5188" s="1048"/>
      <c r="I5188" s="1032"/>
      <c r="J5188" s="1033"/>
      <c r="K5188" s="1034"/>
      <c r="L5188" s="700"/>
      <c r="M5188" s="701"/>
    </row>
    <row r="5189" spans="4:13" ht="25" thickBot="1">
      <c r="E5189" s="702" t="s">
        <v>434</v>
      </c>
      <c r="F5189" s="1041">
        <v>0</v>
      </c>
      <c r="G5189" s="1042"/>
      <c r="H5189" s="1043"/>
      <c r="I5189" s="1032"/>
      <c r="J5189" s="1033"/>
      <c r="K5189" s="1034"/>
      <c r="L5189" s="700"/>
      <c r="M5189" s="701"/>
    </row>
    <row r="5190" spans="4:13" ht="25" thickBot="1">
      <c r="E5190" s="703" t="s">
        <v>435</v>
      </c>
      <c r="F5190" s="1044" t="e">
        <v>#VALUE!</v>
      </c>
      <c r="G5190" s="1045"/>
      <c r="H5190" s="1046"/>
      <c r="I5190" s="1032"/>
      <c r="J5190" s="1033"/>
      <c r="K5190" s="1034"/>
      <c r="L5190" s="704" t="s">
        <v>1449</v>
      </c>
      <c r="M5190" s="705" t="e">
        <v>#VALUE!</v>
      </c>
    </row>
    <row r="5191" spans="4:13" ht="25" thickBot="1">
      <c r="E5191" s="696" t="s">
        <v>436</v>
      </c>
      <c r="F5191" s="706" t="s">
        <v>29</v>
      </c>
      <c r="G5191" s="706" t="s">
        <v>28</v>
      </c>
      <c r="H5191" s="707" t="s">
        <v>27</v>
      </c>
      <c r="I5191" s="1032"/>
      <c r="J5191" s="1033"/>
      <c r="K5191" s="1034"/>
      <c r="L5191" s="700"/>
      <c r="M5191" s="701"/>
    </row>
    <row r="5192" spans="4:13" ht="24">
      <c r="E5192" s="657">
        <v>45792</v>
      </c>
      <c r="F5192" s="795"/>
      <c r="G5192" s="795" t="s">
        <v>976</v>
      </c>
      <c r="H5192" s="795" t="s">
        <v>977</v>
      </c>
      <c r="I5192" s="1032"/>
      <c r="J5192" s="1033"/>
      <c r="K5192" s="1034"/>
      <c r="L5192" s="700"/>
      <c r="M5192" s="701"/>
    </row>
    <row r="5193" spans="4:13" ht="24">
      <c r="E5193" s="657">
        <v>45785</v>
      </c>
      <c r="F5193" s="795" t="s">
        <v>977</v>
      </c>
      <c r="G5193" s="795" t="s">
        <v>984</v>
      </c>
      <c r="H5193" s="795" t="s">
        <v>981</v>
      </c>
      <c r="I5193" s="1032"/>
      <c r="J5193" s="1033"/>
      <c r="K5193" s="1034"/>
      <c r="L5193" s="700"/>
      <c r="M5193" s="701"/>
    </row>
    <row r="5194" spans="4:13" ht="24">
      <c r="E5194" s="657">
        <v>45778</v>
      </c>
      <c r="F5194" s="795" t="s">
        <v>981</v>
      </c>
      <c r="G5194" s="795" t="s">
        <v>1032</v>
      </c>
      <c r="H5194" s="795" t="s">
        <v>973</v>
      </c>
      <c r="I5194" s="1032"/>
      <c r="J5194" s="1033"/>
      <c r="K5194" s="1034"/>
      <c r="L5194" s="709"/>
      <c r="M5194" s="701"/>
    </row>
    <row r="5195" spans="4:13" ht="24">
      <c r="E5195" s="657">
        <v>45771</v>
      </c>
      <c r="F5195" s="795" t="s">
        <v>986</v>
      </c>
      <c r="G5195" s="795" t="s">
        <v>986</v>
      </c>
      <c r="H5195" s="795" t="s">
        <v>975</v>
      </c>
      <c r="I5195" s="1032"/>
      <c r="J5195" s="1033"/>
      <c r="K5195" s="1034"/>
      <c r="L5195" s="700"/>
      <c r="M5195" s="701"/>
    </row>
    <row r="5196" spans="4:13" ht="24">
      <c r="E5196" s="657">
        <v>45764</v>
      </c>
      <c r="F5196" s="795" t="s">
        <v>1232</v>
      </c>
      <c r="G5196" s="795" t="s">
        <v>985</v>
      </c>
      <c r="H5196" s="795" t="s">
        <v>1032</v>
      </c>
      <c r="I5196" s="1032"/>
      <c r="J5196" s="1033"/>
      <c r="K5196" s="1034"/>
      <c r="L5196" s="700"/>
      <c r="M5196" s="701"/>
    </row>
    <row r="5197" spans="4:13" ht="25" thickBot="1">
      <c r="E5197" s="657">
        <v>45757</v>
      </c>
      <c r="F5197" s="795" t="s">
        <v>973</v>
      </c>
      <c r="G5197" s="795" t="s">
        <v>973</v>
      </c>
      <c r="H5197" s="795" t="s">
        <v>987</v>
      </c>
      <c r="I5197" s="1035"/>
      <c r="J5197" s="1036"/>
      <c r="K5197" s="1037"/>
      <c r="L5197" s="710"/>
      <c r="M5197" s="711"/>
    </row>
    <row r="5198" spans="4:13" ht="25" thickBot="1">
      <c r="D5198">
        <v>1</v>
      </c>
      <c r="E5198" s="696" t="s">
        <v>30</v>
      </c>
      <c r="F5198" s="1023" t="s">
        <v>2156</v>
      </c>
      <c r="G5198" s="1024"/>
      <c r="H5198" s="1025"/>
      <c r="I5198" s="1026" t="s">
        <v>633</v>
      </c>
      <c r="J5198" s="1027"/>
      <c r="K5198" s="1028"/>
      <c r="L5198" s="697" t="s">
        <v>430</v>
      </c>
      <c r="M5198" s="698" t="s">
        <v>431</v>
      </c>
    </row>
    <row r="5199" spans="4:13" ht="24">
      <c r="E5199" s="699" t="s">
        <v>432</v>
      </c>
      <c r="F5199" s="1051"/>
      <c r="G5199" s="1052"/>
      <c r="H5199" s="1053"/>
      <c r="I5199" s="1054" t="s">
        <v>1963</v>
      </c>
      <c r="J5199" s="1055"/>
      <c r="K5199" s="1056"/>
      <c r="L5199" s="700"/>
      <c r="M5199" s="701"/>
    </row>
    <row r="5200" spans="4:13" ht="24">
      <c r="E5200" s="702" t="s">
        <v>433</v>
      </c>
      <c r="F5200" s="1038"/>
      <c r="G5200" s="1039"/>
      <c r="H5200" s="1040"/>
      <c r="I5200" s="1032"/>
      <c r="J5200" s="1033"/>
      <c r="K5200" s="1034"/>
      <c r="L5200" s="700"/>
      <c r="M5200" s="701"/>
    </row>
    <row r="5201" spans="4:13" ht="25" thickBot="1">
      <c r="E5201" s="702" t="s">
        <v>434</v>
      </c>
      <c r="F5201" s="1221">
        <v>0</v>
      </c>
      <c r="G5201" s="1222"/>
      <c r="H5201" s="1223"/>
      <c r="I5201" s="1032"/>
      <c r="J5201" s="1033"/>
      <c r="K5201" s="1034"/>
      <c r="L5201" s="700"/>
      <c r="M5201" s="701"/>
    </row>
    <row r="5202" spans="4:13" ht="25" thickBot="1">
      <c r="E5202" s="703" t="s">
        <v>435</v>
      </c>
      <c r="F5202" s="1044" t="e">
        <v>#VALUE!</v>
      </c>
      <c r="G5202" s="1045"/>
      <c r="H5202" s="1046"/>
      <c r="I5202" s="1032"/>
      <c r="J5202" s="1033"/>
      <c r="K5202" s="1034"/>
      <c r="L5202" s="704" t="s">
        <v>1449</v>
      </c>
      <c r="M5202" s="705" t="e">
        <v>#VALUE!</v>
      </c>
    </row>
    <row r="5203" spans="4:13" ht="25" thickBot="1">
      <c r="E5203" s="696" t="s">
        <v>436</v>
      </c>
      <c r="F5203" s="706" t="s">
        <v>29</v>
      </c>
      <c r="G5203" s="706" t="s">
        <v>28</v>
      </c>
      <c r="H5203" s="707" t="s">
        <v>27</v>
      </c>
      <c r="I5203" s="1032"/>
      <c r="J5203" s="1033"/>
      <c r="K5203" s="1034"/>
      <c r="L5203" s="700"/>
      <c r="M5203" s="701"/>
    </row>
    <row r="5204" spans="4:13" ht="23">
      <c r="E5204" s="657">
        <v>45778</v>
      </c>
      <c r="F5204" s="797">
        <v>50.2</v>
      </c>
      <c r="G5204" s="797">
        <v>50.7</v>
      </c>
      <c r="H5204" s="797">
        <v>50.2</v>
      </c>
      <c r="I5204" s="1032"/>
      <c r="J5204" s="1033"/>
      <c r="K5204" s="1034"/>
      <c r="L5204" s="700"/>
      <c r="M5204" s="701"/>
    </row>
    <row r="5205" spans="4:13" ht="23">
      <c r="E5205" s="657">
        <v>45770</v>
      </c>
      <c r="F5205" s="797">
        <v>50.7</v>
      </c>
      <c r="G5205" s="797">
        <v>49</v>
      </c>
      <c r="H5205" s="797">
        <v>50.2</v>
      </c>
      <c r="I5205" s="1032"/>
      <c r="J5205" s="1033"/>
      <c r="K5205" s="1034"/>
      <c r="L5205" s="700"/>
      <c r="M5205" s="701"/>
    </row>
    <row r="5206" spans="4:13" ht="23">
      <c r="E5206" s="657">
        <v>45778</v>
      </c>
      <c r="F5206" s="797">
        <v>50.2</v>
      </c>
      <c r="G5206" s="797">
        <v>50.7</v>
      </c>
      <c r="H5206" s="797">
        <v>50.2</v>
      </c>
      <c r="I5206" s="1032"/>
      <c r="J5206" s="1033"/>
      <c r="K5206" s="1034"/>
      <c r="L5206" s="709"/>
      <c r="M5206" s="701"/>
    </row>
    <row r="5207" spans="4:13" ht="23">
      <c r="E5207" s="657">
        <v>45770</v>
      </c>
      <c r="F5207" s="797">
        <v>50.7</v>
      </c>
      <c r="G5207" s="797">
        <v>49</v>
      </c>
      <c r="H5207" s="797">
        <v>50.2</v>
      </c>
      <c r="I5207" s="1032"/>
      <c r="J5207" s="1033"/>
      <c r="K5207" s="1034"/>
      <c r="L5207" s="700"/>
      <c r="M5207" s="701"/>
    </row>
    <row r="5208" spans="4:13" ht="23">
      <c r="E5208" s="657">
        <v>45778</v>
      </c>
      <c r="F5208" s="797">
        <v>50.2</v>
      </c>
      <c r="G5208" s="797">
        <v>50.7</v>
      </c>
      <c r="H5208" s="797">
        <v>50.2</v>
      </c>
      <c r="I5208" s="1032"/>
      <c r="J5208" s="1033"/>
      <c r="K5208" s="1034"/>
      <c r="L5208" s="700"/>
      <c r="M5208" s="701"/>
    </row>
    <row r="5209" spans="4:13" ht="24" thickBot="1">
      <c r="E5209" s="657">
        <v>45770</v>
      </c>
      <c r="F5209" s="797">
        <v>50.7</v>
      </c>
      <c r="G5209" s="797">
        <v>49</v>
      </c>
      <c r="H5209" s="797">
        <v>50.2</v>
      </c>
      <c r="I5209" s="1035"/>
      <c r="J5209" s="1036"/>
      <c r="K5209" s="1037"/>
      <c r="L5209" s="710"/>
      <c r="M5209" s="711"/>
    </row>
    <row r="5210" spans="4:13" ht="25" thickBot="1">
      <c r="D5210">
        <v>1</v>
      </c>
      <c r="E5210" s="628" t="s">
        <v>30</v>
      </c>
      <c r="F5210" s="986" t="s">
        <v>2157</v>
      </c>
      <c r="G5210" s="987"/>
      <c r="H5210" s="988"/>
      <c r="I5210" s="989" t="s">
        <v>633</v>
      </c>
      <c r="J5210" s="990"/>
      <c r="K5210" s="991"/>
      <c r="L5210" s="658" t="s">
        <v>430</v>
      </c>
      <c r="M5210" s="659" t="s">
        <v>431</v>
      </c>
    </row>
    <row r="5211" spans="4:13" ht="24">
      <c r="E5211" s="625" t="s">
        <v>432</v>
      </c>
      <c r="F5211" s="992"/>
      <c r="G5211" s="993"/>
      <c r="H5211" s="994"/>
      <c r="I5211" s="995" t="s">
        <v>2158</v>
      </c>
      <c r="J5211" s="996"/>
      <c r="K5211" s="997"/>
      <c r="L5211" s="99"/>
      <c r="M5211" s="100"/>
    </row>
    <row r="5212" spans="4:13" ht="24">
      <c r="E5212" s="626" t="s">
        <v>433</v>
      </c>
      <c r="F5212" s="1010">
        <v>0.89</v>
      </c>
      <c r="G5212" s="1002"/>
      <c r="H5212" s="1003"/>
      <c r="I5212" s="995"/>
      <c r="J5212" s="996"/>
      <c r="K5212" s="997"/>
      <c r="L5212" s="99"/>
      <c r="M5212" s="100"/>
    </row>
    <row r="5213" spans="4:13" ht="25" thickBot="1">
      <c r="E5213" s="626" t="s">
        <v>434</v>
      </c>
      <c r="F5213" s="1010">
        <v>0.57999999999999996</v>
      </c>
      <c r="G5213" s="1002"/>
      <c r="H5213" s="1003"/>
      <c r="I5213" s="995"/>
      <c r="J5213" s="996"/>
      <c r="K5213" s="997"/>
      <c r="L5213" s="99"/>
      <c r="M5213" s="100"/>
    </row>
    <row r="5214" spans="4:13" ht="25" thickBot="1">
      <c r="E5214" s="627" t="s">
        <v>435</v>
      </c>
      <c r="F5214" s="1007">
        <v>0.83333333333333337</v>
      </c>
      <c r="G5214" s="1008"/>
      <c r="H5214" s="1009"/>
      <c r="I5214" s="995"/>
      <c r="J5214" s="996"/>
      <c r="K5214" s="997"/>
      <c r="L5214" s="647">
        <v>6.25E-2</v>
      </c>
      <c r="M5214" s="648">
        <v>0.95833333333333337</v>
      </c>
    </row>
    <row r="5215" spans="4:13" ht="25" thickBot="1">
      <c r="E5215" s="628" t="s">
        <v>436</v>
      </c>
      <c r="F5215" s="200" t="s">
        <v>29</v>
      </c>
      <c r="G5215" s="200" t="s">
        <v>28</v>
      </c>
      <c r="H5215" s="201" t="s">
        <v>27</v>
      </c>
      <c r="I5215" s="995"/>
      <c r="J5215" s="996"/>
      <c r="K5215" s="997"/>
      <c r="L5215" s="99"/>
      <c r="M5215" s="100"/>
    </row>
    <row r="5216" spans="4:13" ht="24">
      <c r="E5216" s="629">
        <v>45714</v>
      </c>
      <c r="F5216" s="803" t="s">
        <v>2174</v>
      </c>
      <c r="G5216" s="803" t="s">
        <v>2175</v>
      </c>
      <c r="H5216" s="803" t="s">
        <v>1764</v>
      </c>
      <c r="I5216" s="995"/>
      <c r="J5216" s="996"/>
      <c r="K5216" s="997"/>
      <c r="L5216" s="99"/>
      <c r="M5216" s="100"/>
    </row>
    <row r="5217" spans="4:13" ht="24">
      <c r="E5217" s="629">
        <v>45616</v>
      </c>
      <c r="F5217" s="803" t="s">
        <v>2175</v>
      </c>
      <c r="G5217" s="803" t="s">
        <v>2175</v>
      </c>
      <c r="H5217" s="803" t="s">
        <v>1776</v>
      </c>
      <c r="I5217" s="995"/>
      <c r="J5217" s="996"/>
      <c r="K5217" s="997"/>
      <c r="L5217" s="99"/>
      <c r="M5217" s="100"/>
    </row>
    <row r="5218" spans="4:13" ht="24">
      <c r="E5218" s="629">
        <v>45532</v>
      </c>
      <c r="F5218" s="803" t="s">
        <v>2176</v>
      </c>
      <c r="G5218" s="803" t="s">
        <v>2176</v>
      </c>
      <c r="H5218" s="803" t="s">
        <v>2177</v>
      </c>
      <c r="I5218" s="995"/>
      <c r="J5218" s="996"/>
      <c r="K5218" s="997"/>
      <c r="L5218" s="649"/>
      <c r="M5218" s="100"/>
    </row>
    <row r="5219" spans="4:13" ht="24">
      <c r="E5219" s="629">
        <v>45434</v>
      </c>
      <c r="F5219" s="803" t="s">
        <v>2178</v>
      </c>
      <c r="G5219" s="803" t="s">
        <v>2178</v>
      </c>
      <c r="H5219" s="803" t="s">
        <v>2179</v>
      </c>
      <c r="I5219" s="995"/>
      <c r="J5219" s="996"/>
      <c r="K5219" s="997"/>
      <c r="L5219" s="99"/>
      <c r="M5219" s="100"/>
    </row>
    <row r="5220" spans="4:13" ht="24">
      <c r="E5220" s="629">
        <v>45343</v>
      </c>
      <c r="F5220" s="803" t="s">
        <v>1764</v>
      </c>
      <c r="G5220" s="803" t="s">
        <v>1764</v>
      </c>
      <c r="H5220" s="803" t="s">
        <v>2180</v>
      </c>
      <c r="I5220" s="995"/>
      <c r="J5220" s="996"/>
      <c r="K5220" s="997"/>
      <c r="L5220" s="99"/>
      <c r="M5220" s="100"/>
    </row>
    <row r="5221" spans="4:13" ht="25" thickBot="1">
      <c r="E5221" s="629">
        <v>45251</v>
      </c>
      <c r="F5221" s="803" t="s">
        <v>1776</v>
      </c>
      <c r="G5221" s="803" t="s">
        <v>1776</v>
      </c>
      <c r="H5221" s="803" t="s">
        <v>2181</v>
      </c>
      <c r="I5221" s="998"/>
      <c r="J5221" s="999"/>
      <c r="K5221" s="1000"/>
      <c r="L5221" s="102"/>
      <c r="M5221" s="103"/>
    </row>
    <row r="5222" spans="4:13" ht="25" thickBot="1">
      <c r="D5222">
        <v>1</v>
      </c>
      <c r="E5222" s="628" t="s">
        <v>30</v>
      </c>
      <c r="F5222" s="986" t="s">
        <v>2159</v>
      </c>
      <c r="G5222" s="987"/>
      <c r="H5222" s="988"/>
      <c r="I5222" s="989" t="s">
        <v>633</v>
      </c>
      <c r="J5222" s="990"/>
      <c r="K5222" s="991"/>
      <c r="L5222" s="658" t="s">
        <v>430</v>
      </c>
      <c r="M5222" s="659" t="s">
        <v>431</v>
      </c>
    </row>
    <row r="5223" spans="4:13" ht="24">
      <c r="E5223" s="625" t="s">
        <v>432</v>
      </c>
      <c r="F5223" s="992"/>
      <c r="G5223" s="993"/>
      <c r="H5223" s="994"/>
      <c r="I5223" s="995" t="s">
        <v>2160</v>
      </c>
      <c r="J5223" s="996"/>
      <c r="K5223" s="997"/>
      <c r="L5223" s="99"/>
      <c r="M5223" s="100"/>
    </row>
    <row r="5224" spans="4:13" ht="24">
      <c r="E5224" s="626" t="s">
        <v>433</v>
      </c>
      <c r="F5224" s="1001"/>
      <c r="G5224" s="1002"/>
      <c r="H5224" s="1003"/>
      <c r="I5224" s="995"/>
      <c r="J5224" s="996"/>
      <c r="K5224" s="997"/>
      <c r="L5224" s="99"/>
      <c r="M5224" s="100"/>
    </row>
    <row r="5225" spans="4:13" ht="25" thickBot="1">
      <c r="E5225" s="626" t="s">
        <v>434</v>
      </c>
      <c r="F5225" s="1004">
        <v>2.4E-2</v>
      </c>
      <c r="G5225" s="1005"/>
      <c r="H5225" s="1006"/>
      <c r="I5225" s="995"/>
      <c r="J5225" s="996"/>
      <c r="K5225" s="997"/>
      <c r="L5225" s="99"/>
      <c r="M5225" s="100"/>
    </row>
    <row r="5226" spans="4:13" ht="25" thickBot="1">
      <c r="E5226" s="627" t="s">
        <v>435</v>
      </c>
      <c r="F5226" s="1007">
        <v>0.52083333333333337</v>
      </c>
      <c r="G5226" s="1008"/>
      <c r="H5226" s="1009"/>
      <c r="I5226" s="995"/>
      <c r="J5226" s="996"/>
      <c r="K5226" s="997"/>
      <c r="L5226" s="647">
        <v>0.75</v>
      </c>
      <c r="M5226" s="648">
        <v>0.64583333333333337</v>
      </c>
    </row>
    <row r="5227" spans="4:13" ht="25" thickBot="1">
      <c r="E5227" s="628" t="s">
        <v>436</v>
      </c>
      <c r="F5227" s="200" t="s">
        <v>29</v>
      </c>
      <c r="G5227" s="200" t="s">
        <v>28</v>
      </c>
      <c r="H5227" s="201" t="s">
        <v>27</v>
      </c>
      <c r="I5227" s="995"/>
      <c r="J5227" s="996"/>
      <c r="K5227" s="997"/>
      <c r="L5227" s="99"/>
      <c r="M5227" s="100"/>
    </row>
    <row r="5228" spans="4:13" ht="23">
      <c r="E5228" s="629">
        <v>45777</v>
      </c>
      <c r="F5228" s="632">
        <v>-3.0000000000000001E-3</v>
      </c>
      <c r="G5228" s="632">
        <v>2E-3</v>
      </c>
      <c r="H5228" s="632">
        <v>2.4E-2</v>
      </c>
      <c r="I5228" s="995"/>
      <c r="J5228" s="996"/>
      <c r="K5228" s="997"/>
      <c r="L5228" s="99"/>
      <c r="M5228" s="100"/>
    </row>
    <row r="5229" spans="4:13" ht="23">
      <c r="E5229" s="629">
        <v>45743</v>
      </c>
      <c r="F5229" s="632">
        <v>2.4E-2</v>
      </c>
      <c r="G5229" s="632">
        <v>2.3E-2</v>
      </c>
      <c r="H5229" s="632">
        <v>3.1E-2</v>
      </c>
      <c r="I5229" s="995"/>
      <c r="J5229" s="996"/>
      <c r="K5229" s="997"/>
      <c r="L5229" s="99"/>
      <c r="M5229" s="100"/>
    </row>
    <row r="5230" spans="4:13" ht="23">
      <c r="E5230" s="629">
        <v>45715</v>
      </c>
      <c r="F5230" s="632">
        <v>2.3E-2</v>
      </c>
      <c r="G5230" s="632">
        <v>2.3E-2</v>
      </c>
      <c r="H5230" s="632">
        <v>3.1E-2</v>
      </c>
      <c r="I5230" s="995"/>
      <c r="J5230" s="996"/>
      <c r="K5230" s="997"/>
      <c r="L5230" s="649"/>
      <c r="M5230" s="100"/>
    </row>
    <row r="5231" spans="4:13" ht="23">
      <c r="E5231" s="629">
        <v>45687</v>
      </c>
      <c r="F5231" s="632">
        <v>2.3E-2</v>
      </c>
      <c r="G5231" s="632">
        <v>2.7E-2</v>
      </c>
      <c r="H5231" s="632">
        <v>3.1E-2</v>
      </c>
      <c r="I5231" s="995"/>
      <c r="J5231" s="996"/>
      <c r="K5231" s="997"/>
      <c r="L5231" s="99"/>
      <c r="M5231" s="100"/>
    </row>
    <row r="5232" spans="4:13" ht="23">
      <c r="E5232" s="629">
        <v>45645</v>
      </c>
      <c r="F5232" s="632">
        <v>3.1E-2</v>
      </c>
      <c r="G5232" s="632">
        <v>2.8000000000000001E-2</v>
      </c>
      <c r="H5232" s="632">
        <v>0.03</v>
      </c>
      <c r="I5232" s="995"/>
      <c r="J5232" s="996"/>
      <c r="K5232" s="997"/>
      <c r="L5232" s="99"/>
      <c r="M5232" s="100"/>
    </row>
    <row r="5233" spans="4:13" ht="24" thickBot="1">
      <c r="E5233" s="629">
        <v>45623</v>
      </c>
      <c r="F5233" s="632">
        <v>2.8000000000000001E-2</v>
      </c>
      <c r="G5233" s="632">
        <v>2.8000000000000001E-2</v>
      </c>
      <c r="H5233" s="632">
        <v>0.03</v>
      </c>
      <c r="I5233" s="998"/>
      <c r="J5233" s="999"/>
      <c r="K5233" s="1000"/>
      <c r="L5233" s="102"/>
      <c r="M5233" s="103"/>
    </row>
    <row r="5234" spans="4:13" ht="25" thickBot="1">
      <c r="D5234">
        <v>1</v>
      </c>
      <c r="E5234" s="628" t="s">
        <v>30</v>
      </c>
      <c r="F5234" s="986" t="s">
        <v>1459</v>
      </c>
      <c r="G5234" s="987"/>
      <c r="H5234" s="988"/>
      <c r="I5234" s="989" t="s">
        <v>633</v>
      </c>
      <c r="J5234" s="990"/>
      <c r="K5234" s="991"/>
      <c r="L5234" s="658" t="s">
        <v>430</v>
      </c>
      <c r="M5234" s="659" t="s">
        <v>431</v>
      </c>
    </row>
    <row r="5235" spans="4:13" ht="24">
      <c r="E5235" s="625" t="s">
        <v>432</v>
      </c>
      <c r="F5235" s="992"/>
      <c r="G5235" s="993"/>
      <c r="H5235" s="994"/>
      <c r="I5235" s="995" t="s">
        <v>2161</v>
      </c>
      <c r="J5235" s="996"/>
      <c r="K5235" s="997"/>
      <c r="L5235" s="99"/>
      <c r="M5235" s="100"/>
    </row>
    <row r="5236" spans="4:13" ht="24">
      <c r="E5236" s="626" t="s">
        <v>433</v>
      </c>
      <c r="F5236" s="1001"/>
      <c r="G5236" s="1002"/>
      <c r="H5236" s="1003"/>
      <c r="I5236" s="995"/>
      <c r="J5236" s="996"/>
      <c r="K5236" s="997"/>
      <c r="L5236" s="99"/>
      <c r="M5236" s="100"/>
    </row>
    <row r="5237" spans="4:13" ht="25" thickBot="1">
      <c r="E5237" s="626" t="s">
        <v>434</v>
      </c>
      <c r="F5237" s="1004">
        <v>0</v>
      </c>
      <c r="G5237" s="1005"/>
      <c r="H5237" s="1006"/>
      <c r="I5237" s="995"/>
      <c r="J5237" s="996"/>
      <c r="K5237" s="997"/>
      <c r="L5237" s="99"/>
      <c r="M5237" s="100"/>
    </row>
    <row r="5238" spans="4:13" ht="25" thickBot="1">
      <c r="E5238" s="627" t="s">
        <v>435</v>
      </c>
      <c r="F5238" s="1007">
        <v>0.52083333333333337</v>
      </c>
      <c r="G5238" s="1008"/>
      <c r="H5238" s="1009"/>
      <c r="I5238" s="995"/>
      <c r="J5238" s="996"/>
      <c r="K5238" s="997"/>
      <c r="L5238" s="647">
        <v>0.75</v>
      </c>
      <c r="M5238" s="648">
        <v>0.64583333333333337</v>
      </c>
    </row>
    <row r="5239" spans="4:13" ht="25" thickBot="1">
      <c r="E5239" s="628" t="s">
        <v>436</v>
      </c>
      <c r="F5239" s="200" t="s">
        <v>29</v>
      </c>
      <c r="G5239" s="200" t="s">
        <v>28</v>
      </c>
      <c r="H5239" s="201" t="s">
        <v>27</v>
      </c>
      <c r="I5239" s="995"/>
      <c r="J5239" s="996"/>
      <c r="K5239" s="997"/>
      <c r="L5239" s="99"/>
      <c r="M5239" s="100"/>
    </row>
    <row r="5240" spans="4:13" ht="24">
      <c r="E5240" s="629">
        <v>45799</v>
      </c>
      <c r="F5240" s="632"/>
      <c r="G5240" s="632" t="s">
        <v>978</v>
      </c>
      <c r="H5240" s="632" t="s">
        <v>976</v>
      </c>
      <c r="I5240" s="995"/>
      <c r="J5240" s="996"/>
      <c r="K5240" s="997"/>
      <c r="L5240" s="99"/>
      <c r="M5240" s="100"/>
    </row>
    <row r="5241" spans="4:13" ht="24">
      <c r="E5241" s="629">
        <v>45792</v>
      </c>
      <c r="F5241" s="632" t="s">
        <v>976</v>
      </c>
      <c r="G5241" s="632" t="s">
        <v>976</v>
      </c>
      <c r="H5241" s="632" t="s">
        <v>976</v>
      </c>
      <c r="I5241" s="995"/>
      <c r="J5241" s="996"/>
      <c r="K5241" s="997"/>
      <c r="L5241" s="99"/>
      <c r="M5241" s="100"/>
    </row>
    <row r="5242" spans="4:13" ht="24">
      <c r="E5242" s="629">
        <v>45785</v>
      </c>
      <c r="F5242" s="632" t="s">
        <v>977</v>
      </c>
      <c r="G5242" s="632" t="s">
        <v>984</v>
      </c>
      <c r="H5242" s="632" t="s">
        <v>981</v>
      </c>
      <c r="I5242" s="995"/>
      <c r="J5242" s="996"/>
      <c r="K5242" s="997"/>
      <c r="L5242" s="649"/>
      <c r="M5242" s="100"/>
    </row>
    <row r="5243" spans="4:13" ht="24">
      <c r="E5243" s="629">
        <v>45778</v>
      </c>
      <c r="F5243" s="632" t="s">
        <v>981</v>
      </c>
      <c r="G5243" s="632" t="s">
        <v>1032</v>
      </c>
      <c r="H5243" s="632" t="s">
        <v>973</v>
      </c>
      <c r="I5243" s="995"/>
      <c r="J5243" s="996"/>
      <c r="K5243" s="997"/>
      <c r="L5243" s="99"/>
      <c r="M5243" s="100"/>
    </row>
    <row r="5244" spans="4:13" ht="24">
      <c r="E5244" s="629">
        <v>45771</v>
      </c>
      <c r="F5244" s="632" t="s">
        <v>986</v>
      </c>
      <c r="G5244" s="632" t="s">
        <v>986</v>
      </c>
      <c r="H5244" s="632" t="s">
        <v>975</v>
      </c>
      <c r="I5244" s="995"/>
      <c r="J5244" s="996"/>
      <c r="K5244" s="997"/>
      <c r="L5244" s="99"/>
      <c r="M5244" s="100"/>
    </row>
    <row r="5245" spans="4:13" ht="25" thickBot="1">
      <c r="E5245" s="629">
        <v>45764</v>
      </c>
      <c r="F5245" s="632" t="s">
        <v>1232</v>
      </c>
      <c r="G5245" s="632" t="s">
        <v>985</v>
      </c>
      <c r="H5245" s="632" t="s">
        <v>1032</v>
      </c>
      <c r="I5245" s="998"/>
      <c r="J5245" s="999"/>
      <c r="K5245" s="1000"/>
      <c r="L5245" s="102"/>
      <c r="M5245" s="103"/>
    </row>
    <row r="5246" spans="4:13" ht="25" thickBot="1">
      <c r="D5246">
        <v>1</v>
      </c>
      <c r="E5246" s="696" t="s">
        <v>30</v>
      </c>
      <c r="F5246" s="1023" t="s">
        <v>1461</v>
      </c>
      <c r="G5246" s="1024"/>
      <c r="H5246" s="1025"/>
      <c r="I5246" s="1026" t="s">
        <v>633</v>
      </c>
      <c r="J5246" s="1027"/>
      <c r="K5246" s="1028"/>
      <c r="L5246" s="658" t="s">
        <v>430</v>
      </c>
      <c r="M5246" s="659" t="s">
        <v>431</v>
      </c>
    </row>
    <row r="5247" spans="4:13" ht="24">
      <c r="E5247" s="699" t="s">
        <v>432</v>
      </c>
      <c r="F5247" s="1029"/>
      <c r="G5247" s="1030"/>
      <c r="H5247" s="1031"/>
      <c r="I5247" s="1032" t="s">
        <v>1678</v>
      </c>
      <c r="J5247" s="1033"/>
      <c r="K5247" s="1034"/>
      <c r="L5247" s="99"/>
      <c r="M5247" s="100"/>
    </row>
    <row r="5248" spans="4:13" ht="24">
      <c r="E5248" s="702" t="s">
        <v>433</v>
      </c>
      <c r="F5248" s="1038"/>
      <c r="G5248" s="1047"/>
      <c r="H5248" s="1048"/>
      <c r="I5248" s="1032"/>
      <c r="J5248" s="1033"/>
      <c r="K5248" s="1034"/>
      <c r="L5248" s="99"/>
      <c r="M5248" s="100"/>
    </row>
    <row r="5249" spans="4:13" ht="25" thickBot="1">
      <c r="E5249" s="702" t="s">
        <v>434</v>
      </c>
      <c r="F5249" s="1041" t="s">
        <v>2162</v>
      </c>
      <c r="G5249" s="1042"/>
      <c r="H5249" s="1043"/>
      <c r="I5249" s="1032"/>
      <c r="J5249" s="1033"/>
      <c r="K5249" s="1034"/>
      <c r="L5249" s="99"/>
      <c r="M5249" s="100"/>
    </row>
    <row r="5250" spans="4:13" ht="25" thickBot="1">
      <c r="E5250" s="703" t="s">
        <v>435</v>
      </c>
      <c r="F5250" s="1044">
        <v>0.625</v>
      </c>
      <c r="G5250" s="1045"/>
      <c r="H5250" s="1046"/>
      <c r="I5250" s="1032"/>
      <c r="J5250" s="1033"/>
      <c r="K5250" s="1034"/>
      <c r="L5250" s="647">
        <v>0.85416666666666663</v>
      </c>
      <c r="M5250" s="648">
        <v>0.75</v>
      </c>
    </row>
    <row r="5251" spans="4:13" ht="25" thickBot="1">
      <c r="E5251" s="696" t="s">
        <v>436</v>
      </c>
      <c r="F5251" s="706" t="s">
        <v>29</v>
      </c>
      <c r="G5251" s="706" t="s">
        <v>28</v>
      </c>
      <c r="H5251" s="707" t="s">
        <v>27</v>
      </c>
      <c r="I5251" s="1032"/>
      <c r="J5251" s="1033"/>
      <c r="K5251" s="1034"/>
      <c r="L5251" s="99"/>
      <c r="M5251" s="100"/>
    </row>
    <row r="5252" spans="4:13" ht="24">
      <c r="E5252" s="657">
        <v>45798</v>
      </c>
      <c r="F5252" s="795" t="s">
        <v>2182</v>
      </c>
      <c r="G5252" s="795" t="s">
        <v>2183</v>
      </c>
      <c r="H5252" s="795" t="s">
        <v>2127</v>
      </c>
      <c r="I5252" s="1032"/>
      <c r="J5252" s="1033"/>
      <c r="K5252" s="1034"/>
      <c r="L5252" s="99"/>
      <c r="M5252" s="100"/>
    </row>
    <row r="5253" spans="4:13" ht="24">
      <c r="E5253" s="657">
        <v>45791</v>
      </c>
      <c r="F5253" s="795" t="s">
        <v>2127</v>
      </c>
      <c r="G5253" s="795" t="s">
        <v>2128</v>
      </c>
      <c r="H5253" s="795" t="s">
        <v>2129</v>
      </c>
      <c r="I5253" s="1032"/>
      <c r="J5253" s="1033"/>
      <c r="K5253" s="1034"/>
      <c r="L5253" s="99"/>
      <c r="M5253" s="100"/>
    </row>
    <row r="5254" spans="4:13" ht="24">
      <c r="E5254" s="657">
        <v>45784</v>
      </c>
      <c r="F5254" s="795" t="s">
        <v>2129</v>
      </c>
      <c r="G5254" s="795" t="s">
        <v>2130</v>
      </c>
      <c r="H5254" s="795" t="s">
        <v>2131</v>
      </c>
      <c r="I5254" s="1032"/>
      <c r="J5254" s="1033"/>
      <c r="K5254" s="1034"/>
      <c r="L5254" s="649"/>
      <c r="M5254" s="100"/>
    </row>
    <row r="5255" spans="4:13" ht="24">
      <c r="E5255" s="657">
        <v>45777</v>
      </c>
      <c r="F5255" s="795" t="s">
        <v>2131</v>
      </c>
      <c r="G5255" s="795" t="s">
        <v>2099</v>
      </c>
      <c r="H5255" s="795" t="s">
        <v>2064</v>
      </c>
      <c r="I5255" s="1032"/>
      <c r="J5255" s="1033"/>
      <c r="K5255" s="1034"/>
      <c r="L5255" s="99"/>
      <c r="M5255" s="100"/>
    </row>
    <row r="5256" spans="4:13" ht="24">
      <c r="E5256" s="657">
        <v>45770</v>
      </c>
      <c r="F5256" s="795" t="s">
        <v>2064</v>
      </c>
      <c r="G5256" s="795" t="s">
        <v>2065</v>
      </c>
      <c r="H5256" s="795" t="s">
        <v>2003</v>
      </c>
      <c r="I5256" s="1032"/>
      <c r="J5256" s="1033"/>
      <c r="K5256" s="1034"/>
      <c r="L5256" s="99"/>
      <c r="M5256" s="100"/>
    </row>
    <row r="5257" spans="4:13" ht="25" thickBot="1">
      <c r="E5257" s="657">
        <v>45763</v>
      </c>
      <c r="F5257" s="795" t="s">
        <v>2003</v>
      </c>
      <c r="G5257" s="795" t="s">
        <v>1030</v>
      </c>
      <c r="H5257" s="795" t="s">
        <v>1957</v>
      </c>
      <c r="I5257" s="1035"/>
      <c r="J5257" s="1036"/>
      <c r="K5257" s="1037"/>
      <c r="L5257" s="102"/>
      <c r="M5257" s="103"/>
    </row>
    <row r="5258" spans="4:13" ht="25" thickBot="1">
      <c r="D5258">
        <v>1</v>
      </c>
      <c r="E5258" s="628" t="s">
        <v>30</v>
      </c>
      <c r="F5258" s="986" t="s">
        <v>2163</v>
      </c>
      <c r="G5258" s="987"/>
      <c r="H5258" s="988"/>
      <c r="I5258" s="989" t="s">
        <v>633</v>
      </c>
      <c r="J5258" s="990"/>
      <c r="K5258" s="991"/>
      <c r="L5258" s="658" t="s">
        <v>430</v>
      </c>
      <c r="M5258" s="659" t="s">
        <v>431</v>
      </c>
    </row>
    <row r="5259" spans="4:13" ht="24">
      <c r="E5259" s="625" t="s">
        <v>432</v>
      </c>
      <c r="F5259" s="992"/>
      <c r="G5259" s="993"/>
      <c r="H5259" s="994"/>
      <c r="I5259" s="995" t="s">
        <v>2164</v>
      </c>
      <c r="J5259" s="996"/>
      <c r="K5259" s="997"/>
      <c r="L5259" s="99"/>
      <c r="M5259" s="100"/>
    </row>
    <row r="5260" spans="4:13" ht="24">
      <c r="E5260" s="626" t="s">
        <v>433</v>
      </c>
      <c r="F5260" s="1001"/>
      <c r="G5260" s="1002"/>
      <c r="H5260" s="1003"/>
      <c r="I5260" s="995"/>
      <c r="J5260" s="996"/>
      <c r="K5260" s="997"/>
      <c r="L5260" s="99"/>
      <c r="M5260" s="100"/>
    </row>
    <row r="5261" spans="4:13" ht="25" thickBot="1">
      <c r="E5261" s="626" t="s">
        <v>434</v>
      </c>
      <c r="F5261" s="1004">
        <v>4.0000000000000001E-3</v>
      </c>
      <c r="G5261" s="1005"/>
      <c r="H5261" s="1006"/>
      <c r="I5261" s="995"/>
      <c r="J5261" s="996"/>
      <c r="K5261" s="997"/>
      <c r="L5261" s="99"/>
      <c r="M5261" s="100"/>
    </row>
    <row r="5262" spans="4:13" ht="25" thickBot="1">
      <c r="E5262" s="627" t="s">
        <v>435</v>
      </c>
      <c r="F5262" s="1007">
        <v>0.5</v>
      </c>
      <c r="G5262" s="1008"/>
      <c r="H5262" s="1009"/>
      <c r="I5262" s="995"/>
      <c r="J5262" s="996"/>
      <c r="K5262" s="997"/>
      <c r="L5262" s="647">
        <v>0.72916666666666663</v>
      </c>
      <c r="M5262" s="648">
        <v>0.625</v>
      </c>
    </row>
    <row r="5263" spans="4:13" ht="25" thickBot="1">
      <c r="E5263" s="628" t="s">
        <v>436</v>
      </c>
      <c r="F5263" s="200" t="s">
        <v>29</v>
      </c>
      <c r="G5263" s="200" t="s">
        <v>28</v>
      </c>
      <c r="H5263" s="201" t="s">
        <v>27</v>
      </c>
      <c r="I5263" s="995"/>
      <c r="J5263" s="996"/>
      <c r="K5263" s="997"/>
      <c r="L5263" s="99"/>
      <c r="M5263" s="100"/>
    </row>
    <row r="5264" spans="4:13" ht="23">
      <c r="E5264" s="629">
        <v>45791</v>
      </c>
      <c r="F5264" s="632">
        <v>4.0000000000000001E-3</v>
      </c>
      <c r="G5264" s="632">
        <v>4.0000000000000001E-3</v>
      </c>
      <c r="H5264" s="632">
        <v>3.0000000000000001E-3</v>
      </c>
      <c r="I5264" s="995"/>
      <c r="J5264" s="996"/>
      <c r="K5264" s="997"/>
      <c r="L5264" s="99"/>
      <c r="M5264" s="100"/>
    </row>
    <row r="5265" spans="4:13" ht="23">
      <c r="E5265" s="629">
        <v>45777</v>
      </c>
      <c r="F5265" s="632">
        <v>4.0000000000000001E-3</v>
      </c>
      <c r="G5265" s="632">
        <v>3.0000000000000001E-3</v>
      </c>
      <c r="H5265" s="632">
        <v>3.0000000000000001E-3</v>
      </c>
      <c r="I5265" s="995"/>
      <c r="J5265" s="996"/>
      <c r="K5265" s="997"/>
      <c r="L5265" s="99"/>
      <c r="M5265" s="100"/>
    </row>
    <row r="5266" spans="4:13" ht="23">
      <c r="E5266" s="629">
        <v>45758</v>
      </c>
      <c r="F5266" s="632">
        <v>3.0000000000000001E-3</v>
      </c>
      <c r="G5266" s="632">
        <v>3.0000000000000001E-3</v>
      </c>
      <c r="H5266" s="632">
        <v>4.0000000000000001E-3</v>
      </c>
      <c r="I5266" s="995"/>
      <c r="J5266" s="996"/>
      <c r="K5266" s="997"/>
      <c r="L5266" s="649"/>
      <c r="M5266" s="100"/>
    </row>
    <row r="5267" spans="4:13" ht="23">
      <c r="E5267" s="629">
        <v>45747</v>
      </c>
      <c r="F5267" s="632">
        <v>3.0000000000000001E-3</v>
      </c>
      <c r="G5267" s="632">
        <v>3.0000000000000001E-3</v>
      </c>
      <c r="H5267" s="632">
        <v>4.0000000000000001E-3</v>
      </c>
      <c r="I5267" s="995"/>
      <c r="J5267" s="996"/>
      <c r="K5267" s="997"/>
      <c r="L5267" s="99"/>
      <c r="M5267" s="100"/>
    </row>
    <row r="5268" spans="4:13" ht="23">
      <c r="E5268" s="629">
        <v>45730</v>
      </c>
      <c r="F5268" s="632">
        <v>4.0000000000000001E-3</v>
      </c>
      <c r="G5268" s="632">
        <v>4.0000000000000001E-3</v>
      </c>
      <c r="H5268" s="632">
        <v>-2E-3</v>
      </c>
      <c r="I5268" s="995"/>
      <c r="J5268" s="996"/>
      <c r="K5268" s="997"/>
      <c r="L5268" s="99"/>
      <c r="M5268" s="100"/>
    </row>
    <row r="5269" spans="4:13" ht="24" thickBot="1">
      <c r="E5269" s="629">
        <v>45716</v>
      </c>
      <c r="F5269" s="632">
        <v>4.0000000000000001E-3</v>
      </c>
      <c r="G5269" s="632">
        <v>4.0000000000000001E-3</v>
      </c>
      <c r="H5269" s="632">
        <v>-2E-3</v>
      </c>
      <c r="I5269" s="998"/>
      <c r="J5269" s="999"/>
      <c r="K5269" s="1000"/>
      <c r="L5269" s="102"/>
      <c r="M5269" s="103"/>
    </row>
    <row r="5270" spans="4:13" ht="25" thickBot="1">
      <c r="D5270">
        <v>1</v>
      </c>
      <c r="E5270" s="628" t="s">
        <v>30</v>
      </c>
      <c r="F5270" s="986" t="s">
        <v>2165</v>
      </c>
      <c r="G5270" s="987"/>
      <c r="H5270" s="988"/>
      <c r="I5270" s="989" t="s">
        <v>633</v>
      </c>
      <c r="J5270" s="990"/>
      <c r="K5270" s="991"/>
      <c r="L5270" s="658" t="s">
        <v>430</v>
      </c>
      <c r="M5270" s="659" t="s">
        <v>431</v>
      </c>
    </row>
    <row r="5271" spans="4:13" ht="24">
      <c r="E5271" s="625" t="s">
        <v>432</v>
      </c>
      <c r="F5271" s="992"/>
      <c r="G5271" s="993"/>
      <c r="H5271" s="994"/>
      <c r="I5271" s="995" t="s">
        <v>2166</v>
      </c>
      <c r="J5271" s="996"/>
      <c r="K5271" s="997"/>
      <c r="L5271" s="99"/>
      <c r="M5271" s="100"/>
    </row>
    <row r="5272" spans="4:13" ht="24">
      <c r="E5272" s="626" t="s">
        <v>433</v>
      </c>
      <c r="F5272" s="1010">
        <v>0</v>
      </c>
      <c r="G5272" s="1002"/>
      <c r="H5272" s="1003"/>
      <c r="I5272" s="995"/>
      <c r="J5272" s="996"/>
      <c r="K5272" s="997"/>
      <c r="L5272" s="99"/>
      <c r="M5272" s="100"/>
    </row>
    <row r="5273" spans="4:13" ht="25" thickBot="1">
      <c r="E5273" s="626" t="s">
        <v>434</v>
      </c>
      <c r="F5273" s="1093">
        <v>0</v>
      </c>
      <c r="G5273" s="1094"/>
      <c r="H5273" s="1095"/>
      <c r="I5273" s="995"/>
      <c r="J5273" s="996"/>
      <c r="K5273" s="997"/>
      <c r="L5273" s="99"/>
      <c r="M5273" s="100"/>
    </row>
    <row r="5274" spans="4:13" ht="25" thickBot="1">
      <c r="E5274" s="627" t="s">
        <v>435</v>
      </c>
      <c r="F5274" s="1007">
        <v>0.52083333333333337</v>
      </c>
      <c r="G5274" s="1008"/>
      <c r="H5274" s="1009"/>
      <c r="I5274" s="995"/>
      <c r="J5274" s="996"/>
      <c r="K5274" s="997"/>
      <c r="L5274" s="647">
        <v>0.75</v>
      </c>
      <c r="M5274" s="648">
        <v>0.64583333333333337</v>
      </c>
    </row>
    <row r="5275" spans="4:13" ht="25" thickBot="1">
      <c r="E5275" s="628" t="s">
        <v>436</v>
      </c>
      <c r="F5275" s="200" t="s">
        <v>29</v>
      </c>
      <c r="G5275" s="200" t="s">
        <v>28</v>
      </c>
      <c r="H5275" s="201" t="s">
        <v>27</v>
      </c>
      <c r="I5275" s="995"/>
      <c r="J5275" s="996"/>
      <c r="K5275" s="997"/>
      <c r="L5275" s="99"/>
      <c r="M5275" s="100"/>
    </row>
    <row r="5276" spans="4:13" ht="23">
      <c r="E5276" s="629">
        <v>45777</v>
      </c>
      <c r="F5276" s="632">
        <v>0</v>
      </c>
      <c r="G5276" s="632">
        <v>1E-3</v>
      </c>
      <c r="H5276" s="632">
        <v>5.0000000000000001E-3</v>
      </c>
      <c r="I5276" s="995"/>
      <c r="J5276" s="996"/>
      <c r="K5276" s="997"/>
      <c r="L5276" s="99"/>
      <c r="M5276" s="100"/>
    </row>
    <row r="5277" spans="4:13" ht="23">
      <c r="E5277" s="629">
        <v>45744</v>
      </c>
      <c r="F5277" s="632">
        <v>4.0000000000000001E-3</v>
      </c>
      <c r="G5277" s="632">
        <v>3.0000000000000001E-3</v>
      </c>
      <c r="H5277" s="632">
        <v>3.0000000000000001E-3</v>
      </c>
      <c r="I5277" s="995"/>
      <c r="J5277" s="996"/>
      <c r="K5277" s="997"/>
      <c r="L5277" s="99"/>
      <c r="M5277" s="100"/>
    </row>
    <row r="5278" spans="4:13" ht="23">
      <c r="E5278" s="629">
        <v>45716</v>
      </c>
      <c r="F5278" s="632">
        <v>3.0000000000000001E-3</v>
      </c>
      <c r="G5278" s="632">
        <v>3.0000000000000001E-3</v>
      </c>
      <c r="H5278" s="632">
        <v>2E-3</v>
      </c>
      <c r="I5278" s="995"/>
      <c r="J5278" s="996"/>
      <c r="K5278" s="997"/>
      <c r="L5278" s="649"/>
      <c r="M5278" s="100"/>
    </row>
    <row r="5279" spans="4:13" ht="23">
      <c r="E5279" s="629">
        <v>45688</v>
      </c>
      <c r="F5279" s="632">
        <v>2E-3</v>
      </c>
      <c r="G5279" s="632">
        <v>2E-3</v>
      </c>
      <c r="H5279" s="632">
        <v>1E-3</v>
      </c>
      <c r="I5279" s="995"/>
      <c r="J5279" s="996"/>
      <c r="K5279" s="997"/>
      <c r="L5279" s="99"/>
      <c r="M5279" s="100"/>
    </row>
    <row r="5280" spans="4:13" ht="23">
      <c r="E5280" s="629">
        <v>45646</v>
      </c>
      <c r="F5280" s="632">
        <v>1E-3</v>
      </c>
      <c r="G5280" s="632">
        <v>2E-3</v>
      </c>
      <c r="H5280" s="632">
        <v>3.0000000000000001E-3</v>
      </c>
      <c r="I5280" s="995"/>
      <c r="J5280" s="996"/>
      <c r="K5280" s="997"/>
      <c r="L5280" s="99"/>
      <c r="M5280" s="100"/>
    </row>
    <row r="5281" spans="4:13" ht="24" thickBot="1">
      <c r="E5281" s="629">
        <v>45623</v>
      </c>
      <c r="F5281" s="632">
        <v>3.0000000000000001E-3</v>
      </c>
      <c r="G5281" s="632">
        <v>3.0000000000000001E-3</v>
      </c>
      <c r="H5281" s="632">
        <v>3.0000000000000001E-3</v>
      </c>
      <c r="I5281" s="998"/>
      <c r="J5281" s="999"/>
      <c r="K5281" s="1000"/>
      <c r="L5281" s="102"/>
      <c r="M5281" s="103"/>
    </row>
    <row r="5282" spans="4:13" ht="25" thickBot="1">
      <c r="D5282">
        <v>1</v>
      </c>
      <c r="E5282" s="628" t="s">
        <v>30</v>
      </c>
      <c r="F5282" s="986" t="s">
        <v>2167</v>
      </c>
      <c r="G5282" s="987"/>
      <c r="H5282" s="988"/>
      <c r="I5282" s="989" t="s">
        <v>633</v>
      </c>
      <c r="J5282" s="990"/>
      <c r="K5282" s="991"/>
      <c r="L5282" s="658" t="s">
        <v>430</v>
      </c>
      <c r="M5282" s="659" t="s">
        <v>431</v>
      </c>
    </row>
    <row r="5283" spans="4:13" ht="24">
      <c r="E5283" s="625" t="s">
        <v>432</v>
      </c>
      <c r="F5283" s="992"/>
      <c r="G5283" s="993"/>
      <c r="H5283" s="994"/>
      <c r="I5283" s="995" t="s">
        <v>2170</v>
      </c>
      <c r="J5283" s="996"/>
      <c r="K5283" s="997"/>
      <c r="L5283" s="99"/>
      <c r="M5283" s="100"/>
    </row>
    <row r="5284" spans="4:13" ht="24">
      <c r="E5284" s="626" t="s">
        <v>433</v>
      </c>
      <c r="F5284" s="1010"/>
      <c r="G5284" s="1002"/>
      <c r="H5284" s="1003"/>
      <c r="I5284" s="995"/>
      <c r="J5284" s="996"/>
      <c r="K5284" s="997"/>
      <c r="L5284" s="99"/>
      <c r="M5284" s="100"/>
    </row>
    <row r="5285" spans="4:13" ht="25" thickBot="1">
      <c r="E5285" s="626" t="s">
        <v>434</v>
      </c>
      <c r="F5285" s="1093">
        <v>2.5999999999999999E-2</v>
      </c>
      <c r="G5285" s="1094"/>
      <c r="H5285" s="1095"/>
      <c r="I5285" s="995"/>
      <c r="J5285" s="996"/>
      <c r="K5285" s="997"/>
      <c r="L5285" s="99"/>
      <c r="M5285" s="100"/>
    </row>
    <row r="5286" spans="4:13" ht="25" thickBot="1">
      <c r="E5286" s="627" t="s">
        <v>435</v>
      </c>
      <c r="F5286" s="1007">
        <v>0.52083333333333337</v>
      </c>
      <c r="G5286" s="1008"/>
      <c r="H5286" s="1009"/>
      <c r="I5286" s="995"/>
      <c r="J5286" s="996"/>
      <c r="K5286" s="997"/>
      <c r="L5286" s="647">
        <v>0.75</v>
      </c>
      <c r="M5286" s="648">
        <v>0.64583333333333337</v>
      </c>
    </row>
    <row r="5287" spans="4:13" ht="25" thickBot="1">
      <c r="E5287" s="628" t="s">
        <v>436</v>
      </c>
      <c r="F5287" s="200" t="s">
        <v>29</v>
      </c>
      <c r="G5287" s="200" t="s">
        <v>28</v>
      </c>
      <c r="H5287" s="201" t="s">
        <v>27</v>
      </c>
      <c r="I5287" s="995"/>
      <c r="J5287" s="996"/>
      <c r="K5287" s="997"/>
      <c r="L5287" s="99"/>
      <c r="M5287" s="100"/>
    </row>
    <row r="5288" spans="4:13" ht="23">
      <c r="E5288" s="629">
        <v>45777</v>
      </c>
      <c r="F5288" s="632">
        <v>2.5999999999999999E-2</v>
      </c>
      <c r="G5288" s="632">
        <v>2.5999999999999999E-2</v>
      </c>
      <c r="H5288" s="632">
        <v>0.03</v>
      </c>
      <c r="I5288" s="995"/>
      <c r="J5288" s="996"/>
      <c r="K5288" s="997"/>
      <c r="L5288" s="99"/>
      <c r="M5288" s="100"/>
    </row>
    <row r="5289" spans="4:13" ht="23">
      <c r="E5289" s="629">
        <v>45744</v>
      </c>
      <c r="F5289" s="632">
        <v>2.8000000000000001E-2</v>
      </c>
      <c r="G5289" s="632">
        <v>2.7E-2</v>
      </c>
      <c r="H5289" s="632">
        <v>2.7E-2</v>
      </c>
      <c r="I5289" s="995"/>
      <c r="J5289" s="996"/>
      <c r="K5289" s="997"/>
      <c r="L5289" s="99"/>
      <c r="M5289" s="100"/>
    </row>
    <row r="5290" spans="4:13" ht="23">
      <c r="E5290" s="629">
        <v>45716</v>
      </c>
      <c r="F5290" s="632">
        <v>2.5999999999999999E-2</v>
      </c>
      <c r="G5290" s="632">
        <v>2.5999999999999999E-2</v>
      </c>
      <c r="H5290" s="632">
        <v>2.9000000000000001E-2</v>
      </c>
      <c r="I5290" s="995"/>
      <c r="J5290" s="996"/>
      <c r="K5290" s="997"/>
      <c r="L5290" s="649"/>
      <c r="M5290" s="100"/>
    </row>
    <row r="5291" spans="4:13" ht="23">
      <c r="E5291" s="629">
        <v>45688</v>
      </c>
      <c r="F5291" s="632">
        <v>2.8000000000000001E-2</v>
      </c>
      <c r="G5291" s="632">
        <v>2.8000000000000001E-2</v>
      </c>
      <c r="H5291" s="632">
        <v>2.8000000000000001E-2</v>
      </c>
      <c r="I5291" s="995"/>
      <c r="J5291" s="996"/>
      <c r="K5291" s="997"/>
      <c r="L5291" s="99"/>
      <c r="M5291" s="100"/>
    </row>
    <row r="5292" spans="4:13" ht="23">
      <c r="E5292" s="629">
        <v>45646</v>
      </c>
      <c r="F5292" s="632">
        <v>2.8000000000000001E-2</v>
      </c>
      <c r="G5292" s="632">
        <v>2.9000000000000001E-2</v>
      </c>
      <c r="H5292" s="632">
        <v>2.8000000000000001E-2</v>
      </c>
      <c r="I5292" s="995"/>
      <c r="J5292" s="996"/>
      <c r="K5292" s="997"/>
      <c r="L5292" s="99"/>
      <c r="M5292" s="100"/>
    </row>
    <row r="5293" spans="4:13" ht="24" thickBot="1">
      <c r="E5293" s="629">
        <v>45623</v>
      </c>
      <c r="F5293" s="632">
        <v>2.8000000000000001E-2</v>
      </c>
      <c r="G5293" s="632">
        <v>2.8000000000000001E-2</v>
      </c>
      <c r="H5293" s="632">
        <v>2.7E-2</v>
      </c>
      <c r="I5293" s="998"/>
      <c r="J5293" s="999"/>
      <c r="K5293" s="1000"/>
      <c r="L5293" s="102"/>
      <c r="M5293" s="103"/>
    </row>
    <row r="5294" spans="4:13" ht="25" thickBot="1">
      <c r="D5294">
        <v>1</v>
      </c>
      <c r="E5294" s="628" t="s">
        <v>30</v>
      </c>
      <c r="F5294" s="986" t="s">
        <v>2169</v>
      </c>
      <c r="G5294" s="987"/>
      <c r="H5294" s="988"/>
      <c r="I5294" s="989" t="s">
        <v>633</v>
      </c>
      <c r="J5294" s="990"/>
      <c r="K5294" s="991"/>
      <c r="L5294" s="658" t="s">
        <v>430</v>
      </c>
      <c r="M5294" s="659" t="s">
        <v>431</v>
      </c>
    </row>
    <row r="5295" spans="4:13" ht="24">
      <c r="E5295" s="625" t="s">
        <v>432</v>
      </c>
      <c r="F5295" s="992"/>
      <c r="G5295" s="993"/>
      <c r="H5295" s="994"/>
      <c r="I5295" s="995" t="s">
        <v>2170</v>
      </c>
      <c r="J5295" s="996"/>
      <c r="K5295" s="997"/>
      <c r="L5295" s="99"/>
      <c r="M5295" s="100"/>
    </row>
    <row r="5296" spans="4:13" ht="24">
      <c r="E5296" s="626" t="s">
        <v>433</v>
      </c>
      <c r="F5296" s="1001"/>
      <c r="G5296" s="1002"/>
      <c r="H5296" s="1003"/>
      <c r="I5296" s="995"/>
      <c r="J5296" s="996"/>
      <c r="K5296" s="997"/>
      <c r="L5296" s="99"/>
      <c r="M5296" s="100"/>
    </row>
    <row r="5297" spans="4:13" ht="25" thickBot="1">
      <c r="E5297" s="626" t="s">
        <v>434</v>
      </c>
      <c r="F5297" s="1010">
        <v>44.6</v>
      </c>
      <c r="G5297" s="1002"/>
      <c r="H5297" s="1003"/>
      <c r="I5297" s="995"/>
      <c r="J5297" s="996"/>
      <c r="K5297" s="997"/>
      <c r="L5297" s="99"/>
      <c r="M5297" s="100"/>
    </row>
    <row r="5298" spans="4:13" ht="25" thickBot="1">
      <c r="E5298" s="627" t="s">
        <v>435</v>
      </c>
      <c r="F5298" s="1007">
        <v>0.57291666666666674</v>
      </c>
      <c r="G5298" s="1008"/>
      <c r="H5298" s="1009"/>
      <c r="I5298" s="995"/>
      <c r="J5298" s="996"/>
      <c r="K5298" s="997"/>
      <c r="L5298" s="647">
        <v>0.80208333333333337</v>
      </c>
      <c r="M5298" s="648">
        <v>0.69791666666666674</v>
      </c>
    </row>
    <row r="5299" spans="4:13" ht="25" thickBot="1">
      <c r="E5299" s="628" t="s">
        <v>436</v>
      </c>
      <c r="F5299" s="200" t="s">
        <v>29</v>
      </c>
      <c r="G5299" s="200" t="s">
        <v>28</v>
      </c>
      <c r="H5299" s="201" t="s">
        <v>27</v>
      </c>
      <c r="I5299" s="995"/>
      <c r="J5299" s="996"/>
      <c r="K5299" s="997"/>
      <c r="L5299" s="99"/>
      <c r="M5299" s="100"/>
    </row>
    <row r="5300" spans="4:13" ht="23">
      <c r="E5300" s="629">
        <v>45777</v>
      </c>
      <c r="F5300" s="636">
        <v>44.6</v>
      </c>
      <c r="G5300" s="636">
        <v>45.9</v>
      </c>
      <c r="H5300" s="636">
        <v>47.6</v>
      </c>
      <c r="I5300" s="995"/>
      <c r="J5300" s="996"/>
      <c r="K5300" s="997"/>
      <c r="L5300" s="99"/>
      <c r="M5300" s="100"/>
    </row>
    <row r="5301" spans="4:13" ht="23">
      <c r="E5301" s="629">
        <v>45747</v>
      </c>
      <c r="F5301" s="636">
        <v>47.6</v>
      </c>
      <c r="G5301" s="636">
        <v>45.5</v>
      </c>
      <c r="H5301" s="636">
        <v>45.5</v>
      </c>
      <c r="I5301" s="995"/>
      <c r="J5301" s="996"/>
      <c r="K5301" s="997"/>
      <c r="L5301" s="99"/>
      <c r="M5301" s="100"/>
    </row>
    <row r="5302" spans="4:13" ht="23">
      <c r="E5302" s="629">
        <v>45716</v>
      </c>
      <c r="F5302" s="636">
        <v>45.5</v>
      </c>
      <c r="G5302" s="636">
        <v>40.5</v>
      </c>
      <c r="H5302" s="636">
        <v>39.5</v>
      </c>
      <c r="I5302" s="995"/>
      <c r="J5302" s="996"/>
      <c r="K5302" s="997"/>
      <c r="L5302" s="649"/>
      <c r="M5302" s="100"/>
    </row>
    <row r="5303" spans="4:13" ht="23">
      <c r="E5303" s="629">
        <v>45688</v>
      </c>
      <c r="F5303" s="636">
        <v>39.5</v>
      </c>
      <c r="G5303" s="636">
        <v>40.299999999999997</v>
      </c>
      <c r="H5303" s="636">
        <v>36.9</v>
      </c>
      <c r="I5303" s="995"/>
      <c r="J5303" s="996"/>
      <c r="K5303" s="997"/>
      <c r="L5303" s="99"/>
      <c r="M5303" s="100"/>
    </row>
    <row r="5304" spans="4:13" ht="23">
      <c r="E5304" s="629">
        <v>45656</v>
      </c>
      <c r="F5304" s="636">
        <v>36.9</v>
      </c>
      <c r="G5304" s="636">
        <v>42.7</v>
      </c>
      <c r="H5304" s="636">
        <v>40.200000000000003</v>
      </c>
      <c r="I5304" s="995"/>
      <c r="J5304" s="996"/>
      <c r="K5304" s="997"/>
      <c r="L5304" s="99"/>
      <c r="M5304" s="100"/>
    </row>
    <row r="5305" spans="4:13" ht="24" thickBot="1">
      <c r="E5305" s="629">
        <v>45625</v>
      </c>
      <c r="F5305" s="636">
        <v>40.200000000000003</v>
      </c>
      <c r="G5305" s="636">
        <v>44.9</v>
      </c>
      <c r="H5305" s="636">
        <v>41.6</v>
      </c>
      <c r="I5305" s="998"/>
      <c r="J5305" s="999"/>
      <c r="K5305" s="1000"/>
      <c r="L5305" s="102"/>
      <c r="M5305" s="103"/>
    </row>
    <row r="5306" spans="4:13" ht="25" thickBot="1">
      <c r="D5306">
        <v>1</v>
      </c>
      <c r="E5306" s="696" t="s">
        <v>30</v>
      </c>
      <c r="F5306" s="1023" t="s">
        <v>2171</v>
      </c>
      <c r="G5306" s="1024"/>
      <c r="H5306" s="1025"/>
      <c r="I5306" s="1026" t="s">
        <v>633</v>
      </c>
      <c r="J5306" s="1027"/>
      <c r="K5306" s="1028"/>
      <c r="L5306" s="697" t="s">
        <v>430</v>
      </c>
      <c r="M5306" s="698" t="s">
        <v>431</v>
      </c>
    </row>
    <row r="5307" spans="4:13" ht="24">
      <c r="E5307" s="699" t="s">
        <v>432</v>
      </c>
      <c r="F5307" s="1029"/>
      <c r="G5307" s="1030"/>
      <c r="H5307" s="1031"/>
      <c r="I5307" s="1032" t="s">
        <v>2173</v>
      </c>
      <c r="J5307" s="1033"/>
      <c r="K5307" s="1034"/>
      <c r="L5307" s="700"/>
      <c r="M5307" s="701"/>
    </row>
    <row r="5308" spans="4:13" ht="24">
      <c r="E5308" s="702" t="s">
        <v>433</v>
      </c>
      <c r="F5308" s="1038"/>
      <c r="G5308" s="1047"/>
      <c r="H5308" s="1048"/>
      <c r="I5308" s="1032"/>
      <c r="J5308" s="1033"/>
      <c r="K5308" s="1034"/>
      <c r="L5308" s="700"/>
      <c r="M5308" s="701"/>
    </row>
    <row r="5309" spans="4:13" ht="25" thickBot="1">
      <c r="E5309" s="702" t="s">
        <v>434</v>
      </c>
      <c r="F5309" s="1041">
        <v>0</v>
      </c>
      <c r="G5309" s="1042"/>
      <c r="H5309" s="1043"/>
      <c r="I5309" s="1032"/>
      <c r="J5309" s="1033"/>
      <c r="K5309" s="1034"/>
      <c r="L5309" s="700"/>
      <c r="M5309" s="701"/>
    </row>
    <row r="5310" spans="4:13" ht="25" thickBot="1">
      <c r="E5310" s="703" t="s">
        <v>435</v>
      </c>
      <c r="F5310" s="1044">
        <v>0.52083333333333337</v>
      </c>
      <c r="G5310" s="1045"/>
      <c r="H5310" s="1046"/>
      <c r="I5310" s="1032"/>
      <c r="J5310" s="1033"/>
      <c r="K5310" s="1034"/>
      <c r="L5310" s="704">
        <v>0.29166666666666669</v>
      </c>
      <c r="M5310" s="705">
        <v>0.1875</v>
      </c>
    </row>
    <row r="5311" spans="4:13" ht="25" thickBot="1">
      <c r="E5311" s="696" t="s">
        <v>436</v>
      </c>
      <c r="F5311" s="706" t="s">
        <v>29</v>
      </c>
      <c r="G5311" s="706" t="s">
        <v>28</v>
      </c>
      <c r="H5311" s="707" t="s">
        <v>27</v>
      </c>
      <c r="I5311" s="1032"/>
      <c r="J5311" s="1033"/>
      <c r="K5311" s="1034"/>
      <c r="L5311" s="700"/>
      <c r="M5311" s="701"/>
    </row>
    <row r="5312" spans="4:13" ht="23">
      <c r="E5312" s="657">
        <v>45763</v>
      </c>
      <c r="F5312" s="795">
        <v>5.0000000000000001E-3</v>
      </c>
      <c r="G5312" s="795">
        <v>4.0000000000000001E-3</v>
      </c>
      <c r="H5312" s="795">
        <v>7.0000000000000001E-3</v>
      </c>
      <c r="I5312" s="1032"/>
      <c r="J5312" s="1033"/>
      <c r="K5312" s="1034"/>
      <c r="L5312" s="700"/>
      <c r="M5312" s="701"/>
    </row>
    <row r="5313" spans="4:13" ht="23">
      <c r="E5313" s="657">
        <v>45733</v>
      </c>
      <c r="F5313" s="795">
        <v>3.0000000000000001E-3</v>
      </c>
      <c r="G5313" s="795">
        <v>3.0000000000000001E-3</v>
      </c>
      <c r="H5313" s="795">
        <v>-6.0000000000000001E-3</v>
      </c>
      <c r="I5313" s="1032"/>
      <c r="J5313" s="1033"/>
      <c r="K5313" s="1034"/>
      <c r="L5313" s="700"/>
      <c r="M5313" s="701"/>
    </row>
    <row r="5314" spans="4:13" ht="23">
      <c r="E5314" s="657">
        <v>45702</v>
      </c>
      <c r="F5314" s="795">
        <v>-4.0000000000000001E-3</v>
      </c>
      <c r="G5314" s="795">
        <v>3.0000000000000001E-3</v>
      </c>
      <c r="H5314" s="795">
        <v>7.0000000000000001E-3</v>
      </c>
      <c r="I5314" s="1032"/>
      <c r="J5314" s="1033"/>
      <c r="K5314" s="1034"/>
      <c r="L5314" s="709"/>
      <c r="M5314" s="701"/>
    </row>
    <row r="5315" spans="4:13" ht="23">
      <c r="E5315" s="657">
        <v>45673</v>
      </c>
      <c r="F5315" s="795">
        <v>4.0000000000000001E-3</v>
      </c>
      <c r="G5315" s="795">
        <v>5.0000000000000001E-3</v>
      </c>
      <c r="H5315" s="795">
        <v>2E-3</v>
      </c>
      <c r="I5315" s="1032"/>
      <c r="J5315" s="1033"/>
      <c r="K5315" s="1034"/>
      <c r="L5315" s="700"/>
      <c r="M5315" s="701"/>
    </row>
    <row r="5316" spans="4:13" ht="23">
      <c r="E5316" s="657">
        <v>45643</v>
      </c>
      <c r="F5316" s="795">
        <v>2E-3</v>
      </c>
      <c r="G5316" s="795">
        <v>4.0000000000000001E-3</v>
      </c>
      <c r="H5316" s="795">
        <v>2E-3</v>
      </c>
      <c r="I5316" s="1032"/>
      <c r="J5316" s="1033"/>
      <c r="K5316" s="1034"/>
      <c r="L5316" s="700"/>
      <c r="M5316" s="701"/>
    </row>
    <row r="5317" spans="4:13" ht="24" thickBot="1">
      <c r="E5317" s="657">
        <v>45611</v>
      </c>
      <c r="F5317" s="795">
        <v>1E-3</v>
      </c>
      <c r="G5317" s="795">
        <v>3.0000000000000001E-3</v>
      </c>
      <c r="H5317" s="795">
        <v>0.01</v>
      </c>
      <c r="I5317" s="1035"/>
      <c r="J5317" s="1036"/>
      <c r="K5317" s="1037"/>
      <c r="L5317" s="710"/>
      <c r="M5317" s="711"/>
    </row>
    <row r="5318" spans="4:13" ht="25" thickBot="1">
      <c r="D5318">
        <v>1</v>
      </c>
      <c r="E5318" s="628" t="s">
        <v>30</v>
      </c>
      <c r="F5318" s="986" t="s">
        <v>2172</v>
      </c>
      <c r="G5318" s="987"/>
      <c r="H5318" s="988"/>
      <c r="I5318" s="989" t="s">
        <v>633</v>
      </c>
      <c r="J5318" s="990"/>
      <c r="K5318" s="991"/>
      <c r="L5318" s="658" t="s">
        <v>430</v>
      </c>
      <c r="M5318" s="659" t="s">
        <v>431</v>
      </c>
    </row>
    <row r="5319" spans="4:13" ht="24">
      <c r="E5319" s="625" t="s">
        <v>432</v>
      </c>
      <c r="F5319" s="992"/>
      <c r="G5319" s="993"/>
      <c r="H5319" s="994"/>
      <c r="I5319" s="995" t="s">
        <v>2173</v>
      </c>
      <c r="J5319" s="996"/>
      <c r="K5319" s="997"/>
      <c r="L5319" s="99"/>
      <c r="M5319" s="100"/>
    </row>
    <row r="5320" spans="4:13" ht="24">
      <c r="E5320" s="626" t="s">
        <v>433</v>
      </c>
      <c r="F5320" s="1001"/>
      <c r="G5320" s="1002"/>
      <c r="H5320" s="1003"/>
      <c r="I5320" s="995"/>
      <c r="J5320" s="996"/>
      <c r="K5320" s="997"/>
      <c r="L5320" s="99"/>
      <c r="M5320" s="100"/>
    </row>
    <row r="5321" spans="4:13" ht="25" thickBot="1">
      <c r="E5321" s="626" t="s">
        <v>434</v>
      </c>
      <c r="F5321" s="1010">
        <v>49</v>
      </c>
      <c r="G5321" s="1002"/>
      <c r="H5321" s="1003"/>
      <c r="I5321" s="995"/>
      <c r="J5321" s="996"/>
      <c r="K5321" s="997"/>
      <c r="L5321" s="99"/>
      <c r="M5321" s="100"/>
    </row>
    <row r="5322" spans="4:13" ht="25" thickBot="1">
      <c r="E5322" s="627" t="s">
        <v>435</v>
      </c>
      <c r="F5322" s="1007">
        <v>0.52083333333333337</v>
      </c>
      <c r="G5322" s="1008"/>
      <c r="H5322" s="1009"/>
      <c r="I5322" s="995"/>
      <c r="J5322" s="996"/>
      <c r="K5322" s="997"/>
      <c r="L5322" s="647">
        <v>0.29166666666666669</v>
      </c>
      <c r="M5322" s="648">
        <v>0.1875</v>
      </c>
    </row>
    <row r="5323" spans="4:13" ht="25" thickBot="1">
      <c r="E5323" s="628" t="s">
        <v>436</v>
      </c>
      <c r="F5323" s="200" t="s">
        <v>29</v>
      </c>
      <c r="G5323" s="200" t="s">
        <v>28</v>
      </c>
      <c r="H5323" s="201" t="s">
        <v>27</v>
      </c>
      <c r="I5323" s="995"/>
      <c r="J5323" s="996"/>
      <c r="K5323" s="997"/>
      <c r="L5323" s="99"/>
      <c r="M5323" s="100"/>
    </row>
    <row r="5324" spans="4:13" ht="23">
      <c r="E5324" s="629">
        <v>45777</v>
      </c>
      <c r="F5324" s="636">
        <v>49</v>
      </c>
      <c r="G5324" s="636">
        <v>49.7</v>
      </c>
      <c r="H5324" s="636">
        <v>50.5</v>
      </c>
      <c r="I5324" s="995"/>
      <c r="J5324" s="996"/>
      <c r="K5324" s="997"/>
      <c r="L5324" s="99"/>
      <c r="M5324" s="100"/>
    </row>
    <row r="5325" spans="4:13" ht="23">
      <c r="E5325" s="629">
        <v>45747</v>
      </c>
      <c r="F5325" s="636">
        <v>50.5</v>
      </c>
      <c r="G5325" s="636">
        <v>50.4</v>
      </c>
      <c r="H5325" s="636">
        <v>50.2</v>
      </c>
      <c r="I5325" s="995"/>
      <c r="J5325" s="996"/>
      <c r="K5325" s="997"/>
      <c r="L5325" s="99"/>
      <c r="M5325" s="100"/>
    </row>
    <row r="5326" spans="4:13" ht="23">
      <c r="E5326" s="629">
        <v>45717</v>
      </c>
      <c r="F5326" s="636">
        <v>50.2</v>
      </c>
      <c r="G5326" s="636">
        <v>50</v>
      </c>
      <c r="H5326" s="636">
        <v>49.1</v>
      </c>
      <c r="I5326" s="995"/>
      <c r="J5326" s="996"/>
      <c r="K5326" s="997"/>
      <c r="L5326" s="649"/>
      <c r="M5326" s="100"/>
    </row>
    <row r="5327" spans="4:13" ht="23">
      <c r="E5327" s="629">
        <v>45684</v>
      </c>
      <c r="F5327" s="636">
        <v>49.1</v>
      </c>
      <c r="G5327" s="636">
        <v>50.1</v>
      </c>
      <c r="H5327" s="636">
        <v>50.1</v>
      </c>
      <c r="I5327" s="995"/>
      <c r="J5327" s="996"/>
      <c r="K5327" s="997"/>
      <c r="L5327" s="99"/>
      <c r="M5327" s="100"/>
    </row>
    <row r="5328" spans="4:13" ht="23">
      <c r="E5328" s="629">
        <v>45657</v>
      </c>
      <c r="F5328" s="636">
        <v>50.1</v>
      </c>
      <c r="G5328" s="636">
        <v>50.3</v>
      </c>
      <c r="H5328" s="636">
        <v>50.3</v>
      </c>
      <c r="I5328" s="995"/>
      <c r="J5328" s="996"/>
      <c r="K5328" s="997"/>
      <c r="L5328" s="99"/>
      <c r="M5328" s="100"/>
    </row>
    <row r="5329" spans="3:13" ht="24" thickBot="1">
      <c r="E5329" s="629">
        <v>45626</v>
      </c>
      <c r="F5329" s="636">
        <v>50.3</v>
      </c>
      <c r="G5329" s="636">
        <v>50.2</v>
      </c>
      <c r="H5329" s="636">
        <v>50.1</v>
      </c>
      <c r="I5329" s="998"/>
      <c r="J5329" s="999"/>
      <c r="K5329" s="1000"/>
      <c r="L5329" s="102"/>
      <c r="M5329" s="103"/>
    </row>
    <row r="5330" spans="3:13" ht="25" customHeight="1" thickBot="1">
      <c r="C5330" t="s">
        <v>105</v>
      </c>
      <c r="D5330">
        <v>1</v>
      </c>
      <c r="E5330" s="628" t="s">
        <v>30</v>
      </c>
      <c r="F5330" s="986" t="s">
        <v>2187</v>
      </c>
      <c r="G5330" s="987"/>
      <c r="H5330" s="988"/>
      <c r="I5330" s="1049" t="s">
        <v>633</v>
      </c>
      <c r="J5330" s="990"/>
      <c r="K5330" s="991"/>
      <c r="L5330" s="658" t="s">
        <v>430</v>
      </c>
      <c r="M5330" s="659" t="s">
        <v>431</v>
      </c>
    </row>
    <row r="5331" spans="3:13" ht="24" customHeight="1">
      <c r="E5331" s="625" t="s">
        <v>432</v>
      </c>
      <c r="F5331" s="1011"/>
      <c r="G5331" s="1012"/>
      <c r="H5331" s="1013"/>
      <c r="I5331" s="1021" t="s">
        <v>1967</v>
      </c>
      <c r="J5331" s="1015"/>
      <c r="K5331" s="1016"/>
      <c r="L5331" s="99"/>
      <c r="M5331" s="100"/>
    </row>
    <row r="5332" spans="3:13" ht="24">
      <c r="E5332" s="626" t="s">
        <v>433</v>
      </c>
      <c r="F5332" s="1010">
        <v>52.3</v>
      </c>
      <c r="G5332" s="1002"/>
      <c r="H5332" s="1003"/>
      <c r="I5332" s="995"/>
      <c r="J5332" s="996"/>
      <c r="K5332" s="997"/>
      <c r="L5332" s="99"/>
      <c r="M5332" s="100"/>
    </row>
    <row r="5333" spans="3:13" ht="25" thickBot="1">
      <c r="E5333" s="626" t="s">
        <v>434</v>
      </c>
      <c r="F5333" s="1010">
        <v>50.2</v>
      </c>
      <c r="G5333" s="1002"/>
      <c r="H5333" s="1003"/>
      <c r="I5333" s="995"/>
      <c r="J5333" s="996"/>
      <c r="K5333" s="997"/>
      <c r="L5333" s="99"/>
      <c r="M5333" s="100"/>
    </row>
    <row r="5334" spans="3:13" ht="25" thickBot="1">
      <c r="E5334" s="627" t="s">
        <v>435</v>
      </c>
      <c r="F5334" s="1007">
        <v>0.57291666666666674</v>
      </c>
      <c r="G5334" s="1008"/>
      <c r="H5334" s="1009"/>
      <c r="I5334" s="995"/>
      <c r="J5334" s="996"/>
      <c r="K5334" s="997"/>
      <c r="L5334" s="647">
        <v>0.80208333333333337</v>
      </c>
      <c r="M5334" s="648">
        <v>0.69791666666666674</v>
      </c>
    </row>
    <row r="5335" spans="3:13" ht="25" thickBot="1">
      <c r="E5335" s="628" t="s">
        <v>436</v>
      </c>
      <c r="F5335" s="200" t="s">
        <v>29</v>
      </c>
      <c r="G5335" s="200" t="s">
        <v>28</v>
      </c>
      <c r="H5335" s="201" t="s">
        <v>27</v>
      </c>
      <c r="I5335" s="995"/>
      <c r="J5335" s="996"/>
      <c r="K5335" s="997"/>
      <c r="L5335" s="99"/>
      <c r="M5335" s="100"/>
    </row>
    <row r="5336" spans="3:13" ht="24">
      <c r="E5336" s="629">
        <v>45799</v>
      </c>
      <c r="F5336" s="632" t="s">
        <v>2223</v>
      </c>
      <c r="G5336" s="632" t="s">
        <v>2224</v>
      </c>
      <c r="H5336" s="632" t="s">
        <v>1659</v>
      </c>
      <c r="I5336" s="995"/>
      <c r="J5336" s="996"/>
      <c r="K5336" s="997"/>
      <c r="L5336" s="99"/>
      <c r="M5336" s="100"/>
    </row>
    <row r="5337" spans="3:13" ht="24">
      <c r="E5337" s="629">
        <v>45778</v>
      </c>
      <c r="F5337" s="632" t="s">
        <v>1659</v>
      </c>
      <c r="G5337" s="632" t="s">
        <v>2225</v>
      </c>
      <c r="H5337" s="632" t="s">
        <v>1659</v>
      </c>
      <c r="I5337" s="995"/>
      <c r="J5337" s="996"/>
      <c r="K5337" s="997"/>
      <c r="L5337" s="99"/>
      <c r="M5337" s="100"/>
    </row>
    <row r="5338" spans="3:13" ht="24">
      <c r="E5338" s="629">
        <v>45799</v>
      </c>
      <c r="F5338" s="632" t="s">
        <v>2223</v>
      </c>
      <c r="G5338" s="632" t="s">
        <v>2224</v>
      </c>
      <c r="H5338" s="632" t="s">
        <v>1659</v>
      </c>
      <c r="I5338" s="995"/>
      <c r="J5338" s="996"/>
      <c r="K5338" s="997"/>
      <c r="L5338" s="649"/>
      <c r="M5338" s="100"/>
    </row>
    <row r="5339" spans="3:13" ht="24">
      <c r="E5339" s="629">
        <v>45778</v>
      </c>
      <c r="F5339" s="632" t="s">
        <v>1659</v>
      </c>
      <c r="G5339" s="632" t="s">
        <v>2225</v>
      </c>
      <c r="H5339" s="632" t="s">
        <v>1659</v>
      </c>
      <c r="I5339" s="995"/>
      <c r="J5339" s="996"/>
      <c r="K5339" s="997"/>
      <c r="L5339" s="99"/>
      <c r="M5339" s="100"/>
    </row>
    <row r="5340" spans="3:13" ht="24">
      <c r="E5340" s="629">
        <v>45799</v>
      </c>
      <c r="F5340" s="632" t="s">
        <v>2223</v>
      </c>
      <c r="G5340" s="632" t="s">
        <v>2224</v>
      </c>
      <c r="H5340" s="632" t="s">
        <v>1659</v>
      </c>
      <c r="I5340" s="995"/>
      <c r="J5340" s="996"/>
      <c r="K5340" s="997"/>
      <c r="L5340" s="99"/>
      <c r="M5340" s="100"/>
    </row>
    <row r="5341" spans="3:13" ht="25" thickBot="1">
      <c r="E5341" s="629">
        <v>45778</v>
      </c>
      <c r="F5341" s="632" t="s">
        <v>1659</v>
      </c>
      <c r="G5341" s="632" t="s">
        <v>2225</v>
      </c>
      <c r="H5341" s="632" t="s">
        <v>1659</v>
      </c>
      <c r="I5341" s="998"/>
      <c r="J5341" s="999"/>
      <c r="K5341" s="1000"/>
      <c r="L5341" s="102"/>
      <c r="M5341" s="103"/>
    </row>
    <row r="5342" spans="3:13" ht="25" customHeight="1" thickBot="1">
      <c r="D5342">
        <v>1</v>
      </c>
      <c r="E5342" s="628" t="s">
        <v>30</v>
      </c>
      <c r="F5342" s="986" t="s">
        <v>2188</v>
      </c>
      <c r="G5342" s="987"/>
      <c r="H5342" s="988"/>
      <c r="I5342" s="1049" t="s">
        <v>633</v>
      </c>
      <c r="J5342" s="990"/>
      <c r="K5342" s="991"/>
      <c r="L5342" s="658" t="s">
        <v>430</v>
      </c>
      <c r="M5342" s="659" t="s">
        <v>431</v>
      </c>
    </row>
    <row r="5343" spans="3:13" ht="24" customHeight="1">
      <c r="E5343" s="625" t="s">
        <v>432</v>
      </c>
      <c r="F5343" s="1011"/>
      <c r="G5343" s="1012"/>
      <c r="H5343" s="1013"/>
      <c r="I5343" s="1021" t="s">
        <v>2189</v>
      </c>
      <c r="J5343" s="1015"/>
      <c r="K5343" s="1016"/>
      <c r="L5343" s="99"/>
      <c r="M5343" s="100"/>
    </row>
    <row r="5344" spans="3:13" ht="24">
      <c r="E5344" s="626" t="s">
        <v>433</v>
      </c>
      <c r="F5344" s="1001"/>
      <c r="G5344" s="1017"/>
      <c r="H5344" s="1018"/>
      <c r="I5344" s="995"/>
      <c r="J5344" s="996"/>
      <c r="K5344" s="997"/>
      <c r="L5344" s="99"/>
      <c r="M5344" s="100"/>
    </row>
    <row r="5345" spans="4:13" ht="25" thickBot="1">
      <c r="E5345" s="626" t="s">
        <v>434</v>
      </c>
      <c r="F5345" s="1010">
        <v>48.7</v>
      </c>
      <c r="G5345" s="1002"/>
      <c r="H5345" s="1003"/>
      <c r="I5345" s="995"/>
      <c r="J5345" s="996"/>
      <c r="K5345" s="997"/>
      <c r="L5345" s="99"/>
      <c r="M5345" s="100"/>
    </row>
    <row r="5346" spans="4:13" ht="25" thickBot="1">
      <c r="E5346" s="627" t="s">
        <v>435</v>
      </c>
      <c r="F5346" s="1007">
        <v>0.58333333333333337</v>
      </c>
      <c r="G5346" s="1008"/>
      <c r="H5346" s="1009"/>
      <c r="I5346" s="995"/>
      <c r="J5346" s="996"/>
      <c r="K5346" s="997"/>
      <c r="L5346" s="647">
        <v>0.8125</v>
      </c>
      <c r="M5346" s="648">
        <v>0.70833333333333337</v>
      </c>
    </row>
    <row r="5347" spans="4:13" ht="25" thickBot="1">
      <c r="E5347" s="628" t="s">
        <v>436</v>
      </c>
      <c r="F5347" s="200" t="s">
        <v>29</v>
      </c>
      <c r="G5347" s="200" t="s">
        <v>28</v>
      </c>
      <c r="H5347" s="201" t="s">
        <v>27</v>
      </c>
      <c r="I5347" s="995"/>
      <c r="J5347" s="996"/>
      <c r="K5347" s="997"/>
      <c r="L5347" s="99"/>
      <c r="M5347" s="100"/>
    </row>
    <row r="5348" spans="4:13" ht="23">
      <c r="E5348" s="629">
        <v>45778</v>
      </c>
      <c r="F5348" s="636">
        <v>48.7</v>
      </c>
      <c r="G5348" s="636">
        <v>48</v>
      </c>
      <c r="H5348" s="636">
        <v>49</v>
      </c>
      <c r="I5348" s="995"/>
      <c r="J5348" s="996"/>
      <c r="K5348" s="997"/>
      <c r="L5348" s="99"/>
      <c r="M5348" s="100"/>
    </row>
    <row r="5349" spans="4:13" ht="23">
      <c r="E5349" s="629">
        <v>45748</v>
      </c>
      <c r="F5349" s="636">
        <v>49</v>
      </c>
      <c r="G5349" s="636">
        <v>49.5</v>
      </c>
      <c r="H5349" s="636">
        <v>50.3</v>
      </c>
      <c r="I5349" s="995"/>
      <c r="J5349" s="996"/>
      <c r="K5349" s="997"/>
      <c r="L5349" s="99"/>
      <c r="M5349" s="100"/>
    </row>
    <row r="5350" spans="4:13" ht="23">
      <c r="E5350" s="629">
        <v>45719</v>
      </c>
      <c r="F5350" s="636">
        <v>50.3</v>
      </c>
      <c r="G5350" s="636">
        <v>50.6</v>
      </c>
      <c r="H5350" s="636">
        <v>50.9</v>
      </c>
      <c r="I5350" s="995"/>
      <c r="J5350" s="996"/>
      <c r="K5350" s="997"/>
      <c r="L5350" s="649"/>
      <c r="M5350" s="100"/>
    </row>
    <row r="5351" spans="4:13" ht="23">
      <c r="E5351" s="629">
        <v>45691</v>
      </c>
      <c r="F5351" s="636">
        <v>50.9</v>
      </c>
      <c r="G5351" s="636">
        <v>49.3</v>
      </c>
      <c r="H5351" s="636">
        <v>49.2</v>
      </c>
      <c r="I5351" s="995"/>
      <c r="J5351" s="996"/>
      <c r="K5351" s="997"/>
      <c r="L5351" s="99"/>
      <c r="M5351" s="100"/>
    </row>
    <row r="5352" spans="4:13" ht="23">
      <c r="E5352" s="629">
        <v>45660</v>
      </c>
      <c r="F5352" s="636">
        <v>49.3</v>
      </c>
      <c r="G5352" s="636">
        <v>48.2</v>
      </c>
      <c r="H5352" s="636">
        <v>48.4</v>
      </c>
      <c r="I5352" s="995"/>
      <c r="J5352" s="996"/>
      <c r="K5352" s="997"/>
      <c r="L5352" s="99"/>
      <c r="M5352" s="100"/>
    </row>
    <row r="5353" spans="4:13" ht="24" thickBot="1">
      <c r="E5353" s="629">
        <v>45628</v>
      </c>
      <c r="F5353" s="636">
        <v>48.4</v>
      </c>
      <c r="G5353" s="636">
        <v>47.7</v>
      </c>
      <c r="H5353" s="636">
        <v>46.5</v>
      </c>
      <c r="I5353" s="998"/>
      <c r="J5353" s="999"/>
      <c r="K5353" s="1000"/>
      <c r="L5353" s="102"/>
      <c r="M5353" s="103"/>
    </row>
    <row r="5354" spans="4:13" ht="25" customHeight="1" thickBot="1">
      <c r="D5354">
        <v>1</v>
      </c>
      <c r="E5354" s="628" t="s">
        <v>30</v>
      </c>
      <c r="F5354" s="986" t="s">
        <v>2190</v>
      </c>
      <c r="G5354" s="987"/>
      <c r="H5354" s="988"/>
      <c r="I5354" s="1049" t="s">
        <v>633</v>
      </c>
      <c r="J5354" s="990"/>
      <c r="K5354" s="991"/>
      <c r="L5354" s="658" t="s">
        <v>430</v>
      </c>
      <c r="M5354" s="659" t="s">
        <v>431</v>
      </c>
    </row>
    <row r="5355" spans="4:13" ht="24" customHeight="1">
      <c r="E5355" s="625" t="s">
        <v>432</v>
      </c>
      <c r="F5355" s="1011"/>
      <c r="G5355" s="1012"/>
      <c r="H5355" s="1013"/>
      <c r="I5355" s="1021" t="s">
        <v>2191</v>
      </c>
      <c r="J5355" s="1015"/>
      <c r="K5355" s="1016"/>
      <c r="L5355" s="99"/>
      <c r="M5355" s="100"/>
    </row>
    <row r="5356" spans="4:13" ht="24">
      <c r="E5356" s="626" t="s">
        <v>433</v>
      </c>
      <c r="F5356" s="1001"/>
      <c r="G5356" s="1017"/>
      <c r="H5356" s="1018"/>
      <c r="I5356" s="995"/>
      <c r="J5356" s="996"/>
      <c r="K5356" s="997"/>
      <c r="L5356" s="99"/>
      <c r="M5356" s="100"/>
    </row>
    <row r="5357" spans="4:13" ht="25" thickBot="1">
      <c r="E5357" s="626" t="s">
        <v>434</v>
      </c>
      <c r="F5357" s="1010">
        <v>69.8</v>
      </c>
      <c r="G5357" s="1002"/>
      <c r="H5357" s="1003"/>
      <c r="I5357" s="995"/>
      <c r="J5357" s="996"/>
      <c r="K5357" s="997"/>
      <c r="L5357" s="99"/>
      <c r="M5357" s="100"/>
    </row>
    <row r="5358" spans="4:13" ht="25" thickBot="1">
      <c r="E5358" s="627" t="s">
        <v>435</v>
      </c>
      <c r="F5358" s="1007">
        <v>0.58333333333333337</v>
      </c>
      <c r="G5358" s="1008"/>
      <c r="H5358" s="1009"/>
      <c r="I5358" s="995"/>
      <c r="J5358" s="996"/>
      <c r="K5358" s="997"/>
      <c r="L5358" s="647">
        <v>0.8125</v>
      </c>
      <c r="M5358" s="648">
        <v>0.70833333333333337</v>
      </c>
    </row>
    <row r="5359" spans="4:13" ht="25" thickBot="1">
      <c r="E5359" s="628" t="s">
        <v>436</v>
      </c>
      <c r="F5359" s="200" t="s">
        <v>29</v>
      </c>
      <c r="G5359" s="200" t="s">
        <v>28</v>
      </c>
      <c r="H5359" s="201" t="s">
        <v>27</v>
      </c>
      <c r="I5359" s="995"/>
      <c r="J5359" s="996"/>
      <c r="K5359" s="997"/>
      <c r="L5359" s="99"/>
      <c r="M5359" s="100"/>
    </row>
    <row r="5360" spans="4:13" ht="23">
      <c r="E5360" s="629">
        <v>45778</v>
      </c>
      <c r="F5360" s="636">
        <v>69.8</v>
      </c>
      <c r="G5360" s="636">
        <v>72.900000000000006</v>
      </c>
      <c r="H5360" s="636">
        <v>69.400000000000006</v>
      </c>
      <c r="I5360" s="995"/>
      <c r="J5360" s="996"/>
      <c r="K5360" s="997"/>
      <c r="L5360" s="99"/>
      <c r="M5360" s="100"/>
    </row>
    <row r="5361" spans="4:13" ht="23">
      <c r="E5361" s="629">
        <v>45748</v>
      </c>
      <c r="F5361" s="636">
        <v>69.400000000000006</v>
      </c>
      <c r="G5361" s="636">
        <v>64.599999999999994</v>
      </c>
      <c r="H5361" s="636">
        <v>62.4</v>
      </c>
      <c r="I5361" s="995"/>
      <c r="J5361" s="996"/>
      <c r="K5361" s="997"/>
      <c r="L5361" s="99"/>
      <c r="M5361" s="100"/>
    </row>
    <row r="5362" spans="4:13" ht="23">
      <c r="E5362" s="629">
        <v>45719</v>
      </c>
      <c r="F5362" s="636">
        <v>62.4</v>
      </c>
      <c r="G5362" s="636">
        <v>56.2</v>
      </c>
      <c r="H5362" s="636">
        <v>54.9</v>
      </c>
      <c r="I5362" s="995"/>
      <c r="J5362" s="996"/>
      <c r="K5362" s="997"/>
      <c r="L5362" s="649"/>
      <c r="M5362" s="100"/>
    </row>
    <row r="5363" spans="4:13" ht="23">
      <c r="E5363" s="629">
        <v>45691</v>
      </c>
      <c r="F5363" s="636">
        <v>54.9</v>
      </c>
      <c r="G5363" s="636">
        <v>52.6</v>
      </c>
      <c r="H5363" s="636">
        <v>52.5</v>
      </c>
      <c r="I5363" s="995"/>
      <c r="J5363" s="996"/>
      <c r="K5363" s="997"/>
      <c r="L5363" s="99"/>
      <c r="M5363" s="100"/>
    </row>
    <row r="5364" spans="4:13" ht="23">
      <c r="E5364" s="629">
        <v>45660</v>
      </c>
      <c r="F5364" s="636">
        <v>52.5</v>
      </c>
      <c r="G5364" s="636">
        <v>51.5</v>
      </c>
      <c r="H5364" s="636">
        <v>50.3</v>
      </c>
      <c r="I5364" s="995"/>
      <c r="J5364" s="996"/>
      <c r="K5364" s="997"/>
      <c r="L5364" s="99"/>
      <c r="M5364" s="100"/>
    </row>
    <row r="5365" spans="4:13" ht="24" thickBot="1">
      <c r="E5365" s="629">
        <v>45628</v>
      </c>
      <c r="F5365" s="636">
        <v>50.3</v>
      </c>
      <c r="G5365" s="636">
        <v>55.2</v>
      </c>
      <c r="H5365" s="636">
        <v>54.8</v>
      </c>
      <c r="I5365" s="998"/>
      <c r="J5365" s="999"/>
      <c r="K5365" s="1000"/>
      <c r="L5365" s="102"/>
      <c r="M5365" s="103"/>
    </row>
    <row r="5366" spans="4:13" ht="25" customHeight="1" thickBot="1">
      <c r="D5366">
        <v>1</v>
      </c>
      <c r="E5366" s="628" t="s">
        <v>30</v>
      </c>
      <c r="F5366" s="986" t="s">
        <v>1745</v>
      </c>
      <c r="G5366" s="987"/>
      <c r="H5366" s="988"/>
      <c r="I5366" s="1049" t="s">
        <v>633</v>
      </c>
      <c r="J5366" s="990"/>
      <c r="K5366" s="991"/>
      <c r="L5366" s="658" t="s">
        <v>430</v>
      </c>
      <c r="M5366" s="659" t="s">
        <v>431</v>
      </c>
    </row>
    <row r="5367" spans="4:13" ht="24" customHeight="1">
      <c r="E5367" s="625" t="s">
        <v>432</v>
      </c>
      <c r="F5367" s="1011"/>
      <c r="G5367" s="1012"/>
      <c r="H5367" s="1013"/>
      <c r="I5367" s="1021" t="s">
        <v>2149</v>
      </c>
      <c r="J5367" s="1015"/>
      <c r="K5367" s="1016"/>
      <c r="L5367" s="99"/>
      <c r="M5367" s="100"/>
    </row>
    <row r="5368" spans="4:13" ht="24">
      <c r="E5368" s="626" t="s">
        <v>433</v>
      </c>
      <c r="F5368" s="1001"/>
      <c r="G5368" s="1017"/>
      <c r="H5368" s="1018"/>
      <c r="I5368" s="995"/>
      <c r="J5368" s="996"/>
      <c r="K5368" s="997"/>
      <c r="L5368" s="99"/>
      <c r="M5368" s="100"/>
    </row>
    <row r="5369" spans="4:13" ht="25" thickBot="1">
      <c r="E5369" s="626" t="s">
        <v>434</v>
      </c>
      <c r="F5369" s="1010"/>
      <c r="G5369" s="1002"/>
      <c r="H5369" s="1003"/>
      <c r="I5369" s="995"/>
      <c r="J5369" s="996"/>
      <c r="K5369" s="997"/>
      <c r="L5369" s="99"/>
      <c r="M5369" s="100"/>
    </row>
    <row r="5370" spans="4:13" ht="25" thickBot="1">
      <c r="E5370" s="627" t="s">
        <v>435</v>
      </c>
      <c r="F5370" s="1007">
        <v>0.70833333333333337</v>
      </c>
      <c r="G5370" s="1008"/>
      <c r="H5370" s="1009"/>
      <c r="I5370" s="995"/>
      <c r="J5370" s="996"/>
      <c r="K5370" s="997"/>
      <c r="L5370" s="647">
        <v>0.9375</v>
      </c>
      <c r="M5370" s="648">
        <v>0.83333333333333337</v>
      </c>
    </row>
    <row r="5371" spans="4:13" ht="25" thickBot="1">
      <c r="E5371" s="628" t="s">
        <v>436</v>
      </c>
      <c r="F5371" s="200" t="s">
        <v>29</v>
      </c>
      <c r="G5371" s="200" t="s">
        <v>28</v>
      </c>
      <c r="H5371" s="201" t="s">
        <v>27</v>
      </c>
      <c r="I5371" s="995"/>
      <c r="J5371" s="996"/>
      <c r="K5371" s="997"/>
      <c r="L5371" s="99"/>
      <c r="M5371" s="100"/>
    </row>
    <row r="5372" spans="4:13" ht="23">
      <c r="E5372" s="629">
        <v>45803</v>
      </c>
      <c r="F5372" s="636"/>
      <c r="G5372" s="636"/>
      <c r="H5372" s="636"/>
      <c r="I5372" s="995"/>
      <c r="J5372" s="996"/>
      <c r="K5372" s="997"/>
      <c r="L5372" s="99"/>
      <c r="M5372" s="100"/>
    </row>
    <row r="5373" spans="4:13" ht="23">
      <c r="E5373" s="629">
        <v>45792</v>
      </c>
      <c r="F5373" s="636"/>
      <c r="G5373" s="636"/>
      <c r="H5373" s="636"/>
      <c r="I5373" s="995"/>
      <c r="J5373" s="996"/>
      <c r="K5373" s="997"/>
      <c r="L5373" s="99"/>
      <c r="M5373" s="100"/>
    </row>
    <row r="5374" spans="4:13" ht="23">
      <c r="E5374" s="629">
        <v>45763</v>
      </c>
      <c r="F5374" s="636"/>
      <c r="G5374" s="636"/>
      <c r="H5374" s="636"/>
      <c r="I5374" s="995"/>
      <c r="J5374" s="996"/>
      <c r="K5374" s="997"/>
      <c r="L5374" s="649"/>
      <c r="M5374" s="100"/>
    </row>
    <row r="5375" spans="4:13" ht="23">
      <c r="E5375" s="629">
        <v>45751</v>
      </c>
      <c r="F5375" s="636"/>
      <c r="G5375" s="636"/>
      <c r="H5375" s="636"/>
      <c r="I5375" s="995"/>
      <c r="J5375" s="996"/>
      <c r="K5375" s="997"/>
      <c r="L5375" s="99"/>
      <c r="M5375" s="100"/>
    </row>
    <row r="5376" spans="4:13" ht="23">
      <c r="E5376" s="629">
        <v>45723</v>
      </c>
      <c r="F5376" s="636"/>
      <c r="G5376" s="636"/>
      <c r="H5376" s="636"/>
      <c r="I5376" s="995"/>
      <c r="J5376" s="996"/>
      <c r="K5376" s="997"/>
      <c r="L5376" s="99"/>
      <c r="M5376" s="100"/>
    </row>
    <row r="5377" spans="4:13" ht="24" thickBot="1">
      <c r="E5377" s="629">
        <v>45631</v>
      </c>
      <c r="F5377" s="636"/>
      <c r="G5377" s="636"/>
      <c r="H5377" s="636"/>
      <c r="I5377" s="998"/>
      <c r="J5377" s="999"/>
      <c r="K5377" s="1000"/>
      <c r="L5377" s="102"/>
      <c r="M5377" s="103"/>
    </row>
    <row r="5378" spans="4:13" ht="25" customHeight="1" thickBot="1">
      <c r="D5378">
        <v>1</v>
      </c>
      <c r="E5378" s="696" t="s">
        <v>30</v>
      </c>
      <c r="F5378" s="1023" t="s">
        <v>2192</v>
      </c>
      <c r="G5378" s="1024"/>
      <c r="H5378" s="1025"/>
      <c r="I5378" s="1050" t="s">
        <v>633</v>
      </c>
      <c r="J5378" s="1027"/>
      <c r="K5378" s="1028"/>
      <c r="L5378" s="658" t="s">
        <v>430</v>
      </c>
      <c r="M5378" s="659" t="s">
        <v>431</v>
      </c>
    </row>
    <row r="5379" spans="4:13" ht="24" customHeight="1">
      <c r="E5379" s="699" t="s">
        <v>432</v>
      </c>
      <c r="F5379" s="1051"/>
      <c r="G5379" s="1052"/>
      <c r="H5379" s="1053"/>
      <c r="I5379" s="1054" t="s">
        <v>1963</v>
      </c>
      <c r="J5379" s="1055"/>
      <c r="K5379" s="1056"/>
      <c r="L5379" s="99"/>
      <c r="M5379" s="100"/>
    </row>
    <row r="5380" spans="4:13" ht="24">
      <c r="E5380" s="702" t="s">
        <v>433</v>
      </c>
      <c r="F5380" s="1038"/>
      <c r="G5380" s="1039"/>
      <c r="H5380" s="1040"/>
      <c r="I5380" s="1032"/>
      <c r="J5380" s="1033"/>
      <c r="K5380" s="1034"/>
      <c r="L5380" s="99"/>
      <c r="M5380" s="100"/>
    </row>
    <row r="5381" spans="4:13" ht="25" thickBot="1">
      <c r="E5381" s="702" t="s">
        <v>434</v>
      </c>
      <c r="F5381" s="1041">
        <v>0</v>
      </c>
      <c r="G5381" s="1042"/>
      <c r="H5381" s="1043"/>
      <c r="I5381" s="1032"/>
      <c r="J5381" s="1033"/>
      <c r="K5381" s="1034"/>
      <c r="L5381" s="99"/>
      <c r="M5381" s="100"/>
    </row>
    <row r="5382" spans="4:13" ht="25" thickBot="1">
      <c r="E5382" s="703" t="s">
        <v>435</v>
      </c>
      <c r="F5382" s="1044" t="e">
        <v>#VALUE!</v>
      </c>
      <c r="G5382" s="1045"/>
      <c r="H5382" s="1046"/>
      <c r="I5382" s="1032"/>
      <c r="J5382" s="1033"/>
      <c r="K5382" s="1034"/>
      <c r="L5382" s="647" t="s">
        <v>1449</v>
      </c>
      <c r="M5382" s="648" t="e">
        <v>#VALUE!</v>
      </c>
    </row>
    <row r="5383" spans="4:13" ht="25" thickBot="1">
      <c r="E5383" s="696" t="s">
        <v>436</v>
      </c>
      <c r="F5383" s="706" t="s">
        <v>29</v>
      </c>
      <c r="G5383" s="706" t="s">
        <v>28</v>
      </c>
      <c r="H5383" s="707" t="s">
        <v>27</v>
      </c>
      <c r="I5383" s="1032"/>
      <c r="J5383" s="1033"/>
      <c r="K5383" s="1034"/>
      <c r="L5383" s="99"/>
      <c r="M5383" s="100"/>
    </row>
    <row r="5384" spans="4:13" ht="24" customHeight="1">
      <c r="E5384" s="657">
        <v>45756</v>
      </c>
      <c r="F5384" s="795">
        <v>3.5000000000000003E-2</v>
      </c>
      <c r="G5384" s="795">
        <v>3.5000000000000003E-2</v>
      </c>
      <c r="H5384" s="795">
        <v>3.7499999999999999E-2</v>
      </c>
      <c r="I5384" s="1032"/>
      <c r="J5384" s="1033"/>
      <c r="K5384" s="1034"/>
      <c r="L5384" s="99"/>
      <c r="M5384" s="100"/>
    </row>
    <row r="5385" spans="4:13" ht="24" customHeight="1">
      <c r="E5385" s="657">
        <v>45707</v>
      </c>
      <c r="F5385" s="795">
        <v>3.7499999999999999E-2</v>
      </c>
      <c r="G5385" s="795">
        <v>3.7499999999999999E-2</v>
      </c>
      <c r="H5385" s="795">
        <v>4.2500000000000003E-2</v>
      </c>
      <c r="I5385" s="1032"/>
      <c r="J5385" s="1033"/>
      <c r="K5385" s="1034"/>
      <c r="L5385" s="99"/>
      <c r="M5385" s="100"/>
    </row>
    <row r="5386" spans="4:13" ht="24" customHeight="1">
      <c r="E5386" s="657">
        <v>45623</v>
      </c>
      <c r="F5386" s="795">
        <v>4.2500000000000003E-2</v>
      </c>
      <c r="G5386" s="795">
        <v>4.2500000000000003E-2</v>
      </c>
      <c r="H5386" s="795">
        <v>4.7500000000000001E-2</v>
      </c>
      <c r="I5386" s="1032"/>
      <c r="J5386" s="1033"/>
      <c r="K5386" s="1034"/>
      <c r="L5386" s="649"/>
      <c r="M5386" s="100"/>
    </row>
    <row r="5387" spans="4:13" ht="24" customHeight="1">
      <c r="E5387" s="657">
        <v>45574</v>
      </c>
      <c r="F5387" s="795">
        <v>4.7500000000000001E-2</v>
      </c>
      <c r="G5387" s="795">
        <v>4.7500000000000001E-2</v>
      </c>
      <c r="H5387" s="795">
        <v>5.2499999999999998E-2</v>
      </c>
      <c r="I5387" s="1032"/>
      <c r="J5387" s="1033"/>
      <c r="K5387" s="1034"/>
      <c r="L5387" s="99"/>
      <c r="M5387" s="100"/>
    </row>
    <row r="5388" spans="4:13" ht="24" customHeight="1">
      <c r="E5388" s="657">
        <v>45518</v>
      </c>
      <c r="F5388" s="795">
        <v>5.2499999999999998E-2</v>
      </c>
      <c r="G5388" s="795">
        <v>5.5E-2</v>
      </c>
      <c r="H5388" s="795">
        <v>5.5E-2</v>
      </c>
      <c r="I5388" s="1032"/>
      <c r="J5388" s="1033"/>
      <c r="K5388" s="1034"/>
      <c r="L5388" s="99"/>
      <c r="M5388" s="100"/>
    </row>
    <row r="5389" spans="4:13" ht="25" customHeight="1" thickBot="1">
      <c r="E5389" s="657">
        <v>45483</v>
      </c>
      <c r="F5389" s="795">
        <v>5.5E-2</v>
      </c>
      <c r="G5389" s="795">
        <v>5.5E-2</v>
      </c>
      <c r="H5389" s="795">
        <v>5.5E-2</v>
      </c>
      <c r="I5389" s="1035"/>
      <c r="J5389" s="1036"/>
      <c r="K5389" s="1037"/>
      <c r="L5389" s="102"/>
      <c r="M5389" s="103"/>
    </row>
    <row r="5390" spans="4:13" ht="25" customHeight="1" thickBot="1">
      <c r="D5390">
        <v>1</v>
      </c>
      <c r="E5390" s="628" t="s">
        <v>30</v>
      </c>
      <c r="F5390" s="986" t="s">
        <v>2193</v>
      </c>
      <c r="G5390" s="987"/>
      <c r="H5390" s="988"/>
      <c r="I5390" s="1049" t="s">
        <v>633</v>
      </c>
      <c r="J5390" s="990"/>
      <c r="K5390" s="991"/>
      <c r="L5390" s="658" t="s">
        <v>430</v>
      </c>
      <c r="M5390" s="659" t="s">
        <v>431</v>
      </c>
    </row>
    <row r="5391" spans="4:13" ht="24" customHeight="1">
      <c r="E5391" s="625" t="s">
        <v>432</v>
      </c>
      <c r="F5391" s="1011"/>
      <c r="G5391" s="1012"/>
      <c r="H5391" s="1013"/>
      <c r="I5391" s="1021" t="s">
        <v>1935</v>
      </c>
      <c r="J5391" s="1015"/>
      <c r="K5391" s="1016"/>
      <c r="L5391" s="99"/>
      <c r="M5391" s="100"/>
    </row>
    <row r="5392" spans="4:13" ht="24">
      <c r="E5392" s="626" t="s">
        <v>433</v>
      </c>
      <c r="F5392" s="1001"/>
      <c r="G5392" s="1017"/>
      <c r="H5392" s="1018"/>
      <c r="I5392" s="995"/>
      <c r="J5392" s="996"/>
      <c r="K5392" s="997"/>
      <c r="L5392" s="99"/>
      <c r="M5392" s="100"/>
    </row>
    <row r="5393" spans="4:13" ht="25" thickBot="1">
      <c r="E5393" s="626" t="s">
        <v>434</v>
      </c>
      <c r="F5393" s="1004">
        <v>2.1999999999999999E-2</v>
      </c>
      <c r="G5393" s="1005"/>
      <c r="H5393" s="1006"/>
      <c r="I5393" s="995"/>
      <c r="J5393" s="996"/>
      <c r="K5393" s="997"/>
      <c r="L5393" s="99"/>
      <c r="M5393" s="100"/>
    </row>
    <row r="5394" spans="4:13" ht="25" thickBot="1">
      <c r="E5394" s="627" t="s">
        <v>435</v>
      </c>
      <c r="F5394" s="1007">
        <v>0.375</v>
      </c>
      <c r="G5394" s="1008"/>
      <c r="H5394" s="1009"/>
      <c r="I5394" s="995"/>
      <c r="J5394" s="996"/>
      <c r="K5394" s="997"/>
      <c r="L5394" s="647">
        <v>0.60416666666666663</v>
      </c>
      <c r="M5394" s="648">
        <v>0.49999999999999994</v>
      </c>
    </row>
    <row r="5395" spans="4:13" ht="25" thickBot="1">
      <c r="E5395" s="628" t="s">
        <v>436</v>
      </c>
      <c r="F5395" s="200" t="s">
        <v>29</v>
      </c>
      <c r="G5395" s="200" t="s">
        <v>28</v>
      </c>
      <c r="H5395" s="201" t="s">
        <v>27</v>
      </c>
      <c r="I5395" s="995"/>
      <c r="J5395" s="996"/>
      <c r="K5395" s="997"/>
      <c r="L5395" s="99"/>
      <c r="M5395" s="100"/>
    </row>
    <row r="5396" spans="4:13" ht="23">
      <c r="E5396" s="629">
        <v>45796</v>
      </c>
      <c r="F5396" s="632">
        <v>2.1999999999999999E-2</v>
      </c>
      <c r="G5396" s="632">
        <v>2.1999999999999999E-2</v>
      </c>
      <c r="H5396" s="632">
        <v>2.1999999999999999E-2</v>
      </c>
      <c r="I5396" s="995"/>
      <c r="J5396" s="996"/>
      <c r="K5396" s="997"/>
      <c r="L5396" s="99"/>
      <c r="M5396" s="100"/>
    </row>
    <row r="5397" spans="4:13" ht="23">
      <c r="E5397" s="629">
        <v>45779</v>
      </c>
      <c r="F5397" s="632">
        <v>2.1999999999999999E-2</v>
      </c>
      <c r="G5397" s="632">
        <v>2.1000000000000001E-2</v>
      </c>
      <c r="H5397" s="632">
        <v>2.1999999999999999E-2</v>
      </c>
      <c r="I5397" s="995"/>
      <c r="J5397" s="996"/>
      <c r="K5397" s="997"/>
      <c r="L5397" s="99"/>
      <c r="M5397" s="100"/>
    </row>
    <row r="5398" spans="4:13" ht="23">
      <c r="E5398" s="629">
        <v>45763</v>
      </c>
      <c r="F5398" s="632">
        <v>2.1999999999999999E-2</v>
      </c>
      <c r="G5398" s="632">
        <v>2.1999999999999999E-2</v>
      </c>
      <c r="H5398" s="632">
        <v>2.3E-2</v>
      </c>
      <c r="I5398" s="995"/>
      <c r="J5398" s="996"/>
      <c r="K5398" s="997"/>
      <c r="L5398" s="649"/>
      <c r="M5398" s="100"/>
    </row>
    <row r="5399" spans="4:13" ht="23">
      <c r="E5399" s="629">
        <v>45748</v>
      </c>
      <c r="F5399" s="632">
        <v>2.1999999999999999E-2</v>
      </c>
      <c r="G5399" s="632">
        <v>2.1999999999999999E-2</v>
      </c>
      <c r="H5399" s="632">
        <v>2.3E-2</v>
      </c>
      <c r="I5399" s="995"/>
      <c r="J5399" s="996"/>
      <c r="K5399" s="997"/>
      <c r="L5399" s="99"/>
      <c r="M5399" s="100"/>
    </row>
    <row r="5400" spans="4:13" ht="23">
      <c r="E5400" s="629">
        <v>45735</v>
      </c>
      <c r="F5400" s="632">
        <v>2.3E-2</v>
      </c>
      <c r="G5400" s="632">
        <v>2.4E-2</v>
      </c>
      <c r="H5400" s="632">
        <v>2.5000000000000001E-2</v>
      </c>
      <c r="I5400" s="995"/>
      <c r="J5400" s="996"/>
      <c r="K5400" s="997"/>
      <c r="L5400" s="99"/>
      <c r="M5400" s="100"/>
    </row>
    <row r="5401" spans="4:13" ht="24" thickBot="1">
      <c r="E5401" s="629">
        <v>45719</v>
      </c>
      <c r="F5401" s="632">
        <v>2.4E-2</v>
      </c>
      <c r="G5401" s="632">
        <v>2.3E-2</v>
      </c>
      <c r="H5401" s="632">
        <v>2.5000000000000001E-2</v>
      </c>
      <c r="I5401" s="998"/>
      <c r="J5401" s="999"/>
      <c r="K5401" s="1000"/>
      <c r="L5401" s="102"/>
      <c r="M5401" s="103"/>
    </row>
    <row r="5402" spans="4:13" ht="25" customHeight="1" thickBot="1">
      <c r="D5402">
        <v>1</v>
      </c>
      <c r="E5402" s="628" t="s">
        <v>30</v>
      </c>
      <c r="F5402" s="986" t="s">
        <v>2194</v>
      </c>
      <c r="G5402" s="987"/>
      <c r="H5402" s="988"/>
      <c r="I5402" s="1049" t="s">
        <v>633</v>
      </c>
      <c r="J5402" s="990"/>
      <c r="K5402" s="991"/>
      <c r="L5402" s="658" t="s">
        <v>430</v>
      </c>
      <c r="M5402" s="659" t="s">
        <v>431</v>
      </c>
    </row>
    <row r="5403" spans="4:13" ht="24" customHeight="1">
      <c r="E5403" s="625" t="s">
        <v>432</v>
      </c>
      <c r="F5403" s="1011"/>
      <c r="G5403" s="1012"/>
      <c r="H5403" s="1013"/>
      <c r="I5403" s="1021" t="s">
        <v>2015</v>
      </c>
      <c r="J5403" s="1015"/>
      <c r="K5403" s="1016"/>
      <c r="L5403" s="99"/>
      <c r="M5403" s="100"/>
    </row>
    <row r="5404" spans="4:13" ht="24">
      <c r="E5404" s="626" t="s">
        <v>433</v>
      </c>
      <c r="F5404" s="1001"/>
      <c r="G5404" s="1017"/>
      <c r="H5404" s="1018"/>
      <c r="I5404" s="995"/>
      <c r="J5404" s="996"/>
      <c r="K5404" s="997"/>
      <c r="L5404" s="99"/>
      <c r="M5404" s="100"/>
    </row>
    <row r="5405" spans="4:13" ht="25" thickBot="1">
      <c r="E5405" s="626" t="s">
        <v>434</v>
      </c>
      <c r="F5405" s="1004" t="s">
        <v>2195</v>
      </c>
      <c r="G5405" s="1005"/>
      <c r="H5405" s="1006"/>
      <c r="I5405" s="995"/>
      <c r="J5405" s="996"/>
      <c r="K5405" s="997"/>
      <c r="L5405" s="99"/>
      <c r="M5405" s="100"/>
    </row>
    <row r="5406" spans="4:13" ht="25" thickBot="1">
      <c r="E5406" s="627" t="s">
        <v>435</v>
      </c>
      <c r="F5406" s="1007">
        <v>0.58333333333333337</v>
      </c>
      <c r="G5406" s="1008"/>
      <c r="H5406" s="1009"/>
      <c r="I5406" s="995"/>
      <c r="J5406" s="996"/>
      <c r="K5406" s="997"/>
      <c r="L5406" s="647">
        <v>0.8125</v>
      </c>
      <c r="M5406" s="648">
        <v>0.70833333333333337</v>
      </c>
    </row>
    <row r="5407" spans="4:13" ht="25" thickBot="1">
      <c r="E5407" s="628" t="s">
        <v>436</v>
      </c>
      <c r="F5407" s="200" t="s">
        <v>29</v>
      </c>
      <c r="G5407" s="200" t="s">
        <v>28</v>
      </c>
      <c r="H5407" s="201" t="s">
        <v>27</v>
      </c>
      <c r="I5407" s="995"/>
      <c r="J5407" s="996"/>
      <c r="K5407" s="997"/>
      <c r="L5407" s="99"/>
      <c r="M5407" s="100"/>
    </row>
    <row r="5408" spans="4:13" ht="24">
      <c r="E5408" s="629">
        <v>45776</v>
      </c>
      <c r="F5408" s="632" t="s">
        <v>2226</v>
      </c>
      <c r="G5408" s="632" t="s">
        <v>2227</v>
      </c>
      <c r="H5408" s="632" t="s">
        <v>2228</v>
      </c>
      <c r="I5408" s="995"/>
      <c r="J5408" s="996"/>
      <c r="K5408" s="997"/>
      <c r="L5408" s="99"/>
      <c r="M5408" s="100"/>
    </row>
    <row r="5409" spans="4:13" ht="24">
      <c r="E5409" s="629">
        <v>45748</v>
      </c>
      <c r="F5409" s="632" t="s">
        <v>2056</v>
      </c>
      <c r="G5409" s="632" t="s">
        <v>2057</v>
      </c>
      <c r="H5409" s="632" t="s">
        <v>2058</v>
      </c>
      <c r="I5409" s="995"/>
      <c r="J5409" s="996"/>
      <c r="K5409" s="997"/>
      <c r="L5409" s="99"/>
      <c r="M5409" s="100"/>
    </row>
    <row r="5410" spans="4:13" ht="24">
      <c r="E5410" s="629">
        <v>45727</v>
      </c>
      <c r="F5410" s="632" t="s">
        <v>1798</v>
      </c>
      <c r="G5410" s="632" t="s">
        <v>1799</v>
      </c>
      <c r="H5410" s="632" t="s">
        <v>1800</v>
      </c>
      <c r="I5410" s="995"/>
      <c r="J5410" s="996"/>
      <c r="K5410" s="997"/>
      <c r="L5410" s="649"/>
      <c r="M5410" s="100"/>
    </row>
    <row r="5411" spans="4:13" ht="24">
      <c r="E5411" s="629">
        <v>45692</v>
      </c>
      <c r="F5411" s="632" t="s">
        <v>1804</v>
      </c>
      <c r="G5411" s="632" t="s">
        <v>1805</v>
      </c>
      <c r="H5411" s="632" t="s">
        <v>1806</v>
      </c>
      <c r="I5411" s="995"/>
      <c r="J5411" s="996"/>
      <c r="K5411" s="997"/>
      <c r="L5411" s="99"/>
      <c r="M5411" s="100"/>
    </row>
    <row r="5412" spans="4:13" ht="24">
      <c r="E5412" s="629">
        <v>45664</v>
      </c>
      <c r="F5412" s="632" t="s">
        <v>1811</v>
      </c>
      <c r="G5412" s="632" t="s">
        <v>1812</v>
      </c>
      <c r="H5412" s="632" t="s">
        <v>1813</v>
      </c>
      <c r="I5412" s="995"/>
      <c r="J5412" s="996"/>
      <c r="K5412" s="997"/>
      <c r="L5412" s="99"/>
      <c r="M5412" s="100"/>
    </row>
    <row r="5413" spans="4:13" ht="25" thickBot="1">
      <c r="E5413" s="629">
        <v>45629</v>
      </c>
      <c r="F5413" s="632" t="s">
        <v>1385</v>
      </c>
      <c r="G5413" s="632" t="s">
        <v>1386</v>
      </c>
      <c r="H5413" s="632" t="s">
        <v>1387</v>
      </c>
      <c r="I5413" s="998"/>
      <c r="J5413" s="999"/>
      <c r="K5413" s="1000"/>
      <c r="L5413" s="102"/>
      <c r="M5413" s="103"/>
    </row>
    <row r="5414" spans="4:13" ht="25" customHeight="1" thickBot="1">
      <c r="D5414">
        <v>1</v>
      </c>
      <c r="E5414" s="628" t="s">
        <v>30</v>
      </c>
      <c r="F5414" s="986" t="s">
        <v>2196</v>
      </c>
      <c r="G5414" s="987"/>
      <c r="H5414" s="988"/>
      <c r="I5414" s="1049" t="s">
        <v>633</v>
      </c>
      <c r="J5414" s="990"/>
      <c r="K5414" s="991"/>
      <c r="L5414" s="658" t="s">
        <v>430</v>
      </c>
      <c r="M5414" s="659" t="s">
        <v>431</v>
      </c>
    </row>
    <row r="5415" spans="4:13" ht="24" customHeight="1">
      <c r="E5415" s="625" t="s">
        <v>432</v>
      </c>
      <c r="F5415" s="1011"/>
      <c r="G5415" s="1012"/>
      <c r="H5415" s="1013"/>
      <c r="I5415" s="1021" t="s">
        <v>2199</v>
      </c>
      <c r="J5415" s="1015"/>
      <c r="K5415" s="1016"/>
      <c r="L5415" s="99"/>
      <c r="M5415" s="100"/>
    </row>
    <row r="5416" spans="4:13" ht="24">
      <c r="E5416" s="626" t="s">
        <v>433</v>
      </c>
      <c r="F5416" s="1001"/>
      <c r="G5416" s="1017"/>
      <c r="H5416" s="1018"/>
      <c r="I5416" s="995"/>
      <c r="J5416" s="996"/>
      <c r="K5416" s="997"/>
      <c r="L5416" s="99"/>
      <c r="M5416" s="100"/>
    </row>
    <row r="5417" spans="4:13" ht="25" thickBot="1">
      <c r="E5417" s="626" t="s">
        <v>434</v>
      </c>
      <c r="F5417" s="1022" t="s">
        <v>2198</v>
      </c>
      <c r="G5417" s="1019"/>
      <c r="H5417" s="1020"/>
      <c r="I5417" s="995"/>
      <c r="J5417" s="996"/>
      <c r="K5417" s="997"/>
      <c r="L5417" s="99"/>
      <c r="M5417" s="100"/>
    </row>
    <row r="5418" spans="4:13" ht="25" thickBot="1">
      <c r="E5418" s="627" t="s">
        <v>435</v>
      </c>
      <c r="F5418" s="1007">
        <v>0.51041666666666674</v>
      </c>
      <c r="G5418" s="1008"/>
      <c r="H5418" s="1009"/>
      <c r="I5418" s="995"/>
      <c r="J5418" s="996"/>
      <c r="K5418" s="997"/>
      <c r="L5418" s="647">
        <v>0.73958333333333337</v>
      </c>
      <c r="M5418" s="648">
        <v>0.63541666666666674</v>
      </c>
    </row>
    <row r="5419" spans="4:13" ht="25" thickBot="1">
      <c r="E5419" s="628" t="s">
        <v>436</v>
      </c>
      <c r="F5419" s="200" t="s">
        <v>29</v>
      </c>
      <c r="G5419" s="200" t="s">
        <v>28</v>
      </c>
      <c r="H5419" s="201" t="s">
        <v>27</v>
      </c>
      <c r="I5419" s="995"/>
      <c r="J5419" s="996"/>
      <c r="K5419" s="997"/>
      <c r="L5419" s="99"/>
      <c r="M5419" s="100"/>
    </row>
    <row r="5420" spans="4:13" ht="24" customHeight="1">
      <c r="E5420" s="629">
        <v>45749</v>
      </c>
      <c r="F5420" s="636" t="s">
        <v>1203</v>
      </c>
      <c r="G5420" s="636" t="s">
        <v>2062</v>
      </c>
      <c r="H5420" s="636" t="s">
        <v>2063</v>
      </c>
      <c r="I5420" s="995"/>
      <c r="J5420" s="996"/>
      <c r="K5420" s="997"/>
      <c r="L5420" s="99"/>
      <c r="M5420" s="100"/>
    </row>
    <row r="5421" spans="4:13" ht="24" customHeight="1">
      <c r="E5421" s="629">
        <v>45721</v>
      </c>
      <c r="F5421" s="636" t="s">
        <v>1825</v>
      </c>
      <c r="G5421" s="636" t="s">
        <v>1826</v>
      </c>
      <c r="H5421" s="636" t="s">
        <v>1827</v>
      </c>
      <c r="I5421" s="995"/>
      <c r="J5421" s="996"/>
      <c r="K5421" s="997"/>
      <c r="L5421" s="99"/>
      <c r="M5421" s="100"/>
    </row>
    <row r="5422" spans="4:13" ht="24" customHeight="1">
      <c r="E5422" s="629">
        <v>45693</v>
      </c>
      <c r="F5422" s="636" t="s">
        <v>1830</v>
      </c>
      <c r="G5422" s="636" t="s">
        <v>1831</v>
      </c>
      <c r="H5422" s="636" t="s">
        <v>1239</v>
      </c>
      <c r="I5422" s="995"/>
      <c r="J5422" s="996"/>
      <c r="K5422" s="997"/>
      <c r="L5422" s="649"/>
      <c r="M5422" s="100"/>
    </row>
    <row r="5423" spans="4:13" ht="24" customHeight="1">
      <c r="E5423" s="629">
        <v>45665</v>
      </c>
      <c r="F5423" s="636" t="s">
        <v>1201</v>
      </c>
      <c r="G5423" s="636" t="s">
        <v>1834</v>
      </c>
      <c r="H5423" s="636" t="s">
        <v>1388</v>
      </c>
      <c r="I5423" s="995"/>
      <c r="J5423" s="996"/>
      <c r="K5423" s="997"/>
      <c r="L5423" s="99"/>
      <c r="M5423" s="100"/>
    </row>
    <row r="5424" spans="4:13" ht="24" customHeight="1">
      <c r="E5424" s="629">
        <v>45630</v>
      </c>
      <c r="F5424" s="636" t="s">
        <v>1388</v>
      </c>
      <c r="G5424" s="636" t="s">
        <v>1389</v>
      </c>
      <c r="H5424" s="636" t="s">
        <v>1390</v>
      </c>
      <c r="I5424" s="995"/>
      <c r="J5424" s="996"/>
      <c r="K5424" s="997"/>
      <c r="L5424" s="99"/>
      <c r="M5424" s="100"/>
    </row>
    <row r="5425" spans="4:13" ht="25" customHeight="1" thickBot="1">
      <c r="E5425" s="629">
        <v>45595</v>
      </c>
      <c r="F5425" s="636" t="s">
        <v>1192</v>
      </c>
      <c r="G5425" s="636" t="s">
        <v>1193</v>
      </c>
      <c r="H5425" s="636" t="s">
        <v>1194</v>
      </c>
      <c r="I5425" s="998"/>
      <c r="J5425" s="999"/>
      <c r="K5425" s="1000"/>
      <c r="L5425" s="102"/>
      <c r="M5425" s="103"/>
    </row>
    <row r="5426" spans="4:13" ht="25" customHeight="1" thickBot="1">
      <c r="D5426">
        <v>1</v>
      </c>
      <c r="E5426" s="628" t="s">
        <v>30</v>
      </c>
      <c r="F5426" s="986" t="s">
        <v>2200</v>
      </c>
      <c r="G5426" s="987"/>
      <c r="H5426" s="988"/>
      <c r="I5426" s="1049" t="s">
        <v>633</v>
      </c>
      <c r="J5426" s="990"/>
      <c r="K5426" s="991"/>
      <c r="L5426" s="658" t="s">
        <v>430</v>
      </c>
      <c r="M5426" s="659" t="s">
        <v>431</v>
      </c>
    </row>
    <row r="5427" spans="4:13" ht="24" customHeight="1">
      <c r="E5427" s="625" t="s">
        <v>432</v>
      </c>
      <c r="F5427" s="1011"/>
      <c r="G5427" s="1012"/>
      <c r="H5427" s="1013"/>
      <c r="I5427" s="1021" t="s">
        <v>1969</v>
      </c>
      <c r="J5427" s="1015"/>
      <c r="K5427" s="1016"/>
      <c r="L5427" s="99"/>
      <c r="M5427" s="100"/>
    </row>
    <row r="5428" spans="4:13" ht="24">
      <c r="E5428" s="626" t="s">
        <v>433</v>
      </c>
      <c r="F5428" s="1010">
        <v>52.3</v>
      </c>
      <c r="G5428" s="1002"/>
      <c r="H5428" s="1003"/>
      <c r="I5428" s="995"/>
      <c r="J5428" s="996"/>
      <c r="K5428" s="997"/>
      <c r="L5428" s="99"/>
      <c r="M5428" s="100"/>
    </row>
    <row r="5429" spans="4:13" ht="25" thickBot="1">
      <c r="E5429" s="626" t="s">
        <v>434</v>
      </c>
      <c r="F5429" s="1010">
        <v>50.8</v>
      </c>
      <c r="G5429" s="1002"/>
      <c r="H5429" s="1003"/>
      <c r="I5429" s="995"/>
      <c r="J5429" s="996"/>
      <c r="K5429" s="997"/>
      <c r="L5429" s="99"/>
      <c r="M5429" s="100"/>
    </row>
    <row r="5430" spans="4:13" ht="25" thickBot="1">
      <c r="E5430" s="627" t="s">
        <v>435</v>
      </c>
      <c r="F5430" s="1007">
        <v>0.57291666666666674</v>
      </c>
      <c r="G5430" s="1008"/>
      <c r="H5430" s="1009"/>
      <c r="I5430" s="995"/>
      <c r="J5430" s="996"/>
      <c r="K5430" s="997"/>
      <c r="L5430" s="647">
        <v>0.80208333333333337</v>
      </c>
      <c r="M5430" s="648">
        <v>0.69791666666666674</v>
      </c>
    </row>
    <row r="5431" spans="4:13" ht="25" thickBot="1">
      <c r="E5431" s="628" t="s">
        <v>436</v>
      </c>
      <c r="F5431" s="200" t="s">
        <v>29</v>
      </c>
      <c r="G5431" s="200" t="s">
        <v>28</v>
      </c>
      <c r="H5431" s="201" t="s">
        <v>27</v>
      </c>
      <c r="I5431" s="995"/>
      <c r="J5431" s="996"/>
      <c r="K5431" s="997"/>
      <c r="L5431" s="99"/>
      <c r="M5431" s="100"/>
    </row>
    <row r="5432" spans="4:13" ht="23">
      <c r="E5432" s="629">
        <v>45799</v>
      </c>
      <c r="F5432" s="636">
        <v>52.3</v>
      </c>
      <c r="G5432" s="636">
        <v>51</v>
      </c>
      <c r="H5432" s="636">
        <v>50.8</v>
      </c>
      <c r="I5432" s="995"/>
      <c r="J5432" s="996"/>
      <c r="K5432" s="997"/>
      <c r="L5432" s="99"/>
      <c r="M5432" s="100"/>
    </row>
    <row r="5433" spans="4:13" ht="23">
      <c r="E5433" s="629">
        <v>45782</v>
      </c>
      <c r="F5433" s="636">
        <v>50.8</v>
      </c>
      <c r="G5433" s="636">
        <v>51.4</v>
      </c>
      <c r="H5433" s="636">
        <v>54.4</v>
      </c>
      <c r="I5433" s="995"/>
      <c r="J5433" s="996"/>
      <c r="K5433" s="997"/>
      <c r="L5433" s="99"/>
      <c r="M5433" s="100"/>
    </row>
    <row r="5434" spans="4:13" ht="23">
      <c r="E5434" s="629">
        <v>45799</v>
      </c>
      <c r="F5434" s="636">
        <v>52.3</v>
      </c>
      <c r="G5434" s="636">
        <v>51</v>
      </c>
      <c r="H5434" s="636">
        <v>50.8</v>
      </c>
      <c r="I5434" s="995"/>
      <c r="J5434" s="996"/>
      <c r="K5434" s="997"/>
      <c r="L5434" s="649"/>
      <c r="M5434" s="100"/>
    </row>
    <row r="5435" spans="4:13" ht="23">
      <c r="E5435" s="629">
        <v>45782</v>
      </c>
      <c r="F5435" s="636">
        <v>50.8</v>
      </c>
      <c r="G5435" s="636">
        <v>51.4</v>
      </c>
      <c r="H5435" s="636">
        <v>54.4</v>
      </c>
      <c r="I5435" s="995"/>
      <c r="J5435" s="996"/>
      <c r="K5435" s="997"/>
      <c r="L5435" s="99"/>
      <c r="M5435" s="100"/>
    </row>
    <row r="5436" spans="4:13" ht="23">
      <c r="E5436" s="629">
        <v>45799</v>
      </c>
      <c r="F5436" s="636">
        <v>52.3</v>
      </c>
      <c r="G5436" s="636">
        <v>51</v>
      </c>
      <c r="H5436" s="636">
        <v>50.8</v>
      </c>
      <c r="I5436" s="995"/>
      <c r="J5436" s="996"/>
      <c r="K5436" s="997"/>
      <c r="L5436" s="99"/>
      <c r="M5436" s="100"/>
    </row>
    <row r="5437" spans="4:13" ht="24" thickBot="1">
      <c r="E5437" s="629">
        <v>45782</v>
      </c>
      <c r="F5437" s="636">
        <v>50.8</v>
      </c>
      <c r="G5437" s="636">
        <v>51.4</v>
      </c>
      <c r="H5437" s="636">
        <v>54.4</v>
      </c>
      <c r="I5437" s="998"/>
      <c r="J5437" s="999"/>
      <c r="K5437" s="1000"/>
      <c r="L5437" s="102"/>
      <c r="M5437" s="103"/>
    </row>
    <row r="5438" spans="4:13" ht="25" customHeight="1" thickBot="1">
      <c r="D5438">
        <v>1</v>
      </c>
      <c r="E5438" s="628" t="s">
        <v>30</v>
      </c>
      <c r="F5438" s="986" t="s">
        <v>1501</v>
      </c>
      <c r="G5438" s="987"/>
      <c r="H5438" s="988"/>
      <c r="I5438" s="1049" t="s">
        <v>633</v>
      </c>
      <c r="J5438" s="990"/>
      <c r="K5438" s="991"/>
      <c r="L5438" s="658" t="s">
        <v>430</v>
      </c>
      <c r="M5438" s="659" t="s">
        <v>431</v>
      </c>
    </row>
    <row r="5439" spans="4:13" ht="24" customHeight="1">
      <c r="E5439" s="625" t="s">
        <v>432</v>
      </c>
      <c r="F5439" s="1011"/>
      <c r="G5439" s="1012"/>
      <c r="H5439" s="1013"/>
      <c r="I5439" s="1021" t="s">
        <v>2201</v>
      </c>
      <c r="J5439" s="1015"/>
      <c r="K5439" s="1016"/>
      <c r="L5439" s="99"/>
      <c r="M5439" s="100"/>
    </row>
    <row r="5440" spans="4:13" ht="24">
      <c r="E5440" s="626" t="s">
        <v>433</v>
      </c>
      <c r="F5440" s="1001"/>
      <c r="G5440" s="1017"/>
      <c r="H5440" s="1018"/>
      <c r="I5440" s="995"/>
      <c r="J5440" s="996"/>
      <c r="K5440" s="997"/>
      <c r="L5440" s="99"/>
      <c r="M5440" s="100"/>
    </row>
    <row r="5441" spans="4:13" ht="25" thickBot="1">
      <c r="E5441" s="626" t="s">
        <v>434</v>
      </c>
      <c r="F5441" s="1004">
        <v>2.75E-2</v>
      </c>
      <c r="G5441" s="1005"/>
      <c r="H5441" s="1006"/>
      <c r="I5441" s="995"/>
      <c r="J5441" s="996"/>
      <c r="K5441" s="997"/>
      <c r="L5441" s="99"/>
      <c r="M5441" s="100"/>
    </row>
    <row r="5442" spans="4:13" ht="25" thickBot="1">
      <c r="E5442" s="627" t="s">
        <v>435</v>
      </c>
      <c r="F5442" s="1007">
        <v>0.57291666666666674</v>
      </c>
      <c r="G5442" s="1008"/>
      <c r="H5442" s="1009"/>
      <c r="I5442" s="995"/>
      <c r="J5442" s="996"/>
      <c r="K5442" s="997"/>
      <c r="L5442" s="647">
        <v>0.80208333333333337</v>
      </c>
      <c r="M5442" s="648">
        <v>0.69791666666666674</v>
      </c>
    </row>
    <row r="5443" spans="4:13" ht="25" thickBot="1">
      <c r="E5443" s="628" t="s">
        <v>436</v>
      </c>
      <c r="F5443" s="200" t="s">
        <v>29</v>
      </c>
      <c r="G5443" s="200" t="s">
        <v>28</v>
      </c>
      <c r="H5443" s="201" t="s">
        <v>27</v>
      </c>
      <c r="I5443" s="995"/>
      <c r="J5443" s="996"/>
      <c r="K5443" s="997"/>
      <c r="L5443" s="99"/>
      <c r="M5443" s="100"/>
    </row>
    <row r="5444" spans="4:13" ht="23">
      <c r="E5444" s="629">
        <v>45763</v>
      </c>
      <c r="F5444" s="632">
        <v>2.75E-2</v>
      </c>
      <c r="G5444" s="632">
        <v>2.75E-2</v>
      </c>
      <c r="H5444" s="632">
        <v>2.75E-2</v>
      </c>
      <c r="I5444" s="995"/>
      <c r="J5444" s="996"/>
      <c r="K5444" s="997"/>
      <c r="L5444" s="99"/>
      <c r="M5444" s="100"/>
    </row>
    <row r="5445" spans="4:13" ht="23">
      <c r="E5445" s="629">
        <v>45728</v>
      </c>
      <c r="F5445" s="632">
        <v>2.75E-2</v>
      </c>
      <c r="G5445" s="632">
        <v>2.75E-2</v>
      </c>
      <c r="H5445" s="632">
        <v>0.03</v>
      </c>
      <c r="I5445" s="995"/>
      <c r="J5445" s="996"/>
      <c r="K5445" s="997"/>
      <c r="L5445" s="99"/>
      <c r="M5445" s="100"/>
    </row>
    <row r="5446" spans="4:13" ht="23">
      <c r="E5446" s="629">
        <v>45686</v>
      </c>
      <c r="F5446" s="632">
        <v>0.03</v>
      </c>
      <c r="G5446" s="632">
        <v>0.03</v>
      </c>
      <c r="H5446" s="632">
        <v>3.2500000000000001E-2</v>
      </c>
      <c r="I5446" s="995"/>
      <c r="J5446" s="996"/>
      <c r="K5446" s="997"/>
      <c r="L5446" s="649"/>
      <c r="M5446" s="100"/>
    </row>
    <row r="5447" spans="4:13" ht="23">
      <c r="E5447" s="629">
        <v>45637</v>
      </c>
      <c r="F5447" s="632">
        <v>3.2500000000000001E-2</v>
      </c>
      <c r="G5447" s="632">
        <v>3.2500000000000001E-2</v>
      </c>
      <c r="H5447" s="632">
        <v>3.7499999999999999E-2</v>
      </c>
      <c r="I5447" s="995"/>
      <c r="J5447" s="996"/>
      <c r="K5447" s="997"/>
      <c r="L5447" s="99"/>
      <c r="M5447" s="100"/>
    </row>
    <row r="5448" spans="4:13" ht="23">
      <c r="E5448" s="629">
        <v>45588</v>
      </c>
      <c r="F5448" s="632">
        <v>3.7499999999999999E-2</v>
      </c>
      <c r="G5448" s="632">
        <v>3.7499999999999999E-2</v>
      </c>
      <c r="H5448" s="632">
        <v>4.2500000000000003E-2</v>
      </c>
      <c r="I5448" s="995"/>
      <c r="J5448" s="996"/>
      <c r="K5448" s="997"/>
      <c r="L5448" s="99"/>
      <c r="M5448" s="100"/>
    </row>
    <row r="5449" spans="4:13" ht="24" thickBot="1">
      <c r="E5449" s="629">
        <v>45539</v>
      </c>
      <c r="F5449" s="632">
        <v>4.2500000000000003E-2</v>
      </c>
      <c r="G5449" s="632">
        <v>4.2500000000000003E-2</v>
      </c>
      <c r="H5449" s="632">
        <v>4.4999999999999998E-2</v>
      </c>
      <c r="I5449" s="998"/>
      <c r="J5449" s="999"/>
      <c r="K5449" s="1000"/>
      <c r="L5449" s="102"/>
      <c r="M5449" s="103"/>
    </row>
    <row r="5450" spans="4:13" ht="25" customHeight="1" thickBot="1">
      <c r="D5450">
        <v>1</v>
      </c>
      <c r="E5450" s="628" t="s">
        <v>30</v>
      </c>
      <c r="F5450" s="986" t="s">
        <v>2202</v>
      </c>
      <c r="G5450" s="987"/>
      <c r="H5450" s="988"/>
      <c r="I5450" s="1049" t="s">
        <v>633</v>
      </c>
      <c r="J5450" s="990"/>
      <c r="K5450" s="991"/>
      <c r="L5450" s="658" t="s">
        <v>430</v>
      </c>
      <c r="M5450" s="659" t="s">
        <v>431</v>
      </c>
    </row>
    <row r="5451" spans="4:13" ht="24" customHeight="1">
      <c r="E5451" s="625" t="s">
        <v>432</v>
      </c>
      <c r="F5451" s="1011"/>
      <c r="G5451" s="1012"/>
      <c r="H5451" s="1013"/>
      <c r="I5451" s="1021" t="s">
        <v>2203</v>
      </c>
      <c r="J5451" s="1015"/>
      <c r="K5451" s="1016"/>
      <c r="L5451" s="99"/>
      <c r="M5451" s="100"/>
    </row>
    <row r="5452" spans="4:13" ht="24">
      <c r="E5452" s="626" t="s">
        <v>433</v>
      </c>
      <c r="F5452" s="1010">
        <v>52.3</v>
      </c>
      <c r="G5452" s="1002"/>
      <c r="H5452" s="1003"/>
      <c r="I5452" s="995"/>
      <c r="J5452" s="996"/>
      <c r="K5452" s="997"/>
      <c r="L5452" s="99"/>
      <c r="M5452" s="100"/>
    </row>
    <row r="5453" spans="4:13" ht="25" thickBot="1">
      <c r="E5453" s="626" t="s">
        <v>434</v>
      </c>
      <c r="F5453" s="1010">
        <v>51.6</v>
      </c>
      <c r="G5453" s="1002"/>
      <c r="H5453" s="1003"/>
      <c r="I5453" s="995"/>
      <c r="J5453" s="996"/>
      <c r="K5453" s="997"/>
      <c r="L5453" s="99"/>
      <c r="M5453" s="100"/>
    </row>
    <row r="5454" spans="4:13" ht="25" thickBot="1">
      <c r="E5454" s="627" t="s">
        <v>435</v>
      </c>
      <c r="F5454" s="1007">
        <v>0.58333333333333337</v>
      </c>
      <c r="G5454" s="1008"/>
      <c r="H5454" s="1009"/>
      <c r="I5454" s="995"/>
      <c r="J5454" s="996"/>
      <c r="K5454" s="997"/>
      <c r="L5454" s="647">
        <v>0.8125</v>
      </c>
      <c r="M5454" s="648">
        <v>0.70833333333333337</v>
      </c>
    </row>
    <row r="5455" spans="4:13" ht="25" thickBot="1">
      <c r="E5455" s="628" t="s">
        <v>436</v>
      </c>
      <c r="F5455" s="200" t="s">
        <v>29</v>
      </c>
      <c r="G5455" s="200" t="s">
        <v>28</v>
      </c>
      <c r="H5455" s="201" t="s">
        <v>27</v>
      </c>
      <c r="I5455" s="995"/>
      <c r="J5455" s="996"/>
      <c r="K5455" s="997"/>
      <c r="L5455" s="99"/>
      <c r="M5455" s="100"/>
    </row>
    <row r="5456" spans="4:13" ht="24">
      <c r="E5456" s="629">
        <v>45782</v>
      </c>
      <c r="F5456" s="632" t="s">
        <v>2229</v>
      </c>
      <c r="G5456" s="632" t="s">
        <v>1659</v>
      </c>
      <c r="H5456" s="632" t="s">
        <v>2230</v>
      </c>
      <c r="I5456" s="995"/>
      <c r="J5456" s="996"/>
      <c r="K5456" s="997"/>
      <c r="L5456" s="99"/>
      <c r="M5456" s="100"/>
    </row>
    <row r="5457" spans="4:13" ht="24">
      <c r="E5457" s="629">
        <v>45750</v>
      </c>
      <c r="F5457" s="632" t="s">
        <v>2230</v>
      </c>
      <c r="G5457" s="632" t="s">
        <v>2231</v>
      </c>
      <c r="H5457" s="632" t="s">
        <v>2232</v>
      </c>
      <c r="I5457" s="995"/>
      <c r="J5457" s="996"/>
      <c r="K5457" s="997"/>
      <c r="L5457" s="99"/>
      <c r="M5457" s="100"/>
    </row>
    <row r="5458" spans="4:13" ht="24">
      <c r="E5458" s="629">
        <v>45721</v>
      </c>
      <c r="F5458" s="632" t="s">
        <v>2232</v>
      </c>
      <c r="G5458" s="632" t="s">
        <v>2233</v>
      </c>
      <c r="H5458" s="632" t="s">
        <v>2095</v>
      </c>
      <c r="I5458" s="995"/>
      <c r="J5458" s="996"/>
      <c r="K5458" s="997"/>
      <c r="L5458" s="649"/>
      <c r="M5458" s="100"/>
    </row>
    <row r="5459" spans="4:13" ht="24">
      <c r="E5459" s="629">
        <v>45693</v>
      </c>
      <c r="F5459" s="632" t="s">
        <v>2095</v>
      </c>
      <c r="G5459" s="632" t="s">
        <v>2234</v>
      </c>
      <c r="H5459" s="632" t="s">
        <v>1857</v>
      </c>
      <c r="I5459" s="995"/>
      <c r="J5459" s="996"/>
      <c r="K5459" s="997"/>
      <c r="L5459" s="99"/>
      <c r="M5459" s="100"/>
    </row>
    <row r="5460" spans="4:13" ht="24">
      <c r="E5460" s="629">
        <v>45664</v>
      </c>
      <c r="F5460" s="632" t="s">
        <v>2235</v>
      </c>
      <c r="G5460" s="632" t="s">
        <v>2232</v>
      </c>
      <c r="H5460" s="632" t="s">
        <v>2236</v>
      </c>
      <c r="I5460" s="995"/>
      <c r="J5460" s="996"/>
      <c r="K5460" s="997"/>
      <c r="L5460" s="99"/>
      <c r="M5460" s="100"/>
    </row>
    <row r="5461" spans="4:13" ht="25" thickBot="1">
      <c r="E5461" s="629">
        <v>45630</v>
      </c>
      <c r="F5461" s="632" t="s">
        <v>2236</v>
      </c>
      <c r="G5461" s="632" t="s">
        <v>2237</v>
      </c>
      <c r="H5461" s="632" t="s">
        <v>1210</v>
      </c>
      <c r="I5461" s="998"/>
      <c r="J5461" s="999"/>
      <c r="K5461" s="1000"/>
      <c r="L5461" s="102"/>
      <c r="M5461" s="103"/>
    </row>
    <row r="5462" spans="4:13" ht="25" thickBot="1">
      <c r="D5462">
        <v>1</v>
      </c>
      <c r="E5462" s="628" t="s">
        <v>30</v>
      </c>
      <c r="F5462" s="986" t="s">
        <v>2204</v>
      </c>
      <c r="G5462" s="987"/>
      <c r="H5462" s="988"/>
      <c r="I5462" s="989" t="s">
        <v>633</v>
      </c>
      <c r="J5462" s="990"/>
      <c r="K5462" s="991"/>
      <c r="L5462" s="658" t="s">
        <v>430</v>
      </c>
      <c r="M5462" s="659" t="s">
        <v>431</v>
      </c>
    </row>
    <row r="5463" spans="4:13" ht="24">
      <c r="E5463" s="625" t="s">
        <v>432</v>
      </c>
      <c r="F5463" s="992"/>
      <c r="G5463" s="993"/>
      <c r="H5463" s="994"/>
      <c r="I5463" s="995" t="s">
        <v>2205</v>
      </c>
      <c r="J5463" s="996"/>
      <c r="K5463" s="997"/>
      <c r="L5463" s="99"/>
      <c r="M5463" s="100"/>
    </row>
    <row r="5464" spans="4:13" ht="24">
      <c r="E5464" s="626" t="s">
        <v>433</v>
      </c>
      <c r="F5464" s="1001"/>
      <c r="G5464" s="1002"/>
      <c r="H5464" s="1003"/>
      <c r="I5464" s="995"/>
      <c r="J5464" s="996"/>
      <c r="K5464" s="997"/>
      <c r="L5464" s="99"/>
      <c r="M5464" s="100"/>
    </row>
    <row r="5465" spans="4:13" ht="25" thickBot="1">
      <c r="E5465" s="626" t="s">
        <v>434</v>
      </c>
      <c r="F5465" s="1010">
        <v>65.099999999999994</v>
      </c>
      <c r="G5465" s="1002"/>
      <c r="H5465" s="1003"/>
      <c r="I5465" s="995"/>
      <c r="J5465" s="996"/>
      <c r="K5465" s="997"/>
      <c r="L5465" s="99"/>
      <c r="M5465" s="100"/>
    </row>
    <row r="5466" spans="4:13" ht="25" thickBot="1">
      <c r="E5466" s="627" t="s">
        <v>435</v>
      </c>
      <c r="F5466" s="1007">
        <v>0.58333333333333337</v>
      </c>
      <c r="G5466" s="1008"/>
      <c r="H5466" s="1009"/>
      <c r="I5466" s="995"/>
      <c r="J5466" s="996"/>
      <c r="K5466" s="997"/>
      <c r="L5466" s="647">
        <v>0.8125</v>
      </c>
      <c r="M5466" s="648">
        <v>0.70833333333333337</v>
      </c>
    </row>
    <row r="5467" spans="4:13" ht="25" thickBot="1">
      <c r="E5467" s="628" t="s">
        <v>436</v>
      </c>
      <c r="F5467" s="200" t="s">
        <v>29</v>
      </c>
      <c r="G5467" s="200" t="s">
        <v>28</v>
      </c>
      <c r="H5467" s="201" t="s">
        <v>27</v>
      </c>
      <c r="I5467" s="995"/>
      <c r="J5467" s="996"/>
      <c r="K5467" s="997"/>
      <c r="L5467" s="99"/>
      <c r="M5467" s="100"/>
    </row>
    <row r="5468" spans="4:13" ht="23">
      <c r="E5468" s="629">
        <v>45782</v>
      </c>
      <c r="F5468" s="636">
        <v>65.099999999999994</v>
      </c>
      <c r="G5468" s="636">
        <v>61.2</v>
      </c>
      <c r="H5468" s="636">
        <v>60.9</v>
      </c>
      <c r="I5468" s="995"/>
      <c r="J5468" s="996"/>
      <c r="K5468" s="997"/>
      <c r="L5468" s="99"/>
      <c r="M5468" s="100"/>
    </row>
    <row r="5469" spans="4:13" ht="23">
      <c r="E5469" s="629">
        <v>45750</v>
      </c>
      <c r="F5469" s="636">
        <v>60.9</v>
      </c>
      <c r="G5469" s="636">
        <v>63.1</v>
      </c>
      <c r="H5469" s="636">
        <v>62.6</v>
      </c>
      <c r="I5469" s="995"/>
      <c r="J5469" s="996"/>
      <c r="K5469" s="997"/>
      <c r="L5469" s="99"/>
      <c r="M5469" s="100"/>
    </row>
    <row r="5470" spans="4:13" ht="23">
      <c r="E5470" s="629">
        <v>45721</v>
      </c>
      <c r="F5470" s="636">
        <v>62.6</v>
      </c>
      <c r="G5470" s="636">
        <v>60</v>
      </c>
      <c r="H5470" s="636">
        <v>60.4</v>
      </c>
      <c r="I5470" s="995"/>
      <c r="J5470" s="996"/>
      <c r="K5470" s="997"/>
      <c r="L5470" s="649"/>
      <c r="M5470" s="100"/>
    </row>
    <row r="5471" spans="4:13" ht="23">
      <c r="E5471" s="629">
        <v>45693</v>
      </c>
      <c r="F5471" s="636">
        <v>60.4</v>
      </c>
      <c r="G5471" s="636">
        <v>0</v>
      </c>
      <c r="H5471" s="636">
        <v>64.400000000000006</v>
      </c>
      <c r="I5471" s="995"/>
      <c r="J5471" s="996"/>
      <c r="K5471" s="997"/>
      <c r="L5471" s="99"/>
      <c r="M5471" s="100"/>
    </row>
    <row r="5472" spans="4:13" ht="23">
      <c r="E5472" s="629">
        <v>45664</v>
      </c>
      <c r="F5472" s="636">
        <v>64.400000000000006</v>
      </c>
      <c r="G5472" s="636">
        <v>57.5</v>
      </c>
      <c r="H5472" s="636">
        <v>58.2</v>
      </c>
      <c r="I5472" s="995"/>
      <c r="J5472" s="996"/>
      <c r="K5472" s="997"/>
      <c r="L5472" s="99"/>
      <c r="M5472" s="100"/>
    </row>
    <row r="5473" spans="4:13" ht="24" thickBot="1">
      <c r="E5473" s="629">
        <v>45630</v>
      </c>
      <c r="F5473" s="636">
        <v>58.2</v>
      </c>
      <c r="G5473" s="636">
        <v>56.4</v>
      </c>
      <c r="H5473" s="636">
        <v>58.1</v>
      </c>
      <c r="I5473" s="998"/>
      <c r="J5473" s="999"/>
      <c r="K5473" s="1000"/>
      <c r="L5473" s="102"/>
      <c r="M5473" s="103"/>
    </row>
    <row r="5474" spans="4:13" ht="25" thickBot="1">
      <c r="D5474">
        <v>1</v>
      </c>
      <c r="E5474" s="628" t="s">
        <v>30</v>
      </c>
      <c r="F5474" s="986" t="s">
        <v>1503</v>
      </c>
      <c r="G5474" s="987"/>
      <c r="H5474" s="988"/>
      <c r="I5474" s="989" t="s">
        <v>633</v>
      </c>
      <c r="J5474" s="990"/>
      <c r="K5474" s="991"/>
      <c r="L5474" s="658" t="s">
        <v>430</v>
      </c>
      <c r="M5474" s="659" t="s">
        <v>431</v>
      </c>
    </row>
    <row r="5475" spans="4:13" ht="24">
      <c r="E5475" s="625" t="s">
        <v>432</v>
      </c>
      <c r="F5475" s="992"/>
      <c r="G5475" s="993"/>
      <c r="H5475" s="994"/>
      <c r="I5475" s="995" t="s">
        <v>1678</v>
      </c>
      <c r="J5475" s="996"/>
      <c r="K5475" s="997"/>
      <c r="L5475" s="99"/>
      <c r="M5475" s="100"/>
    </row>
    <row r="5476" spans="4:13" ht="24">
      <c r="E5476" s="626" t="s">
        <v>433</v>
      </c>
      <c r="F5476" s="1001"/>
      <c r="G5476" s="1002"/>
      <c r="H5476" s="1003"/>
      <c r="I5476" s="995"/>
      <c r="J5476" s="996"/>
      <c r="K5476" s="997"/>
      <c r="L5476" s="99"/>
      <c r="M5476" s="100"/>
    </row>
    <row r="5477" spans="4:13" ht="25" thickBot="1">
      <c r="E5477" s="626" t="s">
        <v>434</v>
      </c>
      <c r="F5477" s="1010" t="s">
        <v>2206</v>
      </c>
      <c r="G5477" s="1002"/>
      <c r="H5477" s="1003"/>
      <c r="I5477" s="995"/>
      <c r="J5477" s="996"/>
      <c r="K5477" s="997"/>
      <c r="L5477" s="99"/>
      <c r="M5477" s="100"/>
    </row>
    <row r="5478" spans="4:13" ht="25" thickBot="1">
      <c r="E5478" s="627" t="s">
        <v>435</v>
      </c>
      <c r="F5478" s="1007">
        <v>0.60416666666666674</v>
      </c>
      <c r="G5478" s="1008"/>
      <c r="H5478" s="1009"/>
      <c r="I5478" s="995"/>
      <c r="J5478" s="996"/>
      <c r="K5478" s="997"/>
      <c r="L5478" s="647">
        <v>0.83333333333333337</v>
      </c>
      <c r="M5478" s="648">
        <v>0.72916666666666674</v>
      </c>
    </row>
    <row r="5479" spans="4:13" ht="25" thickBot="1">
      <c r="E5479" s="628" t="s">
        <v>436</v>
      </c>
      <c r="F5479" s="200" t="s">
        <v>29</v>
      </c>
      <c r="G5479" s="200" t="s">
        <v>28</v>
      </c>
      <c r="H5479" s="201" t="s">
        <v>27</v>
      </c>
      <c r="I5479" s="995"/>
      <c r="J5479" s="996"/>
      <c r="K5479" s="997"/>
      <c r="L5479" s="99"/>
      <c r="M5479" s="100"/>
    </row>
    <row r="5480" spans="4:13" ht="24">
      <c r="E5480" s="629">
        <v>45806</v>
      </c>
      <c r="F5480" s="636" t="s">
        <v>2238</v>
      </c>
      <c r="G5480" s="636" t="s">
        <v>2239</v>
      </c>
      <c r="H5480" s="636" t="s">
        <v>2182</v>
      </c>
      <c r="I5480" s="995"/>
      <c r="J5480" s="996"/>
      <c r="K5480" s="997"/>
      <c r="L5480" s="99"/>
      <c r="M5480" s="100"/>
    </row>
    <row r="5481" spans="4:13" ht="24">
      <c r="E5481" s="629">
        <v>45798</v>
      </c>
      <c r="F5481" s="636" t="s">
        <v>2182</v>
      </c>
      <c r="G5481" s="636" t="s">
        <v>2183</v>
      </c>
      <c r="H5481" s="636" t="s">
        <v>2127</v>
      </c>
      <c r="I5481" s="995"/>
      <c r="J5481" s="996"/>
      <c r="K5481" s="997"/>
      <c r="L5481" s="99"/>
      <c r="M5481" s="100"/>
    </row>
    <row r="5482" spans="4:13" ht="24">
      <c r="E5482" s="629">
        <v>45791</v>
      </c>
      <c r="F5482" s="636" t="s">
        <v>2127</v>
      </c>
      <c r="G5482" s="636" t="s">
        <v>2128</v>
      </c>
      <c r="H5482" s="636" t="s">
        <v>2129</v>
      </c>
      <c r="I5482" s="995"/>
      <c r="J5482" s="996"/>
      <c r="K5482" s="997"/>
      <c r="L5482" s="649"/>
      <c r="M5482" s="100"/>
    </row>
    <row r="5483" spans="4:13" ht="24">
      <c r="E5483" s="629">
        <v>45784</v>
      </c>
      <c r="F5483" s="636" t="s">
        <v>2129</v>
      </c>
      <c r="G5483" s="636" t="s">
        <v>2130</v>
      </c>
      <c r="H5483" s="636" t="s">
        <v>2131</v>
      </c>
      <c r="I5483" s="995"/>
      <c r="J5483" s="996"/>
      <c r="K5483" s="997"/>
      <c r="L5483" s="99"/>
      <c r="M5483" s="100"/>
    </row>
    <row r="5484" spans="4:13" ht="24">
      <c r="E5484" s="629">
        <v>45777</v>
      </c>
      <c r="F5484" s="636" t="s">
        <v>2131</v>
      </c>
      <c r="G5484" s="636" t="s">
        <v>2099</v>
      </c>
      <c r="H5484" s="636" t="s">
        <v>2064</v>
      </c>
      <c r="I5484" s="995"/>
      <c r="J5484" s="996"/>
      <c r="K5484" s="997"/>
      <c r="L5484" s="99"/>
      <c r="M5484" s="100"/>
    </row>
    <row r="5485" spans="4:13" ht="25" thickBot="1">
      <c r="E5485" s="629">
        <v>45770</v>
      </c>
      <c r="F5485" s="636" t="s">
        <v>2064</v>
      </c>
      <c r="G5485" s="636" t="s">
        <v>2065</v>
      </c>
      <c r="H5485" s="636" t="s">
        <v>2003</v>
      </c>
      <c r="I5485" s="998"/>
      <c r="J5485" s="999"/>
      <c r="K5485" s="1000"/>
      <c r="L5485" s="102"/>
      <c r="M5485" s="103"/>
    </row>
    <row r="5486" spans="4:13" ht="25" thickBot="1">
      <c r="D5486">
        <v>1</v>
      </c>
      <c r="E5486" s="628" t="s">
        <v>30</v>
      </c>
      <c r="F5486" s="986" t="s">
        <v>2207</v>
      </c>
      <c r="G5486" s="987"/>
      <c r="H5486" s="988"/>
      <c r="I5486" s="989" t="s">
        <v>633</v>
      </c>
      <c r="J5486" s="990"/>
      <c r="K5486" s="991"/>
      <c r="L5486" s="658" t="s">
        <v>430</v>
      </c>
      <c r="M5486" s="659" t="s">
        <v>431</v>
      </c>
    </row>
    <row r="5487" spans="4:13" ht="24">
      <c r="E5487" s="625" t="s">
        <v>432</v>
      </c>
      <c r="F5487" s="992"/>
      <c r="G5487" s="993"/>
      <c r="H5487" s="994"/>
      <c r="I5487" s="995" t="s">
        <v>2208</v>
      </c>
      <c r="J5487" s="996"/>
      <c r="K5487" s="997"/>
      <c r="L5487" s="99"/>
      <c r="M5487" s="100"/>
    </row>
    <row r="5488" spans="4:13" ht="24">
      <c r="E5488" s="626" t="s">
        <v>433</v>
      </c>
      <c r="F5488" s="1001">
        <v>0.02</v>
      </c>
      <c r="G5488" s="1002"/>
      <c r="H5488" s="1003"/>
      <c r="I5488" s="995"/>
      <c r="J5488" s="996"/>
      <c r="K5488" s="997"/>
      <c r="L5488" s="99"/>
      <c r="M5488" s="100"/>
    </row>
    <row r="5489" spans="4:13" ht="25" thickBot="1">
      <c r="E5489" s="626" t="s">
        <v>434</v>
      </c>
      <c r="F5489" s="1001">
        <v>2.2499999999999999E-2</v>
      </c>
      <c r="G5489" s="1002"/>
      <c r="H5489" s="1003"/>
      <c r="I5489" s="995"/>
      <c r="J5489" s="996"/>
      <c r="K5489" s="997"/>
      <c r="L5489" s="99"/>
      <c r="M5489" s="100"/>
    </row>
    <row r="5490" spans="4:13" ht="25" thickBot="1">
      <c r="E5490" s="627" t="s">
        <v>435</v>
      </c>
      <c r="F5490" s="1007">
        <v>0.51041666666666674</v>
      </c>
      <c r="G5490" s="1008"/>
      <c r="H5490" s="1009"/>
      <c r="I5490" s="995"/>
      <c r="J5490" s="996"/>
      <c r="K5490" s="997"/>
      <c r="L5490" s="647">
        <v>0.73958333333333337</v>
      </c>
      <c r="M5490" s="648">
        <v>0.63541666666666674</v>
      </c>
    </row>
    <row r="5491" spans="4:13" ht="25" thickBot="1">
      <c r="E5491" s="628" t="s">
        <v>436</v>
      </c>
      <c r="F5491" s="200" t="s">
        <v>29</v>
      </c>
      <c r="G5491" s="200" t="s">
        <v>28</v>
      </c>
      <c r="H5491" s="201" t="s">
        <v>27</v>
      </c>
      <c r="I5491" s="995"/>
      <c r="J5491" s="996"/>
      <c r="K5491" s="997"/>
      <c r="L5491" s="99"/>
      <c r="M5491" s="100"/>
    </row>
    <row r="5492" spans="4:13" ht="23">
      <c r="E5492" s="629">
        <v>45764</v>
      </c>
      <c r="F5492" s="632">
        <v>2.2499999999999999E-2</v>
      </c>
      <c r="G5492" s="632">
        <v>2.2499999999999999E-2</v>
      </c>
      <c r="H5492" s="632">
        <v>2.5000000000000001E-2</v>
      </c>
      <c r="I5492" s="995"/>
      <c r="J5492" s="996"/>
      <c r="K5492" s="997"/>
      <c r="L5492" s="99"/>
      <c r="M5492" s="100"/>
    </row>
    <row r="5493" spans="4:13" ht="23">
      <c r="E5493" s="629">
        <v>45722</v>
      </c>
      <c r="F5493" s="632">
        <v>2.5000000000000001E-2</v>
      </c>
      <c r="G5493" s="632">
        <v>2.5000000000000001E-2</v>
      </c>
      <c r="H5493" s="632">
        <v>2.75E-2</v>
      </c>
      <c r="I5493" s="995"/>
      <c r="J5493" s="996"/>
      <c r="K5493" s="997"/>
      <c r="L5493" s="99"/>
      <c r="M5493" s="100"/>
    </row>
    <row r="5494" spans="4:13" ht="23">
      <c r="E5494" s="629">
        <v>45687</v>
      </c>
      <c r="F5494" s="632">
        <v>2.75E-2</v>
      </c>
      <c r="G5494" s="632">
        <v>2.75E-2</v>
      </c>
      <c r="H5494" s="632">
        <v>0.03</v>
      </c>
      <c r="I5494" s="995"/>
      <c r="J5494" s="996"/>
      <c r="K5494" s="997"/>
      <c r="L5494" s="649"/>
      <c r="M5494" s="100"/>
    </row>
    <row r="5495" spans="4:13" ht="23">
      <c r="E5495" s="629">
        <v>45638</v>
      </c>
      <c r="F5495" s="632">
        <v>0.03</v>
      </c>
      <c r="G5495" s="632">
        <v>0.03</v>
      </c>
      <c r="H5495" s="632">
        <v>3.2500000000000001E-2</v>
      </c>
      <c r="I5495" s="995"/>
      <c r="J5495" s="996"/>
      <c r="K5495" s="997"/>
      <c r="L5495" s="99"/>
      <c r="M5495" s="100"/>
    </row>
    <row r="5496" spans="4:13" ht="23">
      <c r="E5496" s="629">
        <v>45582</v>
      </c>
      <c r="F5496" s="632">
        <v>3.2500000000000001E-2</v>
      </c>
      <c r="G5496" s="632">
        <v>3.2500000000000001E-2</v>
      </c>
      <c r="H5496" s="632">
        <v>3.5000000000000003E-2</v>
      </c>
      <c r="I5496" s="995"/>
      <c r="J5496" s="996"/>
      <c r="K5496" s="997"/>
      <c r="L5496" s="99"/>
      <c r="M5496" s="100"/>
    </row>
    <row r="5497" spans="4:13" ht="24" thickBot="1">
      <c r="E5497" s="629">
        <v>45547</v>
      </c>
      <c r="F5497" s="632">
        <v>3.5000000000000003E-2</v>
      </c>
      <c r="G5497" s="632">
        <v>3.5000000000000003E-2</v>
      </c>
      <c r="H5497" s="632">
        <v>3.7499999999999999E-2</v>
      </c>
      <c r="I5497" s="998"/>
      <c r="J5497" s="999"/>
      <c r="K5497" s="1000"/>
      <c r="L5497" s="102"/>
      <c r="M5497" s="103"/>
    </row>
    <row r="5498" spans="4:13" ht="25" thickBot="1">
      <c r="D5498">
        <v>1</v>
      </c>
      <c r="E5498" s="628" t="s">
        <v>30</v>
      </c>
      <c r="F5498" s="986" t="s">
        <v>2209</v>
      </c>
      <c r="G5498" s="987"/>
      <c r="H5498" s="988"/>
      <c r="I5498" s="989" t="s">
        <v>633</v>
      </c>
      <c r="J5498" s="990"/>
      <c r="K5498" s="991"/>
      <c r="L5498" s="658" t="s">
        <v>430</v>
      </c>
      <c r="M5498" s="659" t="s">
        <v>431</v>
      </c>
    </row>
    <row r="5499" spans="4:13" ht="24">
      <c r="E5499" s="625" t="s">
        <v>432</v>
      </c>
      <c r="F5499" s="992"/>
      <c r="G5499" s="993"/>
      <c r="H5499" s="994"/>
      <c r="I5499" s="995" t="s">
        <v>2212</v>
      </c>
      <c r="J5499" s="996"/>
      <c r="K5499" s="997"/>
      <c r="L5499" s="99"/>
      <c r="M5499" s="100"/>
    </row>
    <row r="5500" spans="4:13" ht="24">
      <c r="E5500" s="626" t="s">
        <v>433</v>
      </c>
      <c r="F5500" s="1004">
        <v>2.1499999999999998E-2</v>
      </c>
      <c r="G5500" s="1005"/>
      <c r="H5500" s="1006"/>
      <c r="I5500" s="995"/>
      <c r="J5500" s="996"/>
      <c r="K5500" s="997"/>
      <c r="L5500" s="99"/>
      <c r="M5500" s="100"/>
    </row>
    <row r="5501" spans="4:13" ht="25" thickBot="1">
      <c r="E5501" s="626" t="s">
        <v>434</v>
      </c>
      <c r="F5501" s="1004">
        <v>2.4E-2</v>
      </c>
      <c r="G5501" s="1005"/>
      <c r="H5501" s="1006"/>
      <c r="I5501" s="995"/>
      <c r="J5501" s="996"/>
      <c r="K5501" s="997"/>
      <c r="L5501" s="99"/>
      <c r="M5501" s="100"/>
    </row>
    <row r="5502" spans="4:13" ht="25" thickBot="1">
      <c r="E5502" s="627" t="s">
        <v>435</v>
      </c>
      <c r="F5502" s="1007">
        <v>0.51041666666666674</v>
      </c>
      <c r="G5502" s="1008"/>
      <c r="H5502" s="1009"/>
      <c r="I5502" s="995"/>
      <c r="J5502" s="996"/>
      <c r="K5502" s="997"/>
      <c r="L5502" s="647">
        <v>0.73958333333333337</v>
      </c>
      <c r="M5502" s="648">
        <v>0.63541666666666674</v>
      </c>
    </row>
    <row r="5503" spans="4:13" ht="25" thickBot="1">
      <c r="E5503" s="628" t="s">
        <v>436</v>
      </c>
      <c r="F5503" s="200" t="s">
        <v>29</v>
      </c>
      <c r="G5503" s="200" t="s">
        <v>28</v>
      </c>
      <c r="H5503" s="201" t="s">
        <v>27</v>
      </c>
      <c r="I5503" s="995"/>
      <c r="J5503" s="996"/>
      <c r="K5503" s="997"/>
      <c r="L5503" s="99"/>
      <c r="M5503" s="100"/>
    </row>
    <row r="5504" spans="4:13" ht="23">
      <c r="E5504" s="629">
        <v>45764</v>
      </c>
      <c r="F5504" s="632">
        <v>2.4E-2</v>
      </c>
      <c r="G5504" s="632">
        <v>2.4E-2</v>
      </c>
      <c r="H5504" s="632">
        <v>2.6499999999999999E-2</v>
      </c>
      <c r="I5504" s="995"/>
      <c r="J5504" s="996"/>
      <c r="K5504" s="997"/>
      <c r="L5504" s="99"/>
      <c r="M5504" s="100"/>
    </row>
    <row r="5505" spans="4:13" ht="23">
      <c r="E5505" s="629">
        <v>45722</v>
      </c>
      <c r="F5505" s="632">
        <v>2.6499999999999999E-2</v>
      </c>
      <c r="G5505" s="632">
        <v>2.6499999999999999E-2</v>
      </c>
      <c r="H5505" s="632">
        <v>2.9000000000000001E-2</v>
      </c>
      <c r="I5505" s="995"/>
      <c r="J5505" s="996"/>
      <c r="K5505" s="997"/>
      <c r="L5505" s="99"/>
      <c r="M5505" s="100"/>
    </row>
    <row r="5506" spans="4:13" ht="23">
      <c r="E5506" s="629">
        <v>45687</v>
      </c>
      <c r="F5506" s="632">
        <v>2.9000000000000001E-2</v>
      </c>
      <c r="G5506" s="632">
        <v>2.9000000000000001E-2</v>
      </c>
      <c r="H5506" s="632">
        <v>3.15E-2</v>
      </c>
      <c r="I5506" s="995"/>
      <c r="J5506" s="996"/>
      <c r="K5506" s="997"/>
      <c r="L5506" s="649"/>
      <c r="M5506" s="100"/>
    </row>
    <row r="5507" spans="4:13" ht="23">
      <c r="E5507" s="629">
        <v>45638</v>
      </c>
      <c r="F5507" s="632">
        <v>3.15E-2</v>
      </c>
      <c r="G5507" s="632">
        <v>3.15E-2</v>
      </c>
      <c r="H5507" s="632">
        <v>3.4000000000000002E-2</v>
      </c>
      <c r="I5507" s="995"/>
      <c r="J5507" s="996"/>
      <c r="K5507" s="997"/>
      <c r="L5507" s="99"/>
      <c r="M5507" s="100"/>
    </row>
    <row r="5508" spans="4:13" ht="23">
      <c r="E5508" s="629">
        <v>45582</v>
      </c>
      <c r="F5508" s="632">
        <v>3.4000000000000002E-2</v>
      </c>
      <c r="G5508" s="632">
        <v>3.4000000000000002E-2</v>
      </c>
      <c r="H5508" s="632">
        <v>3.6499999999999998E-2</v>
      </c>
      <c r="I5508" s="995"/>
      <c r="J5508" s="996"/>
      <c r="K5508" s="997"/>
      <c r="L5508" s="99"/>
      <c r="M5508" s="100"/>
    </row>
    <row r="5509" spans="4:13" ht="24" thickBot="1">
      <c r="E5509" s="629">
        <v>45547</v>
      </c>
      <c r="F5509" s="632">
        <v>3.6499999999999998E-2</v>
      </c>
      <c r="G5509" s="632">
        <v>3.6499999999999998E-2</v>
      </c>
      <c r="H5509" s="632">
        <v>4.2500000000000003E-2</v>
      </c>
      <c r="I5509" s="998"/>
      <c r="J5509" s="999"/>
      <c r="K5509" s="1000"/>
      <c r="L5509" s="102"/>
      <c r="M5509" s="103"/>
    </row>
    <row r="5510" spans="4:13" ht="25" thickBot="1">
      <c r="D5510">
        <v>1</v>
      </c>
      <c r="E5510" s="628" t="s">
        <v>30</v>
      </c>
      <c r="F5510" s="986" t="s">
        <v>1421</v>
      </c>
      <c r="G5510" s="987"/>
      <c r="H5510" s="988"/>
      <c r="I5510" s="989" t="s">
        <v>633</v>
      </c>
      <c r="J5510" s="990"/>
      <c r="K5510" s="991"/>
      <c r="L5510" s="658" t="s">
        <v>430</v>
      </c>
      <c r="M5510" s="659" t="s">
        <v>431</v>
      </c>
    </row>
    <row r="5511" spans="4:13" ht="24">
      <c r="E5511" s="625" t="s">
        <v>432</v>
      </c>
      <c r="F5511" s="992"/>
      <c r="G5511" s="993"/>
      <c r="H5511" s="994"/>
      <c r="I5511" s="995" t="s">
        <v>2212</v>
      </c>
      <c r="J5511" s="996"/>
      <c r="K5511" s="997"/>
      <c r="L5511" s="99"/>
      <c r="M5511" s="100"/>
    </row>
    <row r="5512" spans="4:13" ht="24">
      <c r="E5512" s="626" t="s">
        <v>433</v>
      </c>
      <c r="F5512" s="1001"/>
      <c r="G5512" s="1002"/>
      <c r="H5512" s="1003"/>
      <c r="I5512" s="995"/>
      <c r="J5512" s="996"/>
      <c r="K5512" s="997"/>
      <c r="L5512" s="99"/>
      <c r="M5512" s="100"/>
    </row>
    <row r="5513" spans="4:13" ht="25" thickBot="1">
      <c r="E5513" s="626" t="s">
        <v>434</v>
      </c>
      <c r="F5513" s="1010" t="s">
        <v>2211</v>
      </c>
      <c r="G5513" s="1002"/>
      <c r="H5513" s="1003"/>
      <c r="I5513" s="995"/>
      <c r="J5513" s="996"/>
      <c r="K5513" s="997"/>
      <c r="L5513" s="99"/>
      <c r="M5513" s="100"/>
    </row>
    <row r="5514" spans="4:13" ht="25" thickBot="1">
      <c r="E5514" s="627" t="s">
        <v>435</v>
      </c>
      <c r="F5514" s="1007">
        <v>0.52083333333333337</v>
      </c>
      <c r="G5514" s="1008"/>
      <c r="H5514" s="1009"/>
      <c r="I5514" s="995"/>
      <c r="J5514" s="996"/>
      <c r="K5514" s="997"/>
      <c r="L5514" s="647">
        <v>0.75</v>
      </c>
      <c r="M5514" s="648">
        <v>0.64583333333333337</v>
      </c>
    </row>
    <row r="5515" spans="4:13" ht="25" thickBot="1">
      <c r="E5515" s="628" t="s">
        <v>436</v>
      </c>
      <c r="F5515" s="200" t="s">
        <v>29</v>
      </c>
      <c r="G5515" s="200" t="s">
        <v>28</v>
      </c>
      <c r="H5515" s="201" t="s">
        <v>27</v>
      </c>
      <c r="I5515" s="995"/>
      <c r="J5515" s="996"/>
      <c r="K5515" s="997"/>
      <c r="L5515" s="99"/>
      <c r="M5515" s="100"/>
    </row>
    <row r="5516" spans="4:13" ht="24">
      <c r="E5516" s="629">
        <v>45806</v>
      </c>
      <c r="F5516" s="636" t="s">
        <v>2240</v>
      </c>
      <c r="G5516" s="636" t="s">
        <v>976</v>
      </c>
      <c r="H5516" s="636" t="s">
        <v>1703</v>
      </c>
      <c r="I5516" s="995"/>
      <c r="J5516" s="996"/>
      <c r="K5516" s="997"/>
      <c r="L5516" s="99"/>
      <c r="M5516" s="100"/>
    </row>
    <row r="5517" spans="4:13" ht="24">
      <c r="E5517" s="629">
        <v>45799</v>
      </c>
      <c r="F5517" s="636" t="s">
        <v>978</v>
      </c>
      <c r="G5517" s="636" t="s">
        <v>2241</v>
      </c>
      <c r="H5517" s="636" t="s">
        <v>976</v>
      </c>
      <c r="I5517" s="995"/>
      <c r="J5517" s="996"/>
      <c r="K5517" s="997"/>
      <c r="L5517" s="99"/>
      <c r="M5517" s="100"/>
    </row>
    <row r="5518" spans="4:13" ht="24">
      <c r="E5518" s="629">
        <v>45792</v>
      </c>
      <c r="F5518" s="636" t="s">
        <v>976</v>
      </c>
      <c r="G5518" s="636" t="s">
        <v>976</v>
      </c>
      <c r="H5518" s="636" t="s">
        <v>976</v>
      </c>
      <c r="I5518" s="995"/>
      <c r="J5518" s="996"/>
      <c r="K5518" s="997"/>
      <c r="L5518" s="649"/>
      <c r="M5518" s="100"/>
    </row>
    <row r="5519" spans="4:13" ht="24">
      <c r="E5519" s="629">
        <v>45785</v>
      </c>
      <c r="F5519" s="636" t="s">
        <v>977</v>
      </c>
      <c r="G5519" s="636" t="s">
        <v>984</v>
      </c>
      <c r="H5519" s="636" t="s">
        <v>981</v>
      </c>
      <c r="I5519" s="995"/>
      <c r="J5519" s="996"/>
      <c r="K5519" s="997"/>
      <c r="L5519" s="99"/>
      <c r="M5519" s="100"/>
    </row>
    <row r="5520" spans="4:13" ht="24">
      <c r="E5520" s="629">
        <v>45778</v>
      </c>
      <c r="F5520" s="636" t="s">
        <v>981</v>
      </c>
      <c r="G5520" s="636" t="s">
        <v>1032</v>
      </c>
      <c r="H5520" s="636" t="s">
        <v>973</v>
      </c>
      <c r="I5520" s="995"/>
      <c r="J5520" s="996"/>
      <c r="K5520" s="997"/>
      <c r="L5520" s="99"/>
      <c r="M5520" s="100"/>
    </row>
    <row r="5521" spans="4:13" ht="25" thickBot="1">
      <c r="E5521" s="629">
        <v>45771</v>
      </c>
      <c r="F5521" s="636" t="s">
        <v>986</v>
      </c>
      <c r="G5521" s="636" t="s">
        <v>986</v>
      </c>
      <c r="H5521" s="636" t="s">
        <v>975</v>
      </c>
      <c r="I5521" s="998"/>
      <c r="J5521" s="999"/>
      <c r="K5521" s="1000"/>
      <c r="L5521" s="102"/>
      <c r="M5521" s="103"/>
    </row>
    <row r="5522" spans="4:13" ht="25" thickBot="1">
      <c r="D5522">
        <v>1</v>
      </c>
      <c r="E5522" s="628" t="s">
        <v>30</v>
      </c>
      <c r="F5522" s="986" t="s">
        <v>1519</v>
      </c>
      <c r="G5522" s="987"/>
      <c r="H5522" s="988"/>
      <c r="I5522" s="989" t="s">
        <v>633</v>
      </c>
      <c r="J5522" s="990"/>
      <c r="K5522" s="991"/>
      <c r="L5522" s="658" t="s">
        <v>430</v>
      </c>
      <c r="M5522" s="659" t="s">
        <v>431</v>
      </c>
    </row>
    <row r="5523" spans="4:13" ht="24">
      <c r="E5523" s="625" t="s">
        <v>432</v>
      </c>
      <c r="F5523" s="992"/>
      <c r="G5523" s="993"/>
      <c r="H5523" s="994"/>
      <c r="I5523" s="995" t="s">
        <v>2213</v>
      </c>
      <c r="J5523" s="996"/>
      <c r="K5523" s="997"/>
      <c r="L5523" s="99"/>
      <c r="M5523" s="100"/>
    </row>
    <row r="5524" spans="4:13" ht="24">
      <c r="E5524" s="626" t="s">
        <v>433</v>
      </c>
      <c r="F5524" s="1001"/>
      <c r="G5524" s="1002"/>
      <c r="H5524" s="1003"/>
      <c r="I5524" s="995"/>
      <c r="J5524" s="996"/>
      <c r="K5524" s="997"/>
      <c r="L5524" s="99"/>
      <c r="M5524" s="100"/>
    </row>
    <row r="5525" spans="4:13" ht="25" thickBot="1">
      <c r="E5525" s="626" t="s">
        <v>434</v>
      </c>
      <c r="F5525" s="1010">
        <v>0</v>
      </c>
      <c r="G5525" s="1002"/>
      <c r="H5525" s="1003"/>
      <c r="I5525" s="995"/>
      <c r="J5525" s="996"/>
      <c r="K5525" s="997"/>
      <c r="L5525" s="99"/>
      <c r="M5525" s="100"/>
    </row>
    <row r="5526" spans="4:13" ht="25" thickBot="1">
      <c r="E5526" s="627" t="s">
        <v>435</v>
      </c>
      <c r="F5526" s="1007">
        <v>0.53125</v>
      </c>
      <c r="G5526" s="1008"/>
      <c r="H5526" s="1009"/>
      <c r="I5526" s="995"/>
      <c r="J5526" s="996"/>
      <c r="K5526" s="997"/>
      <c r="L5526" s="647">
        <v>0.76041666666666663</v>
      </c>
      <c r="M5526" s="648">
        <v>0.65625</v>
      </c>
    </row>
    <row r="5527" spans="4:13" ht="25" thickBot="1">
      <c r="E5527" s="628" t="s">
        <v>436</v>
      </c>
      <c r="F5527" s="200" t="s">
        <v>29</v>
      </c>
      <c r="G5527" s="200" t="s">
        <v>28</v>
      </c>
      <c r="H5527" s="201" t="s">
        <v>27</v>
      </c>
      <c r="I5527" s="995"/>
      <c r="J5527" s="996"/>
      <c r="K5527" s="997"/>
      <c r="L5527" s="99"/>
      <c r="M5527" s="100"/>
    </row>
    <row r="5528" spans="4:13" ht="23">
      <c r="E5528" s="629">
        <v>45764</v>
      </c>
      <c r="F5528" s="636">
        <v>44.6</v>
      </c>
      <c r="G5528" s="636">
        <v>45.9</v>
      </c>
      <c r="H5528" s="636">
        <v>47.6</v>
      </c>
      <c r="I5528" s="995"/>
      <c r="J5528" s="996"/>
      <c r="K5528" s="997"/>
      <c r="L5528" s="99"/>
      <c r="M5528" s="100"/>
    </row>
    <row r="5529" spans="4:13" ht="23">
      <c r="E5529" s="629">
        <v>45722</v>
      </c>
      <c r="F5529" s="636">
        <v>47.6</v>
      </c>
      <c r="G5529" s="636">
        <v>45.5</v>
      </c>
      <c r="H5529" s="636">
        <v>45.5</v>
      </c>
      <c r="I5529" s="995"/>
      <c r="J5529" s="996"/>
      <c r="K5529" s="997"/>
      <c r="L5529" s="99"/>
      <c r="M5529" s="100"/>
    </row>
    <row r="5530" spans="4:13" ht="23">
      <c r="E5530" s="629">
        <v>45687</v>
      </c>
      <c r="F5530" s="636">
        <v>45.5</v>
      </c>
      <c r="G5530" s="636">
        <v>40.5</v>
      </c>
      <c r="H5530" s="636">
        <v>39.5</v>
      </c>
      <c r="I5530" s="995"/>
      <c r="J5530" s="996"/>
      <c r="K5530" s="997"/>
      <c r="L5530" s="649"/>
      <c r="M5530" s="100"/>
    </row>
    <row r="5531" spans="4:13" ht="23">
      <c r="E5531" s="629">
        <v>45638</v>
      </c>
      <c r="F5531" s="636">
        <v>39.5</v>
      </c>
      <c r="G5531" s="636">
        <v>40.299999999999997</v>
      </c>
      <c r="H5531" s="636">
        <v>36.9</v>
      </c>
      <c r="I5531" s="995"/>
      <c r="J5531" s="996"/>
      <c r="K5531" s="997"/>
      <c r="L5531" s="99"/>
      <c r="M5531" s="100"/>
    </row>
    <row r="5532" spans="4:13" ht="23">
      <c r="E5532" s="629">
        <v>45582</v>
      </c>
      <c r="F5532" s="636">
        <v>36.9</v>
      </c>
      <c r="G5532" s="636">
        <v>42.7</v>
      </c>
      <c r="H5532" s="636">
        <v>40.200000000000003</v>
      </c>
      <c r="I5532" s="995"/>
      <c r="J5532" s="996"/>
      <c r="K5532" s="997"/>
      <c r="L5532" s="99"/>
      <c r="M5532" s="100"/>
    </row>
    <row r="5533" spans="4:13" ht="24" thickBot="1">
      <c r="E5533" s="629">
        <v>45547</v>
      </c>
      <c r="F5533" s="636">
        <v>40.200000000000003</v>
      </c>
      <c r="G5533" s="636">
        <v>44.9</v>
      </c>
      <c r="H5533" s="636">
        <v>41.6</v>
      </c>
      <c r="I5533" s="998"/>
      <c r="J5533" s="999"/>
      <c r="K5533" s="1000"/>
      <c r="L5533" s="102"/>
      <c r="M5533" s="103"/>
    </row>
    <row r="5534" spans="4:13" ht="25" thickBot="1">
      <c r="D5534" s="695">
        <v>1</v>
      </c>
      <c r="E5534" s="696" t="s">
        <v>30</v>
      </c>
      <c r="F5534" s="1023" t="s">
        <v>2214</v>
      </c>
      <c r="G5534" s="1024"/>
      <c r="H5534" s="1025"/>
      <c r="I5534" s="1026" t="s">
        <v>633</v>
      </c>
      <c r="J5534" s="1027"/>
      <c r="K5534" s="1028"/>
      <c r="L5534" s="697" t="s">
        <v>430</v>
      </c>
      <c r="M5534" s="698" t="s">
        <v>431</v>
      </c>
    </row>
    <row r="5535" spans="4:13" ht="24">
      <c r="D5535" s="695"/>
      <c r="E5535" s="699" t="s">
        <v>432</v>
      </c>
      <c r="F5535" s="1029"/>
      <c r="G5535" s="1030"/>
      <c r="H5535" s="1031"/>
      <c r="I5535" s="1032" t="s">
        <v>1963</v>
      </c>
      <c r="J5535" s="1033"/>
      <c r="K5535" s="1034"/>
      <c r="L5535" s="700"/>
      <c r="M5535" s="701"/>
    </row>
    <row r="5536" spans="4:13" ht="24">
      <c r="D5536" s="695"/>
      <c r="E5536" s="702" t="s">
        <v>433</v>
      </c>
      <c r="F5536" s="1038"/>
      <c r="G5536" s="1047"/>
      <c r="H5536" s="1048"/>
      <c r="I5536" s="1032"/>
      <c r="J5536" s="1033"/>
      <c r="K5536" s="1034"/>
      <c r="L5536" s="700"/>
      <c r="M5536" s="701"/>
    </row>
    <row r="5537" spans="4:13" ht="25" thickBot="1">
      <c r="D5537" s="695"/>
      <c r="E5537" s="702" t="s">
        <v>434</v>
      </c>
      <c r="F5537" s="1041">
        <v>0</v>
      </c>
      <c r="G5537" s="1042"/>
      <c r="H5537" s="1043"/>
      <c r="I5537" s="1032"/>
      <c r="J5537" s="1033"/>
      <c r="K5537" s="1034"/>
      <c r="L5537" s="700"/>
      <c r="M5537" s="701"/>
    </row>
    <row r="5538" spans="4:13" ht="25" thickBot="1">
      <c r="D5538" s="695"/>
      <c r="E5538" s="703" t="s">
        <v>435</v>
      </c>
      <c r="F5538" s="1044">
        <v>0.52083333333333337</v>
      </c>
      <c r="G5538" s="1045"/>
      <c r="H5538" s="1046"/>
      <c r="I5538" s="1032"/>
      <c r="J5538" s="1033"/>
      <c r="K5538" s="1034"/>
      <c r="L5538" s="704" t="s">
        <v>1449</v>
      </c>
      <c r="M5538" s="705" t="e">
        <v>#VALUE!</v>
      </c>
    </row>
    <row r="5539" spans="4:13" ht="25" thickBot="1">
      <c r="D5539" s="695"/>
      <c r="E5539" s="696" t="s">
        <v>436</v>
      </c>
      <c r="F5539" s="706" t="s">
        <v>29</v>
      </c>
      <c r="G5539" s="706" t="s">
        <v>28</v>
      </c>
      <c r="H5539" s="707" t="s">
        <v>27</v>
      </c>
      <c r="I5539" s="1032"/>
      <c r="J5539" s="1033"/>
      <c r="K5539" s="1034"/>
      <c r="L5539" s="700"/>
      <c r="M5539" s="701"/>
    </row>
    <row r="5540" spans="4:13" ht="23">
      <c r="D5540" s="695"/>
      <c r="E5540" s="657">
        <v>45763</v>
      </c>
      <c r="F5540" s="795">
        <v>5.0000000000000001E-3</v>
      </c>
      <c r="G5540" s="795">
        <v>4.0000000000000001E-3</v>
      </c>
      <c r="H5540" s="795">
        <v>7.0000000000000001E-3</v>
      </c>
      <c r="I5540" s="1032"/>
      <c r="J5540" s="1033"/>
      <c r="K5540" s="1034"/>
      <c r="L5540" s="700"/>
      <c r="M5540" s="701"/>
    </row>
    <row r="5541" spans="4:13" ht="23">
      <c r="D5541" s="695"/>
      <c r="E5541" s="657">
        <v>45733</v>
      </c>
      <c r="F5541" s="795">
        <v>3.0000000000000001E-3</v>
      </c>
      <c r="G5541" s="795">
        <v>3.0000000000000001E-3</v>
      </c>
      <c r="H5541" s="795">
        <v>-6.0000000000000001E-3</v>
      </c>
      <c r="I5541" s="1032"/>
      <c r="J5541" s="1033"/>
      <c r="K5541" s="1034"/>
      <c r="L5541" s="700"/>
      <c r="M5541" s="701"/>
    </row>
    <row r="5542" spans="4:13" ht="23">
      <c r="D5542" s="695"/>
      <c r="E5542" s="657">
        <v>45702</v>
      </c>
      <c r="F5542" s="795">
        <v>-4.0000000000000001E-3</v>
      </c>
      <c r="G5542" s="795">
        <v>3.0000000000000001E-3</v>
      </c>
      <c r="H5542" s="795">
        <v>7.0000000000000001E-3</v>
      </c>
      <c r="I5542" s="1032"/>
      <c r="J5542" s="1033"/>
      <c r="K5542" s="1034"/>
      <c r="L5542" s="709"/>
      <c r="M5542" s="701"/>
    </row>
    <row r="5543" spans="4:13" ht="23">
      <c r="D5543" s="695"/>
      <c r="E5543" s="657">
        <v>45673</v>
      </c>
      <c r="F5543" s="795">
        <v>4.0000000000000001E-3</v>
      </c>
      <c r="G5543" s="795">
        <v>5.0000000000000001E-3</v>
      </c>
      <c r="H5543" s="795">
        <v>2E-3</v>
      </c>
      <c r="I5543" s="1032"/>
      <c r="J5543" s="1033"/>
      <c r="K5543" s="1034"/>
      <c r="L5543" s="700"/>
      <c r="M5543" s="701"/>
    </row>
    <row r="5544" spans="4:13" ht="23">
      <c r="D5544" s="695"/>
      <c r="E5544" s="657">
        <v>45643</v>
      </c>
      <c r="F5544" s="795">
        <v>2E-3</v>
      </c>
      <c r="G5544" s="795">
        <v>4.0000000000000001E-3</v>
      </c>
      <c r="H5544" s="795">
        <v>2E-3</v>
      </c>
      <c r="I5544" s="1032"/>
      <c r="J5544" s="1033"/>
      <c r="K5544" s="1034"/>
      <c r="L5544" s="700"/>
      <c r="M5544" s="701"/>
    </row>
    <row r="5545" spans="4:13" ht="24" thickBot="1">
      <c r="D5545" s="695"/>
      <c r="E5545" s="657">
        <v>45611</v>
      </c>
      <c r="F5545" s="795">
        <v>1E-3</v>
      </c>
      <c r="G5545" s="795">
        <v>3.0000000000000001E-3</v>
      </c>
      <c r="H5545" s="795">
        <v>0.01</v>
      </c>
      <c r="I5545" s="1035"/>
      <c r="J5545" s="1036"/>
      <c r="K5545" s="1037"/>
      <c r="L5545" s="710"/>
      <c r="M5545" s="711"/>
    </row>
    <row r="5546" spans="4:13" ht="25" thickBot="1">
      <c r="D5546">
        <v>1</v>
      </c>
      <c r="E5546" s="628" t="s">
        <v>30</v>
      </c>
      <c r="F5546" s="986" t="s">
        <v>2215</v>
      </c>
      <c r="G5546" s="987"/>
      <c r="H5546" s="988"/>
      <c r="I5546" s="989" t="s">
        <v>633</v>
      </c>
      <c r="J5546" s="990"/>
      <c r="K5546" s="991"/>
      <c r="L5546" s="658" t="s">
        <v>430</v>
      </c>
      <c r="M5546" s="659" t="s">
        <v>431</v>
      </c>
    </row>
    <row r="5547" spans="4:13" ht="24">
      <c r="E5547" s="625" t="s">
        <v>432</v>
      </c>
      <c r="F5547" s="992"/>
      <c r="G5547" s="993"/>
      <c r="H5547" s="994"/>
      <c r="I5547" s="995" t="s">
        <v>1963</v>
      </c>
      <c r="J5547" s="996"/>
      <c r="K5547" s="997"/>
      <c r="L5547" s="99"/>
      <c r="M5547" s="100"/>
    </row>
    <row r="5548" spans="4:13" ht="24">
      <c r="E5548" s="626" t="s">
        <v>433</v>
      </c>
      <c r="F5548" s="1001"/>
      <c r="G5548" s="1002"/>
      <c r="H5548" s="1003"/>
      <c r="I5548" s="995"/>
      <c r="J5548" s="996"/>
      <c r="K5548" s="997"/>
      <c r="L5548" s="99"/>
      <c r="M5548" s="100"/>
    </row>
    <row r="5549" spans="4:13" ht="25" thickBot="1">
      <c r="E5549" s="626" t="s">
        <v>434</v>
      </c>
      <c r="F5549" s="1010">
        <v>0</v>
      </c>
      <c r="G5549" s="1002"/>
      <c r="H5549" s="1003"/>
      <c r="I5549" s="995"/>
      <c r="J5549" s="996"/>
      <c r="K5549" s="997"/>
      <c r="L5549" s="99"/>
      <c r="M5549" s="100"/>
    </row>
    <row r="5550" spans="4:13" ht="25" thickBot="1">
      <c r="E5550" s="627" t="s">
        <v>435</v>
      </c>
      <c r="F5550" s="1007">
        <v>0.52083333333333337</v>
      </c>
      <c r="G5550" s="1008"/>
      <c r="H5550" s="1009"/>
      <c r="I5550" s="995"/>
      <c r="J5550" s="996"/>
      <c r="K5550" s="997"/>
      <c r="L5550" s="647" t="s">
        <v>1449</v>
      </c>
      <c r="M5550" s="648" t="e">
        <v>#VALUE!</v>
      </c>
    </row>
    <row r="5551" spans="4:13" ht="25" thickBot="1">
      <c r="E5551" s="628" t="s">
        <v>436</v>
      </c>
      <c r="F5551" s="200" t="s">
        <v>29</v>
      </c>
      <c r="G5551" s="200" t="s">
        <v>28</v>
      </c>
      <c r="H5551" s="201" t="s">
        <v>27</v>
      </c>
      <c r="I5551" s="995"/>
      <c r="J5551" s="996"/>
      <c r="K5551" s="997"/>
      <c r="L5551" s="99"/>
      <c r="M5551" s="100"/>
    </row>
    <row r="5552" spans="4:13" ht="23">
      <c r="E5552" s="629">
        <v>45777</v>
      </c>
      <c r="F5552" s="636">
        <v>49</v>
      </c>
      <c r="G5552" s="636">
        <v>49.7</v>
      </c>
      <c r="H5552" s="636">
        <v>50.5</v>
      </c>
      <c r="I5552" s="995"/>
      <c r="J5552" s="996"/>
      <c r="K5552" s="997"/>
      <c r="L5552" s="99"/>
      <c r="M5552" s="100"/>
    </row>
    <row r="5553" spans="4:13" ht="23">
      <c r="E5553" s="629">
        <v>45747</v>
      </c>
      <c r="F5553" s="636">
        <v>50.5</v>
      </c>
      <c r="G5553" s="636">
        <v>50.4</v>
      </c>
      <c r="H5553" s="636">
        <v>50.2</v>
      </c>
      <c r="I5553" s="995"/>
      <c r="J5553" s="996"/>
      <c r="K5553" s="997"/>
      <c r="L5553" s="99"/>
      <c r="M5553" s="100"/>
    </row>
    <row r="5554" spans="4:13" ht="23">
      <c r="E5554" s="629">
        <v>45717</v>
      </c>
      <c r="F5554" s="636">
        <v>50.2</v>
      </c>
      <c r="G5554" s="636">
        <v>50</v>
      </c>
      <c r="H5554" s="636">
        <v>49.1</v>
      </c>
      <c r="I5554" s="995"/>
      <c r="J5554" s="996"/>
      <c r="K5554" s="997"/>
      <c r="L5554" s="649"/>
      <c r="M5554" s="100"/>
    </row>
    <row r="5555" spans="4:13" ht="23">
      <c r="E5555" s="629">
        <v>45684</v>
      </c>
      <c r="F5555" s="636">
        <v>49.1</v>
      </c>
      <c r="G5555" s="636">
        <v>50.1</v>
      </c>
      <c r="H5555" s="636">
        <v>50.1</v>
      </c>
      <c r="I5555" s="995"/>
      <c r="J5555" s="996"/>
      <c r="K5555" s="997"/>
      <c r="L5555" s="99"/>
      <c r="M5555" s="100"/>
    </row>
    <row r="5556" spans="4:13" ht="23">
      <c r="E5556" s="629">
        <v>45657</v>
      </c>
      <c r="F5556" s="636">
        <v>50.1</v>
      </c>
      <c r="G5556" s="636">
        <v>50.3</v>
      </c>
      <c r="H5556" s="636">
        <v>50.3</v>
      </c>
      <c r="I5556" s="995"/>
      <c r="J5556" s="996"/>
      <c r="K5556" s="997"/>
      <c r="L5556" s="99"/>
      <c r="M5556" s="100"/>
    </row>
    <row r="5557" spans="4:13" ht="24" thickBot="1">
      <c r="E5557" s="629">
        <v>45626</v>
      </c>
      <c r="F5557" s="636">
        <v>50.3</v>
      </c>
      <c r="G5557" s="636">
        <v>50.2</v>
      </c>
      <c r="H5557" s="636">
        <v>50.1</v>
      </c>
      <c r="I5557" s="998"/>
      <c r="J5557" s="999"/>
      <c r="K5557" s="1000"/>
      <c r="L5557" s="102"/>
      <c r="M5557" s="103"/>
    </row>
    <row r="5558" spans="4:13" ht="25" thickBot="1">
      <c r="D5558">
        <v>1</v>
      </c>
      <c r="E5558" s="628" t="s">
        <v>30</v>
      </c>
      <c r="F5558" s="986" t="s">
        <v>2216</v>
      </c>
      <c r="G5558" s="987"/>
      <c r="H5558" s="988"/>
      <c r="I5558" s="989" t="s">
        <v>633</v>
      </c>
      <c r="J5558" s="990"/>
      <c r="K5558" s="991"/>
      <c r="L5558" s="658" t="s">
        <v>430</v>
      </c>
      <c r="M5558" s="659" t="s">
        <v>431</v>
      </c>
    </row>
    <row r="5559" spans="4:13" ht="24">
      <c r="E5559" s="625" t="s">
        <v>432</v>
      </c>
      <c r="F5559" s="992"/>
      <c r="G5559" s="993"/>
      <c r="H5559" s="994"/>
      <c r="I5559" s="995" t="s">
        <v>2051</v>
      </c>
      <c r="J5559" s="996"/>
      <c r="K5559" s="997"/>
      <c r="L5559" s="99"/>
      <c r="M5559" s="100"/>
    </row>
    <row r="5560" spans="4:13" ht="24">
      <c r="E5560" s="626" t="s">
        <v>433</v>
      </c>
      <c r="F5560" s="1004">
        <v>3.0000000000000001E-3</v>
      </c>
      <c r="G5560" s="1005"/>
      <c r="H5560" s="1006"/>
      <c r="I5560" s="995"/>
      <c r="J5560" s="996"/>
      <c r="K5560" s="997"/>
      <c r="L5560" s="99"/>
      <c r="M5560" s="100"/>
    </row>
    <row r="5561" spans="4:13" ht="25" thickBot="1">
      <c r="E5561" s="626" t="s">
        <v>434</v>
      </c>
      <c r="F5561" s="1004">
        <v>2E-3</v>
      </c>
      <c r="G5561" s="1005"/>
      <c r="H5561" s="1006"/>
      <c r="I5561" s="995"/>
      <c r="J5561" s="996"/>
      <c r="K5561" s="997"/>
      <c r="L5561" s="99"/>
      <c r="M5561" s="100"/>
    </row>
    <row r="5562" spans="4:13" ht="25" thickBot="1">
      <c r="E5562" s="627" t="s">
        <v>435</v>
      </c>
      <c r="F5562" s="1007">
        <v>0.52083333333333337</v>
      </c>
      <c r="G5562" s="1008"/>
      <c r="H5562" s="1009"/>
      <c r="I5562" s="995"/>
      <c r="J5562" s="996"/>
      <c r="K5562" s="997"/>
      <c r="L5562" s="647">
        <v>0.75</v>
      </c>
      <c r="M5562" s="648">
        <v>0.64583333333333337</v>
      </c>
    </row>
    <row r="5563" spans="4:13" ht="25" thickBot="1">
      <c r="E5563" s="628" t="s">
        <v>436</v>
      </c>
      <c r="F5563" s="200" t="s">
        <v>29</v>
      </c>
      <c r="G5563" s="200" t="s">
        <v>28</v>
      </c>
      <c r="H5563" s="201" t="s">
        <v>27</v>
      </c>
      <c r="I5563" s="995"/>
      <c r="J5563" s="996"/>
      <c r="K5563" s="997"/>
      <c r="L5563" s="99"/>
      <c r="M5563" s="100"/>
    </row>
    <row r="5564" spans="4:13" ht="23">
      <c r="E5564" s="629">
        <v>45779</v>
      </c>
      <c r="F5564" s="632">
        <v>2E-3</v>
      </c>
      <c r="G5564" s="632">
        <v>3.0000000000000001E-3</v>
      </c>
      <c r="H5564" s="632">
        <v>3.0000000000000001E-3</v>
      </c>
      <c r="I5564" s="995"/>
      <c r="J5564" s="996"/>
      <c r="K5564" s="997"/>
      <c r="L5564" s="99"/>
      <c r="M5564" s="100"/>
    </row>
    <row r="5565" spans="4:13" ht="23">
      <c r="E5565" s="629">
        <v>45751</v>
      </c>
      <c r="F5565" s="632">
        <v>3.0000000000000001E-3</v>
      </c>
      <c r="G5565" s="632">
        <v>3.0000000000000001E-3</v>
      </c>
      <c r="H5565" s="632">
        <v>2E-3</v>
      </c>
      <c r="I5565" s="995"/>
      <c r="J5565" s="996"/>
      <c r="K5565" s="997"/>
      <c r="L5565" s="99"/>
      <c r="M5565" s="100"/>
    </row>
    <row r="5566" spans="4:13" ht="23">
      <c r="E5566" s="629">
        <v>45723</v>
      </c>
      <c r="F5566" s="632">
        <v>3.0000000000000001E-3</v>
      </c>
      <c r="G5566" s="632">
        <v>3.0000000000000001E-3</v>
      </c>
      <c r="H5566" s="632">
        <v>4.0000000000000001E-3</v>
      </c>
      <c r="I5566" s="995"/>
      <c r="J5566" s="996"/>
      <c r="K5566" s="997"/>
      <c r="L5566" s="649"/>
      <c r="M5566" s="100"/>
    </row>
    <row r="5567" spans="4:13" ht="23">
      <c r="E5567" s="629">
        <v>45695</v>
      </c>
      <c r="F5567" s="632">
        <v>5.0000000000000001E-3</v>
      </c>
      <c r="G5567" s="632">
        <v>3.0000000000000001E-3</v>
      </c>
      <c r="H5567" s="632">
        <v>3.0000000000000001E-3</v>
      </c>
      <c r="I5567" s="995"/>
      <c r="J5567" s="996"/>
      <c r="K5567" s="997"/>
      <c r="L5567" s="99"/>
      <c r="M5567" s="100"/>
    </row>
    <row r="5568" spans="4:13" ht="23">
      <c r="E5568" s="629">
        <v>45667</v>
      </c>
      <c r="F5568" s="632">
        <v>3.0000000000000001E-3</v>
      </c>
      <c r="G5568" s="632">
        <v>3.0000000000000001E-3</v>
      </c>
      <c r="H5568" s="632">
        <v>4.0000000000000001E-3</v>
      </c>
      <c r="I5568" s="995"/>
      <c r="J5568" s="996"/>
      <c r="K5568" s="997"/>
      <c r="L5568" s="99"/>
      <c r="M5568" s="100"/>
    </row>
    <row r="5569" spans="4:13" ht="24" thickBot="1">
      <c r="E5569" s="629">
        <v>45632</v>
      </c>
      <c r="F5569" s="632">
        <v>4.0000000000000001E-3</v>
      </c>
      <c r="G5569" s="632">
        <v>3.0000000000000001E-3</v>
      </c>
      <c r="H5569" s="632">
        <v>4.0000000000000001E-3</v>
      </c>
      <c r="I5569" s="998"/>
      <c r="J5569" s="999"/>
      <c r="K5569" s="1000"/>
      <c r="L5569" s="102"/>
      <c r="M5569" s="103"/>
    </row>
    <row r="5570" spans="4:13" ht="25" thickBot="1">
      <c r="D5570">
        <v>1</v>
      </c>
      <c r="E5570" s="628" t="s">
        <v>30</v>
      </c>
      <c r="F5570" s="986" t="s">
        <v>2217</v>
      </c>
      <c r="G5570" s="987"/>
      <c r="H5570" s="988"/>
      <c r="I5570" s="989" t="s">
        <v>633</v>
      </c>
      <c r="J5570" s="990"/>
      <c r="K5570" s="991"/>
      <c r="L5570" s="658" t="s">
        <v>430</v>
      </c>
      <c r="M5570" s="659" t="s">
        <v>431</v>
      </c>
    </row>
    <row r="5571" spans="4:13" ht="24">
      <c r="E5571" s="625" t="s">
        <v>432</v>
      </c>
      <c r="F5571" s="992"/>
      <c r="G5571" s="993"/>
      <c r="H5571" s="994"/>
      <c r="I5571" s="995" t="s">
        <v>2053</v>
      </c>
      <c r="J5571" s="996"/>
      <c r="K5571" s="997"/>
      <c r="L5571" s="99"/>
      <c r="M5571" s="100"/>
    </row>
    <row r="5572" spans="4:13" ht="24">
      <c r="E5572" s="626" t="s">
        <v>433</v>
      </c>
      <c r="F5572" s="1001" t="s">
        <v>2218</v>
      </c>
      <c r="G5572" s="1002"/>
      <c r="H5572" s="1003"/>
      <c r="I5572" s="995"/>
      <c r="J5572" s="996"/>
      <c r="K5572" s="997"/>
      <c r="L5572" s="99"/>
      <c r="M5572" s="100"/>
    </row>
    <row r="5573" spans="4:13" ht="25" thickBot="1">
      <c r="E5573" s="626" t="s">
        <v>434</v>
      </c>
      <c r="F5573" s="1010" t="s">
        <v>2219</v>
      </c>
      <c r="G5573" s="1002"/>
      <c r="H5573" s="1003"/>
      <c r="I5573" s="995"/>
      <c r="J5573" s="996"/>
      <c r="K5573" s="997"/>
      <c r="L5573" s="99"/>
      <c r="M5573" s="100"/>
    </row>
    <row r="5574" spans="4:13" ht="25" thickBot="1">
      <c r="E5574" s="627" t="s">
        <v>435</v>
      </c>
      <c r="F5574" s="1007">
        <v>0.52083333333333337</v>
      </c>
      <c r="G5574" s="1008"/>
      <c r="H5574" s="1009"/>
      <c r="I5574" s="995"/>
      <c r="J5574" s="996"/>
      <c r="K5574" s="997"/>
      <c r="L5574" s="647">
        <v>0.75</v>
      </c>
      <c r="M5574" s="648">
        <v>0.64583333333333337</v>
      </c>
    </row>
    <row r="5575" spans="4:13" ht="25" thickBot="1">
      <c r="E5575" s="628" t="s">
        <v>436</v>
      </c>
      <c r="F5575" s="200" t="s">
        <v>29</v>
      </c>
      <c r="G5575" s="200" t="s">
        <v>28</v>
      </c>
      <c r="H5575" s="201" t="s">
        <v>27</v>
      </c>
      <c r="I5575" s="995"/>
      <c r="J5575" s="996"/>
      <c r="K5575" s="997"/>
      <c r="L5575" s="99"/>
      <c r="M5575" s="100"/>
    </row>
    <row r="5576" spans="4:13" ht="24">
      <c r="E5576" s="629">
        <v>45779</v>
      </c>
      <c r="F5576" s="636" t="s">
        <v>2242</v>
      </c>
      <c r="G5576" s="636" t="s">
        <v>2243</v>
      </c>
      <c r="H5576" s="636" t="s">
        <v>1781</v>
      </c>
      <c r="I5576" s="995"/>
      <c r="J5576" s="996"/>
      <c r="K5576" s="997"/>
      <c r="L5576" s="99"/>
      <c r="M5576" s="100"/>
    </row>
    <row r="5577" spans="4:13" ht="24">
      <c r="E5577" s="629">
        <v>45751</v>
      </c>
      <c r="F5577" s="636" t="s">
        <v>2244</v>
      </c>
      <c r="G5577" s="636" t="s">
        <v>2066</v>
      </c>
      <c r="H5577" s="636" t="s">
        <v>2067</v>
      </c>
      <c r="I5577" s="995"/>
      <c r="J5577" s="996"/>
      <c r="K5577" s="997"/>
      <c r="L5577" s="99"/>
      <c r="M5577" s="100"/>
    </row>
    <row r="5578" spans="4:13" ht="24">
      <c r="E5578" s="629">
        <v>45723</v>
      </c>
      <c r="F5578" s="636" t="s">
        <v>1870</v>
      </c>
      <c r="G5578" s="636" t="s">
        <v>1194</v>
      </c>
      <c r="H5578" s="636" t="s">
        <v>1871</v>
      </c>
      <c r="I5578" s="995"/>
      <c r="J5578" s="996"/>
      <c r="K5578" s="997"/>
      <c r="L5578" s="649"/>
      <c r="M5578" s="100"/>
    </row>
    <row r="5579" spans="4:13" ht="24">
      <c r="E5579" s="629">
        <v>45695</v>
      </c>
      <c r="F5579" s="636" t="s">
        <v>1195</v>
      </c>
      <c r="G5579" s="636" t="s">
        <v>1875</v>
      </c>
      <c r="H5579" s="636" t="s">
        <v>1876</v>
      </c>
      <c r="I5579" s="995"/>
      <c r="J5579" s="996"/>
      <c r="K5579" s="997"/>
      <c r="L5579" s="99"/>
      <c r="M5579" s="100"/>
    </row>
    <row r="5580" spans="4:13" ht="24">
      <c r="E5580" s="629">
        <v>45667</v>
      </c>
      <c r="F5580" s="636" t="s">
        <v>1880</v>
      </c>
      <c r="G5580" s="636" t="s">
        <v>1237</v>
      </c>
      <c r="H5580" s="636" t="s">
        <v>1881</v>
      </c>
      <c r="I5580" s="995"/>
      <c r="J5580" s="996"/>
      <c r="K5580" s="997"/>
      <c r="L5580" s="99"/>
      <c r="M5580" s="100"/>
    </row>
    <row r="5581" spans="4:13" ht="25" thickBot="1">
      <c r="E5581" s="629">
        <v>45632</v>
      </c>
      <c r="F5581" s="636" t="s">
        <v>978</v>
      </c>
      <c r="G5581" s="636" t="s">
        <v>1397</v>
      </c>
      <c r="H5581" s="636" t="s">
        <v>1886</v>
      </c>
      <c r="I5581" s="998"/>
      <c r="J5581" s="999"/>
      <c r="K5581" s="1000"/>
      <c r="L5581" s="102"/>
      <c r="M5581" s="103"/>
    </row>
    <row r="5582" spans="4:13" ht="25" thickBot="1">
      <c r="D5582">
        <v>1</v>
      </c>
      <c r="E5582" s="628" t="s">
        <v>30</v>
      </c>
      <c r="F5582" s="986" t="s">
        <v>2220</v>
      </c>
      <c r="G5582" s="987"/>
      <c r="H5582" s="988"/>
      <c r="I5582" s="989" t="s">
        <v>633</v>
      </c>
      <c r="J5582" s="990"/>
      <c r="K5582" s="991"/>
      <c r="L5582" s="658" t="s">
        <v>430</v>
      </c>
      <c r="M5582" s="659" t="s">
        <v>431</v>
      </c>
    </row>
    <row r="5583" spans="4:13" ht="24">
      <c r="E5583" s="625" t="s">
        <v>432</v>
      </c>
      <c r="F5583" s="992"/>
      <c r="G5583" s="993"/>
      <c r="H5583" s="994"/>
      <c r="I5583" s="995" t="s">
        <v>2221</v>
      </c>
      <c r="J5583" s="996"/>
      <c r="K5583" s="997"/>
      <c r="L5583" s="99"/>
      <c r="M5583" s="100"/>
    </row>
    <row r="5584" spans="4:13" ht="24">
      <c r="E5584" s="626" t="s">
        <v>433</v>
      </c>
      <c r="F5584" s="1001">
        <v>4.2000000000000003E-2</v>
      </c>
      <c r="G5584" s="1002"/>
      <c r="H5584" s="1003"/>
      <c r="I5584" s="995"/>
      <c r="J5584" s="996"/>
      <c r="K5584" s="997"/>
      <c r="L5584" s="99"/>
      <c r="M5584" s="100"/>
    </row>
    <row r="5585" spans="3:13" ht="25" thickBot="1">
      <c r="E5585" s="626" t="s">
        <v>434</v>
      </c>
      <c r="F5585" s="1004">
        <v>4.2000000000000003E-2</v>
      </c>
      <c r="G5585" s="1005"/>
      <c r="H5585" s="1006"/>
      <c r="I5585" s="995"/>
      <c r="J5585" s="996"/>
      <c r="K5585" s="997"/>
      <c r="L5585" s="99"/>
      <c r="M5585" s="100"/>
    </row>
    <row r="5586" spans="3:13" ht="25" thickBot="1">
      <c r="E5586" s="627" t="s">
        <v>435</v>
      </c>
      <c r="F5586" s="1007">
        <v>0.52083333333333337</v>
      </c>
      <c r="G5586" s="1008"/>
      <c r="H5586" s="1009"/>
      <c r="I5586" s="995"/>
      <c r="J5586" s="996"/>
      <c r="K5586" s="997"/>
      <c r="L5586" s="647">
        <v>0.75</v>
      </c>
      <c r="M5586" s="648">
        <v>0.64583333333333337</v>
      </c>
    </row>
    <row r="5587" spans="3:13" ht="25" thickBot="1">
      <c r="E5587" s="628" t="s">
        <v>436</v>
      </c>
      <c r="F5587" s="200" t="s">
        <v>29</v>
      </c>
      <c r="G5587" s="200" t="s">
        <v>28</v>
      </c>
      <c r="H5587" s="201" t="s">
        <v>27</v>
      </c>
      <c r="I5587" s="995"/>
      <c r="J5587" s="996"/>
      <c r="K5587" s="997"/>
      <c r="L5587" s="99"/>
      <c r="M5587" s="100"/>
    </row>
    <row r="5588" spans="3:13" ht="23">
      <c r="E5588" s="629">
        <v>45779</v>
      </c>
      <c r="F5588" s="632">
        <v>4.2000000000000003E-2</v>
      </c>
      <c r="G5588" s="632">
        <v>4.2000000000000003E-2</v>
      </c>
      <c r="H5588" s="632">
        <v>4.2000000000000003E-2</v>
      </c>
      <c r="I5588" s="995"/>
      <c r="J5588" s="996"/>
      <c r="K5588" s="997"/>
      <c r="L5588" s="99"/>
      <c r="M5588" s="100"/>
    </row>
    <row r="5589" spans="3:13" ht="23">
      <c r="E5589" s="629">
        <v>45751</v>
      </c>
      <c r="F5589" s="632">
        <v>4.2000000000000003E-2</v>
      </c>
      <c r="G5589" s="632">
        <v>4.1000000000000002E-2</v>
      </c>
      <c r="H5589" s="632">
        <v>4.1000000000000002E-2</v>
      </c>
      <c r="I5589" s="995"/>
      <c r="J5589" s="996"/>
      <c r="K5589" s="997"/>
      <c r="L5589" s="99"/>
      <c r="M5589" s="100"/>
    </row>
    <row r="5590" spans="3:13" ht="23">
      <c r="E5590" s="629">
        <v>45723</v>
      </c>
      <c r="F5590" s="632">
        <v>4.1000000000000002E-2</v>
      </c>
      <c r="G5590" s="632">
        <v>0.04</v>
      </c>
      <c r="H5590" s="632">
        <v>0.04</v>
      </c>
      <c r="I5590" s="995"/>
      <c r="J5590" s="996"/>
      <c r="K5590" s="997"/>
      <c r="L5590" s="649"/>
      <c r="M5590" s="100"/>
    </row>
    <row r="5591" spans="3:13" ht="23">
      <c r="E5591" s="629">
        <v>45695</v>
      </c>
      <c r="F5591" s="632">
        <v>0.04</v>
      </c>
      <c r="G5591" s="632">
        <v>4.1000000000000002E-2</v>
      </c>
      <c r="H5591" s="632">
        <v>4.1000000000000002E-2</v>
      </c>
      <c r="I5591" s="995"/>
      <c r="J5591" s="996"/>
      <c r="K5591" s="997"/>
      <c r="L5591" s="99"/>
      <c r="M5591" s="100"/>
    </row>
    <row r="5592" spans="3:13" ht="23">
      <c r="E5592" s="629">
        <v>45667</v>
      </c>
      <c r="F5592" s="632">
        <v>4.1000000000000002E-2</v>
      </c>
      <c r="G5592" s="632">
        <v>4.2000000000000003E-2</v>
      </c>
      <c r="H5592" s="632">
        <v>4.2000000000000003E-2</v>
      </c>
      <c r="I5592" s="995"/>
      <c r="J5592" s="996"/>
      <c r="K5592" s="997"/>
      <c r="L5592" s="99"/>
      <c r="M5592" s="100"/>
    </row>
    <row r="5593" spans="3:13" ht="24" thickBot="1">
      <c r="E5593" s="629">
        <v>45632</v>
      </c>
      <c r="F5593" s="632">
        <v>4.2000000000000003E-2</v>
      </c>
      <c r="G5593" s="632">
        <v>4.2000000000000003E-2</v>
      </c>
      <c r="H5593" s="632">
        <v>4.1000000000000002E-2</v>
      </c>
      <c r="I5593" s="998"/>
      <c r="J5593" s="999"/>
      <c r="K5593" s="1000"/>
      <c r="L5593" s="102"/>
      <c r="M5593" s="103"/>
    </row>
    <row r="5594" spans="3:13" ht="25" thickBot="1">
      <c r="C5594" t="s">
        <v>105</v>
      </c>
      <c r="D5594">
        <v>1</v>
      </c>
      <c r="E5594" s="628" t="s">
        <v>30</v>
      </c>
      <c r="F5594" s="986" t="s">
        <v>2119</v>
      </c>
      <c r="G5594" s="987"/>
      <c r="H5594" s="988"/>
      <c r="I5594" s="989" t="s">
        <v>633</v>
      </c>
      <c r="J5594" s="990"/>
      <c r="K5594" s="991"/>
      <c r="L5594" s="658" t="s">
        <v>430</v>
      </c>
      <c r="M5594" s="659" t="s">
        <v>431</v>
      </c>
    </row>
    <row r="5595" spans="3:13" ht="24">
      <c r="E5595" s="625" t="s">
        <v>432</v>
      </c>
      <c r="F5595" s="992"/>
      <c r="G5595" s="993"/>
      <c r="H5595" s="994"/>
      <c r="I5595" s="995" t="s">
        <v>2249</v>
      </c>
      <c r="J5595" s="996"/>
      <c r="K5595" s="997"/>
      <c r="L5595" s="99"/>
      <c r="M5595" s="100"/>
    </row>
    <row r="5596" spans="3:13" ht="24">
      <c r="E5596" s="626" t="s">
        <v>433</v>
      </c>
      <c r="F5596" s="1004"/>
      <c r="G5596" s="1005"/>
      <c r="H5596" s="1006"/>
      <c r="I5596" s="995"/>
      <c r="J5596" s="996"/>
      <c r="K5596" s="997"/>
      <c r="L5596" s="99"/>
      <c r="M5596" s="100"/>
    </row>
    <row r="5597" spans="3:13" ht="25" thickBot="1">
      <c r="E5597" s="626" t="s">
        <v>434</v>
      </c>
      <c r="F5597" s="1004">
        <v>6.0000000000000001E-3</v>
      </c>
      <c r="G5597" s="1005"/>
      <c r="H5597" s="1006"/>
      <c r="I5597" s="995"/>
      <c r="J5597" s="996"/>
      <c r="K5597" s="997"/>
      <c r="L5597" s="99"/>
      <c r="M5597" s="100"/>
    </row>
    <row r="5598" spans="3:13" ht="25" thickBot="1">
      <c r="E5598" s="627" t="s">
        <v>435</v>
      </c>
      <c r="F5598" s="1007">
        <v>0.99305555555555558</v>
      </c>
      <c r="G5598" s="1008"/>
      <c r="H5598" s="1009"/>
      <c r="I5598" s="995"/>
      <c r="J5598" s="996"/>
      <c r="K5598" s="997"/>
      <c r="L5598" s="647">
        <v>0.22222222222222221</v>
      </c>
      <c r="M5598" s="648">
        <v>0.11805555555555554</v>
      </c>
    </row>
    <row r="5599" spans="3:13" ht="25" thickBot="1">
      <c r="E5599" s="628" t="s">
        <v>436</v>
      </c>
      <c r="F5599" s="200" t="s">
        <v>29</v>
      </c>
      <c r="G5599" s="200" t="s">
        <v>28</v>
      </c>
      <c r="H5599" s="201" t="s">
        <v>27</v>
      </c>
      <c r="I5599" s="995"/>
      <c r="J5599" s="996"/>
      <c r="K5599" s="997"/>
      <c r="L5599" s="99"/>
      <c r="M5599" s="100"/>
    </row>
    <row r="5600" spans="3:13" ht="23">
      <c r="E5600" s="629">
        <v>45793</v>
      </c>
      <c r="F5600" s="635">
        <v>-2E-3</v>
      </c>
      <c r="G5600" s="635">
        <v>-1E-3</v>
      </c>
      <c r="H5600" s="635">
        <v>6.0000000000000001E-3</v>
      </c>
      <c r="I5600" s="995"/>
      <c r="J5600" s="996"/>
      <c r="K5600" s="997"/>
      <c r="L5600" s="99"/>
      <c r="M5600" s="100"/>
    </row>
    <row r="5601" spans="4:13" ht="23">
      <c r="E5601" s="629">
        <v>45727</v>
      </c>
      <c r="F5601" s="635">
        <v>6.0000000000000001E-3</v>
      </c>
      <c r="G5601" s="635">
        <v>7.0000000000000001E-3</v>
      </c>
      <c r="H5601" s="635">
        <v>3.0000000000000001E-3</v>
      </c>
      <c r="I5601" s="995"/>
      <c r="J5601" s="996"/>
      <c r="K5601" s="997"/>
      <c r="L5601" s="99"/>
      <c r="M5601" s="100"/>
    </row>
    <row r="5602" spans="4:13" ht="23">
      <c r="E5602" s="629">
        <v>45705</v>
      </c>
      <c r="F5602" s="635">
        <v>7.0000000000000001E-3</v>
      </c>
      <c r="G5602" s="635">
        <v>3.0000000000000001E-3</v>
      </c>
      <c r="H5602" s="635">
        <v>4.0000000000000001E-3</v>
      </c>
      <c r="I5602" s="995"/>
      <c r="J5602" s="996"/>
      <c r="K5602" s="997"/>
      <c r="L5602" s="649"/>
      <c r="M5602" s="100"/>
    </row>
    <row r="5603" spans="4:13" ht="23">
      <c r="E5603" s="629">
        <v>45635</v>
      </c>
      <c r="F5603" s="635">
        <v>3.0000000000000001E-3</v>
      </c>
      <c r="G5603" s="635">
        <v>2E-3</v>
      </c>
      <c r="H5603" s="635">
        <v>5.0000000000000001E-3</v>
      </c>
      <c r="I5603" s="995"/>
      <c r="J5603" s="996"/>
      <c r="K5603" s="997"/>
      <c r="L5603" s="99"/>
      <c r="M5603" s="100"/>
    </row>
    <row r="5604" spans="4:13" ht="23">
      <c r="E5604" s="629">
        <v>45611</v>
      </c>
      <c r="F5604" s="635">
        <v>2E-3</v>
      </c>
      <c r="G5604" s="635">
        <v>2E-3</v>
      </c>
      <c r="H5604" s="635">
        <v>5.0000000000000001E-3</v>
      </c>
      <c r="I5604" s="995"/>
      <c r="J5604" s="996"/>
      <c r="K5604" s="997"/>
      <c r="L5604" s="99"/>
      <c r="M5604" s="100"/>
    </row>
    <row r="5605" spans="4:13" ht="24" thickBot="1">
      <c r="E5605" s="629">
        <v>45544</v>
      </c>
      <c r="F5605" s="635">
        <v>7.0000000000000001E-3</v>
      </c>
      <c r="G5605" s="635">
        <v>8.0000000000000002E-3</v>
      </c>
      <c r="H5605" s="635">
        <v>-6.0000000000000001E-3</v>
      </c>
      <c r="I5605" s="998"/>
      <c r="J5605" s="999"/>
      <c r="K5605" s="1000"/>
      <c r="L5605" s="102"/>
      <c r="M5605" s="103"/>
    </row>
    <row r="5606" spans="4:13" ht="25" thickBot="1">
      <c r="D5606">
        <v>1</v>
      </c>
      <c r="E5606" s="628" t="s">
        <v>30</v>
      </c>
      <c r="F5606" s="986" t="s">
        <v>2250</v>
      </c>
      <c r="G5606" s="987"/>
      <c r="H5606" s="988"/>
      <c r="I5606" s="989" t="s">
        <v>633</v>
      </c>
      <c r="J5606" s="990"/>
      <c r="K5606" s="991"/>
      <c r="L5606" s="658" t="s">
        <v>430</v>
      </c>
      <c r="M5606" s="659" t="s">
        <v>431</v>
      </c>
    </row>
    <row r="5607" spans="4:13" ht="24">
      <c r="E5607" s="625" t="s">
        <v>432</v>
      </c>
      <c r="F5607" s="992"/>
      <c r="G5607" s="993"/>
      <c r="H5607" s="994"/>
      <c r="I5607" s="995" t="s">
        <v>1907</v>
      </c>
      <c r="J5607" s="996"/>
      <c r="K5607" s="997"/>
      <c r="L5607" s="99"/>
      <c r="M5607" s="100"/>
    </row>
    <row r="5608" spans="4:13" ht="24">
      <c r="E5608" s="626" t="s">
        <v>433</v>
      </c>
      <c r="F5608" s="1001"/>
      <c r="G5608" s="1002"/>
      <c r="H5608" s="1003"/>
      <c r="I5608" s="995"/>
      <c r="J5608" s="996"/>
      <c r="K5608" s="997"/>
      <c r="L5608" s="99"/>
      <c r="M5608" s="100"/>
    </row>
    <row r="5609" spans="4:13" ht="25" thickBot="1">
      <c r="E5609" s="626" t="s">
        <v>434</v>
      </c>
      <c r="F5609" s="1004">
        <v>2E-3</v>
      </c>
      <c r="G5609" s="1005"/>
      <c r="H5609" s="1006"/>
      <c r="I5609" s="995"/>
      <c r="J5609" s="996"/>
      <c r="K5609" s="997"/>
      <c r="L5609" s="99"/>
      <c r="M5609" s="100"/>
    </row>
    <row r="5610" spans="4:13" ht="25" thickBot="1">
      <c r="E5610" s="627" t="s">
        <v>435</v>
      </c>
      <c r="F5610" s="1007">
        <v>0.52083333333333337</v>
      </c>
      <c r="G5610" s="1008"/>
      <c r="H5610" s="1009"/>
      <c r="I5610" s="995"/>
      <c r="J5610" s="996"/>
      <c r="K5610" s="997"/>
      <c r="L5610" s="647">
        <v>0.75</v>
      </c>
      <c r="M5610" s="648">
        <v>0.64583333333333337</v>
      </c>
    </row>
    <row r="5611" spans="4:13" ht="25" thickBot="1">
      <c r="E5611" s="628" t="s">
        <v>436</v>
      </c>
      <c r="F5611" s="200" t="s">
        <v>29</v>
      </c>
      <c r="G5611" s="200" t="s">
        <v>28</v>
      </c>
      <c r="H5611" s="201" t="s">
        <v>27</v>
      </c>
      <c r="I5611" s="995"/>
      <c r="J5611" s="996"/>
      <c r="K5611" s="997"/>
      <c r="L5611" s="99"/>
      <c r="M5611" s="100"/>
    </row>
    <row r="5612" spans="4:13" ht="23">
      <c r="E5612" s="629">
        <v>45790</v>
      </c>
      <c r="F5612" s="632">
        <v>2E-3</v>
      </c>
      <c r="G5612" s="632">
        <v>3.0000000000000001E-3</v>
      </c>
      <c r="H5612" s="632">
        <v>1E-3</v>
      </c>
      <c r="I5612" s="995"/>
      <c r="J5612" s="996"/>
      <c r="K5612" s="997"/>
      <c r="L5612" s="99"/>
      <c r="M5612" s="100"/>
    </row>
    <row r="5613" spans="4:13" ht="23">
      <c r="E5613" s="629">
        <v>45757</v>
      </c>
      <c r="F5613" s="632">
        <v>1E-3</v>
      </c>
      <c r="G5613" s="632">
        <v>3.0000000000000001E-3</v>
      </c>
      <c r="H5613" s="632">
        <v>2E-3</v>
      </c>
      <c r="I5613" s="995"/>
      <c r="J5613" s="996"/>
      <c r="K5613" s="997"/>
      <c r="L5613" s="99"/>
      <c r="M5613" s="100"/>
    </row>
    <row r="5614" spans="4:13" ht="23">
      <c r="E5614" s="629">
        <v>45728</v>
      </c>
      <c r="F5614" s="632">
        <v>2E-3</v>
      </c>
      <c r="G5614" s="632">
        <v>3.0000000000000001E-3</v>
      </c>
      <c r="H5614" s="632">
        <v>4.0000000000000001E-3</v>
      </c>
      <c r="I5614" s="995"/>
      <c r="J5614" s="996"/>
      <c r="K5614" s="997"/>
      <c r="L5614" s="649"/>
      <c r="M5614" s="100"/>
    </row>
    <row r="5615" spans="4:13" ht="23">
      <c r="E5615" s="629">
        <v>45700</v>
      </c>
      <c r="F5615" s="632">
        <v>4.0000000000000001E-3</v>
      </c>
      <c r="G5615" s="632">
        <v>3.0000000000000001E-3</v>
      </c>
      <c r="H5615" s="632">
        <v>2E-3</v>
      </c>
      <c r="I5615" s="995"/>
      <c r="J5615" s="996"/>
      <c r="K5615" s="997"/>
      <c r="L5615" s="99"/>
      <c r="M5615" s="100"/>
    </row>
    <row r="5616" spans="4:13" ht="23">
      <c r="E5616" s="629">
        <v>45672</v>
      </c>
      <c r="F5616" s="632">
        <v>2E-3</v>
      </c>
      <c r="G5616" s="632">
        <v>3.0000000000000001E-3</v>
      </c>
      <c r="H5616" s="632">
        <v>3.0000000000000001E-3</v>
      </c>
      <c r="I5616" s="995"/>
      <c r="J5616" s="996"/>
      <c r="K5616" s="997"/>
      <c r="L5616" s="99"/>
      <c r="M5616" s="100"/>
    </row>
    <row r="5617" spans="4:13" ht="24" thickBot="1">
      <c r="E5617" s="629">
        <v>45637</v>
      </c>
      <c r="F5617" s="632">
        <v>3.0000000000000001E-3</v>
      </c>
      <c r="G5617" s="632">
        <v>3.0000000000000001E-3</v>
      </c>
      <c r="H5617" s="632">
        <v>3.0000000000000001E-3</v>
      </c>
      <c r="I5617" s="998"/>
      <c r="J5617" s="999"/>
      <c r="K5617" s="1000"/>
      <c r="L5617" s="102"/>
      <c r="M5617" s="103"/>
    </row>
    <row r="5618" spans="4:13" ht="25" thickBot="1">
      <c r="D5618">
        <v>1</v>
      </c>
      <c r="E5618" s="628" t="s">
        <v>30</v>
      </c>
      <c r="F5618" s="986" t="s">
        <v>2251</v>
      </c>
      <c r="G5618" s="987"/>
      <c r="H5618" s="988"/>
      <c r="I5618" s="989" t="s">
        <v>633</v>
      </c>
      <c r="J5618" s="990"/>
      <c r="K5618" s="991"/>
      <c r="L5618" s="658" t="s">
        <v>430</v>
      </c>
      <c r="M5618" s="659" t="s">
        <v>431</v>
      </c>
    </row>
    <row r="5619" spans="4:13" ht="24">
      <c r="E5619" s="625" t="s">
        <v>432</v>
      </c>
      <c r="F5619" s="992"/>
      <c r="G5619" s="993"/>
      <c r="H5619" s="994"/>
      <c r="I5619" s="995" t="s">
        <v>1911</v>
      </c>
      <c r="J5619" s="996"/>
      <c r="K5619" s="997"/>
      <c r="L5619" s="99"/>
      <c r="M5619" s="100"/>
    </row>
    <row r="5620" spans="4:13" ht="24">
      <c r="E5620" s="626" t="s">
        <v>433</v>
      </c>
      <c r="F5620" s="1001"/>
      <c r="G5620" s="1017"/>
      <c r="H5620" s="1018"/>
      <c r="I5620" s="995"/>
      <c r="J5620" s="996"/>
      <c r="K5620" s="997"/>
      <c r="L5620" s="99"/>
      <c r="M5620" s="100"/>
    </row>
    <row r="5621" spans="4:13" ht="25" thickBot="1">
      <c r="E5621" s="626" t="s">
        <v>434</v>
      </c>
      <c r="F5621" s="1004">
        <v>2E-3</v>
      </c>
      <c r="G5621" s="1005"/>
      <c r="H5621" s="1006"/>
      <c r="I5621" s="995"/>
      <c r="J5621" s="996"/>
      <c r="K5621" s="997"/>
      <c r="L5621" s="99"/>
      <c r="M5621" s="100"/>
    </row>
    <row r="5622" spans="4:13" ht="25" thickBot="1">
      <c r="E5622" s="627" t="s">
        <v>435</v>
      </c>
      <c r="F5622" s="1007">
        <v>0.52083333333333337</v>
      </c>
      <c r="G5622" s="1008"/>
      <c r="H5622" s="1009"/>
      <c r="I5622" s="995"/>
      <c r="J5622" s="996"/>
      <c r="K5622" s="997"/>
      <c r="L5622" s="647">
        <v>0.75</v>
      </c>
      <c r="M5622" s="648">
        <v>0.64583333333333337</v>
      </c>
    </row>
    <row r="5623" spans="4:13" ht="25" thickBot="1">
      <c r="E5623" s="628" t="s">
        <v>436</v>
      </c>
      <c r="F5623" s="200" t="s">
        <v>29</v>
      </c>
      <c r="G5623" s="200" t="s">
        <v>28</v>
      </c>
      <c r="H5623" s="201" t="s">
        <v>27</v>
      </c>
      <c r="I5623" s="995"/>
      <c r="J5623" s="996"/>
      <c r="K5623" s="997"/>
      <c r="L5623" s="99"/>
      <c r="M5623" s="100"/>
    </row>
    <row r="5624" spans="4:13" ht="23">
      <c r="E5624" s="629">
        <v>45790</v>
      </c>
      <c r="F5624" s="632">
        <v>2E-3</v>
      </c>
      <c r="G5624" s="632">
        <v>3.0000000000000001E-3</v>
      </c>
      <c r="H5624" s="632">
        <v>-1E-3</v>
      </c>
      <c r="I5624" s="995"/>
      <c r="J5624" s="996"/>
      <c r="K5624" s="997"/>
      <c r="L5624" s="99"/>
      <c r="M5624" s="100"/>
    </row>
    <row r="5625" spans="4:13" ht="23">
      <c r="E5625" s="629">
        <v>45757</v>
      </c>
      <c r="F5625" s="632">
        <v>-1E-3</v>
      </c>
      <c r="G5625" s="632">
        <v>1E-3</v>
      </c>
      <c r="H5625" s="632">
        <v>2E-3</v>
      </c>
      <c r="I5625" s="995"/>
      <c r="J5625" s="996"/>
      <c r="K5625" s="997"/>
      <c r="L5625" s="99"/>
      <c r="M5625" s="100"/>
    </row>
    <row r="5626" spans="4:13" ht="23">
      <c r="E5626" s="629">
        <v>45728</v>
      </c>
      <c r="F5626" s="632">
        <v>2E-3</v>
      </c>
      <c r="G5626" s="632">
        <v>3.0000000000000001E-3</v>
      </c>
      <c r="H5626" s="632">
        <v>5.0000000000000001E-3</v>
      </c>
      <c r="I5626" s="995"/>
      <c r="J5626" s="996"/>
      <c r="K5626" s="997"/>
      <c r="L5626" s="649"/>
      <c r="M5626" s="100"/>
    </row>
    <row r="5627" spans="4:13" ht="23">
      <c r="E5627" s="629">
        <v>45700</v>
      </c>
      <c r="F5627" s="632">
        <v>5.0000000000000001E-3</v>
      </c>
      <c r="G5627" s="632">
        <v>3.0000000000000001E-3</v>
      </c>
      <c r="H5627" s="632">
        <v>4.0000000000000001E-3</v>
      </c>
      <c r="I5627" s="995"/>
      <c r="J5627" s="996"/>
      <c r="K5627" s="997"/>
      <c r="L5627" s="99"/>
      <c r="M5627" s="100"/>
    </row>
    <row r="5628" spans="4:13" ht="23">
      <c r="E5628" s="629">
        <v>45672</v>
      </c>
      <c r="F5628" s="632">
        <v>4.0000000000000001E-3</v>
      </c>
      <c r="G5628" s="632">
        <v>4.0000000000000001E-3</v>
      </c>
      <c r="H5628" s="632">
        <v>3.0000000000000001E-3</v>
      </c>
      <c r="I5628" s="995"/>
      <c r="J5628" s="996"/>
      <c r="K5628" s="997"/>
      <c r="L5628" s="99"/>
      <c r="M5628" s="100"/>
    </row>
    <row r="5629" spans="4:13" ht="24" thickBot="1">
      <c r="E5629" s="629">
        <v>45637</v>
      </c>
      <c r="F5629" s="632">
        <v>3.0000000000000001E-3</v>
      </c>
      <c r="G5629" s="632">
        <v>3.0000000000000001E-3</v>
      </c>
      <c r="H5629" s="632">
        <v>2E-3</v>
      </c>
      <c r="I5629" s="998"/>
      <c r="J5629" s="999"/>
      <c r="K5629" s="1000"/>
      <c r="L5629" s="102"/>
      <c r="M5629" s="103"/>
    </row>
    <row r="5630" spans="4:13" ht="25" thickBot="1">
      <c r="D5630">
        <v>1</v>
      </c>
      <c r="E5630" s="628" t="s">
        <v>30</v>
      </c>
      <c r="F5630" s="986" t="s">
        <v>2252</v>
      </c>
      <c r="G5630" s="987"/>
      <c r="H5630" s="988"/>
      <c r="I5630" s="989" t="s">
        <v>633</v>
      </c>
      <c r="J5630" s="990"/>
      <c r="K5630" s="991"/>
      <c r="L5630" s="658" t="s">
        <v>430</v>
      </c>
      <c r="M5630" s="659" t="s">
        <v>431</v>
      </c>
    </row>
    <row r="5631" spans="4:13" ht="24">
      <c r="E5631" s="625" t="s">
        <v>432</v>
      </c>
      <c r="F5631" s="992"/>
      <c r="G5631" s="993"/>
      <c r="H5631" s="994"/>
      <c r="I5631" s="995" t="s">
        <v>1911</v>
      </c>
      <c r="J5631" s="996"/>
      <c r="K5631" s="997"/>
      <c r="L5631" s="99"/>
      <c r="M5631" s="100"/>
    </row>
    <row r="5632" spans="4:13" ht="24">
      <c r="E5632" s="626" t="s">
        <v>433</v>
      </c>
      <c r="F5632" s="1001"/>
      <c r="G5632" s="1017"/>
      <c r="H5632" s="1018"/>
      <c r="I5632" s="995"/>
      <c r="J5632" s="996"/>
      <c r="K5632" s="997"/>
      <c r="L5632" s="99"/>
      <c r="M5632" s="100"/>
    </row>
    <row r="5633" spans="4:13" ht="25" thickBot="1">
      <c r="E5633" s="626" t="s">
        <v>434</v>
      </c>
      <c r="F5633" s="1004">
        <v>2.3E-2</v>
      </c>
      <c r="G5633" s="1005"/>
      <c r="H5633" s="1006"/>
      <c r="I5633" s="995"/>
      <c r="J5633" s="996"/>
      <c r="K5633" s="997"/>
      <c r="L5633" s="99"/>
      <c r="M5633" s="100"/>
    </row>
    <row r="5634" spans="4:13" ht="25" thickBot="1">
      <c r="E5634" s="627" t="s">
        <v>435</v>
      </c>
      <c r="F5634" s="1007">
        <v>0.52083333333333337</v>
      </c>
      <c r="G5634" s="1008"/>
      <c r="H5634" s="1009"/>
      <c r="I5634" s="995"/>
      <c r="J5634" s="996"/>
      <c r="K5634" s="997"/>
      <c r="L5634" s="647">
        <v>0.75</v>
      </c>
      <c r="M5634" s="648">
        <v>0.64583333333333337</v>
      </c>
    </row>
    <row r="5635" spans="4:13" ht="25" thickBot="1">
      <c r="E5635" s="628" t="s">
        <v>436</v>
      </c>
      <c r="F5635" s="200" t="s">
        <v>29</v>
      </c>
      <c r="G5635" s="200" t="s">
        <v>28</v>
      </c>
      <c r="H5635" s="201" t="s">
        <v>27</v>
      </c>
      <c r="I5635" s="995"/>
      <c r="J5635" s="996"/>
      <c r="K5635" s="997"/>
      <c r="L5635" s="99"/>
      <c r="M5635" s="100"/>
    </row>
    <row r="5636" spans="4:13" ht="23">
      <c r="E5636" s="629">
        <v>45790</v>
      </c>
      <c r="F5636" s="632">
        <v>2.3E-2</v>
      </c>
      <c r="G5636" s="632">
        <v>2.4E-2</v>
      </c>
      <c r="H5636" s="632">
        <v>2.4E-2</v>
      </c>
      <c r="I5636" s="995"/>
      <c r="J5636" s="996"/>
      <c r="K5636" s="997"/>
      <c r="L5636" s="99"/>
      <c r="M5636" s="100"/>
    </row>
    <row r="5637" spans="4:13" ht="23">
      <c r="E5637" s="629">
        <v>45757</v>
      </c>
      <c r="F5637" s="632">
        <v>2.4E-2</v>
      </c>
      <c r="G5637" s="632">
        <v>2.5000000000000001E-2</v>
      </c>
      <c r="H5637" s="632">
        <v>2.8000000000000001E-2</v>
      </c>
      <c r="I5637" s="995"/>
      <c r="J5637" s="996"/>
      <c r="K5637" s="997"/>
      <c r="L5637" s="99"/>
      <c r="M5637" s="100"/>
    </row>
    <row r="5638" spans="4:13" ht="23">
      <c r="E5638" s="629">
        <v>45728</v>
      </c>
      <c r="F5638" s="632">
        <v>2.8000000000000001E-2</v>
      </c>
      <c r="G5638" s="632">
        <v>2.9000000000000001E-2</v>
      </c>
      <c r="H5638" s="632">
        <v>0.03</v>
      </c>
      <c r="I5638" s="995"/>
      <c r="J5638" s="996"/>
      <c r="K5638" s="997"/>
      <c r="L5638" s="649"/>
      <c r="M5638" s="100"/>
    </row>
    <row r="5639" spans="4:13" ht="23">
      <c r="E5639" s="629">
        <v>45700</v>
      </c>
      <c r="F5639" s="632">
        <v>0.03</v>
      </c>
      <c r="G5639" s="632">
        <v>2.9000000000000001E-2</v>
      </c>
      <c r="H5639" s="632">
        <v>2.9000000000000001E-2</v>
      </c>
      <c r="I5639" s="995"/>
      <c r="J5639" s="996"/>
      <c r="K5639" s="997"/>
      <c r="L5639" s="99"/>
      <c r="M5639" s="100"/>
    </row>
    <row r="5640" spans="4:13" ht="23">
      <c r="E5640" s="629">
        <v>45672</v>
      </c>
      <c r="F5640" s="632">
        <v>2.9000000000000001E-2</v>
      </c>
      <c r="G5640" s="632">
        <v>2.9000000000000001E-2</v>
      </c>
      <c r="H5640" s="632">
        <v>2.7E-2</v>
      </c>
      <c r="I5640" s="995"/>
      <c r="J5640" s="996"/>
      <c r="K5640" s="997"/>
      <c r="L5640" s="99"/>
      <c r="M5640" s="100"/>
    </row>
    <row r="5641" spans="4:13" ht="24" thickBot="1">
      <c r="E5641" s="629">
        <v>45637</v>
      </c>
      <c r="F5641" s="632">
        <v>2.7E-2</v>
      </c>
      <c r="G5641" s="632">
        <v>2.7E-2</v>
      </c>
      <c r="H5641" s="632">
        <v>2.5999999999999999E-2</v>
      </c>
      <c r="I5641" s="998"/>
      <c r="J5641" s="999"/>
      <c r="K5641" s="1000"/>
      <c r="L5641" s="102"/>
      <c r="M5641" s="103"/>
    </row>
    <row r="5642" spans="4:13" ht="25" thickBot="1">
      <c r="D5642">
        <v>1</v>
      </c>
      <c r="E5642" s="696" t="s">
        <v>30</v>
      </c>
      <c r="F5642" s="1023" t="s">
        <v>1503</v>
      </c>
      <c r="G5642" s="1024"/>
      <c r="H5642" s="1025"/>
      <c r="I5642" s="1026" t="s">
        <v>633</v>
      </c>
      <c r="J5642" s="1027"/>
      <c r="K5642" s="1028"/>
      <c r="L5642" s="658" t="s">
        <v>430</v>
      </c>
      <c r="M5642" s="659" t="s">
        <v>431</v>
      </c>
    </row>
    <row r="5643" spans="4:13" ht="24">
      <c r="E5643" s="699" t="s">
        <v>432</v>
      </c>
      <c r="F5643" s="1029"/>
      <c r="G5643" s="1030"/>
      <c r="H5643" s="1031"/>
      <c r="I5643" s="1032" t="s">
        <v>2254</v>
      </c>
      <c r="J5643" s="1033"/>
      <c r="K5643" s="1034"/>
      <c r="L5643" s="99"/>
      <c r="M5643" s="100"/>
    </row>
    <row r="5644" spans="4:13" ht="24">
      <c r="E5644" s="702" t="s">
        <v>433</v>
      </c>
      <c r="F5644" s="1038"/>
      <c r="G5644" s="1039"/>
      <c r="H5644" s="1040"/>
      <c r="I5644" s="1032"/>
      <c r="J5644" s="1033"/>
      <c r="K5644" s="1034"/>
      <c r="L5644" s="99"/>
      <c r="M5644" s="100"/>
    </row>
    <row r="5645" spans="4:13" ht="25" thickBot="1">
      <c r="E5645" s="702" t="s">
        <v>434</v>
      </c>
      <c r="F5645" s="1041"/>
      <c r="G5645" s="1042"/>
      <c r="H5645" s="1043"/>
      <c r="I5645" s="1032"/>
      <c r="J5645" s="1033"/>
      <c r="K5645" s="1034"/>
      <c r="L5645" s="99"/>
      <c r="M5645" s="100"/>
    </row>
    <row r="5646" spans="4:13" ht="25" thickBot="1">
      <c r="E5646" s="703" t="s">
        <v>435</v>
      </c>
      <c r="F5646" s="1044" t="e">
        <v>#REF!</v>
      </c>
      <c r="G5646" s="1045"/>
      <c r="H5646" s="1046"/>
      <c r="I5646" s="1032"/>
      <c r="J5646" s="1033"/>
      <c r="K5646" s="1034"/>
      <c r="L5646" s="647" t="e">
        <v>#REF!</v>
      </c>
      <c r="M5646" s="648" t="e">
        <v>#REF!</v>
      </c>
    </row>
    <row r="5647" spans="4:13" ht="25" thickBot="1">
      <c r="E5647" s="696" t="s">
        <v>436</v>
      </c>
      <c r="F5647" s="706" t="s">
        <v>29</v>
      </c>
      <c r="G5647" s="706" t="s">
        <v>28</v>
      </c>
      <c r="H5647" s="707" t="s">
        <v>27</v>
      </c>
      <c r="I5647" s="1032"/>
      <c r="J5647" s="1033"/>
      <c r="K5647" s="1034"/>
      <c r="L5647" s="99"/>
      <c r="M5647" s="100"/>
    </row>
    <row r="5648" spans="4:13" ht="24">
      <c r="E5648" s="657">
        <v>45812</v>
      </c>
      <c r="F5648" s="795" t="s">
        <v>2291</v>
      </c>
      <c r="G5648" s="795" t="s">
        <v>2292</v>
      </c>
      <c r="H5648" s="795" t="s">
        <v>2238</v>
      </c>
      <c r="I5648" s="1032"/>
      <c r="J5648" s="1033"/>
      <c r="K5648" s="1034"/>
      <c r="L5648" s="99"/>
      <c r="M5648" s="100"/>
    </row>
    <row r="5649" spans="4:13" ht="24">
      <c r="E5649" s="657">
        <v>45812</v>
      </c>
      <c r="F5649" s="795" t="s">
        <v>2291</v>
      </c>
      <c r="G5649" s="795" t="s">
        <v>2292</v>
      </c>
      <c r="H5649" s="795" t="s">
        <v>2238</v>
      </c>
      <c r="I5649" s="1032"/>
      <c r="J5649" s="1033"/>
      <c r="K5649" s="1034"/>
      <c r="L5649" s="99"/>
      <c r="M5649" s="100"/>
    </row>
    <row r="5650" spans="4:13" ht="24">
      <c r="E5650" s="657">
        <v>45812</v>
      </c>
      <c r="F5650" s="795" t="s">
        <v>2291</v>
      </c>
      <c r="G5650" s="795" t="s">
        <v>2292</v>
      </c>
      <c r="H5650" s="795" t="s">
        <v>2238</v>
      </c>
      <c r="I5650" s="1032"/>
      <c r="J5650" s="1033"/>
      <c r="K5650" s="1034"/>
      <c r="L5650" s="649"/>
      <c r="M5650" s="100"/>
    </row>
    <row r="5651" spans="4:13" ht="24">
      <c r="E5651" s="657">
        <v>45806</v>
      </c>
      <c r="F5651" s="795" t="s">
        <v>2238</v>
      </c>
      <c r="G5651" s="795" t="s">
        <v>2239</v>
      </c>
      <c r="H5651" s="795" t="s">
        <v>2182</v>
      </c>
      <c r="I5651" s="1032"/>
      <c r="J5651" s="1033"/>
      <c r="K5651" s="1034"/>
      <c r="L5651" s="99"/>
      <c r="M5651" s="100"/>
    </row>
    <row r="5652" spans="4:13" ht="24">
      <c r="E5652" s="657">
        <v>45798</v>
      </c>
      <c r="F5652" s="795" t="s">
        <v>2182</v>
      </c>
      <c r="G5652" s="795" t="s">
        <v>2183</v>
      </c>
      <c r="H5652" s="795" t="s">
        <v>2127</v>
      </c>
      <c r="I5652" s="1032"/>
      <c r="J5652" s="1033"/>
      <c r="K5652" s="1034"/>
      <c r="L5652" s="99"/>
      <c r="M5652" s="100"/>
    </row>
    <row r="5653" spans="4:13" ht="25" thickBot="1">
      <c r="E5653" s="657">
        <v>45791</v>
      </c>
      <c r="F5653" s="795" t="s">
        <v>2127</v>
      </c>
      <c r="G5653" s="795" t="s">
        <v>2128</v>
      </c>
      <c r="H5653" s="795" t="s">
        <v>2129</v>
      </c>
      <c r="I5653" s="1035"/>
      <c r="J5653" s="1036"/>
      <c r="K5653" s="1037"/>
      <c r="L5653" s="102"/>
      <c r="M5653" s="103"/>
    </row>
    <row r="5654" spans="4:13" ht="25" thickBot="1">
      <c r="D5654">
        <v>1</v>
      </c>
      <c r="E5654" s="628" t="s">
        <v>30</v>
      </c>
      <c r="F5654" s="986" t="s">
        <v>1900</v>
      </c>
      <c r="G5654" s="987"/>
      <c r="H5654" s="988"/>
      <c r="I5654" s="989" t="s">
        <v>633</v>
      </c>
      <c r="J5654" s="990"/>
      <c r="K5654" s="991"/>
      <c r="L5654" s="658" t="s">
        <v>430</v>
      </c>
      <c r="M5654" s="659" t="s">
        <v>431</v>
      </c>
    </row>
    <row r="5655" spans="4:13" ht="24">
      <c r="E5655" s="625" t="s">
        <v>432</v>
      </c>
      <c r="F5655" s="992"/>
      <c r="G5655" s="993"/>
      <c r="H5655" s="994"/>
      <c r="I5655" s="995" t="s">
        <v>2254</v>
      </c>
      <c r="J5655" s="996"/>
      <c r="K5655" s="997"/>
      <c r="L5655" s="99"/>
      <c r="M5655" s="100"/>
    </row>
    <row r="5656" spans="4:13" ht="24">
      <c r="E5656" s="626" t="s">
        <v>433</v>
      </c>
      <c r="F5656" s="1001"/>
      <c r="G5656" s="1002"/>
      <c r="H5656" s="1003"/>
      <c r="I5656" s="995"/>
      <c r="J5656" s="996"/>
      <c r="K5656" s="997"/>
      <c r="L5656" s="99"/>
      <c r="M5656" s="100"/>
    </row>
    <row r="5657" spans="4:13" ht="25" thickBot="1">
      <c r="E5657" s="626" t="s">
        <v>434</v>
      </c>
      <c r="F5657" s="1004">
        <v>4.342E-2</v>
      </c>
      <c r="G5657" s="1005"/>
      <c r="H5657" s="1006"/>
      <c r="I5657" s="995"/>
      <c r="J5657" s="996"/>
      <c r="K5657" s="997"/>
      <c r="L5657" s="99"/>
      <c r="M5657" s="100"/>
    </row>
    <row r="5658" spans="4:13" ht="25" thickBot="1">
      <c r="E5658" s="627" t="s">
        <v>435</v>
      </c>
      <c r="F5658" s="1007">
        <v>0.70833333333333337</v>
      </c>
      <c r="G5658" s="1008"/>
      <c r="H5658" s="1009"/>
      <c r="I5658" s="995"/>
      <c r="J5658" s="996"/>
      <c r="K5658" s="997"/>
      <c r="L5658" s="647">
        <v>0.9375</v>
      </c>
      <c r="M5658" s="648">
        <v>0.83333333333333337</v>
      </c>
    </row>
    <row r="5659" spans="4:13" ht="25" thickBot="1">
      <c r="E5659" s="628" t="s">
        <v>436</v>
      </c>
      <c r="F5659" s="200" t="s">
        <v>29</v>
      </c>
      <c r="G5659" s="200" t="s">
        <v>28</v>
      </c>
      <c r="H5659" s="201" t="s">
        <v>27</v>
      </c>
      <c r="I5659" s="995"/>
      <c r="J5659" s="996"/>
      <c r="K5659" s="997"/>
      <c r="L5659" s="99"/>
      <c r="M5659" s="100"/>
    </row>
    <row r="5660" spans="4:13" ht="23">
      <c r="E5660" s="629">
        <v>45783</v>
      </c>
      <c r="F5660" s="632">
        <v>4.342E-2</v>
      </c>
      <c r="G5660" s="632"/>
      <c r="H5660" s="632">
        <v>4.4350000000000001E-2</v>
      </c>
      <c r="I5660" s="995"/>
      <c r="J5660" s="996"/>
      <c r="K5660" s="997"/>
      <c r="L5660" s="99"/>
      <c r="M5660" s="100"/>
    </row>
    <row r="5661" spans="4:13" ht="23">
      <c r="E5661" s="629">
        <v>45756</v>
      </c>
      <c r="F5661" s="632">
        <v>4.4350000000000001E-2</v>
      </c>
      <c r="G5661" s="632"/>
      <c r="H5661" s="632">
        <v>4.3099999999999999E-2</v>
      </c>
      <c r="I5661" s="995"/>
      <c r="J5661" s="996"/>
      <c r="K5661" s="997"/>
      <c r="L5661" s="99"/>
      <c r="M5661" s="100"/>
    </row>
    <row r="5662" spans="4:13" ht="23">
      <c r="E5662" s="629">
        <v>45728</v>
      </c>
      <c r="F5662" s="632">
        <v>4.3099999999999999E-2</v>
      </c>
      <c r="G5662" s="632"/>
      <c r="H5662" s="632">
        <v>4.632E-2</v>
      </c>
      <c r="I5662" s="995"/>
      <c r="J5662" s="996"/>
      <c r="K5662" s="997"/>
      <c r="L5662" s="649"/>
      <c r="M5662" s="100"/>
    </row>
    <row r="5663" spans="4:13" ht="23">
      <c r="E5663" s="629">
        <v>45700</v>
      </c>
      <c r="F5663" s="632">
        <v>4.632E-2</v>
      </c>
      <c r="G5663" s="632"/>
      <c r="H5663" s="632">
        <v>4.6800000000000001E-2</v>
      </c>
      <c r="I5663" s="995"/>
      <c r="J5663" s="996"/>
      <c r="K5663" s="997"/>
      <c r="L5663" s="99"/>
      <c r="M5663" s="100"/>
    </row>
    <row r="5664" spans="4:13" ht="23">
      <c r="E5664" s="629">
        <v>45664</v>
      </c>
      <c r="F5664" s="632">
        <v>4.6800000000000001E-2</v>
      </c>
      <c r="G5664" s="632"/>
      <c r="H5664" s="632">
        <v>4.2349999999999999E-2</v>
      </c>
      <c r="I5664" s="995"/>
      <c r="J5664" s="996"/>
      <c r="K5664" s="997"/>
      <c r="L5664" s="99"/>
      <c r="M5664" s="100"/>
    </row>
    <row r="5665" spans="4:13" ht="24" thickBot="1">
      <c r="E5665" s="629">
        <v>45637</v>
      </c>
      <c r="F5665" s="632">
        <v>4.2349999999999999E-2</v>
      </c>
      <c r="G5665" s="632"/>
      <c r="H5665" s="632">
        <v>4.3470000000000002E-2</v>
      </c>
      <c r="I5665" s="998"/>
      <c r="J5665" s="999"/>
      <c r="K5665" s="1000"/>
      <c r="L5665" s="102"/>
      <c r="M5665" s="103"/>
    </row>
    <row r="5666" spans="4:13" ht="25" thickBot="1">
      <c r="D5666">
        <v>1</v>
      </c>
      <c r="E5666" s="628" t="s">
        <v>30</v>
      </c>
      <c r="F5666" s="986" t="s">
        <v>2255</v>
      </c>
      <c r="G5666" s="987"/>
      <c r="H5666" s="988"/>
      <c r="I5666" s="989" t="s">
        <v>633</v>
      </c>
      <c r="J5666" s="990"/>
      <c r="K5666" s="991"/>
      <c r="L5666" s="658" t="s">
        <v>430</v>
      </c>
      <c r="M5666" s="659" t="s">
        <v>431</v>
      </c>
    </row>
    <row r="5667" spans="4:13" ht="24">
      <c r="E5667" s="625" t="s">
        <v>432</v>
      </c>
      <c r="F5667" s="992"/>
      <c r="G5667" s="993"/>
      <c r="H5667" s="994"/>
      <c r="I5667" s="995" t="s">
        <v>1916</v>
      </c>
      <c r="J5667" s="996"/>
      <c r="K5667" s="997"/>
      <c r="L5667" s="99"/>
      <c r="M5667" s="100"/>
    </row>
    <row r="5668" spans="4:13" ht="24">
      <c r="E5668" s="626" t="s">
        <v>433</v>
      </c>
      <c r="F5668" s="1001"/>
      <c r="G5668" s="1002"/>
      <c r="H5668" s="1003"/>
      <c r="I5668" s="995"/>
      <c r="J5668" s="996"/>
      <c r="K5668" s="997"/>
      <c r="L5668" s="99"/>
      <c r="M5668" s="100"/>
    </row>
    <row r="5669" spans="4:13" ht="25" thickBot="1">
      <c r="E5669" s="626" t="s">
        <v>434</v>
      </c>
      <c r="F5669" s="1004">
        <v>2E-3</v>
      </c>
      <c r="G5669" s="1005"/>
      <c r="H5669" s="1006"/>
      <c r="I5669" s="995"/>
      <c r="J5669" s="996"/>
      <c r="K5669" s="997"/>
      <c r="L5669" s="99"/>
      <c r="M5669" s="100"/>
    </row>
    <row r="5670" spans="4:13" ht="25" thickBot="1">
      <c r="E5670" s="627" t="s">
        <v>435</v>
      </c>
      <c r="F5670" s="1007">
        <v>0.25</v>
      </c>
      <c r="G5670" s="1008"/>
      <c r="H5670" s="1009"/>
      <c r="I5670" s="995"/>
      <c r="J5670" s="996"/>
      <c r="K5670" s="997"/>
      <c r="L5670" s="647">
        <v>0.47916666666666669</v>
      </c>
      <c r="M5670" s="648">
        <v>0.375</v>
      </c>
    </row>
    <row r="5671" spans="4:13" ht="25" thickBot="1">
      <c r="E5671" s="628" t="s">
        <v>436</v>
      </c>
      <c r="F5671" s="200" t="s">
        <v>29</v>
      </c>
      <c r="G5671" s="200" t="s">
        <v>28</v>
      </c>
      <c r="H5671" s="201" t="s">
        <v>27</v>
      </c>
      <c r="I5671" s="995"/>
      <c r="J5671" s="996"/>
      <c r="K5671" s="997"/>
      <c r="L5671" s="99"/>
      <c r="M5671" s="100"/>
    </row>
    <row r="5672" spans="4:13" ht="23">
      <c r="E5672" s="629">
        <v>45792</v>
      </c>
      <c r="F5672" s="632">
        <v>2E-3</v>
      </c>
      <c r="G5672" s="632">
        <v>0</v>
      </c>
      <c r="H5672" s="632">
        <v>5.0000000000000001E-3</v>
      </c>
      <c r="I5672" s="995"/>
      <c r="J5672" s="996"/>
      <c r="K5672" s="997"/>
      <c r="L5672" s="99"/>
      <c r="M5672" s="100"/>
    </row>
    <row r="5673" spans="4:13" ht="23">
      <c r="E5673" s="629">
        <v>45758</v>
      </c>
      <c r="F5673" s="632">
        <v>5.0000000000000001E-3</v>
      </c>
      <c r="G5673" s="632">
        <v>1E-3</v>
      </c>
      <c r="H5673" s="632">
        <v>0</v>
      </c>
      <c r="I5673" s="995"/>
      <c r="J5673" s="996"/>
      <c r="K5673" s="997"/>
      <c r="L5673" s="99"/>
      <c r="M5673" s="100"/>
    </row>
    <row r="5674" spans="4:13" ht="23">
      <c r="E5674" s="629">
        <v>45730</v>
      </c>
      <c r="F5674" s="632">
        <v>-1E-3</v>
      </c>
      <c r="G5674" s="632">
        <v>1E-3</v>
      </c>
      <c r="H5674" s="632">
        <v>4.0000000000000001E-3</v>
      </c>
      <c r="I5674" s="995"/>
      <c r="J5674" s="996"/>
      <c r="K5674" s="997"/>
      <c r="L5674" s="649"/>
      <c r="M5674" s="100"/>
    </row>
    <row r="5675" spans="4:13" ht="23">
      <c r="E5675" s="629">
        <v>45701</v>
      </c>
      <c r="F5675" s="632">
        <v>4.0000000000000001E-3</v>
      </c>
      <c r="G5675" s="632">
        <v>1E-3</v>
      </c>
      <c r="H5675" s="632">
        <v>1E-3</v>
      </c>
      <c r="I5675" s="995"/>
      <c r="J5675" s="996"/>
      <c r="K5675" s="997"/>
      <c r="L5675" s="99"/>
      <c r="M5675" s="100"/>
    </row>
    <row r="5676" spans="4:13" ht="23">
      <c r="E5676" s="629">
        <v>45673</v>
      </c>
      <c r="F5676" s="632">
        <v>1E-3</v>
      </c>
      <c r="G5676" s="632">
        <v>2E-3</v>
      </c>
      <c r="H5676" s="632">
        <v>-1E-3</v>
      </c>
      <c r="I5676" s="995"/>
      <c r="J5676" s="996"/>
      <c r="K5676" s="997"/>
      <c r="L5676" s="99"/>
      <c r="M5676" s="100"/>
    </row>
    <row r="5677" spans="4:13" ht="24" thickBot="1">
      <c r="E5677" s="629">
        <v>45639</v>
      </c>
      <c r="F5677" s="632">
        <v>-1E-3</v>
      </c>
      <c r="G5677" s="632">
        <v>1E-3</v>
      </c>
      <c r="H5677" s="632">
        <v>-1E-3</v>
      </c>
      <c r="I5677" s="998"/>
      <c r="J5677" s="999"/>
      <c r="K5677" s="1000"/>
      <c r="L5677" s="102"/>
      <c r="M5677" s="103"/>
    </row>
    <row r="5678" spans="4:13" ht="25" thickBot="1">
      <c r="D5678">
        <v>1</v>
      </c>
      <c r="E5678" s="628" t="s">
        <v>30</v>
      </c>
      <c r="F5678" s="986" t="s">
        <v>1421</v>
      </c>
      <c r="G5678" s="987"/>
      <c r="H5678" s="988"/>
      <c r="I5678" s="989" t="s">
        <v>633</v>
      </c>
      <c r="J5678" s="990"/>
      <c r="K5678" s="991"/>
      <c r="L5678" s="658" t="s">
        <v>430</v>
      </c>
      <c r="M5678" s="659" t="s">
        <v>431</v>
      </c>
    </row>
    <row r="5679" spans="4:13" ht="24">
      <c r="E5679" s="625" t="s">
        <v>432</v>
      </c>
      <c r="F5679" s="1011"/>
      <c r="G5679" s="1012"/>
      <c r="H5679" s="1013"/>
      <c r="I5679" s="1021" t="s">
        <v>1460</v>
      </c>
      <c r="J5679" s="1015"/>
      <c r="K5679" s="1016"/>
      <c r="L5679" s="99"/>
      <c r="M5679" s="100"/>
    </row>
    <row r="5680" spans="4:13" ht="24">
      <c r="E5680" s="626" t="s">
        <v>433</v>
      </c>
      <c r="F5680" s="1001"/>
      <c r="G5680" s="1017"/>
      <c r="H5680" s="1018"/>
      <c r="I5680" s="995"/>
      <c r="J5680" s="996"/>
      <c r="K5680" s="997"/>
      <c r="L5680" s="99"/>
      <c r="M5680" s="100"/>
    </row>
    <row r="5681" spans="4:13" ht="25" thickBot="1">
      <c r="E5681" s="626" t="s">
        <v>434</v>
      </c>
      <c r="F5681" s="1022">
        <v>0</v>
      </c>
      <c r="G5681" s="1019"/>
      <c r="H5681" s="1020"/>
      <c r="I5681" s="995"/>
      <c r="J5681" s="996"/>
      <c r="K5681" s="997"/>
      <c r="L5681" s="99"/>
      <c r="M5681" s="100"/>
    </row>
    <row r="5682" spans="4:13" ht="25" thickBot="1">
      <c r="E5682" s="627" t="s">
        <v>435</v>
      </c>
      <c r="F5682" s="1007">
        <v>0.52083333333333337</v>
      </c>
      <c r="G5682" s="1008"/>
      <c r="H5682" s="1009"/>
      <c r="I5682" s="995"/>
      <c r="J5682" s="996"/>
      <c r="K5682" s="997"/>
      <c r="L5682" s="647">
        <v>0.75</v>
      </c>
      <c r="M5682" s="648">
        <v>0.64583333333333337</v>
      </c>
    </row>
    <row r="5683" spans="4:13" ht="25" thickBot="1">
      <c r="E5683" s="628" t="s">
        <v>436</v>
      </c>
      <c r="F5683" s="200" t="s">
        <v>29</v>
      </c>
      <c r="G5683" s="200" t="s">
        <v>28</v>
      </c>
      <c r="H5683" s="201" t="s">
        <v>27</v>
      </c>
      <c r="I5683" s="995"/>
      <c r="J5683" s="996"/>
      <c r="K5683" s="997"/>
      <c r="L5683" s="99"/>
      <c r="M5683" s="100"/>
    </row>
    <row r="5684" spans="4:13" ht="24">
      <c r="E5684" s="629">
        <v>45813</v>
      </c>
      <c r="F5684" s="636" t="s">
        <v>2293</v>
      </c>
      <c r="G5684" s="636" t="s">
        <v>2294</v>
      </c>
      <c r="H5684" s="636" t="s">
        <v>1867</v>
      </c>
      <c r="I5684" s="995"/>
      <c r="J5684" s="996"/>
      <c r="K5684" s="997"/>
      <c r="L5684" s="99"/>
      <c r="M5684" s="100"/>
    </row>
    <row r="5685" spans="4:13" ht="24">
      <c r="E5685" s="629">
        <v>45806</v>
      </c>
      <c r="F5685" s="636" t="s">
        <v>1784</v>
      </c>
      <c r="G5685" s="636" t="s">
        <v>976</v>
      </c>
      <c r="H5685" s="636" t="s">
        <v>1703</v>
      </c>
      <c r="I5685" s="995"/>
      <c r="J5685" s="996"/>
      <c r="K5685" s="997"/>
      <c r="L5685" s="99"/>
      <c r="M5685" s="100"/>
    </row>
    <row r="5686" spans="4:13" ht="24">
      <c r="E5686" s="629">
        <v>45799</v>
      </c>
      <c r="F5686" s="636" t="s">
        <v>978</v>
      </c>
      <c r="G5686" s="636" t="s">
        <v>2241</v>
      </c>
      <c r="H5686" s="636" t="s">
        <v>976</v>
      </c>
      <c r="I5686" s="995"/>
      <c r="J5686" s="996"/>
      <c r="K5686" s="997"/>
      <c r="L5686" s="649"/>
      <c r="M5686" s="100"/>
    </row>
    <row r="5687" spans="4:13" ht="24">
      <c r="E5687" s="629">
        <v>45792</v>
      </c>
      <c r="F5687" s="636" t="s">
        <v>976</v>
      </c>
      <c r="G5687" s="636" t="s">
        <v>976</v>
      </c>
      <c r="H5687" s="636" t="s">
        <v>976</v>
      </c>
      <c r="I5687" s="995"/>
      <c r="J5687" s="996"/>
      <c r="K5687" s="997"/>
      <c r="L5687" s="99"/>
      <c r="M5687" s="100"/>
    </row>
    <row r="5688" spans="4:13" ht="24">
      <c r="E5688" s="629">
        <v>45785</v>
      </c>
      <c r="F5688" s="636" t="s">
        <v>977</v>
      </c>
      <c r="G5688" s="636" t="s">
        <v>984</v>
      </c>
      <c r="H5688" s="636" t="s">
        <v>981</v>
      </c>
      <c r="I5688" s="995"/>
      <c r="J5688" s="996"/>
      <c r="K5688" s="997"/>
      <c r="L5688" s="99"/>
      <c r="M5688" s="100"/>
    </row>
    <row r="5689" spans="4:13" ht="25" thickBot="1">
      <c r="E5689" s="629">
        <v>45778</v>
      </c>
      <c r="F5689" s="636" t="s">
        <v>981</v>
      </c>
      <c r="G5689" s="636" t="s">
        <v>1032</v>
      </c>
      <c r="H5689" s="636" t="s">
        <v>973</v>
      </c>
      <c r="I5689" s="998"/>
      <c r="J5689" s="999"/>
      <c r="K5689" s="1000"/>
      <c r="L5689" s="102"/>
      <c r="M5689" s="103"/>
    </row>
    <row r="5690" spans="4:13" ht="25" thickBot="1">
      <c r="D5690">
        <v>1</v>
      </c>
      <c r="E5690" s="628" t="s">
        <v>30</v>
      </c>
      <c r="F5690" s="986" t="s">
        <v>2256</v>
      </c>
      <c r="G5690" s="987"/>
      <c r="H5690" s="988"/>
      <c r="I5690" s="989" t="s">
        <v>633</v>
      </c>
      <c r="J5690" s="990"/>
      <c r="K5690" s="991"/>
      <c r="L5690" s="658" t="s">
        <v>430</v>
      </c>
      <c r="M5690" s="659" t="s">
        <v>431</v>
      </c>
    </row>
    <row r="5691" spans="4:13" ht="24">
      <c r="E5691" s="625" t="s">
        <v>432</v>
      </c>
      <c r="F5691" s="992"/>
      <c r="G5691" s="993"/>
      <c r="H5691" s="994"/>
      <c r="I5691" s="995" t="s">
        <v>2257</v>
      </c>
      <c r="J5691" s="996"/>
      <c r="K5691" s="997"/>
      <c r="L5691" s="99"/>
      <c r="M5691" s="100"/>
    </row>
    <row r="5692" spans="4:13" ht="24">
      <c r="E5692" s="626" t="s">
        <v>433</v>
      </c>
      <c r="F5692" s="1010">
        <v>0</v>
      </c>
      <c r="G5692" s="1002"/>
      <c r="H5692" s="1003"/>
      <c r="I5692" s="995"/>
      <c r="J5692" s="996"/>
      <c r="K5692" s="997"/>
      <c r="L5692" s="99"/>
      <c r="M5692" s="100"/>
    </row>
    <row r="5693" spans="4:13" ht="25" thickBot="1">
      <c r="E5693" s="626" t="s">
        <v>434</v>
      </c>
      <c r="F5693" s="1001">
        <v>-5.0000000000000001E-3</v>
      </c>
      <c r="G5693" s="1002"/>
      <c r="H5693" s="1003"/>
      <c r="I5693" s="995"/>
      <c r="J5693" s="996"/>
      <c r="K5693" s="997"/>
      <c r="L5693" s="99"/>
      <c r="M5693" s="100"/>
    </row>
    <row r="5694" spans="4:13" ht="25" thickBot="1">
      <c r="E5694" s="627" t="s">
        <v>435</v>
      </c>
      <c r="F5694" s="1007">
        <v>0.52083333333333337</v>
      </c>
      <c r="G5694" s="1008"/>
      <c r="H5694" s="1009"/>
      <c r="I5694" s="995"/>
      <c r="J5694" s="996"/>
      <c r="K5694" s="997"/>
      <c r="L5694" s="647">
        <v>0.75</v>
      </c>
      <c r="M5694" s="648">
        <v>0.64583333333333337</v>
      </c>
    </row>
    <row r="5695" spans="4:13" ht="25" thickBot="1">
      <c r="E5695" s="628" t="s">
        <v>436</v>
      </c>
      <c r="F5695" s="200" t="s">
        <v>29</v>
      </c>
      <c r="G5695" s="200" t="s">
        <v>28</v>
      </c>
      <c r="H5695" s="201" t="s">
        <v>27</v>
      </c>
      <c r="I5695" s="995"/>
      <c r="J5695" s="996"/>
      <c r="K5695" s="997"/>
      <c r="L5695" s="99"/>
      <c r="M5695" s="100"/>
    </row>
    <row r="5696" spans="4:13" ht="23">
      <c r="E5696" s="629">
        <v>45792</v>
      </c>
      <c r="F5696" s="632">
        <v>-5.0000000000000001E-3</v>
      </c>
      <c r="G5696" s="632">
        <v>2E-3</v>
      </c>
      <c r="H5696" s="632">
        <v>0</v>
      </c>
      <c r="I5696" s="995"/>
      <c r="J5696" s="996"/>
      <c r="K5696" s="997"/>
      <c r="L5696" s="99"/>
      <c r="M5696" s="100"/>
    </row>
    <row r="5697" spans="4:13" ht="23">
      <c r="E5697" s="629">
        <v>45758</v>
      </c>
      <c r="F5697" s="632">
        <v>-4.0000000000000001E-3</v>
      </c>
      <c r="G5697" s="632">
        <v>2E-3</v>
      </c>
      <c r="H5697" s="632">
        <v>1E-3</v>
      </c>
      <c r="I5697" s="995"/>
      <c r="J5697" s="996"/>
      <c r="K5697" s="997"/>
      <c r="L5697" s="99"/>
      <c r="M5697" s="100"/>
    </row>
    <row r="5698" spans="4:13" ht="23">
      <c r="E5698" s="629">
        <v>45729</v>
      </c>
      <c r="F5698" s="632">
        <v>0</v>
      </c>
      <c r="G5698" s="632">
        <v>3.0000000000000001E-3</v>
      </c>
      <c r="H5698" s="632">
        <v>6.0000000000000001E-3</v>
      </c>
      <c r="I5698" s="995"/>
      <c r="J5698" s="996"/>
      <c r="K5698" s="997"/>
      <c r="L5698" s="649"/>
      <c r="M5698" s="100"/>
    </row>
    <row r="5699" spans="4:13" ht="23">
      <c r="E5699" s="629">
        <v>45701</v>
      </c>
      <c r="F5699" s="632">
        <v>4.0000000000000001E-3</v>
      </c>
      <c r="G5699" s="632">
        <v>3.0000000000000001E-3</v>
      </c>
      <c r="H5699" s="632">
        <v>5.0000000000000001E-3</v>
      </c>
      <c r="I5699" s="995"/>
      <c r="J5699" s="996"/>
      <c r="K5699" s="997"/>
      <c r="L5699" s="99"/>
      <c r="M5699" s="100"/>
    </row>
    <row r="5700" spans="4:13" ht="23">
      <c r="E5700" s="629">
        <v>45671</v>
      </c>
      <c r="F5700" s="632">
        <v>2E-3</v>
      </c>
      <c r="G5700" s="632">
        <v>4.0000000000000001E-3</v>
      </c>
      <c r="H5700" s="632">
        <v>4.0000000000000001E-3</v>
      </c>
      <c r="I5700" s="995"/>
      <c r="J5700" s="996"/>
      <c r="K5700" s="997"/>
      <c r="L5700" s="99"/>
      <c r="M5700" s="100"/>
    </row>
    <row r="5701" spans="4:13" ht="24" thickBot="1">
      <c r="E5701" s="629">
        <v>45638</v>
      </c>
      <c r="F5701" s="632">
        <v>4.0000000000000001E-3</v>
      </c>
      <c r="G5701" s="632">
        <v>2E-3</v>
      </c>
      <c r="H5701" s="632">
        <v>3.0000000000000001E-3</v>
      </c>
      <c r="I5701" s="998"/>
      <c r="J5701" s="999"/>
      <c r="K5701" s="1000"/>
      <c r="L5701" s="102"/>
      <c r="M5701" s="103"/>
    </row>
    <row r="5702" spans="4:13" ht="25" thickBot="1">
      <c r="D5702">
        <v>1</v>
      </c>
      <c r="E5702" s="628" t="s">
        <v>30</v>
      </c>
      <c r="F5702" s="986" t="s">
        <v>2088</v>
      </c>
      <c r="G5702" s="987"/>
      <c r="H5702" s="988"/>
      <c r="I5702" s="989" t="s">
        <v>633</v>
      </c>
      <c r="J5702" s="990"/>
      <c r="K5702" s="991"/>
      <c r="L5702" s="658" t="s">
        <v>430</v>
      </c>
      <c r="M5702" s="659" t="s">
        <v>431</v>
      </c>
    </row>
    <row r="5703" spans="4:13" ht="24">
      <c r="E5703" s="625" t="s">
        <v>432</v>
      </c>
      <c r="F5703" s="992"/>
      <c r="G5703" s="993"/>
      <c r="H5703" s="994"/>
      <c r="I5703" s="995" t="s">
        <v>2258</v>
      </c>
      <c r="J5703" s="996"/>
      <c r="K5703" s="997"/>
      <c r="L5703" s="99"/>
      <c r="M5703" s="100"/>
    </row>
    <row r="5704" spans="4:13" ht="24">
      <c r="E5704" s="626" t="s">
        <v>433</v>
      </c>
      <c r="F5704" s="1001"/>
      <c r="G5704" s="1002"/>
      <c r="H5704" s="1003"/>
      <c r="I5704" s="995"/>
      <c r="J5704" s="996"/>
      <c r="K5704" s="997"/>
      <c r="L5704" s="99"/>
      <c r="M5704" s="100"/>
    </row>
    <row r="5705" spans="4:13" ht="25" thickBot="1">
      <c r="E5705" s="626" t="s">
        <v>434</v>
      </c>
      <c r="F5705" s="1004">
        <v>4.8189999999999997E-2</v>
      </c>
      <c r="G5705" s="1005"/>
      <c r="H5705" s="1006"/>
      <c r="I5705" s="995"/>
      <c r="J5705" s="996"/>
      <c r="K5705" s="997"/>
      <c r="L5705" s="99"/>
      <c r="M5705" s="100"/>
    </row>
    <row r="5706" spans="4:13" ht="25" thickBot="1">
      <c r="E5706" s="627" t="s">
        <v>435</v>
      </c>
      <c r="F5706" s="1007">
        <v>0.70833333333333337</v>
      </c>
      <c r="G5706" s="1008"/>
      <c r="H5706" s="1009"/>
      <c r="I5706" s="995"/>
      <c r="J5706" s="996"/>
      <c r="K5706" s="997"/>
      <c r="L5706" s="647">
        <v>0.9375</v>
      </c>
      <c r="M5706" s="648">
        <v>0.83333333333333337</v>
      </c>
    </row>
    <row r="5707" spans="4:13" ht="25" thickBot="1">
      <c r="E5707" s="628" t="s">
        <v>436</v>
      </c>
      <c r="F5707" s="200" t="s">
        <v>29</v>
      </c>
      <c r="G5707" s="200" t="s">
        <v>28</v>
      </c>
      <c r="H5707" s="201" t="s">
        <v>27</v>
      </c>
      <c r="I5707" s="995"/>
      <c r="J5707" s="996"/>
      <c r="K5707" s="997"/>
      <c r="L5707" s="99"/>
      <c r="M5707" s="100"/>
    </row>
    <row r="5708" spans="4:13" ht="23">
      <c r="E5708" s="629">
        <v>45820</v>
      </c>
      <c r="F5708" s="632"/>
      <c r="G5708" s="632"/>
      <c r="H5708" s="632">
        <v>4.8189999999999997E-2</v>
      </c>
      <c r="I5708" s="995"/>
      <c r="J5708" s="996"/>
      <c r="K5708" s="997"/>
      <c r="L5708" s="99"/>
      <c r="M5708" s="100"/>
    </row>
    <row r="5709" spans="4:13" ht="23">
      <c r="E5709" s="629">
        <v>45785</v>
      </c>
      <c r="F5709" s="632">
        <v>4.8189999999999997E-2</v>
      </c>
      <c r="G5709" s="632"/>
      <c r="H5709" s="632">
        <v>4.8129999999999999E-2</v>
      </c>
      <c r="I5709" s="995"/>
      <c r="J5709" s="996"/>
      <c r="K5709" s="997"/>
      <c r="L5709" s="99"/>
      <c r="M5709" s="100"/>
    </row>
    <row r="5710" spans="4:13" ht="23">
      <c r="E5710" s="629">
        <v>45757</v>
      </c>
      <c r="F5710" s="632">
        <v>4.8129999999999999E-2</v>
      </c>
      <c r="G5710" s="632"/>
      <c r="H5710" s="632">
        <v>4.623E-2</v>
      </c>
      <c r="I5710" s="995"/>
      <c r="J5710" s="996"/>
      <c r="K5710" s="997"/>
      <c r="L5710" s="649"/>
      <c r="M5710" s="100"/>
    </row>
    <row r="5711" spans="4:13" ht="23">
      <c r="E5711" s="629">
        <v>45729</v>
      </c>
      <c r="F5711" s="632">
        <v>4.623E-2</v>
      </c>
      <c r="G5711" s="632"/>
      <c r="H5711" s="632">
        <v>4.7480000000000001E-2</v>
      </c>
      <c r="I5711" s="995"/>
      <c r="J5711" s="996"/>
      <c r="K5711" s="997"/>
      <c r="L5711" s="99"/>
      <c r="M5711" s="100"/>
    </row>
    <row r="5712" spans="4:13" ht="23">
      <c r="E5712" s="629">
        <v>45701</v>
      </c>
      <c r="F5712" s="632">
        <v>4.7480000000000001E-2</v>
      </c>
      <c r="G5712" s="632"/>
      <c r="H5712" s="632">
        <v>4.913E-2</v>
      </c>
      <c r="I5712" s="995"/>
      <c r="J5712" s="996"/>
      <c r="K5712" s="997"/>
      <c r="L5712" s="99"/>
      <c r="M5712" s="100"/>
    </row>
    <row r="5713" spans="3:13" ht="24" thickBot="1">
      <c r="E5713" s="629">
        <v>45665</v>
      </c>
      <c r="F5713" s="632">
        <v>4.913E-2</v>
      </c>
      <c r="G5713" s="632"/>
      <c r="H5713" s="632">
        <v>4.5350000000000001E-2</v>
      </c>
      <c r="I5713" s="998"/>
      <c r="J5713" s="999"/>
      <c r="K5713" s="1000"/>
      <c r="L5713" s="102"/>
      <c r="M5713" s="103"/>
    </row>
    <row r="5714" spans="3:13" ht="25" thickBot="1">
      <c r="D5714">
        <v>1</v>
      </c>
      <c r="E5714" s="628" t="s">
        <v>30</v>
      </c>
      <c r="F5714" s="986" t="s">
        <v>2259</v>
      </c>
      <c r="G5714" s="987"/>
      <c r="H5714" s="988"/>
      <c r="I5714" s="989" t="s">
        <v>633</v>
      </c>
      <c r="J5714" s="990"/>
      <c r="K5714" s="991"/>
      <c r="L5714" s="658" t="s">
        <v>430</v>
      </c>
      <c r="M5714" s="659" t="s">
        <v>431</v>
      </c>
    </row>
    <row r="5715" spans="3:13" ht="24">
      <c r="E5715" s="625" t="s">
        <v>432</v>
      </c>
      <c r="F5715" s="992"/>
      <c r="G5715" s="993"/>
      <c r="H5715" s="994"/>
      <c r="I5715" s="995" t="s">
        <v>2260</v>
      </c>
      <c r="J5715" s="996"/>
      <c r="K5715" s="997"/>
      <c r="L5715" s="99"/>
      <c r="M5715" s="100"/>
    </row>
    <row r="5716" spans="3:13" ht="24">
      <c r="E5716" s="626" t="s">
        <v>433</v>
      </c>
      <c r="F5716" s="1001">
        <v>0</v>
      </c>
      <c r="G5716" s="1002"/>
      <c r="H5716" s="1003"/>
      <c r="I5716" s="995"/>
      <c r="J5716" s="996"/>
      <c r="K5716" s="997"/>
      <c r="L5716" s="99"/>
      <c r="M5716" s="100"/>
    </row>
    <row r="5717" spans="3:13" ht="25" thickBot="1">
      <c r="E5717" s="626" t="s">
        <v>434</v>
      </c>
      <c r="F5717" s="1004">
        <v>4.0000000000000001E-3</v>
      </c>
      <c r="G5717" s="1005"/>
      <c r="H5717" s="1006"/>
      <c r="I5717" s="995"/>
      <c r="J5717" s="996"/>
      <c r="K5717" s="997"/>
      <c r="L5717" s="99"/>
      <c r="M5717" s="100"/>
    </row>
    <row r="5718" spans="3:13" ht="25" thickBot="1">
      <c r="E5718" s="627" t="s">
        <v>435</v>
      </c>
      <c r="F5718" s="1007">
        <v>0.25</v>
      </c>
      <c r="G5718" s="1008"/>
      <c r="H5718" s="1009"/>
      <c r="I5718" s="995"/>
      <c r="J5718" s="996"/>
      <c r="K5718" s="997"/>
      <c r="L5718" s="647">
        <v>0.47916666666666669</v>
      </c>
      <c r="M5718" s="648">
        <v>0.375</v>
      </c>
    </row>
    <row r="5719" spans="3:13" ht="25" thickBot="1">
      <c r="E5719" s="628" t="s">
        <v>436</v>
      </c>
      <c r="F5719" s="200" t="s">
        <v>29</v>
      </c>
      <c r="G5719" s="200" t="s">
        <v>28</v>
      </c>
      <c r="H5719" s="201" t="s">
        <v>27</v>
      </c>
      <c r="I5719" s="995"/>
      <c r="J5719" s="996"/>
      <c r="K5719" s="997"/>
      <c r="L5719" s="99"/>
      <c r="M5719" s="100"/>
    </row>
    <row r="5720" spans="3:13" ht="23">
      <c r="E5720" s="629">
        <v>45821</v>
      </c>
      <c r="F5720" s="632"/>
      <c r="G5720" s="632">
        <v>1E-3</v>
      </c>
      <c r="H5720" s="632">
        <v>4.0000000000000001E-3</v>
      </c>
      <c r="I5720" s="995"/>
      <c r="J5720" s="996"/>
      <c r="K5720" s="997"/>
      <c r="L5720" s="99"/>
      <c r="M5720" s="100"/>
    </row>
    <row r="5721" spans="3:13" ht="23">
      <c r="E5721" s="629">
        <v>45807</v>
      </c>
      <c r="F5721" s="632">
        <v>1E-3</v>
      </c>
      <c r="G5721" s="632">
        <v>1E-3</v>
      </c>
      <c r="H5721" s="632">
        <v>4.0000000000000001E-3</v>
      </c>
      <c r="I5721" s="995"/>
      <c r="J5721" s="996"/>
      <c r="K5721" s="997"/>
      <c r="L5721" s="99"/>
      <c r="M5721" s="100"/>
    </row>
    <row r="5722" spans="3:13" ht="23">
      <c r="E5722" s="629">
        <v>45791</v>
      </c>
      <c r="F5722" s="632">
        <v>4.0000000000000001E-3</v>
      </c>
      <c r="G5722" s="632">
        <v>4.0000000000000001E-3</v>
      </c>
      <c r="H5722" s="632">
        <v>3.0000000000000001E-3</v>
      </c>
      <c r="I5722" s="995"/>
      <c r="J5722" s="996"/>
      <c r="K5722" s="997"/>
      <c r="L5722" s="649"/>
      <c r="M5722" s="100"/>
    </row>
    <row r="5723" spans="3:13" ht="23">
      <c r="E5723" s="629">
        <v>45777</v>
      </c>
      <c r="F5723" s="632">
        <v>4.0000000000000001E-3</v>
      </c>
      <c r="G5723" s="632">
        <v>3.0000000000000001E-3</v>
      </c>
      <c r="H5723" s="632">
        <v>3.0000000000000001E-3</v>
      </c>
      <c r="I5723" s="995"/>
      <c r="J5723" s="996"/>
      <c r="K5723" s="997"/>
      <c r="L5723" s="99"/>
      <c r="M5723" s="100"/>
    </row>
    <row r="5724" spans="3:13" ht="23">
      <c r="E5724" s="629">
        <v>45758</v>
      </c>
      <c r="F5724" s="632">
        <v>3.0000000000000001E-3</v>
      </c>
      <c r="G5724" s="632">
        <v>3.0000000000000001E-3</v>
      </c>
      <c r="H5724" s="632">
        <v>4.0000000000000001E-3</v>
      </c>
      <c r="I5724" s="995"/>
      <c r="J5724" s="996"/>
      <c r="K5724" s="997"/>
      <c r="L5724" s="99"/>
      <c r="M5724" s="100"/>
    </row>
    <row r="5725" spans="3:13" ht="24" thickBot="1">
      <c r="E5725" s="629">
        <v>45747</v>
      </c>
      <c r="F5725" s="632">
        <v>3.0000000000000001E-3</v>
      </c>
      <c r="G5725" s="632">
        <v>3.0000000000000001E-3</v>
      </c>
      <c r="H5725" s="632">
        <v>4.0000000000000001E-3</v>
      </c>
      <c r="I5725" s="998"/>
      <c r="J5725" s="999"/>
      <c r="K5725" s="1000"/>
      <c r="L5725" s="102"/>
      <c r="M5725" s="103"/>
    </row>
    <row r="5726" spans="3:13" ht="25" thickBot="1">
      <c r="C5726" t="s">
        <v>105</v>
      </c>
      <c r="D5726">
        <v>1</v>
      </c>
      <c r="E5726" s="628" t="s">
        <v>30</v>
      </c>
      <c r="F5726" s="986" t="s">
        <v>2263</v>
      </c>
      <c r="G5726" s="987"/>
      <c r="H5726" s="988"/>
      <c r="I5726" s="989" t="s">
        <v>633</v>
      </c>
      <c r="J5726" s="990"/>
      <c r="K5726" s="991"/>
      <c r="L5726" s="658" t="s">
        <v>430</v>
      </c>
      <c r="M5726" s="659" t="s">
        <v>431</v>
      </c>
    </row>
    <row r="5727" spans="3:13" ht="24">
      <c r="E5727" s="625" t="s">
        <v>432</v>
      </c>
      <c r="F5727" s="992"/>
      <c r="G5727" s="993"/>
      <c r="H5727" s="994"/>
      <c r="I5727" s="995" t="s">
        <v>2264</v>
      </c>
      <c r="J5727" s="996"/>
      <c r="K5727" s="997"/>
      <c r="L5727" s="99"/>
      <c r="M5727" s="100"/>
    </row>
    <row r="5728" spans="3:13" ht="24">
      <c r="E5728" s="626" t="s">
        <v>433</v>
      </c>
      <c r="F5728" s="1001"/>
      <c r="G5728" s="1002"/>
      <c r="H5728" s="1003"/>
      <c r="I5728" s="995"/>
      <c r="J5728" s="996"/>
      <c r="K5728" s="997"/>
      <c r="L5728" s="99"/>
      <c r="M5728" s="100"/>
    </row>
    <row r="5729" spans="4:13" ht="25" thickBot="1">
      <c r="E5729" s="626" t="s">
        <v>434</v>
      </c>
      <c r="F5729" s="1004">
        <v>5.0000000000000001E-3</v>
      </c>
      <c r="G5729" s="1005"/>
      <c r="H5729" s="1006"/>
      <c r="I5729" s="995"/>
      <c r="J5729" s="996"/>
      <c r="K5729" s="997"/>
      <c r="L5729" s="99"/>
      <c r="M5729" s="100"/>
    </row>
    <row r="5730" spans="4:13" ht="25" thickBot="1">
      <c r="E5730" s="627" t="s">
        <v>435</v>
      </c>
      <c r="F5730" s="1007">
        <v>0.12500000000000003</v>
      </c>
      <c r="G5730" s="1008"/>
      <c r="H5730" s="1009"/>
      <c r="I5730" s="995"/>
      <c r="J5730" s="996"/>
      <c r="K5730" s="997"/>
      <c r="L5730" s="647">
        <v>0.35416666666666669</v>
      </c>
      <c r="M5730" s="648">
        <v>0.25</v>
      </c>
    </row>
    <row r="5731" spans="4:13" ht="25" thickBot="1">
      <c r="E5731" s="628" t="s">
        <v>436</v>
      </c>
      <c r="F5731" s="200" t="s">
        <v>29</v>
      </c>
      <c r="G5731" s="200" t="s">
        <v>28</v>
      </c>
      <c r="H5731" s="201" t="s">
        <v>27</v>
      </c>
      <c r="I5731" s="995"/>
      <c r="J5731" s="996"/>
      <c r="K5731" s="997"/>
      <c r="L5731" s="99"/>
      <c r="M5731" s="100"/>
    </row>
    <row r="5732" spans="4:13" ht="23">
      <c r="E5732" s="629">
        <v>45778</v>
      </c>
      <c r="F5732" s="632">
        <v>5.0000000000000001E-3</v>
      </c>
      <c r="G5732" s="632">
        <v>5.0000000000000001E-3</v>
      </c>
      <c r="H5732" s="632">
        <v>5.0000000000000001E-3</v>
      </c>
      <c r="I5732" s="995"/>
      <c r="J5732" s="996"/>
      <c r="K5732" s="997"/>
      <c r="L5732" s="99"/>
      <c r="M5732" s="100"/>
    </row>
    <row r="5733" spans="4:13" ht="23">
      <c r="E5733" s="629">
        <v>45735</v>
      </c>
      <c r="F5733" s="632">
        <v>5.0000000000000001E-3</v>
      </c>
      <c r="G5733" s="632">
        <v>5.0000000000000001E-3</v>
      </c>
      <c r="H5733" s="632">
        <v>5.0000000000000001E-3</v>
      </c>
      <c r="I5733" s="995"/>
      <c r="J5733" s="996"/>
      <c r="K5733" s="997"/>
      <c r="L5733" s="99"/>
      <c r="M5733" s="100"/>
    </row>
    <row r="5734" spans="4:13" ht="23">
      <c r="E5734" s="629">
        <v>45681</v>
      </c>
      <c r="F5734" s="632">
        <v>5.0000000000000001E-3</v>
      </c>
      <c r="G5734" s="632">
        <v>5.0000000000000001E-3</v>
      </c>
      <c r="H5734" s="632">
        <v>2.5000000000000001E-3</v>
      </c>
      <c r="I5734" s="995"/>
      <c r="J5734" s="996"/>
      <c r="K5734" s="997"/>
      <c r="L5734" s="649"/>
      <c r="M5734" s="100"/>
    </row>
    <row r="5735" spans="4:13" ht="23">
      <c r="E5735" s="629">
        <v>45645</v>
      </c>
      <c r="F5735" s="632">
        <v>2.5000000000000001E-3</v>
      </c>
      <c r="G5735" s="632">
        <v>2.5000000000000001E-3</v>
      </c>
      <c r="H5735" s="632">
        <v>2.5000000000000001E-3</v>
      </c>
      <c r="I5735" s="995"/>
      <c r="J5735" s="996"/>
      <c r="K5735" s="997"/>
      <c r="L5735" s="99"/>
      <c r="M5735" s="100"/>
    </row>
    <row r="5736" spans="4:13" ht="23">
      <c r="E5736" s="629">
        <v>45596</v>
      </c>
      <c r="F5736" s="632">
        <v>2.5000000000000001E-3</v>
      </c>
      <c r="G5736" s="632">
        <v>2.5000000000000001E-3</v>
      </c>
      <c r="H5736" s="632">
        <v>2.5000000000000001E-3</v>
      </c>
      <c r="I5736" s="995"/>
      <c r="J5736" s="996"/>
      <c r="K5736" s="997"/>
      <c r="L5736" s="99"/>
      <c r="M5736" s="100"/>
    </row>
    <row r="5737" spans="4:13" ht="24" thickBot="1">
      <c r="E5737" s="629">
        <v>45555</v>
      </c>
      <c r="F5737" s="632">
        <v>2.5000000000000001E-3</v>
      </c>
      <c r="G5737" s="632">
        <v>2.5000000000000001E-3</v>
      </c>
      <c r="H5737" s="632">
        <v>2.5000000000000001E-3</v>
      </c>
      <c r="I5737" s="998"/>
      <c r="J5737" s="999"/>
      <c r="K5737" s="1000"/>
      <c r="L5737" s="102"/>
      <c r="M5737" s="103"/>
    </row>
    <row r="5738" spans="4:13" ht="25" thickBot="1">
      <c r="D5738">
        <v>1</v>
      </c>
      <c r="E5738" s="628" t="s">
        <v>30</v>
      </c>
      <c r="F5738" s="986" t="s">
        <v>2265</v>
      </c>
      <c r="G5738" s="987"/>
      <c r="H5738" s="988"/>
      <c r="I5738" s="989" t="s">
        <v>633</v>
      </c>
      <c r="J5738" s="990"/>
      <c r="K5738" s="991"/>
      <c r="L5738" s="658" t="s">
        <v>430</v>
      </c>
      <c r="M5738" s="659" t="s">
        <v>431</v>
      </c>
    </row>
    <row r="5739" spans="4:13" ht="24">
      <c r="E5739" s="625" t="s">
        <v>432</v>
      </c>
      <c r="F5739" s="992"/>
      <c r="G5739" s="993"/>
      <c r="H5739" s="994"/>
      <c r="I5739" s="995" t="s">
        <v>2266</v>
      </c>
      <c r="J5739" s="996"/>
      <c r="K5739" s="997"/>
      <c r="L5739" s="99"/>
      <c r="M5739" s="100"/>
    </row>
    <row r="5740" spans="4:13" ht="24">
      <c r="E5740" s="626" t="s">
        <v>433</v>
      </c>
      <c r="F5740" s="1001">
        <v>3.0000000000000001E-3</v>
      </c>
      <c r="G5740" s="1002"/>
      <c r="H5740" s="1003"/>
      <c r="I5740" s="995"/>
      <c r="J5740" s="996"/>
      <c r="K5740" s="997"/>
      <c r="L5740" s="99"/>
      <c r="M5740" s="100"/>
    </row>
    <row r="5741" spans="4:13" ht="25" thickBot="1">
      <c r="E5741" s="626" t="s">
        <v>434</v>
      </c>
      <c r="F5741" s="1001">
        <v>1E-3</v>
      </c>
      <c r="G5741" s="1002"/>
      <c r="H5741" s="1003"/>
      <c r="I5741" s="995"/>
      <c r="J5741" s="996"/>
      <c r="K5741" s="997"/>
      <c r="L5741" s="99"/>
      <c r="M5741" s="100"/>
    </row>
    <row r="5742" spans="4:13" ht="25" thickBot="1">
      <c r="E5742" s="627" t="s">
        <v>435</v>
      </c>
      <c r="F5742" s="1007">
        <v>0.52083333333333337</v>
      </c>
      <c r="G5742" s="1008"/>
      <c r="H5742" s="1009"/>
      <c r="I5742" s="995"/>
      <c r="J5742" s="996"/>
      <c r="K5742" s="997"/>
      <c r="L5742" s="647">
        <v>0.75</v>
      </c>
      <c r="M5742" s="648">
        <v>0.64583333333333337</v>
      </c>
    </row>
    <row r="5743" spans="4:13" ht="25" thickBot="1">
      <c r="E5743" s="628" t="s">
        <v>436</v>
      </c>
      <c r="F5743" s="200" t="s">
        <v>29</v>
      </c>
      <c r="G5743" s="200" t="s">
        <v>28</v>
      </c>
      <c r="H5743" s="201" t="s">
        <v>27</v>
      </c>
      <c r="I5743" s="995"/>
      <c r="J5743" s="996"/>
      <c r="K5743" s="997"/>
      <c r="L5743" s="99"/>
      <c r="M5743" s="100"/>
    </row>
    <row r="5744" spans="4:13" ht="23">
      <c r="E5744" s="629">
        <v>45792</v>
      </c>
      <c r="F5744" s="635">
        <v>1E-3</v>
      </c>
      <c r="G5744" s="635">
        <v>3.0000000000000001E-3</v>
      </c>
      <c r="H5744" s="635">
        <v>8.0000000000000002E-3</v>
      </c>
      <c r="I5744" s="995"/>
      <c r="J5744" s="996"/>
      <c r="K5744" s="997"/>
      <c r="L5744" s="99"/>
      <c r="M5744" s="100"/>
    </row>
    <row r="5745" spans="4:13" ht="23">
      <c r="E5745" s="629">
        <v>45763</v>
      </c>
      <c r="F5745" s="635">
        <v>5.0000000000000001E-3</v>
      </c>
      <c r="G5745" s="635">
        <v>4.0000000000000001E-3</v>
      </c>
      <c r="H5745" s="635">
        <v>7.0000000000000001E-3</v>
      </c>
      <c r="I5745" s="995"/>
      <c r="J5745" s="996"/>
      <c r="K5745" s="997"/>
      <c r="L5745" s="99"/>
      <c r="M5745" s="100"/>
    </row>
    <row r="5746" spans="4:13" ht="23">
      <c r="E5746" s="629">
        <v>45733</v>
      </c>
      <c r="F5746" s="635">
        <v>3.0000000000000001E-3</v>
      </c>
      <c r="G5746" s="635">
        <v>3.0000000000000001E-3</v>
      </c>
      <c r="H5746" s="635">
        <v>-6.0000000000000001E-3</v>
      </c>
      <c r="I5746" s="995"/>
      <c r="J5746" s="996"/>
      <c r="K5746" s="997"/>
      <c r="L5746" s="649"/>
      <c r="M5746" s="100"/>
    </row>
    <row r="5747" spans="4:13" ht="23">
      <c r="E5747" s="629">
        <v>45702</v>
      </c>
      <c r="F5747" s="635">
        <v>-4.0000000000000001E-3</v>
      </c>
      <c r="G5747" s="635">
        <v>3.0000000000000001E-3</v>
      </c>
      <c r="H5747" s="635">
        <v>7.0000000000000001E-3</v>
      </c>
      <c r="I5747" s="995"/>
      <c r="J5747" s="996"/>
      <c r="K5747" s="997"/>
      <c r="L5747" s="99"/>
      <c r="M5747" s="100"/>
    </row>
    <row r="5748" spans="4:13" ht="23">
      <c r="E5748" s="629">
        <v>45673</v>
      </c>
      <c r="F5748" s="635">
        <v>4.0000000000000001E-3</v>
      </c>
      <c r="G5748" s="635">
        <v>5.0000000000000001E-3</v>
      </c>
      <c r="H5748" s="635">
        <v>2E-3</v>
      </c>
      <c r="I5748" s="995"/>
      <c r="J5748" s="996"/>
      <c r="K5748" s="997"/>
      <c r="L5748" s="99"/>
      <c r="M5748" s="100"/>
    </row>
    <row r="5749" spans="4:13" ht="24" thickBot="1">
      <c r="E5749" s="629">
        <v>45643</v>
      </c>
      <c r="F5749" s="635">
        <v>2E-3</v>
      </c>
      <c r="G5749" s="635">
        <v>4.0000000000000001E-3</v>
      </c>
      <c r="H5749" s="635">
        <v>2E-3</v>
      </c>
      <c r="I5749" s="998"/>
      <c r="J5749" s="999"/>
      <c r="K5749" s="1000"/>
      <c r="L5749" s="102"/>
      <c r="M5749" s="103"/>
    </row>
    <row r="5750" spans="4:13" ht="25" thickBot="1">
      <c r="D5750">
        <v>1</v>
      </c>
      <c r="E5750" s="628" t="s">
        <v>30</v>
      </c>
      <c r="F5750" s="986" t="s">
        <v>2267</v>
      </c>
      <c r="G5750" s="987"/>
      <c r="H5750" s="988"/>
      <c r="I5750" s="989" t="s">
        <v>633</v>
      </c>
      <c r="J5750" s="990"/>
      <c r="K5750" s="991"/>
      <c r="L5750" s="658" t="s">
        <v>430</v>
      </c>
      <c r="M5750" s="659" t="s">
        <v>431</v>
      </c>
    </row>
    <row r="5751" spans="4:13" ht="24">
      <c r="E5751" s="625" t="s">
        <v>432</v>
      </c>
      <c r="F5751" s="992"/>
      <c r="G5751" s="993"/>
      <c r="H5751" s="994"/>
      <c r="I5751" s="995" t="s">
        <v>2268</v>
      </c>
      <c r="J5751" s="996"/>
      <c r="K5751" s="997"/>
      <c r="L5751" s="99"/>
      <c r="M5751" s="100"/>
    </row>
    <row r="5752" spans="4:13" ht="24">
      <c r="E5752" s="626" t="s">
        <v>433</v>
      </c>
      <c r="F5752" s="1001">
        <v>1E-3</v>
      </c>
      <c r="G5752" s="1002"/>
      <c r="H5752" s="1003"/>
      <c r="I5752" s="995"/>
      <c r="J5752" s="996"/>
      <c r="K5752" s="997"/>
      <c r="L5752" s="99"/>
      <c r="M5752" s="100"/>
    </row>
    <row r="5753" spans="4:13" ht="25" thickBot="1">
      <c r="E5753" s="626" t="s">
        <v>434</v>
      </c>
      <c r="F5753" s="1001">
        <v>1E-3</v>
      </c>
      <c r="G5753" s="1002"/>
      <c r="H5753" s="1003"/>
      <c r="I5753" s="995"/>
      <c r="J5753" s="996"/>
      <c r="K5753" s="997"/>
      <c r="L5753" s="99"/>
      <c r="M5753" s="100"/>
    </row>
    <row r="5754" spans="4:13" ht="25" thickBot="1">
      <c r="E5754" s="627" t="s">
        <v>435</v>
      </c>
      <c r="F5754" s="1007">
        <v>0.52083333333333337</v>
      </c>
      <c r="G5754" s="1008"/>
      <c r="H5754" s="1009"/>
      <c r="I5754" s="995"/>
      <c r="J5754" s="996"/>
      <c r="K5754" s="997"/>
      <c r="L5754" s="647">
        <v>0.75</v>
      </c>
      <c r="M5754" s="648">
        <v>0.64583333333333337</v>
      </c>
    </row>
    <row r="5755" spans="4:13" ht="25" thickBot="1">
      <c r="E5755" s="628" t="s">
        <v>436</v>
      </c>
      <c r="F5755" s="200" t="s">
        <v>29</v>
      </c>
      <c r="G5755" s="200" t="s">
        <v>28</v>
      </c>
      <c r="H5755" s="201" t="s">
        <v>27</v>
      </c>
      <c r="I5755" s="995"/>
      <c r="J5755" s="996"/>
      <c r="K5755" s="997"/>
      <c r="L5755" s="99"/>
      <c r="M5755" s="100"/>
    </row>
    <row r="5756" spans="4:13" ht="23">
      <c r="E5756" s="629">
        <v>45792</v>
      </c>
      <c r="F5756" s="963">
        <v>1E-3</v>
      </c>
      <c r="G5756" s="963">
        <v>0</v>
      </c>
      <c r="H5756" s="963">
        <v>1.7000000000000001E-2</v>
      </c>
      <c r="I5756" s="995"/>
      <c r="J5756" s="996"/>
      <c r="K5756" s="997"/>
      <c r="L5756" s="99"/>
      <c r="M5756" s="100"/>
    </row>
    <row r="5757" spans="4:13" ht="23">
      <c r="E5757" s="629">
        <v>45763</v>
      </c>
      <c r="F5757" s="963">
        <v>1.4E-2</v>
      </c>
      <c r="G5757" s="963">
        <v>1.2999999999999999E-2</v>
      </c>
      <c r="H5757" s="963">
        <v>2E-3</v>
      </c>
      <c r="I5757" s="995"/>
      <c r="J5757" s="996"/>
      <c r="K5757" s="997"/>
      <c r="L5757" s="99"/>
      <c r="M5757" s="100"/>
    </row>
    <row r="5758" spans="4:13" ht="23">
      <c r="E5758" s="629">
        <v>45733</v>
      </c>
      <c r="F5758" s="963">
        <v>2E-3</v>
      </c>
      <c r="G5758" s="963">
        <v>6.0000000000000001E-3</v>
      </c>
      <c r="H5758" s="963">
        <v>-1.2E-2</v>
      </c>
      <c r="I5758" s="995"/>
      <c r="J5758" s="996"/>
      <c r="K5758" s="997"/>
      <c r="L5758" s="649"/>
      <c r="M5758" s="100"/>
    </row>
    <row r="5759" spans="4:13" ht="23">
      <c r="E5759" s="629">
        <v>45702</v>
      </c>
      <c r="F5759" s="963">
        <v>-8.9999999999999993E-3</v>
      </c>
      <c r="G5759" s="963">
        <v>-2E-3</v>
      </c>
      <c r="H5759" s="963">
        <v>7.0000000000000001E-3</v>
      </c>
      <c r="I5759" s="995"/>
      <c r="J5759" s="996"/>
      <c r="K5759" s="997"/>
      <c r="L5759" s="99"/>
      <c r="M5759" s="100"/>
    </row>
    <row r="5760" spans="4:13" ht="23">
      <c r="E5760" s="629">
        <v>45673</v>
      </c>
      <c r="F5760" s="963">
        <v>4.0000000000000001E-3</v>
      </c>
      <c r="G5760" s="963">
        <v>6.0000000000000001E-3</v>
      </c>
      <c r="H5760" s="963">
        <v>8.0000000000000002E-3</v>
      </c>
      <c r="I5760" s="995"/>
      <c r="J5760" s="996"/>
      <c r="K5760" s="997"/>
      <c r="L5760" s="99"/>
      <c r="M5760" s="100"/>
    </row>
    <row r="5761" spans="4:13" ht="24" thickBot="1">
      <c r="E5761" s="629">
        <v>45643</v>
      </c>
      <c r="F5761" s="963">
        <v>7.0000000000000001E-3</v>
      </c>
      <c r="G5761" s="963">
        <v>6.0000000000000001E-3</v>
      </c>
      <c r="H5761" s="963">
        <v>5.0000000000000001E-3</v>
      </c>
      <c r="I5761" s="998"/>
      <c r="J5761" s="999"/>
      <c r="K5761" s="1000"/>
      <c r="L5761" s="102"/>
      <c r="M5761" s="103"/>
    </row>
    <row r="5762" spans="4:13" ht="25" thickBot="1">
      <c r="D5762">
        <v>1</v>
      </c>
      <c r="E5762" s="628" t="s">
        <v>30</v>
      </c>
      <c r="F5762" s="986" t="s">
        <v>2269</v>
      </c>
      <c r="G5762" s="987"/>
      <c r="H5762" s="988"/>
      <c r="I5762" s="989" t="s">
        <v>633</v>
      </c>
      <c r="J5762" s="990"/>
      <c r="K5762" s="991"/>
      <c r="L5762" s="658" t="s">
        <v>430</v>
      </c>
      <c r="M5762" s="659" t="s">
        <v>431</v>
      </c>
    </row>
    <row r="5763" spans="4:13" ht="24">
      <c r="E5763" s="625" t="s">
        <v>432</v>
      </c>
      <c r="F5763" s="992"/>
      <c r="G5763" s="993"/>
      <c r="H5763" s="994"/>
      <c r="I5763" s="995" t="s">
        <v>2270</v>
      </c>
      <c r="J5763" s="996"/>
      <c r="K5763" s="997"/>
      <c r="L5763" s="99"/>
      <c r="M5763" s="100"/>
    </row>
    <row r="5764" spans="4:13" ht="24">
      <c r="E5764" s="626" t="s">
        <v>433</v>
      </c>
      <c r="F5764" s="1001"/>
      <c r="G5764" s="1002"/>
      <c r="H5764" s="1003"/>
      <c r="I5764" s="995"/>
      <c r="J5764" s="996"/>
      <c r="K5764" s="997"/>
      <c r="L5764" s="99"/>
      <c r="M5764" s="100"/>
    </row>
    <row r="5765" spans="4:13" ht="25" thickBot="1">
      <c r="E5765" s="626" t="s">
        <v>434</v>
      </c>
      <c r="F5765" s="1004">
        <v>3.5000000000000003E-2</v>
      </c>
      <c r="G5765" s="1005"/>
      <c r="H5765" s="1006"/>
      <c r="I5765" s="995"/>
      <c r="J5765" s="996"/>
      <c r="K5765" s="997"/>
      <c r="L5765" s="99"/>
      <c r="M5765" s="100"/>
    </row>
    <row r="5766" spans="4:13" ht="25" thickBot="1">
      <c r="E5766" s="627" t="s">
        <v>435</v>
      </c>
      <c r="F5766" s="1007">
        <v>0.25</v>
      </c>
      <c r="G5766" s="1008"/>
      <c r="H5766" s="1009"/>
      <c r="I5766" s="995"/>
      <c r="J5766" s="996"/>
      <c r="K5766" s="997"/>
      <c r="L5766" s="647">
        <v>0.47916666666666669</v>
      </c>
      <c r="M5766" s="648">
        <v>0.375</v>
      </c>
    </row>
    <row r="5767" spans="4:13" ht="25" thickBot="1">
      <c r="E5767" s="628" t="s">
        <v>436</v>
      </c>
      <c r="F5767" s="200" t="s">
        <v>29</v>
      </c>
      <c r="G5767" s="200" t="s">
        <v>28</v>
      </c>
      <c r="H5767" s="201" t="s">
        <v>27</v>
      </c>
      <c r="I5767" s="995"/>
      <c r="J5767" s="996"/>
      <c r="K5767" s="997"/>
      <c r="L5767" s="99"/>
      <c r="M5767" s="100"/>
    </row>
    <row r="5768" spans="4:13" ht="23">
      <c r="E5768" s="629">
        <v>45798</v>
      </c>
      <c r="F5768" s="632">
        <v>3.5000000000000003E-2</v>
      </c>
      <c r="G5768" s="632">
        <v>3.3000000000000002E-2</v>
      </c>
      <c r="H5768" s="632">
        <v>2.5999999999999999E-2</v>
      </c>
      <c r="I5768" s="995"/>
      <c r="J5768" s="996"/>
      <c r="K5768" s="997"/>
      <c r="L5768" s="99"/>
      <c r="M5768" s="100"/>
    </row>
    <row r="5769" spans="4:13" ht="23">
      <c r="E5769" s="629">
        <v>45763</v>
      </c>
      <c r="F5769" s="632">
        <v>2.5999999999999999E-2</v>
      </c>
      <c r="G5769" s="632">
        <v>2.7E-2</v>
      </c>
      <c r="H5769" s="632">
        <v>2.8000000000000001E-2</v>
      </c>
      <c r="I5769" s="995"/>
      <c r="J5769" s="996"/>
      <c r="K5769" s="997"/>
      <c r="L5769" s="99"/>
      <c r="M5769" s="100"/>
    </row>
    <row r="5770" spans="4:13" ht="23">
      <c r="E5770" s="629">
        <v>45742</v>
      </c>
      <c r="F5770" s="632">
        <v>2.8000000000000001E-2</v>
      </c>
      <c r="G5770" s="632">
        <v>0.03</v>
      </c>
      <c r="H5770" s="632">
        <v>0.03</v>
      </c>
      <c r="I5770" s="995"/>
      <c r="J5770" s="996"/>
      <c r="K5770" s="997"/>
      <c r="L5770" s="649"/>
      <c r="M5770" s="100"/>
    </row>
    <row r="5771" spans="4:13" ht="23">
      <c r="E5771" s="629">
        <v>45707</v>
      </c>
      <c r="F5771" s="632">
        <v>0.03</v>
      </c>
      <c r="G5771" s="632">
        <v>2.8000000000000001E-2</v>
      </c>
      <c r="H5771" s="632">
        <v>2.5000000000000001E-2</v>
      </c>
      <c r="I5771" s="995"/>
      <c r="J5771" s="996"/>
      <c r="K5771" s="997"/>
      <c r="L5771" s="99"/>
      <c r="M5771" s="100"/>
    </row>
    <row r="5772" spans="4:13" ht="23">
      <c r="E5772" s="629">
        <v>45672</v>
      </c>
      <c r="F5772" s="632">
        <v>2.5000000000000001E-2</v>
      </c>
      <c r="G5772" s="632">
        <v>2.5999999999999999E-2</v>
      </c>
      <c r="H5772" s="632">
        <v>2.5999999999999999E-2</v>
      </c>
      <c r="I5772" s="995"/>
      <c r="J5772" s="996"/>
      <c r="K5772" s="997"/>
      <c r="L5772" s="99"/>
      <c r="M5772" s="100"/>
    </row>
    <row r="5773" spans="4:13" ht="24" thickBot="1">
      <c r="E5773" s="629">
        <v>45644</v>
      </c>
      <c r="F5773" s="632">
        <v>2.5999999999999999E-2</v>
      </c>
      <c r="G5773" s="632">
        <v>2.5999999999999999E-2</v>
      </c>
      <c r="H5773" s="632">
        <v>2.3E-2</v>
      </c>
      <c r="I5773" s="998"/>
      <c r="J5773" s="999"/>
      <c r="K5773" s="1000"/>
      <c r="L5773" s="102"/>
      <c r="M5773" s="103"/>
    </row>
    <row r="5774" spans="4:13" ht="25" thickBot="1">
      <c r="D5774">
        <v>1</v>
      </c>
      <c r="E5774" s="628" t="s">
        <v>30</v>
      </c>
      <c r="F5774" s="986" t="s">
        <v>2271</v>
      </c>
      <c r="G5774" s="987"/>
      <c r="H5774" s="988"/>
      <c r="I5774" s="989" t="s">
        <v>633</v>
      </c>
      <c r="J5774" s="990"/>
      <c r="K5774" s="991"/>
      <c r="L5774" s="658" t="s">
        <v>430</v>
      </c>
      <c r="M5774" s="659" t="s">
        <v>431</v>
      </c>
    </row>
    <row r="5775" spans="4:13" ht="24">
      <c r="E5775" s="625" t="s">
        <v>432</v>
      </c>
      <c r="F5775" s="992"/>
      <c r="G5775" s="993"/>
      <c r="H5775" s="994"/>
      <c r="I5775" s="995" t="s">
        <v>2272</v>
      </c>
      <c r="J5775" s="996"/>
      <c r="K5775" s="997"/>
      <c r="L5775" s="99"/>
      <c r="M5775" s="100"/>
    </row>
    <row r="5776" spans="4:13" ht="24">
      <c r="E5776" s="626" t="s">
        <v>433</v>
      </c>
      <c r="F5776" s="1001">
        <v>1.9E-2</v>
      </c>
      <c r="G5776" s="1002"/>
      <c r="H5776" s="1003"/>
      <c r="I5776" s="995"/>
      <c r="J5776" s="996"/>
      <c r="K5776" s="997"/>
      <c r="L5776" s="99"/>
      <c r="M5776" s="100"/>
    </row>
    <row r="5777" spans="4:13" ht="25" thickBot="1">
      <c r="E5777" s="626" t="s">
        <v>434</v>
      </c>
      <c r="F5777" s="1001">
        <v>1.9E-2</v>
      </c>
      <c r="G5777" s="1002"/>
      <c r="H5777" s="1003"/>
      <c r="I5777" s="995"/>
      <c r="J5777" s="996"/>
      <c r="K5777" s="997"/>
      <c r="L5777" s="99"/>
      <c r="M5777" s="100"/>
    </row>
    <row r="5778" spans="4:13" ht="25" thickBot="1">
      <c r="E5778" s="627" t="s">
        <v>435</v>
      </c>
      <c r="F5778" s="1007">
        <v>0.375</v>
      </c>
      <c r="G5778" s="1008"/>
      <c r="H5778" s="1009"/>
      <c r="I5778" s="995"/>
      <c r="J5778" s="996"/>
      <c r="K5778" s="997"/>
      <c r="L5778" s="647">
        <v>0.60416666666666663</v>
      </c>
      <c r="M5778" s="648">
        <v>0.49999999999999994</v>
      </c>
    </row>
    <row r="5779" spans="4:13" ht="25" thickBot="1">
      <c r="E5779" s="628" t="s">
        <v>436</v>
      </c>
      <c r="F5779" s="200" t="s">
        <v>29</v>
      </c>
      <c r="G5779" s="200" t="s">
        <v>28</v>
      </c>
      <c r="H5779" s="201" t="s">
        <v>27</v>
      </c>
      <c r="I5779" s="995"/>
      <c r="J5779" s="996"/>
      <c r="K5779" s="997"/>
      <c r="L5779" s="99"/>
      <c r="M5779" s="100"/>
    </row>
    <row r="5780" spans="4:13" ht="23">
      <c r="E5780" s="629">
        <v>45811</v>
      </c>
      <c r="F5780" s="963">
        <v>1.9E-2</v>
      </c>
      <c r="G5780" s="963">
        <v>0.02</v>
      </c>
      <c r="H5780" s="963">
        <v>2.1999999999999999E-2</v>
      </c>
      <c r="I5780" s="995"/>
      <c r="J5780" s="996"/>
      <c r="K5780" s="997"/>
      <c r="L5780" s="99"/>
      <c r="M5780" s="100"/>
    </row>
    <row r="5781" spans="4:13" ht="23">
      <c r="E5781" s="629">
        <v>45796</v>
      </c>
      <c r="F5781" s="963">
        <v>2.1999999999999999E-2</v>
      </c>
      <c r="G5781" s="963">
        <v>2.1999999999999999E-2</v>
      </c>
      <c r="H5781" s="963">
        <v>2.1999999999999999E-2</v>
      </c>
      <c r="I5781" s="995"/>
      <c r="J5781" s="996"/>
      <c r="K5781" s="997"/>
      <c r="L5781" s="99"/>
      <c r="M5781" s="100"/>
    </row>
    <row r="5782" spans="4:13" ht="23">
      <c r="E5782" s="629">
        <v>45779</v>
      </c>
      <c r="F5782" s="963">
        <v>2.1999999999999999E-2</v>
      </c>
      <c r="G5782" s="963">
        <v>2.1000000000000001E-2</v>
      </c>
      <c r="H5782" s="963">
        <v>2.1999999999999999E-2</v>
      </c>
      <c r="I5782" s="995"/>
      <c r="J5782" s="996"/>
      <c r="K5782" s="997"/>
      <c r="L5782" s="649"/>
      <c r="M5782" s="100"/>
    </row>
    <row r="5783" spans="4:13" ht="23">
      <c r="E5783" s="629">
        <v>45763</v>
      </c>
      <c r="F5783" s="963">
        <v>2.1999999999999999E-2</v>
      </c>
      <c r="G5783" s="963">
        <v>2.1999999999999999E-2</v>
      </c>
      <c r="H5783" s="963">
        <v>2.3E-2</v>
      </c>
      <c r="I5783" s="995"/>
      <c r="J5783" s="996"/>
      <c r="K5783" s="997"/>
      <c r="L5783" s="99"/>
      <c r="M5783" s="100"/>
    </row>
    <row r="5784" spans="4:13" ht="23">
      <c r="E5784" s="629">
        <v>45748</v>
      </c>
      <c r="F5784" s="963">
        <v>2.1999999999999999E-2</v>
      </c>
      <c r="G5784" s="963">
        <v>2.1999999999999999E-2</v>
      </c>
      <c r="H5784" s="963">
        <v>2.3E-2</v>
      </c>
      <c r="I5784" s="995"/>
      <c r="J5784" s="996"/>
      <c r="K5784" s="997"/>
      <c r="L5784" s="99"/>
      <c r="M5784" s="100"/>
    </row>
    <row r="5785" spans="4:13" ht="24" thickBot="1">
      <c r="E5785" s="629">
        <v>45735</v>
      </c>
      <c r="F5785" s="963">
        <v>2.3E-2</v>
      </c>
      <c r="G5785" s="963">
        <v>2.4E-2</v>
      </c>
      <c r="H5785" s="963">
        <v>2.5000000000000001E-2</v>
      </c>
      <c r="I5785" s="998"/>
      <c r="J5785" s="999"/>
      <c r="K5785" s="1000"/>
      <c r="L5785" s="102"/>
      <c r="M5785" s="103"/>
    </row>
    <row r="5786" spans="4:13" ht="25" thickBot="1">
      <c r="D5786">
        <v>1</v>
      </c>
      <c r="E5786" s="628" t="s">
        <v>30</v>
      </c>
      <c r="F5786" s="986" t="s">
        <v>1421</v>
      </c>
      <c r="G5786" s="987"/>
      <c r="H5786" s="988"/>
      <c r="I5786" s="989" t="s">
        <v>633</v>
      </c>
      <c r="J5786" s="990"/>
      <c r="K5786" s="991"/>
      <c r="L5786" s="658" t="s">
        <v>430</v>
      </c>
      <c r="M5786" s="659" t="s">
        <v>431</v>
      </c>
    </row>
    <row r="5787" spans="4:13" ht="24">
      <c r="E5787" s="625" t="s">
        <v>432</v>
      </c>
      <c r="F5787" s="992"/>
      <c r="G5787" s="993"/>
      <c r="H5787" s="994"/>
      <c r="I5787" s="995" t="s">
        <v>1460</v>
      </c>
      <c r="J5787" s="996"/>
      <c r="K5787" s="997"/>
      <c r="L5787" s="99"/>
      <c r="M5787" s="100"/>
    </row>
    <row r="5788" spans="4:13" ht="24">
      <c r="E5788" s="626" t="s">
        <v>433</v>
      </c>
      <c r="F5788" s="1001"/>
      <c r="G5788" s="1002"/>
      <c r="H5788" s="1003"/>
      <c r="I5788" s="995"/>
      <c r="J5788" s="996"/>
      <c r="K5788" s="997"/>
      <c r="L5788" s="99"/>
      <c r="M5788" s="100"/>
    </row>
    <row r="5789" spans="4:13" ht="25" thickBot="1">
      <c r="E5789" s="626" t="s">
        <v>434</v>
      </c>
      <c r="F5789" s="1001" t="s">
        <v>2273</v>
      </c>
      <c r="G5789" s="1002"/>
      <c r="H5789" s="1003"/>
      <c r="I5789" s="995"/>
      <c r="J5789" s="996"/>
      <c r="K5789" s="997"/>
      <c r="L5789" s="99"/>
      <c r="M5789" s="100"/>
    </row>
    <row r="5790" spans="4:13" ht="25" thickBot="1">
      <c r="E5790" s="627" t="s">
        <v>435</v>
      </c>
      <c r="F5790" s="1007">
        <v>0.52083333333333337</v>
      </c>
      <c r="G5790" s="1008"/>
      <c r="H5790" s="1009"/>
      <c r="I5790" s="995"/>
      <c r="J5790" s="996"/>
      <c r="K5790" s="997"/>
      <c r="L5790" s="647">
        <v>0.75</v>
      </c>
      <c r="M5790" s="648">
        <v>0.64583333333333337</v>
      </c>
    </row>
    <row r="5791" spans="4:13" ht="25" thickBot="1">
      <c r="E5791" s="628" t="s">
        <v>436</v>
      </c>
      <c r="F5791" s="200" t="s">
        <v>29</v>
      </c>
      <c r="G5791" s="200" t="s">
        <v>28</v>
      </c>
      <c r="H5791" s="201" t="s">
        <v>27</v>
      </c>
      <c r="I5791" s="995"/>
      <c r="J5791" s="996"/>
      <c r="K5791" s="997"/>
      <c r="L5791" s="99"/>
      <c r="M5791" s="100"/>
    </row>
    <row r="5792" spans="4:13" ht="24">
      <c r="E5792" s="629">
        <v>45820</v>
      </c>
      <c r="F5792" s="963" t="s">
        <v>2295</v>
      </c>
      <c r="G5792" s="963" t="s">
        <v>980</v>
      </c>
      <c r="H5792" s="963" t="s">
        <v>2295</v>
      </c>
      <c r="I5792" s="995"/>
      <c r="J5792" s="996"/>
      <c r="K5792" s="997"/>
      <c r="L5792" s="99"/>
      <c r="M5792" s="100"/>
    </row>
    <row r="5793" spans="4:13" ht="24">
      <c r="E5793" s="629">
        <v>45813</v>
      </c>
      <c r="F5793" s="963" t="s">
        <v>2293</v>
      </c>
      <c r="G5793" s="963" t="s">
        <v>2294</v>
      </c>
      <c r="H5793" s="963" t="s">
        <v>2296</v>
      </c>
      <c r="I5793" s="995"/>
      <c r="J5793" s="996"/>
      <c r="K5793" s="997"/>
      <c r="L5793" s="99"/>
      <c r="M5793" s="100"/>
    </row>
    <row r="5794" spans="4:13" ht="24">
      <c r="E5794" s="629">
        <v>45806</v>
      </c>
      <c r="F5794" s="963" t="s">
        <v>2240</v>
      </c>
      <c r="G5794" s="963" t="s">
        <v>976</v>
      </c>
      <c r="H5794" s="963" t="s">
        <v>1703</v>
      </c>
      <c r="I5794" s="995"/>
      <c r="J5794" s="996"/>
      <c r="K5794" s="997"/>
      <c r="L5794" s="649"/>
      <c r="M5794" s="100"/>
    </row>
    <row r="5795" spans="4:13" ht="24">
      <c r="E5795" s="629">
        <v>45799</v>
      </c>
      <c r="F5795" s="963" t="s">
        <v>978</v>
      </c>
      <c r="G5795" s="963" t="s">
        <v>2241</v>
      </c>
      <c r="H5795" s="963" t="s">
        <v>976</v>
      </c>
      <c r="I5795" s="995"/>
      <c r="J5795" s="996"/>
      <c r="K5795" s="997"/>
      <c r="L5795" s="99"/>
      <c r="M5795" s="100"/>
    </row>
    <row r="5796" spans="4:13" ht="24">
      <c r="E5796" s="629">
        <v>45792</v>
      </c>
      <c r="F5796" s="963" t="s">
        <v>976</v>
      </c>
      <c r="G5796" s="963" t="s">
        <v>976</v>
      </c>
      <c r="H5796" s="963" t="s">
        <v>976</v>
      </c>
      <c r="I5796" s="995"/>
      <c r="J5796" s="996"/>
      <c r="K5796" s="997"/>
      <c r="L5796" s="99"/>
      <c r="M5796" s="100"/>
    </row>
    <row r="5797" spans="4:13" ht="25" thickBot="1">
      <c r="E5797" s="629">
        <v>45785</v>
      </c>
      <c r="F5797" s="963" t="s">
        <v>977</v>
      </c>
      <c r="G5797" s="963" t="s">
        <v>984</v>
      </c>
      <c r="H5797" s="963" t="s">
        <v>981</v>
      </c>
      <c r="I5797" s="998"/>
      <c r="J5797" s="999"/>
      <c r="K5797" s="1000"/>
      <c r="L5797" s="102"/>
      <c r="M5797" s="103"/>
    </row>
    <row r="5798" spans="4:13" ht="25" thickBot="1">
      <c r="D5798">
        <v>1</v>
      </c>
      <c r="E5798" s="628" t="s">
        <v>30</v>
      </c>
      <c r="F5798" s="986" t="s">
        <v>1503</v>
      </c>
      <c r="G5798" s="987"/>
      <c r="H5798" s="988"/>
      <c r="I5798" s="989" t="s">
        <v>633</v>
      </c>
      <c r="J5798" s="990"/>
      <c r="K5798" s="991"/>
      <c r="L5798" s="658" t="s">
        <v>430</v>
      </c>
      <c r="M5798" s="659" t="s">
        <v>431</v>
      </c>
    </row>
    <row r="5799" spans="4:13" ht="24">
      <c r="E5799" s="625" t="s">
        <v>432</v>
      </c>
      <c r="F5799" s="992"/>
      <c r="G5799" s="993"/>
      <c r="H5799" s="994"/>
      <c r="I5799" s="995" t="s">
        <v>1678</v>
      </c>
      <c r="J5799" s="996"/>
      <c r="K5799" s="997"/>
      <c r="L5799" s="99"/>
      <c r="M5799" s="100"/>
    </row>
    <row r="5800" spans="4:13" ht="24">
      <c r="E5800" s="626" t="s">
        <v>433</v>
      </c>
      <c r="F5800" s="1001"/>
      <c r="G5800" s="1002"/>
      <c r="H5800" s="1003"/>
      <c r="I5800" s="995"/>
      <c r="J5800" s="996"/>
      <c r="K5800" s="997"/>
      <c r="L5800" s="99"/>
      <c r="M5800" s="100"/>
    </row>
    <row r="5801" spans="4:13" ht="25" thickBot="1">
      <c r="E5801" s="626" t="s">
        <v>434</v>
      </c>
      <c r="F5801" s="1001" t="s">
        <v>2274</v>
      </c>
      <c r="G5801" s="1002"/>
      <c r="H5801" s="1003"/>
      <c r="I5801" s="995"/>
      <c r="J5801" s="996"/>
      <c r="K5801" s="997"/>
      <c r="L5801" s="99"/>
      <c r="M5801" s="100"/>
    </row>
    <row r="5802" spans="4:13" ht="25" thickBot="1">
      <c r="E5802" s="627" t="s">
        <v>435</v>
      </c>
      <c r="F5802" s="1007">
        <v>0.60416666666666674</v>
      </c>
      <c r="G5802" s="1008"/>
      <c r="H5802" s="1009"/>
      <c r="I5802" s="995"/>
      <c r="J5802" s="996"/>
      <c r="K5802" s="997"/>
      <c r="L5802" s="647">
        <v>0.83333333333333337</v>
      </c>
      <c r="M5802" s="648">
        <v>0.72916666666666674</v>
      </c>
    </row>
    <row r="5803" spans="4:13" ht="25" thickBot="1">
      <c r="E5803" s="628" t="s">
        <v>436</v>
      </c>
      <c r="F5803" s="200" t="s">
        <v>29</v>
      </c>
      <c r="G5803" s="200" t="s">
        <v>28</v>
      </c>
      <c r="H5803" s="201" t="s">
        <v>27</v>
      </c>
      <c r="I5803" s="995"/>
      <c r="J5803" s="996"/>
      <c r="K5803" s="997"/>
      <c r="L5803" s="99"/>
      <c r="M5803" s="100"/>
    </row>
    <row r="5804" spans="4:13" ht="24">
      <c r="E5804" s="629">
        <v>45819</v>
      </c>
      <c r="F5804" s="963" t="s">
        <v>2297</v>
      </c>
      <c r="G5804" s="963" t="s">
        <v>1392</v>
      </c>
      <c r="H5804" s="963" t="s">
        <v>2291</v>
      </c>
      <c r="I5804" s="995"/>
      <c r="J5804" s="996"/>
      <c r="K5804" s="997"/>
      <c r="L5804" s="99"/>
      <c r="M5804" s="100"/>
    </row>
    <row r="5805" spans="4:13" ht="24">
      <c r="E5805" s="629">
        <v>45812</v>
      </c>
      <c r="F5805" s="963" t="s">
        <v>2291</v>
      </c>
      <c r="G5805" s="963" t="s">
        <v>2292</v>
      </c>
      <c r="H5805" s="963" t="s">
        <v>2238</v>
      </c>
      <c r="I5805" s="995"/>
      <c r="J5805" s="996"/>
      <c r="K5805" s="997"/>
      <c r="L5805" s="99"/>
      <c r="M5805" s="100"/>
    </row>
    <row r="5806" spans="4:13" ht="24">
      <c r="E5806" s="629">
        <v>45806</v>
      </c>
      <c r="F5806" s="963" t="s">
        <v>2238</v>
      </c>
      <c r="G5806" s="963" t="s">
        <v>2239</v>
      </c>
      <c r="H5806" s="963" t="s">
        <v>2182</v>
      </c>
      <c r="I5806" s="995"/>
      <c r="J5806" s="996"/>
      <c r="K5806" s="997"/>
      <c r="L5806" s="649"/>
      <c r="M5806" s="100"/>
    </row>
    <row r="5807" spans="4:13" ht="24">
      <c r="E5807" s="629">
        <v>45798</v>
      </c>
      <c r="F5807" s="963" t="s">
        <v>2182</v>
      </c>
      <c r="G5807" s="963" t="s">
        <v>2298</v>
      </c>
      <c r="H5807" s="963" t="s">
        <v>2127</v>
      </c>
      <c r="I5807" s="995"/>
      <c r="J5807" s="996"/>
      <c r="K5807" s="997"/>
      <c r="L5807" s="99"/>
      <c r="M5807" s="100"/>
    </row>
    <row r="5808" spans="4:13" ht="24">
      <c r="E5808" s="629">
        <v>45791</v>
      </c>
      <c r="F5808" s="963" t="s">
        <v>2127</v>
      </c>
      <c r="G5808" s="963" t="s">
        <v>2299</v>
      </c>
      <c r="H5808" s="963" t="s">
        <v>2300</v>
      </c>
      <c r="I5808" s="995"/>
      <c r="J5808" s="996"/>
      <c r="K5808" s="997"/>
      <c r="L5808" s="99"/>
      <c r="M5808" s="100"/>
    </row>
    <row r="5809" spans="4:13" ht="25" thickBot="1">
      <c r="E5809" s="629">
        <v>45784</v>
      </c>
      <c r="F5809" s="963" t="s">
        <v>2300</v>
      </c>
      <c r="G5809" s="963" t="s">
        <v>2301</v>
      </c>
      <c r="H5809" s="963" t="s">
        <v>2098</v>
      </c>
      <c r="I5809" s="998"/>
      <c r="J5809" s="999"/>
      <c r="K5809" s="1000"/>
      <c r="L5809" s="102"/>
      <c r="M5809" s="103"/>
    </row>
    <row r="5810" spans="4:13" ht="25" thickBot="1">
      <c r="D5810">
        <v>1</v>
      </c>
      <c r="E5810" s="628" t="s">
        <v>30</v>
      </c>
      <c r="F5810" s="986" t="s">
        <v>2275</v>
      </c>
      <c r="G5810" s="987"/>
      <c r="H5810" s="988"/>
      <c r="I5810" s="989" t="s">
        <v>633</v>
      </c>
      <c r="J5810" s="990"/>
      <c r="K5810" s="991"/>
      <c r="L5810" s="658" t="s">
        <v>430</v>
      </c>
      <c r="M5810" s="659" t="s">
        <v>431</v>
      </c>
    </row>
    <row r="5811" spans="4:13" ht="24">
      <c r="E5811" s="625" t="s">
        <v>432</v>
      </c>
      <c r="F5811" s="992"/>
      <c r="G5811" s="993"/>
      <c r="H5811" s="994"/>
      <c r="I5811" s="995" t="s">
        <v>2276</v>
      </c>
      <c r="J5811" s="996"/>
      <c r="K5811" s="997"/>
      <c r="L5811" s="99"/>
      <c r="M5811" s="100"/>
    </row>
    <row r="5812" spans="4:13" ht="24">
      <c r="E5812" s="626" t="s">
        <v>433</v>
      </c>
      <c r="F5812" s="1001"/>
      <c r="G5812" s="1002"/>
      <c r="H5812" s="1003"/>
      <c r="I5812" s="995"/>
      <c r="J5812" s="996"/>
      <c r="K5812" s="997"/>
      <c r="L5812" s="99"/>
      <c r="M5812" s="100"/>
    </row>
    <row r="5813" spans="4:13" ht="25" thickBot="1">
      <c r="E5813" s="626" t="s">
        <v>434</v>
      </c>
      <c r="F5813" s="1001"/>
      <c r="G5813" s="1002"/>
      <c r="H5813" s="1003"/>
      <c r="I5813" s="995"/>
      <c r="J5813" s="996"/>
      <c r="K5813" s="997"/>
      <c r="L5813" s="99"/>
      <c r="M5813" s="100"/>
    </row>
    <row r="5814" spans="4:13" ht="25" thickBot="1">
      <c r="E5814" s="627" t="s">
        <v>435</v>
      </c>
      <c r="F5814" s="1007">
        <v>0.77083333333333337</v>
      </c>
      <c r="G5814" s="1008"/>
      <c r="H5814" s="1009"/>
      <c r="I5814" s="995"/>
      <c r="J5814" s="996"/>
      <c r="K5814" s="997"/>
      <c r="L5814" s="964"/>
      <c r="M5814" s="648">
        <v>0.89583333333333337</v>
      </c>
    </row>
    <row r="5815" spans="4:13" ht="25" thickBot="1">
      <c r="E5815" s="628" t="s">
        <v>436</v>
      </c>
      <c r="F5815" s="200" t="s">
        <v>29</v>
      </c>
      <c r="G5815" s="200" t="s">
        <v>28</v>
      </c>
      <c r="H5815" s="201" t="s">
        <v>27</v>
      </c>
      <c r="I5815" s="995"/>
      <c r="J5815" s="996"/>
      <c r="K5815" s="997"/>
      <c r="L5815" s="99"/>
      <c r="M5815" s="100"/>
    </row>
    <row r="5816" spans="4:13" ht="23">
      <c r="E5816" s="629">
        <v>45735</v>
      </c>
      <c r="F5816" s="963"/>
      <c r="G5816" s="963"/>
      <c r="H5816" s="963"/>
      <c r="I5816" s="995"/>
      <c r="J5816" s="996"/>
      <c r="K5816" s="997"/>
      <c r="L5816" s="99"/>
      <c r="M5816" s="100"/>
    </row>
    <row r="5817" spans="4:13" ht="23">
      <c r="E5817" s="965">
        <v>45644</v>
      </c>
      <c r="F5817" s="963"/>
      <c r="G5817" s="963"/>
      <c r="H5817" s="963"/>
      <c r="I5817" s="995"/>
      <c r="J5817" s="996"/>
      <c r="K5817" s="997"/>
      <c r="L5817" s="99"/>
      <c r="M5817" s="100"/>
    </row>
    <row r="5818" spans="4:13" ht="23">
      <c r="E5818" s="629">
        <v>45553</v>
      </c>
      <c r="F5818" s="963"/>
      <c r="G5818" s="963"/>
      <c r="H5818" s="963"/>
      <c r="I5818" s="995"/>
      <c r="J5818" s="996"/>
      <c r="K5818" s="997"/>
      <c r="L5818" s="649"/>
      <c r="M5818" s="100"/>
    </row>
    <row r="5819" spans="4:13" ht="23">
      <c r="E5819" s="629">
        <v>45455</v>
      </c>
      <c r="F5819" s="963"/>
      <c r="G5819" s="963"/>
      <c r="H5819" s="963"/>
      <c r="I5819" s="995"/>
      <c r="J5819" s="996"/>
      <c r="K5819" s="997"/>
      <c r="L5819" s="99"/>
      <c r="M5819" s="100"/>
    </row>
    <row r="5820" spans="4:13" ht="23">
      <c r="E5820" s="629">
        <v>45371</v>
      </c>
      <c r="F5820" s="963"/>
      <c r="G5820" s="963"/>
      <c r="H5820" s="963"/>
      <c r="I5820" s="995"/>
      <c r="J5820" s="996"/>
      <c r="K5820" s="997"/>
      <c r="L5820" s="99"/>
      <c r="M5820" s="100"/>
    </row>
    <row r="5821" spans="4:13" ht="24" thickBot="1">
      <c r="E5821" s="965">
        <v>45273</v>
      </c>
      <c r="F5821" s="963"/>
      <c r="G5821" s="963"/>
      <c r="H5821" s="963"/>
      <c r="I5821" s="998"/>
      <c r="J5821" s="999"/>
      <c r="K5821" s="1000"/>
      <c r="L5821" s="102"/>
      <c r="M5821" s="103"/>
    </row>
    <row r="5822" spans="4:13" ht="25" thickBot="1">
      <c r="D5822">
        <v>1</v>
      </c>
      <c r="E5822" s="628" t="s">
        <v>30</v>
      </c>
      <c r="F5822" s="986" t="s">
        <v>1508</v>
      </c>
      <c r="G5822" s="987"/>
      <c r="H5822" s="988"/>
      <c r="I5822" s="989" t="s">
        <v>633</v>
      </c>
      <c r="J5822" s="990"/>
      <c r="K5822" s="991"/>
      <c r="L5822" s="658" t="s">
        <v>430</v>
      </c>
      <c r="M5822" s="659" t="s">
        <v>431</v>
      </c>
    </row>
    <row r="5823" spans="4:13" ht="24">
      <c r="E5823" s="625" t="s">
        <v>432</v>
      </c>
      <c r="F5823" s="992"/>
      <c r="G5823" s="993"/>
      <c r="H5823" s="994"/>
      <c r="I5823" s="995" t="s">
        <v>2279</v>
      </c>
      <c r="J5823" s="996"/>
      <c r="K5823" s="997"/>
      <c r="L5823" s="99"/>
      <c r="M5823" s="100"/>
    </row>
    <row r="5824" spans="4:13" ht="24">
      <c r="E5824" s="626" t="s">
        <v>433</v>
      </c>
      <c r="F5824" s="1001"/>
      <c r="G5824" s="1002"/>
      <c r="H5824" s="1003"/>
      <c r="I5824" s="995"/>
      <c r="J5824" s="996"/>
      <c r="K5824" s="997"/>
      <c r="L5824" s="99"/>
      <c r="M5824" s="100"/>
    </row>
    <row r="5825" spans="4:13" ht="25" thickBot="1">
      <c r="E5825" s="626" t="s">
        <v>434</v>
      </c>
      <c r="F5825" s="1004">
        <v>4.4999999999999998E-2</v>
      </c>
      <c r="G5825" s="1005"/>
      <c r="H5825" s="1006"/>
      <c r="I5825" s="995"/>
      <c r="J5825" s="996"/>
      <c r="K5825" s="997"/>
      <c r="L5825" s="99"/>
      <c r="M5825" s="100"/>
    </row>
    <row r="5826" spans="4:13" ht="25" thickBot="1">
      <c r="E5826" s="627" t="s">
        <v>435</v>
      </c>
      <c r="F5826" s="1007">
        <v>0.75</v>
      </c>
      <c r="G5826" s="1008"/>
      <c r="H5826" s="1009"/>
      <c r="I5826" s="995"/>
      <c r="J5826" s="996"/>
      <c r="K5826" s="997"/>
      <c r="L5826" s="647">
        <v>0.97916666666666663</v>
      </c>
      <c r="M5826" s="648">
        <v>0.875</v>
      </c>
    </row>
    <row r="5827" spans="4:13" ht="25" thickBot="1">
      <c r="E5827" s="628" t="s">
        <v>436</v>
      </c>
      <c r="F5827" s="200" t="s">
        <v>29</v>
      </c>
      <c r="G5827" s="200" t="s">
        <v>28</v>
      </c>
      <c r="H5827" s="201" t="s">
        <v>27</v>
      </c>
      <c r="I5827" s="995"/>
      <c r="J5827" s="996"/>
      <c r="K5827" s="997"/>
      <c r="L5827" s="99"/>
      <c r="M5827" s="100"/>
    </row>
    <row r="5828" spans="4:13" ht="23">
      <c r="E5828" s="629">
        <v>45735</v>
      </c>
      <c r="F5828" s="632">
        <v>4.4999999999999998E-2</v>
      </c>
      <c r="G5828" s="632">
        <v>4.4999999999999998E-2</v>
      </c>
      <c r="H5828" s="632">
        <v>4.4999999999999998E-2</v>
      </c>
      <c r="I5828" s="995"/>
      <c r="J5828" s="996"/>
      <c r="K5828" s="997"/>
      <c r="L5828" s="99"/>
      <c r="M5828" s="100"/>
    </row>
    <row r="5829" spans="4:13" ht="23">
      <c r="E5829" s="965">
        <v>45686</v>
      </c>
      <c r="F5829" s="632">
        <v>4.4999999999999998E-2</v>
      </c>
      <c r="G5829" s="632">
        <v>4.4999999999999998E-2</v>
      </c>
      <c r="H5829" s="632">
        <v>4.4999999999999998E-2</v>
      </c>
      <c r="I5829" s="995"/>
      <c r="J5829" s="996"/>
      <c r="K5829" s="997"/>
      <c r="L5829" s="99"/>
      <c r="M5829" s="100"/>
    </row>
    <row r="5830" spans="4:13" ht="23">
      <c r="E5830" s="965">
        <v>45644</v>
      </c>
      <c r="F5830" s="632">
        <v>4.4999999999999998E-2</v>
      </c>
      <c r="G5830" s="632">
        <v>4.4999999999999998E-2</v>
      </c>
      <c r="H5830" s="632">
        <v>4.7500000000000001E-2</v>
      </c>
      <c r="I5830" s="995"/>
      <c r="J5830" s="996"/>
      <c r="K5830" s="997"/>
      <c r="L5830" s="649"/>
      <c r="M5830" s="100"/>
    </row>
    <row r="5831" spans="4:13" ht="23">
      <c r="E5831" s="965">
        <v>45603</v>
      </c>
      <c r="F5831" s="632">
        <v>4.7500000000000001E-2</v>
      </c>
      <c r="G5831" s="632">
        <v>4.7500000000000001E-2</v>
      </c>
      <c r="H5831" s="632">
        <v>0.05</v>
      </c>
      <c r="I5831" s="995"/>
      <c r="J5831" s="996"/>
      <c r="K5831" s="997"/>
      <c r="L5831" s="99"/>
      <c r="M5831" s="100"/>
    </row>
    <row r="5832" spans="4:13" ht="23">
      <c r="E5832" s="629">
        <v>45553</v>
      </c>
      <c r="F5832" s="632">
        <v>0.05</v>
      </c>
      <c r="G5832" s="632">
        <v>5.2499999999999998E-2</v>
      </c>
      <c r="H5832" s="632">
        <v>5.5E-2</v>
      </c>
      <c r="I5832" s="995"/>
      <c r="J5832" s="996"/>
      <c r="K5832" s="997"/>
      <c r="L5832" s="99"/>
      <c r="M5832" s="100"/>
    </row>
    <row r="5833" spans="4:13" ht="24" thickBot="1">
      <c r="E5833" s="629">
        <v>45504</v>
      </c>
      <c r="F5833" s="632">
        <v>5.5E-2</v>
      </c>
      <c r="G5833" s="632">
        <v>5.5E-2</v>
      </c>
      <c r="H5833" s="632">
        <v>5.5E-2</v>
      </c>
      <c r="I5833" s="998"/>
      <c r="J5833" s="999"/>
      <c r="K5833" s="1000"/>
      <c r="L5833" s="102"/>
      <c r="M5833" s="103"/>
    </row>
    <row r="5834" spans="4:13" ht="25" thickBot="1">
      <c r="D5834">
        <v>1</v>
      </c>
      <c r="E5834" s="628" t="s">
        <v>30</v>
      </c>
      <c r="F5834" s="986" t="s">
        <v>2281</v>
      </c>
      <c r="G5834" s="987"/>
      <c r="H5834" s="988"/>
      <c r="I5834" s="989" t="s">
        <v>633</v>
      </c>
      <c r="J5834" s="990"/>
      <c r="K5834" s="991"/>
      <c r="L5834" s="658" t="s">
        <v>430</v>
      </c>
      <c r="M5834" s="659" t="s">
        <v>431</v>
      </c>
    </row>
    <row r="5835" spans="4:13" ht="24">
      <c r="E5835" s="625" t="s">
        <v>432</v>
      </c>
      <c r="F5835" s="992"/>
      <c r="G5835" s="993"/>
      <c r="H5835" s="994"/>
      <c r="I5835" s="995" t="s">
        <v>562</v>
      </c>
      <c r="J5835" s="996"/>
      <c r="K5835" s="997"/>
      <c r="L5835" s="99"/>
      <c r="M5835" s="100"/>
    </row>
    <row r="5836" spans="4:13" ht="24">
      <c r="E5836" s="626" t="s">
        <v>433</v>
      </c>
      <c r="F5836" s="1001"/>
      <c r="G5836" s="1002"/>
      <c r="H5836" s="1003"/>
      <c r="I5836" s="995"/>
      <c r="J5836" s="996"/>
      <c r="K5836" s="997"/>
      <c r="L5836" s="99"/>
      <c r="M5836" s="100"/>
    </row>
    <row r="5837" spans="4:13" ht="25" thickBot="1">
      <c r="E5837" s="626" t="s">
        <v>434</v>
      </c>
      <c r="F5837" s="1004">
        <v>0</v>
      </c>
      <c r="G5837" s="1005"/>
      <c r="H5837" s="1006"/>
      <c r="I5837" s="995"/>
      <c r="J5837" s="996"/>
      <c r="K5837" s="997"/>
      <c r="L5837" s="99"/>
      <c r="M5837" s="100"/>
    </row>
    <row r="5838" spans="4:13" ht="25" thickBot="1">
      <c r="E5838" s="627" t="s">
        <v>435</v>
      </c>
      <c r="F5838" s="1007" t="e">
        <v>#VALUE!</v>
      </c>
      <c r="G5838" s="1008"/>
      <c r="H5838" s="1009"/>
      <c r="I5838" s="995"/>
      <c r="J5838" s="996"/>
      <c r="K5838" s="997"/>
      <c r="L5838" s="647" t="s">
        <v>1449</v>
      </c>
      <c r="M5838" s="648" t="e">
        <v>#VALUE!</v>
      </c>
    </row>
    <row r="5839" spans="4:13" ht="25" thickBot="1">
      <c r="E5839" s="628" t="s">
        <v>436</v>
      </c>
      <c r="F5839" s="200" t="s">
        <v>29</v>
      </c>
      <c r="G5839" s="200" t="s">
        <v>28</v>
      </c>
      <c r="H5839" s="201" t="s">
        <v>27</v>
      </c>
      <c r="I5839" s="995"/>
      <c r="J5839" s="996"/>
      <c r="K5839" s="997"/>
      <c r="L5839" s="99"/>
      <c r="M5839" s="100"/>
    </row>
    <row r="5840" spans="4:13" ht="23">
      <c r="E5840" s="629">
        <v>45796</v>
      </c>
      <c r="F5840" s="632">
        <v>2.1999999999999999E-2</v>
      </c>
      <c r="G5840" s="632">
        <v>2.1999999999999999E-2</v>
      </c>
      <c r="H5840" s="632">
        <v>2.1999999999999999E-2</v>
      </c>
      <c r="I5840" s="995"/>
      <c r="J5840" s="996"/>
      <c r="K5840" s="997"/>
      <c r="L5840" s="99"/>
      <c r="M5840" s="100"/>
    </row>
    <row r="5841" spans="4:13" ht="23">
      <c r="E5841" s="629">
        <v>45779</v>
      </c>
      <c r="F5841" s="632">
        <v>2.1999999999999999E-2</v>
      </c>
      <c r="G5841" s="632">
        <v>2.1000000000000001E-2</v>
      </c>
      <c r="H5841" s="632">
        <v>2.1999999999999999E-2</v>
      </c>
      <c r="I5841" s="995"/>
      <c r="J5841" s="996"/>
      <c r="K5841" s="997"/>
      <c r="L5841" s="99"/>
      <c r="M5841" s="100"/>
    </row>
    <row r="5842" spans="4:13" ht="23">
      <c r="E5842" s="629">
        <v>45763</v>
      </c>
      <c r="F5842" s="632">
        <v>2.1999999999999999E-2</v>
      </c>
      <c r="G5842" s="632">
        <v>2.1999999999999999E-2</v>
      </c>
      <c r="H5842" s="632">
        <v>2.3E-2</v>
      </c>
      <c r="I5842" s="995"/>
      <c r="J5842" s="996"/>
      <c r="K5842" s="997"/>
      <c r="L5842" s="649"/>
      <c r="M5842" s="100"/>
    </row>
    <row r="5843" spans="4:13" ht="23">
      <c r="E5843" s="629">
        <v>45748</v>
      </c>
      <c r="F5843" s="632">
        <v>2.1999999999999999E-2</v>
      </c>
      <c r="G5843" s="632">
        <v>2.1999999999999999E-2</v>
      </c>
      <c r="H5843" s="632">
        <v>2.3E-2</v>
      </c>
      <c r="I5843" s="995"/>
      <c r="J5843" s="996"/>
      <c r="K5843" s="997"/>
      <c r="L5843" s="99"/>
      <c r="M5843" s="100"/>
    </row>
    <row r="5844" spans="4:13" ht="23">
      <c r="E5844" s="629">
        <v>45735</v>
      </c>
      <c r="F5844" s="632">
        <v>2.3E-2</v>
      </c>
      <c r="G5844" s="632">
        <v>2.4E-2</v>
      </c>
      <c r="H5844" s="632">
        <v>2.5000000000000001E-2</v>
      </c>
      <c r="I5844" s="995"/>
      <c r="J5844" s="996"/>
      <c r="K5844" s="997"/>
      <c r="L5844" s="99"/>
      <c r="M5844" s="100"/>
    </row>
    <row r="5845" spans="4:13" ht="24" thickBot="1">
      <c r="E5845" s="629">
        <v>45719</v>
      </c>
      <c r="F5845" s="632">
        <v>2.4E-2</v>
      </c>
      <c r="G5845" s="632">
        <v>2.3E-2</v>
      </c>
      <c r="H5845" s="632">
        <v>2.5000000000000001E-2</v>
      </c>
      <c r="I5845" s="998"/>
      <c r="J5845" s="999"/>
      <c r="K5845" s="1000"/>
      <c r="L5845" s="102"/>
      <c r="M5845" s="103"/>
    </row>
    <row r="5846" spans="4:13" ht="25" thickBot="1">
      <c r="D5846">
        <v>1</v>
      </c>
      <c r="E5846" s="628" t="s">
        <v>30</v>
      </c>
      <c r="F5846" s="986" t="s">
        <v>2282</v>
      </c>
      <c r="G5846" s="987"/>
      <c r="H5846" s="988"/>
      <c r="I5846" s="989" t="s">
        <v>633</v>
      </c>
      <c r="J5846" s="990"/>
      <c r="K5846" s="991"/>
      <c r="L5846" s="658" t="s">
        <v>430</v>
      </c>
      <c r="M5846" s="659" t="s">
        <v>431</v>
      </c>
    </row>
    <row r="5847" spans="4:13" ht="24">
      <c r="E5847" s="625" t="s">
        <v>432</v>
      </c>
      <c r="F5847" s="992"/>
      <c r="G5847" s="993"/>
      <c r="H5847" s="994"/>
      <c r="I5847" s="995" t="s">
        <v>562</v>
      </c>
      <c r="J5847" s="996"/>
      <c r="K5847" s="997"/>
      <c r="L5847" s="99"/>
      <c r="M5847" s="100"/>
    </row>
    <row r="5848" spans="4:13" ht="24">
      <c r="E5848" s="626" t="s">
        <v>433</v>
      </c>
      <c r="F5848" s="1001"/>
      <c r="G5848" s="1002"/>
      <c r="H5848" s="1003"/>
      <c r="I5848" s="995"/>
      <c r="J5848" s="996"/>
      <c r="K5848" s="997"/>
      <c r="L5848" s="99"/>
      <c r="M5848" s="100"/>
    </row>
    <row r="5849" spans="4:13" ht="25" thickBot="1">
      <c r="E5849" s="626" t="s">
        <v>434</v>
      </c>
      <c r="F5849" s="1004">
        <v>0</v>
      </c>
      <c r="G5849" s="1005"/>
      <c r="H5849" s="1006"/>
      <c r="I5849" s="995"/>
      <c r="J5849" s="996"/>
      <c r="K5849" s="997"/>
      <c r="L5849" s="99"/>
      <c r="M5849" s="100"/>
    </row>
    <row r="5850" spans="4:13" ht="25" thickBot="1">
      <c r="E5850" s="627" t="s">
        <v>435</v>
      </c>
      <c r="F5850" s="1007" t="e">
        <v>#VALUE!</v>
      </c>
      <c r="G5850" s="1008"/>
      <c r="H5850" s="1009"/>
      <c r="I5850" s="995"/>
      <c r="J5850" s="996"/>
      <c r="K5850" s="997"/>
      <c r="L5850" s="647" t="s">
        <v>1449</v>
      </c>
      <c r="M5850" s="648" t="e">
        <v>#VALUE!</v>
      </c>
    </row>
    <row r="5851" spans="4:13" ht="25" thickBot="1">
      <c r="E5851" s="628" t="s">
        <v>436</v>
      </c>
      <c r="F5851" s="200" t="s">
        <v>29</v>
      </c>
      <c r="G5851" s="200" t="s">
        <v>28</v>
      </c>
      <c r="H5851" s="201" t="s">
        <v>27</v>
      </c>
      <c r="I5851" s="995"/>
      <c r="J5851" s="996"/>
      <c r="K5851" s="997"/>
      <c r="L5851" s="99"/>
      <c r="M5851" s="100"/>
    </row>
    <row r="5852" spans="4:13" ht="24">
      <c r="E5852" s="629">
        <v>45776</v>
      </c>
      <c r="F5852" s="632" t="s">
        <v>2226</v>
      </c>
      <c r="G5852" s="632" t="s">
        <v>2227</v>
      </c>
      <c r="H5852" s="632" t="s">
        <v>2228</v>
      </c>
      <c r="I5852" s="995"/>
      <c r="J5852" s="996"/>
      <c r="K5852" s="997"/>
      <c r="L5852" s="99"/>
      <c r="M5852" s="100"/>
    </row>
    <row r="5853" spans="4:13" ht="24">
      <c r="E5853" s="629">
        <v>45748</v>
      </c>
      <c r="F5853" s="632" t="s">
        <v>2056</v>
      </c>
      <c r="G5853" s="632" t="s">
        <v>2057</v>
      </c>
      <c r="H5853" s="632" t="s">
        <v>2058</v>
      </c>
      <c r="I5853" s="995"/>
      <c r="J5853" s="996"/>
      <c r="K5853" s="997"/>
      <c r="L5853" s="99"/>
      <c r="M5853" s="100"/>
    </row>
    <row r="5854" spans="4:13" ht="24">
      <c r="E5854" s="629">
        <v>45727</v>
      </c>
      <c r="F5854" s="632" t="s">
        <v>1798</v>
      </c>
      <c r="G5854" s="632" t="s">
        <v>1799</v>
      </c>
      <c r="H5854" s="632" t="s">
        <v>1800</v>
      </c>
      <c r="I5854" s="995"/>
      <c r="J5854" s="996"/>
      <c r="K5854" s="997"/>
      <c r="L5854" s="649"/>
      <c r="M5854" s="100"/>
    </row>
    <row r="5855" spans="4:13" ht="24">
      <c r="E5855" s="629">
        <v>45692</v>
      </c>
      <c r="F5855" s="632" t="s">
        <v>1804</v>
      </c>
      <c r="G5855" s="632" t="s">
        <v>1805</v>
      </c>
      <c r="H5855" s="632" t="s">
        <v>1806</v>
      </c>
      <c r="I5855" s="995"/>
      <c r="J5855" s="996"/>
      <c r="K5855" s="997"/>
      <c r="L5855" s="99"/>
      <c r="M5855" s="100"/>
    </row>
    <row r="5856" spans="4:13" ht="24">
      <c r="E5856" s="629">
        <v>45664</v>
      </c>
      <c r="F5856" s="632" t="s">
        <v>1811</v>
      </c>
      <c r="G5856" s="632" t="s">
        <v>1812</v>
      </c>
      <c r="H5856" s="632" t="s">
        <v>1813</v>
      </c>
      <c r="I5856" s="995"/>
      <c r="J5856" s="996"/>
      <c r="K5856" s="997"/>
      <c r="L5856" s="99"/>
      <c r="M5856" s="100"/>
    </row>
    <row r="5857" spans="4:13" ht="25" thickBot="1">
      <c r="E5857" s="629">
        <v>45629</v>
      </c>
      <c r="F5857" s="632" t="s">
        <v>1385</v>
      </c>
      <c r="G5857" s="632" t="s">
        <v>1386</v>
      </c>
      <c r="H5857" s="632" t="s">
        <v>1387</v>
      </c>
      <c r="I5857" s="998"/>
      <c r="J5857" s="999"/>
      <c r="K5857" s="1000"/>
      <c r="L5857" s="102"/>
      <c r="M5857" s="103"/>
    </row>
    <row r="5858" spans="4:13" ht="25" thickBot="1">
      <c r="D5858">
        <v>1</v>
      </c>
      <c r="E5858" s="628" t="s">
        <v>30</v>
      </c>
      <c r="F5858" s="986" t="s">
        <v>1509</v>
      </c>
      <c r="G5858" s="987"/>
      <c r="H5858" s="988"/>
      <c r="I5858" s="989" t="s">
        <v>633</v>
      </c>
      <c r="J5858" s="990"/>
      <c r="K5858" s="991"/>
      <c r="L5858" s="658" t="s">
        <v>430</v>
      </c>
      <c r="M5858" s="659" t="s">
        <v>431</v>
      </c>
    </row>
    <row r="5859" spans="4:13" ht="24">
      <c r="E5859" s="625" t="s">
        <v>432</v>
      </c>
      <c r="F5859" s="992"/>
      <c r="G5859" s="993"/>
      <c r="H5859" s="994"/>
      <c r="I5859" s="995" t="s">
        <v>2283</v>
      </c>
      <c r="J5859" s="996"/>
      <c r="K5859" s="997"/>
      <c r="L5859" s="99"/>
      <c r="M5859" s="100"/>
    </row>
    <row r="5860" spans="4:13" ht="24">
      <c r="E5860" s="626" t="s">
        <v>433</v>
      </c>
      <c r="F5860" s="1001"/>
      <c r="G5860" s="1002"/>
      <c r="H5860" s="1003"/>
      <c r="I5860" s="995"/>
      <c r="J5860" s="996"/>
      <c r="K5860" s="997"/>
      <c r="L5860" s="99"/>
      <c r="M5860" s="100"/>
    </row>
    <row r="5861" spans="4:13" ht="25" thickBot="1">
      <c r="E5861" s="626" t="s">
        <v>434</v>
      </c>
      <c r="F5861" s="1004"/>
      <c r="G5861" s="1005"/>
      <c r="H5861" s="1006"/>
      <c r="I5861" s="995"/>
      <c r="J5861" s="996"/>
      <c r="K5861" s="997"/>
      <c r="L5861" s="99"/>
      <c r="M5861" s="100"/>
    </row>
    <row r="5862" spans="4:13" ht="25" thickBot="1">
      <c r="E5862" s="627" t="s">
        <v>435</v>
      </c>
      <c r="F5862" s="1007">
        <v>0.77083333333333337</v>
      </c>
      <c r="G5862" s="1008"/>
      <c r="H5862" s="1009"/>
      <c r="I5862" s="995"/>
      <c r="J5862" s="996"/>
      <c r="K5862" s="997"/>
      <c r="L5862" s="647">
        <v>0</v>
      </c>
      <c r="M5862" s="648">
        <v>0.89583333333333337</v>
      </c>
    </row>
    <row r="5863" spans="4:13" ht="25" thickBot="1">
      <c r="E5863" s="628" t="s">
        <v>436</v>
      </c>
      <c r="F5863" s="200" t="s">
        <v>29</v>
      </c>
      <c r="G5863" s="200" t="s">
        <v>28</v>
      </c>
      <c r="H5863" s="201" t="s">
        <v>27</v>
      </c>
      <c r="I5863" s="995"/>
      <c r="J5863" s="996"/>
      <c r="K5863" s="997"/>
      <c r="L5863" s="99"/>
      <c r="M5863" s="100"/>
    </row>
    <row r="5864" spans="4:13" ht="23">
      <c r="E5864" s="965">
        <v>45784</v>
      </c>
      <c r="F5864" s="632"/>
      <c r="G5864" s="632"/>
      <c r="H5864" s="632"/>
      <c r="I5864" s="995"/>
      <c r="J5864" s="996"/>
      <c r="K5864" s="997"/>
      <c r="L5864" s="99"/>
      <c r="M5864" s="100"/>
    </row>
    <row r="5865" spans="4:13" ht="23">
      <c r="E5865" s="965">
        <v>45735</v>
      </c>
      <c r="F5865" s="632"/>
      <c r="G5865" s="632"/>
      <c r="H5865" s="632"/>
      <c r="I5865" s="995"/>
      <c r="J5865" s="996"/>
      <c r="K5865" s="997"/>
      <c r="L5865" s="99"/>
      <c r="M5865" s="100"/>
    </row>
    <row r="5866" spans="4:13" ht="23">
      <c r="E5866" s="965">
        <v>45686</v>
      </c>
      <c r="F5866" s="632"/>
      <c r="G5866" s="632"/>
      <c r="H5866" s="632"/>
      <c r="I5866" s="995"/>
      <c r="J5866" s="996"/>
      <c r="K5866" s="997"/>
      <c r="L5866" s="649"/>
      <c r="M5866" s="100"/>
    </row>
    <row r="5867" spans="4:13" ht="23">
      <c r="E5867" s="965">
        <v>45644</v>
      </c>
      <c r="F5867" s="632"/>
      <c r="G5867" s="632"/>
      <c r="H5867" s="632"/>
      <c r="I5867" s="995"/>
      <c r="J5867" s="996"/>
      <c r="K5867" s="997"/>
      <c r="L5867" s="99"/>
      <c r="M5867" s="100"/>
    </row>
    <row r="5868" spans="4:13" ht="23">
      <c r="E5868" s="965">
        <v>45603</v>
      </c>
      <c r="F5868" s="632"/>
      <c r="G5868" s="632"/>
      <c r="H5868" s="632"/>
      <c r="I5868" s="995"/>
      <c r="J5868" s="996"/>
      <c r="K5868" s="997"/>
      <c r="L5868" s="99"/>
      <c r="M5868" s="100"/>
    </row>
    <row r="5869" spans="4:13" ht="24" thickBot="1">
      <c r="E5869" s="965">
        <v>45553</v>
      </c>
      <c r="F5869" s="632"/>
      <c r="G5869" s="632"/>
      <c r="H5869" s="632"/>
      <c r="I5869" s="998"/>
      <c r="J5869" s="999"/>
      <c r="K5869" s="1000"/>
      <c r="L5869" s="102"/>
      <c r="M5869" s="103"/>
    </row>
    <row r="5870" spans="4:13" ht="25" thickBot="1">
      <c r="D5870">
        <v>1</v>
      </c>
      <c r="E5870" s="628" t="s">
        <v>30</v>
      </c>
      <c r="F5870" s="986" t="s">
        <v>2284</v>
      </c>
      <c r="G5870" s="987"/>
      <c r="H5870" s="988"/>
      <c r="I5870" s="989" t="s">
        <v>633</v>
      </c>
      <c r="J5870" s="990"/>
      <c r="K5870" s="991"/>
      <c r="L5870" s="658" t="s">
        <v>430</v>
      </c>
      <c r="M5870" s="659" t="s">
        <v>431</v>
      </c>
    </row>
    <row r="5871" spans="4:13" ht="24">
      <c r="E5871" s="625" t="s">
        <v>432</v>
      </c>
      <c r="F5871" s="1011"/>
      <c r="G5871" s="1012"/>
      <c r="H5871" s="1013"/>
      <c r="I5871" s="1014" t="s">
        <v>2283</v>
      </c>
      <c r="J5871" s="1015"/>
      <c r="K5871" s="1016"/>
      <c r="L5871" s="99"/>
      <c r="M5871" s="100"/>
    </row>
    <row r="5872" spans="4:13" ht="24">
      <c r="E5872" s="626" t="s">
        <v>433</v>
      </c>
      <c r="F5872" s="1001"/>
      <c r="G5872" s="1017"/>
      <c r="H5872" s="1018"/>
      <c r="I5872" s="995"/>
      <c r="J5872" s="996"/>
      <c r="K5872" s="997"/>
      <c r="L5872" s="99"/>
      <c r="M5872" s="100"/>
    </row>
    <row r="5873" spans="4:13" ht="25" thickBot="1">
      <c r="E5873" s="626" t="s">
        <v>434</v>
      </c>
      <c r="F5873" s="1004">
        <v>2.5000000000000001E-3</v>
      </c>
      <c r="G5873" s="1019"/>
      <c r="H5873" s="1020"/>
      <c r="I5873" s="995"/>
      <c r="J5873" s="996"/>
      <c r="K5873" s="997"/>
      <c r="L5873" s="99"/>
      <c r="M5873" s="100"/>
    </row>
    <row r="5874" spans="4:13" ht="25" thickBot="1">
      <c r="E5874" s="627" t="s">
        <v>435</v>
      </c>
      <c r="F5874" s="1007">
        <v>0.3125</v>
      </c>
      <c r="G5874" s="1008"/>
      <c r="H5874" s="1009"/>
      <c r="I5874" s="995"/>
      <c r="J5874" s="996"/>
      <c r="K5874" s="997"/>
      <c r="L5874" s="647">
        <v>0.54166666666666663</v>
      </c>
      <c r="M5874" s="648">
        <v>0.43749999999999994</v>
      </c>
    </row>
    <row r="5875" spans="4:13" ht="25" thickBot="1">
      <c r="E5875" s="628" t="s">
        <v>436</v>
      </c>
      <c r="F5875" s="200" t="s">
        <v>29</v>
      </c>
      <c r="G5875" s="200" t="s">
        <v>28</v>
      </c>
      <c r="H5875" s="201" t="s">
        <v>27</v>
      </c>
      <c r="I5875" s="995"/>
      <c r="J5875" s="996"/>
      <c r="K5875" s="997"/>
      <c r="L5875" s="99"/>
      <c r="M5875" s="100"/>
    </row>
    <row r="5876" spans="4:13" ht="23">
      <c r="E5876" s="629">
        <v>45638</v>
      </c>
      <c r="F5876" s="632">
        <v>5.0000000000000001E-3</v>
      </c>
      <c r="G5876" s="632">
        <v>7.4999999999999997E-3</v>
      </c>
      <c r="H5876" s="632">
        <v>0.01</v>
      </c>
      <c r="I5876" s="995"/>
      <c r="J5876" s="996"/>
      <c r="K5876" s="997"/>
      <c r="L5876" s="99"/>
      <c r="M5876" s="100"/>
    </row>
    <row r="5877" spans="4:13" ht="23">
      <c r="E5877" s="629">
        <v>45561</v>
      </c>
      <c r="F5877" s="632">
        <v>0.01</v>
      </c>
      <c r="G5877" s="632">
        <v>0.01</v>
      </c>
      <c r="H5877" s="632">
        <v>1.2500000000000001E-2</v>
      </c>
      <c r="I5877" s="995"/>
      <c r="J5877" s="996"/>
      <c r="K5877" s="997"/>
      <c r="L5877" s="99"/>
      <c r="M5877" s="100"/>
    </row>
    <row r="5878" spans="4:13" ht="23">
      <c r="E5878" s="629">
        <v>45463</v>
      </c>
      <c r="F5878" s="632">
        <v>1.2500000000000001E-2</v>
      </c>
      <c r="G5878" s="632">
        <v>1.4999999999999999E-2</v>
      </c>
      <c r="H5878" s="632">
        <v>1.4999999999999999E-2</v>
      </c>
      <c r="I5878" s="995"/>
      <c r="J5878" s="996"/>
      <c r="K5878" s="997"/>
      <c r="L5878" s="649"/>
      <c r="M5878" s="100"/>
    </row>
    <row r="5879" spans="4:13" ht="23">
      <c r="E5879" s="629">
        <v>45372</v>
      </c>
      <c r="F5879" s="632">
        <v>1.4999999999999999E-2</v>
      </c>
      <c r="G5879" s="632">
        <v>1.7500000000000002E-2</v>
      </c>
      <c r="H5879" s="632">
        <v>1.7500000000000002E-2</v>
      </c>
      <c r="I5879" s="995"/>
      <c r="J5879" s="996"/>
      <c r="K5879" s="997"/>
      <c r="L5879" s="99"/>
      <c r="M5879" s="100"/>
    </row>
    <row r="5880" spans="4:13" ht="23">
      <c r="E5880" s="629">
        <v>45274</v>
      </c>
      <c r="F5880" s="632">
        <v>1.7500000000000002E-2</v>
      </c>
      <c r="G5880" s="632">
        <v>1.7500000000000002E-2</v>
      </c>
      <c r="H5880" s="632">
        <v>1.7500000000000002E-2</v>
      </c>
      <c r="I5880" s="995"/>
      <c r="J5880" s="996"/>
      <c r="K5880" s="997"/>
      <c r="L5880" s="99"/>
      <c r="M5880" s="100"/>
    </row>
    <row r="5881" spans="4:13" ht="24" thickBot="1">
      <c r="E5881" s="629">
        <v>45190</v>
      </c>
      <c r="F5881" s="632">
        <v>1.7500000000000002E-2</v>
      </c>
      <c r="G5881" s="632">
        <v>0.02</v>
      </c>
      <c r="H5881" s="632">
        <v>1.7500000000000002E-2</v>
      </c>
      <c r="I5881" s="998"/>
      <c r="J5881" s="999"/>
      <c r="K5881" s="1000"/>
      <c r="L5881" s="102"/>
      <c r="M5881" s="103"/>
    </row>
    <row r="5882" spans="4:13" ht="25" thickBot="1">
      <c r="D5882">
        <v>1</v>
      </c>
      <c r="E5882" s="628" t="s">
        <v>30</v>
      </c>
      <c r="F5882" s="986" t="s">
        <v>2285</v>
      </c>
      <c r="G5882" s="987"/>
      <c r="H5882" s="988"/>
      <c r="I5882" s="989" t="s">
        <v>633</v>
      </c>
      <c r="J5882" s="990"/>
      <c r="K5882" s="991"/>
      <c r="L5882" s="658" t="s">
        <v>430</v>
      </c>
      <c r="M5882" s="659" t="s">
        <v>431</v>
      </c>
    </row>
    <row r="5883" spans="4:13" ht="24">
      <c r="E5883" s="625" t="s">
        <v>432</v>
      </c>
      <c r="F5883" s="992"/>
      <c r="G5883" s="993"/>
      <c r="H5883" s="994"/>
      <c r="I5883" s="995" t="s">
        <v>2286</v>
      </c>
      <c r="J5883" s="996"/>
      <c r="K5883" s="997"/>
      <c r="L5883" s="99"/>
      <c r="M5883" s="100"/>
    </row>
    <row r="5884" spans="4:13" ht="24">
      <c r="E5884" s="626" t="s">
        <v>433</v>
      </c>
      <c r="F5884" s="1001">
        <v>4.2500000000000003E-2</v>
      </c>
      <c r="G5884" s="1002"/>
      <c r="H5884" s="1003"/>
      <c r="I5884" s="995"/>
      <c r="J5884" s="996"/>
      <c r="K5884" s="997"/>
      <c r="L5884" s="99"/>
      <c r="M5884" s="100"/>
    </row>
    <row r="5885" spans="4:13" ht="25" thickBot="1">
      <c r="E5885" s="626" t="s">
        <v>434</v>
      </c>
      <c r="F5885" s="1001">
        <v>4.2500000000000003E-2</v>
      </c>
      <c r="G5885" s="1002"/>
      <c r="H5885" s="1003"/>
      <c r="I5885" s="995"/>
      <c r="J5885" s="996"/>
      <c r="K5885" s="997"/>
      <c r="L5885" s="99"/>
      <c r="M5885" s="100"/>
    </row>
    <row r="5886" spans="4:13" ht="25" thickBot="1">
      <c r="E5886" s="627" t="s">
        <v>435</v>
      </c>
      <c r="F5886" s="1007">
        <v>0.45833333333333337</v>
      </c>
      <c r="G5886" s="1008"/>
      <c r="H5886" s="1009"/>
      <c r="I5886" s="995"/>
      <c r="J5886" s="996"/>
      <c r="K5886" s="997"/>
      <c r="L5886" s="647">
        <v>0.6875</v>
      </c>
      <c r="M5886" s="648">
        <v>0.58333333333333337</v>
      </c>
    </row>
    <row r="5887" spans="4:13" ht="25" thickBot="1">
      <c r="E5887" s="628" t="s">
        <v>436</v>
      </c>
      <c r="F5887" s="200" t="s">
        <v>29</v>
      </c>
      <c r="G5887" s="200" t="s">
        <v>28</v>
      </c>
      <c r="H5887" s="201" t="s">
        <v>27</v>
      </c>
      <c r="I5887" s="995"/>
      <c r="J5887" s="996"/>
      <c r="K5887" s="997"/>
      <c r="L5887" s="99"/>
      <c r="M5887" s="100"/>
    </row>
    <row r="5888" spans="4:13" ht="23">
      <c r="E5888" s="629">
        <v>45785</v>
      </c>
      <c r="F5888" s="632">
        <v>4.2500000000000003E-2</v>
      </c>
      <c r="G5888" s="632">
        <v>4.2500000000000003E-2</v>
      </c>
      <c r="H5888" s="632">
        <v>4.4999999999999998E-2</v>
      </c>
      <c r="I5888" s="995"/>
      <c r="J5888" s="996"/>
      <c r="K5888" s="997"/>
      <c r="L5888" s="99"/>
      <c r="M5888" s="100"/>
    </row>
    <row r="5889" spans="4:13" ht="23">
      <c r="E5889" s="629">
        <v>45736</v>
      </c>
      <c r="F5889" s="632">
        <v>4.4999999999999998E-2</v>
      </c>
      <c r="G5889" s="632">
        <v>4.4999999999999998E-2</v>
      </c>
      <c r="H5889" s="632">
        <v>4.4999999999999998E-2</v>
      </c>
      <c r="I5889" s="995"/>
      <c r="J5889" s="996"/>
      <c r="K5889" s="997"/>
      <c r="L5889" s="99"/>
      <c r="M5889" s="100"/>
    </row>
    <row r="5890" spans="4:13" ht="23">
      <c r="E5890" s="629">
        <v>45694</v>
      </c>
      <c r="F5890" s="632">
        <v>4.4999999999999998E-2</v>
      </c>
      <c r="G5890" s="632">
        <v>4.4999999999999998E-2</v>
      </c>
      <c r="H5890" s="632">
        <v>4.7500000000000001E-2</v>
      </c>
      <c r="I5890" s="995"/>
      <c r="J5890" s="996"/>
      <c r="K5890" s="997"/>
      <c r="L5890" s="649"/>
      <c r="M5890" s="100"/>
    </row>
    <row r="5891" spans="4:13" ht="23">
      <c r="E5891" s="629">
        <v>45645</v>
      </c>
      <c r="F5891" s="632">
        <v>4.7500000000000001E-2</v>
      </c>
      <c r="G5891" s="632">
        <v>4.7500000000000001E-2</v>
      </c>
      <c r="H5891" s="632">
        <v>4.7500000000000001E-2</v>
      </c>
      <c r="I5891" s="995"/>
      <c r="J5891" s="996"/>
      <c r="K5891" s="997"/>
      <c r="L5891" s="99"/>
      <c r="M5891" s="100"/>
    </row>
    <row r="5892" spans="4:13" ht="23">
      <c r="E5892" s="629">
        <v>45603</v>
      </c>
      <c r="F5892" s="632">
        <v>4.7500000000000001E-2</v>
      </c>
      <c r="G5892" s="632">
        <v>4.7500000000000001E-2</v>
      </c>
      <c r="H5892" s="632">
        <v>0.05</v>
      </c>
      <c r="I5892" s="995"/>
      <c r="J5892" s="996"/>
      <c r="K5892" s="997"/>
      <c r="L5892" s="99"/>
      <c r="M5892" s="100"/>
    </row>
    <row r="5893" spans="4:13" ht="24" thickBot="1">
      <c r="E5893" s="629">
        <v>45554</v>
      </c>
      <c r="F5893" s="632">
        <v>0.05</v>
      </c>
      <c r="G5893" s="632">
        <v>0.05</v>
      </c>
      <c r="H5893" s="632">
        <v>0.05</v>
      </c>
      <c r="I5893" s="998"/>
      <c r="J5893" s="999"/>
      <c r="K5893" s="1000"/>
      <c r="L5893" s="102"/>
      <c r="M5893" s="103"/>
    </row>
    <row r="5894" spans="4:13" ht="25" thickBot="1">
      <c r="D5894">
        <v>1</v>
      </c>
      <c r="E5894" s="628" t="s">
        <v>30</v>
      </c>
      <c r="F5894" s="986" t="s">
        <v>1421</v>
      </c>
      <c r="G5894" s="987"/>
      <c r="H5894" s="988"/>
      <c r="I5894" s="989" t="s">
        <v>633</v>
      </c>
      <c r="J5894" s="990"/>
      <c r="K5894" s="991"/>
      <c r="L5894" s="658" t="s">
        <v>430</v>
      </c>
      <c r="M5894" s="659" t="s">
        <v>431</v>
      </c>
    </row>
    <row r="5895" spans="4:13" ht="24">
      <c r="E5895" s="625" t="s">
        <v>432</v>
      </c>
      <c r="F5895" s="992"/>
      <c r="G5895" s="993"/>
      <c r="H5895" s="994"/>
      <c r="I5895" s="995" t="s">
        <v>1460</v>
      </c>
      <c r="J5895" s="996"/>
      <c r="K5895" s="997"/>
      <c r="L5895" s="99"/>
      <c r="M5895" s="100"/>
    </row>
    <row r="5896" spans="4:13" ht="24">
      <c r="E5896" s="626" t="s">
        <v>433</v>
      </c>
      <c r="F5896" s="1001"/>
      <c r="G5896" s="1002"/>
      <c r="H5896" s="1003"/>
      <c r="I5896" s="995"/>
      <c r="J5896" s="996"/>
      <c r="K5896" s="997"/>
      <c r="L5896" s="99"/>
      <c r="M5896" s="100"/>
    </row>
    <row r="5897" spans="4:13" ht="25" thickBot="1">
      <c r="E5897" s="626" t="s">
        <v>434</v>
      </c>
      <c r="F5897" s="1004" t="s">
        <v>2273</v>
      </c>
      <c r="G5897" s="1005"/>
      <c r="H5897" s="1006"/>
      <c r="I5897" s="995"/>
      <c r="J5897" s="996"/>
      <c r="K5897" s="997"/>
      <c r="L5897" s="99"/>
      <c r="M5897" s="100"/>
    </row>
    <row r="5898" spans="4:13" ht="25" thickBot="1">
      <c r="E5898" s="627" t="s">
        <v>435</v>
      </c>
      <c r="F5898" s="1007">
        <v>0.52083333333333337</v>
      </c>
      <c r="G5898" s="1008"/>
      <c r="H5898" s="1009"/>
      <c r="I5898" s="995"/>
      <c r="J5898" s="996"/>
      <c r="K5898" s="997"/>
      <c r="L5898" s="647">
        <v>0.75</v>
      </c>
      <c r="M5898" s="648">
        <v>0.64583333333333337</v>
      </c>
    </row>
    <row r="5899" spans="4:13" ht="25" thickBot="1">
      <c r="E5899" s="628" t="s">
        <v>436</v>
      </c>
      <c r="F5899" s="200" t="s">
        <v>29</v>
      </c>
      <c r="G5899" s="200" t="s">
        <v>28</v>
      </c>
      <c r="H5899" s="201" t="s">
        <v>27</v>
      </c>
      <c r="I5899" s="995"/>
      <c r="J5899" s="996"/>
      <c r="K5899" s="997"/>
      <c r="L5899" s="99"/>
      <c r="M5899" s="100"/>
    </row>
    <row r="5900" spans="4:13" ht="24">
      <c r="E5900" s="629">
        <v>45820</v>
      </c>
      <c r="F5900" s="632" t="s">
        <v>2295</v>
      </c>
      <c r="G5900" s="632" t="s">
        <v>980</v>
      </c>
      <c r="H5900" s="632" t="s">
        <v>2295</v>
      </c>
      <c r="I5900" s="995"/>
      <c r="J5900" s="996"/>
      <c r="K5900" s="997"/>
      <c r="L5900" s="99"/>
      <c r="M5900" s="100"/>
    </row>
    <row r="5901" spans="4:13" ht="24">
      <c r="E5901" s="629">
        <v>45813</v>
      </c>
      <c r="F5901" s="632" t="s">
        <v>2293</v>
      </c>
      <c r="G5901" s="632" t="s">
        <v>2294</v>
      </c>
      <c r="H5901" s="632" t="s">
        <v>2296</v>
      </c>
      <c r="I5901" s="995"/>
      <c r="J5901" s="996"/>
      <c r="K5901" s="997"/>
      <c r="L5901" s="99"/>
      <c r="M5901" s="100"/>
    </row>
    <row r="5902" spans="4:13" ht="24">
      <c r="E5902" s="629">
        <v>45806</v>
      </c>
      <c r="F5902" s="632" t="s">
        <v>2240</v>
      </c>
      <c r="G5902" s="632" t="s">
        <v>976</v>
      </c>
      <c r="H5902" s="632" t="s">
        <v>1703</v>
      </c>
      <c r="I5902" s="995"/>
      <c r="J5902" s="996"/>
      <c r="K5902" s="997"/>
      <c r="L5902" s="649"/>
      <c r="M5902" s="100"/>
    </row>
    <row r="5903" spans="4:13" ht="24">
      <c r="E5903" s="629">
        <v>45799</v>
      </c>
      <c r="F5903" s="632" t="s">
        <v>978</v>
      </c>
      <c r="G5903" s="632" t="s">
        <v>2241</v>
      </c>
      <c r="H5903" s="632" t="s">
        <v>976</v>
      </c>
      <c r="I5903" s="995"/>
      <c r="J5903" s="996"/>
      <c r="K5903" s="997"/>
      <c r="L5903" s="99"/>
      <c r="M5903" s="100"/>
    </row>
    <row r="5904" spans="4:13" ht="24">
      <c r="E5904" s="629">
        <v>45792</v>
      </c>
      <c r="F5904" s="632" t="s">
        <v>976</v>
      </c>
      <c r="G5904" s="632" t="s">
        <v>976</v>
      </c>
      <c r="H5904" s="632" t="s">
        <v>976</v>
      </c>
      <c r="I5904" s="995"/>
      <c r="J5904" s="996"/>
      <c r="K5904" s="997"/>
      <c r="L5904" s="99"/>
      <c r="M5904" s="100"/>
    </row>
    <row r="5905" spans="4:13" ht="25" thickBot="1">
      <c r="E5905" s="629">
        <v>45785</v>
      </c>
      <c r="F5905" s="632" t="s">
        <v>977</v>
      </c>
      <c r="G5905" s="632" t="s">
        <v>984</v>
      </c>
      <c r="H5905" s="632" t="s">
        <v>981</v>
      </c>
      <c r="I5905" s="998"/>
      <c r="J5905" s="999"/>
      <c r="K5905" s="1000"/>
      <c r="L5905" s="102"/>
      <c r="M5905" s="103"/>
    </row>
    <row r="5906" spans="4:13" ht="25" thickBot="1">
      <c r="D5906">
        <v>1</v>
      </c>
      <c r="E5906" s="628" t="s">
        <v>30</v>
      </c>
      <c r="F5906" s="986" t="s">
        <v>2287</v>
      </c>
      <c r="G5906" s="987"/>
      <c r="H5906" s="988"/>
      <c r="I5906" s="989" t="s">
        <v>633</v>
      </c>
      <c r="J5906" s="990"/>
      <c r="K5906" s="991"/>
      <c r="L5906" s="658" t="s">
        <v>430</v>
      </c>
      <c r="M5906" s="659" t="s">
        <v>431</v>
      </c>
    </row>
    <row r="5907" spans="4:13" ht="24">
      <c r="E5907" s="625" t="s">
        <v>432</v>
      </c>
      <c r="F5907" s="992"/>
      <c r="G5907" s="993"/>
      <c r="H5907" s="994"/>
      <c r="I5907" s="995" t="s">
        <v>1460</v>
      </c>
      <c r="J5907" s="996"/>
      <c r="K5907" s="997"/>
      <c r="L5907" s="99"/>
      <c r="M5907" s="100"/>
    </row>
    <row r="5908" spans="4:13" ht="24">
      <c r="E5908" s="626" t="s">
        <v>433</v>
      </c>
      <c r="F5908" s="1010">
        <v>4.2500000000000003E-2</v>
      </c>
      <c r="G5908" s="1002"/>
      <c r="H5908" s="1003"/>
      <c r="I5908" s="995"/>
      <c r="J5908" s="996"/>
      <c r="K5908" s="997"/>
      <c r="L5908" s="99"/>
      <c r="M5908" s="100"/>
    </row>
    <row r="5909" spans="4:13" ht="25" thickBot="1">
      <c r="E5909" s="626" t="s">
        <v>434</v>
      </c>
      <c r="F5909" s="1010">
        <v>0</v>
      </c>
      <c r="G5909" s="1002"/>
      <c r="H5909" s="1003"/>
      <c r="I5909" s="995"/>
      <c r="J5909" s="996"/>
      <c r="K5909" s="997"/>
      <c r="L5909" s="99"/>
      <c r="M5909" s="100"/>
    </row>
    <row r="5910" spans="4:13" ht="25" thickBot="1">
      <c r="E5910" s="627" t="s">
        <v>435</v>
      </c>
      <c r="F5910" s="1007" t="e">
        <v>#VALUE!</v>
      </c>
      <c r="G5910" s="1008"/>
      <c r="H5910" s="1009"/>
      <c r="I5910" s="995"/>
      <c r="J5910" s="996"/>
      <c r="K5910" s="997"/>
      <c r="L5910" s="647" t="s">
        <v>1449</v>
      </c>
      <c r="M5910" s="648" t="e">
        <v>#VALUE!</v>
      </c>
    </row>
    <row r="5911" spans="4:13" ht="25" thickBot="1">
      <c r="E5911" s="628" t="s">
        <v>436</v>
      </c>
      <c r="F5911" s="200" t="s">
        <v>29</v>
      </c>
      <c r="G5911" s="200" t="s">
        <v>28</v>
      </c>
      <c r="H5911" s="201" t="s">
        <v>27</v>
      </c>
      <c r="I5911" s="995"/>
      <c r="J5911" s="996"/>
      <c r="K5911" s="997"/>
      <c r="L5911" s="99"/>
      <c r="M5911" s="100"/>
    </row>
    <row r="5912" spans="4:13" ht="24">
      <c r="E5912" s="629">
        <v>45782</v>
      </c>
      <c r="F5912" s="632" t="s">
        <v>2229</v>
      </c>
      <c r="G5912" s="632" t="s">
        <v>1659</v>
      </c>
      <c r="H5912" s="632" t="s">
        <v>2230</v>
      </c>
      <c r="I5912" s="995"/>
      <c r="J5912" s="996"/>
      <c r="K5912" s="997"/>
      <c r="L5912" s="99"/>
      <c r="M5912" s="100"/>
    </row>
    <row r="5913" spans="4:13" ht="24">
      <c r="E5913" s="629">
        <v>45750</v>
      </c>
      <c r="F5913" s="632" t="s">
        <v>2230</v>
      </c>
      <c r="G5913" s="632" t="s">
        <v>2231</v>
      </c>
      <c r="H5913" s="632" t="s">
        <v>2232</v>
      </c>
      <c r="I5913" s="995"/>
      <c r="J5913" s="996"/>
      <c r="K5913" s="997"/>
      <c r="L5913" s="99"/>
      <c r="M5913" s="100"/>
    </row>
    <row r="5914" spans="4:13" ht="24">
      <c r="E5914" s="629">
        <v>45721</v>
      </c>
      <c r="F5914" s="632" t="s">
        <v>2232</v>
      </c>
      <c r="G5914" s="632" t="s">
        <v>2233</v>
      </c>
      <c r="H5914" s="632" t="s">
        <v>2095</v>
      </c>
      <c r="I5914" s="995"/>
      <c r="J5914" s="996"/>
      <c r="K5914" s="997"/>
      <c r="L5914" s="649"/>
      <c r="M5914" s="100"/>
    </row>
    <row r="5915" spans="4:13" ht="24">
      <c r="E5915" s="629">
        <v>45693</v>
      </c>
      <c r="F5915" s="632" t="s">
        <v>2095</v>
      </c>
      <c r="G5915" s="632" t="s">
        <v>2234</v>
      </c>
      <c r="H5915" s="632" t="s">
        <v>1857</v>
      </c>
      <c r="I5915" s="995"/>
      <c r="J5915" s="996"/>
      <c r="K5915" s="997"/>
      <c r="L5915" s="99"/>
      <c r="M5915" s="100"/>
    </row>
    <row r="5916" spans="4:13" ht="24">
      <c r="E5916" s="629">
        <v>45664</v>
      </c>
      <c r="F5916" s="632" t="s">
        <v>2235</v>
      </c>
      <c r="G5916" s="632" t="s">
        <v>2232</v>
      </c>
      <c r="H5916" s="632" t="s">
        <v>2236</v>
      </c>
      <c r="I5916" s="995"/>
      <c r="J5916" s="996"/>
      <c r="K5916" s="997"/>
      <c r="L5916" s="99"/>
      <c r="M5916" s="100"/>
    </row>
    <row r="5917" spans="4:13" ht="25" thickBot="1">
      <c r="E5917" s="629">
        <v>45630</v>
      </c>
      <c r="F5917" s="632" t="s">
        <v>2236</v>
      </c>
      <c r="G5917" s="632" t="s">
        <v>2237</v>
      </c>
      <c r="H5917" s="632" t="s">
        <v>1210</v>
      </c>
      <c r="I5917" s="998"/>
      <c r="J5917" s="999"/>
      <c r="K5917" s="1000"/>
      <c r="L5917" s="102"/>
      <c r="M5917" s="103"/>
    </row>
    <row r="5918" spans="4:13" ht="25" thickBot="1">
      <c r="D5918">
        <v>1</v>
      </c>
      <c r="E5918" s="628" t="s">
        <v>30</v>
      </c>
      <c r="F5918" s="986" t="s">
        <v>2288</v>
      </c>
      <c r="G5918" s="987"/>
      <c r="H5918" s="988"/>
      <c r="I5918" s="989" t="s">
        <v>633</v>
      </c>
      <c r="J5918" s="990"/>
      <c r="K5918" s="991"/>
      <c r="L5918" s="658" t="s">
        <v>430</v>
      </c>
      <c r="M5918" s="659" t="s">
        <v>431</v>
      </c>
    </row>
    <row r="5919" spans="4:13" ht="24">
      <c r="E5919" s="625" t="s">
        <v>432</v>
      </c>
      <c r="F5919" s="992"/>
      <c r="G5919" s="993"/>
      <c r="H5919" s="994"/>
      <c r="I5919" s="995" t="s">
        <v>2289</v>
      </c>
      <c r="J5919" s="996"/>
      <c r="K5919" s="997"/>
      <c r="L5919" s="99"/>
      <c r="M5919" s="100"/>
    </row>
    <row r="5920" spans="4:13" ht="24">
      <c r="E5920" s="626" t="s">
        <v>433</v>
      </c>
      <c r="F5920" s="1001"/>
      <c r="G5920" s="1002"/>
      <c r="H5920" s="1003"/>
      <c r="I5920" s="995"/>
      <c r="J5920" s="996"/>
      <c r="K5920" s="997"/>
      <c r="L5920" s="99"/>
      <c r="M5920" s="100"/>
    </row>
    <row r="5921" spans="5:13" ht="25" thickBot="1">
      <c r="E5921" s="626" t="s">
        <v>434</v>
      </c>
      <c r="F5921" s="1010">
        <v>-4</v>
      </c>
      <c r="G5921" s="1002"/>
      <c r="H5921" s="1003"/>
      <c r="I5921" s="995"/>
      <c r="J5921" s="996"/>
      <c r="K5921" s="997"/>
      <c r="L5921" s="99"/>
      <c r="M5921" s="100"/>
    </row>
    <row r="5922" spans="5:13" ht="25" thickBot="1">
      <c r="E5922" s="627" t="s">
        <v>435</v>
      </c>
      <c r="F5922" s="1007">
        <v>0.52083333333333337</v>
      </c>
      <c r="G5922" s="1008"/>
      <c r="H5922" s="1009"/>
      <c r="I5922" s="995"/>
      <c r="J5922" s="996"/>
      <c r="K5922" s="997"/>
      <c r="L5922" s="647">
        <v>0.75</v>
      </c>
      <c r="M5922" s="648">
        <v>0.64583333333333337</v>
      </c>
    </row>
    <row r="5923" spans="5:13" ht="25" thickBot="1">
      <c r="E5923" s="628" t="s">
        <v>436</v>
      </c>
      <c r="F5923" s="200" t="s">
        <v>29</v>
      </c>
      <c r="G5923" s="200" t="s">
        <v>28</v>
      </c>
      <c r="H5923" s="201" t="s">
        <v>27</v>
      </c>
      <c r="I5923" s="995"/>
      <c r="J5923" s="996"/>
      <c r="K5923" s="997"/>
      <c r="L5923" s="99"/>
      <c r="M5923" s="100"/>
    </row>
    <row r="5924" spans="5:13" ht="23">
      <c r="E5924" s="629">
        <v>45792</v>
      </c>
      <c r="F5924" s="636">
        <v>-4</v>
      </c>
      <c r="G5924" s="636">
        <v>-11.3</v>
      </c>
      <c r="H5924" s="636">
        <v>-26.4</v>
      </c>
      <c r="I5924" s="995"/>
      <c r="J5924" s="996"/>
      <c r="K5924" s="997"/>
      <c r="L5924" s="99"/>
      <c r="M5924" s="100"/>
    </row>
    <row r="5925" spans="5:13" ht="23">
      <c r="E5925" s="629">
        <v>45764</v>
      </c>
      <c r="F5925" s="636">
        <v>-26.4</v>
      </c>
      <c r="G5925" s="636">
        <v>2.2000000000000002</v>
      </c>
      <c r="H5925" s="636">
        <v>12.5</v>
      </c>
      <c r="I5925" s="995"/>
      <c r="J5925" s="996"/>
      <c r="K5925" s="997"/>
      <c r="L5925" s="99"/>
      <c r="M5925" s="100"/>
    </row>
    <row r="5926" spans="5:13" ht="23">
      <c r="E5926" s="629">
        <v>45736</v>
      </c>
      <c r="F5926" s="636">
        <v>12.5</v>
      </c>
      <c r="G5926" s="636">
        <v>8.8000000000000007</v>
      </c>
      <c r="H5926" s="636">
        <v>18.100000000000001</v>
      </c>
      <c r="I5926" s="995"/>
      <c r="J5926" s="996"/>
      <c r="K5926" s="997"/>
      <c r="L5926" s="649"/>
      <c r="M5926" s="100"/>
    </row>
    <row r="5927" spans="5:13" ht="23">
      <c r="E5927" s="629">
        <v>45708</v>
      </c>
      <c r="F5927" s="636">
        <v>18.100000000000001</v>
      </c>
      <c r="G5927" s="636">
        <v>19.399999999999999</v>
      </c>
      <c r="H5927" s="636">
        <v>44.3</v>
      </c>
      <c r="I5927" s="995"/>
      <c r="J5927" s="996"/>
      <c r="K5927" s="997"/>
      <c r="L5927" s="99"/>
      <c r="M5927" s="100"/>
    </row>
    <row r="5928" spans="5:13" ht="23">
      <c r="E5928" s="629">
        <v>45673</v>
      </c>
      <c r="F5928" s="636">
        <v>44.3</v>
      </c>
      <c r="G5928" s="636">
        <v>-5</v>
      </c>
      <c r="H5928" s="636">
        <v>-10.9</v>
      </c>
      <c r="I5928" s="995"/>
      <c r="J5928" s="996"/>
      <c r="K5928" s="997"/>
      <c r="L5928" s="99"/>
      <c r="M5928" s="100"/>
    </row>
    <row r="5929" spans="5:13" ht="24" thickBot="1">
      <c r="E5929" s="629">
        <v>45645</v>
      </c>
      <c r="F5929" s="636">
        <v>-16.399999999999999</v>
      </c>
      <c r="G5929" s="636">
        <v>2.9</v>
      </c>
      <c r="H5929" s="636">
        <v>-5.5</v>
      </c>
      <c r="I5929" s="998"/>
      <c r="J5929" s="999"/>
      <c r="K5929" s="1000"/>
      <c r="L5929" s="102"/>
      <c r="M5929" s="103"/>
    </row>
  </sheetData>
  <mergeCells count="3441">
    <mergeCell ref="F5306:H5306"/>
    <mergeCell ref="I5306:K5306"/>
    <mergeCell ref="F5307:H5307"/>
    <mergeCell ref="I5307:K5317"/>
    <mergeCell ref="F5308:H5308"/>
    <mergeCell ref="F5309:H5309"/>
    <mergeCell ref="F5310:H5310"/>
    <mergeCell ref="F5318:H5318"/>
    <mergeCell ref="I5318:K5318"/>
    <mergeCell ref="F5319:H5319"/>
    <mergeCell ref="I5319:K5329"/>
    <mergeCell ref="F5320:H5320"/>
    <mergeCell ref="F5321:H5321"/>
    <mergeCell ref="F5322:H5322"/>
    <mergeCell ref="F5270:H5270"/>
    <mergeCell ref="I5270:K5270"/>
    <mergeCell ref="F5271:H5271"/>
    <mergeCell ref="I5271:K5281"/>
    <mergeCell ref="F5272:H5272"/>
    <mergeCell ref="F5273:H5273"/>
    <mergeCell ref="F5274:H5274"/>
    <mergeCell ref="F5282:H5282"/>
    <mergeCell ref="I5282:K5282"/>
    <mergeCell ref="F5283:H5283"/>
    <mergeCell ref="I5283:K5293"/>
    <mergeCell ref="F5284:H5284"/>
    <mergeCell ref="F5285:H5285"/>
    <mergeCell ref="F5286:H5286"/>
    <mergeCell ref="F5294:H5294"/>
    <mergeCell ref="I5294:K5294"/>
    <mergeCell ref="F5295:H5295"/>
    <mergeCell ref="I5295:K5305"/>
    <mergeCell ref="F5177:H5177"/>
    <mergeCell ref="F5178:H5178"/>
    <mergeCell ref="F5296:H5296"/>
    <mergeCell ref="F5297:H5297"/>
    <mergeCell ref="F5298:H5298"/>
    <mergeCell ref="F5234:H5234"/>
    <mergeCell ref="I5234:K5234"/>
    <mergeCell ref="F5235:H5235"/>
    <mergeCell ref="I5235:K5245"/>
    <mergeCell ref="F5236:H5236"/>
    <mergeCell ref="F5237:H5237"/>
    <mergeCell ref="F5238:H5238"/>
    <mergeCell ref="F5246:H5246"/>
    <mergeCell ref="I5246:K5246"/>
    <mergeCell ref="F5247:H5247"/>
    <mergeCell ref="I5247:K5257"/>
    <mergeCell ref="F5248:H5248"/>
    <mergeCell ref="F5249:H5249"/>
    <mergeCell ref="F5250:H5250"/>
    <mergeCell ref="F5258:H5258"/>
    <mergeCell ref="I5258:K5258"/>
    <mergeCell ref="F5259:H5259"/>
    <mergeCell ref="I5259:K5269"/>
    <mergeCell ref="F5260:H5260"/>
    <mergeCell ref="F5261:H5261"/>
    <mergeCell ref="F5262:H5262"/>
    <mergeCell ref="F5153:H5153"/>
    <mergeCell ref="F5154:H5154"/>
    <mergeCell ref="F5126:H5126"/>
    <mergeCell ref="I5126:K5126"/>
    <mergeCell ref="F5127:H5127"/>
    <mergeCell ref="I5127:K5137"/>
    <mergeCell ref="F5162:H5162"/>
    <mergeCell ref="I5162:K5162"/>
    <mergeCell ref="F5163:H5163"/>
    <mergeCell ref="I5163:K5173"/>
    <mergeCell ref="F5164:H5164"/>
    <mergeCell ref="F5165:H5165"/>
    <mergeCell ref="F5166:H5166"/>
    <mergeCell ref="F5222:H5222"/>
    <mergeCell ref="I5222:K5222"/>
    <mergeCell ref="F5223:H5223"/>
    <mergeCell ref="I5223:K5233"/>
    <mergeCell ref="F5224:H5224"/>
    <mergeCell ref="F5225:H5225"/>
    <mergeCell ref="F5226:H5226"/>
    <mergeCell ref="F5210:H5210"/>
    <mergeCell ref="I5210:K5210"/>
    <mergeCell ref="F5211:H5211"/>
    <mergeCell ref="I5211:K5221"/>
    <mergeCell ref="F5212:H5212"/>
    <mergeCell ref="F5213:H5213"/>
    <mergeCell ref="F5214:H5214"/>
    <mergeCell ref="F5174:H5174"/>
    <mergeCell ref="I5174:K5174"/>
    <mergeCell ref="F5175:H5175"/>
    <mergeCell ref="I5175:K5185"/>
    <mergeCell ref="F5176:H5176"/>
    <mergeCell ref="F5105:H5105"/>
    <mergeCell ref="F5106:H5106"/>
    <mergeCell ref="I5079:K5089"/>
    <mergeCell ref="F5186:H5186"/>
    <mergeCell ref="I5186:K5186"/>
    <mergeCell ref="F5187:H5187"/>
    <mergeCell ref="I5187:K5197"/>
    <mergeCell ref="F5188:H5188"/>
    <mergeCell ref="F5189:H5189"/>
    <mergeCell ref="F5190:H5190"/>
    <mergeCell ref="F5198:H5198"/>
    <mergeCell ref="I5198:K5198"/>
    <mergeCell ref="F5199:H5199"/>
    <mergeCell ref="I5199:K5209"/>
    <mergeCell ref="F5200:H5200"/>
    <mergeCell ref="F5201:H5201"/>
    <mergeCell ref="F5202:H5202"/>
    <mergeCell ref="F5128:H5128"/>
    <mergeCell ref="F5129:H5129"/>
    <mergeCell ref="F5130:H5130"/>
    <mergeCell ref="F5138:H5138"/>
    <mergeCell ref="I5138:K5138"/>
    <mergeCell ref="F5139:H5139"/>
    <mergeCell ref="I5139:K5149"/>
    <mergeCell ref="F5140:H5140"/>
    <mergeCell ref="F5141:H5141"/>
    <mergeCell ref="F5142:H5142"/>
    <mergeCell ref="F5150:H5150"/>
    <mergeCell ref="I5150:K5150"/>
    <mergeCell ref="F5151:H5151"/>
    <mergeCell ref="I5151:K5161"/>
    <mergeCell ref="F5152:H5152"/>
    <mergeCell ref="F5054:H5054"/>
    <mergeCell ref="I5054:K5054"/>
    <mergeCell ref="F5055:H5055"/>
    <mergeCell ref="I5055:K5065"/>
    <mergeCell ref="F5056:H5056"/>
    <mergeCell ref="F5057:H5057"/>
    <mergeCell ref="F5058:H5058"/>
    <mergeCell ref="F5006:H5006"/>
    <mergeCell ref="I5006:K5006"/>
    <mergeCell ref="F5007:H5007"/>
    <mergeCell ref="I5007:K5017"/>
    <mergeCell ref="F5008:H5008"/>
    <mergeCell ref="F5009:H5009"/>
    <mergeCell ref="F5010:H5010"/>
    <mergeCell ref="F5018:H5018"/>
    <mergeCell ref="I5018:K5018"/>
    <mergeCell ref="F5019:H5019"/>
    <mergeCell ref="I5019:K5029"/>
    <mergeCell ref="F5020:H5020"/>
    <mergeCell ref="F5021:H5021"/>
    <mergeCell ref="F5022:H5022"/>
    <mergeCell ref="F5030:H5030"/>
    <mergeCell ref="I5030:K5030"/>
    <mergeCell ref="F5031:H5031"/>
    <mergeCell ref="I5031:K5041"/>
    <mergeCell ref="F5032:H5032"/>
    <mergeCell ref="F5033:H5033"/>
    <mergeCell ref="F5034:H5034"/>
    <mergeCell ref="F5114:H5114"/>
    <mergeCell ref="I5114:K5114"/>
    <mergeCell ref="F5115:H5115"/>
    <mergeCell ref="I5115:K5125"/>
    <mergeCell ref="F5116:H5116"/>
    <mergeCell ref="F5117:H5117"/>
    <mergeCell ref="F5118:H5118"/>
    <mergeCell ref="F5066:H5066"/>
    <mergeCell ref="I5066:K5066"/>
    <mergeCell ref="F5067:H5067"/>
    <mergeCell ref="I5067:K5077"/>
    <mergeCell ref="F5068:H5068"/>
    <mergeCell ref="F5069:H5069"/>
    <mergeCell ref="F5070:H5070"/>
    <mergeCell ref="F5078:H5078"/>
    <mergeCell ref="I5078:K5078"/>
    <mergeCell ref="F5079:H5079"/>
    <mergeCell ref="F5080:H5080"/>
    <mergeCell ref="F5081:H5081"/>
    <mergeCell ref="F5082:H5082"/>
    <mergeCell ref="F5090:H5090"/>
    <mergeCell ref="I5090:K5090"/>
    <mergeCell ref="F5091:H5091"/>
    <mergeCell ref="I5091:K5101"/>
    <mergeCell ref="F5092:H5092"/>
    <mergeCell ref="F5093:H5093"/>
    <mergeCell ref="F5094:H5094"/>
    <mergeCell ref="F5102:H5102"/>
    <mergeCell ref="I5102:K5102"/>
    <mergeCell ref="F5103:H5103"/>
    <mergeCell ref="I5103:K5113"/>
    <mergeCell ref="F5104:H5104"/>
    <mergeCell ref="I4778:K4778"/>
    <mergeCell ref="F4779:H4779"/>
    <mergeCell ref="I4779:K4789"/>
    <mergeCell ref="F4780:H4780"/>
    <mergeCell ref="F4781:H4781"/>
    <mergeCell ref="F4782:H4782"/>
    <mergeCell ref="F4826:H4826"/>
    <mergeCell ref="I4826:K4826"/>
    <mergeCell ref="F4827:H4827"/>
    <mergeCell ref="I4827:K4837"/>
    <mergeCell ref="F4828:H4828"/>
    <mergeCell ref="F4829:H4829"/>
    <mergeCell ref="F4830:H4830"/>
    <mergeCell ref="F5042:H5042"/>
    <mergeCell ref="I5042:K5042"/>
    <mergeCell ref="F5043:H5043"/>
    <mergeCell ref="I5043:K5053"/>
    <mergeCell ref="F5044:H5044"/>
    <mergeCell ref="F5045:H5045"/>
    <mergeCell ref="F5046:H5046"/>
    <mergeCell ref="F4838:H4838"/>
    <mergeCell ref="I4838:K4838"/>
    <mergeCell ref="F4839:H4839"/>
    <mergeCell ref="I4839:K4849"/>
    <mergeCell ref="F4840:H4840"/>
    <mergeCell ref="F4841:H4841"/>
    <mergeCell ref="F4842:H4842"/>
    <mergeCell ref="F4790:H4790"/>
    <mergeCell ref="I4790:K4790"/>
    <mergeCell ref="F4791:H4791"/>
    <mergeCell ref="I4791:K4801"/>
    <mergeCell ref="F4792:H4792"/>
    <mergeCell ref="F4793:H4793"/>
    <mergeCell ref="F4794:H4794"/>
    <mergeCell ref="F4802:H4802"/>
    <mergeCell ref="I4802:K4802"/>
    <mergeCell ref="F4803:H4803"/>
    <mergeCell ref="I4803:K4813"/>
    <mergeCell ref="F4804:H4804"/>
    <mergeCell ref="F4805:H4805"/>
    <mergeCell ref="F4806:H4806"/>
    <mergeCell ref="F4814:H4814"/>
    <mergeCell ref="I4814:K4814"/>
    <mergeCell ref="F4815:H4815"/>
    <mergeCell ref="I4815:K4825"/>
    <mergeCell ref="F4730:H4730"/>
    <mergeCell ref="I4730:K4730"/>
    <mergeCell ref="F4731:H4731"/>
    <mergeCell ref="I4731:K4741"/>
    <mergeCell ref="F4732:H4732"/>
    <mergeCell ref="F4733:H4733"/>
    <mergeCell ref="F4734:H4734"/>
    <mergeCell ref="F4742:H4742"/>
    <mergeCell ref="I4742:K4742"/>
    <mergeCell ref="F4743:H4743"/>
    <mergeCell ref="I4743:K4753"/>
    <mergeCell ref="F4744:H4744"/>
    <mergeCell ref="F4745:H4745"/>
    <mergeCell ref="F4746:H4746"/>
    <mergeCell ref="F4816:H4816"/>
    <mergeCell ref="F4817:H4817"/>
    <mergeCell ref="F4818:H4818"/>
    <mergeCell ref="F4754:H4754"/>
    <mergeCell ref="I4754:K4754"/>
    <mergeCell ref="F4755:H4755"/>
    <mergeCell ref="I4755:K4765"/>
    <mergeCell ref="F4756:H4756"/>
    <mergeCell ref="F4757:H4757"/>
    <mergeCell ref="F4758:H4758"/>
    <mergeCell ref="F4766:H4766"/>
    <mergeCell ref="I4766:K4766"/>
    <mergeCell ref="F4767:H4767"/>
    <mergeCell ref="I4767:K4777"/>
    <mergeCell ref="F4768:H4768"/>
    <mergeCell ref="F4769:H4769"/>
    <mergeCell ref="F4770:H4770"/>
    <mergeCell ref="F4778:H4778"/>
    <mergeCell ref="F4694:H4694"/>
    <mergeCell ref="I4694:K4694"/>
    <mergeCell ref="F4695:H4695"/>
    <mergeCell ref="I4695:K4705"/>
    <mergeCell ref="F4696:H4696"/>
    <mergeCell ref="F4697:H4697"/>
    <mergeCell ref="F4698:H4698"/>
    <mergeCell ref="F4706:H4706"/>
    <mergeCell ref="I4706:K4706"/>
    <mergeCell ref="F4707:H4707"/>
    <mergeCell ref="I4707:K4717"/>
    <mergeCell ref="F4708:H4708"/>
    <mergeCell ref="F4709:H4709"/>
    <mergeCell ref="F4710:H4710"/>
    <mergeCell ref="F4718:H4718"/>
    <mergeCell ref="I4718:K4718"/>
    <mergeCell ref="F4719:H4719"/>
    <mergeCell ref="I4719:K4729"/>
    <mergeCell ref="F4720:H4720"/>
    <mergeCell ref="F4721:H4721"/>
    <mergeCell ref="F4722:H4722"/>
    <mergeCell ref="F4658:H4658"/>
    <mergeCell ref="I4658:K4658"/>
    <mergeCell ref="F4659:H4659"/>
    <mergeCell ref="I4659:K4669"/>
    <mergeCell ref="F4660:H4660"/>
    <mergeCell ref="F4661:H4661"/>
    <mergeCell ref="F4662:H4662"/>
    <mergeCell ref="F4670:H4670"/>
    <mergeCell ref="I4670:K4670"/>
    <mergeCell ref="F4671:H4671"/>
    <mergeCell ref="I4671:K4681"/>
    <mergeCell ref="F4672:H4672"/>
    <mergeCell ref="F4673:H4673"/>
    <mergeCell ref="F4674:H4674"/>
    <mergeCell ref="F4682:H4682"/>
    <mergeCell ref="I4682:K4682"/>
    <mergeCell ref="F4683:H4683"/>
    <mergeCell ref="I4683:K4693"/>
    <mergeCell ref="F4684:H4684"/>
    <mergeCell ref="F4685:H4685"/>
    <mergeCell ref="F4686:H4686"/>
    <mergeCell ref="F4622:H4622"/>
    <mergeCell ref="I4622:K4622"/>
    <mergeCell ref="F4623:H4623"/>
    <mergeCell ref="I4623:K4633"/>
    <mergeCell ref="F4624:H4624"/>
    <mergeCell ref="F4625:H4625"/>
    <mergeCell ref="F4626:H4626"/>
    <mergeCell ref="F4634:H4634"/>
    <mergeCell ref="I4634:K4634"/>
    <mergeCell ref="F4635:H4635"/>
    <mergeCell ref="I4635:K4645"/>
    <mergeCell ref="F4636:H4636"/>
    <mergeCell ref="F4637:H4637"/>
    <mergeCell ref="F4638:H4638"/>
    <mergeCell ref="F4646:H4646"/>
    <mergeCell ref="I4646:K4646"/>
    <mergeCell ref="F4647:H4647"/>
    <mergeCell ref="I4647:K4657"/>
    <mergeCell ref="F4648:H4648"/>
    <mergeCell ref="F4649:H4649"/>
    <mergeCell ref="F4650:H4650"/>
    <mergeCell ref="F4586:H4586"/>
    <mergeCell ref="I4586:K4586"/>
    <mergeCell ref="F4587:H4587"/>
    <mergeCell ref="I4587:K4597"/>
    <mergeCell ref="F4588:H4588"/>
    <mergeCell ref="F4589:H4589"/>
    <mergeCell ref="F4590:H4590"/>
    <mergeCell ref="F4598:H4598"/>
    <mergeCell ref="I4598:K4598"/>
    <mergeCell ref="F4599:H4599"/>
    <mergeCell ref="I4599:K4609"/>
    <mergeCell ref="F4600:H4600"/>
    <mergeCell ref="F4601:H4601"/>
    <mergeCell ref="F4602:H4602"/>
    <mergeCell ref="F4610:H4610"/>
    <mergeCell ref="I4610:K4610"/>
    <mergeCell ref="F4611:H4611"/>
    <mergeCell ref="I4611:K4621"/>
    <mergeCell ref="F4612:H4612"/>
    <mergeCell ref="F4613:H4613"/>
    <mergeCell ref="F4614:H4614"/>
    <mergeCell ref="F4300:H4300"/>
    <mergeCell ref="F4301:H4301"/>
    <mergeCell ref="F4302:H4302"/>
    <mergeCell ref="F4310:H4310"/>
    <mergeCell ref="I4310:K4310"/>
    <mergeCell ref="F4311:H4311"/>
    <mergeCell ref="I4311:K4321"/>
    <mergeCell ref="F4312:H4312"/>
    <mergeCell ref="F4313:H4313"/>
    <mergeCell ref="F4314:H4314"/>
    <mergeCell ref="F4574:H4574"/>
    <mergeCell ref="I4574:K4574"/>
    <mergeCell ref="F4575:H4575"/>
    <mergeCell ref="I4575:K4585"/>
    <mergeCell ref="F4576:H4576"/>
    <mergeCell ref="F4577:H4577"/>
    <mergeCell ref="F4578:H4578"/>
    <mergeCell ref="F4455:H4455"/>
    <mergeCell ref="I4455:K4465"/>
    <mergeCell ref="F4370:H4370"/>
    <mergeCell ref="I4370:K4370"/>
    <mergeCell ref="F4371:H4371"/>
    <mergeCell ref="I4371:K4381"/>
    <mergeCell ref="F4372:H4372"/>
    <mergeCell ref="F4373:H4373"/>
    <mergeCell ref="F4374:H4374"/>
    <mergeCell ref="F4382:H4382"/>
    <mergeCell ref="I4382:K4382"/>
    <mergeCell ref="F4383:H4383"/>
    <mergeCell ref="I4383:K4393"/>
    <mergeCell ref="F4360:H4360"/>
    <mergeCell ref="F4361:H4361"/>
    <mergeCell ref="F4262:H4262"/>
    <mergeCell ref="I4262:K4262"/>
    <mergeCell ref="F4263:H4263"/>
    <mergeCell ref="I4263:K4273"/>
    <mergeCell ref="F4264:H4264"/>
    <mergeCell ref="F4265:H4265"/>
    <mergeCell ref="F4266:H4266"/>
    <mergeCell ref="F4274:H4274"/>
    <mergeCell ref="I4274:K4274"/>
    <mergeCell ref="F4275:H4275"/>
    <mergeCell ref="I4275:K4285"/>
    <mergeCell ref="F4276:H4276"/>
    <mergeCell ref="F4277:H4277"/>
    <mergeCell ref="F4278:H4278"/>
    <mergeCell ref="F4322:H4322"/>
    <mergeCell ref="I4322:K4322"/>
    <mergeCell ref="F4323:H4323"/>
    <mergeCell ref="I4323:K4333"/>
    <mergeCell ref="F4324:H4324"/>
    <mergeCell ref="F4325:H4325"/>
    <mergeCell ref="F4326:H4326"/>
    <mergeCell ref="F4286:H4286"/>
    <mergeCell ref="I4286:K4286"/>
    <mergeCell ref="F4287:H4287"/>
    <mergeCell ref="I4287:K4297"/>
    <mergeCell ref="F4288:H4288"/>
    <mergeCell ref="F4289:H4289"/>
    <mergeCell ref="F4290:H4290"/>
    <mergeCell ref="F4298:H4298"/>
    <mergeCell ref="I4298:K4298"/>
    <mergeCell ref="F4299:H4299"/>
    <mergeCell ref="I4299:K4309"/>
    <mergeCell ref="F4226:H4226"/>
    <mergeCell ref="I4226:K4226"/>
    <mergeCell ref="F4227:H4227"/>
    <mergeCell ref="I4227:K4237"/>
    <mergeCell ref="F4228:H4228"/>
    <mergeCell ref="F4229:H4229"/>
    <mergeCell ref="F4230:H4230"/>
    <mergeCell ref="F4238:H4238"/>
    <mergeCell ref="I4238:K4238"/>
    <mergeCell ref="F4239:H4239"/>
    <mergeCell ref="I4239:K4249"/>
    <mergeCell ref="F4240:H4240"/>
    <mergeCell ref="F4241:H4241"/>
    <mergeCell ref="F4242:H4242"/>
    <mergeCell ref="F4250:H4250"/>
    <mergeCell ref="I4250:K4250"/>
    <mergeCell ref="F4251:H4251"/>
    <mergeCell ref="I4251:K4261"/>
    <mergeCell ref="F4252:H4252"/>
    <mergeCell ref="F4253:H4253"/>
    <mergeCell ref="F4254:H4254"/>
    <mergeCell ref="F4190:H4190"/>
    <mergeCell ref="I4190:K4190"/>
    <mergeCell ref="F4191:H4191"/>
    <mergeCell ref="I4191:K4201"/>
    <mergeCell ref="F4192:H4192"/>
    <mergeCell ref="F4193:H4193"/>
    <mergeCell ref="F4194:H4194"/>
    <mergeCell ref="F4202:H4202"/>
    <mergeCell ref="I4202:K4202"/>
    <mergeCell ref="F4203:H4203"/>
    <mergeCell ref="I4203:K4213"/>
    <mergeCell ref="F4204:H4204"/>
    <mergeCell ref="F4205:H4205"/>
    <mergeCell ref="F4206:H4206"/>
    <mergeCell ref="F4214:H4214"/>
    <mergeCell ref="I4214:K4214"/>
    <mergeCell ref="F4215:H4215"/>
    <mergeCell ref="I4215:K4225"/>
    <mergeCell ref="F4216:H4216"/>
    <mergeCell ref="F4217:H4217"/>
    <mergeCell ref="F4218:H4218"/>
    <mergeCell ref="F4000:H4000"/>
    <mergeCell ref="F4001:H4001"/>
    <mergeCell ref="F4002:H4002"/>
    <mergeCell ref="F4010:H4010"/>
    <mergeCell ref="I4010:K4010"/>
    <mergeCell ref="F4011:H4011"/>
    <mergeCell ref="I4011:K4021"/>
    <mergeCell ref="F4012:H4012"/>
    <mergeCell ref="F4013:H4013"/>
    <mergeCell ref="F4014:H4014"/>
    <mergeCell ref="F3940:H3940"/>
    <mergeCell ref="F3941:H3941"/>
    <mergeCell ref="F3942:H3942"/>
    <mergeCell ref="F3950:H3950"/>
    <mergeCell ref="I3950:K3950"/>
    <mergeCell ref="F3951:H3951"/>
    <mergeCell ref="I3951:K3961"/>
    <mergeCell ref="F3952:H3952"/>
    <mergeCell ref="F3953:H3953"/>
    <mergeCell ref="F3954:H3954"/>
    <mergeCell ref="F3962:H3962"/>
    <mergeCell ref="I3962:K3962"/>
    <mergeCell ref="F3963:H3963"/>
    <mergeCell ref="I3963:K3973"/>
    <mergeCell ref="F3964:H3964"/>
    <mergeCell ref="F3965:H3965"/>
    <mergeCell ref="F3966:H3966"/>
    <mergeCell ref="F3986:H3986"/>
    <mergeCell ref="I3986:K3986"/>
    <mergeCell ref="F3987:H3987"/>
    <mergeCell ref="I3987:K3997"/>
    <mergeCell ref="F3988:H3988"/>
    <mergeCell ref="F3892:H3892"/>
    <mergeCell ref="F3893:H3893"/>
    <mergeCell ref="F3894:H3894"/>
    <mergeCell ref="F3902:H3902"/>
    <mergeCell ref="I3902:K3902"/>
    <mergeCell ref="F3903:H3903"/>
    <mergeCell ref="I3903:K3913"/>
    <mergeCell ref="F3904:H3904"/>
    <mergeCell ref="F3905:H3905"/>
    <mergeCell ref="F3906:H3906"/>
    <mergeCell ref="F3914:H3914"/>
    <mergeCell ref="I3914:K3914"/>
    <mergeCell ref="F3915:H3915"/>
    <mergeCell ref="I3915:K3925"/>
    <mergeCell ref="F3916:H3916"/>
    <mergeCell ref="F3917:H3917"/>
    <mergeCell ref="F3918:H3918"/>
    <mergeCell ref="I3938:K3938"/>
    <mergeCell ref="F3939:H3939"/>
    <mergeCell ref="I3939:K3949"/>
    <mergeCell ref="F3784:H3784"/>
    <mergeCell ref="F3785:H3785"/>
    <mergeCell ref="F3786:H3786"/>
    <mergeCell ref="F3794:H3794"/>
    <mergeCell ref="I3794:K3794"/>
    <mergeCell ref="F3795:H3795"/>
    <mergeCell ref="I3795:K3805"/>
    <mergeCell ref="F3796:H3796"/>
    <mergeCell ref="F3797:H3797"/>
    <mergeCell ref="F3798:H3798"/>
    <mergeCell ref="F3806:H3806"/>
    <mergeCell ref="I3806:K3806"/>
    <mergeCell ref="F3807:H3807"/>
    <mergeCell ref="I3807:K3817"/>
    <mergeCell ref="F3808:H3808"/>
    <mergeCell ref="F3809:H3809"/>
    <mergeCell ref="F3810:H3810"/>
    <mergeCell ref="F3832:H3832"/>
    <mergeCell ref="F3833:H3833"/>
    <mergeCell ref="F3834:H3834"/>
    <mergeCell ref="F3842:H3842"/>
    <mergeCell ref="I3842:K3842"/>
    <mergeCell ref="F3843:H3843"/>
    <mergeCell ref="I3843:K3853"/>
    <mergeCell ref="F3844:H3844"/>
    <mergeCell ref="F3845:H3845"/>
    <mergeCell ref="F3846:H3846"/>
    <mergeCell ref="F3854:H3854"/>
    <mergeCell ref="I3854:K3854"/>
    <mergeCell ref="F3890:H3890"/>
    <mergeCell ref="I3890:K3890"/>
    <mergeCell ref="F3891:H3891"/>
    <mergeCell ref="I3891:K3901"/>
    <mergeCell ref="F3866:H3866"/>
    <mergeCell ref="I3866:K3866"/>
    <mergeCell ref="F3867:H3867"/>
    <mergeCell ref="I3867:K3877"/>
    <mergeCell ref="F3868:H3868"/>
    <mergeCell ref="F3869:H3869"/>
    <mergeCell ref="F3870:H3870"/>
    <mergeCell ref="F3989:H3989"/>
    <mergeCell ref="F3990:H3990"/>
    <mergeCell ref="F3998:H3998"/>
    <mergeCell ref="I3998:K3998"/>
    <mergeCell ref="F3999:H3999"/>
    <mergeCell ref="I3999:K4009"/>
    <mergeCell ref="F3974:H3974"/>
    <mergeCell ref="I3974:K3974"/>
    <mergeCell ref="F3975:H3975"/>
    <mergeCell ref="I3975:K3985"/>
    <mergeCell ref="F3976:H3976"/>
    <mergeCell ref="F3977:H3977"/>
    <mergeCell ref="F3978:H3978"/>
    <mergeCell ref="F3926:H3926"/>
    <mergeCell ref="I3926:K3926"/>
    <mergeCell ref="F3927:H3927"/>
    <mergeCell ref="I3927:K3937"/>
    <mergeCell ref="F3928:H3928"/>
    <mergeCell ref="F3929:H3929"/>
    <mergeCell ref="F3930:H3930"/>
    <mergeCell ref="F3938:H3938"/>
    <mergeCell ref="I3770:K3770"/>
    <mergeCell ref="F3771:H3771"/>
    <mergeCell ref="I3771:K3781"/>
    <mergeCell ref="F3772:H3772"/>
    <mergeCell ref="F3773:H3773"/>
    <mergeCell ref="F3774:H3774"/>
    <mergeCell ref="F3782:H3782"/>
    <mergeCell ref="I3782:K3782"/>
    <mergeCell ref="F3783:H3783"/>
    <mergeCell ref="I3783:K3793"/>
    <mergeCell ref="F3878:H3878"/>
    <mergeCell ref="I3878:K3878"/>
    <mergeCell ref="F3879:H3879"/>
    <mergeCell ref="I3879:K3889"/>
    <mergeCell ref="F3880:H3880"/>
    <mergeCell ref="F3881:H3881"/>
    <mergeCell ref="F3882:H3882"/>
    <mergeCell ref="F3855:H3855"/>
    <mergeCell ref="I3855:K3865"/>
    <mergeCell ref="F3856:H3856"/>
    <mergeCell ref="F3857:H3857"/>
    <mergeCell ref="F3858:H3858"/>
    <mergeCell ref="F3566:H3566"/>
    <mergeCell ref="I3566:K3566"/>
    <mergeCell ref="F3567:H3567"/>
    <mergeCell ref="I3567:K3577"/>
    <mergeCell ref="F3568:H3568"/>
    <mergeCell ref="F3569:H3569"/>
    <mergeCell ref="F3570:H3570"/>
    <mergeCell ref="F3578:H3578"/>
    <mergeCell ref="I3578:K3578"/>
    <mergeCell ref="F3579:H3579"/>
    <mergeCell ref="I3579:K3589"/>
    <mergeCell ref="F3580:H3580"/>
    <mergeCell ref="F3581:H3581"/>
    <mergeCell ref="F3582:H3582"/>
    <mergeCell ref="F3530:H3530"/>
    <mergeCell ref="I3530:K3530"/>
    <mergeCell ref="F3531:H3531"/>
    <mergeCell ref="I3531:K3541"/>
    <mergeCell ref="F3532:H3532"/>
    <mergeCell ref="F3533:H3533"/>
    <mergeCell ref="F3534:H3534"/>
    <mergeCell ref="F3542:H3542"/>
    <mergeCell ref="I3542:K3542"/>
    <mergeCell ref="F3543:H3543"/>
    <mergeCell ref="I3543:K3553"/>
    <mergeCell ref="F3544:H3544"/>
    <mergeCell ref="F3545:H3545"/>
    <mergeCell ref="F3546:H3546"/>
    <mergeCell ref="F3554:H3554"/>
    <mergeCell ref="I3554:K3554"/>
    <mergeCell ref="F3555:H3555"/>
    <mergeCell ref="I3555:K3565"/>
    <mergeCell ref="F3556:H3556"/>
    <mergeCell ref="F3557:H3557"/>
    <mergeCell ref="F3558:H3558"/>
    <mergeCell ref="F3494:H3494"/>
    <mergeCell ref="I3494:K3494"/>
    <mergeCell ref="F3495:H3495"/>
    <mergeCell ref="I3495:K3505"/>
    <mergeCell ref="F3496:H3496"/>
    <mergeCell ref="F3497:H3497"/>
    <mergeCell ref="F3498:H3498"/>
    <mergeCell ref="F3506:H3506"/>
    <mergeCell ref="I3506:K3506"/>
    <mergeCell ref="F3507:H3507"/>
    <mergeCell ref="I3507:K3517"/>
    <mergeCell ref="F3508:H3508"/>
    <mergeCell ref="F3509:H3509"/>
    <mergeCell ref="F3510:H3510"/>
    <mergeCell ref="F3518:H3518"/>
    <mergeCell ref="I3518:K3518"/>
    <mergeCell ref="F3519:H3519"/>
    <mergeCell ref="I3519:K3529"/>
    <mergeCell ref="F3520:H3520"/>
    <mergeCell ref="F3521:H3521"/>
    <mergeCell ref="F3522:H3522"/>
    <mergeCell ref="F3458:H3458"/>
    <mergeCell ref="I3458:K3458"/>
    <mergeCell ref="F3459:H3459"/>
    <mergeCell ref="I3459:K3469"/>
    <mergeCell ref="F3460:H3460"/>
    <mergeCell ref="F3461:H3461"/>
    <mergeCell ref="F3462:H3462"/>
    <mergeCell ref="F3470:H3470"/>
    <mergeCell ref="I3470:K3470"/>
    <mergeCell ref="F3471:H3471"/>
    <mergeCell ref="I3471:K3481"/>
    <mergeCell ref="F3472:H3472"/>
    <mergeCell ref="F3473:H3473"/>
    <mergeCell ref="F3474:H3474"/>
    <mergeCell ref="F3482:H3482"/>
    <mergeCell ref="I3482:K3482"/>
    <mergeCell ref="F3483:H3483"/>
    <mergeCell ref="I3483:K3493"/>
    <mergeCell ref="F3484:H3484"/>
    <mergeCell ref="F3485:H3485"/>
    <mergeCell ref="F3486:H3486"/>
    <mergeCell ref="F3422:H3422"/>
    <mergeCell ref="I3422:K3422"/>
    <mergeCell ref="F3423:H3423"/>
    <mergeCell ref="I3423:K3433"/>
    <mergeCell ref="F3424:H3424"/>
    <mergeCell ref="F3425:H3425"/>
    <mergeCell ref="F3426:H3426"/>
    <mergeCell ref="F3434:H3434"/>
    <mergeCell ref="I3434:K3434"/>
    <mergeCell ref="F3435:H3435"/>
    <mergeCell ref="I3435:K3445"/>
    <mergeCell ref="F3436:H3436"/>
    <mergeCell ref="F3437:H3437"/>
    <mergeCell ref="F3438:H3438"/>
    <mergeCell ref="F3446:H3446"/>
    <mergeCell ref="I3446:K3446"/>
    <mergeCell ref="F3447:H3447"/>
    <mergeCell ref="I3447:K3457"/>
    <mergeCell ref="F3448:H3448"/>
    <mergeCell ref="F3449:H3449"/>
    <mergeCell ref="F3450:H3450"/>
    <mergeCell ref="F3386:H3386"/>
    <mergeCell ref="I3386:K3386"/>
    <mergeCell ref="F3387:H3387"/>
    <mergeCell ref="I3387:K3397"/>
    <mergeCell ref="F3388:H3388"/>
    <mergeCell ref="F3389:H3389"/>
    <mergeCell ref="F3390:H3390"/>
    <mergeCell ref="F3398:H3398"/>
    <mergeCell ref="I3398:K3398"/>
    <mergeCell ref="F3399:H3399"/>
    <mergeCell ref="I3399:K3409"/>
    <mergeCell ref="F3400:H3400"/>
    <mergeCell ref="F3401:H3401"/>
    <mergeCell ref="F3402:H3402"/>
    <mergeCell ref="F3410:H3410"/>
    <mergeCell ref="I3410:K3410"/>
    <mergeCell ref="F3411:H3411"/>
    <mergeCell ref="I3411:K3421"/>
    <mergeCell ref="F3412:H3412"/>
    <mergeCell ref="F3413:H3413"/>
    <mergeCell ref="F3414:H3414"/>
    <mergeCell ref="F3146:H3146"/>
    <mergeCell ref="I3146:K3146"/>
    <mergeCell ref="F3147:H3147"/>
    <mergeCell ref="I3147:K3157"/>
    <mergeCell ref="F3148:H3148"/>
    <mergeCell ref="F3149:H3149"/>
    <mergeCell ref="F3150:H3150"/>
    <mergeCell ref="F3158:H3158"/>
    <mergeCell ref="I3158:K3158"/>
    <mergeCell ref="F3159:H3159"/>
    <mergeCell ref="I3159:K3169"/>
    <mergeCell ref="F3160:H3160"/>
    <mergeCell ref="F3161:H3161"/>
    <mergeCell ref="F3162:H3162"/>
    <mergeCell ref="F3110:H3110"/>
    <mergeCell ref="I3110:K3110"/>
    <mergeCell ref="F3111:H3111"/>
    <mergeCell ref="I3111:K3121"/>
    <mergeCell ref="F3112:H3112"/>
    <mergeCell ref="F3113:H3113"/>
    <mergeCell ref="F3114:H3114"/>
    <mergeCell ref="F3122:H3122"/>
    <mergeCell ref="I3122:K3122"/>
    <mergeCell ref="F3123:H3123"/>
    <mergeCell ref="I3123:K3133"/>
    <mergeCell ref="F3124:H3124"/>
    <mergeCell ref="F3125:H3125"/>
    <mergeCell ref="F3126:H3126"/>
    <mergeCell ref="F3134:H3134"/>
    <mergeCell ref="I3134:K3134"/>
    <mergeCell ref="F3135:H3135"/>
    <mergeCell ref="I3135:K3145"/>
    <mergeCell ref="F3136:H3136"/>
    <mergeCell ref="F3137:H3137"/>
    <mergeCell ref="F3138:H3138"/>
    <mergeCell ref="F3074:H3074"/>
    <mergeCell ref="I3074:K3074"/>
    <mergeCell ref="F3075:H3075"/>
    <mergeCell ref="I3075:K3085"/>
    <mergeCell ref="F3076:H3076"/>
    <mergeCell ref="F3077:H3077"/>
    <mergeCell ref="F3078:H3078"/>
    <mergeCell ref="F3086:H3086"/>
    <mergeCell ref="I3086:K3086"/>
    <mergeCell ref="F3087:H3087"/>
    <mergeCell ref="I3087:K3097"/>
    <mergeCell ref="F3088:H3088"/>
    <mergeCell ref="F3089:H3089"/>
    <mergeCell ref="F3090:H3090"/>
    <mergeCell ref="F3098:H3098"/>
    <mergeCell ref="I3098:K3098"/>
    <mergeCell ref="F3099:H3099"/>
    <mergeCell ref="I3099:K3109"/>
    <mergeCell ref="F3100:H3100"/>
    <mergeCell ref="F3101:H3101"/>
    <mergeCell ref="F3102:H3102"/>
    <mergeCell ref="F3038:H3038"/>
    <mergeCell ref="I3038:K3038"/>
    <mergeCell ref="F3039:H3039"/>
    <mergeCell ref="I3039:K3049"/>
    <mergeCell ref="F3040:H3040"/>
    <mergeCell ref="F3041:H3041"/>
    <mergeCell ref="F3042:H3042"/>
    <mergeCell ref="F3050:H3050"/>
    <mergeCell ref="I3050:K3050"/>
    <mergeCell ref="F3051:H3051"/>
    <mergeCell ref="I3051:K3061"/>
    <mergeCell ref="F3052:H3052"/>
    <mergeCell ref="F3053:H3053"/>
    <mergeCell ref="F3054:H3054"/>
    <mergeCell ref="F3062:H3062"/>
    <mergeCell ref="I3062:K3062"/>
    <mergeCell ref="F3063:H3063"/>
    <mergeCell ref="I3063:K3073"/>
    <mergeCell ref="F3064:H3064"/>
    <mergeCell ref="F3065:H3065"/>
    <mergeCell ref="F3066:H3066"/>
    <mergeCell ref="F3002:H3002"/>
    <mergeCell ref="I3002:K3002"/>
    <mergeCell ref="F3003:H3003"/>
    <mergeCell ref="I3003:K3013"/>
    <mergeCell ref="F3004:H3004"/>
    <mergeCell ref="F3005:H3005"/>
    <mergeCell ref="F3006:H3006"/>
    <mergeCell ref="F3014:H3014"/>
    <mergeCell ref="I3014:K3014"/>
    <mergeCell ref="F3015:H3015"/>
    <mergeCell ref="I3015:K3025"/>
    <mergeCell ref="F3016:H3016"/>
    <mergeCell ref="F3017:H3017"/>
    <mergeCell ref="F3018:H3018"/>
    <mergeCell ref="F3026:H3026"/>
    <mergeCell ref="I3026:K3026"/>
    <mergeCell ref="F3027:H3027"/>
    <mergeCell ref="I3027:K3037"/>
    <mergeCell ref="F3028:H3028"/>
    <mergeCell ref="F3029:H3029"/>
    <mergeCell ref="F3030:H3030"/>
    <mergeCell ref="F2966:H2966"/>
    <mergeCell ref="I2966:K2966"/>
    <mergeCell ref="F2967:H2967"/>
    <mergeCell ref="I2967:K2977"/>
    <mergeCell ref="F2968:H2968"/>
    <mergeCell ref="F2969:H2969"/>
    <mergeCell ref="F2970:H2970"/>
    <mergeCell ref="F2978:H2978"/>
    <mergeCell ref="I2978:K2978"/>
    <mergeCell ref="F2979:H2979"/>
    <mergeCell ref="I2979:K2989"/>
    <mergeCell ref="F2980:H2980"/>
    <mergeCell ref="F2981:H2981"/>
    <mergeCell ref="F2982:H2982"/>
    <mergeCell ref="F2990:H2990"/>
    <mergeCell ref="I2990:K2990"/>
    <mergeCell ref="F2991:H2991"/>
    <mergeCell ref="I2991:K3001"/>
    <mergeCell ref="F2992:H2992"/>
    <mergeCell ref="F2993:H2993"/>
    <mergeCell ref="F2994:H2994"/>
    <mergeCell ref="F2930:H2930"/>
    <mergeCell ref="I2930:K2930"/>
    <mergeCell ref="F2931:H2931"/>
    <mergeCell ref="I2931:K2941"/>
    <mergeCell ref="F2932:H2932"/>
    <mergeCell ref="F2933:H2933"/>
    <mergeCell ref="F2934:H2934"/>
    <mergeCell ref="F2942:H2942"/>
    <mergeCell ref="I2942:K2942"/>
    <mergeCell ref="F2943:H2943"/>
    <mergeCell ref="I2943:K2953"/>
    <mergeCell ref="F2944:H2944"/>
    <mergeCell ref="F2945:H2945"/>
    <mergeCell ref="F2946:H2946"/>
    <mergeCell ref="F2954:H2954"/>
    <mergeCell ref="I2954:K2954"/>
    <mergeCell ref="F2955:H2955"/>
    <mergeCell ref="I2955:K2965"/>
    <mergeCell ref="F2956:H2956"/>
    <mergeCell ref="F2957:H2957"/>
    <mergeCell ref="F2958:H2958"/>
    <mergeCell ref="F2894:H2894"/>
    <mergeCell ref="I2894:K2894"/>
    <mergeCell ref="F2895:H2895"/>
    <mergeCell ref="I2895:K2905"/>
    <mergeCell ref="F2896:H2896"/>
    <mergeCell ref="F2897:H2897"/>
    <mergeCell ref="F2898:H2898"/>
    <mergeCell ref="F2906:H2906"/>
    <mergeCell ref="I2906:K2906"/>
    <mergeCell ref="F2907:H2907"/>
    <mergeCell ref="I2907:K2917"/>
    <mergeCell ref="F2908:H2908"/>
    <mergeCell ref="F2909:H2909"/>
    <mergeCell ref="F2910:H2910"/>
    <mergeCell ref="F2918:H2918"/>
    <mergeCell ref="I2918:K2918"/>
    <mergeCell ref="F2919:H2919"/>
    <mergeCell ref="I2919:K2929"/>
    <mergeCell ref="F2920:H2920"/>
    <mergeCell ref="F2921:H2921"/>
    <mergeCell ref="F2922:H2922"/>
    <mergeCell ref="F2858:H2858"/>
    <mergeCell ref="I2858:K2858"/>
    <mergeCell ref="F2859:H2859"/>
    <mergeCell ref="I2859:K2869"/>
    <mergeCell ref="F2860:H2860"/>
    <mergeCell ref="F2861:H2861"/>
    <mergeCell ref="F2862:H2862"/>
    <mergeCell ref="F2870:H2870"/>
    <mergeCell ref="I2870:K2870"/>
    <mergeCell ref="F2871:H2871"/>
    <mergeCell ref="I2871:K2881"/>
    <mergeCell ref="F2872:H2872"/>
    <mergeCell ref="F2873:H2873"/>
    <mergeCell ref="F2874:H2874"/>
    <mergeCell ref="F2882:H2882"/>
    <mergeCell ref="I2882:K2882"/>
    <mergeCell ref="F2883:H2883"/>
    <mergeCell ref="I2883:K2893"/>
    <mergeCell ref="F2884:H2884"/>
    <mergeCell ref="F2885:H2885"/>
    <mergeCell ref="F2886:H2886"/>
    <mergeCell ref="F2822:H2822"/>
    <mergeCell ref="I2822:K2822"/>
    <mergeCell ref="F2823:H2823"/>
    <mergeCell ref="I2823:K2833"/>
    <mergeCell ref="F2824:H2824"/>
    <mergeCell ref="F2825:H2825"/>
    <mergeCell ref="F2826:H2826"/>
    <mergeCell ref="F2834:H2834"/>
    <mergeCell ref="I2834:K2834"/>
    <mergeCell ref="F2835:H2835"/>
    <mergeCell ref="I2835:K2845"/>
    <mergeCell ref="F2836:H2836"/>
    <mergeCell ref="F2837:H2837"/>
    <mergeCell ref="F2838:H2838"/>
    <mergeCell ref="F2846:H2846"/>
    <mergeCell ref="I2846:K2846"/>
    <mergeCell ref="F2847:H2847"/>
    <mergeCell ref="I2847:K2857"/>
    <mergeCell ref="F2848:H2848"/>
    <mergeCell ref="F2849:H2849"/>
    <mergeCell ref="F2850:H2850"/>
    <mergeCell ref="F2786:H2786"/>
    <mergeCell ref="I2786:K2786"/>
    <mergeCell ref="F2787:H2787"/>
    <mergeCell ref="I2787:K2797"/>
    <mergeCell ref="F2788:H2788"/>
    <mergeCell ref="F2789:H2789"/>
    <mergeCell ref="F2790:H2790"/>
    <mergeCell ref="F2798:H2798"/>
    <mergeCell ref="I2798:K2798"/>
    <mergeCell ref="F2799:H2799"/>
    <mergeCell ref="I2799:K2809"/>
    <mergeCell ref="F2800:H2800"/>
    <mergeCell ref="F2801:H2801"/>
    <mergeCell ref="F2802:H2802"/>
    <mergeCell ref="F2810:H2810"/>
    <mergeCell ref="I2810:K2810"/>
    <mergeCell ref="F2811:H2811"/>
    <mergeCell ref="I2811:K2821"/>
    <mergeCell ref="F2812:H2812"/>
    <mergeCell ref="F2813:H2813"/>
    <mergeCell ref="F2814:H2814"/>
    <mergeCell ref="I2750:K2750"/>
    <mergeCell ref="F2751:H2751"/>
    <mergeCell ref="I2751:K2761"/>
    <mergeCell ref="F2752:H2752"/>
    <mergeCell ref="F2753:H2753"/>
    <mergeCell ref="F2754:H2754"/>
    <mergeCell ref="F2762:H2762"/>
    <mergeCell ref="I2762:K2762"/>
    <mergeCell ref="F2763:H2763"/>
    <mergeCell ref="I2763:K2773"/>
    <mergeCell ref="F2764:H2764"/>
    <mergeCell ref="F2765:H2765"/>
    <mergeCell ref="F2766:H2766"/>
    <mergeCell ref="F2774:H2774"/>
    <mergeCell ref="I2774:K2774"/>
    <mergeCell ref="F2775:H2775"/>
    <mergeCell ref="I2775:K2785"/>
    <mergeCell ref="F2776:H2776"/>
    <mergeCell ref="F2777:H2777"/>
    <mergeCell ref="F2778:H2778"/>
    <mergeCell ref="F2559:H2559"/>
    <mergeCell ref="I2559:K2569"/>
    <mergeCell ref="F2560:H2560"/>
    <mergeCell ref="F2561:H2561"/>
    <mergeCell ref="F2562:H2562"/>
    <mergeCell ref="F2534:H2534"/>
    <mergeCell ref="F2512:H2512"/>
    <mergeCell ref="F2513:H2513"/>
    <mergeCell ref="F2514:H2514"/>
    <mergeCell ref="I2534:K2534"/>
    <mergeCell ref="F2535:H2535"/>
    <mergeCell ref="I2535:K2545"/>
    <mergeCell ref="F2536:H2536"/>
    <mergeCell ref="F2537:H2537"/>
    <mergeCell ref="F2538:H2538"/>
    <mergeCell ref="F2546:H2546"/>
    <mergeCell ref="I2546:K2546"/>
    <mergeCell ref="F2547:H2547"/>
    <mergeCell ref="I2547:K2557"/>
    <mergeCell ref="F2548:H2548"/>
    <mergeCell ref="F2549:H2549"/>
    <mergeCell ref="F2550:H2550"/>
    <mergeCell ref="F2558:H2558"/>
    <mergeCell ref="I2558:K2558"/>
    <mergeCell ref="F2522:H2522"/>
    <mergeCell ref="I2522:K2522"/>
    <mergeCell ref="F2523:H2523"/>
    <mergeCell ref="I2523:K2533"/>
    <mergeCell ref="F2524:H2524"/>
    <mergeCell ref="F2525:H2525"/>
    <mergeCell ref="F2526:H2526"/>
    <mergeCell ref="F2462:H2462"/>
    <mergeCell ref="I2462:K2462"/>
    <mergeCell ref="F2463:H2463"/>
    <mergeCell ref="I2463:K2473"/>
    <mergeCell ref="F2464:H2464"/>
    <mergeCell ref="F2465:H2465"/>
    <mergeCell ref="F2466:H2466"/>
    <mergeCell ref="F2402:H2402"/>
    <mergeCell ref="I2402:K2402"/>
    <mergeCell ref="F2403:H2403"/>
    <mergeCell ref="I2403:K2413"/>
    <mergeCell ref="F2404:H2404"/>
    <mergeCell ref="F2405:H2405"/>
    <mergeCell ref="F2406:H2406"/>
    <mergeCell ref="F2414:H2414"/>
    <mergeCell ref="I2414:K2414"/>
    <mergeCell ref="F2415:H2415"/>
    <mergeCell ref="I2415:K2425"/>
    <mergeCell ref="F2416:H2416"/>
    <mergeCell ref="F2417:H2417"/>
    <mergeCell ref="F2418:H2418"/>
    <mergeCell ref="F2426:H2426"/>
    <mergeCell ref="I2426:K2426"/>
    <mergeCell ref="F2427:H2427"/>
    <mergeCell ref="I2427:K2437"/>
    <mergeCell ref="F2438:H2438"/>
    <mergeCell ref="I2438:K2438"/>
    <mergeCell ref="F2439:H2439"/>
    <mergeCell ref="I2439:K2449"/>
    <mergeCell ref="I2474:K2474"/>
    <mergeCell ref="F2475:H2475"/>
    <mergeCell ref="I2475:K2485"/>
    <mergeCell ref="F2476:H2476"/>
    <mergeCell ref="F2477:H2477"/>
    <mergeCell ref="F2478:H2478"/>
    <mergeCell ref="F2486:H2486"/>
    <mergeCell ref="I2486:K2486"/>
    <mergeCell ref="F2487:H2487"/>
    <mergeCell ref="I2487:K2497"/>
    <mergeCell ref="F2488:H2488"/>
    <mergeCell ref="F2489:H2489"/>
    <mergeCell ref="F2490:H2490"/>
    <mergeCell ref="F2498:H2498"/>
    <mergeCell ref="I2498:K2498"/>
    <mergeCell ref="F2499:H2499"/>
    <mergeCell ref="I2499:K2509"/>
    <mergeCell ref="F2500:H2500"/>
    <mergeCell ref="F2501:H2501"/>
    <mergeCell ref="F2502:H2502"/>
    <mergeCell ref="F2510:H2510"/>
    <mergeCell ref="I2510:K2510"/>
    <mergeCell ref="F2511:H2511"/>
    <mergeCell ref="I2511:K2521"/>
    <mergeCell ref="F2440:H2440"/>
    <mergeCell ref="F2441:H2441"/>
    <mergeCell ref="F2442:H2442"/>
    <mergeCell ref="F2450:H2450"/>
    <mergeCell ref="I2450:K2450"/>
    <mergeCell ref="F2451:H2451"/>
    <mergeCell ref="I2451:K2461"/>
    <mergeCell ref="F2428:H2428"/>
    <mergeCell ref="F2429:H2429"/>
    <mergeCell ref="F2430:H2430"/>
    <mergeCell ref="F2378:H2378"/>
    <mergeCell ref="I2378:K2378"/>
    <mergeCell ref="F2379:H2379"/>
    <mergeCell ref="I2379:K2389"/>
    <mergeCell ref="F2380:H2380"/>
    <mergeCell ref="F2381:H2381"/>
    <mergeCell ref="F2382:H2382"/>
    <mergeCell ref="F2390:H2390"/>
    <mergeCell ref="I2390:K2390"/>
    <mergeCell ref="F2391:H2391"/>
    <mergeCell ref="I2391:K2401"/>
    <mergeCell ref="F2392:H2392"/>
    <mergeCell ref="F2393:H2393"/>
    <mergeCell ref="F2394:H2394"/>
    <mergeCell ref="F2452:H2452"/>
    <mergeCell ref="F2453:H2453"/>
    <mergeCell ref="F2454:H2454"/>
    <mergeCell ref="F2474:H2474"/>
    <mergeCell ref="F2342:H2342"/>
    <mergeCell ref="I2342:K2342"/>
    <mergeCell ref="F2343:H2343"/>
    <mergeCell ref="I2343:K2353"/>
    <mergeCell ref="F2344:H2344"/>
    <mergeCell ref="F2345:H2345"/>
    <mergeCell ref="F2346:H2346"/>
    <mergeCell ref="F2354:H2354"/>
    <mergeCell ref="I2354:K2354"/>
    <mergeCell ref="F2355:H2355"/>
    <mergeCell ref="I2355:K2365"/>
    <mergeCell ref="F2356:H2356"/>
    <mergeCell ref="F2357:H2357"/>
    <mergeCell ref="F2358:H2358"/>
    <mergeCell ref="F2366:H2366"/>
    <mergeCell ref="I2366:K2366"/>
    <mergeCell ref="F2367:H2367"/>
    <mergeCell ref="I2367:K2377"/>
    <mergeCell ref="F2368:H2368"/>
    <mergeCell ref="F2369:H2369"/>
    <mergeCell ref="F2370:H2370"/>
    <mergeCell ref="F2306:H2306"/>
    <mergeCell ref="I2306:K2306"/>
    <mergeCell ref="F2307:H2307"/>
    <mergeCell ref="I2307:K2317"/>
    <mergeCell ref="F2308:H2308"/>
    <mergeCell ref="F2309:H2309"/>
    <mergeCell ref="F2310:H2310"/>
    <mergeCell ref="F2318:H2318"/>
    <mergeCell ref="I2318:K2318"/>
    <mergeCell ref="F2319:H2319"/>
    <mergeCell ref="I2319:K2329"/>
    <mergeCell ref="F2320:H2320"/>
    <mergeCell ref="F2321:H2321"/>
    <mergeCell ref="F2322:H2322"/>
    <mergeCell ref="F2330:H2330"/>
    <mergeCell ref="I2330:K2330"/>
    <mergeCell ref="F2331:H2331"/>
    <mergeCell ref="I2331:K2341"/>
    <mergeCell ref="F2332:H2332"/>
    <mergeCell ref="F2333:H2333"/>
    <mergeCell ref="F2334:H2334"/>
    <mergeCell ref="F2270:H2270"/>
    <mergeCell ref="I2270:K2270"/>
    <mergeCell ref="F2271:H2271"/>
    <mergeCell ref="I2271:K2281"/>
    <mergeCell ref="F2272:H2272"/>
    <mergeCell ref="F2273:H2273"/>
    <mergeCell ref="F2274:H2274"/>
    <mergeCell ref="F2282:H2282"/>
    <mergeCell ref="I2282:K2282"/>
    <mergeCell ref="F2283:H2283"/>
    <mergeCell ref="I2283:K2293"/>
    <mergeCell ref="F2284:H2284"/>
    <mergeCell ref="F2285:H2285"/>
    <mergeCell ref="F2286:H2286"/>
    <mergeCell ref="F2294:H2294"/>
    <mergeCell ref="I2294:K2294"/>
    <mergeCell ref="F2295:H2295"/>
    <mergeCell ref="I2295:K2305"/>
    <mergeCell ref="F2296:H2296"/>
    <mergeCell ref="F2297:H2297"/>
    <mergeCell ref="F2298:H2298"/>
    <mergeCell ref="F2234:H2234"/>
    <mergeCell ref="I2234:K2234"/>
    <mergeCell ref="F2235:H2235"/>
    <mergeCell ref="I2235:K2245"/>
    <mergeCell ref="F2236:H2236"/>
    <mergeCell ref="F2237:H2237"/>
    <mergeCell ref="F2238:H2238"/>
    <mergeCell ref="F2246:H2246"/>
    <mergeCell ref="I2246:K2246"/>
    <mergeCell ref="F2247:H2247"/>
    <mergeCell ref="I2247:K2257"/>
    <mergeCell ref="F2248:H2248"/>
    <mergeCell ref="F2249:H2249"/>
    <mergeCell ref="F2250:H2250"/>
    <mergeCell ref="F2258:H2258"/>
    <mergeCell ref="I2258:K2258"/>
    <mergeCell ref="F2259:H2259"/>
    <mergeCell ref="I2259:K2269"/>
    <mergeCell ref="F2260:H2260"/>
    <mergeCell ref="F2261:H2261"/>
    <mergeCell ref="F2262:H2262"/>
    <mergeCell ref="F2078:H2078"/>
    <mergeCell ref="I2078:K2078"/>
    <mergeCell ref="F2079:H2079"/>
    <mergeCell ref="I2079:K2089"/>
    <mergeCell ref="F2080:H2080"/>
    <mergeCell ref="F2081:H2081"/>
    <mergeCell ref="F2082:H2082"/>
    <mergeCell ref="F2090:H2090"/>
    <mergeCell ref="I2090:K2090"/>
    <mergeCell ref="F2091:H2091"/>
    <mergeCell ref="I2091:K2101"/>
    <mergeCell ref="F2092:H2092"/>
    <mergeCell ref="F2093:H2093"/>
    <mergeCell ref="F2094:H2094"/>
    <mergeCell ref="F2222:H2222"/>
    <mergeCell ref="I2222:K2222"/>
    <mergeCell ref="F2223:H2223"/>
    <mergeCell ref="I2223:K2233"/>
    <mergeCell ref="F2224:H2224"/>
    <mergeCell ref="F2225:H2225"/>
    <mergeCell ref="F2226:H2226"/>
    <mergeCell ref="F2102:H2102"/>
    <mergeCell ref="I2102:K2102"/>
    <mergeCell ref="F2103:H2103"/>
    <mergeCell ref="I2103:K2113"/>
    <mergeCell ref="F2104:H2104"/>
    <mergeCell ref="F2105:H2105"/>
    <mergeCell ref="F2106:H2106"/>
    <mergeCell ref="F2114:H2114"/>
    <mergeCell ref="I2114:K2114"/>
    <mergeCell ref="F2115:H2115"/>
    <mergeCell ref="I2115:K2125"/>
    <mergeCell ref="F2042:H2042"/>
    <mergeCell ref="I2042:K2042"/>
    <mergeCell ref="F2043:H2043"/>
    <mergeCell ref="I2043:K2053"/>
    <mergeCell ref="F2044:H2044"/>
    <mergeCell ref="F2045:H2045"/>
    <mergeCell ref="F2046:H2046"/>
    <mergeCell ref="F2054:H2054"/>
    <mergeCell ref="I2054:K2054"/>
    <mergeCell ref="F2055:H2055"/>
    <mergeCell ref="I2055:K2065"/>
    <mergeCell ref="F2056:H2056"/>
    <mergeCell ref="F2057:H2057"/>
    <mergeCell ref="F2058:H2058"/>
    <mergeCell ref="F2066:H2066"/>
    <mergeCell ref="I2066:K2066"/>
    <mergeCell ref="F2067:H2067"/>
    <mergeCell ref="I2067:K2077"/>
    <mergeCell ref="F2068:H2068"/>
    <mergeCell ref="F2069:H2069"/>
    <mergeCell ref="F2070:H2070"/>
    <mergeCell ref="F2006:H2006"/>
    <mergeCell ref="I2006:K2006"/>
    <mergeCell ref="F2007:H2007"/>
    <mergeCell ref="I2007:K2017"/>
    <mergeCell ref="F2008:H2008"/>
    <mergeCell ref="F2009:H2009"/>
    <mergeCell ref="F2010:H2010"/>
    <mergeCell ref="F2018:H2018"/>
    <mergeCell ref="I2018:K2018"/>
    <mergeCell ref="F2019:H2019"/>
    <mergeCell ref="I2019:K2029"/>
    <mergeCell ref="F2020:H2020"/>
    <mergeCell ref="F2021:H2021"/>
    <mergeCell ref="F2022:H2022"/>
    <mergeCell ref="F2030:H2030"/>
    <mergeCell ref="I2030:K2030"/>
    <mergeCell ref="F2031:H2031"/>
    <mergeCell ref="I2031:K2041"/>
    <mergeCell ref="F2032:H2032"/>
    <mergeCell ref="F2033:H2033"/>
    <mergeCell ref="F2034:H2034"/>
    <mergeCell ref="F1743:H1743"/>
    <mergeCell ref="I1743:K1753"/>
    <mergeCell ref="F1744:H1744"/>
    <mergeCell ref="F1745:H1745"/>
    <mergeCell ref="F1746:H1746"/>
    <mergeCell ref="F1730:H1730"/>
    <mergeCell ref="I1730:K1730"/>
    <mergeCell ref="F1731:H1731"/>
    <mergeCell ref="I1731:K1741"/>
    <mergeCell ref="F1732:H1732"/>
    <mergeCell ref="F1733:H1733"/>
    <mergeCell ref="F1734:H1734"/>
    <mergeCell ref="F1742:H1742"/>
    <mergeCell ref="I1742:K1742"/>
    <mergeCell ref="F1707:H1707"/>
    <mergeCell ref="I1707:K1717"/>
    <mergeCell ref="F1708:H1708"/>
    <mergeCell ref="F1709:H1709"/>
    <mergeCell ref="F1710:H1710"/>
    <mergeCell ref="F1718:H1718"/>
    <mergeCell ref="I1718:K1718"/>
    <mergeCell ref="F1719:H1719"/>
    <mergeCell ref="I1719:K1729"/>
    <mergeCell ref="F1720:H1720"/>
    <mergeCell ref="F1721:H1721"/>
    <mergeCell ref="F1722:H1722"/>
    <mergeCell ref="F1694:H1694"/>
    <mergeCell ref="I1694:K1694"/>
    <mergeCell ref="F1695:H1695"/>
    <mergeCell ref="I1695:K1705"/>
    <mergeCell ref="F1696:H1696"/>
    <mergeCell ref="F1697:H1697"/>
    <mergeCell ref="F1698:H1698"/>
    <mergeCell ref="F1706:H1706"/>
    <mergeCell ref="I1706:K1706"/>
    <mergeCell ref="F1671:H1671"/>
    <mergeCell ref="I1671:K1681"/>
    <mergeCell ref="F1672:H1672"/>
    <mergeCell ref="F1673:H1673"/>
    <mergeCell ref="F1674:H1674"/>
    <mergeCell ref="F1682:H1682"/>
    <mergeCell ref="I1682:K1682"/>
    <mergeCell ref="F1683:H1683"/>
    <mergeCell ref="I1683:K1693"/>
    <mergeCell ref="F1684:H1684"/>
    <mergeCell ref="F1685:H1685"/>
    <mergeCell ref="F1686:H1686"/>
    <mergeCell ref="F1658:H1658"/>
    <mergeCell ref="I1658:K1658"/>
    <mergeCell ref="F1659:H1659"/>
    <mergeCell ref="I1659:K1669"/>
    <mergeCell ref="F1660:H1660"/>
    <mergeCell ref="F1661:H1661"/>
    <mergeCell ref="F1662:H1662"/>
    <mergeCell ref="F1670:H1670"/>
    <mergeCell ref="I1670:K1670"/>
    <mergeCell ref="F1635:H1635"/>
    <mergeCell ref="I1635:K1645"/>
    <mergeCell ref="F1636:H1636"/>
    <mergeCell ref="F1637:H1637"/>
    <mergeCell ref="F1638:H1638"/>
    <mergeCell ref="F1646:H1646"/>
    <mergeCell ref="I1646:K1646"/>
    <mergeCell ref="F1647:H1647"/>
    <mergeCell ref="I1647:K1657"/>
    <mergeCell ref="F1648:H1648"/>
    <mergeCell ref="F1649:H1649"/>
    <mergeCell ref="F1650:H1650"/>
    <mergeCell ref="F1622:H1622"/>
    <mergeCell ref="I1622:K1622"/>
    <mergeCell ref="F1623:H1623"/>
    <mergeCell ref="I1623:K1633"/>
    <mergeCell ref="F1624:H1624"/>
    <mergeCell ref="F1625:H1625"/>
    <mergeCell ref="F1626:H1626"/>
    <mergeCell ref="F1634:H1634"/>
    <mergeCell ref="I1634:K1634"/>
    <mergeCell ref="F1599:H1599"/>
    <mergeCell ref="I1599:K1609"/>
    <mergeCell ref="F1600:H1600"/>
    <mergeCell ref="F1601:H1601"/>
    <mergeCell ref="F1602:H1602"/>
    <mergeCell ref="F1610:H1610"/>
    <mergeCell ref="I1610:K1610"/>
    <mergeCell ref="F1611:H1611"/>
    <mergeCell ref="I1611:K1621"/>
    <mergeCell ref="F1612:H1612"/>
    <mergeCell ref="F1613:H1613"/>
    <mergeCell ref="F1614:H1614"/>
    <mergeCell ref="F1586:H1586"/>
    <mergeCell ref="I1586:K1586"/>
    <mergeCell ref="F1587:H1587"/>
    <mergeCell ref="I1587:K1597"/>
    <mergeCell ref="F1588:H1588"/>
    <mergeCell ref="F1589:H1589"/>
    <mergeCell ref="F1590:H1590"/>
    <mergeCell ref="F1598:H1598"/>
    <mergeCell ref="I1598:K1598"/>
    <mergeCell ref="F1563:H1563"/>
    <mergeCell ref="I1563:K1573"/>
    <mergeCell ref="F1564:H1564"/>
    <mergeCell ref="F1565:H1565"/>
    <mergeCell ref="F1566:H1566"/>
    <mergeCell ref="F1574:H1574"/>
    <mergeCell ref="I1574:K1574"/>
    <mergeCell ref="F1575:H1575"/>
    <mergeCell ref="I1575:K1585"/>
    <mergeCell ref="F1576:H1576"/>
    <mergeCell ref="F1577:H1577"/>
    <mergeCell ref="F1578:H1578"/>
    <mergeCell ref="F1550:H1550"/>
    <mergeCell ref="I1550:K1550"/>
    <mergeCell ref="F1551:H1551"/>
    <mergeCell ref="I1551:K1561"/>
    <mergeCell ref="F1552:H1552"/>
    <mergeCell ref="F1553:H1553"/>
    <mergeCell ref="F1554:H1554"/>
    <mergeCell ref="F1562:H1562"/>
    <mergeCell ref="I1562:K1562"/>
    <mergeCell ref="F1359:H1359"/>
    <mergeCell ref="I1359:K1369"/>
    <mergeCell ref="F1360:H1360"/>
    <mergeCell ref="F1361:H1361"/>
    <mergeCell ref="F1362:H1362"/>
    <mergeCell ref="F1346:H1346"/>
    <mergeCell ref="I1346:K1346"/>
    <mergeCell ref="F1347:H1347"/>
    <mergeCell ref="I1347:K1357"/>
    <mergeCell ref="F1348:H1348"/>
    <mergeCell ref="F1349:H1349"/>
    <mergeCell ref="F1350:H1350"/>
    <mergeCell ref="F1358:H1358"/>
    <mergeCell ref="I1358:K1358"/>
    <mergeCell ref="F1385:H1385"/>
    <mergeCell ref="F1386:H1386"/>
    <mergeCell ref="F1394:H1394"/>
    <mergeCell ref="I1394:K1394"/>
    <mergeCell ref="F1395:H1395"/>
    <mergeCell ref="I1395:K1405"/>
    <mergeCell ref="F1396:H1396"/>
    <mergeCell ref="F1397:H1397"/>
    <mergeCell ref="F1398:H1398"/>
    <mergeCell ref="F1323:H1323"/>
    <mergeCell ref="I1323:K1333"/>
    <mergeCell ref="F1324:H1324"/>
    <mergeCell ref="F1325:H1325"/>
    <mergeCell ref="F1326:H1326"/>
    <mergeCell ref="F1334:H1334"/>
    <mergeCell ref="I1334:K1334"/>
    <mergeCell ref="F1335:H1335"/>
    <mergeCell ref="I1335:K1345"/>
    <mergeCell ref="F1336:H1336"/>
    <mergeCell ref="F1337:H1337"/>
    <mergeCell ref="F1338:H1338"/>
    <mergeCell ref="F1310:H1310"/>
    <mergeCell ref="I1310:K1310"/>
    <mergeCell ref="F1311:H1311"/>
    <mergeCell ref="I1311:K1321"/>
    <mergeCell ref="F1312:H1312"/>
    <mergeCell ref="F1313:H1313"/>
    <mergeCell ref="F1314:H1314"/>
    <mergeCell ref="F1322:H1322"/>
    <mergeCell ref="I1322:K1322"/>
    <mergeCell ref="F1287:H1287"/>
    <mergeCell ref="I1287:K1297"/>
    <mergeCell ref="F1288:H1288"/>
    <mergeCell ref="F1289:H1289"/>
    <mergeCell ref="F1290:H1290"/>
    <mergeCell ref="F1298:H1298"/>
    <mergeCell ref="I1298:K1298"/>
    <mergeCell ref="F1299:H1299"/>
    <mergeCell ref="I1299:K1309"/>
    <mergeCell ref="F1300:H1300"/>
    <mergeCell ref="F1301:H1301"/>
    <mergeCell ref="F1302:H1302"/>
    <mergeCell ref="F1274:H1274"/>
    <mergeCell ref="I1274:K1274"/>
    <mergeCell ref="F1275:H1275"/>
    <mergeCell ref="I1275:K1285"/>
    <mergeCell ref="F1276:H1276"/>
    <mergeCell ref="F1277:H1277"/>
    <mergeCell ref="F1278:H1278"/>
    <mergeCell ref="F1286:H1286"/>
    <mergeCell ref="I1286:K1286"/>
    <mergeCell ref="F1251:H1251"/>
    <mergeCell ref="I1251:K1261"/>
    <mergeCell ref="F1252:H1252"/>
    <mergeCell ref="F1253:H1253"/>
    <mergeCell ref="F1254:H1254"/>
    <mergeCell ref="F1262:H1262"/>
    <mergeCell ref="I1262:K1262"/>
    <mergeCell ref="F1263:H1263"/>
    <mergeCell ref="I1263:K1273"/>
    <mergeCell ref="F1264:H1264"/>
    <mergeCell ref="F1265:H1265"/>
    <mergeCell ref="F1266:H1266"/>
    <mergeCell ref="F1238:H1238"/>
    <mergeCell ref="I1238:K1238"/>
    <mergeCell ref="F1239:H1239"/>
    <mergeCell ref="I1239:K1249"/>
    <mergeCell ref="F1240:H1240"/>
    <mergeCell ref="F1241:H1241"/>
    <mergeCell ref="F1242:H1242"/>
    <mergeCell ref="F1250:H1250"/>
    <mergeCell ref="I1250:K1250"/>
    <mergeCell ref="F1070:H1070"/>
    <mergeCell ref="I1070:K1070"/>
    <mergeCell ref="F1071:H1071"/>
    <mergeCell ref="I1071:K1081"/>
    <mergeCell ref="F1072:H1072"/>
    <mergeCell ref="F1073:H1073"/>
    <mergeCell ref="F1074:H1074"/>
    <mergeCell ref="F926:H926"/>
    <mergeCell ref="I926:K926"/>
    <mergeCell ref="F927:H927"/>
    <mergeCell ref="I927:K937"/>
    <mergeCell ref="F928:H928"/>
    <mergeCell ref="F929:H929"/>
    <mergeCell ref="F930:H930"/>
    <mergeCell ref="F938:H938"/>
    <mergeCell ref="I938:K938"/>
    <mergeCell ref="F939:H939"/>
    <mergeCell ref="I939:K949"/>
    <mergeCell ref="F940:H940"/>
    <mergeCell ref="F941:H941"/>
    <mergeCell ref="F942:H942"/>
    <mergeCell ref="F950:H950"/>
    <mergeCell ref="I950:K950"/>
    <mergeCell ref="F951:H951"/>
    <mergeCell ref="F1047:H1047"/>
    <mergeCell ref="I1047:K1057"/>
    <mergeCell ref="F1048:H1048"/>
    <mergeCell ref="F1049:H1049"/>
    <mergeCell ref="F1050:H1050"/>
    <mergeCell ref="F1058:H1058"/>
    <mergeCell ref="I1058:K1058"/>
    <mergeCell ref="F1059:H1059"/>
    <mergeCell ref="I1059:K1069"/>
    <mergeCell ref="F1060:H1060"/>
    <mergeCell ref="F1061:H1061"/>
    <mergeCell ref="F1062:H1062"/>
    <mergeCell ref="F1034:H1034"/>
    <mergeCell ref="I1034:K1034"/>
    <mergeCell ref="F1035:H1035"/>
    <mergeCell ref="I1035:K1045"/>
    <mergeCell ref="F1036:H1036"/>
    <mergeCell ref="F1037:H1037"/>
    <mergeCell ref="F1038:H1038"/>
    <mergeCell ref="F1046:H1046"/>
    <mergeCell ref="I1046:K1046"/>
    <mergeCell ref="F1011:H1011"/>
    <mergeCell ref="I1011:K1021"/>
    <mergeCell ref="F1012:H1012"/>
    <mergeCell ref="F1013:H1013"/>
    <mergeCell ref="F1014:H1014"/>
    <mergeCell ref="F1022:H1022"/>
    <mergeCell ref="I1022:K1022"/>
    <mergeCell ref="F1023:H1023"/>
    <mergeCell ref="I1023:K1033"/>
    <mergeCell ref="F1024:H1024"/>
    <mergeCell ref="F1025:H1025"/>
    <mergeCell ref="F1026:H1026"/>
    <mergeCell ref="F998:H998"/>
    <mergeCell ref="I998:K998"/>
    <mergeCell ref="F999:H999"/>
    <mergeCell ref="I999:K1009"/>
    <mergeCell ref="F1000:H1000"/>
    <mergeCell ref="F1001:H1001"/>
    <mergeCell ref="F1002:H1002"/>
    <mergeCell ref="F1010:H1010"/>
    <mergeCell ref="I1010:K1010"/>
    <mergeCell ref="F975:H975"/>
    <mergeCell ref="I975:K985"/>
    <mergeCell ref="F976:H976"/>
    <mergeCell ref="F977:H977"/>
    <mergeCell ref="F978:H978"/>
    <mergeCell ref="F986:H986"/>
    <mergeCell ref="I986:K986"/>
    <mergeCell ref="F987:H987"/>
    <mergeCell ref="I987:K997"/>
    <mergeCell ref="F988:H988"/>
    <mergeCell ref="F989:H989"/>
    <mergeCell ref="F990:H990"/>
    <mergeCell ref="F962:H962"/>
    <mergeCell ref="I962:K962"/>
    <mergeCell ref="F963:H963"/>
    <mergeCell ref="I963:K973"/>
    <mergeCell ref="F964:H964"/>
    <mergeCell ref="F965:H965"/>
    <mergeCell ref="F966:H966"/>
    <mergeCell ref="F974:H974"/>
    <mergeCell ref="I974:K974"/>
    <mergeCell ref="I951:K961"/>
    <mergeCell ref="F952:H952"/>
    <mergeCell ref="F953:H953"/>
    <mergeCell ref="F954:H954"/>
    <mergeCell ref="F543:H543"/>
    <mergeCell ref="I543:K553"/>
    <mergeCell ref="F544:H544"/>
    <mergeCell ref="F545:H545"/>
    <mergeCell ref="F546:H546"/>
    <mergeCell ref="I579:K589"/>
    <mergeCell ref="F580:H580"/>
    <mergeCell ref="F581:H581"/>
    <mergeCell ref="F582:H582"/>
    <mergeCell ref="F590:H590"/>
    <mergeCell ref="I590:K590"/>
    <mergeCell ref="F591:H591"/>
    <mergeCell ref="I591:K601"/>
    <mergeCell ref="F592:H592"/>
    <mergeCell ref="F593:H593"/>
    <mergeCell ref="F594:H594"/>
    <mergeCell ref="F602:H602"/>
    <mergeCell ref="I602:K602"/>
    <mergeCell ref="F603:H603"/>
    <mergeCell ref="I603:K613"/>
    <mergeCell ref="F530:H530"/>
    <mergeCell ref="I530:K530"/>
    <mergeCell ref="F531:H531"/>
    <mergeCell ref="I531:K541"/>
    <mergeCell ref="F532:H532"/>
    <mergeCell ref="F533:H533"/>
    <mergeCell ref="F534:H534"/>
    <mergeCell ref="F542:H542"/>
    <mergeCell ref="I542:K542"/>
    <mergeCell ref="F507:H507"/>
    <mergeCell ref="I507:K517"/>
    <mergeCell ref="F508:H508"/>
    <mergeCell ref="F509:H509"/>
    <mergeCell ref="F510:H510"/>
    <mergeCell ref="F518:H518"/>
    <mergeCell ref="I518:K518"/>
    <mergeCell ref="F519:H519"/>
    <mergeCell ref="I519:K529"/>
    <mergeCell ref="F520:H520"/>
    <mergeCell ref="F521:H521"/>
    <mergeCell ref="F522:H522"/>
    <mergeCell ref="F494:H494"/>
    <mergeCell ref="I494:K494"/>
    <mergeCell ref="F495:H495"/>
    <mergeCell ref="I495:K505"/>
    <mergeCell ref="F496:H496"/>
    <mergeCell ref="F497:H497"/>
    <mergeCell ref="F498:H498"/>
    <mergeCell ref="F506:H506"/>
    <mergeCell ref="I506:K506"/>
    <mergeCell ref="F471:H471"/>
    <mergeCell ref="I471:K481"/>
    <mergeCell ref="F472:H472"/>
    <mergeCell ref="F473:H473"/>
    <mergeCell ref="F474:H474"/>
    <mergeCell ref="F482:H482"/>
    <mergeCell ref="I482:K482"/>
    <mergeCell ref="F483:H483"/>
    <mergeCell ref="I483:K493"/>
    <mergeCell ref="F484:H484"/>
    <mergeCell ref="F485:H485"/>
    <mergeCell ref="F486:H486"/>
    <mergeCell ref="F458:H458"/>
    <mergeCell ref="I458:K458"/>
    <mergeCell ref="F459:H459"/>
    <mergeCell ref="I459:K469"/>
    <mergeCell ref="F460:H460"/>
    <mergeCell ref="F461:H461"/>
    <mergeCell ref="F462:H462"/>
    <mergeCell ref="F470:H470"/>
    <mergeCell ref="I470:K470"/>
    <mergeCell ref="F435:H435"/>
    <mergeCell ref="I435:K445"/>
    <mergeCell ref="F436:H436"/>
    <mergeCell ref="F437:H437"/>
    <mergeCell ref="F438:H438"/>
    <mergeCell ref="F446:H446"/>
    <mergeCell ref="I446:K446"/>
    <mergeCell ref="F447:H447"/>
    <mergeCell ref="I447:K457"/>
    <mergeCell ref="F448:H448"/>
    <mergeCell ref="F449:H449"/>
    <mergeCell ref="F450:H450"/>
    <mergeCell ref="F422:H422"/>
    <mergeCell ref="I422:K422"/>
    <mergeCell ref="F423:H423"/>
    <mergeCell ref="I423:K433"/>
    <mergeCell ref="F424:H424"/>
    <mergeCell ref="F425:H425"/>
    <mergeCell ref="F426:H426"/>
    <mergeCell ref="F434:H434"/>
    <mergeCell ref="I434:K434"/>
    <mergeCell ref="F421:H421"/>
    <mergeCell ref="I421:K421"/>
    <mergeCell ref="F398:H398"/>
    <mergeCell ref="I398:K408"/>
    <mergeCell ref="F399:H399"/>
    <mergeCell ref="F400:H400"/>
    <mergeCell ref="F401:H401"/>
    <mergeCell ref="F409:H409"/>
    <mergeCell ref="I409:K409"/>
    <mergeCell ref="F410:H410"/>
    <mergeCell ref="I410:K420"/>
    <mergeCell ref="F411:H411"/>
    <mergeCell ref="F412:H412"/>
    <mergeCell ref="F413:H413"/>
    <mergeCell ref="F385:H385"/>
    <mergeCell ref="I385:K385"/>
    <mergeCell ref="F386:H386"/>
    <mergeCell ref="I386:K396"/>
    <mergeCell ref="F387:H387"/>
    <mergeCell ref="F388:H388"/>
    <mergeCell ref="F389:H389"/>
    <mergeCell ref="F397:H397"/>
    <mergeCell ref="I397:K397"/>
    <mergeCell ref="F362:H362"/>
    <mergeCell ref="I362:K372"/>
    <mergeCell ref="F363:H363"/>
    <mergeCell ref="F364:H364"/>
    <mergeCell ref="F365:H365"/>
    <mergeCell ref="F373:H373"/>
    <mergeCell ref="I373:K373"/>
    <mergeCell ref="F374:H374"/>
    <mergeCell ref="I374:K384"/>
    <mergeCell ref="F375:H375"/>
    <mergeCell ref="F376:H376"/>
    <mergeCell ref="F377:H377"/>
    <mergeCell ref="F349:H349"/>
    <mergeCell ref="I349:K349"/>
    <mergeCell ref="F350:H350"/>
    <mergeCell ref="I350:K360"/>
    <mergeCell ref="F351:H351"/>
    <mergeCell ref="F352:H352"/>
    <mergeCell ref="F353:H353"/>
    <mergeCell ref="F361:H361"/>
    <mergeCell ref="I361:K361"/>
    <mergeCell ref="F326:H326"/>
    <mergeCell ref="I326:K336"/>
    <mergeCell ref="F327:H327"/>
    <mergeCell ref="F328:H328"/>
    <mergeCell ref="F329:H329"/>
    <mergeCell ref="F337:H337"/>
    <mergeCell ref="I337:K337"/>
    <mergeCell ref="F338:H338"/>
    <mergeCell ref="I338:K348"/>
    <mergeCell ref="F339:H339"/>
    <mergeCell ref="F340:H340"/>
    <mergeCell ref="F341:H341"/>
    <mergeCell ref="F313:H313"/>
    <mergeCell ref="I313:K313"/>
    <mergeCell ref="F314:H314"/>
    <mergeCell ref="I314:K324"/>
    <mergeCell ref="F315:H315"/>
    <mergeCell ref="F316:H316"/>
    <mergeCell ref="F317:H317"/>
    <mergeCell ref="F325:H325"/>
    <mergeCell ref="I325:K325"/>
    <mergeCell ref="F290:H290"/>
    <mergeCell ref="I290:K300"/>
    <mergeCell ref="F291:H291"/>
    <mergeCell ref="F292:H292"/>
    <mergeCell ref="F293:H293"/>
    <mergeCell ref="F301:H301"/>
    <mergeCell ref="I301:K301"/>
    <mergeCell ref="F302:H302"/>
    <mergeCell ref="I302:K312"/>
    <mergeCell ref="F303:H303"/>
    <mergeCell ref="F304:H304"/>
    <mergeCell ref="F305:H305"/>
    <mergeCell ref="F277:H277"/>
    <mergeCell ref="I277:K277"/>
    <mergeCell ref="F278:H278"/>
    <mergeCell ref="I278:K288"/>
    <mergeCell ref="F279:H279"/>
    <mergeCell ref="F280:H280"/>
    <mergeCell ref="F281:H281"/>
    <mergeCell ref="F289:H289"/>
    <mergeCell ref="I289:K289"/>
    <mergeCell ref="F254:H254"/>
    <mergeCell ref="I254:K264"/>
    <mergeCell ref="F255:H255"/>
    <mergeCell ref="F256:H256"/>
    <mergeCell ref="F257:H257"/>
    <mergeCell ref="F265:H265"/>
    <mergeCell ref="I265:K265"/>
    <mergeCell ref="F266:H266"/>
    <mergeCell ref="I266:K276"/>
    <mergeCell ref="F267:H267"/>
    <mergeCell ref="F268:H268"/>
    <mergeCell ref="F269:H269"/>
    <mergeCell ref="F241:H241"/>
    <mergeCell ref="I241:K241"/>
    <mergeCell ref="F242:H242"/>
    <mergeCell ref="I242:K252"/>
    <mergeCell ref="F243:H243"/>
    <mergeCell ref="F244:H244"/>
    <mergeCell ref="F245:H245"/>
    <mergeCell ref="F253:H253"/>
    <mergeCell ref="I253:K253"/>
    <mergeCell ref="F205:H205"/>
    <mergeCell ref="I205:K216"/>
    <mergeCell ref="F206:H206"/>
    <mergeCell ref="F207:H207"/>
    <mergeCell ref="F208:H208"/>
    <mergeCell ref="F209:H209"/>
    <mergeCell ref="F193:H193"/>
    <mergeCell ref="I193:K204"/>
    <mergeCell ref="F194:H194"/>
    <mergeCell ref="F195:H195"/>
    <mergeCell ref="F196:H196"/>
    <mergeCell ref="F197:H197"/>
    <mergeCell ref="F229:H229"/>
    <mergeCell ref="I229:K240"/>
    <mergeCell ref="F230:H230"/>
    <mergeCell ref="F231:H231"/>
    <mergeCell ref="F232:H232"/>
    <mergeCell ref="F233:H233"/>
    <mergeCell ref="F217:H217"/>
    <mergeCell ref="I217:K228"/>
    <mergeCell ref="F218:H218"/>
    <mergeCell ref="F219:H219"/>
    <mergeCell ref="F220:H220"/>
    <mergeCell ref="F221:H221"/>
    <mergeCell ref="F181:H181"/>
    <mergeCell ref="I181:K192"/>
    <mergeCell ref="F182:H182"/>
    <mergeCell ref="F183:H183"/>
    <mergeCell ref="F184:H184"/>
    <mergeCell ref="F185:H185"/>
    <mergeCell ref="F169:H169"/>
    <mergeCell ref="I169:K180"/>
    <mergeCell ref="F170:H170"/>
    <mergeCell ref="F171:H171"/>
    <mergeCell ref="F172:H172"/>
    <mergeCell ref="F173:H173"/>
    <mergeCell ref="F157:H157"/>
    <mergeCell ref="I157:K168"/>
    <mergeCell ref="F158:H158"/>
    <mergeCell ref="F159:H159"/>
    <mergeCell ref="F160:H160"/>
    <mergeCell ref="F161:H161"/>
    <mergeCell ref="F89:H89"/>
    <mergeCell ref="F73:H73"/>
    <mergeCell ref="I73:K84"/>
    <mergeCell ref="F74:H74"/>
    <mergeCell ref="F75:H75"/>
    <mergeCell ref="F76:H76"/>
    <mergeCell ref="F77:H77"/>
    <mergeCell ref="F85:H85"/>
    <mergeCell ref="I85:K96"/>
    <mergeCell ref="F145:H145"/>
    <mergeCell ref="I145:K156"/>
    <mergeCell ref="F146:H146"/>
    <mergeCell ref="F147:H147"/>
    <mergeCell ref="F148:H148"/>
    <mergeCell ref="F149:H149"/>
    <mergeCell ref="F133:H133"/>
    <mergeCell ref="I133:K144"/>
    <mergeCell ref="F134:H134"/>
    <mergeCell ref="F135:H135"/>
    <mergeCell ref="F136:H136"/>
    <mergeCell ref="F137:H137"/>
    <mergeCell ref="F121:H121"/>
    <mergeCell ref="I121:K132"/>
    <mergeCell ref="F122:H122"/>
    <mergeCell ref="F123:H123"/>
    <mergeCell ref="F124:H124"/>
    <mergeCell ref="F125:H125"/>
    <mergeCell ref="F1:H1"/>
    <mergeCell ref="F2:H2"/>
    <mergeCell ref="F3:H3"/>
    <mergeCell ref="F4:H4"/>
    <mergeCell ref="F5:H5"/>
    <mergeCell ref="I1:K1"/>
    <mergeCell ref="I2:K12"/>
    <mergeCell ref="F37:H37"/>
    <mergeCell ref="I37:K48"/>
    <mergeCell ref="F38:H38"/>
    <mergeCell ref="F39:H39"/>
    <mergeCell ref="F40:H40"/>
    <mergeCell ref="F41:H41"/>
    <mergeCell ref="F25:H25"/>
    <mergeCell ref="I25:K36"/>
    <mergeCell ref="F26:H26"/>
    <mergeCell ref="F27:H27"/>
    <mergeCell ref="F28:H28"/>
    <mergeCell ref="F29:H29"/>
    <mergeCell ref="F13:H13"/>
    <mergeCell ref="I13:K24"/>
    <mergeCell ref="F14:H14"/>
    <mergeCell ref="F15:H15"/>
    <mergeCell ref="F16:H16"/>
    <mergeCell ref="F17:H17"/>
    <mergeCell ref="F61:H61"/>
    <mergeCell ref="I61:K72"/>
    <mergeCell ref="F62:H62"/>
    <mergeCell ref="F63:H63"/>
    <mergeCell ref="F64:H64"/>
    <mergeCell ref="F65:H65"/>
    <mergeCell ref="F49:H49"/>
    <mergeCell ref="I49:K60"/>
    <mergeCell ref="F50:H50"/>
    <mergeCell ref="F51:H51"/>
    <mergeCell ref="F52:H52"/>
    <mergeCell ref="F53:H53"/>
    <mergeCell ref="F604:H604"/>
    <mergeCell ref="F605:H605"/>
    <mergeCell ref="F606:H606"/>
    <mergeCell ref="F614:H614"/>
    <mergeCell ref="I614:K614"/>
    <mergeCell ref="F109:H109"/>
    <mergeCell ref="I109:K120"/>
    <mergeCell ref="F110:H110"/>
    <mergeCell ref="F111:H111"/>
    <mergeCell ref="F112:H112"/>
    <mergeCell ref="F113:H113"/>
    <mergeCell ref="F97:H97"/>
    <mergeCell ref="I97:K108"/>
    <mergeCell ref="F98:H98"/>
    <mergeCell ref="F99:H99"/>
    <mergeCell ref="F100:H100"/>
    <mergeCell ref="F101:H101"/>
    <mergeCell ref="F86:H86"/>
    <mergeCell ref="F87:H87"/>
    <mergeCell ref="F88:H88"/>
    <mergeCell ref="F615:H615"/>
    <mergeCell ref="I615:K625"/>
    <mergeCell ref="F616:H616"/>
    <mergeCell ref="F617:H617"/>
    <mergeCell ref="F618:H618"/>
    <mergeCell ref="F626:H626"/>
    <mergeCell ref="I626:K626"/>
    <mergeCell ref="F627:H627"/>
    <mergeCell ref="I627:K637"/>
    <mergeCell ref="F628:H628"/>
    <mergeCell ref="F629:H629"/>
    <mergeCell ref="F630:H630"/>
    <mergeCell ref="F638:H638"/>
    <mergeCell ref="I638:K638"/>
    <mergeCell ref="F639:H639"/>
    <mergeCell ref="I639:K649"/>
    <mergeCell ref="F640:H640"/>
    <mergeCell ref="F641:H641"/>
    <mergeCell ref="F642:H642"/>
    <mergeCell ref="F650:H650"/>
    <mergeCell ref="I650:K650"/>
    <mergeCell ref="F651:H651"/>
    <mergeCell ref="I651:K661"/>
    <mergeCell ref="F652:H652"/>
    <mergeCell ref="F653:H653"/>
    <mergeCell ref="F654:H654"/>
    <mergeCell ref="F662:H662"/>
    <mergeCell ref="I662:K662"/>
    <mergeCell ref="F663:H663"/>
    <mergeCell ref="I663:K673"/>
    <mergeCell ref="F664:H664"/>
    <mergeCell ref="F665:H665"/>
    <mergeCell ref="F666:H666"/>
    <mergeCell ref="F674:H674"/>
    <mergeCell ref="I674:K674"/>
    <mergeCell ref="F675:H675"/>
    <mergeCell ref="I675:K685"/>
    <mergeCell ref="F676:H676"/>
    <mergeCell ref="F677:H677"/>
    <mergeCell ref="F678:H678"/>
    <mergeCell ref="F686:H686"/>
    <mergeCell ref="I686:K686"/>
    <mergeCell ref="F687:H687"/>
    <mergeCell ref="I687:K697"/>
    <mergeCell ref="F688:H688"/>
    <mergeCell ref="F689:H689"/>
    <mergeCell ref="F690:H690"/>
    <mergeCell ref="F698:H698"/>
    <mergeCell ref="I698:K698"/>
    <mergeCell ref="F699:H699"/>
    <mergeCell ref="I699:K709"/>
    <mergeCell ref="F700:H700"/>
    <mergeCell ref="F701:H701"/>
    <mergeCell ref="F702:H702"/>
    <mergeCell ref="F710:H710"/>
    <mergeCell ref="I710:K710"/>
    <mergeCell ref="F711:H711"/>
    <mergeCell ref="I711:K721"/>
    <mergeCell ref="F712:H712"/>
    <mergeCell ref="F713:H713"/>
    <mergeCell ref="F714:H714"/>
    <mergeCell ref="F722:H722"/>
    <mergeCell ref="I722:K722"/>
    <mergeCell ref="F723:H723"/>
    <mergeCell ref="I723:K733"/>
    <mergeCell ref="F724:H724"/>
    <mergeCell ref="F725:H725"/>
    <mergeCell ref="F726:H726"/>
    <mergeCell ref="F734:H734"/>
    <mergeCell ref="I734:K734"/>
    <mergeCell ref="F735:H735"/>
    <mergeCell ref="I735:K745"/>
    <mergeCell ref="F736:H736"/>
    <mergeCell ref="F737:H737"/>
    <mergeCell ref="F738:H738"/>
    <mergeCell ref="F746:H746"/>
    <mergeCell ref="I746:K746"/>
    <mergeCell ref="F747:H747"/>
    <mergeCell ref="I747:K757"/>
    <mergeCell ref="F748:H748"/>
    <mergeCell ref="F749:H749"/>
    <mergeCell ref="F750:H750"/>
    <mergeCell ref="F758:H758"/>
    <mergeCell ref="I758:K758"/>
    <mergeCell ref="F759:H759"/>
    <mergeCell ref="I759:K769"/>
    <mergeCell ref="F760:H760"/>
    <mergeCell ref="F761:H761"/>
    <mergeCell ref="F762:H762"/>
    <mergeCell ref="F770:H770"/>
    <mergeCell ref="I770:K770"/>
    <mergeCell ref="F771:H771"/>
    <mergeCell ref="I771:K781"/>
    <mergeCell ref="F772:H772"/>
    <mergeCell ref="F773:H773"/>
    <mergeCell ref="F774:H774"/>
    <mergeCell ref="F782:H782"/>
    <mergeCell ref="I782:K782"/>
    <mergeCell ref="F783:H783"/>
    <mergeCell ref="I783:K793"/>
    <mergeCell ref="F784:H784"/>
    <mergeCell ref="F785:H785"/>
    <mergeCell ref="F786:H786"/>
    <mergeCell ref="F794:H794"/>
    <mergeCell ref="I794:K794"/>
    <mergeCell ref="F795:H795"/>
    <mergeCell ref="I795:K805"/>
    <mergeCell ref="F796:H796"/>
    <mergeCell ref="F797:H797"/>
    <mergeCell ref="F798:H798"/>
    <mergeCell ref="F806:H806"/>
    <mergeCell ref="I806:K806"/>
    <mergeCell ref="F807:H807"/>
    <mergeCell ref="I807:K817"/>
    <mergeCell ref="F808:H808"/>
    <mergeCell ref="F809:H809"/>
    <mergeCell ref="F810:H810"/>
    <mergeCell ref="F818:H818"/>
    <mergeCell ref="I818:K818"/>
    <mergeCell ref="F819:H819"/>
    <mergeCell ref="I819:K829"/>
    <mergeCell ref="F820:H820"/>
    <mergeCell ref="F821:H821"/>
    <mergeCell ref="F822:H822"/>
    <mergeCell ref="F830:H830"/>
    <mergeCell ref="I830:K830"/>
    <mergeCell ref="F831:H831"/>
    <mergeCell ref="I831:K841"/>
    <mergeCell ref="F832:H832"/>
    <mergeCell ref="F833:H833"/>
    <mergeCell ref="F834:H834"/>
    <mergeCell ref="F842:H842"/>
    <mergeCell ref="I842:K842"/>
    <mergeCell ref="F843:H843"/>
    <mergeCell ref="I843:K853"/>
    <mergeCell ref="F844:H844"/>
    <mergeCell ref="F845:H845"/>
    <mergeCell ref="F846:H846"/>
    <mergeCell ref="F854:H854"/>
    <mergeCell ref="I854:K854"/>
    <mergeCell ref="F855:H855"/>
    <mergeCell ref="I855:K865"/>
    <mergeCell ref="F856:H856"/>
    <mergeCell ref="F857:H857"/>
    <mergeCell ref="F858:H858"/>
    <mergeCell ref="I866:K866"/>
    <mergeCell ref="F867:H867"/>
    <mergeCell ref="I867:K877"/>
    <mergeCell ref="F868:H868"/>
    <mergeCell ref="F869:H869"/>
    <mergeCell ref="F870:H870"/>
    <mergeCell ref="F878:H878"/>
    <mergeCell ref="I878:K878"/>
    <mergeCell ref="F879:H879"/>
    <mergeCell ref="I879:K889"/>
    <mergeCell ref="F880:H880"/>
    <mergeCell ref="F881:H881"/>
    <mergeCell ref="F882:H882"/>
    <mergeCell ref="F890:H890"/>
    <mergeCell ref="I890:K890"/>
    <mergeCell ref="F891:H891"/>
    <mergeCell ref="I891:K901"/>
    <mergeCell ref="F892:H892"/>
    <mergeCell ref="F893:H893"/>
    <mergeCell ref="F894:H894"/>
    <mergeCell ref="F902:H902"/>
    <mergeCell ref="I902:K902"/>
    <mergeCell ref="F903:H903"/>
    <mergeCell ref="I903:K913"/>
    <mergeCell ref="F904:H904"/>
    <mergeCell ref="F905:H905"/>
    <mergeCell ref="F906:H906"/>
    <mergeCell ref="F914:H914"/>
    <mergeCell ref="I914:K914"/>
    <mergeCell ref="F915:H915"/>
    <mergeCell ref="I915:K925"/>
    <mergeCell ref="F916:H916"/>
    <mergeCell ref="F917:H917"/>
    <mergeCell ref="F918:H918"/>
    <mergeCell ref="F554:H554"/>
    <mergeCell ref="I554:K554"/>
    <mergeCell ref="F555:H555"/>
    <mergeCell ref="I555:K565"/>
    <mergeCell ref="F556:H556"/>
    <mergeCell ref="F557:H557"/>
    <mergeCell ref="F558:H558"/>
    <mergeCell ref="F566:H566"/>
    <mergeCell ref="I566:K566"/>
    <mergeCell ref="F567:H567"/>
    <mergeCell ref="I567:K577"/>
    <mergeCell ref="F568:H568"/>
    <mergeCell ref="F569:H569"/>
    <mergeCell ref="F570:H570"/>
    <mergeCell ref="F578:H578"/>
    <mergeCell ref="I578:K578"/>
    <mergeCell ref="F579:H579"/>
    <mergeCell ref="F866:H866"/>
    <mergeCell ref="F1082:H1082"/>
    <mergeCell ref="I1082:K1082"/>
    <mergeCell ref="F1083:H1083"/>
    <mergeCell ref="I1083:K1093"/>
    <mergeCell ref="F1084:H1084"/>
    <mergeCell ref="F1085:H1085"/>
    <mergeCell ref="F1086:H1086"/>
    <mergeCell ref="F1094:H1094"/>
    <mergeCell ref="I1094:K1094"/>
    <mergeCell ref="F1095:H1095"/>
    <mergeCell ref="I1095:K1105"/>
    <mergeCell ref="F1096:H1096"/>
    <mergeCell ref="F1097:H1097"/>
    <mergeCell ref="F1098:H1098"/>
    <mergeCell ref="F1106:H1106"/>
    <mergeCell ref="I1106:K1106"/>
    <mergeCell ref="F1107:H1107"/>
    <mergeCell ref="I1107:K1117"/>
    <mergeCell ref="F1108:H1108"/>
    <mergeCell ref="F1109:H1109"/>
    <mergeCell ref="F1110:H1110"/>
    <mergeCell ref="F1118:H1118"/>
    <mergeCell ref="I1118:K1118"/>
    <mergeCell ref="F1119:H1119"/>
    <mergeCell ref="I1119:K1129"/>
    <mergeCell ref="F1120:H1120"/>
    <mergeCell ref="F1121:H1121"/>
    <mergeCell ref="F1122:H1122"/>
    <mergeCell ref="F1130:H1130"/>
    <mergeCell ref="I1130:K1130"/>
    <mergeCell ref="F1131:H1131"/>
    <mergeCell ref="I1131:K1141"/>
    <mergeCell ref="F1132:H1132"/>
    <mergeCell ref="F1133:H1133"/>
    <mergeCell ref="F1134:H1134"/>
    <mergeCell ref="F1142:H1142"/>
    <mergeCell ref="I1142:K1142"/>
    <mergeCell ref="F1143:H1143"/>
    <mergeCell ref="I1143:K1153"/>
    <mergeCell ref="F1144:H1144"/>
    <mergeCell ref="F1145:H1145"/>
    <mergeCell ref="F1146:H1146"/>
    <mergeCell ref="F1154:H1154"/>
    <mergeCell ref="I1154:K1154"/>
    <mergeCell ref="F1155:H1155"/>
    <mergeCell ref="I1155:K1165"/>
    <mergeCell ref="F1156:H1156"/>
    <mergeCell ref="F1157:H1157"/>
    <mergeCell ref="F1158:H1158"/>
    <mergeCell ref="F1166:H1166"/>
    <mergeCell ref="I1166:K1166"/>
    <mergeCell ref="F1167:H1167"/>
    <mergeCell ref="I1167:K1177"/>
    <mergeCell ref="F1168:H1168"/>
    <mergeCell ref="F1169:H1169"/>
    <mergeCell ref="F1170:H1170"/>
    <mergeCell ref="F1178:H1178"/>
    <mergeCell ref="I1178:K1178"/>
    <mergeCell ref="F1179:H1179"/>
    <mergeCell ref="I1179:K1189"/>
    <mergeCell ref="F1180:H1180"/>
    <mergeCell ref="F1181:H1181"/>
    <mergeCell ref="F1182:H1182"/>
    <mergeCell ref="F1190:H1190"/>
    <mergeCell ref="I1190:K1190"/>
    <mergeCell ref="F1191:H1191"/>
    <mergeCell ref="I1191:K1201"/>
    <mergeCell ref="F1192:H1192"/>
    <mergeCell ref="F1193:H1193"/>
    <mergeCell ref="F1194:H1194"/>
    <mergeCell ref="F1202:H1202"/>
    <mergeCell ref="I1202:K1202"/>
    <mergeCell ref="F1226:H1226"/>
    <mergeCell ref="I1226:K1226"/>
    <mergeCell ref="F1227:H1227"/>
    <mergeCell ref="I1227:K1237"/>
    <mergeCell ref="F1228:H1228"/>
    <mergeCell ref="F1229:H1229"/>
    <mergeCell ref="F1230:H1230"/>
    <mergeCell ref="F1203:H1203"/>
    <mergeCell ref="I1203:K1213"/>
    <mergeCell ref="F1204:H1204"/>
    <mergeCell ref="F1205:H1205"/>
    <mergeCell ref="F1206:H1206"/>
    <mergeCell ref="F1214:H1214"/>
    <mergeCell ref="I1214:K1214"/>
    <mergeCell ref="F1215:H1215"/>
    <mergeCell ref="I1215:K1225"/>
    <mergeCell ref="F1216:H1216"/>
    <mergeCell ref="F1217:H1217"/>
    <mergeCell ref="F1218:H1218"/>
    <mergeCell ref="F1406:H1406"/>
    <mergeCell ref="I1406:K1406"/>
    <mergeCell ref="F1407:H1407"/>
    <mergeCell ref="I1407:K1417"/>
    <mergeCell ref="F1408:H1408"/>
    <mergeCell ref="F1409:H1409"/>
    <mergeCell ref="F1410:H1410"/>
    <mergeCell ref="F1418:H1418"/>
    <mergeCell ref="I1418:K1418"/>
    <mergeCell ref="F1419:H1419"/>
    <mergeCell ref="I1419:K1429"/>
    <mergeCell ref="F1420:H1420"/>
    <mergeCell ref="F1421:H1421"/>
    <mergeCell ref="F1422:H1422"/>
    <mergeCell ref="F1430:H1430"/>
    <mergeCell ref="I1430:K1430"/>
    <mergeCell ref="F1431:H1431"/>
    <mergeCell ref="I1431:K1441"/>
    <mergeCell ref="F1432:H1432"/>
    <mergeCell ref="F1433:H1433"/>
    <mergeCell ref="F1434:H1434"/>
    <mergeCell ref="F1442:H1442"/>
    <mergeCell ref="I1442:K1442"/>
    <mergeCell ref="F1443:H1443"/>
    <mergeCell ref="I1443:K1453"/>
    <mergeCell ref="F1444:H1444"/>
    <mergeCell ref="F1445:H1445"/>
    <mergeCell ref="F1446:H1446"/>
    <mergeCell ref="F1454:H1454"/>
    <mergeCell ref="I1454:K1454"/>
    <mergeCell ref="F1455:H1455"/>
    <mergeCell ref="I1455:K1465"/>
    <mergeCell ref="F1456:H1456"/>
    <mergeCell ref="F1457:H1457"/>
    <mergeCell ref="F1458:H1458"/>
    <mergeCell ref="F1466:H1466"/>
    <mergeCell ref="I1466:K1466"/>
    <mergeCell ref="F1467:H1467"/>
    <mergeCell ref="I1467:K1477"/>
    <mergeCell ref="F1468:H1468"/>
    <mergeCell ref="F1469:H1469"/>
    <mergeCell ref="F1470:H1470"/>
    <mergeCell ref="I1479:K1489"/>
    <mergeCell ref="F1480:H1480"/>
    <mergeCell ref="F1481:H1481"/>
    <mergeCell ref="F1482:H1482"/>
    <mergeCell ref="F1490:H1490"/>
    <mergeCell ref="I1490:K1490"/>
    <mergeCell ref="F1526:H1526"/>
    <mergeCell ref="I1526:K1526"/>
    <mergeCell ref="F1527:H1527"/>
    <mergeCell ref="I1527:K1537"/>
    <mergeCell ref="F1528:H1528"/>
    <mergeCell ref="F1529:H1529"/>
    <mergeCell ref="F1530:H1530"/>
    <mergeCell ref="F1502:H1502"/>
    <mergeCell ref="I1502:K1502"/>
    <mergeCell ref="F1503:H1503"/>
    <mergeCell ref="I1503:K1513"/>
    <mergeCell ref="F1504:H1504"/>
    <mergeCell ref="F1505:H1505"/>
    <mergeCell ref="F1506:H1506"/>
    <mergeCell ref="F1514:H1514"/>
    <mergeCell ref="I1514:K1514"/>
    <mergeCell ref="F1539:H1539"/>
    <mergeCell ref="I1539:K1549"/>
    <mergeCell ref="F1540:H1540"/>
    <mergeCell ref="F1541:H1541"/>
    <mergeCell ref="F1542:H1542"/>
    <mergeCell ref="F1370:H1370"/>
    <mergeCell ref="I1370:K1370"/>
    <mergeCell ref="F1371:H1371"/>
    <mergeCell ref="I1371:K1381"/>
    <mergeCell ref="F1372:H1372"/>
    <mergeCell ref="F1373:H1373"/>
    <mergeCell ref="F1374:H1374"/>
    <mergeCell ref="F1382:H1382"/>
    <mergeCell ref="I1382:K1382"/>
    <mergeCell ref="F1383:H1383"/>
    <mergeCell ref="I1383:K1393"/>
    <mergeCell ref="F1384:H1384"/>
    <mergeCell ref="F1538:H1538"/>
    <mergeCell ref="I1538:K1538"/>
    <mergeCell ref="F1515:H1515"/>
    <mergeCell ref="I1515:K1525"/>
    <mergeCell ref="F1516:H1516"/>
    <mergeCell ref="F1517:H1517"/>
    <mergeCell ref="F1518:H1518"/>
    <mergeCell ref="F1491:H1491"/>
    <mergeCell ref="I1491:K1501"/>
    <mergeCell ref="F1492:H1492"/>
    <mergeCell ref="F1493:H1493"/>
    <mergeCell ref="F1494:H1494"/>
    <mergeCell ref="F1478:H1478"/>
    <mergeCell ref="I1478:K1478"/>
    <mergeCell ref="F1479:H1479"/>
    <mergeCell ref="F1754:H1754"/>
    <mergeCell ref="I1754:K1754"/>
    <mergeCell ref="F1755:H1755"/>
    <mergeCell ref="I1755:K1765"/>
    <mergeCell ref="F1756:H1756"/>
    <mergeCell ref="F1757:H1757"/>
    <mergeCell ref="F1758:H1758"/>
    <mergeCell ref="F1766:H1766"/>
    <mergeCell ref="I1766:K1766"/>
    <mergeCell ref="F1767:H1767"/>
    <mergeCell ref="I1767:K1777"/>
    <mergeCell ref="F1768:H1768"/>
    <mergeCell ref="F1769:H1769"/>
    <mergeCell ref="F1770:H1770"/>
    <mergeCell ref="F1778:H1778"/>
    <mergeCell ref="I1778:K1778"/>
    <mergeCell ref="F1779:H1779"/>
    <mergeCell ref="I1779:K1789"/>
    <mergeCell ref="F1780:H1780"/>
    <mergeCell ref="F1781:H1781"/>
    <mergeCell ref="F1782:H1782"/>
    <mergeCell ref="F1790:H1790"/>
    <mergeCell ref="I1790:K1790"/>
    <mergeCell ref="F1791:H1791"/>
    <mergeCell ref="I1791:K1801"/>
    <mergeCell ref="F1792:H1792"/>
    <mergeCell ref="F1793:H1793"/>
    <mergeCell ref="F1794:H1794"/>
    <mergeCell ref="F1802:H1802"/>
    <mergeCell ref="I1802:K1802"/>
    <mergeCell ref="F1803:H1803"/>
    <mergeCell ref="I1803:K1813"/>
    <mergeCell ref="F1804:H1804"/>
    <mergeCell ref="F1805:H1805"/>
    <mergeCell ref="F1806:H1806"/>
    <mergeCell ref="F1814:H1814"/>
    <mergeCell ref="I1814:K1814"/>
    <mergeCell ref="F1815:H1815"/>
    <mergeCell ref="I1815:K1825"/>
    <mergeCell ref="F1816:H1816"/>
    <mergeCell ref="F1817:H1817"/>
    <mergeCell ref="F1818:H1818"/>
    <mergeCell ref="F1826:H1826"/>
    <mergeCell ref="I1826:K1826"/>
    <mergeCell ref="F1827:H1827"/>
    <mergeCell ref="I1827:K1837"/>
    <mergeCell ref="F1828:H1828"/>
    <mergeCell ref="F1829:H1829"/>
    <mergeCell ref="F1830:H1830"/>
    <mergeCell ref="F1838:H1838"/>
    <mergeCell ref="I1838:K1838"/>
    <mergeCell ref="F1839:H1839"/>
    <mergeCell ref="I1839:K1849"/>
    <mergeCell ref="F1840:H1840"/>
    <mergeCell ref="F1841:H1841"/>
    <mergeCell ref="F1842:H1842"/>
    <mergeCell ref="F1850:H1850"/>
    <mergeCell ref="I1850:K1850"/>
    <mergeCell ref="F1851:H1851"/>
    <mergeCell ref="I1851:K1861"/>
    <mergeCell ref="F1852:H1852"/>
    <mergeCell ref="F1853:H1853"/>
    <mergeCell ref="F1854:H1854"/>
    <mergeCell ref="F1862:H1862"/>
    <mergeCell ref="I1862:K1862"/>
    <mergeCell ref="F1863:H1863"/>
    <mergeCell ref="I1863:K1873"/>
    <mergeCell ref="F1864:H1864"/>
    <mergeCell ref="F1865:H1865"/>
    <mergeCell ref="F1866:H1866"/>
    <mergeCell ref="F1874:H1874"/>
    <mergeCell ref="I1874:K1874"/>
    <mergeCell ref="F1875:H1875"/>
    <mergeCell ref="I1875:K1885"/>
    <mergeCell ref="F1876:H1876"/>
    <mergeCell ref="F1877:H1877"/>
    <mergeCell ref="F1878:H1878"/>
    <mergeCell ref="F1886:H1886"/>
    <mergeCell ref="I1886:K1886"/>
    <mergeCell ref="F1887:H1887"/>
    <mergeCell ref="I1887:K1897"/>
    <mergeCell ref="F1888:H1888"/>
    <mergeCell ref="F1889:H1889"/>
    <mergeCell ref="F1890:H1890"/>
    <mergeCell ref="F1898:H1898"/>
    <mergeCell ref="I1898:K1898"/>
    <mergeCell ref="F1899:H1899"/>
    <mergeCell ref="I1899:K1909"/>
    <mergeCell ref="F1900:H1900"/>
    <mergeCell ref="F1901:H1901"/>
    <mergeCell ref="F1902:H1902"/>
    <mergeCell ref="F1910:H1910"/>
    <mergeCell ref="I1910:K1910"/>
    <mergeCell ref="F1911:H1911"/>
    <mergeCell ref="I1911:K1921"/>
    <mergeCell ref="F1912:H1912"/>
    <mergeCell ref="F1913:H1913"/>
    <mergeCell ref="F1914:H1914"/>
    <mergeCell ref="F1922:H1922"/>
    <mergeCell ref="I1922:K1922"/>
    <mergeCell ref="F1923:H1923"/>
    <mergeCell ref="I1923:K1933"/>
    <mergeCell ref="F1924:H1924"/>
    <mergeCell ref="F1925:H1925"/>
    <mergeCell ref="F1926:H1926"/>
    <mergeCell ref="F1934:H1934"/>
    <mergeCell ref="I1934:K1934"/>
    <mergeCell ref="F1935:H1935"/>
    <mergeCell ref="I1935:K1945"/>
    <mergeCell ref="F1936:H1936"/>
    <mergeCell ref="F1937:H1937"/>
    <mergeCell ref="F1938:H1938"/>
    <mergeCell ref="F1946:H1946"/>
    <mergeCell ref="I1946:K1946"/>
    <mergeCell ref="F1947:H1947"/>
    <mergeCell ref="I1947:K1957"/>
    <mergeCell ref="F1948:H1948"/>
    <mergeCell ref="F1949:H1949"/>
    <mergeCell ref="F1950:H1950"/>
    <mergeCell ref="F1958:H1958"/>
    <mergeCell ref="I1958:K1958"/>
    <mergeCell ref="F1959:H1959"/>
    <mergeCell ref="I1959:K1969"/>
    <mergeCell ref="F1960:H1960"/>
    <mergeCell ref="F1961:H1961"/>
    <mergeCell ref="F1962:H1962"/>
    <mergeCell ref="F1970:H1970"/>
    <mergeCell ref="I1970:K1970"/>
    <mergeCell ref="F1971:H1971"/>
    <mergeCell ref="I1971:K1981"/>
    <mergeCell ref="F1972:H1972"/>
    <mergeCell ref="F1973:H1973"/>
    <mergeCell ref="F1974:H1974"/>
    <mergeCell ref="F1982:H1982"/>
    <mergeCell ref="I1982:K1982"/>
    <mergeCell ref="F1983:H1983"/>
    <mergeCell ref="I1983:K1993"/>
    <mergeCell ref="F1984:H1984"/>
    <mergeCell ref="F1985:H1985"/>
    <mergeCell ref="F1986:H1986"/>
    <mergeCell ref="F1994:H1994"/>
    <mergeCell ref="I1994:K1994"/>
    <mergeCell ref="F1995:H1995"/>
    <mergeCell ref="I1995:K2005"/>
    <mergeCell ref="F1996:H1996"/>
    <mergeCell ref="F1997:H1997"/>
    <mergeCell ref="F1998:H1998"/>
    <mergeCell ref="F2211:H2211"/>
    <mergeCell ref="I2211:K2221"/>
    <mergeCell ref="F2116:H2116"/>
    <mergeCell ref="F2117:H2117"/>
    <mergeCell ref="F2118:H2118"/>
    <mergeCell ref="F2126:H2126"/>
    <mergeCell ref="I2126:K2126"/>
    <mergeCell ref="F2127:H2127"/>
    <mergeCell ref="I2127:K2137"/>
    <mergeCell ref="F2128:H2128"/>
    <mergeCell ref="F2129:H2129"/>
    <mergeCell ref="F2130:H2130"/>
    <mergeCell ref="F2198:H2198"/>
    <mergeCell ref="I2198:K2198"/>
    <mergeCell ref="F2199:H2199"/>
    <mergeCell ref="I2199:K2209"/>
    <mergeCell ref="F2200:H2200"/>
    <mergeCell ref="F2201:H2201"/>
    <mergeCell ref="F2202:H2202"/>
    <mergeCell ref="F2162:H2162"/>
    <mergeCell ref="I2162:K2162"/>
    <mergeCell ref="F2163:H2163"/>
    <mergeCell ref="I2163:K2173"/>
    <mergeCell ref="F2164:H2164"/>
    <mergeCell ref="F2165:H2165"/>
    <mergeCell ref="F2166:H2166"/>
    <mergeCell ref="F2174:H2174"/>
    <mergeCell ref="I2174:K2174"/>
    <mergeCell ref="F2175:H2175"/>
    <mergeCell ref="I2175:K2185"/>
    <mergeCell ref="F2596:H2596"/>
    <mergeCell ref="F2597:H2597"/>
    <mergeCell ref="F2598:H2598"/>
    <mergeCell ref="F2212:H2212"/>
    <mergeCell ref="F2213:H2213"/>
    <mergeCell ref="F2214:H2214"/>
    <mergeCell ref="F2176:H2176"/>
    <mergeCell ref="F2177:H2177"/>
    <mergeCell ref="F2178:H2178"/>
    <mergeCell ref="F2186:H2186"/>
    <mergeCell ref="I2186:K2186"/>
    <mergeCell ref="F2187:H2187"/>
    <mergeCell ref="I2187:K2197"/>
    <mergeCell ref="F2188:H2188"/>
    <mergeCell ref="F2189:H2189"/>
    <mergeCell ref="F2190:H2190"/>
    <mergeCell ref="F2138:H2138"/>
    <mergeCell ref="I2138:K2138"/>
    <mergeCell ref="F2139:H2139"/>
    <mergeCell ref="I2139:K2149"/>
    <mergeCell ref="F2140:H2140"/>
    <mergeCell ref="F2141:H2141"/>
    <mergeCell ref="F2142:H2142"/>
    <mergeCell ref="F2150:H2150"/>
    <mergeCell ref="I2150:K2150"/>
    <mergeCell ref="F2151:H2151"/>
    <mergeCell ref="I2151:K2161"/>
    <mergeCell ref="F2152:H2152"/>
    <mergeCell ref="F2153:H2153"/>
    <mergeCell ref="F2154:H2154"/>
    <mergeCell ref="F2210:H2210"/>
    <mergeCell ref="I2210:K2210"/>
    <mergeCell ref="F2606:H2606"/>
    <mergeCell ref="I2606:K2606"/>
    <mergeCell ref="F2607:H2607"/>
    <mergeCell ref="I2607:K2617"/>
    <mergeCell ref="F2608:H2608"/>
    <mergeCell ref="F2609:H2609"/>
    <mergeCell ref="F2610:H2610"/>
    <mergeCell ref="F2618:H2618"/>
    <mergeCell ref="I2618:K2618"/>
    <mergeCell ref="F2619:H2619"/>
    <mergeCell ref="I2619:K2629"/>
    <mergeCell ref="F2620:H2620"/>
    <mergeCell ref="F2621:H2621"/>
    <mergeCell ref="F2622:H2622"/>
    <mergeCell ref="F2570:H2570"/>
    <mergeCell ref="I2570:K2570"/>
    <mergeCell ref="F2571:H2571"/>
    <mergeCell ref="I2571:K2581"/>
    <mergeCell ref="F2572:H2572"/>
    <mergeCell ref="F2573:H2573"/>
    <mergeCell ref="F2574:H2574"/>
    <mergeCell ref="F2582:H2582"/>
    <mergeCell ref="I2582:K2582"/>
    <mergeCell ref="F2583:H2583"/>
    <mergeCell ref="I2583:K2593"/>
    <mergeCell ref="F2584:H2584"/>
    <mergeCell ref="F2585:H2585"/>
    <mergeCell ref="F2586:H2586"/>
    <mergeCell ref="F2594:H2594"/>
    <mergeCell ref="I2594:K2594"/>
    <mergeCell ref="F2595:H2595"/>
    <mergeCell ref="I2595:K2605"/>
    <mergeCell ref="F2630:H2630"/>
    <mergeCell ref="I2630:K2630"/>
    <mergeCell ref="F2631:H2631"/>
    <mergeCell ref="I2631:K2641"/>
    <mergeCell ref="F2632:H2632"/>
    <mergeCell ref="F2633:H2633"/>
    <mergeCell ref="F2634:H2634"/>
    <mergeCell ref="F2642:H2642"/>
    <mergeCell ref="I2642:K2642"/>
    <mergeCell ref="F2643:H2643"/>
    <mergeCell ref="I2643:K2653"/>
    <mergeCell ref="F2644:H2644"/>
    <mergeCell ref="F2645:H2645"/>
    <mergeCell ref="F2646:H2646"/>
    <mergeCell ref="F2654:H2654"/>
    <mergeCell ref="I2654:K2654"/>
    <mergeCell ref="F2655:H2655"/>
    <mergeCell ref="I2655:K2665"/>
    <mergeCell ref="F2656:H2656"/>
    <mergeCell ref="F2657:H2657"/>
    <mergeCell ref="F2658:H2658"/>
    <mergeCell ref="F2666:H2666"/>
    <mergeCell ref="I2666:K2666"/>
    <mergeCell ref="F2667:H2667"/>
    <mergeCell ref="I2667:K2677"/>
    <mergeCell ref="F2668:H2668"/>
    <mergeCell ref="F2669:H2669"/>
    <mergeCell ref="F2670:H2670"/>
    <mergeCell ref="F2678:H2678"/>
    <mergeCell ref="I2678:K2678"/>
    <mergeCell ref="F2679:H2679"/>
    <mergeCell ref="I2679:K2689"/>
    <mergeCell ref="F2680:H2680"/>
    <mergeCell ref="F2681:H2681"/>
    <mergeCell ref="F2682:H2682"/>
    <mergeCell ref="F2690:H2690"/>
    <mergeCell ref="I2690:K2690"/>
    <mergeCell ref="F2691:H2691"/>
    <mergeCell ref="I2691:K2701"/>
    <mergeCell ref="F2692:H2692"/>
    <mergeCell ref="F2693:H2693"/>
    <mergeCell ref="F2694:H2694"/>
    <mergeCell ref="F3196:H3196"/>
    <mergeCell ref="F3197:H3197"/>
    <mergeCell ref="F3198:H3198"/>
    <mergeCell ref="F2738:H2738"/>
    <mergeCell ref="I2738:K2738"/>
    <mergeCell ref="F2739:H2739"/>
    <mergeCell ref="I2739:K2749"/>
    <mergeCell ref="F2740:H2740"/>
    <mergeCell ref="F2741:H2741"/>
    <mergeCell ref="F2742:H2742"/>
    <mergeCell ref="F2702:H2702"/>
    <mergeCell ref="I2702:K2702"/>
    <mergeCell ref="F2703:H2703"/>
    <mergeCell ref="I2703:K2713"/>
    <mergeCell ref="F2704:H2704"/>
    <mergeCell ref="F2705:H2705"/>
    <mergeCell ref="F2706:H2706"/>
    <mergeCell ref="F2714:H2714"/>
    <mergeCell ref="I2714:K2714"/>
    <mergeCell ref="F2715:H2715"/>
    <mergeCell ref="I2715:K2725"/>
    <mergeCell ref="F2716:H2716"/>
    <mergeCell ref="F2717:H2717"/>
    <mergeCell ref="F2718:H2718"/>
    <mergeCell ref="F2726:H2726"/>
    <mergeCell ref="I2726:K2726"/>
    <mergeCell ref="F2727:H2727"/>
    <mergeCell ref="I2727:K2737"/>
    <mergeCell ref="F2728:H2728"/>
    <mergeCell ref="F2729:H2729"/>
    <mergeCell ref="F2730:H2730"/>
    <mergeCell ref="F2750:H2750"/>
    <mergeCell ref="F3268:H3268"/>
    <mergeCell ref="F3269:H3269"/>
    <mergeCell ref="F3270:H3270"/>
    <mergeCell ref="F3218:H3218"/>
    <mergeCell ref="I3218:K3218"/>
    <mergeCell ref="F3219:H3219"/>
    <mergeCell ref="I3219:K3229"/>
    <mergeCell ref="F3220:H3220"/>
    <mergeCell ref="F3221:H3221"/>
    <mergeCell ref="F3222:H3222"/>
    <mergeCell ref="F3230:H3230"/>
    <mergeCell ref="I3230:K3230"/>
    <mergeCell ref="F3231:H3231"/>
    <mergeCell ref="I3231:K3241"/>
    <mergeCell ref="F3170:H3170"/>
    <mergeCell ref="I3170:K3170"/>
    <mergeCell ref="F3171:H3171"/>
    <mergeCell ref="I3171:K3181"/>
    <mergeCell ref="F3172:H3172"/>
    <mergeCell ref="F3173:H3173"/>
    <mergeCell ref="F3174:H3174"/>
    <mergeCell ref="F3182:H3182"/>
    <mergeCell ref="I3182:K3182"/>
    <mergeCell ref="F3183:H3183"/>
    <mergeCell ref="I3183:K3193"/>
    <mergeCell ref="F3184:H3184"/>
    <mergeCell ref="F3185:H3185"/>
    <mergeCell ref="F3186:H3186"/>
    <mergeCell ref="F3194:H3194"/>
    <mergeCell ref="I3194:K3194"/>
    <mergeCell ref="F3195:H3195"/>
    <mergeCell ref="I3195:K3205"/>
    <mergeCell ref="F3374:H3374"/>
    <mergeCell ref="I3374:K3374"/>
    <mergeCell ref="F3375:H3375"/>
    <mergeCell ref="I3375:K3385"/>
    <mergeCell ref="F3376:H3376"/>
    <mergeCell ref="F3377:H3377"/>
    <mergeCell ref="F3378:H3378"/>
    <mergeCell ref="F3326:H3326"/>
    <mergeCell ref="I3326:K3326"/>
    <mergeCell ref="F3327:H3327"/>
    <mergeCell ref="I3327:K3337"/>
    <mergeCell ref="F3328:H3328"/>
    <mergeCell ref="F3329:H3329"/>
    <mergeCell ref="F3330:H3330"/>
    <mergeCell ref="F3338:H3338"/>
    <mergeCell ref="I3338:K3338"/>
    <mergeCell ref="F3339:H3339"/>
    <mergeCell ref="I3339:K3349"/>
    <mergeCell ref="F3362:H3362"/>
    <mergeCell ref="I3362:K3362"/>
    <mergeCell ref="F3363:H3363"/>
    <mergeCell ref="I3363:K3373"/>
    <mergeCell ref="F3364:H3364"/>
    <mergeCell ref="F3365:H3365"/>
    <mergeCell ref="F3366:H3366"/>
    <mergeCell ref="F3206:H3206"/>
    <mergeCell ref="I3206:K3206"/>
    <mergeCell ref="F3207:H3207"/>
    <mergeCell ref="I3207:K3217"/>
    <mergeCell ref="F3208:H3208"/>
    <mergeCell ref="F3209:H3209"/>
    <mergeCell ref="F3210:H3210"/>
    <mergeCell ref="F3232:H3232"/>
    <mergeCell ref="F3233:H3233"/>
    <mergeCell ref="F3234:H3234"/>
    <mergeCell ref="F3242:H3242"/>
    <mergeCell ref="I3242:K3242"/>
    <mergeCell ref="F3243:H3243"/>
    <mergeCell ref="I3243:K3253"/>
    <mergeCell ref="F3244:H3244"/>
    <mergeCell ref="F3245:H3245"/>
    <mergeCell ref="F3246:H3246"/>
    <mergeCell ref="F3254:H3254"/>
    <mergeCell ref="I3254:K3254"/>
    <mergeCell ref="F3255:H3255"/>
    <mergeCell ref="I3255:K3265"/>
    <mergeCell ref="F3256:H3256"/>
    <mergeCell ref="F3257:H3257"/>
    <mergeCell ref="F3258:H3258"/>
    <mergeCell ref="F3292:H3292"/>
    <mergeCell ref="F3293:H3293"/>
    <mergeCell ref="F3294:H3294"/>
    <mergeCell ref="F3302:H3302"/>
    <mergeCell ref="I3302:K3302"/>
    <mergeCell ref="F3303:H3303"/>
    <mergeCell ref="I3303:K3313"/>
    <mergeCell ref="F3304:H3304"/>
    <mergeCell ref="F3305:H3305"/>
    <mergeCell ref="F3306:H3306"/>
    <mergeCell ref="F3278:H3278"/>
    <mergeCell ref="I3278:K3278"/>
    <mergeCell ref="F3279:H3279"/>
    <mergeCell ref="I3279:K3289"/>
    <mergeCell ref="F3280:H3280"/>
    <mergeCell ref="F3281:H3281"/>
    <mergeCell ref="F3282:H3282"/>
    <mergeCell ref="F3290:H3290"/>
    <mergeCell ref="I3290:K3290"/>
    <mergeCell ref="F3291:H3291"/>
    <mergeCell ref="I3291:K3301"/>
    <mergeCell ref="F3266:H3266"/>
    <mergeCell ref="I3266:K3266"/>
    <mergeCell ref="F3267:H3267"/>
    <mergeCell ref="I3267:K3277"/>
    <mergeCell ref="F3314:H3314"/>
    <mergeCell ref="I3314:K3314"/>
    <mergeCell ref="F3315:H3315"/>
    <mergeCell ref="I3315:K3325"/>
    <mergeCell ref="F3316:H3316"/>
    <mergeCell ref="F3317:H3317"/>
    <mergeCell ref="F3318:H3318"/>
    <mergeCell ref="F3340:H3340"/>
    <mergeCell ref="F3341:H3341"/>
    <mergeCell ref="F3342:H3342"/>
    <mergeCell ref="F3350:H3350"/>
    <mergeCell ref="I3350:K3350"/>
    <mergeCell ref="F3351:H3351"/>
    <mergeCell ref="I3351:K3361"/>
    <mergeCell ref="F3352:H3352"/>
    <mergeCell ref="F3353:H3353"/>
    <mergeCell ref="F3354:H3354"/>
    <mergeCell ref="F3590:H3590"/>
    <mergeCell ref="I3590:K3590"/>
    <mergeCell ref="F3591:H3591"/>
    <mergeCell ref="I3591:K3601"/>
    <mergeCell ref="F3592:H3592"/>
    <mergeCell ref="F3593:H3593"/>
    <mergeCell ref="F3594:H3594"/>
    <mergeCell ref="F3602:H3602"/>
    <mergeCell ref="I3602:K3602"/>
    <mergeCell ref="F3603:H3603"/>
    <mergeCell ref="I3603:K3613"/>
    <mergeCell ref="F3604:H3604"/>
    <mergeCell ref="F3605:H3605"/>
    <mergeCell ref="F3606:H3606"/>
    <mergeCell ref="F3614:H3614"/>
    <mergeCell ref="I3614:K3614"/>
    <mergeCell ref="F3615:H3615"/>
    <mergeCell ref="I3615:K3625"/>
    <mergeCell ref="F3616:H3616"/>
    <mergeCell ref="F3617:H3617"/>
    <mergeCell ref="F3618:H3618"/>
    <mergeCell ref="F3698:H3698"/>
    <mergeCell ref="I3698:K3698"/>
    <mergeCell ref="F3699:H3699"/>
    <mergeCell ref="I3699:K3709"/>
    <mergeCell ref="F3700:H3700"/>
    <mergeCell ref="F3701:H3701"/>
    <mergeCell ref="F3702:H3702"/>
    <mergeCell ref="F3710:H3710"/>
    <mergeCell ref="I3710:K3710"/>
    <mergeCell ref="F3711:H3711"/>
    <mergeCell ref="I3711:K3721"/>
    <mergeCell ref="F3686:H3686"/>
    <mergeCell ref="I3686:K3686"/>
    <mergeCell ref="F3687:H3687"/>
    <mergeCell ref="I3687:K3697"/>
    <mergeCell ref="F3688:H3688"/>
    <mergeCell ref="F3689:H3689"/>
    <mergeCell ref="F3690:H3690"/>
    <mergeCell ref="F3626:H3626"/>
    <mergeCell ref="I3626:K3626"/>
    <mergeCell ref="F3627:H3627"/>
    <mergeCell ref="I3627:K3637"/>
    <mergeCell ref="F3628:H3628"/>
    <mergeCell ref="F3629:H3629"/>
    <mergeCell ref="F3630:H3630"/>
    <mergeCell ref="F3652:H3652"/>
    <mergeCell ref="F3653:H3653"/>
    <mergeCell ref="F3654:H3654"/>
    <mergeCell ref="F3662:H3662"/>
    <mergeCell ref="I3662:K3662"/>
    <mergeCell ref="F3663:H3663"/>
    <mergeCell ref="I3663:K3673"/>
    <mergeCell ref="F3664:H3664"/>
    <mergeCell ref="F3665:H3665"/>
    <mergeCell ref="F3666:H3666"/>
    <mergeCell ref="F3638:H3638"/>
    <mergeCell ref="I3638:K3638"/>
    <mergeCell ref="F3639:H3639"/>
    <mergeCell ref="I3639:K3649"/>
    <mergeCell ref="F3640:H3640"/>
    <mergeCell ref="F3641:H3641"/>
    <mergeCell ref="F3642:H3642"/>
    <mergeCell ref="F3650:H3650"/>
    <mergeCell ref="I3650:K3650"/>
    <mergeCell ref="F3651:H3651"/>
    <mergeCell ref="I3651:K3661"/>
    <mergeCell ref="F3674:H3674"/>
    <mergeCell ref="I3674:K3674"/>
    <mergeCell ref="F3675:H3675"/>
    <mergeCell ref="I3675:K3685"/>
    <mergeCell ref="F3676:H3676"/>
    <mergeCell ref="F3677:H3677"/>
    <mergeCell ref="F3678:H3678"/>
    <mergeCell ref="F3760:H3760"/>
    <mergeCell ref="F3761:H3761"/>
    <mergeCell ref="F3762:H3762"/>
    <mergeCell ref="F3712:H3712"/>
    <mergeCell ref="F3713:H3713"/>
    <mergeCell ref="F3714:H3714"/>
    <mergeCell ref="F3722:H3722"/>
    <mergeCell ref="I3722:K3722"/>
    <mergeCell ref="F3723:H3723"/>
    <mergeCell ref="I3723:K3733"/>
    <mergeCell ref="F3724:H3724"/>
    <mergeCell ref="F3725:H3725"/>
    <mergeCell ref="F3726:H3726"/>
    <mergeCell ref="F3734:H3734"/>
    <mergeCell ref="I3734:K3734"/>
    <mergeCell ref="F3735:H3735"/>
    <mergeCell ref="I3735:K3745"/>
    <mergeCell ref="F3736:H3736"/>
    <mergeCell ref="F3737:H3737"/>
    <mergeCell ref="F3738:H3738"/>
    <mergeCell ref="F3746:H3746"/>
    <mergeCell ref="I3746:K3746"/>
    <mergeCell ref="F3747:H3747"/>
    <mergeCell ref="I3747:K3757"/>
    <mergeCell ref="F3748:H3748"/>
    <mergeCell ref="F3749:H3749"/>
    <mergeCell ref="F3750:H3750"/>
    <mergeCell ref="F3758:H3758"/>
    <mergeCell ref="I3758:K3758"/>
    <mergeCell ref="F3759:H3759"/>
    <mergeCell ref="I3759:K3769"/>
    <mergeCell ref="F4022:H4022"/>
    <mergeCell ref="I4022:K4022"/>
    <mergeCell ref="F4023:H4023"/>
    <mergeCell ref="I4023:K4033"/>
    <mergeCell ref="F4024:H4024"/>
    <mergeCell ref="F4025:H4025"/>
    <mergeCell ref="F4026:H4026"/>
    <mergeCell ref="F4034:H4034"/>
    <mergeCell ref="I4034:K4034"/>
    <mergeCell ref="F4035:H4035"/>
    <mergeCell ref="I4035:K4045"/>
    <mergeCell ref="F4036:H4036"/>
    <mergeCell ref="F4037:H4037"/>
    <mergeCell ref="F4038:H4038"/>
    <mergeCell ref="F3818:H3818"/>
    <mergeCell ref="I3818:K3818"/>
    <mergeCell ref="F3819:H3819"/>
    <mergeCell ref="I3819:K3829"/>
    <mergeCell ref="F3820:H3820"/>
    <mergeCell ref="F3821:H3821"/>
    <mergeCell ref="F3822:H3822"/>
    <mergeCell ref="F3830:H3830"/>
    <mergeCell ref="I3830:K3830"/>
    <mergeCell ref="F3831:H3831"/>
    <mergeCell ref="I3831:K3841"/>
    <mergeCell ref="F3770:H3770"/>
    <mergeCell ref="F4046:H4046"/>
    <mergeCell ref="I4046:K4046"/>
    <mergeCell ref="F4047:H4047"/>
    <mergeCell ref="I4047:K4057"/>
    <mergeCell ref="F4048:H4048"/>
    <mergeCell ref="F4049:H4049"/>
    <mergeCell ref="F4050:H4050"/>
    <mergeCell ref="F4058:H4058"/>
    <mergeCell ref="I4058:K4058"/>
    <mergeCell ref="F4059:H4059"/>
    <mergeCell ref="I4059:K4069"/>
    <mergeCell ref="F4060:H4060"/>
    <mergeCell ref="F4061:H4061"/>
    <mergeCell ref="F4062:H4062"/>
    <mergeCell ref="F4070:H4070"/>
    <mergeCell ref="I4070:K4070"/>
    <mergeCell ref="F4071:H4071"/>
    <mergeCell ref="I4071:K4081"/>
    <mergeCell ref="F4072:H4072"/>
    <mergeCell ref="F4073:H4073"/>
    <mergeCell ref="F4074:H4074"/>
    <mergeCell ref="F4082:H4082"/>
    <mergeCell ref="I4082:K4082"/>
    <mergeCell ref="F4083:H4083"/>
    <mergeCell ref="I4083:K4093"/>
    <mergeCell ref="F4084:H4084"/>
    <mergeCell ref="F4085:H4085"/>
    <mergeCell ref="F4086:H4086"/>
    <mergeCell ref="F4094:H4094"/>
    <mergeCell ref="I4094:K4094"/>
    <mergeCell ref="F4095:H4095"/>
    <mergeCell ref="I4095:K4105"/>
    <mergeCell ref="F4096:H4096"/>
    <mergeCell ref="F4097:H4097"/>
    <mergeCell ref="F4098:H4098"/>
    <mergeCell ref="F4106:H4106"/>
    <mergeCell ref="I4106:K4106"/>
    <mergeCell ref="F4107:H4107"/>
    <mergeCell ref="I4107:K4117"/>
    <mergeCell ref="F4108:H4108"/>
    <mergeCell ref="F4109:H4109"/>
    <mergeCell ref="F4110:H4110"/>
    <mergeCell ref="F4179:H4179"/>
    <mergeCell ref="I4179:K4189"/>
    <mergeCell ref="F4118:H4118"/>
    <mergeCell ref="I4118:K4118"/>
    <mergeCell ref="F4119:H4119"/>
    <mergeCell ref="I4119:K4129"/>
    <mergeCell ref="F4120:H4120"/>
    <mergeCell ref="F4121:H4121"/>
    <mergeCell ref="F4122:H4122"/>
    <mergeCell ref="F4130:H4130"/>
    <mergeCell ref="I4130:K4130"/>
    <mergeCell ref="F4131:H4131"/>
    <mergeCell ref="I4131:K4141"/>
    <mergeCell ref="F4132:H4132"/>
    <mergeCell ref="F4133:H4133"/>
    <mergeCell ref="F4134:H4134"/>
    <mergeCell ref="F4142:H4142"/>
    <mergeCell ref="I4142:K4142"/>
    <mergeCell ref="F4143:H4143"/>
    <mergeCell ref="I4143:K4153"/>
    <mergeCell ref="F4144:H4144"/>
    <mergeCell ref="F4145:H4145"/>
    <mergeCell ref="F4146:H4146"/>
    <mergeCell ref="F4180:H4180"/>
    <mergeCell ref="F4181:H4181"/>
    <mergeCell ref="F4182:H4182"/>
    <mergeCell ref="F4362:H4362"/>
    <mergeCell ref="F4154:H4154"/>
    <mergeCell ref="I4154:K4154"/>
    <mergeCell ref="F4155:H4155"/>
    <mergeCell ref="I4155:K4165"/>
    <mergeCell ref="F4156:H4156"/>
    <mergeCell ref="F4157:H4157"/>
    <mergeCell ref="F4158:H4158"/>
    <mergeCell ref="F4166:H4166"/>
    <mergeCell ref="I4166:K4166"/>
    <mergeCell ref="F4167:H4167"/>
    <mergeCell ref="I4167:K4177"/>
    <mergeCell ref="F4168:H4168"/>
    <mergeCell ref="F4169:H4169"/>
    <mergeCell ref="F4170:H4170"/>
    <mergeCell ref="F4178:H4178"/>
    <mergeCell ref="I4178:K4178"/>
    <mergeCell ref="F4334:H4334"/>
    <mergeCell ref="I4334:K4334"/>
    <mergeCell ref="F4335:H4335"/>
    <mergeCell ref="I4335:K4345"/>
    <mergeCell ref="F4336:H4336"/>
    <mergeCell ref="F4337:H4337"/>
    <mergeCell ref="F4338:H4338"/>
    <mergeCell ref="F4346:H4346"/>
    <mergeCell ref="I4346:K4346"/>
    <mergeCell ref="F4347:H4347"/>
    <mergeCell ref="I4347:K4357"/>
    <mergeCell ref="F4348:H4348"/>
    <mergeCell ref="F4349:H4349"/>
    <mergeCell ref="F4350:H4350"/>
    <mergeCell ref="F4358:H4358"/>
    <mergeCell ref="F4422:H4422"/>
    <mergeCell ref="F4430:H4430"/>
    <mergeCell ref="I4430:K4430"/>
    <mergeCell ref="F4431:H4431"/>
    <mergeCell ref="I4431:K4441"/>
    <mergeCell ref="F4432:H4432"/>
    <mergeCell ref="F4433:H4433"/>
    <mergeCell ref="F4434:H4434"/>
    <mergeCell ref="F4442:H4442"/>
    <mergeCell ref="I4442:K4442"/>
    <mergeCell ref="F4443:H4443"/>
    <mergeCell ref="I4443:K4453"/>
    <mergeCell ref="F4444:H4444"/>
    <mergeCell ref="F4445:H4445"/>
    <mergeCell ref="F4446:H4446"/>
    <mergeCell ref="F4454:H4454"/>
    <mergeCell ref="I4454:K4454"/>
    <mergeCell ref="I4419:K4429"/>
    <mergeCell ref="F4420:H4420"/>
    <mergeCell ref="F4421:H4421"/>
    <mergeCell ref="F4526:H4526"/>
    <mergeCell ref="I4526:K4526"/>
    <mergeCell ref="F4527:H4527"/>
    <mergeCell ref="I4527:K4537"/>
    <mergeCell ref="F4528:H4528"/>
    <mergeCell ref="F4529:H4529"/>
    <mergeCell ref="F4530:H4530"/>
    <mergeCell ref="F4538:H4538"/>
    <mergeCell ref="I4538:K4538"/>
    <mergeCell ref="F4539:H4539"/>
    <mergeCell ref="I4539:K4549"/>
    <mergeCell ref="F4478:H4478"/>
    <mergeCell ref="I4478:K4478"/>
    <mergeCell ref="F4479:H4479"/>
    <mergeCell ref="I4479:K4489"/>
    <mergeCell ref="F4480:H4480"/>
    <mergeCell ref="F4481:H4481"/>
    <mergeCell ref="F4482:H4482"/>
    <mergeCell ref="F4490:H4490"/>
    <mergeCell ref="I4490:K4490"/>
    <mergeCell ref="F4491:H4491"/>
    <mergeCell ref="I4491:K4501"/>
    <mergeCell ref="F4540:H4540"/>
    <mergeCell ref="F4541:H4541"/>
    <mergeCell ref="F4542:H4542"/>
    <mergeCell ref="I4358:K4358"/>
    <mergeCell ref="F4359:H4359"/>
    <mergeCell ref="I4359:K4369"/>
    <mergeCell ref="F4517:H4517"/>
    <mergeCell ref="F4518:H4518"/>
    <mergeCell ref="F4384:H4384"/>
    <mergeCell ref="F4385:H4385"/>
    <mergeCell ref="F4386:H4386"/>
    <mergeCell ref="F4394:H4394"/>
    <mergeCell ref="I4394:K4394"/>
    <mergeCell ref="F4395:H4395"/>
    <mergeCell ref="I4395:K4405"/>
    <mergeCell ref="F4396:H4396"/>
    <mergeCell ref="F4397:H4397"/>
    <mergeCell ref="F4398:H4398"/>
    <mergeCell ref="F4406:H4406"/>
    <mergeCell ref="I4406:K4406"/>
    <mergeCell ref="F4407:H4407"/>
    <mergeCell ref="I4407:K4417"/>
    <mergeCell ref="F4408:H4408"/>
    <mergeCell ref="F4409:H4409"/>
    <mergeCell ref="F4410:H4410"/>
    <mergeCell ref="F4466:H4466"/>
    <mergeCell ref="I4466:K4466"/>
    <mergeCell ref="F4467:H4467"/>
    <mergeCell ref="I4467:K4477"/>
    <mergeCell ref="F4468:H4468"/>
    <mergeCell ref="F4469:H4469"/>
    <mergeCell ref="F4470:H4470"/>
    <mergeCell ref="F4418:H4418"/>
    <mergeCell ref="I4418:K4418"/>
    <mergeCell ref="F4419:H4419"/>
    <mergeCell ref="F4550:H4550"/>
    <mergeCell ref="I4550:K4550"/>
    <mergeCell ref="F4551:H4551"/>
    <mergeCell ref="I4551:K4561"/>
    <mergeCell ref="F4552:H4552"/>
    <mergeCell ref="F4553:H4553"/>
    <mergeCell ref="F4554:H4554"/>
    <mergeCell ref="F4562:H4562"/>
    <mergeCell ref="I4562:K4562"/>
    <mergeCell ref="F4563:H4563"/>
    <mergeCell ref="I4563:K4573"/>
    <mergeCell ref="F4564:H4564"/>
    <mergeCell ref="F4565:H4565"/>
    <mergeCell ref="F4566:H4566"/>
    <mergeCell ref="F4456:H4456"/>
    <mergeCell ref="F4457:H4457"/>
    <mergeCell ref="F4458:H4458"/>
    <mergeCell ref="F4492:H4492"/>
    <mergeCell ref="F4493:H4493"/>
    <mergeCell ref="F4494:H4494"/>
    <mergeCell ref="F4502:H4502"/>
    <mergeCell ref="I4502:K4502"/>
    <mergeCell ref="F4503:H4503"/>
    <mergeCell ref="I4503:K4513"/>
    <mergeCell ref="F4504:H4504"/>
    <mergeCell ref="F4505:H4505"/>
    <mergeCell ref="F4506:H4506"/>
    <mergeCell ref="F4514:H4514"/>
    <mergeCell ref="I4514:K4514"/>
    <mergeCell ref="F4515:H4515"/>
    <mergeCell ref="I4515:K4525"/>
    <mergeCell ref="F4516:H4516"/>
    <mergeCell ref="F4959:H4959"/>
    <mergeCell ref="I4959:K4969"/>
    <mergeCell ref="F4960:H4960"/>
    <mergeCell ref="F4961:H4961"/>
    <mergeCell ref="F4962:H4962"/>
    <mergeCell ref="F4923:H4923"/>
    <mergeCell ref="I4923:K4933"/>
    <mergeCell ref="F4924:H4924"/>
    <mergeCell ref="F4925:H4925"/>
    <mergeCell ref="F4926:H4926"/>
    <mergeCell ref="F4934:H4934"/>
    <mergeCell ref="I4934:K4934"/>
    <mergeCell ref="F4902:H4902"/>
    <mergeCell ref="F4910:H4910"/>
    <mergeCell ref="I4910:K4910"/>
    <mergeCell ref="F4911:H4911"/>
    <mergeCell ref="I4911:K4921"/>
    <mergeCell ref="F4912:H4912"/>
    <mergeCell ref="F4913:H4913"/>
    <mergeCell ref="F4914:H4914"/>
    <mergeCell ref="F4922:H4922"/>
    <mergeCell ref="I4922:K4922"/>
    <mergeCell ref="F4935:H4935"/>
    <mergeCell ref="I4935:K4945"/>
    <mergeCell ref="F4936:H4936"/>
    <mergeCell ref="F4937:H4937"/>
    <mergeCell ref="F4938:H4938"/>
    <mergeCell ref="F4852:H4852"/>
    <mergeCell ref="F4853:H4853"/>
    <mergeCell ref="F4854:H4854"/>
    <mergeCell ref="F4862:H4862"/>
    <mergeCell ref="I4862:K4862"/>
    <mergeCell ref="F4863:H4863"/>
    <mergeCell ref="I4863:K4873"/>
    <mergeCell ref="F4864:H4864"/>
    <mergeCell ref="F4865:H4865"/>
    <mergeCell ref="F4866:H4866"/>
    <mergeCell ref="F4995:H4995"/>
    <mergeCell ref="I4995:K5005"/>
    <mergeCell ref="F4996:H4996"/>
    <mergeCell ref="F4997:H4997"/>
    <mergeCell ref="F4998:H4998"/>
    <mergeCell ref="F4974:H4974"/>
    <mergeCell ref="F4982:H4982"/>
    <mergeCell ref="I4982:K4982"/>
    <mergeCell ref="F4983:H4983"/>
    <mergeCell ref="I4983:K4993"/>
    <mergeCell ref="F4984:H4984"/>
    <mergeCell ref="F4985:H4985"/>
    <mergeCell ref="F4986:H4986"/>
    <mergeCell ref="F4994:H4994"/>
    <mergeCell ref="I4994:K4994"/>
    <mergeCell ref="F4947:H4947"/>
    <mergeCell ref="I4947:K4957"/>
    <mergeCell ref="F4948:H4948"/>
    <mergeCell ref="F4949:H4949"/>
    <mergeCell ref="F4950:H4950"/>
    <mergeCell ref="F4958:H4958"/>
    <mergeCell ref="I4958:K4958"/>
    <mergeCell ref="F4970:H4970"/>
    <mergeCell ref="I4970:K4970"/>
    <mergeCell ref="F4971:H4971"/>
    <mergeCell ref="I4971:K4981"/>
    <mergeCell ref="F4972:H4972"/>
    <mergeCell ref="F4973:H4973"/>
    <mergeCell ref="F4946:H4946"/>
    <mergeCell ref="I4946:K4946"/>
    <mergeCell ref="F4898:H4898"/>
    <mergeCell ref="I4898:K4898"/>
    <mergeCell ref="F4899:H4899"/>
    <mergeCell ref="I4899:K4909"/>
    <mergeCell ref="F4900:H4900"/>
    <mergeCell ref="F4901:H4901"/>
    <mergeCell ref="F4874:H4874"/>
    <mergeCell ref="I4874:K4874"/>
    <mergeCell ref="F4850:H4850"/>
    <mergeCell ref="I4850:K4850"/>
    <mergeCell ref="F4851:H4851"/>
    <mergeCell ref="I4851:K4861"/>
    <mergeCell ref="F4875:H4875"/>
    <mergeCell ref="I4875:K4885"/>
    <mergeCell ref="F4876:H4876"/>
    <mergeCell ref="F4877:H4877"/>
    <mergeCell ref="F4878:H4878"/>
    <mergeCell ref="F4886:H4886"/>
    <mergeCell ref="I4886:K4886"/>
    <mergeCell ref="F4887:H4887"/>
    <mergeCell ref="I4887:K4897"/>
    <mergeCell ref="F4888:H4888"/>
    <mergeCell ref="F4889:H4889"/>
    <mergeCell ref="F4890:H4890"/>
    <mergeCell ref="F5330:H5330"/>
    <mergeCell ref="I5330:K5330"/>
    <mergeCell ref="F5331:H5331"/>
    <mergeCell ref="I5331:K5341"/>
    <mergeCell ref="F5332:H5332"/>
    <mergeCell ref="F5333:H5333"/>
    <mergeCell ref="F5334:H5334"/>
    <mergeCell ref="F5342:H5342"/>
    <mergeCell ref="I5342:K5342"/>
    <mergeCell ref="F5343:H5343"/>
    <mergeCell ref="I5343:K5353"/>
    <mergeCell ref="F5344:H5344"/>
    <mergeCell ref="F5345:H5345"/>
    <mergeCell ref="F5346:H5346"/>
    <mergeCell ref="F5354:H5354"/>
    <mergeCell ref="I5354:K5354"/>
    <mergeCell ref="F5355:H5355"/>
    <mergeCell ref="I5355:K5365"/>
    <mergeCell ref="F5356:H5356"/>
    <mergeCell ref="F5357:H5357"/>
    <mergeCell ref="F5358:H5358"/>
    <mergeCell ref="F5366:H5366"/>
    <mergeCell ref="I5366:K5366"/>
    <mergeCell ref="F5367:H5367"/>
    <mergeCell ref="I5367:K5377"/>
    <mergeCell ref="F5368:H5368"/>
    <mergeCell ref="F5369:H5369"/>
    <mergeCell ref="F5370:H5370"/>
    <mergeCell ref="F5378:H5378"/>
    <mergeCell ref="I5378:K5378"/>
    <mergeCell ref="F5379:H5379"/>
    <mergeCell ref="I5379:K5389"/>
    <mergeCell ref="F5380:H5380"/>
    <mergeCell ref="F5381:H5381"/>
    <mergeCell ref="F5382:H5382"/>
    <mergeCell ref="F5390:H5390"/>
    <mergeCell ref="I5390:K5390"/>
    <mergeCell ref="F5391:H5391"/>
    <mergeCell ref="I5391:K5401"/>
    <mergeCell ref="F5392:H5392"/>
    <mergeCell ref="F5393:H5393"/>
    <mergeCell ref="F5394:H5394"/>
    <mergeCell ref="F5402:H5402"/>
    <mergeCell ref="I5402:K5402"/>
    <mergeCell ref="F5403:H5403"/>
    <mergeCell ref="I5403:K5413"/>
    <mergeCell ref="F5404:H5404"/>
    <mergeCell ref="F5405:H5405"/>
    <mergeCell ref="F5406:H5406"/>
    <mergeCell ref="F5414:H5414"/>
    <mergeCell ref="I5414:K5414"/>
    <mergeCell ref="F5415:H5415"/>
    <mergeCell ref="I5415:K5425"/>
    <mergeCell ref="F5416:H5416"/>
    <mergeCell ref="F5417:H5417"/>
    <mergeCell ref="F5418:H5418"/>
    <mergeCell ref="F5426:H5426"/>
    <mergeCell ref="I5426:K5426"/>
    <mergeCell ref="F5427:H5427"/>
    <mergeCell ref="I5427:K5437"/>
    <mergeCell ref="F5428:H5428"/>
    <mergeCell ref="F5429:H5429"/>
    <mergeCell ref="F5430:H5430"/>
    <mergeCell ref="F5438:H5438"/>
    <mergeCell ref="I5438:K5438"/>
    <mergeCell ref="F5439:H5439"/>
    <mergeCell ref="I5439:K5449"/>
    <mergeCell ref="F5440:H5440"/>
    <mergeCell ref="F5441:H5441"/>
    <mergeCell ref="F5442:H5442"/>
    <mergeCell ref="F5450:H5450"/>
    <mergeCell ref="I5450:K5450"/>
    <mergeCell ref="F5451:H5451"/>
    <mergeCell ref="I5451:K5461"/>
    <mergeCell ref="F5452:H5452"/>
    <mergeCell ref="F5453:H5453"/>
    <mergeCell ref="F5454:H5454"/>
    <mergeCell ref="F5462:H5462"/>
    <mergeCell ref="I5462:K5462"/>
    <mergeCell ref="F5463:H5463"/>
    <mergeCell ref="I5463:K5473"/>
    <mergeCell ref="F5464:H5464"/>
    <mergeCell ref="F5465:H5465"/>
    <mergeCell ref="F5466:H5466"/>
    <mergeCell ref="F5474:H5474"/>
    <mergeCell ref="I5474:K5474"/>
    <mergeCell ref="F5475:H5475"/>
    <mergeCell ref="I5475:K5485"/>
    <mergeCell ref="F5476:H5476"/>
    <mergeCell ref="F5477:H5477"/>
    <mergeCell ref="F5478:H5478"/>
    <mergeCell ref="F5486:H5486"/>
    <mergeCell ref="I5486:K5486"/>
    <mergeCell ref="F5487:H5487"/>
    <mergeCell ref="I5487:K5497"/>
    <mergeCell ref="F5488:H5488"/>
    <mergeCell ref="F5489:H5489"/>
    <mergeCell ref="F5490:H5490"/>
    <mergeCell ref="F5498:H5498"/>
    <mergeCell ref="I5498:K5498"/>
    <mergeCell ref="F5499:H5499"/>
    <mergeCell ref="I5499:K5509"/>
    <mergeCell ref="F5500:H5500"/>
    <mergeCell ref="F5501:H5501"/>
    <mergeCell ref="F5502:H5502"/>
    <mergeCell ref="F5510:H5510"/>
    <mergeCell ref="I5510:K5510"/>
    <mergeCell ref="F5511:H5511"/>
    <mergeCell ref="I5511:K5521"/>
    <mergeCell ref="F5512:H5512"/>
    <mergeCell ref="F5513:H5513"/>
    <mergeCell ref="F5514:H5514"/>
    <mergeCell ref="F5522:H5522"/>
    <mergeCell ref="I5522:K5522"/>
    <mergeCell ref="F5523:H5523"/>
    <mergeCell ref="I5523:K5533"/>
    <mergeCell ref="F5524:H5524"/>
    <mergeCell ref="F5525:H5525"/>
    <mergeCell ref="F5526:H5526"/>
    <mergeCell ref="F5534:H5534"/>
    <mergeCell ref="I5534:K5534"/>
    <mergeCell ref="F5535:H5535"/>
    <mergeCell ref="I5535:K5545"/>
    <mergeCell ref="F5536:H5536"/>
    <mergeCell ref="F5537:H5537"/>
    <mergeCell ref="F5538:H5538"/>
    <mergeCell ref="F5546:H5546"/>
    <mergeCell ref="I5546:K5546"/>
    <mergeCell ref="F5547:H5547"/>
    <mergeCell ref="I5547:K5557"/>
    <mergeCell ref="F5548:H5548"/>
    <mergeCell ref="F5549:H5549"/>
    <mergeCell ref="F5550:H5550"/>
    <mergeCell ref="F5558:H5558"/>
    <mergeCell ref="I5558:K5558"/>
    <mergeCell ref="F5559:H5559"/>
    <mergeCell ref="I5559:K5569"/>
    <mergeCell ref="F5560:H5560"/>
    <mergeCell ref="F5561:H5561"/>
    <mergeCell ref="F5562:H5562"/>
    <mergeCell ref="F5570:H5570"/>
    <mergeCell ref="I5570:K5570"/>
    <mergeCell ref="F5571:H5571"/>
    <mergeCell ref="I5571:K5581"/>
    <mergeCell ref="F5572:H5572"/>
    <mergeCell ref="F5573:H5573"/>
    <mergeCell ref="F5574:H5574"/>
    <mergeCell ref="F5582:H5582"/>
    <mergeCell ref="I5582:K5582"/>
    <mergeCell ref="F5583:H5583"/>
    <mergeCell ref="I5583:K5593"/>
    <mergeCell ref="F5584:H5584"/>
    <mergeCell ref="F5585:H5585"/>
    <mergeCell ref="F5586:H5586"/>
    <mergeCell ref="F5594:H5594"/>
    <mergeCell ref="I5594:K5594"/>
    <mergeCell ref="F5595:H5595"/>
    <mergeCell ref="I5595:K5605"/>
    <mergeCell ref="F5596:H5596"/>
    <mergeCell ref="F5597:H5597"/>
    <mergeCell ref="F5598:H5598"/>
    <mergeCell ref="F5606:H5606"/>
    <mergeCell ref="I5606:K5606"/>
    <mergeCell ref="F5607:H5607"/>
    <mergeCell ref="I5607:K5617"/>
    <mergeCell ref="F5608:H5608"/>
    <mergeCell ref="F5609:H5609"/>
    <mergeCell ref="F5610:H5610"/>
    <mergeCell ref="F5618:H5618"/>
    <mergeCell ref="I5618:K5618"/>
    <mergeCell ref="F5619:H5619"/>
    <mergeCell ref="I5619:K5629"/>
    <mergeCell ref="F5620:H5620"/>
    <mergeCell ref="F5621:H5621"/>
    <mergeCell ref="F5622:H5622"/>
    <mergeCell ref="F5630:H5630"/>
    <mergeCell ref="I5630:K5630"/>
    <mergeCell ref="F5631:H5631"/>
    <mergeCell ref="I5631:K5641"/>
    <mergeCell ref="F5632:H5632"/>
    <mergeCell ref="F5633:H5633"/>
    <mergeCell ref="F5634:H5634"/>
    <mergeCell ref="F5642:H5642"/>
    <mergeCell ref="I5642:K5642"/>
    <mergeCell ref="F5643:H5643"/>
    <mergeCell ref="I5643:K5653"/>
    <mergeCell ref="F5644:H5644"/>
    <mergeCell ref="F5645:H5645"/>
    <mergeCell ref="F5646:H5646"/>
    <mergeCell ref="F5716:H5716"/>
    <mergeCell ref="F5717:H5717"/>
    <mergeCell ref="F5718:H5718"/>
    <mergeCell ref="F5654:H5654"/>
    <mergeCell ref="I5654:K5654"/>
    <mergeCell ref="F5655:H5655"/>
    <mergeCell ref="I5655:K5665"/>
    <mergeCell ref="F5656:H5656"/>
    <mergeCell ref="F5657:H5657"/>
    <mergeCell ref="F5658:H5658"/>
    <mergeCell ref="F5666:H5666"/>
    <mergeCell ref="I5666:K5666"/>
    <mergeCell ref="F5667:H5667"/>
    <mergeCell ref="I5667:K5677"/>
    <mergeCell ref="F5668:H5668"/>
    <mergeCell ref="F5669:H5669"/>
    <mergeCell ref="F5670:H5670"/>
    <mergeCell ref="F5678:H5678"/>
    <mergeCell ref="I5678:K5678"/>
    <mergeCell ref="F5679:H5679"/>
    <mergeCell ref="I5679:K5689"/>
    <mergeCell ref="F5680:H5680"/>
    <mergeCell ref="F5681:H5681"/>
    <mergeCell ref="F5682:H5682"/>
    <mergeCell ref="F5726:H5726"/>
    <mergeCell ref="F5727:H5727"/>
    <mergeCell ref="F5728:H5728"/>
    <mergeCell ref="F5729:H5729"/>
    <mergeCell ref="F5730:H5730"/>
    <mergeCell ref="F5738:H5738"/>
    <mergeCell ref="F5739:H5739"/>
    <mergeCell ref="F5740:H5740"/>
    <mergeCell ref="F5741:H5741"/>
    <mergeCell ref="F5742:H5742"/>
    <mergeCell ref="I5726:K5726"/>
    <mergeCell ref="I5727:K5737"/>
    <mergeCell ref="I5738:K5738"/>
    <mergeCell ref="I5739:K5749"/>
    <mergeCell ref="F5690:H5690"/>
    <mergeCell ref="I5690:K5690"/>
    <mergeCell ref="F5691:H5691"/>
    <mergeCell ref="I5691:K5701"/>
    <mergeCell ref="F5692:H5692"/>
    <mergeCell ref="F5693:H5693"/>
    <mergeCell ref="F5694:H5694"/>
    <mergeCell ref="F5702:H5702"/>
    <mergeCell ref="I5702:K5702"/>
    <mergeCell ref="F5703:H5703"/>
    <mergeCell ref="I5703:K5713"/>
    <mergeCell ref="F5704:H5704"/>
    <mergeCell ref="F5705:H5705"/>
    <mergeCell ref="F5706:H5706"/>
    <mergeCell ref="F5714:H5714"/>
    <mergeCell ref="I5714:K5714"/>
    <mergeCell ref="F5715:H5715"/>
    <mergeCell ref="I5715:K5725"/>
    <mergeCell ref="F5750:H5750"/>
    <mergeCell ref="F5751:H5751"/>
    <mergeCell ref="F5752:H5752"/>
    <mergeCell ref="F5753:H5753"/>
    <mergeCell ref="F5754:H5754"/>
    <mergeCell ref="F5762:H5762"/>
    <mergeCell ref="F5763:H5763"/>
    <mergeCell ref="F5764:H5764"/>
    <mergeCell ref="F5765:H5765"/>
    <mergeCell ref="F5766:H5766"/>
    <mergeCell ref="F5774:H5774"/>
    <mergeCell ref="F5775:H5775"/>
    <mergeCell ref="F5776:H5776"/>
    <mergeCell ref="F5777:H5777"/>
    <mergeCell ref="F5778:H5778"/>
    <mergeCell ref="I5750:K5750"/>
    <mergeCell ref="I5751:K5761"/>
    <mergeCell ref="I5762:K5762"/>
    <mergeCell ref="I5763:K5773"/>
    <mergeCell ref="I5774:K5774"/>
    <mergeCell ref="I5775:K5785"/>
    <mergeCell ref="F5786:H5786"/>
    <mergeCell ref="F5787:H5787"/>
    <mergeCell ref="F5788:H5788"/>
    <mergeCell ref="F5789:H5789"/>
    <mergeCell ref="F5790:H5790"/>
    <mergeCell ref="F5798:H5798"/>
    <mergeCell ref="F5799:H5799"/>
    <mergeCell ref="F5800:H5800"/>
    <mergeCell ref="F5801:H5801"/>
    <mergeCell ref="F5802:H5802"/>
    <mergeCell ref="F5810:H5810"/>
    <mergeCell ref="F5811:H5811"/>
    <mergeCell ref="F5812:H5812"/>
    <mergeCell ref="F5813:H5813"/>
    <mergeCell ref="F5814:H5814"/>
    <mergeCell ref="I5786:K5786"/>
    <mergeCell ref="I5787:K5797"/>
    <mergeCell ref="I5798:K5798"/>
    <mergeCell ref="I5799:K5809"/>
    <mergeCell ref="I5810:K5810"/>
    <mergeCell ref="I5811:K5821"/>
    <mergeCell ref="F5822:H5822"/>
    <mergeCell ref="F5823:H5823"/>
    <mergeCell ref="F5824:H5824"/>
    <mergeCell ref="F5825:H5825"/>
    <mergeCell ref="F5826:H5826"/>
    <mergeCell ref="F5834:H5834"/>
    <mergeCell ref="F5835:H5835"/>
    <mergeCell ref="F5836:H5836"/>
    <mergeCell ref="F5837:H5837"/>
    <mergeCell ref="F5838:H5838"/>
    <mergeCell ref="F5846:H5846"/>
    <mergeCell ref="F5847:H5847"/>
    <mergeCell ref="F5848:H5848"/>
    <mergeCell ref="F5849:H5849"/>
    <mergeCell ref="F5850:H5850"/>
    <mergeCell ref="I5822:K5822"/>
    <mergeCell ref="I5823:K5833"/>
    <mergeCell ref="I5834:K5834"/>
    <mergeCell ref="I5835:K5845"/>
    <mergeCell ref="I5846:K5846"/>
    <mergeCell ref="I5847:K5857"/>
    <mergeCell ref="F5858:H5858"/>
    <mergeCell ref="I5858:K5858"/>
    <mergeCell ref="F5859:H5859"/>
    <mergeCell ref="I5859:K5869"/>
    <mergeCell ref="F5860:H5860"/>
    <mergeCell ref="F5861:H5861"/>
    <mergeCell ref="F5862:H5862"/>
    <mergeCell ref="F5870:H5870"/>
    <mergeCell ref="I5870:K5870"/>
    <mergeCell ref="F5871:H5871"/>
    <mergeCell ref="I5871:K5881"/>
    <mergeCell ref="F5872:H5872"/>
    <mergeCell ref="F5873:H5873"/>
    <mergeCell ref="F5874:H5874"/>
    <mergeCell ref="F5882:H5882"/>
    <mergeCell ref="I5882:K5882"/>
    <mergeCell ref="F5883:H5883"/>
    <mergeCell ref="I5883:K5893"/>
    <mergeCell ref="F5884:H5884"/>
    <mergeCell ref="F5885:H5885"/>
    <mergeCell ref="F5886:H5886"/>
    <mergeCell ref="F5894:H5894"/>
    <mergeCell ref="I5894:K5894"/>
    <mergeCell ref="F5895:H5895"/>
    <mergeCell ref="I5895:K5905"/>
    <mergeCell ref="F5896:H5896"/>
    <mergeCell ref="F5897:H5897"/>
    <mergeCell ref="F5898:H5898"/>
    <mergeCell ref="F5906:H5906"/>
    <mergeCell ref="I5906:K5906"/>
    <mergeCell ref="F5907:H5907"/>
    <mergeCell ref="I5907:K5917"/>
    <mergeCell ref="F5908:H5908"/>
    <mergeCell ref="F5909:H5909"/>
    <mergeCell ref="F5910:H5910"/>
    <mergeCell ref="F5918:H5918"/>
    <mergeCell ref="I5918:K5918"/>
    <mergeCell ref="F5919:H5919"/>
    <mergeCell ref="I5919:K5929"/>
    <mergeCell ref="F5920:H5920"/>
    <mergeCell ref="F5921:H5921"/>
    <mergeCell ref="F5922:H5922"/>
  </mergeCells>
  <conditionalFormatting sqref="F500">
    <cfRule type="cellIs" dxfId="12" priority="10" operator="greaterThan">
      <formula>$E$79</formula>
    </cfRule>
  </conditionalFormatting>
  <conditionalFormatting sqref="F656">
    <cfRule type="cellIs" dxfId="11" priority="9" operator="greaterThan">
      <formula>$E$103</formula>
    </cfRule>
  </conditionalFormatting>
  <conditionalFormatting sqref="F1052">
    <cfRule type="cellIs" dxfId="10" priority="8" operator="greaterThan">
      <formula>$E$127</formula>
    </cfRule>
  </conditionalFormatting>
  <conditionalFormatting sqref="F1208">
    <cfRule type="cellIs" dxfId="9" priority="7" operator="greaterThan">
      <formula>$E$127</formula>
    </cfRule>
  </conditionalFormatting>
  <conditionalFormatting sqref="F1220">
    <cfRule type="cellIs" dxfId="8" priority="6" operator="greaterThan">
      <formula>$E$127</formula>
    </cfRule>
  </conditionalFormatting>
  <conditionalFormatting sqref="F1232">
    <cfRule type="cellIs" dxfId="7" priority="5" operator="greaterThan">
      <formula>$E$127</formula>
    </cfRule>
  </conditionalFormatting>
  <conditionalFormatting sqref="F1532">
    <cfRule type="cellIs" dxfId="6" priority="4" operator="greaterThan">
      <formula>$E$175</formula>
    </cfRule>
  </conditionalFormatting>
  <conditionalFormatting sqref="F1544">
    <cfRule type="cellIs" dxfId="5" priority="2" operator="greaterThan">
      <formula>$E$175</formula>
    </cfRule>
  </conditionalFormatting>
  <conditionalFormatting sqref="F3164">
    <cfRule type="cellIs" dxfId="4" priority="1" operator="greaterThan">
      <formula>$E$415</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DD8A19-68AB-6A42-B7E7-DA9D020B1275}">
  <dimension ref="B3:AN5524"/>
  <sheetViews>
    <sheetView showGridLines="0" tabSelected="1" topLeftCell="A5501" zoomScale="90" zoomScaleNormal="90" workbookViewId="0">
      <selection activeCell="D5520" sqref="D5520"/>
    </sheetView>
  </sheetViews>
  <sheetFormatPr baseColWidth="10" defaultRowHeight="16" outlineLevelCol="1"/>
  <cols>
    <col min="1" max="1" width="1.83203125" customWidth="1"/>
    <col min="2" max="2" width="3.5" style="90" customWidth="1"/>
    <col min="3" max="3" width="3.5" style="157" customWidth="1"/>
    <col min="4" max="4" width="21.5" customWidth="1"/>
    <col min="5" max="5" width="16.6640625" customWidth="1"/>
    <col min="6" max="6" width="20.5" customWidth="1"/>
    <col min="7" max="7" width="19" customWidth="1"/>
    <col min="8" max="8" width="14.6640625" bestFit="1" customWidth="1"/>
    <col min="9" max="9" width="21" hidden="1" customWidth="1" outlineLevel="1"/>
    <col min="10" max="10" width="20.1640625" hidden="1" customWidth="1" outlineLevel="1" collapsed="1"/>
    <col min="11" max="11" width="19.6640625" hidden="1" customWidth="1" outlineLevel="1" collapsed="1"/>
    <col min="12" max="12" width="12.33203125" customWidth="1" collapsed="1"/>
    <col min="13" max="13" width="58" hidden="1" customWidth="1" outlineLevel="1"/>
    <col min="14" max="14" width="10.83203125" collapsed="1"/>
    <col min="15" max="15" width="0" hidden="1" customWidth="1" outlineLevel="1"/>
    <col min="16" max="17" width="11" hidden="1" customWidth="1" outlineLevel="1"/>
    <col min="18" max="18" width="14.1640625" hidden="1" customWidth="1" outlineLevel="1"/>
    <col min="19" max="24" width="11" hidden="1" customWidth="1" outlineLevel="1"/>
    <col min="25" max="25" width="0" hidden="1" customWidth="1" outlineLevel="1"/>
    <col min="26" max="26" width="34.1640625" hidden="1" customWidth="1" outlineLevel="1"/>
    <col min="27" max="27" width="10.83203125" collapsed="1"/>
  </cols>
  <sheetData>
    <row r="3" spans="2:26" ht="17" thickBot="1"/>
    <row r="4" spans="2:26" ht="73" customHeight="1" thickBot="1">
      <c r="B4" s="88">
        <v>45585</v>
      </c>
      <c r="C4" s="88" t="s">
        <v>105</v>
      </c>
      <c r="D4" s="488" t="s">
        <v>30</v>
      </c>
      <c r="E4" s="1486" t="s">
        <v>90</v>
      </c>
      <c r="F4" s="1487"/>
      <c r="G4" s="1488"/>
      <c r="H4" s="819" t="s">
        <v>790</v>
      </c>
      <c r="I4" s="1489" t="s">
        <v>633</v>
      </c>
      <c r="J4" s="1490"/>
      <c r="K4" s="1491"/>
      <c r="L4" s="820" t="s">
        <v>430</v>
      </c>
      <c r="M4" s="105" t="s">
        <v>431</v>
      </c>
      <c r="O4" s="114" t="s">
        <v>800</v>
      </c>
      <c r="P4" s="114" t="s">
        <v>801</v>
      </c>
      <c r="Q4" s="114" t="s">
        <v>802</v>
      </c>
      <c r="R4" s="114" t="s">
        <v>803</v>
      </c>
      <c r="S4" s="114" t="s">
        <v>804</v>
      </c>
      <c r="T4" s="114" t="s">
        <v>805</v>
      </c>
      <c r="U4" s="114" t="s">
        <v>806</v>
      </c>
      <c r="V4" s="114" t="s">
        <v>807</v>
      </c>
      <c r="W4" s="114" t="s">
        <v>808</v>
      </c>
      <c r="X4" s="114" t="s">
        <v>809</v>
      </c>
      <c r="Y4" s="114" t="s">
        <v>75</v>
      </c>
      <c r="Z4" s="114" t="s">
        <v>75</v>
      </c>
    </row>
    <row r="5" spans="2:26" ht="24" customHeight="1">
      <c r="C5" s="88"/>
      <c r="D5" s="489" t="s">
        <v>432</v>
      </c>
      <c r="E5" s="1435"/>
      <c r="F5" s="1436"/>
      <c r="G5" s="1437"/>
      <c r="H5" s="821" t="s">
        <v>791</v>
      </c>
      <c r="I5" s="1021" t="s">
        <v>705</v>
      </c>
      <c r="J5" s="1015"/>
      <c r="K5" s="1016"/>
      <c r="L5" s="822"/>
      <c r="M5" s="112"/>
      <c r="O5" s="115" t="s">
        <v>810</v>
      </c>
      <c r="P5" s="116">
        <v>0.1</v>
      </c>
      <c r="Q5" s="117">
        <v>9.0000000000000006E-5</v>
      </c>
      <c r="R5" s="118">
        <v>1.7000000000000348E-4</v>
      </c>
      <c r="S5" s="119"/>
      <c r="T5" s="115">
        <v>3.0500000000000351E-4</v>
      </c>
      <c r="U5" s="117">
        <v>8.16</v>
      </c>
      <c r="V5" s="116">
        <v>91.8</v>
      </c>
      <c r="W5" s="119"/>
      <c r="X5" s="119"/>
      <c r="Y5" s="120"/>
      <c r="Z5" s="120"/>
    </row>
    <row r="6" spans="2:26" ht="24" customHeight="1">
      <c r="C6" s="88"/>
      <c r="D6" s="490" t="s">
        <v>433</v>
      </c>
      <c r="E6" s="1444">
        <v>3.7499999999999999E-2</v>
      </c>
      <c r="F6" s="1445"/>
      <c r="G6" s="1446"/>
      <c r="H6" s="821" t="s">
        <v>792</v>
      </c>
      <c r="I6" s="995"/>
      <c r="J6" s="996"/>
      <c r="K6" s="997"/>
      <c r="L6" s="822"/>
      <c r="M6" s="112"/>
      <c r="O6" s="121"/>
      <c r="P6" s="121"/>
      <c r="Q6" s="121"/>
      <c r="R6" s="122"/>
      <c r="S6" s="123"/>
      <c r="T6" s="121"/>
      <c r="U6" s="121"/>
      <c r="V6" s="121"/>
      <c r="W6" s="123"/>
      <c r="X6" s="123"/>
      <c r="Y6" s="124"/>
      <c r="Z6" s="124"/>
    </row>
    <row r="7" spans="2:26" ht="25" customHeight="1" thickBot="1">
      <c r="C7" s="88"/>
      <c r="D7" s="490" t="s">
        <v>434</v>
      </c>
      <c r="E7" s="1444">
        <v>4.2500000000000003E-2</v>
      </c>
      <c r="F7" s="1445"/>
      <c r="G7" s="1446"/>
      <c r="H7" s="823"/>
      <c r="I7" s="995"/>
      <c r="J7" s="996"/>
      <c r="K7" s="997"/>
      <c r="L7" s="822"/>
      <c r="M7" s="112"/>
      <c r="O7" s="125" t="s">
        <v>811</v>
      </c>
      <c r="P7" s="126">
        <v>0.2</v>
      </c>
      <c r="Q7" s="127">
        <v>5.9999999999999995E-4</v>
      </c>
      <c r="R7" s="128">
        <v>1.2999999999999999E-4</v>
      </c>
      <c r="S7" s="129">
        <v>1</v>
      </c>
      <c r="T7" s="125">
        <v>1.0299999999999999E-3</v>
      </c>
      <c r="U7" s="130">
        <v>-55.113442622950181</v>
      </c>
      <c r="V7" s="131">
        <v>183.6</v>
      </c>
      <c r="W7" s="132">
        <v>4.4349999999999996</v>
      </c>
      <c r="X7" s="133">
        <v>244.42811803278403</v>
      </c>
      <c r="Y7" s="134"/>
      <c r="Z7" s="134">
        <v>4.4350000000000005</v>
      </c>
    </row>
    <row r="8" spans="2:26" ht="25" customHeight="1" thickBot="1">
      <c r="C8" s="88"/>
      <c r="D8" s="491" t="s">
        <v>435</v>
      </c>
      <c r="E8" s="1447">
        <v>0.57291666666666674</v>
      </c>
      <c r="F8" s="1448"/>
      <c r="G8" s="1449"/>
      <c r="H8" s="823"/>
      <c r="I8" s="995"/>
      <c r="J8" s="996"/>
      <c r="K8" s="997"/>
      <c r="L8" s="824">
        <v>0.80208333333333337</v>
      </c>
      <c r="M8" s="459">
        <v>0.69791666666666674</v>
      </c>
      <c r="O8" s="135" t="s">
        <v>812</v>
      </c>
      <c r="P8" s="136">
        <v>0.2</v>
      </c>
      <c r="Q8" s="137">
        <v>8.0000000000000004E-4</v>
      </c>
      <c r="R8" s="138">
        <v>1.3999999999999999E-4</v>
      </c>
      <c r="S8" s="139">
        <v>1</v>
      </c>
      <c r="T8" s="135">
        <v>1.34E-3</v>
      </c>
      <c r="U8" s="140">
        <v>-71.700983606556562</v>
      </c>
      <c r="V8" s="141">
        <v>183.6</v>
      </c>
      <c r="W8" s="142">
        <v>5.5</v>
      </c>
      <c r="X8" s="143">
        <v>394.35540983606109</v>
      </c>
      <c r="Y8" s="144"/>
      <c r="Z8" s="144"/>
    </row>
    <row r="9" spans="2:26" ht="49" customHeight="1" thickBot="1">
      <c r="C9" s="88"/>
      <c r="D9" s="492" t="s">
        <v>436</v>
      </c>
      <c r="E9" s="92" t="s">
        <v>29</v>
      </c>
      <c r="F9" s="92" t="s">
        <v>28</v>
      </c>
      <c r="G9" s="93" t="s">
        <v>27</v>
      </c>
      <c r="H9" s="93" t="s">
        <v>793</v>
      </c>
      <c r="I9" s="995"/>
      <c r="J9" s="996"/>
      <c r="K9" s="997"/>
      <c r="L9" s="822"/>
      <c r="M9" s="112"/>
      <c r="O9" s="123"/>
      <c r="P9" s="145"/>
      <c r="Q9" s="123"/>
      <c r="R9" s="123"/>
      <c r="S9" s="123"/>
      <c r="T9" s="123"/>
      <c r="U9" s="146">
        <v>-71.700983606556562</v>
      </c>
      <c r="V9" s="147"/>
      <c r="W9" s="123"/>
      <c r="X9" s="146">
        <v>244.42811803278403</v>
      </c>
      <c r="Y9" s="124"/>
      <c r="Z9" s="124"/>
    </row>
    <row r="10" spans="2:26" ht="24">
      <c r="C10" s="88"/>
      <c r="D10" s="493">
        <v>45539</v>
      </c>
      <c r="E10" s="98">
        <v>4.2500000000000003E-2</v>
      </c>
      <c r="F10" s="95" t="s">
        <v>723</v>
      </c>
      <c r="G10" s="95">
        <v>4.4999999999999998E-2</v>
      </c>
      <c r="H10" s="825">
        <v>0.57291666666666674</v>
      </c>
      <c r="I10" s="995"/>
      <c r="J10" s="996"/>
      <c r="K10" s="997"/>
      <c r="L10" s="826">
        <v>0.73958333333333337</v>
      </c>
      <c r="M10" s="112"/>
      <c r="O10" s="148"/>
      <c r="P10" s="124"/>
      <c r="Q10" s="148"/>
      <c r="R10" s="148"/>
      <c r="S10" s="148"/>
      <c r="T10" s="148"/>
      <c r="U10" s="148"/>
      <c r="V10" s="148"/>
      <c r="W10" s="148"/>
      <c r="X10" s="148"/>
      <c r="Y10" s="124"/>
      <c r="Z10" s="124"/>
    </row>
    <row r="11" spans="2:26" ht="24">
      <c r="C11" s="88"/>
      <c r="D11" s="493">
        <v>45497</v>
      </c>
      <c r="E11" s="98">
        <v>4.4999999999999998E-2</v>
      </c>
      <c r="F11" s="95" t="s">
        <v>725</v>
      </c>
      <c r="G11" s="95">
        <v>4.7500000000000001E-2</v>
      </c>
      <c r="H11" s="825">
        <v>0.57291666666666674</v>
      </c>
      <c r="I11" s="995"/>
      <c r="J11" s="996"/>
      <c r="K11" s="997"/>
      <c r="L11" s="826">
        <v>0.73958333333333337</v>
      </c>
      <c r="M11" s="112"/>
      <c r="O11" s="115" t="s">
        <v>813</v>
      </c>
      <c r="P11" s="116">
        <v>0.2</v>
      </c>
      <c r="Q11" s="149">
        <v>6.4000000000000005E-4</v>
      </c>
      <c r="R11" s="150">
        <v>1.3999999999999999E-4</v>
      </c>
      <c r="S11" s="119">
        <v>1</v>
      </c>
      <c r="T11" s="116">
        <v>1.1000000000000001E-3</v>
      </c>
      <c r="U11" s="151">
        <v>-58.859016393441948</v>
      </c>
      <c r="V11" s="152">
        <v>183.6</v>
      </c>
      <c r="W11" s="119">
        <v>3</v>
      </c>
      <c r="X11" s="153">
        <v>176.57704918032584</v>
      </c>
      <c r="Y11" s="154" t="s">
        <v>814</v>
      </c>
      <c r="Z11" s="154" t="s">
        <v>815</v>
      </c>
    </row>
    <row r="12" spans="2:26" ht="24">
      <c r="C12" s="88"/>
      <c r="D12" s="493">
        <v>45448</v>
      </c>
      <c r="E12" s="98">
        <v>4.7500000000000001E-2</v>
      </c>
      <c r="F12" s="95" t="s">
        <v>726</v>
      </c>
      <c r="G12" s="95">
        <v>0.05</v>
      </c>
      <c r="H12" s="825">
        <v>0.57291666666666674</v>
      </c>
      <c r="I12" s="995"/>
      <c r="J12" s="996"/>
      <c r="K12" s="997"/>
      <c r="L12" s="826">
        <v>0.73958333333333337</v>
      </c>
      <c r="M12" s="112"/>
      <c r="O12" s="89"/>
      <c r="P12" s="89"/>
      <c r="Q12" s="89"/>
      <c r="R12" s="89"/>
      <c r="S12" s="89"/>
      <c r="T12" s="89"/>
      <c r="U12" s="89"/>
      <c r="V12" s="89"/>
      <c r="W12" s="89"/>
      <c r="X12" s="89"/>
      <c r="Y12" s="89"/>
      <c r="Z12" s="89"/>
    </row>
    <row r="13" spans="2:26" ht="24">
      <c r="C13" s="88"/>
      <c r="D13" s="493">
        <v>45392</v>
      </c>
      <c r="E13" s="98">
        <v>0.05</v>
      </c>
      <c r="F13" s="95" t="s">
        <v>728</v>
      </c>
      <c r="G13" s="95">
        <v>0.05</v>
      </c>
      <c r="H13" s="825">
        <v>0.57291666666666674</v>
      </c>
      <c r="I13" s="995"/>
      <c r="J13" s="996"/>
      <c r="K13" s="997"/>
      <c r="L13" s="826">
        <v>0.73958333333333337</v>
      </c>
      <c r="M13" s="112"/>
      <c r="O13" s="89"/>
      <c r="P13" s="89"/>
      <c r="Q13" s="89"/>
      <c r="R13" s="89"/>
      <c r="S13" s="89"/>
      <c r="T13" s="89"/>
      <c r="U13" s="89"/>
      <c r="V13" s="89"/>
      <c r="W13" s="89"/>
      <c r="X13" s="89"/>
      <c r="Y13" s="89"/>
      <c r="Z13" s="89"/>
    </row>
    <row r="14" spans="2:26" ht="24" customHeight="1">
      <c r="C14" s="88"/>
      <c r="D14" s="493">
        <v>45357</v>
      </c>
      <c r="E14" s="98">
        <v>0.05</v>
      </c>
      <c r="F14" s="95" t="s">
        <v>728</v>
      </c>
      <c r="G14" s="95">
        <v>0.05</v>
      </c>
      <c r="H14" s="825">
        <v>0.61458333333333337</v>
      </c>
      <c r="I14" s="995"/>
      <c r="J14" s="996"/>
      <c r="K14" s="997"/>
      <c r="L14" s="826">
        <v>0.78125</v>
      </c>
      <c r="M14" s="112"/>
      <c r="O14" s="89"/>
      <c r="P14" s="89"/>
      <c r="Q14" s="89"/>
      <c r="R14" s="89"/>
      <c r="S14" s="89"/>
      <c r="T14" s="89"/>
      <c r="U14" s="89"/>
      <c r="V14" s="89"/>
      <c r="W14" s="89"/>
      <c r="X14" s="89"/>
      <c r="Y14" s="89"/>
      <c r="Z14" s="89"/>
    </row>
    <row r="15" spans="2:26" ht="25" customHeight="1" thickBot="1">
      <c r="C15" s="88"/>
      <c r="D15" s="493">
        <v>45315</v>
      </c>
      <c r="E15" s="98">
        <v>0.05</v>
      </c>
      <c r="F15" s="95" t="s">
        <v>728</v>
      </c>
      <c r="G15" s="95">
        <v>0.05</v>
      </c>
      <c r="H15" s="825">
        <v>0.61458333333333337</v>
      </c>
      <c r="I15" s="998"/>
      <c r="J15" s="999"/>
      <c r="K15" s="1000"/>
      <c r="L15" s="826">
        <v>0.78125</v>
      </c>
      <c r="M15" s="113"/>
      <c r="O15" s="89"/>
      <c r="P15" s="89"/>
      <c r="Q15" s="89"/>
      <c r="R15" s="89"/>
      <c r="S15" s="89"/>
      <c r="T15" s="89"/>
      <c r="U15" s="89"/>
      <c r="V15" s="89"/>
      <c r="W15" s="89"/>
      <c r="X15" s="89"/>
      <c r="Y15" s="89"/>
      <c r="Z15" s="89"/>
    </row>
    <row r="16" spans="2:26" ht="73" customHeight="1" thickBot="1">
      <c r="C16" s="88" t="s">
        <v>105</v>
      </c>
      <c r="D16" s="494" t="s">
        <v>30</v>
      </c>
      <c r="E16" s="1429" t="s">
        <v>706</v>
      </c>
      <c r="F16" s="1430"/>
      <c r="G16" s="1431"/>
      <c r="H16" s="827" t="s">
        <v>790</v>
      </c>
      <c r="I16" s="989" t="s">
        <v>633</v>
      </c>
      <c r="J16" s="990"/>
      <c r="K16" s="991"/>
      <c r="L16" s="828" t="s">
        <v>430</v>
      </c>
      <c r="M16" s="105" t="s">
        <v>431</v>
      </c>
      <c r="O16" s="114" t="s">
        <v>800</v>
      </c>
      <c r="P16" s="114" t="s">
        <v>801</v>
      </c>
      <c r="Q16" s="114" t="s">
        <v>802</v>
      </c>
      <c r="R16" s="114" t="s">
        <v>803</v>
      </c>
      <c r="S16" s="114" t="s">
        <v>804</v>
      </c>
      <c r="T16" s="114" t="s">
        <v>805</v>
      </c>
      <c r="U16" s="114" t="s">
        <v>806</v>
      </c>
      <c r="V16" s="114" t="s">
        <v>807</v>
      </c>
      <c r="W16" s="114" t="s">
        <v>808</v>
      </c>
      <c r="X16" s="114" t="s">
        <v>809</v>
      </c>
      <c r="Y16" s="114" t="s">
        <v>75</v>
      </c>
      <c r="Z16" s="114" t="s">
        <v>75</v>
      </c>
    </row>
    <row r="17" spans="3:26" ht="24" customHeight="1">
      <c r="C17" s="88"/>
      <c r="D17" s="489" t="s">
        <v>432</v>
      </c>
      <c r="E17" s="1435"/>
      <c r="F17" s="1436"/>
      <c r="G17" s="1437"/>
      <c r="H17" s="821" t="s">
        <v>794</v>
      </c>
      <c r="I17" s="1021" t="s">
        <v>708</v>
      </c>
      <c r="J17" s="1015"/>
      <c r="K17" s="1016"/>
      <c r="L17" s="822"/>
      <c r="M17" s="112"/>
      <c r="O17" s="115" t="s">
        <v>810</v>
      </c>
      <c r="P17" s="116">
        <v>0.1</v>
      </c>
      <c r="Q17" s="117">
        <v>3.9E-2</v>
      </c>
      <c r="R17" s="118">
        <v>2.1000000000015007E-2</v>
      </c>
      <c r="S17" s="119"/>
      <c r="T17" s="115">
        <v>7.9500000000015003E-2</v>
      </c>
      <c r="U17" s="117">
        <v>-18.989999999999998</v>
      </c>
      <c r="V17" s="116">
        <v>91.8</v>
      </c>
      <c r="W17" s="119"/>
      <c r="X17" s="119"/>
      <c r="Y17" s="120"/>
      <c r="Z17" s="120"/>
    </row>
    <row r="18" spans="3:26" ht="24" customHeight="1">
      <c r="C18" s="88"/>
      <c r="D18" s="490" t="s">
        <v>433</v>
      </c>
      <c r="E18" s="1444" t="s">
        <v>707</v>
      </c>
      <c r="F18" s="1445"/>
      <c r="G18" s="1446"/>
      <c r="H18" s="821" t="s">
        <v>795</v>
      </c>
      <c r="I18" s="995"/>
      <c r="J18" s="996"/>
      <c r="K18" s="997"/>
      <c r="L18" s="822"/>
      <c r="M18" s="112"/>
      <c r="O18" s="121"/>
      <c r="P18" s="121"/>
      <c r="Q18" s="121"/>
      <c r="R18" s="122"/>
      <c r="S18" s="123"/>
      <c r="T18" s="121"/>
      <c r="U18" s="121"/>
      <c r="V18" s="121"/>
      <c r="W18" s="123"/>
      <c r="X18" s="123"/>
      <c r="Y18" s="124"/>
      <c r="Z18" s="124"/>
    </row>
    <row r="19" spans="3:26" ht="25" customHeight="1" thickBot="1">
      <c r="C19" s="88"/>
      <c r="D19" s="490" t="s">
        <v>434</v>
      </c>
      <c r="E19" s="1444" t="s">
        <v>349</v>
      </c>
      <c r="F19" s="1445"/>
      <c r="G19" s="1446"/>
      <c r="H19" s="823"/>
      <c r="I19" s="995"/>
      <c r="J19" s="996"/>
      <c r="K19" s="997"/>
      <c r="L19" s="822"/>
      <c r="M19" s="112"/>
      <c r="O19" s="125" t="s">
        <v>811</v>
      </c>
      <c r="P19" s="126">
        <v>0.1</v>
      </c>
      <c r="Q19" s="127">
        <v>7.22E-2</v>
      </c>
      <c r="R19" s="128">
        <v>1.4999999999999999E-2</v>
      </c>
      <c r="S19" s="129">
        <v>1</v>
      </c>
      <c r="T19" s="125">
        <v>0.12330000000000001</v>
      </c>
      <c r="U19" s="130">
        <v>-29.452415094334064</v>
      </c>
      <c r="V19" s="131">
        <v>91.8</v>
      </c>
      <c r="W19" s="132">
        <v>4.88</v>
      </c>
      <c r="X19" s="133">
        <v>143.72778566035024</v>
      </c>
      <c r="Y19" s="134"/>
      <c r="Z19" s="134">
        <v>4.4350000000000005</v>
      </c>
    </row>
    <row r="20" spans="3:26" ht="25" customHeight="1" thickBot="1">
      <c r="C20" s="88"/>
      <c r="D20" s="491" t="s">
        <v>435</v>
      </c>
      <c r="E20" s="1447">
        <v>0.58333333333333337</v>
      </c>
      <c r="F20" s="1448"/>
      <c r="G20" s="1449"/>
      <c r="H20" s="823"/>
      <c r="I20" s="995"/>
      <c r="J20" s="996"/>
      <c r="K20" s="997"/>
      <c r="L20" s="824">
        <v>0.8125</v>
      </c>
      <c r="M20" s="459">
        <v>0.70833333333333337</v>
      </c>
      <c r="O20" s="135" t="s">
        <v>812</v>
      </c>
      <c r="P20" s="136">
        <v>0.1</v>
      </c>
      <c r="Q20" s="137">
        <v>4.0533333333333338E-2</v>
      </c>
      <c r="R20" s="138">
        <v>1.4999999999999999E-2</v>
      </c>
      <c r="S20" s="139">
        <v>0.5</v>
      </c>
      <c r="T20" s="135">
        <v>7.5800000000000006E-2</v>
      </c>
      <c r="U20" s="140">
        <v>-9.0530943396209338</v>
      </c>
      <c r="V20" s="141">
        <v>91.8</v>
      </c>
      <c r="W20" s="142">
        <v>2.3650000000000002</v>
      </c>
      <c r="X20" s="143">
        <v>21.41056811320351</v>
      </c>
      <c r="Y20" s="144"/>
      <c r="Z20" s="144"/>
    </row>
    <row r="21" spans="3:26" ht="49" customHeight="1" thickBot="1">
      <c r="C21" s="88"/>
      <c r="D21" s="492" t="s">
        <v>436</v>
      </c>
      <c r="E21" s="92" t="s">
        <v>29</v>
      </c>
      <c r="F21" s="92" t="s">
        <v>28</v>
      </c>
      <c r="G21" s="93" t="s">
        <v>27</v>
      </c>
      <c r="H21" s="93" t="s">
        <v>793</v>
      </c>
      <c r="I21" s="995"/>
      <c r="J21" s="996"/>
      <c r="K21" s="997"/>
      <c r="L21" s="822"/>
      <c r="M21" s="112"/>
      <c r="O21" s="123"/>
      <c r="P21" s="145"/>
      <c r="Q21" s="123"/>
      <c r="R21" s="123"/>
      <c r="S21" s="123"/>
      <c r="T21" s="123"/>
      <c r="U21" s="146"/>
      <c r="V21" s="147"/>
      <c r="W21" s="123"/>
      <c r="X21" s="146"/>
      <c r="Y21" s="124"/>
      <c r="Z21" s="124"/>
    </row>
    <row r="22" spans="3:26" ht="24" customHeight="1">
      <c r="C22" s="88"/>
      <c r="D22" s="493">
        <v>45554</v>
      </c>
      <c r="E22" s="95" t="s">
        <v>349</v>
      </c>
      <c r="F22" s="95" t="s">
        <v>735</v>
      </c>
      <c r="G22" s="95" t="s">
        <v>351</v>
      </c>
      <c r="H22" s="825">
        <v>0.58333333333333337</v>
      </c>
      <c r="I22" s="995"/>
      <c r="J22" s="996"/>
      <c r="K22" s="997"/>
      <c r="L22" s="822"/>
      <c r="M22" s="112"/>
      <c r="O22" s="148"/>
      <c r="P22" s="124"/>
      <c r="Q22" s="148"/>
      <c r="R22" s="148"/>
      <c r="S22" s="148"/>
      <c r="T22" s="148"/>
      <c r="U22" s="148"/>
      <c r="V22" s="148"/>
      <c r="W22" s="148"/>
      <c r="X22" s="148"/>
      <c r="Y22" s="124"/>
      <c r="Z22" s="124"/>
    </row>
    <row r="23" spans="3:26" ht="24" customHeight="1">
      <c r="C23" s="88"/>
      <c r="D23" s="493">
        <v>45526</v>
      </c>
      <c r="E23" s="95" t="s">
        <v>736</v>
      </c>
      <c r="F23" s="95" t="s">
        <v>737</v>
      </c>
      <c r="G23" s="95" t="s">
        <v>738</v>
      </c>
      <c r="H23" s="825">
        <v>0.58333333333333337</v>
      </c>
      <c r="I23" s="995"/>
      <c r="J23" s="996"/>
      <c r="K23" s="997"/>
      <c r="L23" s="822"/>
      <c r="M23" s="112"/>
      <c r="O23" s="115" t="s">
        <v>813</v>
      </c>
      <c r="P23" s="116">
        <v>0.25</v>
      </c>
      <c r="Q23" s="149">
        <v>4.0533333333333338E-2</v>
      </c>
      <c r="R23" s="150">
        <v>1.4999999999999999E-2</v>
      </c>
      <c r="S23" s="119">
        <v>0.5</v>
      </c>
      <c r="T23" s="116">
        <v>7.5800000000000006E-2</v>
      </c>
      <c r="U23" s="151">
        <v>-22.632735849052334</v>
      </c>
      <c r="V23" s="152">
        <v>229.5</v>
      </c>
      <c r="W23" s="119">
        <v>2</v>
      </c>
      <c r="X23" s="153">
        <v>45.265471698104669</v>
      </c>
      <c r="Y23" s="154" t="s">
        <v>814</v>
      </c>
      <c r="Z23" s="154"/>
    </row>
    <row r="24" spans="3:26" ht="24" customHeight="1">
      <c r="C24" s="88"/>
      <c r="D24" s="493">
        <v>45496</v>
      </c>
      <c r="E24" s="95" t="s">
        <v>740</v>
      </c>
      <c r="F24" s="95" t="s">
        <v>741</v>
      </c>
      <c r="G24" s="95" t="s">
        <v>78</v>
      </c>
      <c r="H24" s="825">
        <v>0.58333333333333337</v>
      </c>
      <c r="I24" s="995"/>
      <c r="J24" s="996"/>
      <c r="K24" s="997"/>
      <c r="L24" s="829"/>
      <c r="M24" s="112"/>
      <c r="O24" s="115" t="s">
        <v>813</v>
      </c>
      <c r="P24" s="116">
        <v>0.25</v>
      </c>
      <c r="Q24" s="149">
        <v>4.0533333333333338E-2</v>
      </c>
      <c r="R24" s="150">
        <v>1.4999999999999999E-2</v>
      </c>
      <c r="S24" s="119">
        <v>0.5</v>
      </c>
      <c r="T24" s="116">
        <v>7.5800000000000006E-2</v>
      </c>
      <c r="U24" s="151">
        <v>-22.632735849052334</v>
      </c>
      <c r="V24" s="152">
        <v>229.5</v>
      </c>
      <c r="W24" s="119">
        <v>2</v>
      </c>
      <c r="X24" s="153">
        <v>45.265471698104669</v>
      </c>
      <c r="Y24" s="154"/>
      <c r="Z24" s="154"/>
    </row>
    <row r="25" spans="3:26" ht="24" customHeight="1">
      <c r="C25" s="88"/>
      <c r="D25" s="493">
        <v>45464</v>
      </c>
      <c r="E25" s="95" t="s">
        <v>78</v>
      </c>
      <c r="F25" s="95" t="s">
        <v>743</v>
      </c>
      <c r="G25" s="95" t="s">
        <v>744</v>
      </c>
      <c r="H25" s="825">
        <v>0.58333333333333337</v>
      </c>
      <c r="I25" s="995"/>
      <c r="J25" s="996"/>
      <c r="K25" s="997"/>
      <c r="L25" s="822"/>
      <c r="M25" s="112"/>
      <c r="O25" s="115" t="s">
        <v>816</v>
      </c>
      <c r="P25" s="116"/>
      <c r="Q25" s="149"/>
      <c r="R25" s="150"/>
      <c r="S25" s="119"/>
      <c r="T25" s="116"/>
      <c r="U25" s="151">
        <v>-22.632735849052334</v>
      </c>
      <c r="V25" s="152"/>
      <c r="W25" s="119"/>
      <c r="X25" s="153">
        <v>45.265471698104669</v>
      </c>
      <c r="Y25" s="154"/>
      <c r="Z25" s="154"/>
    </row>
    <row r="26" spans="3:26" ht="24" customHeight="1">
      <c r="C26" s="88"/>
      <c r="D26" s="493">
        <v>45434</v>
      </c>
      <c r="E26" s="95" t="s">
        <v>744</v>
      </c>
      <c r="F26" s="95" t="s">
        <v>746</v>
      </c>
      <c r="G26" s="95" t="s">
        <v>747</v>
      </c>
      <c r="H26" s="825">
        <v>0.58333333333333337</v>
      </c>
      <c r="I26" s="995"/>
      <c r="J26" s="996"/>
      <c r="K26" s="997"/>
      <c r="L26" s="822"/>
      <c r="M26" s="112"/>
      <c r="O26" s="89"/>
      <c r="P26" s="89"/>
      <c r="Q26" s="89"/>
      <c r="R26" s="89"/>
      <c r="S26" s="89"/>
      <c r="T26" s="89"/>
      <c r="U26" s="89"/>
      <c r="V26" s="89"/>
      <c r="W26" s="89"/>
      <c r="X26" s="89"/>
      <c r="Y26" s="89"/>
      <c r="Z26" s="89"/>
    </row>
    <row r="27" spans="3:26" ht="25" customHeight="1" thickBot="1">
      <c r="C27" s="88"/>
      <c r="D27" s="493">
        <v>45400</v>
      </c>
      <c r="E27" s="95" t="s">
        <v>749</v>
      </c>
      <c r="F27" s="95" t="s">
        <v>750</v>
      </c>
      <c r="G27" s="95" t="s">
        <v>751</v>
      </c>
      <c r="H27" s="825">
        <v>0.58333333333333337</v>
      </c>
      <c r="I27" s="998"/>
      <c r="J27" s="999"/>
      <c r="K27" s="1000"/>
      <c r="L27" s="830"/>
      <c r="M27" s="113"/>
      <c r="O27" s="89"/>
      <c r="P27" s="89"/>
      <c r="Q27" s="89"/>
      <c r="R27" s="89"/>
      <c r="S27" s="89"/>
      <c r="T27" s="89"/>
      <c r="U27" s="89"/>
      <c r="V27" s="89"/>
      <c r="W27" s="89"/>
      <c r="X27" s="89"/>
      <c r="Y27" s="89"/>
      <c r="Z27" s="89"/>
    </row>
    <row r="28" spans="3:26" ht="73" customHeight="1" thickBot="1">
      <c r="C28" s="88" t="s">
        <v>105</v>
      </c>
      <c r="D28" s="494" t="s">
        <v>30</v>
      </c>
      <c r="E28" s="1429" t="s">
        <v>9</v>
      </c>
      <c r="F28" s="1430"/>
      <c r="G28" s="1431"/>
      <c r="H28" s="827" t="s">
        <v>790</v>
      </c>
      <c r="I28" s="989" t="s">
        <v>633</v>
      </c>
      <c r="J28" s="990"/>
      <c r="K28" s="991"/>
      <c r="L28" s="828" t="s">
        <v>430</v>
      </c>
      <c r="M28" s="105" t="s">
        <v>431</v>
      </c>
      <c r="O28" s="89"/>
      <c r="P28" s="89"/>
      <c r="Q28" s="89"/>
      <c r="R28" s="89"/>
      <c r="S28" s="89"/>
      <c r="T28" s="89"/>
      <c r="U28" s="89"/>
      <c r="V28" s="89"/>
      <c r="W28" s="89"/>
      <c r="X28" s="89"/>
      <c r="Y28" s="89"/>
      <c r="Z28" s="89"/>
    </row>
    <row r="29" spans="3:26" ht="24" customHeight="1">
      <c r="C29" s="88"/>
      <c r="D29" s="489" t="s">
        <v>432</v>
      </c>
      <c r="E29" s="1435"/>
      <c r="F29" s="1436"/>
      <c r="G29" s="1437"/>
      <c r="H29" s="821" t="s">
        <v>796</v>
      </c>
      <c r="I29" s="1021" t="s">
        <v>701</v>
      </c>
      <c r="J29" s="1015"/>
      <c r="K29" s="1016"/>
      <c r="L29" s="822"/>
      <c r="M29" s="112"/>
      <c r="O29" s="89"/>
      <c r="P29" s="89"/>
      <c r="Q29" s="89"/>
      <c r="R29" s="89"/>
      <c r="S29" s="89"/>
      <c r="T29" s="89"/>
      <c r="U29" s="89"/>
      <c r="V29" s="89"/>
      <c r="W29" s="89"/>
      <c r="X29" s="89"/>
      <c r="Y29" s="89"/>
      <c r="Z29" s="89"/>
    </row>
    <row r="30" spans="3:26" ht="24" customHeight="1">
      <c r="C30" s="88"/>
      <c r="D30" s="490" t="s">
        <v>433</v>
      </c>
      <c r="E30" s="1444"/>
      <c r="F30" s="1445"/>
      <c r="G30" s="1446"/>
      <c r="H30" s="821" t="s">
        <v>796</v>
      </c>
      <c r="I30" s="995"/>
      <c r="J30" s="996"/>
      <c r="K30" s="997"/>
      <c r="L30" s="822"/>
      <c r="M30" s="112"/>
      <c r="O30" s="89"/>
      <c r="P30" s="89"/>
      <c r="Q30" s="89"/>
      <c r="R30" s="89"/>
      <c r="S30" s="89"/>
      <c r="T30" s="89"/>
      <c r="U30" s="89"/>
      <c r="V30" s="89"/>
      <c r="W30" s="89"/>
      <c r="X30" s="155"/>
      <c r="Y30" s="89"/>
      <c r="Z30" s="89"/>
    </row>
    <row r="31" spans="3:26" ht="25" customHeight="1" thickBot="1">
      <c r="C31" s="88"/>
      <c r="D31" s="490" t="s">
        <v>434</v>
      </c>
      <c r="E31" s="1444" t="s">
        <v>699</v>
      </c>
      <c r="F31" s="1445"/>
      <c r="G31" s="1446"/>
      <c r="H31" s="823"/>
      <c r="I31" s="995"/>
      <c r="J31" s="996"/>
      <c r="K31" s="997"/>
      <c r="L31" s="822"/>
      <c r="M31" s="112"/>
      <c r="O31" s="89"/>
      <c r="P31" s="89"/>
      <c r="Q31" s="89"/>
      <c r="R31" s="89"/>
      <c r="S31" s="89"/>
      <c r="T31" s="89"/>
      <c r="U31" s="89"/>
      <c r="V31" s="89"/>
      <c r="W31" s="89"/>
      <c r="X31" s="89"/>
      <c r="Y31" s="89"/>
      <c r="Z31" s="89"/>
    </row>
    <row r="32" spans="3:26" ht="25" customHeight="1" thickBot="1">
      <c r="C32" s="88"/>
      <c r="D32" s="491" t="s">
        <v>435</v>
      </c>
      <c r="E32" s="1447">
        <v>0.83333333333333337</v>
      </c>
      <c r="F32" s="1448"/>
      <c r="G32" s="1449"/>
      <c r="H32" s="823"/>
      <c r="I32" s="995"/>
      <c r="J32" s="996"/>
      <c r="K32" s="997"/>
      <c r="L32" s="824">
        <v>0.83333333333333337</v>
      </c>
      <c r="M32" s="459">
        <v>0.72916666666666674</v>
      </c>
      <c r="O32" s="89"/>
      <c r="P32" s="89"/>
      <c r="Q32" s="89"/>
      <c r="R32" s="89"/>
      <c r="S32" s="89"/>
      <c r="T32" s="89"/>
      <c r="U32" s="89"/>
      <c r="V32" s="89"/>
      <c r="W32" s="89"/>
      <c r="X32" s="89"/>
      <c r="Y32" s="89"/>
      <c r="Z32" s="89"/>
    </row>
    <row r="33" spans="3:26" ht="49" customHeight="1" thickBot="1">
      <c r="C33" s="88"/>
      <c r="D33" s="492" t="s">
        <v>436</v>
      </c>
      <c r="E33" s="92" t="s">
        <v>29</v>
      </c>
      <c r="F33" s="92" t="s">
        <v>28</v>
      </c>
      <c r="G33" s="93" t="s">
        <v>27</v>
      </c>
      <c r="H33" s="93" t="s">
        <v>793</v>
      </c>
      <c r="I33" s="995"/>
      <c r="J33" s="996"/>
      <c r="K33" s="997"/>
      <c r="L33" s="822"/>
      <c r="M33" s="112"/>
      <c r="O33" s="89"/>
      <c r="P33" s="89"/>
      <c r="Q33" s="89"/>
      <c r="R33" s="89"/>
      <c r="S33" s="89"/>
      <c r="T33" s="89"/>
      <c r="U33" s="89"/>
      <c r="V33" s="89"/>
      <c r="W33" s="89"/>
      <c r="X33" s="89"/>
      <c r="Y33" s="89"/>
      <c r="Z33" s="89"/>
    </row>
    <row r="34" spans="3:26" ht="24">
      <c r="C34" s="88"/>
      <c r="D34" s="493">
        <v>45582</v>
      </c>
      <c r="E34" s="95" t="s">
        <v>699</v>
      </c>
      <c r="F34" s="95" t="s">
        <v>731</v>
      </c>
      <c r="G34" s="95" t="s">
        <v>677</v>
      </c>
      <c r="H34" s="825">
        <v>0.83333333333333337</v>
      </c>
      <c r="I34" s="995"/>
      <c r="J34" s="996"/>
      <c r="K34" s="997"/>
      <c r="L34" s="822"/>
      <c r="M34" s="112"/>
      <c r="O34" s="89"/>
      <c r="P34" s="89"/>
      <c r="Q34" s="89"/>
      <c r="R34" s="89"/>
      <c r="S34" s="89"/>
      <c r="T34" s="89"/>
      <c r="U34" s="89"/>
      <c r="V34" s="89"/>
      <c r="W34" s="89"/>
      <c r="X34" s="89"/>
      <c r="Y34" s="89"/>
      <c r="Z34" s="89"/>
    </row>
    <row r="35" spans="3:26" ht="48" customHeight="1">
      <c r="C35" s="88"/>
      <c r="D35" s="493">
        <v>45574</v>
      </c>
      <c r="E35" s="95" t="s">
        <v>677</v>
      </c>
      <c r="F35" s="95" t="s">
        <v>732</v>
      </c>
      <c r="G35" s="95" t="s">
        <v>637</v>
      </c>
      <c r="H35" s="825">
        <v>0.83333333333333337</v>
      </c>
      <c r="I35" s="995"/>
      <c r="J35" s="996"/>
      <c r="K35" s="997"/>
      <c r="L35" s="822"/>
      <c r="M35" s="112"/>
      <c r="O35" s="89"/>
      <c r="P35" s="89"/>
      <c r="Q35" s="89"/>
      <c r="R35" s="89"/>
      <c r="S35" s="89"/>
      <c r="T35" s="89"/>
      <c r="U35" s="89"/>
      <c r="V35" s="89"/>
      <c r="W35" s="89"/>
      <c r="X35" s="89"/>
      <c r="Y35" s="89"/>
      <c r="Z35" s="89"/>
    </row>
    <row r="36" spans="3:26" ht="48" customHeight="1">
      <c r="C36" s="88"/>
      <c r="D36" s="493">
        <v>45567</v>
      </c>
      <c r="E36" s="95" t="s">
        <v>637</v>
      </c>
      <c r="F36" s="95" t="s">
        <v>733</v>
      </c>
      <c r="G36" s="95" t="s">
        <v>380</v>
      </c>
      <c r="H36" s="825">
        <v>0.83333333333333337</v>
      </c>
      <c r="I36" s="995"/>
      <c r="J36" s="996"/>
      <c r="K36" s="997"/>
      <c r="L36" s="829"/>
      <c r="M36" s="112"/>
      <c r="O36" s="89"/>
      <c r="P36" s="89"/>
      <c r="Q36" s="89"/>
      <c r="R36" s="89"/>
      <c r="S36" s="89"/>
      <c r="T36" s="89"/>
      <c r="U36" s="89"/>
      <c r="V36" s="89"/>
      <c r="W36" s="89"/>
      <c r="X36" s="89"/>
      <c r="Y36" s="89"/>
      <c r="Z36" s="89"/>
    </row>
    <row r="37" spans="3:26" ht="72" customHeight="1">
      <c r="C37" s="88"/>
      <c r="D37" s="493">
        <v>45560</v>
      </c>
      <c r="E37" s="95" t="s">
        <v>380</v>
      </c>
      <c r="F37" s="95" t="s">
        <v>564</v>
      </c>
      <c r="G37" s="95" t="s">
        <v>337</v>
      </c>
      <c r="H37" s="825">
        <v>0.83333333333333337</v>
      </c>
      <c r="I37" s="995"/>
      <c r="J37" s="996"/>
      <c r="K37" s="997"/>
      <c r="L37" s="822"/>
      <c r="M37" s="112"/>
      <c r="O37" s="89"/>
      <c r="P37" s="89"/>
      <c r="Q37" s="89"/>
      <c r="R37" s="89"/>
      <c r="S37" s="89"/>
      <c r="T37" s="89"/>
      <c r="U37" s="89"/>
      <c r="V37" s="89"/>
      <c r="W37" s="89"/>
      <c r="X37" s="89"/>
      <c r="Y37" s="89"/>
      <c r="Z37" s="89"/>
    </row>
    <row r="38" spans="3:26" ht="72" customHeight="1">
      <c r="C38" s="88"/>
      <c r="D38" s="493">
        <v>45553</v>
      </c>
      <c r="E38" s="95" t="s">
        <v>337</v>
      </c>
      <c r="F38" s="95" t="s">
        <v>565</v>
      </c>
      <c r="G38" s="95" t="s">
        <v>339</v>
      </c>
      <c r="H38" s="825">
        <v>0.83333333333333337</v>
      </c>
      <c r="I38" s="995"/>
      <c r="J38" s="996"/>
      <c r="K38" s="997"/>
      <c r="L38" s="822"/>
      <c r="M38" s="112"/>
      <c r="O38" s="89"/>
      <c r="P38" s="89"/>
      <c r="Q38" s="89"/>
      <c r="R38" s="89"/>
      <c r="S38" s="89"/>
      <c r="T38" s="89"/>
      <c r="U38" s="89"/>
      <c r="V38" s="89"/>
      <c r="W38" s="89"/>
      <c r="X38" s="89"/>
      <c r="Y38" s="89"/>
      <c r="Z38" s="89"/>
    </row>
    <row r="39" spans="3:26" ht="49" customHeight="1" thickBot="1">
      <c r="C39" s="88"/>
      <c r="D39" s="493">
        <v>45546</v>
      </c>
      <c r="E39" s="95" t="s">
        <v>339</v>
      </c>
      <c r="F39" s="95" t="s">
        <v>567</v>
      </c>
      <c r="G39" s="95" t="s">
        <v>312</v>
      </c>
      <c r="H39" s="825">
        <v>0.83333333333333337</v>
      </c>
      <c r="I39" s="998"/>
      <c r="J39" s="999"/>
      <c r="K39" s="1000"/>
      <c r="L39" s="830"/>
      <c r="M39" s="113"/>
      <c r="O39" s="89"/>
      <c r="P39" s="89"/>
      <c r="Q39" s="89"/>
      <c r="R39" s="89"/>
      <c r="S39" s="89"/>
      <c r="T39" s="89"/>
      <c r="U39" s="89"/>
      <c r="V39" s="89"/>
      <c r="W39" s="89"/>
      <c r="X39" s="89"/>
      <c r="Y39" s="89"/>
      <c r="Z39" s="89"/>
    </row>
    <row r="40" spans="3:26" ht="49" thickBot="1">
      <c r="C40" s="88"/>
      <c r="D40" s="494" t="s">
        <v>30</v>
      </c>
      <c r="E40" s="1429" t="s">
        <v>709</v>
      </c>
      <c r="F40" s="1430"/>
      <c r="G40" s="1431"/>
      <c r="H40" s="827" t="s">
        <v>790</v>
      </c>
      <c r="I40" s="989" t="s">
        <v>633</v>
      </c>
      <c r="J40" s="990"/>
      <c r="K40" s="991"/>
      <c r="L40" s="828" t="s">
        <v>430</v>
      </c>
      <c r="M40" s="105" t="s">
        <v>431</v>
      </c>
      <c r="O40" s="114" t="s">
        <v>800</v>
      </c>
      <c r="P40" s="114" t="s">
        <v>801</v>
      </c>
      <c r="Q40" s="114" t="s">
        <v>802</v>
      </c>
      <c r="R40" s="114" t="s">
        <v>803</v>
      </c>
      <c r="S40" s="114" t="s">
        <v>804</v>
      </c>
      <c r="T40" s="114" t="s">
        <v>805</v>
      </c>
      <c r="U40" s="114" t="s">
        <v>806</v>
      </c>
      <c r="V40" s="114" t="s">
        <v>807</v>
      </c>
      <c r="W40" s="114" t="s">
        <v>808</v>
      </c>
      <c r="X40" s="114" t="s">
        <v>809</v>
      </c>
      <c r="Y40" s="114" t="s">
        <v>75</v>
      </c>
      <c r="Z40" s="114" t="s">
        <v>75</v>
      </c>
    </row>
    <row r="41" spans="3:26" ht="24" customHeight="1">
      <c r="C41" s="88"/>
      <c r="D41" s="489" t="s">
        <v>432</v>
      </c>
      <c r="E41" s="1435"/>
      <c r="F41" s="1436"/>
      <c r="G41" s="1437"/>
      <c r="H41" s="821" t="s">
        <v>797</v>
      </c>
      <c r="I41" s="1021" t="s">
        <v>710</v>
      </c>
      <c r="J41" s="1015"/>
      <c r="K41" s="1016"/>
      <c r="L41" s="822"/>
      <c r="M41" s="112"/>
      <c r="O41" s="115" t="s">
        <v>810</v>
      </c>
      <c r="P41" s="116">
        <v>0.1</v>
      </c>
      <c r="Q41" s="117">
        <v>0.16</v>
      </c>
      <c r="R41" s="118">
        <v>0.13000000000002387</v>
      </c>
      <c r="S41" s="119"/>
      <c r="T41" s="115">
        <v>0.37000000000002387</v>
      </c>
      <c r="U41" s="117">
        <v>-0.06</v>
      </c>
      <c r="V41" s="116">
        <v>15.8</v>
      </c>
      <c r="W41" s="119"/>
      <c r="X41" s="119"/>
      <c r="Y41" s="120"/>
      <c r="Z41" s="120"/>
    </row>
    <row r="42" spans="3:26" ht="24" customHeight="1">
      <c r="C42" s="88"/>
      <c r="D42" s="490" t="s">
        <v>433</v>
      </c>
      <c r="E42" s="1492">
        <v>0.13</v>
      </c>
      <c r="F42" s="1493"/>
      <c r="G42" s="1494"/>
      <c r="H42" s="821" t="s">
        <v>797</v>
      </c>
      <c r="I42" s="995"/>
      <c r="J42" s="996"/>
      <c r="K42" s="997"/>
      <c r="L42" s="822"/>
      <c r="M42" s="112"/>
      <c r="O42" s="121"/>
      <c r="P42" s="121"/>
      <c r="Q42" s="121"/>
      <c r="R42" s="122"/>
      <c r="S42" s="123"/>
      <c r="T42" s="121"/>
      <c r="U42" s="121"/>
      <c r="V42" s="121"/>
      <c r="W42" s="123"/>
      <c r="X42" s="123"/>
      <c r="Y42" s="124"/>
      <c r="Z42" s="124"/>
    </row>
    <row r="43" spans="3:26" ht="25" customHeight="1" thickBot="1">
      <c r="C43" s="88"/>
      <c r="D43" s="490" t="s">
        <v>434</v>
      </c>
      <c r="E43" s="1492">
        <v>0.08</v>
      </c>
      <c r="F43" s="1493"/>
      <c r="G43" s="1494"/>
      <c r="H43" s="823"/>
      <c r="I43" s="995"/>
      <c r="J43" s="996"/>
      <c r="K43" s="997"/>
      <c r="L43" s="822"/>
      <c r="M43" s="112"/>
      <c r="O43" s="125" t="s">
        <v>811</v>
      </c>
      <c r="P43" s="126">
        <v>0.25</v>
      </c>
      <c r="Q43" s="127">
        <v>8.1471</v>
      </c>
      <c r="R43" s="128">
        <v>1</v>
      </c>
      <c r="S43" s="129">
        <v>1.5</v>
      </c>
      <c r="T43" s="125">
        <v>13.220649999999999</v>
      </c>
      <c r="U43" s="130">
        <v>-8.0395844594589398</v>
      </c>
      <c r="V43" s="131">
        <v>229.5</v>
      </c>
      <c r="W43" s="132">
        <v>1</v>
      </c>
      <c r="X43" s="133">
        <v>8.0395844594589398</v>
      </c>
      <c r="Y43" s="134"/>
      <c r="Z43" s="134">
        <v>4.4350000000000005</v>
      </c>
    </row>
    <row r="44" spans="3:26" ht="25" customHeight="1" thickBot="1">
      <c r="C44" s="88"/>
      <c r="D44" s="491" t="s">
        <v>435</v>
      </c>
      <c r="E44" s="1447">
        <v>0.87500000000000011</v>
      </c>
      <c r="F44" s="1448"/>
      <c r="G44" s="1449"/>
      <c r="H44" s="823"/>
      <c r="I44" s="995"/>
      <c r="J44" s="996"/>
      <c r="K44" s="997"/>
      <c r="L44" s="824">
        <v>1.1041666666666667</v>
      </c>
      <c r="M44" s="459">
        <v>1</v>
      </c>
      <c r="O44" s="135" t="s">
        <v>812</v>
      </c>
      <c r="P44" s="136">
        <v>0.25</v>
      </c>
      <c r="Q44" s="156">
        <v>16.275866666666666</v>
      </c>
      <c r="R44" s="138">
        <v>1</v>
      </c>
      <c r="S44" s="139">
        <v>1.5</v>
      </c>
      <c r="T44" s="136">
        <v>25.413799999999998</v>
      </c>
      <c r="U44" s="140">
        <v>-15.454337837836839</v>
      </c>
      <c r="V44" s="141">
        <v>229.5</v>
      </c>
      <c r="W44" s="142">
        <v>1</v>
      </c>
      <c r="X44" s="143">
        <v>15.454337837836839</v>
      </c>
      <c r="Y44" s="144"/>
      <c r="Z44" s="144"/>
    </row>
    <row r="45" spans="3:26" ht="49" customHeight="1" thickBot="1">
      <c r="C45" s="88"/>
      <c r="D45" s="492" t="s">
        <v>436</v>
      </c>
      <c r="E45" s="92" t="s">
        <v>29</v>
      </c>
      <c r="F45" s="92" t="s">
        <v>28</v>
      </c>
      <c r="G45" s="93" t="s">
        <v>27</v>
      </c>
      <c r="H45" s="93" t="s">
        <v>793</v>
      </c>
      <c r="I45" s="995"/>
      <c r="J45" s="996"/>
      <c r="K45" s="997"/>
      <c r="L45" s="822"/>
      <c r="M45" s="112"/>
      <c r="O45" s="123"/>
      <c r="P45" s="145"/>
      <c r="Q45" s="123"/>
      <c r="R45" s="123"/>
      <c r="S45" s="123"/>
      <c r="T45" s="123"/>
      <c r="U45" s="146"/>
      <c r="V45" s="147"/>
      <c r="W45" s="123"/>
      <c r="X45" s="146"/>
      <c r="Y45" s="124"/>
      <c r="Z45" s="124"/>
    </row>
    <row r="46" spans="3:26" ht="23">
      <c r="C46" s="88"/>
      <c r="D46" s="493">
        <v>45496</v>
      </c>
      <c r="E46" s="94">
        <v>0.52</v>
      </c>
      <c r="F46" s="94">
        <v>0.61</v>
      </c>
      <c r="G46" s="94">
        <v>0.91</v>
      </c>
      <c r="H46" s="825">
        <v>0.87500000000000011</v>
      </c>
      <c r="I46" s="995"/>
      <c r="J46" s="996"/>
      <c r="K46" s="997"/>
      <c r="L46" s="822"/>
      <c r="M46" s="112"/>
      <c r="O46" s="148"/>
      <c r="P46" s="124"/>
      <c r="Q46" s="148"/>
      <c r="R46" s="148"/>
      <c r="S46" s="148"/>
      <c r="T46" s="148"/>
      <c r="U46" s="148"/>
      <c r="V46" s="148"/>
      <c r="W46" s="148"/>
      <c r="X46" s="148"/>
      <c r="Y46" s="124"/>
      <c r="Z46" s="124"/>
    </row>
    <row r="47" spans="3:26" ht="23">
      <c r="C47" s="88"/>
      <c r="D47" s="493">
        <v>45405</v>
      </c>
      <c r="E47" s="94">
        <v>0.45</v>
      </c>
      <c r="F47" s="94">
        <v>0.49</v>
      </c>
      <c r="G47" s="94">
        <v>0.85</v>
      </c>
      <c r="H47" s="825">
        <v>0.87500000000000011</v>
      </c>
      <c r="I47" s="995"/>
      <c r="J47" s="996"/>
      <c r="K47" s="997"/>
      <c r="L47" s="822"/>
      <c r="M47" s="112"/>
      <c r="O47" s="115" t="s">
        <v>813</v>
      </c>
      <c r="P47" s="116">
        <v>0.25</v>
      </c>
      <c r="Q47" s="149">
        <v>16.275866666666666</v>
      </c>
      <c r="R47" s="150">
        <v>1</v>
      </c>
      <c r="S47" s="119">
        <v>1.5</v>
      </c>
      <c r="T47" s="125">
        <v>25.413799999999998</v>
      </c>
      <c r="U47" s="151">
        <v>-15.454337837836839</v>
      </c>
      <c r="V47" s="152">
        <v>229.5</v>
      </c>
      <c r="W47" s="119">
        <v>1</v>
      </c>
      <c r="X47" s="153">
        <v>15.454337837836839</v>
      </c>
      <c r="Y47" s="154" t="s">
        <v>814</v>
      </c>
      <c r="Z47" s="154"/>
    </row>
    <row r="48" spans="3:26" ht="23">
      <c r="C48" s="88"/>
      <c r="D48" s="493">
        <v>45315</v>
      </c>
      <c r="E48" s="94">
        <v>0.71</v>
      </c>
      <c r="F48" s="94">
        <v>0.73</v>
      </c>
      <c r="G48" s="94">
        <v>1.19</v>
      </c>
      <c r="H48" s="825">
        <v>0.87500000000000011</v>
      </c>
      <c r="I48" s="995"/>
      <c r="J48" s="996"/>
      <c r="K48" s="997"/>
      <c r="L48" s="829"/>
      <c r="M48" s="112"/>
      <c r="O48" s="115"/>
      <c r="P48" s="116"/>
      <c r="Q48" s="149"/>
      <c r="R48" s="150"/>
      <c r="S48" s="119"/>
      <c r="T48" s="116"/>
      <c r="U48" s="151"/>
      <c r="V48" s="152"/>
      <c r="W48" s="119"/>
      <c r="X48" s="153"/>
      <c r="Y48" s="154"/>
      <c r="Z48" s="154"/>
    </row>
    <row r="49" spans="3:26" ht="23" customHeight="1">
      <c r="C49" s="88"/>
      <c r="D49" s="493">
        <v>45217</v>
      </c>
      <c r="E49" s="94">
        <v>0.66</v>
      </c>
      <c r="F49" s="94">
        <v>0.73</v>
      </c>
      <c r="G49" s="94">
        <v>1.05</v>
      </c>
      <c r="H49" s="825">
        <v>0.87500000000000011</v>
      </c>
      <c r="I49" s="995"/>
      <c r="J49" s="996"/>
      <c r="K49" s="997"/>
      <c r="L49" s="822"/>
      <c r="M49" s="112"/>
      <c r="O49" s="115" t="s">
        <v>816</v>
      </c>
      <c r="P49" s="116"/>
      <c r="Q49" s="149"/>
      <c r="R49" s="150"/>
      <c r="S49" s="119"/>
      <c r="T49" s="116"/>
      <c r="U49" s="151">
        <v>0</v>
      </c>
      <c r="V49" s="152"/>
      <c r="W49" s="119"/>
      <c r="X49" s="153">
        <v>0</v>
      </c>
      <c r="Y49" s="154"/>
      <c r="Z49" s="154"/>
    </row>
    <row r="50" spans="3:26" ht="23">
      <c r="C50" s="88"/>
      <c r="D50" s="493">
        <v>45126</v>
      </c>
      <c r="E50" s="94">
        <v>0.91</v>
      </c>
      <c r="F50" s="94">
        <v>0.79</v>
      </c>
      <c r="G50" s="94">
        <v>0.75700000000000001</v>
      </c>
      <c r="H50" s="825">
        <v>0.87500000000000011</v>
      </c>
      <c r="I50" s="995"/>
      <c r="J50" s="996"/>
      <c r="K50" s="997"/>
      <c r="L50" s="822"/>
      <c r="M50" s="112"/>
      <c r="O50" s="89"/>
      <c r="P50" s="89"/>
      <c r="Q50" s="89"/>
      <c r="R50" s="89"/>
      <c r="S50" s="89"/>
      <c r="T50" s="89"/>
      <c r="U50" s="89"/>
      <c r="V50" s="89"/>
      <c r="W50" s="89"/>
      <c r="X50" s="89"/>
      <c r="Y50" s="89"/>
      <c r="Z50" s="89"/>
    </row>
    <row r="51" spans="3:26" ht="24" thickBot="1">
      <c r="C51" s="88"/>
      <c r="D51" s="493">
        <v>45035</v>
      </c>
      <c r="E51" s="94">
        <v>0.85</v>
      </c>
      <c r="F51" s="94">
        <v>0.85</v>
      </c>
      <c r="G51" s="94">
        <v>1.073</v>
      </c>
      <c r="H51" s="825">
        <v>0.87500000000000011</v>
      </c>
      <c r="I51" s="998"/>
      <c r="J51" s="999"/>
      <c r="K51" s="1000"/>
      <c r="L51" s="830"/>
      <c r="M51" s="113"/>
      <c r="O51" s="89"/>
      <c r="P51" s="89"/>
      <c r="Q51" s="89"/>
      <c r="R51" s="89"/>
      <c r="S51" s="89"/>
      <c r="T51" s="89"/>
      <c r="U51" s="89"/>
      <c r="V51" s="89"/>
      <c r="W51" s="89"/>
      <c r="X51" s="89"/>
      <c r="Y51" s="89"/>
      <c r="Z51" s="89"/>
    </row>
    <row r="52" spans="3:26" ht="73" customHeight="1" thickBot="1">
      <c r="C52" s="88" t="s">
        <v>105</v>
      </c>
      <c r="D52" s="494" t="s">
        <v>30</v>
      </c>
      <c r="E52" s="1429" t="s">
        <v>711</v>
      </c>
      <c r="F52" s="1430"/>
      <c r="G52" s="1431"/>
      <c r="H52" s="827" t="s">
        <v>790</v>
      </c>
      <c r="I52" s="989" t="s">
        <v>633</v>
      </c>
      <c r="J52" s="990"/>
      <c r="K52" s="991"/>
      <c r="L52" s="828" t="s">
        <v>430</v>
      </c>
      <c r="M52" s="105" t="s">
        <v>431</v>
      </c>
      <c r="O52" s="114" t="s">
        <v>800</v>
      </c>
      <c r="P52" s="114" t="s">
        <v>801</v>
      </c>
      <c r="Q52" s="114" t="s">
        <v>802</v>
      </c>
      <c r="R52" s="114" t="s">
        <v>803</v>
      </c>
      <c r="S52" s="114" t="s">
        <v>804</v>
      </c>
      <c r="T52" s="114" t="s">
        <v>805</v>
      </c>
      <c r="U52" s="114" t="s">
        <v>806</v>
      </c>
      <c r="V52" s="114" t="s">
        <v>807</v>
      </c>
      <c r="W52" s="114" t="s">
        <v>808</v>
      </c>
      <c r="X52" s="114" t="s">
        <v>809</v>
      </c>
      <c r="Y52" s="114" t="s">
        <v>75</v>
      </c>
      <c r="Z52" s="114" t="s">
        <v>75</v>
      </c>
    </row>
    <row r="53" spans="3:26" ht="24" customHeight="1">
      <c r="C53" s="88"/>
      <c r="D53" s="489" t="s">
        <v>432</v>
      </c>
      <c r="E53" s="1435"/>
      <c r="F53" s="1436"/>
      <c r="G53" s="1437"/>
      <c r="H53" s="821" t="s">
        <v>798</v>
      </c>
      <c r="I53" s="1021" t="s">
        <v>712</v>
      </c>
      <c r="J53" s="1015"/>
      <c r="K53" s="1016"/>
      <c r="L53" s="822"/>
      <c r="M53" s="112"/>
      <c r="O53" s="115" t="s">
        <v>810</v>
      </c>
      <c r="P53" s="116">
        <v>0.1</v>
      </c>
      <c r="Q53" s="117">
        <v>1.3999999999999999E-4</v>
      </c>
      <c r="R53" s="118">
        <v>6.199999999998429E-4</v>
      </c>
      <c r="S53" s="119"/>
      <c r="T53" s="115">
        <v>8.2999999999984291E-4</v>
      </c>
      <c r="U53" s="117">
        <v>-30</v>
      </c>
      <c r="V53" s="116">
        <v>15.8</v>
      </c>
      <c r="W53" s="119"/>
      <c r="X53" s="119"/>
      <c r="Y53" s="120"/>
      <c r="Z53" s="120"/>
    </row>
    <row r="54" spans="3:26" ht="24" customHeight="1">
      <c r="C54" s="88"/>
      <c r="D54" s="490" t="s">
        <v>433</v>
      </c>
      <c r="E54" s="1492"/>
      <c r="F54" s="1493"/>
      <c r="G54" s="1494"/>
      <c r="H54" s="821" t="s">
        <v>799</v>
      </c>
      <c r="I54" s="995"/>
      <c r="J54" s="996"/>
      <c r="K54" s="997"/>
      <c r="L54" s="822"/>
      <c r="M54" s="112"/>
      <c r="O54" s="121"/>
      <c r="P54" s="121"/>
      <c r="Q54" s="121"/>
      <c r="R54" s="122"/>
      <c r="S54" s="123"/>
      <c r="T54" s="121"/>
      <c r="U54" s="121"/>
      <c r="V54" s="121"/>
      <c r="W54" s="123"/>
      <c r="X54" s="123"/>
      <c r="Y54" s="124"/>
      <c r="Z54" s="124"/>
    </row>
    <row r="55" spans="3:26" ht="25" customHeight="1" thickBot="1">
      <c r="C55" s="88"/>
      <c r="D55" s="490" t="s">
        <v>434</v>
      </c>
      <c r="E55" s="1492">
        <v>52.6</v>
      </c>
      <c r="F55" s="1493"/>
      <c r="G55" s="1494"/>
      <c r="H55" s="823"/>
      <c r="I55" s="995"/>
      <c r="J55" s="996"/>
      <c r="K55" s="997"/>
      <c r="L55" s="822"/>
      <c r="M55" s="112"/>
      <c r="O55" s="125" t="s">
        <v>811</v>
      </c>
      <c r="P55" s="126">
        <v>0.1</v>
      </c>
      <c r="Q55" s="127">
        <v>5.0000000000000001E-4</v>
      </c>
      <c r="R55" s="128">
        <v>1.7000000000000001E-4</v>
      </c>
      <c r="S55" s="129">
        <v>1</v>
      </c>
      <c r="T55" s="125">
        <v>9.2000000000000003E-4</v>
      </c>
      <c r="U55" s="130">
        <v>-33.253012048199068</v>
      </c>
      <c r="V55" s="131">
        <v>91.8</v>
      </c>
      <c r="W55" s="132">
        <v>1</v>
      </c>
      <c r="X55" s="133">
        <v>33.253012048199068</v>
      </c>
      <c r="Y55" s="134"/>
      <c r="Z55" s="134">
        <v>4.4350000000000005</v>
      </c>
    </row>
    <row r="56" spans="3:26" ht="25" customHeight="1" thickBot="1">
      <c r="C56" s="88"/>
      <c r="D56" s="491" t="s">
        <v>435</v>
      </c>
      <c r="E56" s="1447">
        <v>0.35416666666666674</v>
      </c>
      <c r="F56" s="1448"/>
      <c r="G56" s="1449"/>
      <c r="H56" s="823"/>
      <c r="I56" s="995"/>
      <c r="J56" s="996"/>
      <c r="K56" s="997"/>
      <c r="L56" s="824">
        <v>0.58333333333333337</v>
      </c>
      <c r="M56" s="459">
        <v>0.47916666666666669</v>
      </c>
      <c r="O56" s="135" t="s">
        <v>812</v>
      </c>
      <c r="P56" s="136">
        <v>0.1</v>
      </c>
      <c r="Q56" s="156">
        <v>4.2000000000000002E-4</v>
      </c>
      <c r="R56" s="138">
        <v>1.7000000000000001E-4</v>
      </c>
      <c r="S56" s="139">
        <v>1</v>
      </c>
      <c r="T56" s="136">
        <v>8.0000000000000004E-4</v>
      </c>
      <c r="U56" s="140">
        <v>-28.915662650607885</v>
      </c>
      <c r="V56" s="141">
        <v>91.8</v>
      </c>
      <c r="W56" s="142">
        <v>1</v>
      </c>
      <c r="X56" s="143">
        <v>28.915662650607885</v>
      </c>
      <c r="Y56" s="144"/>
      <c r="Z56" s="144"/>
    </row>
    <row r="57" spans="3:26" ht="49" customHeight="1" thickBot="1">
      <c r="C57" s="88"/>
      <c r="D57" s="492" t="s">
        <v>436</v>
      </c>
      <c r="E57" s="92" t="s">
        <v>29</v>
      </c>
      <c r="F57" s="92" t="s">
        <v>28</v>
      </c>
      <c r="G57" s="93" t="s">
        <v>27</v>
      </c>
      <c r="H57" s="93" t="s">
        <v>793</v>
      </c>
      <c r="I57" s="995"/>
      <c r="J57" s="996"/>
      <c r="K57" s="997"/>
      <c r="L57" s="822"/>
      <c r="M57" s="112"/>
      <c r="O57" s="123"/>
      <c r="P57" s="145"/>
      <c r="Q57" s="123"/>
      <c r="R57" s="123"/>
      <c r="S57" s="123"/>
      <c r="T57" s="123"/>
      <c r="U57" s="146"/>
      <c r="V57" s="147"/>
      <c r="W57" s="123"/>
      <c r="X57" s="146"/>
      <c r="Y57" s="124"/>
      <c r="Z57" s="124"/>
    </row>
    <row r="58" spans="3:26" ht="24">
      <c r="C58" s="88"/>
      <c r="D58" s="493">
        <v>45568</v>
      </c>
      <c r="E58" s="94">
        <v>52.6</v>
      </c>
      <c r="F58" s="94" t="s">
        <v>753</v>
      </c>
      <c r="G58" s="94">
        <v>53.8</v>
      </c>
      <c r="H58" s="825">
        <v>0.35416666666666674</v>
      </c>
      <c r="I58" s="995"/>
      <c r="J58" s="996"/>
      <c r="K58" s="997"/>
      <c r="L58" s="822"/>
      <c r="M58" s="112"/>
      <c r="O58" s="148"/>
      <c r="P58" s="124"/>
      <c r="Q58" s="148"/>
      <c r="R58" s="148"/>
      <c r="S58" s="148"/>
      <c r="T58" s="148"/>
      <c r="U58" s="148"/>
      <c r="V58" s="148"/>
      <c r="W58" s="148"/>
      <c r="X58" s="148"/>
      <c r="Y58" s="124"/>
      <c r="Z58" s="124"/>
    </row>
    <row r="59" spans="3:26" ht="24">
      <c r="C59" s="88"/>
      <c r="D59" s="493">
        <v>45558</v>
      </c>
      <c r="E59" s="94">
        <v>52.9</v>
      </c>
      <c r="F59" s="94" t="s">
        <v>754</v>
      </c>
      <c r="G59" s="94">
        <v>53.8</v>
      </c>
      <c r="H59" s="825">
        <v>0.35416666666666674</v>
      </c>
      <c r="I59" s="995"/>
      <c r="J59" s="996"/>
      <c r="K59" s="997"/>
      <c r="L59" s="822"/>
      <c r="M59" s="112"/>
      <c r="O59" s="115" t="s">
        <v>813</v>
      </c>
      <c r="P59" s="116">
        <v>0.1</v>
      </c>
      <c r="Q59" s="149">
        <v>4.2000000000000002E-4</v>
      </c>
      <c r="R59" s="150">
        <v>1.7000000000000001E-4</v>
      </c>
      <c r="S59" s="119">
        <v>1</v>
      </c>
      <c r="T59" s="125">
        <v>8.0000000000000004E-4</v>
      </c>
      <c r="U59" s="151">
        <v>-28.915662650607885</v>
      </c>
      <c r="V59" s="152">
        <v>91.8</v>
      </c>
      <c r="W59" s="119">
        <v>2</v>
      </c>
      <c r="X59" s="153">
        <v>57.83132530121577</v>
      </c>
      <c r="Y59" s="154" t="s">
        <v>814</v>
      </c>
      <c r="Z59" s="154"/>
    </row>
    <row r="60" spans="3:26" ht="24">
      <c r="C60" s="88"/>
      <c r="D60" s="493">
        <v>45539</v>
      </c>
      <c r="E60" s="94">
        <v>53.8</v>
      </c>
      <c r="F60" s="94" t="s">
        <v>755</v>
      </c>
      <c r="G60" s="94">
        <v>52.8</v>
      </c>
      <c r="H60" s="825">
        <v>0.35416666666666674</v>
      </c>
      <c r="I60" s="995"/>
      <c r="J60" s="996"/>
      <c r="K60" s="997"/>
      <c r="L60" s="829"/>
      <c r="M60" s="112"/>
      <c r="O60" s="115"/>
      <c r="P60" s="116"/>
      <c r="Q60" s="149"/>
      <c r="R60" s="150"/>
      <c r="S60" s="119"/>
      <c r="T60" s="116"/>
      <c r="U60" s="151"/>
      <c r="V60" s="152"/>
      <c r="W60" s="119"/>
      <c r="X60" s="153"/>
      <c r="Y60" s="154"/>
      <c r="Z60" s="154"/>
    </row>
    <row r="61" spans="3:26" ht="24">
      <c r="C61" s="88"/>
      <c r="D61" s="493">
        <v>45526</v>
      </c>
      <c r="E61" s="94">
        <v>53.4</v>
      </c>
      <c r="F61" s="94" t="s">
        <v>753</v>
      </c>
      <c r="G61" s="94">
        <v>52.8</v>
      </c>
      <c r="H61" s="825">
        <v>0.35416666666666674</v>
      </c>
      <c r="I61" s="995"/>
      <c r="J61" s="996"/>
      <c r="K61" s="997"/>
      <c r="L61" s="822"/>
      <c r="M61" s="112"/>
      <c r="O61" s="115" t="s">
        <v>816</v>
      </c>
      <c r="P61" s="116"/>
      <c r="Q61" s="149"/>
      <c r="R61" s="150"/>
      <c r="S61" s="119"/>
      <c r="T61" s="116"/>
      <c r="U61" s="151">
        <v>0</v>
      </c>
      <c r="V61" s="152"/>
      <c r="W61" s="119"/>
      <c r="X61" s="153">
        <v>0</v>
      </c>
      <c r="Y61" s="154"/>
      <c r="Z61" s="154"/>
    </row>
    <row r="62" spans="3:26" ht="24">
      <c r="C62" s="88"/>
      <c r="D62" s="493">
        <v>45509</v>
      </c>
      <c r="E62" s="94">
        <v>52.8</v>
      </c>
      <c r="F62" s="94" t="s">
        <v>756</v>
      </c>
      <c r="G62" s="94">
        <v>52.3</v>
      </c>
      <c r="H62" s="825">
        <v>0.35416666666666674</v>
      </c>
      <c r="I62" s="995"/>
      <c r="J62" s="996"/>
      <c r="K62" s="997"/>
      <c r="L62" s="822"/>
      <c r="M62" s="112"/>
      <c r="O62" s="89"/>
      <c r="P62" s="89"/>
      <c r="Q62" s="89"/>
      <c r="R62" s="89"/>
      <c r="S62" s="89"/>
      <c r="T62" s="89"/>
      <c r="U62" s="89"/>
      <c r="V62" s="89"/>
      <c r="W62" s="89"/>
      <c r="X62" s="89"/>
      <c r="Y62" s="89"/>
      <c r="Z62" s="89"/>
    </row>
    <row r="63" spans="3:26" ht="25" thickBot="1">
      <c r="C63" s="88"/>
      <c r="D63" s="493">
        <v>45497</v>
      </c>
      <c r="E63" s="94">
        <v>52.7</v>
      </c>
      <c r="F63" s="94" t="s">
        <v>596</v>
      </c>
      <c r="G63" s="94">
        <v>52.3</v>
      </c>
      <c r="H63" s="825">
        <v>0.35416666666666674</v>
      </c>
      <c r="I63" s="998"/>
      <c r="J63" s="999"/>
      <c r="K63" s="1000"/>
      <c r="L63" s="830"/>
      <c r="M63" s="113"/>
      <c r="O63" s="89"/>
      <c r="P63" s="89"/>
      <c r="Q63" s="89"/>
      <c r="R63" s="89"/>
      <c r="S63" s="89"/>
      <c r="T63" s="89"/>
      <c r="U63" s="89"/>
      <c r="V63" s="89"/>
      <c r="W63" s="89"/>
      <c r="X63" s="89"/>
      <c r="Y63" s="89"/>
      <c r="Z63" s="89"/>
    </row>
    <row r="64" spans="3:26" ht="73" customHeight="1" thickBot="1">
      <c r="C64" s="88" t="s">
        <v>105</v>
      </c>
      <c r="D64" s="494" t="s">
        <v>30</v>
      </c>
      <c r="E64" s="1429" t="s">
        <v>14</v>
      </c>
      <c r="F64" s="1430"/>
      <c r="G64" s="1431"/>
      <c r="H64" s="827" t="s">
        <v>790</v>
      </c>
      <c r="I64" s="989" t="s">
        <v>633</v>
      </c>
      <c r="J64" s="990"/>
      <c r="K64" s="991"/>
      <c r="L64" s="828" t="s">
        <v>430</v>
      </c>
      <c r="M64" s="105" t="s">
        <v>431</v>
      </c>
      <c r="O64" s="114" t="s">
        <v>800</v>
      </c>
      <c r="P64" s="114" t="s">
        <v>801</v>
      </c>
      <c r="Q64" s="114" t="s">
        <v>802</v>
      </c>
      <c r="R64" s="114" t="s">
        <v>803</v>
      </c>
      <c r="S64" s="114" t="s">
        <v>804</v>
      </c>
      <c r="T64" s="114" t="s">
        <v>805</v>
      </c>
      <c r="U64" s="114" t="s">
        <v>806</v>
      </c>
      <c r="V64" s="114" t="s">
        <v>807</v>
      </c>
      <c r="W64" s="114" t="s">
        <v>808</v>
      </c>
      <c r="X64" s="114" t="s">
        <v>809</v>
      </c>
      <c r="Y64" s="114" t="s">
        <v>75</v>
      </c>
      <c r="Z64" s="114" t="s">
        <v>75</v>
      </c>
    </row>
    <row r="65" spans="3:26" ht="24" customHeight="1">
      <c r="C65" s="88"/>
      <c r="D65" s="489" t="s">
        <v>432</v>
      </c>
      <c r="E65" s="1435"/>
      <c r="F65" s="1436"/>
      <c r="G65" s="1437"/>
      <c r="H65" s="821" t="s">
        <v>794</v>
      </c>
      <c r="I65" s="1021" t="s">
        <v>693</v>
      </c>
      <c r="J65" s="1015"/>
      <c r="K65" s="1016"/>
      <c r="L65" s="822"/>
      <c r="M65" s="112"/>
      <c r="O65" s="115" t="s">
        <v>810</v>
      </c>
      <c r="P65" s="116">
        <v>0.1</v>
      </c>
      <c r="Q65" s="117">
        <v>3.3000000000000002E-2</v>
      </c>
      <c r="R65" s="118">
        <v>1.4999999999986358E-2</v>
      </c>
      <c r="S65" s="119"/>
      <c r="T65" s="115">
        <v>6.449999999998636E-2</v>
      </c>
      <c r="U65" s="117">
        <v>-15.49</v>
      </c>
      <c r="V65" s="116">
        <v>91.8</v>
      </c>
      <c r="W65" s="119"/>
      <c r="X65" s="119"/>
      <c r="Y65" s="120"/>
      <c r="Z65" s="120"/>
    </row>
    <row r="66" spans="3:26" ht="24" customHeight="1">
      <c r="C66" s="88"/>
      <c r="D66" s="490" t="s">
        <v>433</v>
      </c>
      <c r="E66" s="1444" t="s">
        <v>99</v>
      </c>
      <c r="F66" s="1445"/>
      <c r="G66" s="1446"/>
      <c r="H66" s="821" t="s">
        <v>795</v>
      </c>
      <c r="I66" s="995"/>
      <c r="J66" s="996"/>
      <c r="K66" s="997"/>
      <c r="L66" s="822"/>
      <c r="M66" s="112"/>
      <c r="O66" s="121"/>
      <c r="P66" s="121"/>
      <c r="Q66" s="121"/>
      <c r="R66" s="122"/>
      <c r="S66" s="123"/>
      <c r="T66" s="121"/>
      <c r="U66" s="121"/>
      <c r="V66" s="121"/>
      <c r="W66" s="123"/>
      <c r="X66" s="123"/>
      <c r="Y66" s="124"/>
      <c r="Z66" s="124"/>
    </row>
    <row r="67" spans="3:26" ht="25" customHeight="1" thickBot="1">
      <c r="C67" s="88"/>
      <c r="D67" s="490" t="s">
        <v>434</v>
      </c>
      <c r="E67" s="1444" t="s">
        <v>171</v>
      </c>
      <c r="F67" s="1445"/>
      <c r="G67" s="1446"/>
      <c r="H67" s="823"/>
      <c r="I67" s="995"/>
      <c r="J67" s="996"/>
      <c r="K67" s="997"/>
      <c r="L67" s="822"/>
      <c r="M67" s="112"/>
      <c r="O67" s="125" t="s">
        <v>811</v>
      </c>
      <c r="P67" s="126">
        <v>0.1</v>
      </c>
      <c r="Q67" s="127">
        <v>7.6399999999999996E-2</v>
      </c>
      <c r="R67" s="128">
        <v>1.6E-2</v>
      </c>
      <c r="S67" s="129">
        <v>1</v>
      </c>
      <c r="T67" s="125">
        <v>0.13059999999999999</v>
      </c>
      <c r="U67" s="130">
        <v>-31.364248062022131</v>
      </c>
      <c r="V67" s="131">
        <v>91.8</v>
      </c>
      <c r="W67" s="132">
        <v>4.4320000000000004</v>
      </c>
      <c r="X67" s="133">
        <v>139.00634741088209</v>
      </c>
      <c r="Y67" s="134"/>
      <c r="Z67" s="134"/>
    </row>
    <row r="68" spans="3:26" ht="25" customHeight="1" thickBot="1">
      <c r="C68" s="88"/>
      <c r="D68" s="491" t="s">
        <v>435</v>
      </c>
      <c r="E68" s="1447">
        <v>0.52083333333333337</v>
      </c>
      <c r="F68" s="1448"/>
      <c r="G68" s="1449"/>
      <c r="H68" s="823"/>
      <c r="I68" s="995"/>
      <c r="J68" s="996"/>
      <c r="K68" s="997"/>
      <c r="L68" s="824">
        <v>0.75</v>
      </c>
      <c r="M68" s="459">
        <v>0.64583333333333337</v>
      </c>
      <c r="O68" s="135" t="s">
        <v>812</v>
      </c>
      <c r="P68" s="136">
        <v>0.1</v>
      </c>
      <c r="Q68" s="156">
        <v>9.0266666666666676E-2</v>
      </c>
      <c r="R68" s="138">
        <v>1.6E-2</v>
      </c>
      <c r="S68" s="139">
        <v>1</v>
      </c>
      <c r="T68" s="136">
        <v>0.15140000000000001</v>
      </c>
      <c r="U68" s="140">
        <v>-36.359472868224742</v>
      </c>
      <c r="V68" s="141">
        <v>91.8</v>
      </c>
      <c r="W68" s="142">
        <v>4.45</v>
      </c>
      <c r="X68" s="143">
        <v>161.7996542636001</v>
      </c>
      <c r="Y68" s="144"/>
      <c r="Z68" s="144"/>
    </row>
    <row r="69" spans="3:26" ht="49" customHeight="1" thickBot="1">
      <c r="C69" s="88"/>
      <c r="D69" s="492" t="s">
        <v>436</v>
      </c>
      <c r="E69" s="92" t="s">
        <v>29</v>
      </c>
      <c r="F69" s="92" t="s">
        <v>28</v>
      </c>
      <c r="G69" s="93" t="s">
        <v>27</v>
      </c>
      <c r="H69" s="93" t="s">
        <v>793</v>
      </c>
      <c r="I69" s="995"/>
      <c r="J69" s="996"/>
      <c r="K69" s="997"/>
      <c r="L69" s="822"/>
      <c r="M69" s="112"/>
      <c r="O69" s="123"/>
      <c r="P69" s="145"/>
      <c r="Q69" s="123"/>
      <c r="R69" s="123"/>
      <c r="S69" s="123"/>
      <c r="T69" s="123"/>
      <c r="U69" s="146"/>
      <c r="V69" s="147"/>
      <c r="W69" s="123"/>
      <c r="X69" s="146"/>
      <c r="Y69" s="124"/>
      <c r="Z69" s="124"/>
    </row>
    <row r="70" spans="3:26" ht="24">
      <c r="C70" s="88"/>
      <c r="D70" s="493">
        <v>45582</v>
      </c>
      <c r="E70" s="95" t="s">
        <v>171</v>
      </c>
      <c r="F70" s="95" t="s">
        <v>171</v>
      </c>
      <c r="G70" s="95" t="s">
        <v>692</v>
      </c>
      <c r="H70" s="825">
        <v>0.52083333333333337</v>
      </c>
      <c r="I70" s="995"/>
      <c r="J70" s="996"/>
      <c r="K70" s="997"/>
      <c r="L70" s="822"/>
      <c r="M70" s="112"/>
      <c r="O70" s="148"/>
      <c r="P70" s="124"/>
      <c r="Q70" s="148"/>
      <c r="R70" s="148"/>
      <c r="S70" s="148"/>
      <c r="T70" s="148"/>
      <c r="U70" s="148"/>
      <c r="V70" s="148"/>
      <c r="W70" s="148"/>
      <c r="X70" s="148"/>
      <c r="Y70" s="124"/>
      <c r="Z70" s="124"/>
    </row>
    <row r="71" spans="3:26" ht="24">
      <c r="C71" s="88"/>
      <c r="D71" s="493">
        <v>45575</v>
      </c>
      <c r="E71" s="95" t="s">
        <v>678</v>
      </c>
      <c r="F71" s="95" t="s">
        <v>580</v>
      </c>
      <c r="G71" s="95" t="s">
        <v>638</v>
      </c>
      <c r="H71" s="825">
        <v>0.52083333333333337</v>
      </c>
      <c r="I71" s="995"/>
      <c r="J71" s="996"/>
      <c r="K71" s="997"/>
      <c r="L71" s="822"/>
      <c r="M71" s="112"/>
      <c r="O71" s="115" t="s">
        <v>813</v>
      </c>
      <c r="P71" s="116">
        <v>0.1</v>
      </c>
      <c r="Q71" s="149">
        <v>9.0266666666666676E-2</v>
      </c>
      <c r="R71" s="150">
        <v>1.6E-2</v>
      </c>
      <c r="S71" s="119">
        <v>1</v>
      </c>
      <c r="T71" s="125">
        <v>0.15140000000000003</v>
      </c>
      <c r="U71" s="151">
        <v>-36.359472868224749</v>
      </c>
      <c r="V71" s="152">
        <v>91.8</v>
      </c>
      <c r="W71" s="119">
        <v>2</v>
      </c>
      <c r="X71" s="153">
        <v>72.718945736449498</v>
      </c>
      <c r="Y71" s="154" t="s">
        <v>814</v>
      </c>
      <c r="Z71" s="154"/>
    </row>
    <row r="72" spans="3:26" ht="24">
      <c r="C72" s="88"/>
      <c r="D72" s="493">
        <v>45568</v>
      </c>
      <c r="E72" s="95" t="s">
        <v>638</v>
      </c>
      <c r="F72" s="95" t="s">
        <v>734</v>
      </c>
      <c r="G72" s="95" t="s">
        <v>345</v>
      </c>
      <c r="H72" s="825">
        <v>0.52083333333333337</v>
      </c>
      <c r="I72" s="995"/>
      <c r="J72" s="996"/>
      <c r="K72" s="997"/>
      <c r="L72" s="829"/>
      <c r="M72" s="112"/>
      <c r="O72" s="115"/>
      <c r="P72" s="116"/>
      <c r="Q72" s="149"/>
      <c r="R72" s="150"/>
      <c r="S72" s="119"/>
      <c r="T72" s="116"/>
      <c r="U72" s="151"/>
      <c r="V72" s="152"/>
      <c r="W72" s="119"/>
      <c r="X72" s="153"/>
      <c r="Y72" s="154"/>
      <c r="Z72" s="154"/>
    </row>
    <row r="73" spans="3:26" ht="24" customHeight="1">
      <c r="C73" s="88"/>
      <c r="D73" s="493">
        <v>45561</v>
      </c>
      <c r="E73" s="95" t="s">
        <v>382</v>
      </c>
      <c r="F73" s="95" t="s">
        <v>574</v>
      </c>
      <c r="G73" s="95" t="s">
        <v>72</v>
      </c>
      <c r="H73" s="825">
        <v>0.52083333333333337</v>
      </c>
      <c r="I73" s="995"/>
      <c r="J73" s="996"/>
      <c r="K73" s="997"/>
      <c r="L73" s="822"/>
      <c r="M73" s="112"/>
      <c r="O73" s="115" t="s">
        <v>816</v>
      </c>
      <c r="P73" s="116"/>
      <c r="Q73" s="149"/>
      <c r="R73" s="150"/>
      <c r="S73" s="119"/>
      <c r="T73" s="116"/>
      <c r="U73" s="151">
        <v>0</v>
      </c>
      <c r="V73" s="152"/>
      <c r="W73" s="119"/>
      <c r="X73" s="153">
        <v>0</v>
      </c>
      <c r="Y73" s="154"/>
      <c r="Z73" s="154"/>
    </row>
    <row r="74" spans="3:26" ht="24" customHeight="1">
      <c r="C74" s="88"/>
      <c r="D74" s="493">
        <v>45554</v>
      </c>
      <c r="E74" s="95" t="s">
        <v>345</v>
      </c>
      <c r="F74" s="95" t="s">
        <v>576</v>
      </c>
      <c r="G74" s="95" t="s">
        <v>268</v>
      </c>
      <c r="H74" s="825">
        <v>0.52083333333333337</v>
      </c>
      <c r="I74" s="995"/>
      <c r="J74" s="996"/>
      <c r="K74" s="997"/>
      <c r="L74" s="822"/>
      <c r="M74" s="112"/>
      <c r="O74" s="89"/>
      <c r="P74" s="89"/>
      <c r="Q74" s="89"/>
      <c r="R74" s="89"/>
      <c r="S74" s="89"/>
      <c r="T74" s="89"/>
      <c r="U74" s="89"/>
      <c r="V74" s="89"/>
      <c r="W74" s="89"/>
      <c r="X74" s="89"/>
      <c r="Y74" s="89"/>
      <c r="Z74" s="89"/>
    </row>
    <row r="75" spans="3:26" ht="25" thickBot="1">
      <c r="C75" s="88"/>
      <c r="D75" s="493">
        <v>45547</v>
      </c>
      <c r="E75" s="95" t="s">
        <v>330</v>
      </c>
      <c r="F75" s="95" t="s">
        <v>578</v>
      </c>
      <c r="G75" s="95" t="s">
        <v>579</v>
      </c>
      <c r="H75" s="825">
        <v>0.52083333333333337</v>
      </c>
      <c r="I75" s="998"/>
      <c r="J75" s="999"/>
      <c r="K75" s="1000"/>
      <c r="L75" s="830"/>
      <c r="M75" s="113"/>
      <c r="O75" s="89"/>
      <c r="P75" s="89"/>
      <c r="Q75" s="89"/>
      <c r="R75" s="89"/>
      <c r="S75" s="89"/>
      <c r="T75" s="89"/>
      <c r="U75" s="89"/>
      <c r="V75" s="89"/>
      <c r="W75" s="89"/>
      <c r="X75" s="89"/>
      <c r="Y75" s="89"/>
      <c r="Z75" s="89"/>
    </row>
    <row r="76" spans="3:26" ht="73" customHeight="1" thickBot="1">
      <c r="C76" s="88" t="s">
        <v>105</v>
      </c>
      <c r="D76" s="494" t="s">
        <v>30</v>
      </c>
      <c r="E76" s="1429" t="s">
        <v>713</v>
      </c>
      <c r="F76" s="1430"/>
      <c r="G76" s="1431"/>
      <c r="H76" s="827" t="s">
        <v>790</v>
      </c>
      <c r="I76" s="989" t="s">
        <v>633</v>
      </c>
      <c r="J76" s="990"/>
      <c r="K76" s="991"/>
      <c r="L76" s="828" t="s">
        <v>430</v>
      </c>
      <c r="M76" s="105" t="s">
        <v>431</v>
      </c>
      <c r="O76" s="114" t="s">
        <v>800</v>
      </c>
      <c r="P76" s="114" t="s">
        <v>801</v>
      </c>
      <c r="Q76" s="114" t="s">
        <v>802</v>
      </c>
      <c r="R76" s="114" t="s">
        <v>803</v>
      </c>
      <c r="S76" s="114" t="s">
        <v>804</v>
      </c>
      <c r="T76" s="114" t="s">
        <v>805</v>
      </c>
      <c r="U76" s="114" t="s">
        <v>806</v>
      </c>
      <c r="V76" s="114" t="s">
        <v>807</v>
      </c>
      <c r="W76" s="114" t="s">
        <v>808</v>
      </c>
      <c r="X76" s="114" t="s">
        <v>809</v>
      </c>
      <c r="Y76" s="114" t="s">
        <v>75</v>
      </c>
      <c r="Z76" s="114" t="s">
        <v>75</v>
      </c>
    </row>
    <row r="77" spans="3:26" ht="24" customHeight="1">
      <c r="C77" s="88"/>
      <c r="D77" s="489" t="s">
        <v>432</v>
      </c>
      <c r="E77" s="1435"/>
      <c r="F77" s="1436"/>
      <c r="G77" s="1437"/>
      <c r="H77" s="821" t="s">
        <v>794</v>
      </c>
      <c r="I77" s="1021" t="s">
        <v>714</v>
      </c>
      <c r="J77" s="1015"/>
      <c r="K77" s="1016"/>
      <c r="L77" s="822"/>
      <c r="M77" s="112"/>
      <c r="O77" s="115" t="s">
        <v>810</v>
      </c>
      <c r="P77" s="116">
        <v>0.1</v>
      </c>
      <c r="Q77" s="117">
        <v>1.3999999999999999E-4</v>
      </c>
      <c r="R77" s="118">
        <v>6.199999999998429E-4</v>
      </c>
      <c r="S77" s="119"/>
      <c r="T77" s="115">
        <v>8.2999999999984291E-4</v>
      </c>
      <c r="U77" s="117">
        <v>-30</v>
      </c>
      <c r="V77" s="116">
        <v>15.8</v>
      </c>
      <c r="W77" s="119"/>
      <c r="X77" s="119"/>
      <c r="Y77" s="120"/>
      <c r="Z77" s="120"/>
    </row>
    <row r="78" spans="3:26" ht="24" customHeight="1">
      <c r="C78" s="88"/>
      <c r="D78" s="490" t="s">
        <v>433</v>
      </c>
      <c r="E78" s="1492">
        <v>47.5</v>
      </c>
      <c r="F78" s="1493"/>
      <c r="G78" s="1494"/>
      <c r="H78" s="821" t="s">
        <v>795</v>
      </c>
      <c r="I78" s="995"/>
      <c r="J78" s="996"/>
      <c r="K78" s="997"/>
      <c r="L78" s="822"/>
      <c r="M78" s="112"/>
      <c r="O78" s="121"/>
      <c r="P78" s="121"/>
      <c r="Q78" s="121"/>
      <c r="R78" s="122"/>
      <c r="S78" s="123"/>
      <c r="T78" s="121"/>
      <c r="U78" s="121"/>
      <c r="V78" s="121"/>
      <c r="W78" s="123"/>
      <c r="X78" s="123"/>
      <c r="Y78" s="124"/>
      <c r="Z78" s="124"/>
    </row>
    <row r="79" spans="3:26" ht="25" customHeight="1" thickBot="1">
      <c r="C79" s="88"/>
      <c r="D79" s="490" t="s">
        <v>434</v>
      </c>
      <c r="E79" s="1492">
        <v>47.3</v>
      </c>
      <c r="F79" s="1493"/>
      <c r="G79" s="1494"/>
      <c r="H79" s="823"/>
      <c r="I79" s="995"/>
      <c r="J79" s="996"/>
      <c r="K79" s="997"/>
      <c r="L79" s="822"/>
      <c r="M79" s="112"/>
      <c r="O79" s="125" t="s">
        <v>811</v>
      </c>
      <c r="P79" s="126">
        <v>0.1</v>
      </c>
      <c r="Q79" s="127">
        <v>5.0000000000000001E-4</v>
      </c>
      <c r="R79" s="128">
        <v>1.7000000000000001E-4</v>
      </c>
      <c r="S79" s="129">
        <v>1</v>
      </c>
      <c r="T79" s="125">
        <v>9.2000000000000003E-4</v>
      </c>
      <c r="U79" s="130">
        <v>-33.253012048199068</v>
      </c>
      <c r="V79" s="131">
        <v>91.8</v>
      </c>
      <c r="W79" s="132">
        <v>1</v>
      </c>
      <c r="X79" s="133">
        <v>33.253012048199068</v>
      </c>
      <c r="Y79" s="134"/>
      <c r="Z79" s="134">
        <v>4.4350000000000005</v>
      </c>
    </row>
    <row r="80" spans="3:26" ht="25" customHeight="1" thickBot="1">
      <c r="C80" s="88"/>
      <c r="D80" s="491" t="s">
        <v>435</v>
      </c>
      <c r="E80" s="1447">
        <v>0.57291666666666674</v>
      </c>
      <c r="F80" s="1448"/>
      <c r="G80" s="1449"/>
      <c r="H80" s="823"/>
      <c r="I80" s="995"/>
      <c r="J80" s="996"/>
      <c r="K80" s="997"/>
      <c r="L80" s="824">
        <v>0.80208333333333337</v>
      </c>
      <c r="M80" s="459">
        <v>0.69791666666666674</v>
      </c>
      <c r="O80" s="135" t="s">
        <v>812</v>
      </c>
      <c r="P80" s="136">
        <v>0.1</v>
      </c>
      <c r="Q80" s="156">
        <v>4.2000000000000002E-4</v>
      </c>
      <c r="R80" s="138">
        <v>1.7000000000000001E-4</v>
      </c>
      <c r="S80" s="139">
        <v>1</v>
      </c>
      <c r="T80" s="136">
        <v>8.0000000000000004E-4</v>
      </c>
      <c r="U80" s="140">
        <v>-28.915662650607885</v>
      </c>
      <c r="V80" s="141">
        <v>91.8</v>
      </c>
      <c r="W80" s="142">
        <v>1</v>
      </c>
      <c r="X80" s="143">
        <v>28.915662650607885</v>
      </c>
      <c r="Y80" s="144"/>
      <c r="Z80" s="144"/>
    </row>
    <row r="81" spans="3:26" ht="49" customHeight="1" thickBot="1">
      <c r="C81" s="88"/>
      <c r="D81" s="492" t="s">
        <v>436</v>
      </c>
      <c r="E81" s="92" t="s">
        <v>29</v>
      </c>
      <c r="F81" s="92" t="s">
        <v>28</v>
      </c>
      <c r="G81" s="93" t="s">
        <v>27</v>
      </c>
      <c r="H81" s="93" t="s">
        <v>793</v>
      </c>
      <c r="I81" s="995"/>
      <c r="J81" s="996"/>
      <c r="K81" s="997"/>
      <c r="L81" s="822"/>
      <c r="M81" s="112"/>
      <c r="O81" s="123"/>
      <c r="P81" s="145"/>
      <c r="Q81" s="123"/>
      <c r="R81" s="123"/>
      <c r="S81" s="123"/>
      <c r="T81" s="123"/>
      <c r="U81" s="146"/>
      <c r="V81" s="147"/>
      <c r="W81" s="123"/>
      <c r="X81" s="146"/>
      <c r="Y81" s="124"/>
      <c r="Z81" s="124"/>
    </row>
    <row r="82" spans="3:26" ht="24">
      <c r="C82" s="88"/>
      <c r="D82" s="493">
        <v>45566</v>
      </c>
      <c r="E82" s="96">
        <v>47.3</v>
      </c>
      <c r="F82" s="96" t="s">
        <v>758</v>
      </c>
      <c r="G82" s="96">
        <v>47.9</v>
      </c>
      <c r="H82" s="825">
        <v>0.57291666666666674</v>
      </c>
      <c r="I82" s="995"/>
      <c r="J82" s="996"/>
      <c r="K82" s="997"/>
      <c r="L82" s="822"/>
      <c r="M82" s="112"/>
      <c r="O82" s="148"/>
      <c r="P82" s="124"/>
      <c r="Q82" s="148"/>
      <c r="R82" s="148"/>
      <c r="S82" s="148"/>
      <c r="T82" s="148"/>
      <c r="U82" s="148"/>
      <c r="V82" s="148"/>
      <c r="W82" s="148"/>
      <c r="X82" s="148"/>
      <c r="Y82" s="124"/>
      <c r="Z82" s="124"/>
    </row>
    <row r="83" spans="3:26" ht="24">
      <c r="C83" s="88"/>
      <c r="D83" s="493">
        <v>45558</v>
      </c>
      <c r="E83" s="96">
        <v>47</v>
      </c>
      <c r="F83" s="96" t="s">
        <v>500</v>
      </c>
      <c r="G83" s="96">
        <v>47.9</v>
      </c>
      <c r="H83" s="825">
        <v>0.57291666666666674</v>
      </c>
      <c r="I83" s="995"/>
      <c r="J83" s="996"/>
      <c r="K83" s="997"/>
      <c r="L83" s="822"/>
      <c r="M83" s="112"/>
      <c r="O83" s="115" t="s">
        <v>813</v>
      </c>
      <c r="P83" s="116">
        <v>0.1</v>
      </c>
      <c r="Q83" s="149">
        <v>4.2000000000000002E-4</v>
      </c>
      <c r="R83" s="150">
        <v>1.7000000000000001E-4</v>
      </c>
      <c r="S83" s="119">
        <v>1</v>
      </c>
      <c r="T83" s="125">
        <v>8.0000000000000004E-4</v>
      </c>
      <c r="U83" s="151">
        <v>-28.915662650607885</v>
      </c>
      <c r="V83" s="152">
        <v>91.8</v>
      </c>
      <c r="W83" s="119">
        <v>2</v>
      </c>
      <c r="X83" s="153">
        <v>57.83132530121577</v>
      </c>
      <c r="Y83" s="154" t="s">
        <v>814</v>
      </c>
      <c r="Z83" s="154"/>
    </row>
    <row r="84" spans="3:26" ht="24">
      <c r="C84" s="88"/>
      <c r="D84" s="493">
        <v>45538</v>
      </c>
      <c r="E84" s="96">
        <v>47.9</v>
      </c>
      <c r="F84" s="96" t="s">
        <v>502</v>
      </c>
      <c r="G84" s="96">
        <v>49.6</v>
      </c>
      <c r="H84" s="825">
        <v>0.57291666666666674</v>
      </c>
      <c r="I84" s="995"/>
      <c r="J84" s="996"/>
      <c r="K84" s="997"/>
      <c r="L84" s="829"/>
      <c r="M84" s="112"/>
      <c r="O84" s="115"/>
      <c r="P84" s="116"/>
      <c r="Q84" s="149"/>
      <c r="R84" s="150"/>
      <c r="S84" s="119"/>
      <c r="T84" s="116"/>
      <c r="U84" s="151"/>
      <c r="V84" s="152"/>
      <c r="W84" s="119"/>
      <c r="X84" s="153"/>
      <c r="Y84" s="154"/>
      <c r="Z84" s="154"/>
    </row>
    <row r="85" spans="3:26" ht="24">
      <c r="C85" s="88"/>
      <c r="D85" s="493">
        <v>45526</v>
      </c>
      <c r="E85" s="96">
        <v>48</v>
      </c>
      <c r="F85" s="96" t="s">
        <v>438</v>
      </c>
      <c r="G85" s="96">
        <v>49.6</v>
      </c>
      <c r="H85" s="825">
        <v>0.57291666666666674</v>
      </c>
      <c r="I85" s="995"/>
      <c r="J85" s="996"/>
      <c r="K85" s="997"/>
      <c r="L85" s="822"/>
      <c r="M85" s="112"/>
      <c r="O85" s="115" t="s">
        <v>816</v>
      </c>
      <c r="P85" s="116"/>
      <c r="Q85" s="149"/>
      <c r="R85" s="150"/>
      <c r="S85" s="119"/>
      <c r="T85" s="116"/>
      <c r="U85" s="151">
        <v>0</v>
      </c>
      <c r="V85" s="152"/>
      <c r="W85" s="119"/>
      <c r="X85" s="153">
        <v>0</v>
      </c>
      <c r="Y85" s="154"/>
      <c r="Z85" s="154"/>
    </row>
    <row r="86" spans="3:26" ht="24">
      <c r="C86" s="88"/>
      <c r="D86" s="493">
        <v>45505</v>
      </c>
      <c r="E86" s="96">
        <v>49.6</v>
      </c>
      <c r="F86" s="96" t="s">
        <v>438</v>
      </c>
      <c r="G86" s="96">
        <v>51.6</v>
      </c>
      <c r="H86" s="825">
        <v>0.57291666666666674</v>
      </c>
      <c r="I86" s="995"/>
      <c r="J86" s="996"/>
      <c r="K86" s="997"/>
      <c r="L86" s="822"/>
      <c r="M86" s="112"/>
      <c r="O86" s="89"/>
      <c r="P86" s="89"/>
      <c r="Q86" s="89"/>
      <c r="R86" s="89"/>
      <c r="S86" s="89"/>
      <c r="T86" s="89"/>
      <c r="U86" s="89"/>
      <c r="V86" s="89"/>
      <c r="W86" s="89"/>
      <c r="X86" s="89"/>
      <c r="Y86" s="89"/>
      <c r="Z86" s="89"/>
    </row>
    <row r="87" spans="3:26" ht="25" thickBot="1">
      <c r="C87" s="88"/>
      <c r="D87" s="493">
        <v>45497</v>
      </c>
      <c r="E87" s="96">
        <v>49.5</v>
      </c>
      <c r="F87" s="96" t="s">
        <v>506</v>
      </c>
      <c r="G87" s="96">
        <v>51.6</v>
      </c>
      <c r="H87" s="825">
        <v>0.57291666666666674</v>
      </c>
      <c r="I87" s="998"/>
      <c r="J87" s="999"/>
      <c r="K87" s="1000"/>
      <c r="L87" s="830"/>
      <c r="M87" s="113"/>
      <c r="O87" s="89"/>
      <c r="P87" s="89"/>
      <c r="Q87" s="89"/>
      <c r="R87" s="89"/>
      <c r="S87" s="89"/>
      <c r="T87" s="89"/>
      <c r="U87" s="89"/>
      <c r="V87" s="89"/>
      <c r="W87" s="89"/>
      <c r="X87" s="89"/>
      <c r="Y87" s="89"/>
      <c r="Z87" s="89"/>
    </row>
    <row r="88" spans="3:26" ht="73" customHeight="1" thickBot="1">
      <c r="C88" s="88" t="s">
        <v>105</v>
      </c>
      <c r="D88" s="494" t="s">
        <v>30</v>
      </c>
      <c r="E88" s="1429" t="s">
        <v>715</v>
      </c>
      <c r="F88" s="1430"/>
      <c r="G88" s="1431"/>
      <c r="H88" s="827" t="s">
        <v>790</v>
      </c>
      <c r="I88" s="989" t="s">
        <v>633</v>
      </c>
      <c r="J88" s="990"/>
      <c r="K88" s="991"/>
      <c r="L88" s="828" t="s">
        <v>430</v>
      </c>
      <c r="M88" s="105" t="s">
        <v>431</v>
      </c>
      <c r="O88" s="114" t="s">
        <v>800</v>
      </c>
      <c r="P88" s="114" t="s">
        <v>801</v>
      </c>
      <c r="Q88" s="114" t="s">
        <v>802</v>
      </c>
      <c r="R88" s="114" t="s">
        <v>803</v>
      </c>
      <c r="S88" s="114" t="s">
        <v>804</v>
      </c>
      <c r="T88" s="114" t="s">
        <v>805</v>
      </c>
      <c r="U88" s="114" t="s">
        <v>806</v>
      </c>
      <c r="V88" s="114" t="s">
        <v>807</v>
      </c>
      <c r="W88" s="114" t="s">
        <v>808</v>
      </c>
      <c r="X88" s="114" t="s">
        <v>809</v>
      </c>
      <c r="Y88" s="114" t="s">
        <v>75</v>
      </c>
      <c r="Z88" s="114" t="s">
        <v>75</v>
      </c>
    </row>
    <row r="89" spans="3:26" ht="24" customHeight="1">
      <c r="C89" s="88"/>
      <c r="D89" s="489" t="s">
        <v>432</v>
      </c>
      <c r="E89" s="1435"/>
      <c r="F89" s="1436"/>
      <c r="G89" s="1437"/>
      <c r="H89" s="821" t="s">
        <v>794</v>
      </c>
      <c r="I89" s="1021" t="s">
        <v>716</v>
      </c>
      <c r="J89" s="1015"/>
      <c r="K89" s="1016"/>
      <c r="L89" s="822"/>
      <c r="M89" s="112"/>
      <c r="O89" s="115" t="s">
        <v>810</v>
      </c>
      <c r="P89" s="116">
        <v>0.1</v>
      </c>
      <c r="Q89" s="117">
        <v>3.3000000000000002E-2</v>
      </c>
      <c r="R89" s="118">
        <v>1.4999999999986358E-2</v>
      </c>
      <c r="S89" s="119"/>
      <c r="T89" s="115">
        <v>6.449999999998636E-2</v>
      </c>
      <c r="U89" s="117">
        <v>-15.49</v>
      </c>
      <c r="V89" s="116">
        <v>91.8</v>
      </c>
      <c r="W89" s="119"/>
      <c r="X89" s="119"/>
      <c r="Y89" s="120"/>
      <c r="Z89" s="120"/>
    </row>
    <row r="90" spans="3:26" ht="24" customHeight="1">
      <c r="C90" s="88"/>
      <c r="D90" s="490" t="s">
        <v>433</v>
      </c>
      <c r="E90" s="1492">
        <v>55</v>
      </c>
      <c r="F90" s="1493"/>
      <c r="G90" s="1494"/>
      <c r="H90" s="821" t="s">
        <v>795</v>
      </c>
      <c r="I90" s="995"/>
      <c r="J90" s="996"/>
      <c r="K90" s="997"/>
      <c r="L90" s="822"/>
      <c r="M90" s="112"/>
      <c r="O90" s="121"/>
      <c r="P90" s="121"/>
      <c r="Q90" s="121"/>
      <c r="R90" s="122"/>
      <c r="S90" s="123"/>
      <c r="T90" s="121"/>
      <c r="U90" s="121"/>
      <c r="V90" s="121"/>
      <c r="W90" s="123"/>
      <c r="X90" s="123"/>
      <c r="Y90" s="124"/>
      <c r="Z90" s="124"/>
    </row>
    <row r="91" spans="3:26" ht="25" customHeight="1" thickBot="1">
      <c r="C91" s="88"/>
      <c r="D91" s="490" t="s">
        <v>434</v>
      </c>
      <c r="E91" s="1492">
        <v>55.2</v>
      </c>
      <c r="F91" s="1493"/>
      <c r="G91" s="1494"/>
      <c r="H91" s="823"/>
      <c r="I91" s="995"/>
      <c r="J91" s="996"/>
      <c r="K91" s="997"/>
      <c r="L91" s="822"/>
      <c r="M91" s="112"/>
      <c r="O91" s="125" t="s">
        <v>811</v>
      </c>
      <c r="P91" s="126">
        <v>0.1</v>
      </c>
      <c r="Q91" s="127">
        <v>7.9600000000000004E-2</v>
      </c>
      <c r="R91" s="128">
        <v>1.7000000000000001E-2</v>
      </c>
      <c r="S91" s="129">
        <v>1</v>
      </c>
      <c r="T91" s="125">
        <v>0.13640000000000002</v>
      </c>
      <c r="U91" s="130">
        <v>-32.757147286828641</v>
      </c>
      <c r="V91" s="131">
        <v>91.8</v>
      </c>
      <c r="W91" s="132">
        <v>2.4300000000000002</v>
      </c>
      <c r="X91" s="133">
        <v>79.599867906993609</v>
      </c>
      <c r="Y91" s="134"/>
      <c r="Z91" s="134">
        <v>4.4350000000000005</v>
      </c>
    </row>
    <row r="92" spans="3:26" ht="25" customHeight="1" thickBot="1">
      <c r="C92" s="88"/>
      <c r="D92" s="491" t="s">
        <v>435</v>
      </c>
      <c r="E92" s="1447">
        <v>0.57291666666666674</v>
      </c>
      <c r="F92" s="1448"/>
      <c r="G92" s="1449"/>
      <c r="H92" s="823"/>
      <c r="I92" s="995"/>
      <c r="J92" s="996"/>
      <c r="K92" s="997"/>
      <c r="L92" s="824">
        <v>0.80208333333333337</v>
      </c>
      <c r="M92" s="459">
        <v>0.69791666666666674</v>
      </c>
      <c r="O92" s="135" t="s">
        <v>812</v>
      </c>
      <c r="P92" s="136">
        <v>0.1</v>
      </c>
      <c r="Q92" s="156">
        <v>9.1666666666666674E-2</v>
      </c>
      <c r="R92" s="138">
        <v>1.7000000000000001E-2</v>
      </c>
      <c r="S92" s="139">
        <v>1</v>
      </c>
      <c r="T92" s="136">
        <v>0.1545</v>
      </c>
      <c r="U92" s="140">
        <v>-37.103953488379936</v>
      </c>
      <c r="V92" s="141">
        <v>91.8</v>
      </c>
      <c r="W92" s="142">
        <v>2.5</v>
      </c>
      <c r="X92" s="143">
        <v>92.759883720949844</v>
      </c>
      <c r="Y92" s="144"/>
      <c r="Z92" s="144"/>
    </row>
    <row r="93" spans="3:26" ht="49" customHeight="1" thickBot="1">
      <c r="C93" s="88"/>
      <c r="D93" s="492" t="s">
        <v>436</v>
      </c>
      <c r="E93" s="92" t="s">
        <v>29</v>
      </c>
      <c r="F93" s="92" t="s">
        <v>28</v>
      </c>
      <c r="G93" s="93" t="s">
        <v>27</v>
      </c>
      <c r="H93" s="93" t="s">
        <v>793</v>
      </c>
      <c r="I93" s="995"/>
      <c r="J93" s="996"/>
      <c r="K93" s="997"/>
      <c r="L93" s="822"/>
      <c r="M93" s="112"/>
      <c r="O93" s="123"/>
      <c r="P93" s="145"/>
      <c r="Q93" s="123"/>
      <c r="R93" s="123"/>
      <c r="S93" s="123"/>
      <c r="T93" s="123"/>
      <c r="U93" s="146"/>
      <c r="V93" s="147"/>
      <c r="W93" s="123"/>
      <c r="X93" s="146"/>
      <c r="Y93" s="124"/>
      <c r="Z93" s="124"/>
    </row>
    <row r="94" spans="3:26" ht="24">
      <c r="C94" s="88"/>
      <c r="D94" s="493">
        <v>45568</v>
      </c>
      <c r="E94" s="96">
        <v>55.2</v>
      </c>
      <c r="F94" s="96" t="s">
        <v>759</v>
      </c>
      <c r="G94" s="96">
        <v>55.7</v>
      </c>
      <c r="H94" s="825">
        <v>0.57291666666666674</v>
      </c>
      <c r="I94" s="995"/>
      <c r="J94" s="996"/>
      <c r="K94" s="997"/>
      <c r="L94" s="822"/>
      <c r="M94" s="112"/>
      <c r="O94" s="148"/>
      <c r="P94" s="124"/>
      <c r="Q94" s="148"/>
      <c r="R94" s="148"/>
      <c r="S94" s="148"/>
      <c r="T94" s="148"/>
      <c r="U94" s="148"/>
      <c r="V94" s="148"/>
      <c r="W94" s="148"/>
      <c r="X94" s="148"/>
      <c r="Y94" s="124"/>
      <c r="Z94" s="124"/>
    </row>
    <row r="95" spans="3:26" ht="24">
      <c r="C95" s="88"/>
      <c r="D95" s="493">
        <v>45558</v>
      </c>
      <c r="E95" s="96">
        <v>55.4</v>
      </c>
      <c r="F95" s="96" t="s">
        <v>585</v>
      </c>
      <c r="G95" s="96">
        <v>55.7</v>
      </c>
      <c r="H95" s="825">
        <v>0.57291666666666674</v>
      </c>
      <c r="I95" s="995"/>
      <c r="J95" s="996"/>
      <c r="K95" s="997"/>
      <c r="L95" s="822"/>
      <c r="M95" s="112"/>
      <c r="O95" s="115" t="s">
        <v>813</v>
      </c>
      <c r="P95" s="116">
        <v>0.1</v>
      </c>
      <c r="Q95" s="149">
        <v>8.5633333333333339E-2</v>
      </c>
      <c r="R95" s="150">
        <v>1.7000000000000001E-2</v>
      </c>
      <c r="S95" s="119">
        <v>0.5</v>
      </c>
      <c r="T95" s="125">
        <v>0.14545000000000002</v>
      </c>
      <c r="U95" s="151">
        <v>-17.465275193802146</v>
      </c>
      <c r="V95" s="152">
        <v>91.8</v>
      </c>
      <c r="W95" s="119">
        <v>2</v>
      </c>
      <c r="X95" s="153">
        <v>34.930550387604292</v>
      </c>
      <c r="Y95" s="154" t="s">
        <v>814</v>
      </c>
      <c r="Z95" s="154"/>
    </row>
    <row r="96" spans="3:26" ht="24">
      <c r="C96" s="88"/>
      <c r="D96" s="493">
        <v>45539</v>
      </c>
      <c r="E96" s="96">
        <v>55.7</v>
      </c>
      <c r="F96" s="96" t="s">
        <v>586</v>
      </c>
      <c r="G96" s="96">
        <v>55</v>
      </c>
      <c r="H96" s="825">
        <v>0.57291666666666674</v>
      </c>
      <c r="I96" s="995"/>
      <c r="J96" s="996"/>
      <c r="K96" s="997"/>
      <c r="L96" s="829"/>
      <c r="M96" s="112"/>
      <c r="O96" s="115"/>
      <c r="P96" s="116"/>
      <c r="Q96" s="149"/>
      <c r="R96" s="150"/>
      <c r="S96" s="119"/>
      <c r="T96" s="116"/>
      <c r="U96" s="151"/>
      <c r="V96" s="152"/>
      <c r="W96" s="119"/>
      <c r="X96" s="153"/>
      <c r="Y96" s="154"/>
      <c r="Z96" s="154"/>
    </row>
    <row r="97" spans="3:26" ht="24">
      <c r="C97" s="88"/>
      <c r="D97" s="493">
        <v>45526</v>
      </c>
      <c r="E97" s="96">
        <v>55.2</v>
      </c>
      <c r="F97" s="96" t="s">
        <v>587</v>
      </c>
      <c r="G97" s="96">
        <v>55</v>
      </c>
      <c r="H97" s="825">
        <v>0.57291666666666674</v>
      </c>
      <c r="I97" s="995"/>
      <c r="J97" s="996"/>
      <c r="K97" s="997"/>
      <c r="L97" s="822"/>
      <c r="M97" s="112"/>
      <c r="O97" s="115" t="s">
        <v>816</v>
      </c>
      <c r="P97" s="116"/>
      <c r="Q97" s="149"/>
      <c r="R97" s="150"/>
      <c r="S97" s="119"/>
      <c r="T97" s="116"/>
      <c r="U97" s="151">
        <v>0</v>
      </c>
      <c r="V97" s="152"/>
      <c r="W97" s="119"/>
      <c r="X97" s="153">
        <v>0</v>
      </c>
      <c r="Y97" s="154"/>
      <c r="Z97" s="154"/>
    </row>
    <row r="98" spans="3:26" ht="24">
      <c r="C98" s="88"/>
      <c r="D98" s="493">
        <v>45509</v>
      </c>
      <c r="E98" s="96">
        <v>55</v>
      </c>
      <c r="F98" s="96" t="s">
        <v>589</v>
      </c>
      <c r="G98" s="96">
        <v>55.3</v>
      </c>
      <c r="H98" s="825">
        <v>0.57291666666666674</v>
      </c>
      <c r="I98" s="995"/>
      <c r="J98" s="996"/>
      <c r="K98" s="997"/>
      <c r="L98" s="822"/>
      <c r="M98" s="112"/>
      <c r="O98" s="89"/>
      <c r="P98" s="89"/>
      <c r="Q98" s="89"/>
      <c r="R98" s="89"/>
      <c r="S98" s="89"/>
      <c r="T98" s="89"/>
      <c r="U98" s="89"/>
      <c r="V98" s="89"/>
      <c r="W98" s="89"/>
      <c r="X98" s="89"/>
      <c r="Y98" s="89"/>
      <c r="Z98" s="89"/>
    </row>
    <row r="99" spans="3:26" ht="25" thickBot="1">
      <c r="C99" s="88"/>
      <c r="D99" s="493">
        <v>45497</v>
      </c>
      <c r="E99" s="96">
        <v>56</v>
      </c>
      <c r="F99" s="96" t="s">
        <v>590</v>
      </c>
      <c r="G99" s="96">
        <v>55.3</v>
      </c>
      <c r="H99" s="825">
        <v>0.57291666666666674</v>
      </c>
      <c r="I99" s="998"/>
      <c r="J99" s="999"/>
      <c r="K99" s="1000"/>
      <c r="L99" s="830"/>
      <c r="M99" s="113"/>
      <c r="O99" s="89"/>
      <c r="P99" s="89"/>
      <c r="Q99" s="89"/>
      <c r="R99" s="89"/>
      <c r="S99" s="89"/>
      <c r="T99" s="89"/>
      <c r="U99" s="89"/>
      <c r="V99" s="89"/>
      <c r="W99" s="89"/>
      <c r="X99" s="89"/>
      <c r="Y99" s="89"/>
      <c r="Z99" s="89"/>
    </row>
    <row r="100" spans="3:26" ht="73" customHeight="1" thickBot="1">
      <c r="C100" s="88" t="s">
        <v>105</v>
      </c>
      <c r="D100" s="494" t="s">
        <v>30</v>
      </c>
      <c r="E100" s="1429" t="s">
        <v>717</v>
      </c>
      <c r="F100" s="1430"/>
      <c r="G100" s="1431"/>
      <c r="H100" s="827" t="s">
        <v>790</v>
      </c>
      <c r="I100" s="989" t="s">
        <v>633</v>
      </c>
      <c r="J100" s="990"/>
      <c r="K100" s="991"/>
      <c r="L100" s="828" t="s">
        <v>430</v>
      </c>
      <c r="M100" s="105" t="s">
        <v>431</v>
      </c>
      <c r="O100" s="114" t="s">
        <v>800</v>
      </c>
      <c r="P100" s="114" t="s">
        <v>801</v>
      </c>
      <c r="Q100" s="114" t="s">
        <v>802</v>
      </c>
      <c r="R100" s="114" t="s">
        <v>803</v>
      </c>
      <c r="S100" s="114" t="s">
        <v>804</v>
      </c>
      <c r="T100" s="114" t="s">
        <v>805</v>
      </c>
      <c r="U100" s="114" t="s">
        <v>806</v>
      </c>
      <c r="V100" s="114" t="s">
        <v>807</v>
      </c>
      <c r="W100" s="114" t="s">
        <v>808</v>
      </c>
      <c r="X100" s="114" t="s">
        <v>809</v>
      </c>
      <c r="Y100" s="114" t="s">
        <v>75</v>
      </c>
      <c r="Z100" s="114" t="s">
        <v>75</v>
      </c>
    </row>
    <row r="101" spans="3:26" ht="24" customHeight="1">
      <c r="C101" s="88"/>
      <c r="D101" s="489" t="s">
        <v>432</v>
      </c>
      <c r="E101" s="1435"/>
      <c r="F101" s="1436"/>
      <c r="G101" s="1437"/>
      <c r="H101" s="821" t="s">
        <v>794</v>
      </c>
      <c r="I101" s="1021" t="s">
        <v>719</v>
      </c>
      <c r="J101" s="1015"/>
      <c r="K101" s="1016"/>
      <c r="L101" s="822"/>
      <c r="M101" s="112"/>
      <c r="O101" s="115" t="s">
        <v>810</v>
      </c>
      <c r="P101" s="116">
        <v>0.1</v>
      </c>
      <c r="Q101" s="117">
        <v>3.3000000000000002E-2</v>
      </c>
      <c r="R101" s="118">
        <v>1.4999999999986358E-2</v>
      </c>
      <c r="S101" s="119"/>
      <c r="T101" s="115">
        <v>6.449999999998636E-2</v>
      </c>
      <c r="U101" s="117">
        <v>-15.49</v>
      </c>
      <c r="V101" s="116">
        <v>91.8</v>
      </c>
      <c r="W101" s="119"/>
      <c r="X101" s="119"/>
      <c r="Y101" s="120"/>
      <c r="Z101" s="120"/>
    </row>
    <row r="102" spans="3:26" ht="24" customHeight="1">
      <c r="C102" s="88"/>
      <c r="D102" s="490" t="s">
        <v>433</v>
      </c>
      <c r="E102" s="1492" t="s">
        <v>718</v>
      </c>
      <c r="F102" s="1493"/>
      <c r="G102" s="1494"/>
      <c r="H102" s="821" t="s">
        <v>795</v>
      </c>
      <c r="I102" s="995"/>
      <c r="J102" s="996"/>
      <c r="K102" s="997"/>
      <c r="L102" s="822"/>
      <c r="M102" s="112"/>
      <c r="O102" s="121"/>
      <c r="P102" s="121"/>
      <c r="Q102" s="121"/>
      <c r="R102" s="122"/>
      <c r="S102" s="123"/>
      <c r="T102" s="121"/>
      <c r="U102" s="121"/>
      <c r="V102" s="121"/>
      <c r="W102" s="123"/>
      <c r="X102" s="123"/>
      <c r="Y102" s="124"/>
      <c r="Z102" s="124"/>
    </row>
    <row r="103" spans="3:26" ht="25" customHeight="1" thickBot="1">
      <c r="C103" s="88"/>
      <c r="D103" s="490" t="s">
        <v>434</v>
      </c>
      <c r="E103" s="1492" t="s">
        <v>378</v>
      </c>
      <c r="F103" s="1493"/>
      <c r="G103" s="1494"/>
      <c r="H103" s="823"/>
      <c r="I103" s="995"/>
      <c r="J103" s="996"/>
      <c r="K103" s="997"/>
      <c r="L103" s="822"/>
      <c r="M103" s="112"/>
      <c r="O103" s="125" t="s">
        <v>811</v>
      </c>
      <c r="P103" s="126">
        <v>0.1</v>
      </c>
      <c r="Q103" s="127">
        <v>5.1900000000000002E-2</v>
      </c>
      <c r="R103" s="128">
        <v>1.7000000000000001E-4</v>
      </c>
      <c r="S103" s="129">
        <v>1</v>
      </c>
      <c r="T103" s="125">
        <v>7.8020000000000006E-2</v>
      </c>
      <c r="U103" s="130">
        <v>-18.736896124034974</v>
      </c>
      <c r="V103" s="131">
        <v>91.8</v>
      </c>
      <c r="W103" s="132">
        <v>5.81</v>
      </c>
      <c r="X103" s="133">
        <v>108.8613664806432</v>
      </c>
      <c r="Y103" s="134"/>
      <c r="Z103" s="134">
        <v>4.4350000000000005</v>
      </c>
    </row>
    <row r="104" spans="3:26" ht="25" customHeight="1" thickBot="1">
      <c r="C104" s="88"/>
      <c r="D104" s="491" t="s">
        <v>435</v>
      </c>
      <c r="E104" s="1447">
        <v>0.58333333333333337</v>
      </c>
      <c r="F104" s="1448"/>
      <c r="G104" s="1449"/>
      <c r="H104" s="823"/>
      <c r="I104" s="995"/>
      <c r="J104" s="996"/>
      <c r="K104" s="997"/>
      <c r="L104" s="824">
        <v>0.8125</v>
      </c>
      <c r="M104" s="459">
        <v>0.70833333333333337</v>
      </c>
      <c r="O104" s="135" t="s">
        <v>812</v>
      </c>
      <c r="P104" s="136">
        <v>0.1</v>
      </c>
      <c r="Q104" s="156">
        <v>7.4286666666666668E-2</v>
      </c>
      <c r="R104" s="138">
        <v>1.7000000000000001E-4</v>
      </c>
      <c r="S104" s="139">
        <v>1</v>
      </c>
      <c r="T104" s="136">
        <v>0.1116</v>
      </c>
      <c r="U104" s="140">
        <v>-26.801302325587066</v>
      </c>
      <c r="V104" s="141">
        <v>91.8</v>
      </c>
      <c r="W104" s="142">
        <v>1.74</v>
      </c>
      <c r="X104" s="143">
        <v>46.634266046521496</v>
      </c>
      <c r="Y104" s="144"/>
      <c r="Z104" s="144"/>
    </row>
    <row r="105" spans="3:26" ht="49" customHeight="1" thickBot="1">
      <c r="C105" s="88"/>
      <c r="D105" s="492" t="s">
        <v>436</v>
      </c>
      <c r="E105" s="92" t="s">
        <v>29</v>
      </c>
      <c r="F105" s="92" t="s">
        <v>28</v>
      </c>
      <c r="G105" s="93" t="s">
        <v>27</v>
      </c>
      <c r="H105" s="93" t="s">
        <v>793</v>
      </c>
      <c r="I105" s="995"/>
      <c r="J105" s="996"/>
      <c r="K105" s="997"/>
      <c r="L105" s="822"/>
      <c r="M105" s="112"/>
      <c r="O105" s="123"/>
      <c r="P105" s="145"/>
      <c r="Q105" s="123"/>
      <c r="R105" s="123"/>
      <c r="S105" s="123"/>
      <c r="T105" s="123"/>
      <c r="U105" s="146"/>
      <c r="V105" s="147"/>
      <c r="W105" s="123"/>
      <c r="X105" s="146"/>
      <c r="Y105" s="124"/>
      <c r="Z105" s="124"/>
    </row>
    <row r="106" spans="3:26" ht="24">
      <c r="C106" s="88"/>
      <c r="D106" s="493">
        <v>45560</v>
      </c>
      <c r="E106" s="95" t="s">
        <v>378</v>
      </c>
      <c r="F106" s="95" t="s">
        <v>760</v>
      </c>
      <c r="G106" s="95" t="s">
        <v>761</v>
      </c>
      <c r="H106" s="825">
        <v>0.58333333333333337</v>
      </c>
      <c r="I106" s="995"/>
      <c r="J106" s="996"/>
      <c r="K106" s="997"/>
      <c r="L106" s="822"/>
      <c r="M106" s="112"/>
      <c r="O106" s="148"/>
      <c r="P106" s="124"/>
      <c r="Q106" s="148"/>
      <c r="R106" s="148"/>
      <c r="S106" s="148"/>
      <c r="T106" s="148"/>
      <c r="U106" s="148"/>
      <c r="V106" s="148"/>
      <c r="W106" s="148"/>
      <c r="X106" s="148"/>
      <c r="Y106" s="124"/>
      <c r="Z106" s="124"/>
    </row>
    <row r="107" spans="3:26" ht="24">
      <c r="C107" s="88"/>
      <c r="D107" s="493">
        <v>45527</v>
      </c>
      <c r="E107" s="95" t="s">
        <v>239</v>
      </c>
      <c r="F107" s="95" t="s">
        <v>762</v>
      </c>
      <c r="G107" s="95" t="s">
        <v>763</v>
      </c>
      <c r="H107" s="825">
        <v>0.58333333333333337</v>
      </c>
      <c r="I107" s="995"/>
      <c r="J107" s="996"/>
      <c r="K107" s="997"/>
      <c r="L107" s="822"/>
      <c r="M107" s="112"/>
      <c r="O107" s="115" t="s">
        <v>813</v>
      </c>
      <c r="P107" s="116">
        <v>0.1</v>
      </c>
      <c r="Q107" s="149">
        <v>7.4286666666666668E-2</v>
      </c>
      <c r="R107" s="150">
        <v>1.7000000000000001E-4</v>
      </c>
      <c r="S107" s="119">
        <v>0.5</v>
      </c>
      <c r="T107" s="125">
        <v>0.1116</v>
      </c>
      <c r="U107" s="151">
        <v>-13.400651162793533</v>
      </c>
      <c r="V107" s="152">
        <v>91.8</v>
      </c>
      <c r="W107" s="119">
        <v>2</v>
      </c>
      <c r="X107" s="153">
        <v>26.801302325587066</v>
      </c>
      <c r="Y107" s="154" t="s">
        <v>814</v>
      </c>
      <c r="Z107" s="154"/>
    </row>
    <row r="108" spans="3:26" ht="24">
      <c r="C108" s="88"/>
      <c r="D108" s="493">
        <v>45497</v>
      </c>
      <c r="E108" s="95" t="s">
        <v>241</v>
      </c>
      <c r="F108" s="95" t="s">
        <v>764</v>
      </c>
      <c r="G108" s="95" t="s">
        <v>765</v>
      </c>
      <c r="H108" s="825">
        <v>0.58333333333333337</v>
      </c>
      <c r="I108" s="995"/>
      <c r="J108" s="996"/>
      <c r="K108" s="997"/>
      <c r="L108" s="829"/>
      <c r="M108" s="112"/>
      <c r="O108" s="115"/>
      <c r="P108" s="116"/>
      <c r="Q108" s="149"/>
      <c r="R108" s="150"/>
      <c r="S108" s="119"/>
      <c r="T108" s="116"/>
      <c r="U108" s="151"/>
      <c r="V108" s="152"/>
      <c r="W108" s="119"/>
      <c r="X108" s="153"/>
      <c r="Y108" s="154"/>
      <c r="Z108" s="154"/>
    </row>
    <row r="109" spans="3:26" ht="24">
      <c r="C109" s="88"/>
      <c r="D109" s="493">
        <v>45469</v>
      </c>
      <c r="E109" s="95" t="s">
        <v>94</v>
      </c>
      <c r="F109" s="95" t="s">
        <v>767</v>
      </c>
      <c r="G109" s="95" t="s">
        <v>768</v>
      </c>
      <c r="H109" s="825">
        <v>0.58333333333333337</v>
      </c>
      <c r="I109" s="995"/>
      <c r="J109" s="996"/>
      <c r="K109" s="997"/>
      <c r="L109" s="822"/>
      <c r="M109" s="112"/>
      <c r="O109" s="115" t="s">
        <v>816</v>
      </c>
      <c r="P109" s="116"/>
      <c r="Q109" s="149"/>
      <c r="R109" s="150"/>
      <c r="S109" s="119"/>
      <c r="T109" s="116"/>
      <c r="U109" s="151">
        <v>0</v>
      </c>
      <c r="V109" s="152"/>
      <c r="W109" s="119"/>
      <c r="X109" s="153">
        <v>0</v>
      </c>
      <c r="Y109" s="154"/>
      <c r="Z109" s="154"/>
    </row>
    <row r="110" spans="3:26" ht="24" customHeight="1">
      <c r="C110" s="88"/>
      <c r="D110" s="493">
        <v>45435</v>
      </c>
      <c r="E110" s="95" t="s">
        <v>770</v>
      </c>
      <c r="F110" s="95" t="s">
        <v>771</v>
      </c>
      <c r="G110" s="95" t="s">
        <v>772</v>
      </c>
      <c r="H110" s="825">
        <v>0.58333333333333337</v>
      </c>
      <c r="I110" s="995"/>
      <c r="J110" s="996"/>
      <c r="K110" s="997"/>
      <c r="L110" s="822"/>
      <c r="M110" s="112"/>
      <c r="O110" s="89"/>
      <c r="P110" s="89"/>
      <c r="Q110" s="89"/>
      <c r="R110" s="89"/>
      <c r="S110" s="89"/>
      <c r="T110" s="89"/>
      <c r="U110" s="89"/>
      <c r="V110" s="89"/>
      <c r="W110" s="89"/>
      <c r="X110" s="89"/>
      <c r="Y110" s="89"/>
      <c r="Z110" s="89"/>
    </row>
    <row r="111" spans="3:26" ht="25" thickBot="1">
      <c r="C111" s="88"/>
      <c r="D111" s="493">
        <v>45405</v>
      </c>
      <c r="E111" s="95" t="s">
        <v>774</v>
      </c>
      <c r="F111" s="95" t="s">
        <v>775</v>
      </c>
      <c r="G111" s="95" t="s">
        <v>776</v>
      </c>
      <c r="H111" s="825">
        <v>0.58333333333333337</v>
      </c>
      <c r="I111" s="998"/>
      <c r="J111" s="999"/>
      <c r="K111" s="1000"/>
      <c r="L111" s="830"/>
      <c r="M111" s="113"/>
      <c r="O111" s="89"/>
      <c r="P111" s="89"/>
      <c r="Q111" s="89"/>
      <c r="R111" s="89"/>
      <c r="S111" s="89"/>
      <c r="T111" s="89"/>
      <c r="U111" s="89"/>
      <c r="V111" s="89"/>
      <c r="W111" s="89"/>
      <c r="X111" s="89"/>
      <c r="Y111" s="89"/>
      <c r="Z111" s="89"/>
    </row>
    <row r="112" spans="3:26" ht="73" customHeight="1" thickBot="1">
      <c r="C112" s="88" t="s">
        <v>105</v>
      </c>
      <c r="D112" s="494" t="s">
        <v>30</v>
      </c>
      <c r="E112" s="1429" t="s">
        <v>720</v>
      </c>
      <c r="F112" s="1430"/>
      <c r="G112" s="1431"/>
      <c r="H112" s="827" t="s">
        <v>790</v>
      </c>
      <c r="I112" s="989" t="s">
        <v>633</v>
      </c>
      <c r="J112" s="990"/>
      <c r="K112" s="991"/>
      <c r="L112" s="828" t="s">
        <v>430</v>
      </c>
      <c r="M112" s="105" t="s">
        <v>431</v>
      </c>
      <c r="O112" s="114" t="s">
        <v>800</v>
      </c>
      <c r="P112" s="114" t="s">
        <v>801</v>
      </c>
      <c r="Q112" s="114" t="s">
        <v>802</v>
      </c>
      <c r="R112" s="114" t="s">
        <v>803</v>
      </c>
      <c r="S112" s="114" t="s">
        <v>804</v>
      </c>
      <c r="T112" s="114" t="s">
        <v>805</v>
      </c>
      <c r="U112" s="114" t="s">
        <v>806</v>
      </c>
      <c r="V112" s="114" t="s">
        <v>807</v>
      </c>
      <c r="W112" s="114" t="s">
        <v>808</v>
      </c>
      <c r="X112" s="114" t="s">
        <v>809</v>
      </c>
      <c r="Y112" s="114" t="s">
        <v>75</v>
      </c>
      <c r="Z112" s="114" t="s">
        <v>75</v>
      </c>
    </row>
    <row r="113" spans="3:26" ht="24" customHeight="1">
      <c r="C113" s="88"/>
      <c r="D113" s="489" t="s">
        <v>432</v>
      </c>
      <c r="E113" s="1435"/>
      <c r="F113" s="1436"/>
      <c r="G113" s="1437"/>
      <c r="H113" s="821" t="s">
        <v>794</v>
      </c>
      <c r="I113" s="1021" t="s">
        <v>721</v>
      </c>
      <c r="J113" s="1015"/>
      <c r="K113" s="1016"/>
      <c r="L113" s="822"/>
      <c r="M113" s="112"/>
      <c r="O113" s="115" t="s">
        <v>810</v>
      </c>
      <c r="P113" s="116">
        <v>0.1</v>
      </c>
      <c r="Q113" s="117">
        <v>3.3000000000000002E-2</v>
      </c>
      <c r="R113" s="118">
        <v>1.4999999999986358E-2</v>
      </c>
      <c r="S113" s="119"/>
      <c r="T113" s="115">
        <v>6.449999999998636E-2</v>
      </c>
      <c r="U113" s="117">
        <v>-15.49</v>
      </c>
      <c r="V113" s="116">
        <v>91.8</v>
      </c>
      <c r="W113" s="119"/>
      <c r="X113" s="119"/>
      <c r="Y113" s="120"/>
      <c r="Z113" s="120"/>
    </row>
    <row r="114" spans="3:26" ht="24" customHeight="1">
      <c r="C114" s="88"/>
      <c r="D114" s="490" t="s">
        <v>433</v>
      </c>
      <c r="E114" s="1495">
        <v>-1.0999999999999999E-2</v>
      </c>
      <c r="F114" s="1496"/>
      <c r="G114" s="1497"/>
      <c r="H114" s="821" t="s">
        <v>795</v>
      </c>
      <c r="I114" s="995"/>
      <c r="J114" s="996"/>
      <c r="K114" s="997"/>
      <c r="L114" s="822"/>
      <c r="M114" s="112"/>
      <c r="O114" s="121"/>
      <c r="P114" s="121"/>
      <c r="Q114" s="121"/>
      <c r="R114" s="122"/>
      <c r="S114" s="123"/>
      <c r="T114" s="121"/>
      <c r="U114" s="121"/>
      <c r="V114" s="121"/>
      <c r="W114" s="123"/>
      <c r="X114" s="123"/>
      <c r="Y114" s="124"/>
      <c r="Z114" s="124"/>
    </row>
    <row r="115" spans="3:26" ht="25" customHeight="1" thickBot="1">
      <c r="C115" s="88"/>
      <c r="D115" s="490" t="s">
        <v>434</v>
      </c>
      <c r="E115" s="1495">
        <v>0</v>
      </c>
      <c r="F115" s="1496"/>
      <c r="G115" s="1497"/>
      <c r="H115" s="823"/>
      <c r="I115" s="995"/>
      <c r="J115" s="996"/>
      <c r="K115" s="997"/>
      <c r="L115" s="822"/>
      <c r="M115" s="112"/>
      <c r="O115" s="125" t="s">
        <v>811</v>
      </c>
      <c r="P115" s="126">
        <v>0.1</v>
      </c>
      <c r="Q115" s="127">
        <v>6.3500000000000001E-2</v>
      </c>
      <c r="R115" s="128">
        <v>1.7999999999999999E-2</v>
      </c>
      <c r="S115" s="129">
        <v>1</v>
      </c>
      <c r="T115" s="125">
        <v>0.11325</v>
      </c>
      <c r="U115" s="130">
        <v>-27.197558139540636</v>
      </c>
      <c r="V115" s="131">
        <v>91.8</v>
      </c>
      <c r="W115" s="132">
        <v>7.73</v>
      </c>
      <c r="X115" s="133">
        <v>210.23712441864913</v>
      </c>
      <c r="Y115" s="134"/>
      <c r="Z115" s="134"/>
    </row>
    <row r="116" spans="3:26" ht="25" customHeight="1" thickBot="1">
      <c r="C116" s="88"/>
      <c r="D116" s="491" t="s">
        <v>435</v>
      </c>
      <c r="E116" s="1447">
        <v>0.52083333333333337</v>
      </c>
      <c r="F116" s="1448"/>
      <c r="G116" s="1449"/>
      <c r="H116" s="823"/>
      <c r="I116" s="995"/>
      <c r="J116" s="996"/>
      <c r="K116" s="997"/>
      <c r="L116" s="824">
        <v>0.75</v>
      </c>
      <c r="M116" s="459">
        <v>0.64583333333333337</v>
      </c>
      <c r="O116" s="135" t="s">
        <v>812</v>
      </c>
      <c r="P116" s="136">
        <v>0.1</v>
      </c>
      <c r="Q116" s="156">
        <v>4.9866666666666663E-2</v>
      </c>
      <c r="R116" s="138">
        <v>1.7999999999999999E-2</v>
      </c>
      <c r="S116" s="139">
        <v>1</v>
      </c>
      <c r="T116" s="136">
        <v>9.2799999999999994E-2</v>
      </c>
      <c r="U116" s="140">
        <v>-22.286387596903936</v>
      </c>
      <c r="V116" s="141">
        <v>91.8</v>
      </c>
      <c r="W116" s="142">
        <v>3.37</v>
      </c>
      <c r="X116" s="143">
        <v>75.105126201566264</v>
      </c>
      <c r="Y116" s="144"/>
      <c r="Z116" s="144"/>
    </row>
    <row r="117" spans="3:26" ht="49" customHeight="1" thickBot="1">
      <c r="C117" s="88"/>
      <c r="D117" s="492" t="s">
        <v>436</v>
      </c>
      <c r="E117" s="92" t="s">
        <v>29</v>
      </c>
      <c r="F117" s="92" t="s">
        <v>28</v>
      </c>
      <c r="G117" s="93" t="s">
        <v>27</v>
      </c>
      <c r="H117" s="93" t="s">
        <v>793</v>
      </c>
      <c r="I117" s="995"/>
      <c r="J117" s="996"/>
      <c r="K117" s="997"/>
      <c r="L117" s="822"/>
      <c r="M117" s="112"/>
      <c r="O117" s="123"/>
      <c r="P117" s="145"/>
      <c r="Q117" s="123"/>
      <c r="R117" s="123"/>
      <c r="S117" s="123"/>
      <c r="T117" s="123"/>
      <c r="U117" s="146"/>
      <c r="V117" s="147"/>
      <c r="W117" s="123"/>
      <c r="X117" s="146"/>
      <c r="Y117" s="124"/>
      <c r="Z117" s="124"/>
    </row>
    <row r="118" spans="3:26" ht="24">
      <c r="C118" s="88"/>
      <c r="D118" s="493">
        <v>45561</v>
      </c>
      <c r="E118" s="95">
        <v>0</v>
      </c>
      <c r="F118" s="95" t="s">
        <v>778</v>
      </c>
      <c r="G118" s="95">
        <v>9.9000000000000005E-2</v>
      </c>
      <c r="H118" s="825">
        <v>0.52083333333333337</v>
      </c>
      <c r="I118" s="995"/>
      <c r="J118" s="996"/>
      <c r="K118" s="997"/>
      <c r="L118" s="822"/>
      <c r="M118" s="112"/>
      <c r="O118" s="148"/>
      <c r="P118" s="124"/>
      <c r="Q118" s="148"/>
      <c r="R118" s="148"/>
      <c r="S118" s="148"/>
      <c r="T118" s="148"/>
      <c r="U118" s="148"/>
      <c r="V118" s="148"/>
      <c r="W118" s="148"/>
      <c r="X118" s="148"/>
      <c r="Y118" s="124"/>
      <c r="Z118" s="124"/>
    </row>
    <row r="119" spans="3:26" ht="24">
      <c r="C119" s="88"/>
      <c r="D119" s="493">
        <v>45530</v>
      </c>
      <c r="E119" s="95">
        <v>9.9000000000000005E-2</v>
      </c>
      <c r="F119" s="95" t="s">
        <v>630</v>
      </c>
      <c r="G119" s="95">
        <v>-6.9000000000000006E-2</v>
      </c>
      <c r="H119" s="825">
        <v>0.52083333333333337</v>
      </c>
      <c r="I119" s="995"/>
      <c r="J119" s="996"/>
      <c r="K119" s="997"/>
      <c r="L119" s="822"/>
      <c r="M119" s="112"/>
      <c r="O119" s="115" t="s">
        <v>813</v>
      </c>
      <c r="P119" s="116">
        <v>0.1</v>
      </c>
      <c r="Q119" s="149">
        <v>5.6683333333333336E-2</v>
      </c>
      <c r="R119" s="150">
        <v>1.7999999999999999E-2</v>
      </c>
      <c r="S119" s="119">
        <v>1</v>
      </c>
      <c r="T119" s="125">
        <v>0.10302500000000001</v>
      </c>
      <c r="U119" s="151">
        <v>-24.741972868222291</v>
      </c>
      <c r="V119" s="152">
        <v>91.8</v>
      </c>
      <c r="W119" s="119">
        <v>3</v>
      </c>
      <c r="X119" s="153">
        <v>74.225918604666873</v>
      </c>
      <c r="Y119" s="154" t="s">
        <v>814</v>
      </c>
      <c r="Z119" s="154"/>
    </row>
    <row r="120" spans="3:26" ht="24">
      <c r="C120" s="88"/>
      <c r="D120" s="493">
        <v>45498</v>
      </c>
      <c r="E120" s="95">
        <v>-6.6000000000000003E-2</v>
      </c>
      <c r="F120" s="95" t="s">
        <v>467</v>
      </c>
      <c r="G120" s="95">
        <v>1E-3</v>
      </c>
      <c r="H120" s="825">
        <v>0.52083333333333337</v>
      </c>
      <c r="I120" s="995"/>
      <c r="J120" s="996"/>
      <c r="K120" s="997"/>
      <c r="L120" s="829"/>
      <c r="M120" s="112"/>
      <c r="O120" s="115"/>
      <c r="P120" s="116"/>
      <c r="Q120" s="149"/>
      <c r="R120" s="150"/>
      <c r="S120" s="119"/>
      <c r="T120" s="116"/>
      <c r="U120" s="151"/>
      <c r="V120" s="152"/>
      <c r="W120" s="119"/>
      <c r="X120" s="153"/>
      <c r="Y120" s="154"/>
      <c r="Z120" s="154"/>
    </row>
    <row r="121" spans="3:26" ht="24">
      <c r="C121" s="88"/>
      <c r="D121" s="493">
        <v>45470</v>
      </c>
      <c r="E121" s="95">
        <v>1E-3</v>
      </c>
      <c r="F121" s="95" t="s">
        <v>782</v>
      </c>
      <c r="G121" s="95">
        <v>2E-3</v>
      </c>
      <c r="H121" s="825">
        <v>0.52083333333333337</v>
      </c>
      <c r="I121" s="995"/>
      <c r="J121" s="996"/>
      <c r="K121" s="997"/>
      <c r="L121" s="822"/>
      <c r="M121" s="112"/>
      <c r="O121" s="115" t="s">
        <v>816</v>
      </c>
      <c r="P121" s="116"/>
      <c r="Q121" s="149"/>
      <c r="R121" s="150"/>
      <c r="S121" s="119"/>
      <c r="T121" s="116"/>
      <c r="U121" s="151">
        <v>0</v>
      </c>
      <c r="V121" s="152"/>
      <c r="W121" s="119"/>
      <c r="X121" s="153">
        <v>0</v>
      </c>
      <c r="Y121" s="154"/>
      <c r="Z121" s="154"/>
    </row>
    <row r="122" spans="3:26" ht="24">
      <c r="C122" s="88"/>
      <c r="D122" s="493">
        <v>45436</v>
      </c>
      <c r="E122" s="95">
        <v>7.0000000000000001E-3</v>
      </c>
      <c r="F122" s="95" t="s">
        <v>784</v>
      </c>
      <c r="G122" s="95">
        <v>8.0000000000000002E-3</v>
      </c>
      <c r="H122" s="825">
        <v>0.52083333333333337</v>
      </c>
      <c r="I122" s="995"/>
      <c r="J122" s="996"/>
      <c r="K122" s="997"/>
      <c r="L122" s="822"/>
      <c r="M122" s="112"/>
      <c r="O122" s="89"/>
      <c r="P122" s="89"/>
      <c r="Q122" s="89"/>
      <c r="R122" s="89"/>
      <c r="S122" s="89"/>
      <c r="T122" s="89"/>
      <c r="U122" s="89"/>
      <c r="V122" s="89"/>
      <c r="W122" s="89"/>
      <c r="X122" s="89"/>
      <c r="Y122" s="89"/>
      <c r="Z122" s="89"/>
    </row>
    <row r="123" spans="3:26" ht="25" thickBot="1">
      <c r="C123" s="88"/>
      <c r="D123" s="493">
        <v>45406</v>
      </c>
      <c r="E123" s="95">
        <v>2.5999999999999999E-2</v>
      </c>
      <c r="F123" s="95" t="s">
        <v>495</v>
      </c>
      <c r="G123" s="95">
        <v>7.0000000000000001E-3</v>
      </c>
      <c r="H123" s="825">
        <v>0.52083333333333337</v>
      </c>
      <c r="I123" s="998"/>
      <c r="J123" s="999"/>
      <c r="K123" s="1000"/>
      <c r="L123" s="830"/>
      <c r="M123" s="113"/>
      <c r="O123" s="114" t="s">
        <v>800</v>
      </c>
      <c r="P123" s="114" t="s">
        <v>801</v>
      </c>
      <c r="Q123" s="114" t="s">
        <v>802</v>
      </c>
      <c r="R123" s="114" t="s">
        <v>803</v>
      </c>
      <c r="S123" s="114" t="s">
        <v>804</v>
      </c>
      <c r="T123" s="114" t="s">
        <v>805</v>
      </c>
      <c r="U123" s="114" t="s">
        <v>806</v>
      </c>
      <c r="V123" s="114" t="s">
        <v>807</v>
      </c>
      <c r="W123" s="114" t="s">
        <v>808</v>
      </c>
      <c r="X123" s="114" t="s">
        <v>809</v>
      </c>
      <c r="Y123" s="114" t="s">
        <v>75</v>
      </c>
      <c r="Z123" s="114" t="s">
        <v>75</v>
      </c>
    </row>
    <row r="124" spans="3:26" ht="73" customHeight="1" thickBot="1">
      <c r="C124" s="88" t="s">
        <v>105</v>
      </c>
      <c r="D124" s="494" t="s">
        <v>30</v>
      </c>
      <c r="E124" s="1429" t="s">
        <v>786</v>
      </c>
      <c r="F124" s="1430"/>
      <c r="G124" s="1431"/>
      <c r="H124" s="827" t="s">
        <v>790</v>
      </c>
      <c r="I124" s="989" t="s">
        <v>633</v>
      </c>
      <c r="J124" s="990"/>
      <c r="K124" s="991"/>
      <c r="L124" s="828" t="s">
        <v>430</v>
      </c>
      <c r="M124" s="105" t="s">
        <v>431</v>
      </c>
      <c r="O124" s="115" t="s">
        <v>810</v>
      </c>
      <c r="P124" s="116">
        <v>0.1</v>
      </c>
      <c r="Q124" s="117">
        <v>3.3000000000000002E-2</v>
      </c>
      <c r="R124" s="118">
        <v>1.4999999999986358E-2</v>
      </c>
      <c r="S124" s="119"/>
      <c r="T124" s="115">
        <v>6.449999999998636E-2</v>
      </c>
      <c r="U124" s="117">
        <v>-15.49</v>
      </c>
      <c r="V124" s="116">
        <v>91.8</v>
      </c>
      <c r="W124" s="119"/>
      <c r="X124" s="119"/>
      <c r="Y124" s="120"/>
      <c r="Z124" s="120"/>
    </row>
    <row r="125" spans="3:26" ht="24" customHeight="1">
      <c r="C125" s="88"/>
      <c r="D125" s="489" t="s">
        <v>432</v>
      </c>
      <c r="E125" s="1435"/>
      <c r="F125" s="1436"/>
      <c r="G125" s="1437"/>
      <c r="H125" s="821" t="s">
        <v>794</v>
      </c>
      <c r="I125" s="1021">
        <v>0</v>
      </c>
      <c r="J125" s="1015"/>
      <c r="K125" s="1016"/>
      <c r="L125" s="822"/>
      <c r="M125" s="112"/>
      <c r="O125" s="121"/>
      <c r="P125" s="121"/>
      <c r="Q125" s="121"/>
      <c r="R125" s="122"/>
      <c r="S125" s="123"/>
      <c r="T125" s="121"/>
      <c r="U125" s="121"/>
      <c r="V125" s="121"/>
      <c r="W125" s="123"/>
      <c r="X125" s="123"/>
      <c r="Y125" s="124"/>
      <c r="Z125" s="124"/>
    </row>
    <row r="126" spans="3:26" ht="24" customHeight="1">
      <c r="C126" s="88"/>
      <c r="D126" s="490" t="s">
        <v>433</v>
      </c>
      <c r="E126" s="1444"/>
      <c r="F126" s="1445"/>
      <c r="G126" s="1446"/>
      <c r="H126" s="821" t="s">
        <v>795</v>
      </c>
      <c r="I126" s="995"/>
      <c r="J126" s="996"/>
      <c r="K126" s="997"/>
      <c r="L126" s="822"/>
      <c r="M126" s="112"/>
      <c r="O126" s="125" t="s">
        <v>811</v>
      </c>
      <c r="P126" s="126">
        <v>0.1</v>
      </c>
      <c r="Q126" s="127">
        <v>2.2200000000000001E-2</v>
      </c>
      <c r="R126" s="128">
        <v>1.9E-2</v>
      </c>
      <c r="S126" s="129">
        <v>1</v>
      </c>
      <c r="T126" s="125">
        <v>5.2299999999999999E-2</v>
      </c>
      <c r="U126" s="130">
        <v>-12.560108527134441</v>
      </c>
      <c r="V126" s="131">
        <v>91.8</v>
      </c>
      <c r="W126" s="132">
        <v>4.43</v>
      </c>
      <c r="X126" s="133">
        <v>55.641280775205566</v>
      </c>
      <c r="Y126" s="134"/>
      <c r="Z126" s="134">
        <v>4.4350000000000005</v>
      </c>
    </row>
    <row r="127" spans="3:26" ht="25" customHeight="1" thickBot="1">
      <c r="C127" s="88"/>
      <c r="D127" s="490" t="s">
        <v>434</v>
      </c>
      <c r="E127" s="1444"/>
      <c r="F127" s="1445"/>
      <c r="G127" s="1446"/>
      <c r="H127" s="823"/>
      <c r="I127" s="995"/>
      <c r="J127" s="996"/>
      <c r="K127" s="997"/>
      <c r="L127" s="822"/>
      <c r="M127" s="112"/>
      <c r="O127" s="135" t="s">
        <v>812</v>
      </c>
      <c r="P127" s="136">
        <v>0.1</v>
      </c>
      <c r="Q127" s="156">
        <v>3.1199999999999995E-2</v>
      </c>
      <c r="R127" s="138">
        <v>1.9E-2</v>
      </c>
      <c r="S127" s="139">
        <v>1</v>
      </c>
      <c r="T127" s="136">
        <v>6.5799999999999997E-2</v>
      </c>
      <c r="U127" s="140">
        <v>-15.802201550390938</v>
      </c>
      <c r="V127" s="141">
        <v>91.8</v>
      </c>
      <c r="W127" s="142">
        <v>2.23</v>
      </c>
      <c r="X127" s="143">
        <v>35.23890945737179</v>
      </c>
      <c r="Y127" s="144"/>
      <c r="Z127" s="144"/>
    </row>
    <row r="128" spans="3:26" ht="25" customHeight="1" thickBot="1">
      <c r="C128" s="88"/>
      <c r="D128" s="491" t="s">
        <v>435</v>
      </c>
      <c r="E128" s="1447">
        <v>0.97916666666666663</v>
      </c>
      <c r="F128" s="1448"/>
      <c r="G128" s="1449"/>
      <c r="H128" s="823"/>
      <c r="I128" s="995"/>
      <c r="J128" s="996"/>
      <c r="K128" s="997"/>
      <c r="L128" s="824">
        <v>0.20833333333333334</v>
      </c>
      <c r="M128" s="459">
        <v>0.10416666666666667</v>
      </c>
      <c r="O128" s="123"/>
      <c r="P128" s="145"/>
      <c r="Q128" s="123"/>
      <c r="R128" s="123"/>
      <c r="S128" s="123"/>
      <c r="T128" s="123"/>
      <c r="U128" s="146"/>
      <c r="V128" s="147"/>
      <c r="W128" s="123"/>
      <c r="X128" s="146"/>
      <c r="Y128" s="124"/>
      <c r="Z128" s="124"/>
    </row>
    <row r="129" spans="3:26" ht="49" customHeight="1" thickBot="1">
      <c r="C129" s="88"/>
      <c r="D129" s="492" t="s">
        <v>436</v>
      </c>
      <c r="E129" s="92" t="s">
        <v>29</v>
      </c>
      <c r="F129" s="92" t="s">
        <v>28</v>
      </c>
      <c r="G129" s="93" t="s">
        <v>27</v>
      </c>
      <c r="H129" s="93" t="s">
        <v>793</v>
      </c>
      <c r="I129" s="995"/>
      <c r="J129" s="996"/>
      <c r="K129" s="997"/>
      <c r="L129" s="822"/>
      <c r="M129" s="112"/>
      <c r="O129" s="148"/>
      <c r="P129" s="124"/>
      <c r="Q129" s="148"/>
      <c r="R129" s="148"/>
      <c r="S129" s="148"/>
      <c r="T129" s="148"/>
      <c r="U129" s="148"/>
      <c r="V129" s="148"/>
      <c r="W129" s="148"/>
      <c r="X129" s="148"/>
      <c r="Y129" s="124"/>
      <c r="Z129" s="124"/>
    </row>
    <row r="130" spans="3:26" ht="24">
      <c r="C130" s="88"/>
      <c r="D130" s="493">
        <v>45560</v>
      </c>
      <c r="E130" s="95">
        <v>0.02</v>
      </c>
      <c r="F130" s="95" t="s">
        <v>788</v>
      </c>
      <c r="G130" s="95">
        <v>2.4E-2</v>
      </c>
      <c r="H130" s="825">
        <v>0.97916666666666663</v>
      </c>
      <c r="I130" s="995"/>
      <c r="J130" s="996"/>
      <c r="K130" s="997"/>
      <c r="L130" s="822"/>
      <c r="M130" s="112"/>
      <c r="O130" s="115">
        <v>0</v>
      </c>
      <c r="P130" s="116">
        <v>0.1</v>
      </c>
      <c r="Q130" s="149">
        <v>3.1199999999999995E-2</v>
      </c>
      <c r="R130" s="150">
        <v>1.9E-2</v>
      </c>
      <c r="S130" s="119">
        <v>0.5</v>
      </c>
      <c r="T130" s="125">
        <v>6.5799999999999997E-2</v>
      </c>
      <c r="U130" s="151">
        <v>-7.9011007751954692</v>
      </c>
      <c r="V130" s="152">
        <v>91.8</v>
      </c>
      <c r="W130" s="119">
        <v>2</v>
      </c>
      <c r="X130" s="153">
        <v>15.802201550390938</v>
      </c>
      <c r="Y130" s="154" t="s">
        <v>814</v>
      </c>
      <c r="Z130" s="154"/>
    </row>
    <row r="131" spans="3:26" ht="24">
      <c r="C131" s="88"/>
      <c r="D131" s="493">
        <v>45529</v>
      </c>
      <c r="E131" s="95">
        <v>2.4E-2</v>
      </c>
      <c r="F131" s="95" t="s">
        <v>490</v>
      </c>
      <c r="G131" s="95">
        <v>2.1999999999999999E-2</v>
      </c>
      <c r="H131" s="825">
        <v>0.97916666666666663</v>
      </c>
      <c r="I131" s="995"/>
      <c r="J131" s="996"/>
      <c r="K131" s="997"/>
      <c r="L131" s="822"/>
      <c r="M131" s="112"/>
      <c r="O131" s="115"/>
      <c r="P131" s="116"/>
      <c r="Q131" s="149"/>
      <c r="R131" s="150"/>
      <c r="S131" s="119"/>
      <c r="T131" s="116"/>
      <c r="U131" s="151"/>
      <c r="V131" s="152"/>
      <c r="W131" s="119"/>
      <c r="X131" s="153"/>
      <c r="Y131" s="154"/>
      <c r="Z131" s="154"/>
    </row>
    <row r="132" spans="3:26" ht="24">
      <c r="C132" s="88"/>
      <c r="D132" s="493">
        <v>45497</v>
      </c>
      <c r="E132" s="95">
        <v>2.1999999999999999E-2</v>
      </c>
      <c r="F132" s="95" t="s">
        <v>490</v>
      </c>
      <c r="G132" s="95">
        <v>2.1000000000000001E-2</v>
      </c>
      <c r="H132" s="825">
        <v>0.97916666666666663</v>
      </c>
      <c r="I132" s="995"/>
      <c r="J132" s="996"/>
      <c r="K132" s="997"/>
      <c r="L132" s="829"/>
      <c r="M132" s="112"/>
      <c r="O132" s="115" t="s">
        <v>816</v>
      </c>
      <c r="P132" s="116"/>
      <c r="Q132" s="149"/>
      <c r="R132" s="150"/>
      <c r="S132" s="119"/>
      <c r="T132" s="116"/>
      <c r="U132" s="151">
        <v>0</v>
      </c>
      <c r="V132" s="152"/>
      <c r="W132" s="119"/>
      <c r="X132" s="153">
        <v>0</v>
      </c>
      <c r="Y132" s="154"/>
      <c r="Z132" s="154"/>
    </row>
    <row r="133" spans="3:26" ht="24">
      <c r="C133" s="88"/>
      <c r="D133" s="493">
        <v>45469</v>
      </c>
      <c r="E133" s="95">
        <v>2.1000000000000001E-2</v>
      </c>
      <c r="F133" s="95" t="s">
        <v>788</v>
      </c>
      <c r="G133" s="95">
        <v>1.9E-2</v>
      </c>
      <c r="H133" s="825">
        <v>0.97916666666666663</v>
      </c>
      <c r="I133" s="995"/>
      <c r="J133" s="996"/>
      <c r="K133" s="997"/>
      <c r="L133" s="822"/>
      <c r="M133" s="112"/>
      <c r="O133" s="114"/>
      <c r="P133" s="114"/>
      <c r="Q133" s="114"/>
      <c r="R133" s="114"/>
      <c r="S133" s="114"/>
      <c r="T133" s="114"/>
      <c r="U133" s="114"/>
      <c r="V133" s="114"/>
      <c r="W133" s="114"/>
      <c r="X133" s="114"/>
      <c r="Y133" s="114"/>
      <c r="Z133" s="114"/>
    </row>
    <row r="134" spans="3:26" ht="24">
      <c r="C134" s="88"/>
      <c r="D134" s="493">
        <v>45441</v>
      </c>
      <c r="E134" s="95">
        <v>1.9E-2</v>
      </c>
      <c r="F134" s="95" t="s">
        <v>789</v>
      </c>
      <c r="G134" s="95">
        <v>1.6E-2</v>
      </c>
      <c r="H134" s="825">
        <v>0.97916666666666663</v>
      </c>
      <c r="I134" s="995"/>
      <c r="J134" s="996"/>
      <c r="K134" s="997"/>
      <c r="L134" s="822"/>
      <c r="M134" s="112"/>
      <c r="O134" s="115"/>
      <c r="P134" s="116"/>
      <c r="Q134" s="117"/>
      <c r="R134" s="118"/>
      <c r="S134" s="119"/>
      <c r="T134" s="115"/>
      <c r="U134" s="117"/>
      <c r="V134" s="116"/>
      <c r="W134" s="119"/>
      <c r="X134" s="119"/>
      <c r="Y134" s="120"/>
      <c r="Z134" s="120"/>
    </row>
    <row r="135" spans="3:26" ht="25" thickBot="1">
      <c r="C135" s="88"/>
      <c r="D135" s="495">
        <v>45406</v>
      </c>
      <c r="E135" s="111">
        <v>1.6E-2</v>
      </c>
      <c r="F135" s="111" t="s">
        <v>490</v>
      </c>
      <c r="G135" s="111">
        <v>2.4E-2</v>
      </c>
      <c r="H135" s="831">
        <v>0.97916666666666663</v>
      </c>
      <c r="I135" s="998"/>
      <c r="J135" s="999"/>
      <c r="K135" s="1000"/>
      <c r="L135" s="830"/>
      <c r="M135" s="113"/>
      <c r="O135" s="121"/>
      <c r="P135" s="121"/>
      <c r="Q135" s="121"/>
      <c r="R135" s="122"/>
      <c r="S135" s="123"/>
      <c r="T135" s="121"/>
      <c r="U135" s="121"/>
      <c r="V135" s="121"/>
      <c r="W135" s="123"/>
      <c r="X135" s="123"/>
      <c r="Y135" s="124"/>
      <c r="Z135" s="124"/>
    </row>
    <row r="136" spans="3:26" ht="48">
      <c r="C136" s="162" t="s">
        <v>105</v>
      </c>
      <c r="D136" s="496" t="s">
        <v>30</v>
      </c>
      <c r="E136" s="1460" t="s">
        <v>817</v>
      </c>
      <c r="F136" s="1460"/>
      <c r="G136" s="1460"/>
      <c r="H136" s="832" t="s">
        <v>790</v>
      </c>
      <c r="I136" s="1504" t="s">
        <v>633</v>
      </c>
      <c r="J136" s="1505"/>
      <c r="K136" s="1506"/>
      <c r="L136" s="833" t="s">
        <v>430</v>
      </c>
      <c r="M136" s="373" t="s">
        <v>431</v>
      </c>
      <c r="N136" s="162" t="s">
        <v>105</v>
      </c>
      <c r="O136" s="114" t="s">
        <v>800</v>
      </c>
      <c r="P136" s="114" t="s">
        <v>801</v>
      </c>
      <c r="Q136" s="114" t="s">
        <v>802</v>
      </c>
      <c r="R136" s="114" t="s">
        <v>803</v>
      </c>
      <c r="S136" s="114" t="s">
        <v>804</v>
      </c>
      <c r="T136" s="114" t="s">
        <v>805</v>
      </c>
      <c r="U136" s="114" t="s">
        <v>806</v>
      </c>
      <c r="V136" s="114" t="s">
        <v>807</v>
      </c>
      <c r="W136" s="114" t="s">
        <v>808</v>
      </c>
      <c r="X136" s="114" t="s">
        <v>809</v>
      </c>
      <c r="Y136" s="114" t="s">
        <v>75</v>
      </c>
      <c r="Z136" s="114" t="s">
        <v>75</v>
      </c>
    </row>
    <row r="137" spans="3:26" ht="24">
      <c r="C137" s="162"/>
      <c r="D137" s="490" t="s">
        <v>432</v>
      </c>
      <c r="E137" s="1464"/>
      <c r="F137" s="1464"/>
      <c r="G137" s="1464"/>
      <c r="H137" s="834" t="s">
        <v>794</v>
      </c>
      <c r="I137" s="1471" t="s">
        <v>818</v>
      </c>
      <c r="J137" s="1472"/>
      <c r="K137" s="1473"/>
      <c r="L137" s="835"/>
      <c r="M137" s="460"/>
      <c r="N137" s="162"/>
      <c r="O137" s="115" t="s">
        <v>810</v>
      </c>
      <c r="P137" s="163">
        <v>0.1</v>
      </c>
      <c r="Q137" s="164">
        <v>2.1000000000000001E-2</v>
      </c>
      <c r="R137" s="165">
        <v>1.7000000000000001E-2</v>
      </c>
      <c r="S137" s="119"/>
      <c r="T137" s="115">
        <v>4.8500000000000001E-2</v>
      </c>
      <c r="U137" s="164">
        <v>-11.44</v>
      </c>
      <c r="V137" s="163">
        <v>91.8</v>
      </c>
      <c r="W137" s="166">
        <v>2</v>
      </c>
      <c r="X137" s="153">
        <v>22.88</v>
      </c>
      <c r="Y137" s="120"/>
      <c r="Z137" s="120"/>
    </row>
    <row r="138" spans="3:26" ht="24">
      <c r="C138" s="162"/>
      <c r="D138" s="490" t="s">
        <v>433</v>
      </c>
      <c r="E138" s="1453">
        <v>99.2</v>
      </c>
      <c r="F138" s="1453"/>
      <c r="G138" s="1453"/>
      <c r="H138" s="834" t="s">
        <v>795</v>
      </c>
      <c r="I138" s="1474"/>
      <c r="J138" s="1475"/>
      <c r="K138" s="1476"/>
      <c r="L138" s="835"/>
      <c r="M138" s="460"/>
      <c r="N138" s="162"/>
      <c r="O138" s="121"/>
      <c r="P138" s="121"/>
      <c r="Q138" s="121"/>
      <c r="R138" s="122"/>
      <c r="S138" s="123"/>
      <c r="T138" s="121"/>
      <c r="U138" s="121"/>
      <c r="V138" s="121"/>
      <c r="W138" s="123"/>
      <c r="X138" s="123"/>
      <c r="Y138" s="124"/>
      <c r="Z138" s="124"/>
    </row>
    <row r="139" spans="3:26" ht="24">
      <c r="C139" s="162"/>
      <c r="D139" s="490" t="s">
        <v>434</v>
      </c>
      <c r="E139" s="1453">
        <v>98.7</v>
      </c>
      <c r="F139" s="1453"/>
      <c r="G139" s="1453"/>
      <c r="H139" s="832"/>
      <c r="I139" s="1474"/>
      <c r="J139" s="1475"/>
      <c r="K139" s="1476"/>
      <c r="L139" s="835"/>
      <c r="M139" s="460"/>
      <c r="N139" s="162"/>
      <c r="O139" s="125" t="s">
        <v>811</v>
      </c>
      <c r="P139" s="167">
        <v>0.1</v>
      </c>
      <c r="Q139" s="168">
        <v>8.0299999999999996E-2</v>
      </c>
      <c r="R139" s="169">
        <v>1.7000000000000001E-2</v>
      </c>
      <c r="S139" s="129">
        <v>1</v>
      </c>
      <c r="T139" s="125">
        <v>0.13745000000000002</v>
      </c>
      <c r="U139" s="130">
        <v>-32.421195876288657</v>
      </c>
      <c r="V139" s="131">
        <v>91.8</v>
      </c>
      <c r="W139" s="170">
        <v>4.83</v>
      </c>
      <c r="X139" s="133">
        <v>156.59437608247421</v>
      </c>
      <c r="Y139" s="134"/>
      <c r="Z139" s="134"/>
    </row>
    <row r="140" spans="3:26" ht="24">
      <c r="C140" s="162"/>
      <c r="D140" s="490" t="s">
        <v>435</v>
      </c>
      <c r="E140" s="1458">
        <v>0.58333333333333337</v>
      </c>
      <c r="F140" s="1458"/>
      <c r="G140" s="1458"/>
      <c r="H140" s="832"/>
      <c r="I140" s="1474"/>
      <c r="J140" s="1475"/>
      <c r="K140" s="1476"/>
      <c r="L140" s="836">
        <v>0.8125</v>
      </c>
      <c r="M140" s="461">
        <v>0.70833333333333337</v>
      </c>
      <c r="N140" s="162"/>
      <c r="O140" s="135" t="s">
        <v>812</v>
      </c>
      <c r="P140" s="171">
        <v>0.1</v>
      </c>
      <c r="Q140" s="156">
        <v>4.5333333333333337E-2</v>
      </c>
      <c r="R140" s="172">
        <v>1.7000000000000001E-2</v>
      </c>
      <c r="S140" s="139">
        <v>1</v>
      </c>
      <c r="T140" s="173">
        <v>8.5000000000000006E-2</v>
      </c>
      <c r="U140" s="140">
        <v>-20.049484536082474</v>
      </c>
      <c r="V140" s="141">
        <v>91.8</v>
      </c>
      <c r="W140" s="174">
        <v>2.1</v>
      </c>
      <c r="X140" s="143">
        <v>42.103917525773198</v>
      </c>
      <c r="Y140" s="144"/>
      <c r="Z140" s="144"/>
    </row>
    <row r="141" spans="3:26" ht="24">
      <c r="C141" s="162"/>
      <c r="D141" s="490" t="s">
        <v>436</v>
      </c>
      <c r="E141" s="175" t="s">
        <v>29</v>
      </c>
      <c r="F141" s="175" t="s">
        <v>28</v>
      </c>
      <c r="G141" s="175" t="s">
        <v>27</v>
      </c>
      <c r="H141" s="832" t="s">
        <v>793</v>
      </c>
      <c r="I141" s="1474"/>
      <c r="J141" s="1475"/>
      <c r="K141" s="1476"/>
      <c r="L141" s="835"/>
      <c r="M141" s="460"/>
      <c r="N141" s="162"/>
      <c r="O141" s="123"/>
      <c r="P141" s="145"/>
      <c r="Q141" s="123"/>
      <c r="R141" s="123"/>
      <c r="S141" s="123"/>
      <c r="T141" s="123"/>
      <c r="U141" s="146"/>
      <c r="V141" s="147"/>
      <c r="W141" s="123"/>
      <c r="X141" s="146"/>
      <c r="Y141" s="124"/>
      <c r="Z141" s="124"/>
    </row>
    <row r="142" spans="3:26" ht="24">
      <c r="C142" s="162"/>
      <c r="D142" s="497">
        <v>45559</v>
      </c>
      <c r="E142" s="176">
        <v>98.7</v>
      </c>
      <c r="F142" s="176" t="s">
        <v>874</v>
      </c>
      <c r="G142" s="176">
        <v>105.6</v>
      </c>
      <c r="H142" s="837">
        <v>0.58333333333333337</v>
      </c>
      <c r="I142" s="1474"/>
      <c r="J142" s="1475"/>
      <c r="K142" s="1476"/>
      <c r="L142" s="835"/>
      <c r="M142" s="460"/>
      <c r="N142" s="162"/>
      <c r="O142" s="148"/>
      <c r="P142" s="124"/>
      <c r="Q142" s="148"/>
      <c r="R142" s="148"/>
      <c r="S142" s="148"/>
      <c r="T142" s="148"/>
      <c r="U142" s="148"/>
      <c r="V142" s="148"/>
      <c r="W142" s="148"/>
      <c r="X142" s="148"/>
      <c r="Y142" s="124"/>
      <c r="Z142" s="124"/>
    </row>
    <row r="143" spans="3:26" ht="24">
      <c r="C143" s="162"/>
      <c r="D143" s="497">
        <v>45531</v>
      </c>
      <c r="E143" s="176">
        <v>103.3</v>
      </c>
      <c r="F143" s="176" t="s">
        <v>875</v>
      </c>
      <c r="G143" s="176">
        <v>101.9</v>
      </c>
      <c r="H143" s="837">
        <v>0.58333333333333337</v>
      </c>
      <c r="I143" s="1474"/>
      <c r="J143" s="1475"/>
      <c r="K143" s="1476"/>
      <c r="L143" s="835"/>
      <c r="M143" s="460"/>
      <c r="N143" s="162"/>
      <c r="O143" s="115" t="s">
        <v>813</v>
      </c>
      <c r="P143" s="177">
        <v>-0.15</v>
      </c>
      <c r="Q143" s="149">
        <v>4.5333333333333337E-2</v>
      </c>
      <c r="R143" s="150">
        <v>1.7000000000000001E-2</v>
      </c>
      <c r="S143" s="119">
        <v>-1.5</v>
      </c>
      <c r="T143" s="125">
        <v>8.5000000000000006E-2</v>
      </c>
      <c r="U143" s="151">
        <v>-45.11134020618556</v>
      </c>
      <c r="V143" s="152">
        <v>-137.69999999999999</v>
      </c>
      <c r="W143" s="119">
        <v>2</v>
      </c>
      <c r="X143" s="153">
        <v>90.222680412371119</v>
      </c>
      <c r="Y143" s="154"/>
      <c r="Z143" s="154"/>
    </row>
    <row r="144" spans="3:26" ht="24">
      <c r="C144" s="162"/>
      <c r="D144" s="497">
        <v>45503</v>
      </c>
      <c r="E144" s="176">
        <v>100.3</v>
      </c>
      <c r="F144" s="176" t="s">
        <v>876</v>
      </c>
      <c r="G144" s="176">
        <v>97.8</v>
      </c>
      <c r="H144" s="837">
        <v>0.58333333333333337</v>
      </c>
      <c r="I144" s="1474"/>
      <c r="J144" s="1475"/>
      <c r="K144" s="1476"/>
      <c r="L144" s="838"/>
      <c r="M144" s="460"/>
      <c r="N144" s="162"/>
      <c r="O144" s="115"/>
      <c r="P144" s="115"/>
      <c r="Q144" s="149"/>
      <c r="R144" s="150"/>
      <c r="S144" s="119"/>
      <c r="T144" s="163"/>
      <c r="U144" s="151"/>
      <c r="V144" s="152"/>
      <c r="W144" s="119"/>
      <c r="X144" s="153"/>
      <c r="Y144" s="154"/>
      <c r="Z144" s="154"/>
    </row>
    <row r="145" spans="3:26" ht="24">
      <c r="C145" s="162"/>
      <c r="D145" s="497">
        <v>45468</v>
      </c>
      <c r="E145" s="176">
        <v>100.4</v>
      </c>
      <c r="F145" s="176" t="s">
        <v>877</v>
      </c>
      <c r="G145" s="176">
        <v>101.3</v>
      </c>
      <c r="H145" s="837">
        <v>0.58333333333333337</v>
      </c>
      <c r="I145" s="1474"/>
      <c r="J145" s="1475"/>
      <c r="K145" s="1476"/>
      <c r="L145" s="835"/>
      <c r="M145" s="460"/>
      <c r="N145" s="162"/>
      <c r="O145" s="115" t="s">
        <v>816</v>
      </c>
      <c r="P145" s="116"/>
      <c r="Q145" s="149"/>
      <c r="R145" s="150"/>
      <c r="S145" s="119"/>
      <c r="T145" s="116"/>
      <c r="U145" s="151">
        <v>0</v>
      </c>
      <c r="V145" s="152"/>
      <c r="W145" s="119"/>
      <c r="X145" s="153">
        <v>0</v>
      </c>
      <c r="Y145" s="154"/>
      <c r="Z145" s="154"/>
    </row>
    <row r="146" spans="3:26" ht="24">
      <c r="C146" s="162"/>
      <c r="D146" s="497">
        <v>45440</v>
      </c>
      <c r="E146" s="176">
        <v>102</v>
      </c>
      <c r="F146" s="176" t="s">
        <v>878</v>
      </c>
      <c r="G146" s="176">
        <v>97.5</v>
      </c>
      <c r="H146" s="837">
        <v>0.58333333333333337</v>
      </c>
      <c r="I146" s="1474"/>
      <c r="J146" s="1475"/>
      <c r="K146" s="1476"/>
      <c r="L146" s="835"/>
      <c r="M146" s="460"/>
      <c r="N146" s="162"/>
      <c r="O146" s="89"/>
      <c r="P146" s="89"/>
      <c r="Q146" s="89"/>
      <c r="R146" s="89"/>
      <c r="S146" s="89"/>
      <c r="T146" s="89"/>
      <c r="U146" s="89"/>
      <c r="V146" s="89"/>
      <c r="W146" s="89"/>
      <c r="X146" s="89"/>
      <c r="Y146" s="89"/>
      <c r="Z146" s="89"/>
    </row>
    <row r="147" spans="3:26" ht="24">
      <c r="C147" s="162"/>
      <c r="D147" s="497">
        <v>45412</v>
      </c>
      <c r="E147" s="176">
        <v>97</v>
      </c>
      <c r="F147" s="176" t="s">
        <v>879</v>
      </c>
      <c r="G147" s="176">
        <v>103.1</v>
      </c>
      <c r="H147" s="837">
        <v>0.58333333333333337</v>
      </c>
      <c r="I147" s="1477"/>
      <c r="J147" s="1478"/>
      <c r="K147" s="1479"/>
      <c r="L147" s="835"/>
      <c r="M147" s="460"/>
      <c r="N147" s="162"/>
      <c r="O147" s="89"/>
      <c r="P147" s="89"/>
      <c r="Q147" s="89"/>
      <c r="R147" s="89"/>
      <c r="S147" s="89"/>
      <c r="T147" s="89"/>
      <c r="U147" s="89"/>
      <c r="V147" s="89"/>
      <c r="W147" s="89"/>
      <c r="X147" s="89"/>
      <c r="Y147" s="89"/>
      <c r="Z147" s="89"/>
    </row>
    <row r="148" spans="3:26" ht="48">
      <c r="C148" s="162" t="s">
        <v>105</v>
      </c>
      <c r="D148" s="496" t="s">
        <v>30</v>
      </c>
      <c r="E148" s="1460" t="s">
        <v>819</v>
      </c>
      <c r="F148" s="1460"/>
      <c r="G148" s="1460"/>
      <c r="H148" s="832" t="s">
        <v>790</v>
      </c>
      <c r="I148" s="1468" t="s">
        <v>633</v>
      </c>
      <c r="J148" s="1469"/>
      <c r="K148" s="1470"/>
      <c r="L148" s="833" t="s">
        <v>430</v>
      </c>
      <c r="M148" s="373" t="s">
        <v>431</v>
      </c>
      <c r="N148" s="162" t="s">
        <v>105</v>
      </c>
      <c r="O148" s="114" t="s">
        <v>800</v>
      </c>
      <c r="P148" s="114" t="s">
        <v>801</v>
      </c>
      <c r="Q148" s="114" t="s">
        <v>802</v>
      </c>
      <c r="R148" s="114" t="s">
        <v>803</v>
      </c>
      <c r="S148" s="114" t="s">
        <v>804</v>
      </c>
      <c r="T148" s="114" t="s">
        <v>805</v>
      </c>
      <c r="U148" s="114" t="s">
        <v>806</v>
      </c>
      <c r="V148" s="114" t="s">
        <v>807</v>
      </c>
      <c r="W148" s="114" t="s">
        <v>808</v>
      </c>
      <c r="X148" s="114" t="s">
        <v>809</v>
      </c>
      <c r="Y148" s="114" t="s">
        <v>75</v>
      </c>
      <c r="Z148" s="114" t="s">
        <v>75</v>
      </c>
    </row>
    <row r="149" spans="3:26" ht="24">
      <c r="C149" s="162"/>
      <c r="D149" s="490" t="s">
        <v>432</v>
      </c>
      <c r="E149" s="1464"/>
      <c r="F149" s="1464"/>
      <c r="G149" s="1464"/>
      <c r="H149" s="834" t="s">
        <v>794</v>
      </c>
      <c r="I149" s="1471" t="s">
        <v>821</v>
      </c>
      <c r="J149" s="1472"/>
      <c r="K149" s="1473"/>
      <c r="L149" s="835"/>
      <c r="M149" s="460"/>
      <c r="N149" s="162"/>
      <c r="O149" s="115" t="s">
        <v>810</v>
      </c>
      <c r="P149" s="163">
        <v>0.1</v>
      </c>
      <c r="Q149" s="164">
        <v>2.1000000000000001E-2</v>
      </c>
      <c r="R149" s="165">
        <v>1.7000000000000001E-2</v>
      </c>
      <c r="S149" s="119"/>
      <c r="T149" s="115">
        <v>4.8500000000000001E-2</v>
      </c>
      <c r="U149" s="164">
        <v>-11.44</v>
      </c>
      <c r="V149" s="163">
        <v>91.8</v>
      </c>
      <c r="W149" s="166">
        <v>2</v>
      </c>
      <c r="X149" s="153">
        <v>22.88</v>
      </c>
      <c r="Y149" s="120"/>
      <c r="Z149" s="120"/>
    </row>
    <row r="150" spans="3:26" ht="24">
      <c r="C150" s="162"/>
      <c r="D150" s="490" t="s">
        <v>433</v>
      </c>
      <c r="E150" s="1485" t="s">
        <v>820</v>
      </c>
      <c r="F150" s="1485"/>
      <c r="G150" s="1485"/>
      <c r="H150" s="834" t="s">
        <v>795</v>
      </c>
      <c r="I150" s="1474"/>
      <c r="J150" s="1475"/>
      <c r="K150" s="1476"/>
      <c r="L150" s="835"/>
      <c r="M150" s="460"/>
      <c r="N150" s="162"/>
      <c r="O150" s="121"/>
      <c r="P150" s="121"/>
      <c r="Q150" s="121"/>
      <c r="R150" s="122"/>
      <c r="S150" s="123"/>
      <c r="T150" s="121"/>
      <c r="U150" s="121"/>
      <c r="V150" s="121"/>
      <c r="W150" s="123"/>
      <c r="X150" s="123"/>
      <c r="Y150" s="124"/>
      <c r="Z150" s="124"/>
    </row>
    <row r="151" spans="3:26" ht="24">
      <c r="C151" s="162"/>
      <c r="D151" s="490" t="s">
        <v>434</v>
      </c>
      <c r="E151" s="1485" t="s">
        <v>634</v>
      </c>
      <c r="F151" s="1485"/>
      <c r="G151" s="1485"/>
      <c r="H151" s="832"/>
      <c r="I151" s="1474"/>
      <c r="J151" s="1475"/>
      <c r="K151" s="1476"/>
      <c r="L151" s="835"/>
      <c r="M151" s="460"/>
      <c r="N151" s="162"/>
      <c r="O151" s="125" t="s">
        <v>811</v>
      </c>
      <c r="P151" s="167">
        <v>0.1</v>
      </c>
      <c r="Q151" s="168">
        <v>0.12959999999999999</v>
      </c>
      <c r="R151" s="169">
        <v>1.6E-2</v>
      </c>
      <c r="S151" s="129">
        <v>1</v>
      </c>
      <c r="T151" s="125">
        <v>0.21039999999999998</v>
      </c>
      <c r="U151" s="130">
        <v>-49.628371134020611</v>
      </c>
      <c r="V151" s="131">
        <v>91.8</v>
      </c>
      <c r="W151" s="170">
        <v>2.73</v>
      </c>
      <c r="X151" s="133">
        <v>135.48545319587626</v>
      </c>
      <c r="Y151" s="134"/>
      <c r="Z151" s="134">
        <v>4.4350000000000005</v>
      </c>
    </row>
    <row r="152" spans="3:26" ht="24">
      <c r="C152" s="162"/>
      <c r="D152" s="490" t="s">
        <v>435</v>
      </c>
      <c r="E152" s="1458">
        <v>0.58333333333333337</v>
      </c>
      <c r="F152" s="1458"/>
      <c r="G152" s="1458"/>
      <c r="H152" s="832"/>
      <c r="I152" s="1474"/>
      <c r="J152" s="1475"/>
      <c r="K152" s="1476"/>
      <c r="L152" s="836">
        <v>0.8125</v>
      </c>
      <c r="M152" s="461">
        <v>0.70833333333333337</v>
      </c>
      <c r="N152" s="162"/>
      <c r="O152" s="135" t="s">
        <v>812</v>
      </c>
      <c r="P152" s="171">
        <v>0.1</v>
      </c>
      <c r="Q152" s="156">
        <v>6.1533333333333329E-2</v>
      </c>
      <c r="R152" s="172">
        <v>1.6E-2</v>
      </c>
      <c r="S152" s="139">
        <v>1</v>
      </c>
      <c r="T152" s="173">
        <v>0.10829999999999999</v>
      </c>
      <c r="U152" s="140">
        <v>-25.545402061855665</v>
      </c>
      <c r="V152" s="141">
        <v>91.8</v>
      </c>
      <c r="W152" s="174">
        <v>3.45</v>
      </c>
      <c r="X152" s="143">
        <v>88.13163711340205</v>
      </c>
      <c r="Y152" s="144"/>
      <c r="Z152" s="144"/>
    </row>
    <row r="153" spans="3:26" ht="24">
      <c r="C153" s="162"/>
      <c r="D153" s="490" t="s">
        <v>436</v>
      </c>
      <c r="E153" s="175" t="s">
        <v>29</v>
      </c>
      <c r="F153" s="175" t="s">
        <v>28</v>
      </c>
      <c r="G153" s="175" t="s">
        <v>27</v>
      </c>
      <c r="H153" s="832" t="s">
        <v>793</v>
      </c>
      <c r="I153" s="1474"/>
      <c r="J153" s="1475"/>
      <c r="K153" s="1476"/>
      <c r="L153" s="835"/>
      <c r="M153" s="460"/>
      <c r="N153" s="162"/>
      <c r="O153" s="123"/>
      <c r="P153" s="145"/>
      <c r="Q153" s="123"/>
      <c r="R153" s="123"/>
      <c r="S153" s="123"/>
      <c r="T153" s="123"/>
      <c r="U153" s="146"/>
      <c r="V153" s="147"/>
      <c r="W153" s="123"/>
      <c r="X153" s="146"/>
      <c r="Y153" s="124"/>
      <c r="Z153" s="124"/>
    </row>
    <row r="154" spans="3:26" ht="24">
      <c r="C154" s="162"/>
      <c r="D154" s="497">
        <v>45566</v>
      </c>
      <c r="E154" s="178" t="s">
        <v>634</v>
      </c>
      <c r="F154" s="178" t="s">
        <v>880</v>
      </c>
      <c r="G154" s="178" t="s">
        <v>881</v>
      </c>
      <c r="H154" s="837">
        <v>0.58333333333333337</v>
      </c>
      <c r="I154" s="1474"/>
      <c r="J154" s="1475"/>
      <c r="K154" s="1476"/>
      <c r="L154" s="835"/>
      <c r="M154" s="460"/>
      <c r="N154" s="162"/>
      <c r="O154" s="148"/>
      <c r="P154" s="124"/>
      <c r="Q154" s="148"/>
      <c r="R154" s="148"/>
      <c r="S154" s="148"/>
      <c r="T154" s="148"/>
      <c r="U154" s="148"/>
      <c r="V154" s="148"/>
      <c r="W154" s="148"/>
      <c r="X154" s="148"/>
      <c r="Y154" s="124"/>
      <c r="Z154" s="124"/>
    </row>
    <row r="155" spans="3:26" ht="24">
      <c r="C155" s="162"/>
      <c r="D155" s="497">
        <v>45539</v>
      </c>
      <c r="E155" s="178" t="s">
        <v>403</v>
      </c>
      <c r="F155" s="178" t="s">
        <v>527</v>
      </c>
      <c r="G155" s="178" t="s">
        <v>528</v>
      </c>
      <c r="H155" s="837">
        <v>0.58333333333333337</v>
      </c>
      <c r="I155" s="1474"/>
      <c r="J155" s="1475"/>
      <c r="K155" s="1476"/>
      <c r="L155" s="835"/>
      <c r="M155" s="460"/>
      <c r="N155" s="162"/>
      <c r="O155" s="115" t="s">
        <v>813</v>
      </c>
      <c r="P155" s="177">
        <v>-0.15</v>
      </c>
      <c r="Q155" s="149">
        <v>6.1533333333333329E-2</v>
      </c>
      <c r="R155" s="150">
        <v>1.6E-2</v>
      </c>
      <c r="S155" s="119">
        <v>-1.5</v>
      </c>
      <c r="T155" s="125">
        <v>0.10829999999999999</v>
      </c>
      <c r="U155" s="151">
        <v>-57.477154639175232</v>
      </c>
      <c r="V155" s="152">
        <v>-137.69999999999999</v>
      </c>
      <c r="W155" s="119">
        <v>2</v>
      </c>
      <c r="X155" s="153">
        <v>114.95430927835046</v>
      </c>
      <c r="Y155" s="154"/>
      <c r="Z155" s="154"/>
    </row>
    <row r="156" spans="3:26" ht="24">
      <c r="C156" s="162"/>
      <c r="D156" s="497">
        <v>45503</v>
      </c>
      <c r="E156" s="178" t="s">
        <v>279</v>
      </c>
      <c r="F156" s="178" t="s">
        <v>530</v>
      </c>
      <c r="G156" s="178" t="s">
        <v>531</v>
      </c>
      <c r="H156" s="837">
        <v>0.58333333333333337</v>
      </c>
      <c r="I156" s="1474"/>
      <c r="J156" s="1475"/>
      <c r="K156" s="1476"/>
      <c r="L156" s="838"/>
      <c r="M156" s="460"/>
      <c r="N156" s="162"/>
      <c r="O156" s="115"/>
      <c r="P156" s="115"/>
      <c r="Q156" s="149"/>
      <c r="R156" s="150"/>
      <c r="S156" s="119"/>
      <c r="T156" s="163"/>
      <c r="U156" s="151"/>
      <c r="V156" s="152"/>
      <c r="W156" s="119"/>
      <c r="X156" s="153"/>
      <c r="Y156" s="154"/>
      <c r="Z156" s="154"/>
    </row>
    <row r="157" spans="3:26" ht="24">
      <c r="C157" s="162"/>
      <c r="D157" s="497">
        <v>45475</v>
      </c>
      <c r="E157" s="178" t="s">
        <v>111</v>
      </c>
      <c r="F157" s="178" t="s">
        <v>532</v>
      </c>
      <c r="G157" s="178" t="s">
        <v>533</v>
      </c>
      <c r="H157" s="837">
        <v>0.58333333333333337</v>
      </c>
      <c r="I157" s="1474"/>
      <c r="J157" s="1475"/>
      <c r="K157" s="1476"/>
      <c r="L157" s="835"/>
      <c r="M157" s="460"/>
      <c r="N157" s="162"/>
      <c r="O157" s="115" t="s">
        <v>816</v>
      </c>
      <c r="P157" s="116"/>
      <c r="Q157" s="149"/>
      <c r="R157" s="150"/>
      <c r="S157" s="119"/>
      <c r="T157" s="116"/>
      <c r="U157" s="151">
        <v>0</v>
      </c>
      <c r="V157" s="152"/>
      <c r="W157" s="119"/>
      <c r="X157" s="153">
        <v>0</v>
      </c>
      <c r="Y157" s="154"/>
      <c r="Z157" s="154"/>
    </row>
    <row r="158" spans="3:26" ht="24">
      <c r="C158" s="162"/>
      <c r="D158" s="497">
        <v>45447</v>
      </c>
      <c r="E158" s="178" t="s">
        <v>18</v>
      </c>
      <c r="F158" s="178" t="s">
        <v>535</v>
      </c>
      <c r="G158" s="178" t="s">
        <v>536</v>
      </c>
      <c r="H158" s="837">
        <v>0.58333333333333337</v>
      </c>
      <c r="I158" s="1474"/>
      <c r="J158" s="1475"/>
      <c r="K158" s="1476"/>
      <c r="L158" s="835"/>
      <c r="M158" s="460"/>
      <c r="N158" s="162"/>
      <c r="O158" s="89"/>
      <c r="P158" s="89"/>
      <c r="Q158" s="89"/>
      <c r="R158" s="89"/>
      <c r="S158" s="89"/>
      <c r="T158" s="89"/>
      <c r="U158" s="89"/>
      <c r="V158" s="89"/>
      <c r="W158" s="89"/>
      <c r="X158" s="89"/>
      <c r="Y158" s="89"/>
      <c r="Z158" s="89"/>
    </row>
    <row r="159" spans="3:26" ht="24">
      <c r="C159" s="162"/>
      <c r="D159" s="497">
        <v>45413</v>
      </c>
      <c r="E159" s="178" t="s">
        <v>537</v>
      </c>
      <c r="F159" s="178" t="s">
        <v>538</v>
      </c>
      <c r="G159" s="178" t="s">
        <v>539</v>
      </c>
      <c r="H159" s="837">
        <v>0.58333333333333337</v>
      </c>
      <c r="I159" s="1477"/>
      <c r="J159" s="1478"/>
      <c r="K159" s="1479"/>
      <c r="L159" s="835"/>
      <c r="M159" s="460"/>
      <c r="N159" s="162"/>
      <c r="O159" s="89"/>
      <c r="P159" s="89"/>
      <c r="Q159" s="89"/>
      <c r="R159" s="89"/>
      <c r="S159" s="89"/>
      <c r="T159" s="89"/>
      <c r="U159" s="89"/>
      <c r="V159" s="89"/>
      <c r="W159" s="89"/>
      <c r="X159" s="89"/>
      <c r="Y159" s="89"/>
      <c r="Z159" s="89"/>
    </row>
    <row r="160" spans="3:26" ht="48">
      <c r="C160" s="162" t="s">
        <v>105</v>
      </c>
      <c r="D160" s="496" t="s">
        <v>30</v>
      </c>
      <c r="E160" s="1460" t="s">
        <v>824</v>
      </c>
      <c r="F160" s="1460"/>
      <c r="G160" s="1460"/>
      <c r="H160" s="832" t="s">
        <v>790</v>
      </c>
      <c r="I160" s="1468" t="s">
        <v>633</v>
      </c>
      <c r="J160" s="1469"/>
      <c r="K160" s="1470"/>
      <c r="L160" s="833" t="s">
        <v>430</v>
      </c>
      <c r="M160" s="373" t="s">
        <v>431</v>
      </c>
      <c r="N160" s="162" t="s">
        <v>105</v>
      </c>
      <c r="O160" s="114" t="s">
        <v>800</v>
      </c>
      <c r="P160" s="114" t="s">
        <v>801</v>
      </c>
      <c r="Q160" s="114" t="s">
        <v>802</v>
      </c>
      <c r="R160" s="114" t="s">
        <v>803</v>
      </c>
      <c r="S160" s="114" t="s">
        <v>804</v>
      </c>
      <c r="T160" s="114" t="s">
        <v>805</v>
      </c>
      <c r="U160" s="114" t="s">
        <v>806</v>
      </c>
      <c r="V160" s="114" t="s">
        <v>807</v>
      </c>
      <c r="W160" s="114" t="s">
        <v>808</v>
      </c>
      <c r="X160" s="114" t="s">
        <v>809</v>
      </c>
      <c r="Y160" s="114" t="s">
        <v>75</v>
      </c>
      <c r="Z160" s="114" t="s">
        <v>75</v>
      </c>
    </row>
    <row r="161" spans="3:26" ht="24">
      <c r="C161" s="162"/>
      <c r="D161" s="490" t="s">
        <v>432</v>
      </c>
      <c r="E161" s="1464"/>
      <c r="F161" s="1464"/>
      <c r="G161" s="1464"/>
      <c r="H161" s="834" t="s">
        <v>904</v>
      </c>
      <c r="I161" s="1471" t="s">
        <v>825</v>
      </c>
      <c r="J161" s="1472"/>
      <c r="K161" s="1473"/>
      <c r="L161" s="835"/>
      <c r="M161" s="460"/>
      <c r="N161" s="162"/>
      <c r="O161" s="115" t="s">
        <v>810</v>
      </c>
      <c r="P161" s="163">
        <v>0.1</v>
      </c>
      <c r="Q161" s="164">
        <v>1.2999999999999999E-2</v>
      </c>
      <c r="R161" s="165">
        <v>2.199999999999136E-2</v>
      </c>
      <c r="S161" s="119"/>
      <c r="T161" s="115">
        <v>4.1499999999991363E-2</v>
      </c>
      <c r="U161" s="164">
        <v>-10.74</v>
      </c>
      <c r="V161" s="163">
        <v>60.23</v>
      </c>
      <c r="W161" s="163"/>
      <c r="X161" s="153"/>
      <c r="Y161" s="120"/>
      <c r="Z161" s="120"/>
    </row>
    <row r="162" spans="3:26" ht="24">
      <c r="C162" s="162"/>
      <c r="D162" s="490" t="s">
        <v>433</v>
      </c>
      <c r="E162" s="1485">
        <v>2.3E-2</v>
      </c>
      <c r="F162" s="1485"/>
      <c r="G162" s="1485"/>
      <c r="H162" s="834" t="s">
        <v>905</v>
      </c>
      <c r="I162" s="1474"/>
      <c r="J162" s="1475"/>
      <c r="K162" s="1476"/>
      <c r="L162" s="835"/>
      <c r="M162" s="460"/>
      <c r="N162" s="162"/>
      <c r="O162" s="121"/>
      <c r="P162" s="121"/>
      <c r="Q162" s="121"/>
      <c r="R162" s="122"/>
      <c r="S162" s="123"/>
      <c r="T162" s="121"/>
      <c r="U162" s="121"/>
      <c r="V162" s="121"/>
      <c r="W162" s="121"/>
      <c r="X162" s="123"/>
      <c r="Y162" s="124"/>
      <c r="Z162" s="124"/>
    </row>
    <row r="163" spans="3:26" ht="24">
      <c r="C163" s="162"/>
      <c r="D163" s="490" t="s">
        <v>434</v>
      </c>
      <c r="E163" s="1485">
        <v>3.7999999999999999E-2</v>
      </c>
      <c r="F163" s="1485"/>
      <c r="G163" s="1485"/>
      <c r="H163" s="832"/>
      <c r="I163" s="1474"/>
      <c r="J163" s="1475"/>
      <c r="K163" s="1476"/>
      <c r="L163" s="835"/>
      <c r="M163" s="460"/>
      <c r="N163" s="162"/>
      <c r="O163" s="125" t="s">
        <v>811</v>
      </c>
      <c r="P163" s="167">
        <v>0.1</v>
      </c>
      <c r="Q163" s="168">
        <v>9.2700000000000005E-2</v>
      </c>
      <c r="R163" s="169">
        <v>2.4E-2</v>
      </c>
      <c r="S163" s="179">
        <v>1</v>
      </c>
      <c r="T163" s="125">
        <v>0.16305</v>
      </c>
      <c r="U163" s="130">
        <v>-42.196554216876251</v>
      </c>
      <c r="V163" s="131">
        <v>91.8</v>
      </c>
      <c r="W163" s="180">
        <v>4.95</v>
      </c>
      <c r="X163" s="133">
        <v>208.87294337353745</v>
      </c>
      <c r="Y163" s="134"/>
      <c r="Z163" s="134"/>
    </row>
    <row r="164" spans="3:26" ht="24">
      <c r="C164" s="162"/>
      <c r="D164" s="490" t="s">
        <v>435</v>
      </c>
      <c r="E164" s="1458">
        <v>2.0833333333333343E-2</v>
      </c>
      <c r="F164" s="1458"/>
      <c r="G164" s="1458"/>
      <c r="H164" s="832"/>
      <c r="I164" s="1474"/>
      <c r="J164" s="1475"/>
      <c r="K164" s="1476"/>
      <c r="L164" s="836">
        <v>0.25</v>
      </c>
      <c r="M164" s="461">
        <v>0.14583333333333331</v>
      </c>
      <c r="N164" s="162"/>
      <c r="O164" s="135" t="s">
        <v>812</v>
      </c>
      <c r="P164" s="171">
        <v>0.1</v>
      </c>
      <c r="Q164" s="156">
        <v>0.10253333333333335</v>
      </c>
      <c r="R164" s="172">
        <v>2.4E-2</v>
      </c>
      <c r="S164" s="181">
        <v>1</v>
      </c>
      <c r="T164" s="173">
        <v>0.17780000000000001</v>
      </c>
      <c r="U164" s="140">
        <v>-46.0137831325397</v>
      </c>
      <c r="V164" s="141">
        <v>91.8</v>
      </c>
      <c r="W164" s="182">
        <v>3.5933333333333337</v>
      </c>
      <c r="X164" s="143">
        <v>165.34286072292602</v>
      </c>
      <c r="Y164" s="144"/>
      <c r="Z164" s="144"/>
    </row>
    <row r="165" spans="3:26" ht="24">
      <c r="C165" s="162"/>
      <c r="D165" s="490" t="s">
        <v>436</v>
      </c>
      <c r="E165" s="175" t="s">
        <v>29</v>
      </c>
      <c r="F165" s="175" t="s">
        <v>28</v>
      </c>
      <c r="G165" s="175" t="s">
        <v>27</v>
      </c>
      <c r="H165" s="832" t="s">
        <v>793</v>
      </c>
      <c r="I165" s="1474"/>
      <c r="J165" s="1475"/>
      <c r="K165" s="1476"/>
      <c r="L165" s="835"/>
      <c r="M165" s="460"/>
      <c r="N165" s="162"/>
      <c r="O165" s="123"/>
      <c r="P165" s="145"/>
      <c r="Q165" s="123"/>
      <c r="R165" s="123"/>
      <c r="S165" s="183"/>
      <c r="T165" s="123"/>
      <c r="U165" s="146"/>
      <c r="V165" s="147"/>
      <c r="W165" s="184"/>
      <c r="X165" s="146"/>
      <c r="Y165" s="124"/>
      <c r="Z165" s="124"/>
    </row>
    <row r="166" spans="3:26" ht="24">
      <c r="C166" s="162"/>
      <c r="D166" s="497">
        <v>45504</v>
      </c>
      <c r="E166" s="185">
        <v>3.7999999999999999E-2</v>
      </c>
      <c r="F166" s="185" t="s">
        <v>632</v>
      </c>
      <c r="G166" s="185">
        <v>3.5999999999999997E-2</v>
      </c>
      <c r="H166" s="837">
        <v>6.25E-2</v>
      </c>
      <c r="I166" s="1474"/>
      <c r="J166" s="1475"/>
      <c r="K166" s="1476"/>
      <c r="L166" s="835"/>
      <c r="M166" s="460"/>
      <c r="N166" s="162"/>
      <c r="O166" s="148"/>
      <c r="P166" s="124"/>
      <c r="Q166" s="148"/>
      <c r="R166" s="148"/>
      <c r="S166" s="183"/>
      <c r="T166" s="148"/>
      <c r="U166" s="148"/>
      <c r="V166" s="148"/>
      <c r="W166" s="186"/>
      <c r="X166" s="148"/>
      <c r="Y166" s="124"/>
      <c r="Z166" s="124"/>
    </row>
    <row r="167" spans="3:26" ht="24">
      <c r="C167" s="162"/>
      <c r="D167" s="497">
        <v>45406</v>
      </c>
      <c r="E167" s="185">
        <v>3.5999999999999997E-2</v>
      </c>
      <c r="F167" s="185" t="s">
        <v>882</v>
      </c>
      <c r="G167" s="185">
        <v>4.1000000000000002E-2</v>
      </c>
      <c r="H167" s="837">
        <v>6.25E-2</v>
      </c>
      <c r="I167" s="1474"/>
      <c r="J167" s="1475"/>
      <c r="K167" s="1476"/>
      <c r="L167" s="835"/>
      <c r="M167" s="460"/>
      <c r="N167" s="162"/>
      <c r="O167" s="115" t="s">
        <v>813</v>
      </c>
      <c r="P167" s="187">
        <v>0.1</v>
      </c>
      <c r="Q167" s="149">
        <v>0.10253333333333335</v>
      </c>
      <c r="R167" s="150">
        <v>2.4E-2</v>
      </c>
      <c r="S167" s="187">
        <v>1</v>
      </c>
      <c r="T167" s="188">
        <v>0.17780000000000001</v>
      </c>
      <c r="U167" s="151">
        <v>-46.0137831325397</v>
      </c>
      <c r="V167" s="152">
        <v>91.8</v>
      </c>
      <c r="W167" s="189">
        <v>3</v>
      </c>
      <c r="X167" s="153">
        <v>138.04134939761911</v>
      </c>
      <c r="Y167" s="154"/>
      <c r="Z167" s="154"/>
    </row>
    <row r="168" spans="3:26" ht="24">
      <c r="C168" s="162"/>
      <c r="D168" s="497">
        <v>45322</v>
      </c>
      <c r="E168" s="185">
        <v>4.1000000000000002E-2</v>
      </c>
      <c r="F168" s="185" t="s">
        <v>883</v>
      </c>
      <c r="G168" s="185">
        <v>5.3999999999999999E-2</v>
      </c>
      <c r="H168" s="837">
        <v>2.0833333333333336E-2</v>
      </c>
      <c r="I168" s="1474"/>
      <c r="J168" s="1475"/>
      <c r="K168" s="1476"/>
      <c r="L168" s="838"/>
      <c r="M168" s="460"/>
      <c r="N168" s="162"/>
      <c r="O168" s="115"/>
      <c r="P168" s="116"/>
      <c r="Q168" s="149"/>
      <c r="R168" s="150"/>
      <c r="S168" s="139"/>
      <c r="T168" s="116"/>
      <c r="U168" s="151"/>
      <c r="V168" s="152"/>
      <c r="W168" s="119"/>
      <c r="X168" s="153"/>
      <c r="Y168" s="154"/>
      <c r="Z168" s="154"/>
    </row>
    <row r="169" spans="3:26" ht="24">
      <c r="C169" s="162"/>
      <c r="D169" s="497">
        <v>45224</v>
      </c>
      <c r="E169" s="185">
        <v>5.3999999999999999E-2</v>
      </c>
      <c r="F169" s="185" t="s">
        <v>884</v>
      </c>
      <c r="G169" s="185">
        <v>0.06</v>
      </c>
      <c r="H169" s="837">
        <v>2.0833333333333336E-2</v>
      </c>
      <c r="I169" s="1474"/>
      <c r="J169" s="1475"/>
      <c r="K169" s="1476"/>
      <c r="L169" s="835"/>
      <c r="M169" s="460"/>
      <c r="N169" s="162"/>
      <c r="O169" s="115"/>
      <c r="P169" s="116"/>
      <c r="Q169" s="149"/>
      <c r="R169" s="150"/>
      <c r="S169" s="119"/>
      <c r="T169" s="116"/>
      <c r="U169" s="151"/>
      <c r="V169" s="152"/>
      <c r="W169" s="119"/>
      <c r="X169" s="153"/>
      <c r="Y169" s="154"/>
      <c r="Z169" s="154"/>
    </row>
    <row r="170" spans="3:26" ht="24">
      <c r="C170" s="162"/>
      <c r="D170" s="497">
        <v>45133</v>
      </c>
      <c r="E170" s="185">
        <v>0.06</v>
      </c>
      <c r="F170" s="185" t="s">
        <v>885</v>
      </c>
      <c r="G170" s="185">
        <v>7.0000000000000007E-2</v>
      </c>
      <c r="H170" s="837">
        <v>6.25E-2</v>
      </c>
      <c r="I170" s="1474"/>
      <c r="J170" s="1475"/>
      <c r="K170" s="1476"/>
      <c r="L170" s="835"/>
      <c r="M170" s="460"/>
      <c r="N170" s="162"/>
      <c r="O170" s="89"/>
      <c r="P170" s="89"/>
      <c r="Q170" s="89"/>
      <c r="R170" s="89"/>
      <c r="S170" s="89"/>
      <c r="T170" s="89"/>
      <c r="U170" s="89"/>
      <c r="V170" s="89"/>
      <c r="W170" s="89"/>
      <c r="X170" s="89"/>
      <c r="Y170" s="89"/>
      <c r="Z170" s="89"/>
    </row>
    <row r="171" spans="3:26" ht="24">
      <c r="C171" s="162"/>
      <c r="D171" s="497">
        <v>45042</v>
      </c>
      <c r="E171" s="185">
        <v>7.0000000000000007E-2</v>
      </c>
      <c r="F171" s="185" t="s">
        <v>886</v>
      </c>
      <c r="G171" s="185">
        <v>7.8E-2</v>
      </c>
      <c r="H171" s="837">
        <v>6.25E-2</v>
      </c>
      <c r="I171" s="1477"/>
      <c r="J171" s="1478"/>
      <c r="K171" s="1479"/>
      <c r="L171" s="835"/>
      <c r="M171" s="460"/>
      <c r="N171" s="162"/>
      <c r="O171" s="89"/>
      <c r="P171" s="89"/>
      <c r="Q171" s="89"/>
      <c r="R171" s="89"/>
      <c r="S171" s="89"/>
      <c r="T171" s="89"/>
      <c r="U171" s="89"/>
      <c r="V171" s="89"/>
      <c r="W171" s="89"/>
      <c r="X171" s="89"/>
      <c r="Y171" s="89"/>
      <c r="Z171" s="89"/>
    </row>
    <row r="172" spans="3:26" ht="48">
      <c r="C172" s="162" t="s">
        <v>105</v>
      </c>
      <c r="D172" s="496" t="s">
        <v>30</v>
      </c>
      <c r="E172" s="1460" t="s">
        <v>826</v>
      </c>
      <c r="F172" s="1460"/>
      <c r="G172" s="1460"/>
      <c r="H172" s="832" t="s">
        <v>790</v>
      </c>
      <c r="I172" s="1468" t="s">
        <v>633</v>
      </c>
      <c r="J172" s="1469"/>
      <c r="K172" s="1470"/>
      <c r="L172" s="833" t="s">
        <v>430</v>
      </c>
      <c r="M172" s="373" t="s">
        <v>431</v>
      </c>
      <c r="N172" s="162" t="s">
        <v>105</v>
      </c>
      <c r="O172" s="114" t="s">
        <v>800</v>
      </c>
      <c r="P172" s="114" t="s">
        <v>801</v>
      </c>
      <c r="Q172" s="114" t="s">
        <v>802</v>
      </c>
      <c r="R172" s="114" t="s">
        <v>803</v>
      </c>
      <c r="S172" s="114" t="s">
        <v>804</v>
      </c>
      <c r="T172" s="114" t="s">
        <v>805</v>
      </c>
      <c r="U172" s="114" t="s">
        <v>806</v>
      </c>
      <c r="V172" s="114" t="s">
        <v>807</v>
      </c>
      <c r="W172" s="114" t="s">
        <v>808</v>
      </c>
      <c r="X172" s="114" t="s">
        <v>809</v>
      </c>
      <c r="Y172" s="114" t="s">
        <v>75</v>
      </c>
      <c r="Z172" s="114" t="s">
        <v>75</v>
      </c>
    </row>
    <row r="173" spans="3:26" ht="24">
      <c r="C173" s="162"/>
      <c r="D173" s="490" t="s">
        <v>432</v>
      </c>
      <c r="E173" s="1464"/>
      <c r="F173" s="1464"/>
      <c r="G173" s="1464"/>
      <c r="H173" s="834" t="s">
        <v>906</v>
      </c>
      <c r="I173" s="1471" t="s">
        <v>827</v>
      </c>
      <c r="J173" s="1472"/>
      <c r="K173" s="1473"/>
      <c r="L173" s="835"/>
      <c r="M173" s="460"/>
      <c r="N173" s="162"/>
      <c r="O173" s="115" t="s">
        <v>810</v>
      </c>
      <c r="P173" s="163">
        <v>0.1</v>
      </c>
      <c r="Q173" s="164">
        <v>2.1999999999999999E-2</v>
      </c>
      <c r="R173" s="165">
        <v>3.0000000000001137E-2</v>
      </c>
      <c r="S173" s="119"/>
      <c r="T173" s="115">
        <v>6.3000000000001138E-2</v>
      </c>
      <c r="U173" s="164">
        <v>-15.02</v>
      </c>
      <c r="V173" s="163">
        <v>99.37</v>
      </c>
      <c r="W173" s="163"/>
      <c r="X173" s="153"/>
      <c r="Y173" s="120"/>
      <c r="Z173" s="120"/>
    </row>
    <row r="174" spans="3:26" ht="24">
      <c r="C174" s="162"/>
      <c r="D174" s="490" t="s">
        <v>433</v>
      </c>
      <c r="E174" s="1485">
        <v>0</v>
      </c>
      <c r="F174" s="1485"/>
      <c r="G174" s="1485"/>
      <c r="H174" s="834" t="s">
        <v>907</v>
      </c>
      <c r="I174" s="1474"/>
      <c r="J174" s="1475"/>
      <c r="K174" s="1476"/>
      <c r="L174" s="835"/>
      <c r="M174" s="460"/>
      <c r="N174" s="162"/>
      <c r="O174" s="121"/>
      <c r="P174" s="121"/>
      <c r="Q174" s="121"/>
      <c r="R174" s="122"/>
      <c r="S174" s="123"/>
      <c r="T174" s="121"/>
      <c r="U174" s="121"/>
      <c r="V174" s="121"/>
      <c r="W174" s="121"/>
      <c r="X174" s="123"/>
      <c r="Y174" s="124"/>
      <c r="Z174" s="124"/>
    </row>
    <row r="175" spans="3:26" ht="24">
      <c r="C175" s="162"/>
      <c r="D175" s="490" t="s">
        <v>434</v>
      </c>
      <c r="E175" s="1485">
        <v>-1E-3</v>
      </c>
      <c r="F175" s="1485"/>
      <c r="G175" s="1485"/>
      <c r="H175" s="832"/>
      <c r="I175" s="1474"/>
      <c r="J175" s="1475"/>
      <c r="K175" s="1476"/>
      <c r="L175" s="835"/>
      <c r="M175" s="460"/>
      <c r="N175" s="162"/>
      <c r="O175" s="125" t="s">
        <v>811</v>
      </c>
      <c r="P175" s="167">
        <v>0.1</v>
      </c>
      <c r="Q175" s="168">
        <v>5.0599999999999999E-2</v>
      </c>
      <c r="R175" s="169">
        <v>3.0000000000001137E-2</v>
      </c>
      <c r="S175" s="179">
        <v>1</v>
      </c>
      <c r="T175" s="125">
        <v>0.10590000000000113</v>
      </c>
      <c r="U175" s="130">
        <v>-25.247904761904575</v>
      </c>
      <c r="V175" s="131">
        <v>99.37</v>
      </c>
      <c r="W175" s="180">
        <v>4.26</v>
      </c>
      <c r="X175" s="133">
        <v>107.55607428571348</v>
      </c>
      <c r="Y175" s="134"/>
      <c r="Z175" s="134">
        <v>4.4350000000000005</v>
      </c>
    </row>
    <row r="176" spans="3:26" ht="24">
      <c r="C176" s="162"/>
      <c r="D176" s="490" t="s">
        <v>435</v>
      </c>
      <c r="E176" s="1458">
        <v>0.375</v>
      </c>
      <c r="F176" s="1458"/>
      <c r="G176" s="1458"/>
      <c r="H176" s="832"/>
      <c r="I176" s="1474"/>
      <c r="J176" s="1475"/>
      <c r="K176" s="1476"/>
      <c r="L176" s="836">
        <v>0.60416666666666663</v>
      </c>
      <c r="M176" s="461">
        <v>0.49999999999999994</v>
      </c>
      <c r="N176" s="162"/>
      <c r="O176" s="135" t="s">
        <v>812</v>
      </c>
      <c r="P176" s="171">
        <v>0.1</v>
      </c>
      <c r="Q176" s="156">
        <v>6.1533333333332579E-2</v>
      </c>
      <c r="R176" s="172">
        <v>3.0000000000001137E-2</v>
      </c>
      <c r="S176" s="181">
        <v>0.5</v>
      </c>
      <c r="T176" s="173">
        <v>0.12230000000000001</v>
      </c>
      <c r="U176" s="140">
        <v>-14.578936507936245</v>
      </c>
      <c r="V176" s="141">
        <v>99.37</v>
      </c>
      <c r="W176" s="182">
        <v>2.15</v>
      </c>
      <c r="X176" s="143">
        <v>31.344713492062926</v>
      </c>
      <c r="Y176" s="144"/>
      <c r="Z176" s="144"/>
    </row>
    <row r="177" spans="3:26" ht="24">
      <c r="C177" s="162"/>
      <c r="D177" s="490" t="s">
        <v>436</v>
      </c>
      <c r="E177" s="175" t="s">
        <v>29</v>
      </c>
      <c r="F177" s="175" t="s">
        <v>28</v>
      </c>
      <c r="G177" s="175" t="s">
        <v>27</v>
      </c>
      <c r="H177" s="832" t="s">
        <v>793</v>
      </c>
      <c r="I177" s="1474"/>
      <c r="J177" s="1475"/>
      <c r="K177" s="1476"/>
      <c r="L177" s="839"/>
      <c r="M177" s="460"/>
      <c r="N177" s="162"/>
      <c r="O177" s="123"/>
      <c r="P177" s="145"/>
      <c r="Q177" s="123"/>
      <c r="R177" s="123"/>
      <c r="S177" s="183"/>
      <c r="T177" s="123"/>
      <c r="U177" s="146"/>
      <c r="V177" s="147"/>
      <c r="W177" s="184"/>
      <c r="X177" s="146"/>
      <c r="Y177" s="124"/>
      <c r="Z177" s="124"/>
    </row>
    <row r="178" spans="3:26" ht="24">
      <c r="C178" s="162"/>
      <c r="D178" s="497">
        <v>45531</v>
      </c>
      <c r="E178" s="178">
        <v>-1E-3</v>
      </c>
      <c r="F178" s="178" t="s">
        <v>456</v>
      </c>
      <c r="G178" s="178">
        <v>2E-3</v>
      </c>
      <c r="H178" s="837">
        <v>0.24999999999999997</v>
      </c>
      <c r="I178" s="1474"/>
      <c r="J178" s="1475"/>
      <c r="K178" s="1476"/>
      <c r="L178" s="839">
        <v>8.3333333333333329E-2</v>
      </c>
      <c r="M178" s="460"/>
      <c r="N178" s="162"/>
      <c r="O178" s="148"/>
      <c r="P178" s="124"/>
      <c r="Q178" s="148"/>
      <c r="R178" s="148"/>
      <c r="S178" s="183"/>
      <c r="T178" s="148"/>
      <c r="U178" s="148"/>
      <c r="V178" s="148"/>
      <c r="W178" s="186"/>
      <c r="X178" s="148"/>
      <c r="Y178" s="124"/>
      <c r="Z178" s="124"/>
    </row>
    <row r="179" spans="3:26" ht="24">
      <c r="C179" s="162"/>
      <c r="D179" s="497">
        <v>45503</v>
      </c>
      <c r="E179" s="178">
        <v>-1E-3</v>
      </c>
      <c r="F179" s="178" t="s">
        <v>462</v>
      </c>
      <c r="G179" s="178">
        <v>2E-3</v>
      </c>
      <c r="H179" s="837">
        <v>0.33333333333333337</v>
      </c>
      <c r="I179" s="1474"/>
      <c r="J179" s="1475"/>
      <c r="K179" s="1476"/>
      <c r="L179" s="839">
        <v>0.16666666666666666</v>
      </c>
      <c r="M179" s="460"/>
      <c r="N179" s="162"/>
      <c r="O179" s="115" t="s">
        <v>813</v>
      </c>
      <c r="P179" s="187">
        <v>0.1</v>
      </c>
      <c r="Q179" s="149">
        <v>6.1533333333332579E-2</v>
      </c>
      <c r="R179" s="150">
        <v>3.0000000000001137E-2</v>
      </c>
      <c r="S179" s="187">
        <v>1</v>
      </c>
      <c r="T179" s="188">
        <v>0.12230000000000001</v>
      </c>
      <c r="U179" s="151">
        <v>-29.157873015872489</v>
      </c>
      <c r="V179" s="152">
        <v>99.37</v>
      </c>
      <c r="W179" s="189">
        <v>2.15</v>
      </c>
      <c r="X179" s="153">
        <v>62.689426984125852</v>
      </c>
      <c r="Y179" s="154"/>
      <c r="Z179" s="154"/>
    </row>
    <row r="180" spans="3:26" ht="24">
      <c r="C180" s="162"/>
      <c r="D180" s="497">
        <v>45436</v>
      </c>
      <c r="E180" s="178">
        <v>2E-3</v>
      </c>
      <c r="F180" s="178" t="s">
        <v>460</v>
      </c>
      <c r="G180" s="178">
        <v>-3.0000000000000001E-3</v>
      </c>
      <c r="H180" s="837">
        <v>0.24999999999999997</v>
      </c>
      <c r="I180" s="1474"/>
      <c r="J180" s="1475"/>
      <c r="K180" s="1476"/>
      <c r="L180" s="839">
        <v>8.3333333333333329E-2</v>
      </c>
      <c r="M180" s="460"/>
      <c r="N180" s="162"/>
      <c r="O180" s="115"/>
      <c r="P180" s="116"/>
      <c r="Q180" s="149"/>
      <c r="R180" s="150"/>
      <c r="S180" s="119"/>
      <c r="T180" s="116"/>
      <c r="U180" s="151"/>
      <c r="V180" s="152"/>
      <c r="W180" s="119"/>
      <c r="X180" s="153"/>
      <c r="Y180" s="154"/>
      <c r="Z180" s="154"/>
    </row>
    <row r="181" spans="3:26" ht="24">
      <c r="C181" s="162"/>
      <c r="D181" s="497">
        <v>45412</v>
      </c>
      <c r="E181" s="178">
        <v>2E-3</v>
      </c>
      <c r="F181" s="178" t="s">
        <v>462</v>
      </c>
      <c r="G181" s="178">
        <v>-5.0000000000000001E-3</v>
      </c>
      <c r="H181" s="837">
        <v>0.33333333333333337</v>
      </c>
      <c r="I181" s="1474"/>
      <c r="J181" s="1475"/>
      <c r="K181" s="1476"/>
      <c r="L181" s="839">
        <v>0.16666666666666666</v>
      </c>
      <c r="M181" s="460"/>
      <c r="N181" s="162"/>
      <c r="O181" s="115" t="s">
        <v>816</v>
      </c>
      <c r="P181" s="116"/>
      <c r="Q181" s="149"/>
      <c r="R181" s="150"/>
      <c r="S181" s="119"/>
      <c r="T181" s="116"/>
      <c r="U181" s="151">
        <v>0</v>
      </c>
      <c r="V181" s="152"/>
      <c r="W181" s="119"/>
      <c r="X181" s="153">
        <v>0</v>
      </c>
      <c r="Y181" s="154"/>
      <c r="Z181" s="154"/>
    </row>
    <row r="182" spans="3:26" ht="24">
      <c r="C182" s="162"/>
      <c r="D182" s="497">
        <v>45345</v>
      </c>
      <c r="E182" s="178">
        <v>-3.0000000000000001E-3</v>
      </c>
      <c r="F182" s="178" t="s">
        <v>454</v>
      </c>
      <c r="G182" s="178">
        <v>-1E-3</v>
      </c>
      <c r="H182" s="837">
        <v>0.29166666666666663</v>
      </c>
      <c r="I182" s="1474"/>
      <c r="J182" s="1475"/>
      <c r="K182" s="1476"/>
      <c r="L182" s="839">
        <v>0.125</v>
      </c>
      <c r="M182" s="460"/>
      <c r="N182" s="162"/>
      <c r="O182" s="89"/>
      <c r="P182" s="89"/>
      <c r="Q182" s="89"/>
      <c r="R182" s="89"/>
      <c r="S182" s="89"/>
      <c r="T182" s="89"/>
      <c r="U182" s="89"/>
      <c r="V182" s="89"/>
      <c r="W182" s="89"/>
      <c r="X182" s="89"/>
      <c r="Y182" s="89"/>
      <c r="Z182" s="89"/>
    </row>
    <row r="183" spans="3:26" ht="24">
      <c r="C183" s="162"/>
      <c r="D183" s="497">
        <v>45321</v>
      </c>
      <c r="E183" s="178">
        <v>-3.0000000000000001E-3</v>
      </c>
      <c r="F183" s="178" t="s">
        <v>454</v>
      </c>
      <c r="G183" s="178">
        <v>-1E-3</v>
      </c>
      <c r="H183" s="837">
        <v>0.375</v>
      </c>
      <c r="I183" s="1477"/>
      <c r="J183" s="1478"/>
      <c r="K183" s="1479"/>
      <c r="L183" s="839">
        <v>0.20833333333333334</v>
      </c>
      <c r="M183" s="460"/>
      <c r="N183" s="162"/>
      <c r="O183" s="89"/>
      <c r="P183" s="89"/>
      <c r="Q183" s="89"/>
      <c r="R183" s="89"/>
      <c r="S183" s="89"/>
      <c r="T183" s="89"/>
      <c r="U183" s="89"/>
      <c r="V183" s="89"/>
      <c r="W183" s="89"/>
      <c r="X183" s="89"/>
      <c r="Y183" s="89"/>
      <c r="Z183" s="89"/>
    </row>
    <row r="184" spans="3:26" ht="48">
      <c r="C184" s="162" t="s">
        <v>105</v>
      </c>
      <c r="D184" s="496" t="s">
        <v>30</v>
      </c>
      <c r="E184" s="1460" t="s">
        <v>828</v>
      </c>
      <c r="F184" s="1460"/>
      <c r="G184" s="1460"/>
      <c r="H184" s="832" t="s">
        <v>790</v>
      </c>
      <c r="I184" s="1468" t="s">
        <v>633</v>
      </c>
      <c r="J184" s="1469"/>
      <c r="K184" s="1470"/>
      <c r="L184" s="833" t="s">
        <v>430</v>
      </c>
      <c r="M184" s="373" t="s">
        <v>431</v>
      </c>
      <c r="N184" s="162" t="s">
        <v>105</v>
      </c>
      <c r="O184" s="114" t="s">
        <v>800</v>
      </c>
      <c r="P184" s="114" t="s">
        <v>801</v>
      </c>
      <c r="Q184" s="114" t="s">
        <v>802</v>
      </c>
      <c r="R184" s="114" t="s">
        <v>803</v>
      </c>
      <c r="S184" s="114" t="s">
        <v>804</v>
      </c>
      <c r="T184" s="114" t="s">
        <v>805</v>
      </c>
      <c r="U184" s="114" t="s">
        <v>806</v>
      </c>
      <c r="V184" s="114" t="s">
        <v>807</v>
      </c>
      <c r="W184" s="114" t="s">
        <v>808</v>
      </c>
      <c r="X184" s="114" t="s">
        <v>809</v>
      </c>
      <c r="Y184" s="114" t="s">
        <v>75</v>
      </c>
      <c r="Z184" s="114" t="s">
        <v>75</v>
      </c>
    </row>
    <row r="185" spans="3:26" ht="24">
      <c r="C185" s="162"/>
      <c r="D185" s="490" t="s">
        <v>432</v>
      </c>
      <c r="E185" s="1464"/>
      <c r="F185" s="1464"/>
      <c r="G185" s="1464"/>
      <c r="H185" s="834" t="s">
        <v>906</v>
      </c>
      <c r="I185" s="1471" t="s">
        <v>829</v>
      </c>
      <c r="J185" s="1472"/>
      <c r="K185" s="1473"/>
      <c r="L185" s="835"/>
      <c r="M185" s="460"/>
      <c r="N185" s="162"/>
      <c r="O185" s="115" t="s">
        <v>810</v>
      </c>
      <c r="P185" s="163">
        <v>0.1</v>
      </c>
      <c r="Q185" s="164">
        <v>2.1999999999999999E-2</v>
      </c>
      <c r="R185" s="165">
        <v>3.0000000000001137E-2</v>
      </c>
      <c r="S185" s="119"/>
      <c r="T185" s="115">
        <v>6.3000000000001138E-2</v>
      </c>
      <c r="U185" s="164">
        <v>-15.02</v>
      </c>
      <c r="V185" s="163">
        <v>99.37</v>
      </c>
      <c r="W185" s="163"/>
      <c r="X185" s="153"/>
      <c r="Y185" s="120"/>
      <c r="Z185" s="120"/>
    </row>
    <row r="186" spans="3:26" ht="24">
      <c r="C186" s="162"/>
      <c r="D186" s="490" t="s">
        <v>433</v>
      </c>
      <c r="E186" s="1485">
        <v>8.0000000000000002E-3</v>
      </c>
      <c r="F186" s="1485"/>
      <c r="G186" s="1485"/>
      <c r="H186" s="834" t="s">
        <v>907</v>
      </c>
      <c r="I186" s="1474"/>
      <c r="J186" s="1475"/>
      <c r="K186" s="1476"/>
      <c r="L186" s="835"/>
      <c r="M186" s="460"/>
      <c r="N186" s="162"/>
      <c r="O186" s="121"/>
      <c r="P186" s="121"/>
      <c r="Q186" s="121"/>
      <c r="R186" s="122"/>
      <c r="S186" s="123"/>
      <c r="T186" s="121"/>
      <c r="U186" s="121"/>
      <c r="V186" s="121"/>
      <c r="W186" s="121"/>
      <c r="X186" s="123"/>
      <c r="Y186" s="124"/>
      <c r="Z186" s="124"/>
    </row>
    <row r="187" spans="3:26" ht="24">
      <c r="C187" s="162"/>
      <c r="D187" s="490" t="s">
        <v>434</v>
      </c>
      <c r="E187" s="1485">
        <v>6.0000000000000001E-3</v>
      </c>
      <c r="F187" s="1485"/>
      <c r="G187" s="1485"/>
      <c r="H187" s="832"/>
      <c r="I187" s="1474"/>
      <c r="J187" s="1475"/>
      <c r="K187" s="1476"/>
      <c r="L187" s="835"/>
      <c r="M187" s="460"/>
      <c r="N187" s="162"/>
      <c r="O187" s="125" t="s">
        <v>811</v>
      </c>
      <c r="P187" s="167">
        <v>0.1</v>
      </c>
      <c r="Q187" s="168">
        <v>6.4100000000000004E-2</v>
      </c>
      <c r="R187" s="169">
        <v>3.0000000000001137E-2</v>
      </c>
      <c r="S187" s="179">
        <v>1</v>
      </c>
      <c r="T187" s="125">
        <v>0.12615000000000115</v>
      </c>
      <c r="U187" s="130">
        <v>-30.075761904761638</v>
      </c>
      <c r="V187" s="131">
        <v>91.8</v>
      </c>
      <c r="W187" s="180">
        <v>2.39</v>
      </c>
      <c r="X187" s="133">
        <v>71.881070952380313</v>
      </c>
      <c r="Y187" s="134"/>
      <c r="Z187" s="134"/>
    </row>
    <row r="188" spans="3:26" ht="24">
      <c r="C188" s="162"/>
      <c r="D188" s="490" t="s">
        <v>435</v>
      </c>
      <c r="E188" s="1458">
        <v>0.41666666666666674</v>
      </c>
      <c r="F188" s="1458"/>
      <c r="G188" s="1458"/>
      <c r="H188" s="832"/>
      <c r="I188" s="1474"/>
      <c r="J188" s="1475"/>
      <c r="K188" s="1476"/>
      <c r="L188" s="836">
        <v>0.64583333333333337</v>
      </c>
      <c r="M188" s="461">
        <v>0.54166666666666674</v>
      </c>
      <c r="N188" s="162"/>
      <c r="O188" s="135" t="s">
        <v>812</v>
      </c>
      <c r="P188" s="171">
        <v>0.1</v>
      </c>
      <c r="Q188" s="156">
        <v>7.6066666666665908E-2</v>
      </c>
      <c r="R188" s="172">
        <v>3.0000000000001137E-2</v>
      </c>
      <c r="S188" s="181">
        <v>1</v>
      </c>
      <c r="T188" s="173">
        <v>0.14410000000000001</v>
      </c>
      <c r="U188" s="140">
        <v>-34.355269841269219</v>
      </c>
      <c r="V188" s="141">
        <v>91.8</v>
      </c>
      <c r="W188" s="182">
        <v>2.08</v>
      </c>
      <c r="X188" s="143">
        <v>71.458961269839975</v>
      </c>
      <c r="Y188" s="144"/>
      <c r="Z188" s="144"/>
    </row>
    <row r="189" spans="3:26" ht="24">
      <c r="C189" s="162"/>
      <c r="D189" s="490" t="s">
        <v>436</v>
      </c>
      <c r="E189" s="175" t="s">
        <v>29</v>
      </c>
      <c r="F189" s="175" t="s">
        <v>28</v>
      </c>
      <c r="G189" s="175" t="s">
        <v>27</v>
      </c>
      <c r="H189" s="832" t="s">
        <v>793</v>
      </c>
      <c r="I189" s="1474"/>
      <c r="J189" s="1475"/>
      <c r="K189" s="1476"/>
      <c r="L189" s="835"/>
      <c r="M189" s="460"/>
      <c r="N189" s="162"/>
      <c r="O189" s="123"/>
      <c r="P189" s="145"/>
      <c r="Q189" s="123"/>
      <c r="R189" s="123"/>
      <c r="S189" s="183"/>
      <c r="T189" s="123"/>
      <c r="U189" s="146"/>
      <c r="V189" s="147"/>
      <c r="W189" s="184"/>
      <c r="X189" s="146"/>
      <c r="Y189" s="124"/>
      <c r="Z189" s="124"/>
    </row>
    <row r="190" spans="3:26" ht="24">
      <c r="C190" s="162"/>
      <c r="D190" s="497">
        <v>45541</v>
      </c>
      <c r="E190" s="185">
        <v>6.0000000000000001E-3</v>
      </c>
      <c r="F190" s="185" t="s">
        <v>449</v>
      </c>
      <c r="G190" s="185">
        <v>4.0000000000000001E-3</v>
      </c>
      <c r="H190" s="837">
        <v>0.375</v>
      </c>
      <c r="I190" s="1474"/>
      <c r="J190" s="1475"/>
      <c r="K190" s="1476"/>
      <c r="L190" s="839">
        <v>0.20833333333333334</v>
      </c>
      <c r="M190" s="460"/>
      <c r="N190" s="162"/>
      <c r="O190" s="148"/>
      <c r="P190" s="124"/>
      <c r="Q190" s="148"/>
      <c r="R190" s="148"/>
      <c r="S190" s="183"/>
      <c r="T190" s="148"/>
      <c r="U190" s="148"/>
      <c r="V190" s="148"/>
      <c r="W190" s="186"/>
      <c r="X190" s="148"/>
      <c r="Y190" s="124"/>
      <c r="Z190" s="124"/>
    </row>
    <row r="191" spans="3:26" ht="24">
      <c r="C191" s="162"/>
      <c r="D191" s="497">
        <v>45518</v>
      </c>
      <c r="E191" s="185">
        <v>6.0000000000000001E-3</v>
      </c>
      <c r="F191" s="185" t="s">
        <v>449</v>
      </c>
      <c r="G191" s="185">
        <v>4.0000000000000001E-3</v>
      </c>
      <c r="H191" s="837">
        <v>0.375</v>
      </c>
      <c r="I191" s="1474"/>
      <c r="J191" s="1475"/>
      <c r="K191" s="1476"/>
      <c r="L191" s="839">
        <v>0.20833333333333334</v>
      </c>
      <c r="M191" s="460"/>
      <c r="N191" s="162"/>
      <c r="O191" s="115" t="s">
        <v>813</v>
      </c>
      <c r="P191" s="187">
        <v>0.1</v>
      </c>
      <c r="Q191" s="149">
        <v>7.6066666666665908E-2</v>
      </c>
      <c r="R191" s="150">
        <v>3.0000000000001137E-2</v>
      </c>
      <c r="S191" s="187">
        <v>1</v>
      </c>
      <c r="T191" s="188">
        <v>0.14410000000000001</v>
      </c>
      <c r="U191" s="151">
        <v>-34.355269841269219</v>
      </c>
      <c r="V191" s="152">
        <v>91.8</v>
      </c>
      <c r="W191" s="189">
        <v>2.08</v>
      </c>
      <c r="X191" s="153">
        <v>71.458961269839975</v>
      </c>
      <c r="Y191" s="154"/>
      <c r="Z191" s="154"/>
    </row>
    <row r="192" spans="3:26" ht="24">
      <c r="C192" s="162"/>
      <c r="D192" s="497">
        <v>45503</v>
      </c>
      <c r="E192" s="185">
        <v>6.0000000000000001E-3</v>
      </c>
      <c r="F192" s="185" t="s">
        <v>449</v>
      </c>
      <c r="G192" s="185">
        <v>4.0000000000000001E-3</v>
      </c>
      <c r="H192" s="837">
        <v>0.375</v>
      </c>
      <c r="I192" s="1474"/>
      <c r="J192" s="1475"/>
      <c r="K192" s="1476"/>
      <c r="L192" s="839">
        <v>0.20833333333333334</v>
      </c>
      <c r="M192" s="460"/>
      <c r="N192" s="162"/>
      <c r="O192" s="115"/>
      <c r="P192" s="116"/>
      <c r="Q192" s="149"/>
      <c r="R192" s="150"/>
      <c r="S192" s="119"/>
      <c r="T192" s="116"/>
      <c r="U192" s="151"/>
      <c r="V192" s="152"/>
      <c r="W192" s="119"/>
      <c r="X192" s="153"/>
      <c r="Y192" s="154"/>
      <c r="Z192" s="154"/>
    </row>
    <row r="193" spans="3:26" ht="24">
      <c r="C193" s="162"/>
      <c r="D193" s="497">
        <v>45450</v>
      </c>
      <c r="E193" s="185">
        <v>4.0000000000000001E-3</v>
      </c>
      <c r="F193" s="185" t="s">
        <v>452</v>
      </c>
      <c r="G193" s="185">
        <v>2E-3</v>
      </c>
      <c r="H193" s="837">
        <v>0.375</v>
      </c>
      <c r="I193" s="1474"/>
      <c r="J193" s="1475"/>
      <c r="K193" s="1476"/>
      <c r="L193" s="839">
        <v>0.20833333333333334</v>
      </c>
      <c r="M193" s="460"/>
      <c r="N193" s="162"/>
      <c r="O193" s="115"/>
      <c r="P193" s="116"/>
      <c r="Q193" s="149"/>
      <c r="R193" s="150"/>
      <c r="S193" s="119"/>
      <c r="T193" s="116"/>
      <c r="U193" s="151"/>
      <c r="V193" s="152"/>
      <c r="W193" s="119"/>
      <c r="X193" s="153"/>
      <c r="Y193" s="154"/>
      <c r="Z193" s="154"/>
    </row>
    <row r="194" spans="3:26" ht="24">
      <c r="C194" s="162"/>
      <c r="D194" s="497">
        <v>45427</v>
      </c>
      <c r="E194" s="185">
        <v>4.0000000000000001E-3</v>
      </c>
      <c r="F194" s="185" t="s">
        <v>452</v>
      </c>
      <c r="G194" s="185">
        <v>1E-3</v>
      </c>
      <c r="H194" s="837">
        <v>0.375</v>
      </c>
      <c r="I194" s="1474"/>
      <c r="J194" s="1475"/>
      <c r="K194" s="1476"/>
      <c r="L194" s="839">
        <v>0.20833333333333334</v>
      </c>
      <c r="M194" s="460"/>
      <c r="N194" s="162"/>
      <c r="O194" s="89"/>
      <c r="P194" s="89"/>
      <c r="Q194" s="89"/>
      <c r="R194" s="89"/>
      <c r="S194" s="89"/>
      <c r="T194" s="89"/>
      <c r="U194" s="89"/>
      <c r="V194" s="89"/>
      <c r="W194" s="89"/>
      <c r="X194" s="89"/>
      <c r="Y194" s="89"/>
      <c r="Z194" s="89"/>
    </row>
    <row r="195" spans="3:26" ht="24">
      <c r="C195" s="162"/>
      <c r="D195" s="497">
        <v>45412</v>
      </c>
      <c r="E195" s="185">
        <v>4.0000000000000001E-3</v>
      </c>
      <c r="F195" s="185" t="s">
        <v>460</v>
      </c>
      <c r="G195" s="185">
        <v>1E-3</v>
      </c>
      <c r="H195" s="837">
        <v>0.375</v>
      </c>
      <c r="I195" s="1477"/>
      <c r="J195" s="1478"/>
      <c r="K195" s="1479"/>
      <c r="L195" s="839">
        <v>0.20833333333333334</v>
      </c>
      <c r="M195" s="460"/>
      <c r="N195" s="162"/>
      <c r="O195" s="89"/>
      <c r="P195" s="89"/>
      <c r="Q195" s="89"/>
      <c r="R195" s="89"/>
      <c r="S195" s="89"/>
      <c r="T195" s="89"/>
      <c r="U195" s="89"/>
      <c r="V195" s="89"/>
      <c r="W195" s="89"/>
      <c r="X195" s="89"/>
      <c r="Y195" s="89"/>
      <c r="Z195" s="89"/>
    </row>
    <row r="196" spans="3:26" ht="48">
      <c r="C196" s="162" t="s">
        <v>105</v>
      </c>
      <c r="D196" s="496" t="s">
        <v>30</v>
      </c>
      <c r="E196" s="1460" t="s">
        <v>830</v>
      </c>
      <c r="F196" s="1460"/>
      <c r="G196" s="1460"/>
      <c r="H196" s="832" t="s">
        <v>790</v>
      </c>
      <c r="I196" s="1468" t="s">
        <v>633</v>
      </c>
      <c r="J196" s="1469"/>
      <c r="K196" s="1470"/>
      <c r="L196" s="833" t="s">
        <v>430</v>
      </c>
      <c r="M196" s="373" t="s">
        <v>431</v>
      </c>
      <c r="N196" s="162" t="s">
        <v>105</v>
      </c>
      <c r="O196" s="114" t="s">
        <v>800</v>
      </c>
      <c r="P196" s="114" t="s">
        <v>801</v>
      </c>
      <c r="Q196" s="114" t="s">
        <v>802</v>
      </c>
      <c r="R196" s="114" t="s">
        <v>803</v>
      </c>
      <c r="S196" s="114" t="s">
        <v>804</v>
      </c>
      <c r="T196" s="114" t="s">
        <v>805</v>
      </c>
      <c r="U196" s="114" t="s">
        <v>806</v>
      </c>
      <c r="V196" s="114" t="s">
        <v>807</v>
      </c>
      <c r="W196" s="114" t="s">
        <v>808</v>
      </c>
      <c r="X196" s="114" t="s">
        <v>809</v>
      </c>
      <c r="Y196" s="114" t="s">
        <v>75</v>
      </c>
      <c r="Z196" s="114" t="s">
        <v>75</v>
      </c>
    </row>
    <row r="197" spans="3:26" ht="24">
      <c r="C197" s="162"/>
      <c r="D197" s="490" t="s">
        <v>432</v>
      </c>
      <c r="E197" s="1464"/>
      <c r="F197" s="1464"/>
      <c r="G197" s="1464"/>
      <c r="H197" s="834" t="s">
        <v>908</v>
      </c>
      <c r="I197" s="1471" t="s">
        <v>831</v>
      </c>
      <c r="J197" s="1472"/>
      <c r="K197" s="1473"/>
      <c r="L197" s="835"/>
      <c r="M197" s="460"/>
      <c r="N197" s="162"/>
      <c r="O197" s="115" t="s">
        <v>810</v>
      </c>
      <c r="P197" s="163">
        <v>0.1</v>
      </c>
      <c r="Q197" s="164">
        <v>3.5999999999999997E-2</v>
      </c>
      <c r="R197" s="165">
        <v>2.6999999999986812E-2</v>
      </c>
      <c r="S197" s="119"/>
      <c r="T197" s="115">
        <v>8.0999999999986805E-2</v>
      </c>
      <c r="U197" s="164">
        <v>-22.8</v>
      </c>
      <c r="V197" s="163">
        <v>119.47</v>
      </c>
      <c r="W197" s="163"/>
      <c r="X197" s="153"/>
      <c r="Y197" s="120"/>
      <c r="Z197" s="120"/>
    </row>
    <row r="198" spans="3:26" ht="24">
      <c r="C198" s="162"/>
      <c r="D198" s="490" t="s">
        <v>433</v>
      </c>
      <c r="E198" s="1453">
        <v>0</v>
      </c>
      <c r="F198" s="1453"/>
      <c r="G198" s="1453"/>
      <c r="H198" s="834" t="s">
        <v>908</v>
      </c>
      <c r="I198" s="1474"/>
      <c r="J198" s="1475"/>
      <c r="K198" s="1476"/>
      <c r="L198" s="835"/>
      <c r="M198" s="460"/>
      <c r="N198" s="162"/>
      <c r="O198" s="121"/>
      <c r="P198" s="121"/>
      <c r="Q198" s="121"/>
      <c r="R198" s="122"/>
      <c r="S198" s="123"/>
      <c r="T198" s="121"/>
      <c r="U198" s="121"/>
      <c r="V198" s="121"/>
      <c r="W198" s="121"/>
      <c r="X198" s="123"/>
      <c r="Y198" s="124"/>
      <c r="Z198" s="124"/>
    </row>
    <row r="199" spans="3:26" ht="24">
      <c r="C199" s="162"/>
      <c r="D199" s="490" t="s">
        <v>434</v>
      </c>
      <c r="E199" s="1453">
        <v>0</v>
      </c>
      <c r="F199" s="1453"/>
      <c r="G199" s="1453"/>
      <c r="H199" s="832"/>
      <c r="I199" s="1474"/>
      <c r="J199" s="1475"/>
      <c r="K199" s="1476"/>
      <c r="L199" s="835"/>
      <c r="M199" s="460"/>
      <c r="N199" s="162"/>
      <c r="O199" s="125" t="s">
        <v>811</v>
      </c>
      <c r="P199" s="167">
        <v>0.1</v>
      </c>
      <c r="Q199" s="168">
        <v>6.4799999999999996E-2</v>
      </c>
      <c r="R199" s="169">
        <v>2.8000000000000001E-2</v>
      </c>
      <c r="S199" s="179">
        <v>1</v>
      </c>
      <c r="T199" s="125">
        <v>0.12520000000000001</v>
      </c>
      <c r="U199" s="130">
        <v>-35.241481481487227</v>
      </c>
      <c r="V199" s="131">
        <v>91.8</v>
      </c>
      <c r="W199" s="180">
        <v>4.17</v>
      </c>
      <c r="X199" s="133">
        <v>146.95697777780174</v>
      </c>
      <c r="Y199" s="134"/>
      <c r="Z199" s="134"/>
    </row>
    <row r="200" spans="3:26" ht="24">
      <c r="C200" s="162"/>
      <c r="D200" s="490" t="s">
        <v>435</v>
      </c>
      <c r="E200" s="1457">
        <v>0.54166666666666674</v>
      </c>
      <c r="F200" s="1457"/>
      <c r="G200" s="1457"/>
      <c r="H200" s="832"/>
      <c r="I200" s="1474"/>
      <c r="J200" s="1475"/>
      <c r="K200" s="1476"/>
      <c r="L200" s="836">
        <v>0.64583333333333337</v>
      </c>
      <c r="M200" s="461">
        <v>0.54166666666666674</v>
      </c>
      <c r="N200" s="162"/>
      <c r="O200" s="135" t="s">
        <v>812</v>
      </c>
      <c r="P200" s="171">
        <v>0.05</v>
      </c>
      <c r="Q200" s="156">
        <v>7.1466666666666664E-2</v>
      </c>
      <c r="R200" s="172">
        <v>2.8000000000000001E-2</v>
      </c>
      <c r="S200" s="181">
        <v>1</v>
      </c>
      <c r="T200" s="173">
        <v>0.13519999999999999</v>
      </c>
      <c r="U200" s="140">
        <v>-19.028148148151246</v>
      </c>
      <c r="V200" s="141">
        <v>45.9</v>
      </c>
      <c r="W200" s="182">
        <v>4.7300000000000004</v>
      </c>
      <c r="X200" s="143">
        <v>90.003140740755398</v>
      </c>
      <c r="Y200" s="144"/>
      <c r="Z200" s="144"/>
    </row>
    <row r="201" spans="3:26" ht="24">
      <c r="C201" s="162"/>
      <c r="D201" s="490" t="s">
        <v>436</v>
      </c>
      <c r="E201" s="175" t="s">
        <v>29</v>
      </c>
      <c r="F201" s="175" t="s">
        <v>28</v>
      </c>
      <c r="G201" s="175" t="s">
        <v>27</v>
      </c>
      <c r="H201" s="832" t="s">
        <v>793</v>
      </c>
      <c r="I201" s="1474"/>
      <c r="J201" s="1475"/>
      <c r="K201" s="1476"/>
      <c r="L201" s="835"/>
      <c r="M201" s="460"/>
      <c r="N201" s="162"/>
      <c r="O201" s="123"/>
      <c r="P201" s="145"/>
      <c r="Q201" s="123"/>
      <c r="R201" s="123"/>
      <c r="S201" s="183"/>
      <c r="T201" s="123"/>
      <c r="U201" s="146"/>
      <c r="V201" s="147"/>
      <c r="W201" s="184"/>
      <c r="X201" s="146"/>
      <c r="Y201" s="124"/>
      <c r="Z201" s="124"/>
    </row>
    <row r="202" spans="3:26" ht="24">
      <c r="C202" s="162"/>
      <c r="D202" s="497">
        <v>45252</v>
      </c>
      <c r="E202" s="176">
        <v>0</v>
      </c>
      <c r="F202" s="176" t="s">
        <v>754</v>
      </c>
      <c r="G202" s="176">
        <v>0</v>
      </c>
      <c r="H202" s="837">
        <v>0.54166666666666674</v>
      </c>
      <c r="I202" s="1474"/>
      <c r="J202" s="1475"/>
      <c r="K202" s="1476"/>
      <c r="L202" s="835"/>
      <c r="M202" s="460"/>
      <c r="N202" s="162"/>
      <c r="O202" s="148"/>
      <c r="P202" s="124"/>
      <c r="Q202" s="148"/>
      <c r="R202" s="148"/>
      <c r="S202" s="183"/>
      <c r="T202" s="148"/>
      <c r="U202" s="148"/>
      <c r="V202" s="148"/>
      <c r="W202" s="186"/>
      <c r="X202" s="148"/>
      <c r="Y202" s="124"/>
      <c r="Z202" s="124"/>
    </row>
    <row r="203" spans="3:26" ht="24">
      <c r="C203" s="162"/>
      <c r="D203" s="497">
        <v>44882</v>
      </c>
      <c r="E203" s="176">
        <v>0</v>
      </c>
      <c r="F203" s="176" t="s">
        <v>754</v>
      </c>
      <c r="G203" s="176">
        <v>0</v>
      </c>
      <c r="H203" s="837">
        <v>0.54166666666666674</v>
      </c>
      <c r="I203" s="1474"/>
      <c r="J203" s="1475"/>
      <c r="K203" s="1476"/>
      <c r="L203" s="835"/>
      <c r="M203" s="460"/>
      <c r="N203" s="162"/>
      <c r="O203" s="115" t="s">
        <v>813</v>
      </c>
      <c r="P203" s="187">
        <v>0.05</v>
      </c>
      <c r="Q203" s="149">
        <v>7.1466666666666664E-2</v>
      </c>
      <c r="R203" s="150">
        <v>2.8000000000000001E-2</v>
      </c>
      <c r="S203" s="187">
        <v>1</v>
      </c>
      <c r="T203" s="188">
        <v>0.13519999999999999</v>
      </c>
      <c r="U203" s="151">
        <v>-19.028148148151246</v>
      </c>
      <c r="V203" s="152">
        <v>45.9</v>
      </c>
      <c r="W203" s="189">
        <v>2</v>
      </c>
      <c r="X203" s="153">
        <v>38.056296296302492</v>
      </c>
      <c r="Y203" s="154"/>
      <c r="Z203" s="154" t="s">
        <v>814</v>
      </c>
    </row>
    <row r="204" spans="3:26" ht="24">
      <c r="C204" s="162"/>
      <c r="D204" s="497">
        <v>44496</v>
      </c>
      <c r="E204" s="176">
        <v>0</v>
      </c>
      <c r="F204" s="176" t="s">
        <v>754</v>
      </c>
      <c r="G204" s="176">
        <v>0</v>
      </c>
      <c r="H204" s="837">
        <v>0.54166666666666674</v>
      </c>
      <c r="I204" s="1474"/>
      <c r="J204" s="1475"/>
      <c r="K204" s="1476"/>
      <c r="L204" s="838"/>
      <c r="M204" s="460"/>
      <c r="N204" s="162"/>
      <c r="O204" s="115"/>
      <c r="P204" s="116"/>
      <c r="Q204" s="149"/>
      <c r="R204" s="150"/>
      <c r="S204" s="119"/>
      <c r="T204" s="116"/>
      <c r="U204" s="151"/>
      <c r="V204" s="152"/>
      <c r="W204" s="119"/>
      <c r="X204" s="153"/>
      <c r="Y204" s="154"/>
      <c r="Z204" s="154"/>
    </row>
    <row r="205" spans="3:26" ht="24">
      <c r="C205" s="162"/>
      <c r="D205" s="497">
        <v>44160</v>
      </c>
      <c r="E205" s="176">
        <v>0</v>
      </c>
      <c r="F205" s="176" t="s">
        <v>754</v>
      </c>
      <c r="G205" s="176">
        <v>0</v>
      </c>
      <c r="H205" s="837">
        <v>0.54166666666666674</v>
      </c>
      <c r="I205" s="1474"/>
      <c r="J205" s="1475"/>
      <c r="K205" s="1476"/>
      <c r="L205" s="835"/>
      <c r="M205" s="460"/>
      <c r="N205" s="162"/>
      <c r="O205" s="115"/>
      <c r="P205" s="116"/>
      <c r="Q205" s="149"/>
      <c r="R205" s="150"/>
      <c r="S205" s="119"/>
      <c r="T205" s="116"/>
      <c r="U205" s="151"/>
      <c r="V205" s="152"/>
      <c r="W205" s="119"/>
      <c r="X205" s="153"/>
      <c r="Y205" s="154"/>
      <c r="Z205" s="154"/>
    </row>
    <row r="206" spans="3:26" ht="24">
      <c r="C206" s="162"/>
      <c r="D206" s="497">
        <v>44159</v>
      </c>
      <c r="E206" s="176">
        <v>0</v>
      </c>
      <c r="F206" s="176" t="s">
        <v>754</v>
      </c>
      <c r="G206" s="176">
        <v>0</v>
      </c>
      <c r="H206" s="837">
        <v>0.54166666666666674</v>
      </c>
      <c r="I206" s="1474"/>
      <c r="J206" s="1475"/>
      <c r="K206" s="1476"/>
      <c r="L206" s="835"/>
      <c r="M206" s="460"/>
      <c r="N206" s="162"/>
      <c r="O206" s="89"/>
      <c r="P206" s="89"/>
      <c r="Q206" s="89"/>
      <c r="R206" s="89"/>
      <c r="S206" s="89"/>
      <c r="T206" s="89"/>
      <c r="U206" s="89"/>
      <c r="V206" s="89"/>
      <c r="W206" s="89"/>
      <c r="X206" s="89"/>
      <c r="Y206" s="89"/>
      <c r="Z206" s="89"/>
    </row>
    <row r="207" spans="3:26" ht="24">
      <c r="C207" s="162"/>
      <c r="D207" s="497">
        <v>43901</v>
      </c>
      <c r="E207" s="176">
        <v>0</v>
      </c>
      <c r="F207" s="176" t="s">
        <v>754</v>
      </c>
      <c r="G207" s="176">
        <v>0</v>
      </c>
      <c r="H207" s="837">
        <v>0.54166666666666674</v>
      </c>
      <c r="I207" s="1477"/>
      <c r="J207" s="1478"/>
      <c r="K207" s="1479"/>
      <c r="L207" s="835"/>
      <c r="M207" s="460"/>
      <c r="N207" s="162"/>
      <c r="O207" s="89"/>
      <c r="P207" s="89"/>
      <c r="Q207" s="89"/>
      <c r="R207" s="89"/>
      <c r="S207" s="89"/>
      <c r="T207" s="89"/>
      <c r="U207" s="89"/>
      <c r="V207" s="89"/>
      <c r="W207" s="89"/>
      <c r="X207" s="89"/>
      <c r="Y207" s="89"/>
      <c r="Z207" s="89"/>
    </row>
    <row r="208" spans="3:26" ht="48">
      <c r="C208" s="162" t="s">
        <v>105</v>
      </c>
      <c r="D208" s="496" t="s">
        <v>30</v>
      </c>
      <c r="E208" s="1460" t="s">
        <v>832</v>
      </c>
      <c r="F208" s="1460"/>
      <c r="G208" s="1460"/>
      <c r="H208" s="832" t="s">
        <v>790</v>
      </c>
      <c r="I208" s="1468" t="s">
        <v>633</v>
      </c>
      <c r="J208" s="1469"/>
      <c r="K208" s="1470"/>
      <c r="L208" s="833" t="s">
        <v>430</v>
      </c>
      <c r="M208" s="373" t="s">
        <v>431</v>
      </c>
      <c r="N208" s="162" t="s">
        <v>105</v>
      </c>
      <c r="O208" s="114" t="s">
        <v>800</v>
      </c>
      <c r="P208" s="114" t="s">
        <v>801</v>
      </c>
      <c r="Q208" s="114" t="s">
        <v>802</v>
      </c>
      <c r="R208" s="114" t="s">
        <v>803</v>
      </c>
      <c r="S208" s="114" t="s">
        <v>804</v>
      </c>
      <c r="T208" s="114" t="s">
        <v>805</v>
      </c>
      <c r="U208" s="114" t="s">
        <v>806</v>
      </c>
      <c r="V208" s="114" t="s">
        <v>807</v>
      </c>
      <c r="W208" s="114" t="s">
        <v>808</v>
      </c>
      <c r="X208" s="114" t="s">
        <v>809</v>
      </c>
      <c r="Y208" s="114" t="s">
        <v>75</v>
      </c>
      <c r="Z208" s="114" t="s">
        <v>75</v>
      </c>
    </row>
    <row r="209" spans="3:26" ht="24">
      <c r="C209" s="162"/>
      <c r="D209" s="490" t="s">
        <v>432</v>
      </c>
      <c r="E209" s="1464"/>
      <c r="F209" s="1464"/>
      <c r="G209" s="1464"/>
      <c r="H209" s="834" t="s">
        <v>794</v>
      </c>
      <c r="I209" s="1471" t="s">
        <v>834</v>
      </c>
      <c r="J209" s="1472"/>
      <c r="K209" s="1473"/>
      <c r="L209" s="835"/>
      <c r="M209" s="460"/>
      <c r="N209" s="162"/>
      <c r="O209" s="115" t="s">
        <v>810</v>
      </c>
      <c r="P209" s="163">
        <v>0.1</v>
      </c>
      <c r="Q209" s="164">
        <v>2.1000000000000001E-2</v>
      </c>
      <c r="R209" s="165">
        <v>1.7000000000000001E-2</v>
      </c>
      <c r="S209" s="119">
        <v>0</v>
      </c>
      <c r="T209" s="115">
        <v>4.8500000000000001E-2</v>
      </c>
      <c r="U209" s="164">
        <v>-11.44</v>
      </c>
      <c r="V209" s="163">
        <v>91.8</v>
      </c>
      <c r="W209" s="166">
        <v>2</v>
      </c>
      <c r="X209" s="153"/>
      <c r="Y209" s="120"/>
      <c r="Z209" s="120"/>
    </row>
    <row r="210" spans="3:26" ht="24">
      <c r="C210" s="162"/>
      <c r="D210" s="490" t="s">
        <v>433</v>
      </c>
      <c r="E210" s="1484" t="s">
        <v>833</v>
      </c>
      <c r="F210" s="1484"/>
      <c r="G210" s="1484"/>
      <c r="H210" s="834" t="s">
        <v>795</v>
      </c>
      <c r="I210" s="1474"/>
      <c r="J210" s="1475"/>
      <c r="K210" s="1476"/>
      <c r="L210" s="835"/>
      <c r="M210" s="460"/>
      <c r="N210" s="162"/>
      <c r="O210" s="121"/>
      <c r="P210" s="121"/>
      <c r="Q210" s="121"/>
      <c r="R210" s="122"/>
      <c r="S210" s="123"/>
      <c r="T210" s="121"/>
      <c r="U210" s="121"/>
      <c r="V210" s="121"/>
      <c r="W210" s="121"/>
      <c r="X210" s="123"/>
      <c r="Y210" s="124"/>
      <c r="Z210" s="124"/>
    </row>
    <row r="211" spans="3:26" ht="24">
      <c r="C211" s="162"/>
      <c r="D211" s="490" t="s">
        <v>434</v>
      </c>
      <c r="E211" s="1484" t="s">
        <v>635</v>
      </c>
      <c r="F211" s="1484"/>
      <c r="G211" s="1484"/>
      <c r="H211" s="832"/>
      <c r="I211" s="1474"/>
      <c r="J211" s="1475"/>
      <c r="K211" s="1476"/>
      <c r="L211" s="835"/>
      <c r="M211" s="460"/>
      <c r="N211" s="162"/>
      <c r="O211" s="125" t="s">
        <v>811</v>
      </c>
      <c r="P211" s="167">
        <v>0.1</v>
      </c>
      <c r="Q211" s="168">
        <v>6.8900000000000003E-2</v>
      </c>
      <c r="R211" s="169">
        <v>1.7999999999999999E-2</v>
      </c>
      <c r="S211" s="179">
        <v>1</v>
      </c>
      <c r="T211" s="125">
        <v>0.12135</v>
      </c>
      <c r="U211" s="130">
        <v>-28.623587628865977</v>
      </c>
      <c r="V211" s="131">
        <v>91.8</v>
      </c>
      <c r="W211" s="180">
        <v>5.96</v>
      </c>
      <c r="X211" s="133">
        <v>170.59658226804123</v>
      </c>
      <c r="Y211" s="134"/>
      <c r="Z211" s="134"/>
    </row>
    <row r="212" spans="3:26" ht="24">
      <c r="C212" s="162"/>
      <c r="D212" s="490" t="s">
        <v>435</v>
      </c>
      <c r="E212" s="1458">
        <v>0.51041666666666674</v>
      </c>
      <c r="F212" s="1458"/>
      <c r="G212" s="1458"/>
      <c r="H212" s="832"/>
      <c r="I212" s="1474"/>
      <c r="J212" s="1475"/>
      <c r="K212" s="1476"/>
      <c r="L212" s="836">
        <v>0.73958333333333337</v>
      </c>
      <c r="M212" s="461">
        <v>0.63541666666666674</v>
      </c>
      <c r="N212" s="162"/>
      <c r="O212" s="135" t="s">
        <v>812</v>
      </c>
      <c r="P212" s="171">
        <v>0.1</v>
      </c>
      <c r="Q212" s="156">
        <v>4.4199999999999996E-2</v>
      </c>
      <c r="R212" s="172">
        <v>1.7999999999999999E-2</v>
      </c>
      <c r="S212" s="181">
        <v>1</v>
      </c>
      <c r="T212" s="173">
        <v>8.43E-2</v>
      </c>
      <c r="U212" s="140">
        <v>-19.884371134020618</v>
      </c>
      <c r="V212" s="141">
        <v>91.8</v>
      </c>
      <c r="W212" s="182">
        <v>10.7</v>
      </c>
      <c r="X212" s="143">
        <v>212.7627711340206</v>
      </c>
      <c r="Y212" s="144"/>
      <c r="Z212" s="144"/>
    </row>
    <row r="213" spans="3:26" ht="24">
      <c r="C213" s="162"/>
      <c r="D213" s="490" t="s">
        <v>436</v>
      </c>
      <c r="E213" s="175" t="s">
        <v>29</v>
      </c>
      <c r="F213" s="175" t="s">
        <v>28</v>
      </c>
      <c r="G213" s="175" t="s">
        <v>27</v>
      </c>
      <c r="H213" s="832" t="s">
        <v>793</v>
      </c>
      <c r="I213" s="1474"/>
      <c r="J213" s="1475"/>
      <c r="K213" s="1476"/>
      <c r="L213" s="835"/>
      <c r="M213" s="460"/>
      <c r="N213" s="162"/>
      <c r="O213" s="123"/>
      <c r="P213" s="145"/>
      <c r="Q213" s="123"/>
      <c r="R213" s="123"/>
      <c r="S213" s="183"/>
      <c r="T213" s="123"/>
      <c r="U213" s="146"/>
      <c r="V213" s="147"/>
      <c r="W213" s="184"/>
      <c r="X213" s="146"/>
      <c r="Y213" s="124"/>
      <c r="Z213" s="124"/>
    </row>
    <row r="214" spans="3:26" ht="24">
      <c r="C214" s="162"/>
      <c r="D214" s="497">
        <v>45567</v>
      </c>
      <c r="E214" s="190" t="s">
        <v>635</v>
      </c>
      <c r="F214" s="190" t="s">
        <v>887</v>
      </c>
      <c r="G214" s="190" t="s">
        <v>888</v>
      </c>
      <c r="H214" s="837">
        <v>0.51041666666666674</v>
      </c>
      <c r="I214" s="1474"/>
      <c r="J214" s="1475"/>
      <c r="K214" s="1476"/>
      <c r="L214" s="835"/>
      <c r="M214" s="460"/>
      <c r="N214" s="162"/>
      <c r="O214" s="148"/>
      <c r="P214" s="124"/>
      <c r="Q214" s="148"/>
      <c r="R214" s="148"/>
      <c r="S214" s="183"/>
      <c r="T214" s="148"/>
      <c r="U214" s="148"/>
      <c r="V214" s="148"/>
      <c r="W214" s="186"/>
      <c r="X214" s="148"/>
      <c r="Y214" s="124"/>
      <c r="Z214" s="124"/>
    </row>
    <row r="215" spans="3:26" ht="24">
      <c r="C215" s="162"/>
      <c r="D215" s="497">
        <v>45540</v>
      </c>
      <c r="E215" s="190" t="s">
        <v>407</v>
      </c>
      <c r="F215" s="190" t="s">
        <v>546</v>
      </c>
      <c r="G215" s="190" t="s">
        <v>547</v>
      </c>
      <c r="H215" s="837">
        <v>0.51041666666666674</v>
      </c>
      <c r="I215" s="1474"/>
      <c r="J215" s="1475"/>
      <c r="K215" s="1476"/>
      <c r="L215" s="835"/>
      <c r="M215" s="460"/>
      <c r="N215" s="162"/>
      <c r="O215" s="115" t="s">
        <v>813</v>
      </c>
      <c r="P215" s="191">
        <v>-0.15</v>
      </c>
      <c r="Q215" s="149">
        <v>4.4199999999999996E-2</v>
      </c>
      <c r="R215" s="150">
        <v>1.7999999999999999E-2</v>
      </c>
      <c r="S215" s="187">
        <v>-1</v>
      </c>
      <c r="T215" s="188">
        <v>8.43E-2</v>
      </c>
      <c r="U215" s="151">
        <v>-29.826556701030924</v>
      </c>
      <c r="V215" s="152">
        <v>137.69999999999999</v>
      </c>
      <c r="W215" s="189">
        <v>3</v>
      </c>
      <c r="X215" s="153">
        <v>89.479670103092772</v>
      </c>
      <c r="Y215" s="154" t="s">
        <v>814</v>
      </c>
      <c r="Z215" s="154"/>
    </row>
    <row r="216" spans="3:26" ht="24">
      <c r="C216" s="162"/>
      <c r="D216" s="497">
        <v>45504</v>
      </c>
      <c r="E216" s="190" t="s">
        <v>282</v>
      </c>
      <c r="F216" s="190" t="s">
        <v>548</v>
      </c>
      <c r="G216" s="190" t="s">
        <v>292</v>
      </c>
      <c r="H216" s="837">
        <v>0.51041666666666674</v>
      </c>
      <c r="I216" s="1474"/>
      <c r="J216" s="1475"/>
      <c r="K216" s="1476"/>
      <c r="L216" s="838"/>
      <c r="M216" s="460"/>
      <c r="N216" s="162"/>
      <c r="O216" s="115"/>
      <c r="P216" s="116"/>
      <c r="Q216" s="149"/>
      <c r="R216" s="150"/>
      <c r="S216" s="119"/>
      <c r="T216" s="116"/>
      <c r="U216" s="151"/>
      <c r="V216" s="152"/>
      <c r="W216" s="119"/>
      <c r="X216" s="153"/>
      <c r="Y216" s="154"/>
      <c r="Z216" s="154"/>
    </row>
    <row r="217" spans="3:26" ht="24">
      <c r="C217" s="162"/>
      <c r="D217" s="497">
        <v>45476</v>
      </c>
      <c r="E217" s="190" t="s">
        <v>122</v>
      </c>
      <c r="F217" s="190" t="s">
        <v>550</v>
      </c>
      <c r="G217" s="190" t="s">
        <v>551</v>
      </c>
      <c r="H217" s="837">
        <v>0.51041666666666674</v>
      </c>
      <c r="I217" s="1474"/>
      <c r="J217" s="1475"/>
      <c r="K217" s="1476"/>
      <c r="L217" s="835"/>
      <c r="M217" s="460"/>
      <c r="N217" s="162"/>
      <c r="O217" s="115"/>
      <c r="P217" s="116"/>
      <c r="Q217" s="149"/>
      <c r="R217" s="150"/>
      <c r="S217" s="119"/>
      <c r="T217" s="116"/>
      <c r="U217" s="151"/>
      <c r="V217" s="152"/>
      <c r="W217" s="119"/>
      <c r="X217" s="153"/>
      <c r="Y217" s="154"/>
      <c r="Z217" s="154"/>
    </row>
    <row r="218" spans="3:26" ht="24">
      <c r="C218" s="162"/>
      <c r="D218" s="497">
        <v>45448</v>
      </c>
      <c r="E218" s="190" t="s">
        <v>15</v>
      </c>
      <c r="F218" s="190" t="s">
        <v>553</v>
      </c>
      <c r="G218" s="190" t="s">
        <v>554</v>
      </c>
      <c r="H218" s="837">
        <v>0.51041666666666674</v>
      </c>
      <c r="I218" s="1474"/>
      <c r="J218" s="1475"/>
      <c r="K218" s="1476"/>
      <c r="L218" s="835"/>
      <c r="M218" s="460"/>
      <c r="N218" s="162"/>
      <c r="O218" s="89"/>
      <c r="P218" s="89"/>
      <c r="Q218" s="89"/>
      <c r="R218" s="89"/>
      <c r="S218" s="89"/>
      <c r="T218" s="89"/>
      <c r="U218" s="89"/>
      <c r="V218" s="89"/>
      <c r="W218" s="89"/>
      <c r="X218" s="89"/>
      <c r="Y218" s="89"/>
      <c r="Z218" s="89"/>
    </row>
    <row r="219" spans="3:26" ht="24">
      <c r="C219" s="162"/>
      <c r="D219" s="497">
        <v>45413</v>
      </c>
      <c r="E219" s="190" t="s">
        <v>555</v>
      </c>
      <c r="F219" s="190" t="s">
        <v>556</v>
      </c>
      <c r="G219" s="190" t="s">
        <v>557</v>
      </c>
      <c r="H219" s="837">
        <v>0.51041666666666674</v>
      </c>
      <c r="I219" s="1477"/>
      <c r="J219" s="1478"/>
      <c r="K219" s="1479"/>
      <c r="L219" s="835"/>
      <c r="M219" s="460"/>
      <c r="N219" s="162"/>
      <c r="O219" s="89"/>
      <c r="P219" s="89"/>
      <c r="Q219" s="89"/>
      <c r="R219" s="89"/>
      <c r="S219" s="89"/>
      <c r="T219" s="89"/>
      <c r="U219" s="89"/>
      <c r="V219" s="89"/>
      <c r="W219" s="89"/>
      <c r="X219" s="89"/>
      <c r="Y219" s="89"/>
      <c r="Z219" s="89"/>
    </row>
    <row r="220" spans="3:26" ht="48">
      <c r="C220" s="162" t="s">
        <v>105</v>
      </c>
      <c r="D220" s="496" t="s">
        <v>30</v>
      </c>
      <c r="E220" s="1460" t="s">
        <v>835</v>
      </c>
      <c r="F220" s="1460"/>
      <c r="G220" s="1460"/>
      <c r="H220" s="832" t="s">
        <v>790</v>
      </c>
      <c r="I220" s="1468" t="s">
        <v>633</v>
      </c>
      <c r="J220" s="1469"/>
      <c r="K220" s="1470"/>
      <c r="L220" s="833" t="s">
        <v>430</v>
      </c>
      <c r="M220" s="373" t="s">
        <v>431</v>
      </c>
      <c r="N220" s="162" t="s">
        <v>105</v>
      </c>
      <c r="O220" s="114" t="s">
        <v>800</v>
      </c>
      <c r="P220" s="114" t="s">
        <v>801</v>
      </c>
      <c r="Q220" s="114" t="s">
        <v>802</v>
      </c>
      <c r="R220" s="114" t="s">
        <v>803</v>
      </c>
      <c r="S220" s="114" t="s">
        <v>804</v>
      </c>
      <c r="T220" s="114" t="s">
        <v>805</v>
      </c>
      <c r="U220" s="114" t="s">
        <v>806</v>
      </c>
      <c r="V220" s="114" t="s">
        <v>807</v>
      </c>
      <c r="W220" s="114" t="s">
        <v>808</v>
      </c>
      <c r="X220" s="114" t="s">
        <v>809</v>
      </c>
      <c r="Y220" s="114" t="s">
        <v>75</v>
      </c>
      <c r="Z220" s="114" t="s">
        <v>75</v>
      </c>
    </row>
    <row r="221" spans="3:26" ht="24">
      <c r="C221" s="162"/>
      <c r="D221" s="490" t="s">
        <v>432</v>
      </c>
      <c r="E221" s="1464"/>
      <c r="F221" s="1464"/>
      <c r="G221" s="1464"/>
      <c r="H221" s="834" t="s">
        <v>794</v>
      </c>
      <c r="I221" s="1471" t="s">
        <v>836</v>
      </c>
      <c r="J221" s="1472"/>
      <c r="K221" s="1473"/>
      <c r="L221" s="835"/>
      <c r="M221" s="460"/>
      <c r="N221" s="162"/>
      <c r="O221" s="115" t="s">
        <v>810</v>
      </c>
      <c r="P221" s="163">
        <v>0.1</v>
      </c>
      <c r="Q221" s="164">
        <v>2.1000000000000001E-2</v>
      </c>
      <c r="R221" s="165">
        <v>1.7000000000000001E-2</v>
      </c>
      <c r="S221" s="119">
        <v>0</v>
      </c>
      <c r="T221" s="115">
        <v>4.8500000000000001E-2</v>
      </c>
      <c r="U221" s="164">
        <v>-11.44</v>
      </c>
      <c r="V221" s="163">
        <v>91.8</v>
      </c>
      <c r="W221" s="166">
        <v>2</v>
      </c>
      <c r="X221" s="153"/>
      <c r="Y221" s="120"/>
      <c r="Z221" s="120"/>
    </row>
    <row r="222" spans="3:26" ht="24">
      <c r="C222" s="162"/>
      <c r="D222" s="490" t="s">
        <v>433</v>
      </c>
      <c r="E222" s="1485">
        <v>0.03</v>
      </c>
      <c r="F222" s="1485"/>
      <c r="G222" s="1485"/>
      <c r="H222" s="834" t="s">
        <v>795</v>
      </c>
      <c r="I222" s="1474"/>
      <c r="J222" s="1475"/>
      <c r="K222" s="1476"/>
      <c r="L222" s="835"/>
      <c r="M222" s="460"/>
      <c r="N222" s="162"/>
      <c r="O222" s="121"/>
      <c r="P222" s="121"/>
      <c r="Q222" s="121"/>
      <c r="R222" s="122"/>
      <c r="S222" s="123"/>
      <c r="T222" s="121"/>
      <c r="U222" s="121"/>
      <c r="V222" s="121"/>
      <c r="W222" s="121"/>
      <c r="X222" s="123"/>
      <c r="Y222" s="124"/>
      <c r="Z222" s="124"/>
    </row>
    <row r="223" spans="3:26" ht="24">
      <c r="C223" s="162"/>
      <c r="D223" s="490" t="s">
        <v>434</v>
      </c>
      <c r="E223" s="1485">
        <v>0.03</v>
      </c>
      <c r="F223" s="1485"/>
      <c r="G223" s="1485"/>
      <c r="H223" s="832"/>
      <c r="I223" s="1474"/>
      <c r="J223" s="1475"/>
      <c r="K223" s="1476"/>
      <c r="L223" s="835"/>
      <c r="M223" s="460"/>
      <c r="N223" s="162"/>
      <c r="O223" s="125" t="s">
        <v>811</v>
      </c>
      <c r="P223" s="167">
        <v>0.1</v>
      </c>
      <c r="Q223" s="168">
        <v>3.8399999999999997E-2</v>
      </c>
      <c r="R223" s="169">
        <v>1.7000000000000001E-2</v>
      </c>
      <c r="S223" s="179">
        <v>1</v>
      </c>
      <c r="T223" s="125">
        <v>7.46E-2</v>
      </c>
      <c r="U223" s="130">
        <v>-17.596371134020615</v>
      </c>
      <c r="V223" s="131">
        <v>91.8</v>
      </c>
      <c r="W223" s="180">
        <v>5.59</v>
      </c>
      <c r="X223" s="133">
        <v>98.363714639175228</v>
      </c>
      <c r="Y223" s="134"/>
      <c r="Z223" s="134"/>
    </row>
    <row r="224" spans="3:26" ht="24">
      <c r="C224" s="162"/>
      <c r="D224" s="490" t="s">
        <v>435</v>
      </c>
      <c r="E224" s="1458">
        <v>0.52083333333333337</v>
      </c>
      <c r="F224" s="1458"/>
      <c r="G224" s="1458"/>
      <c r="H224" s="832"/>
      <c r="I224" s="1474"/>
      <c r="J224" s="1475"/>
      <c r="K224" s="1476"/>
      <c r="L224" s="836">
        <v>0.75</v>
      </c>
      <c r="M224" s="461">
        <v>0.64583333333333337</v>
      </c>
      <c r="N224" s="162"/>
      <c r="O224" s="135" t="s">
        <v>812</v>
      </c>
      <c r="P224" s="171">
        <v>0.1</v>
      </c>
      <c r="Q224" s="156">
        <v>5.9933333333333338E-2</v>
      </c>
      <c r="R224" s="172">
        <v>1.4E-2</v>
      </c>
      <c r="S224" s="181">
        <v>1</v>
      </c>
      <c r="T224" s="173">
        <v>0.10390000000000001</v>
      </c>
      <c r="U224" s="140">
        <v>-24.507546391752577</v>
      </c>
      <c r="V224" s="141">
        <v>91.8</v>
      </c>
      <c r="W224" s="182">
        <v>3.85</v>
      </c>
      <c r="X224" s="143">
        <v>94.354053608247426</v>
      </c>
      <c r="Y224" s="144"/>
      <c r="Z224" s="144"/>
    </row>
    <row r="225" spans="3:26" ht="24">
      <c r="C225" s="162"/>
      <c r="D225" s="490" t="s">
        <v>436</v>
      </c>
      <c r="E225" s="175" t="s">
        <v>29</v>
      </c>
      <c r="F225" s="175" t="s">
        <v>28</v>
      </c>
      <c r="G225" s="175" t="s">
        <v>27</v>
      </c>
      <c r="H225" s="832" t="s">
        <v>793</v>
      </c>
      <c r="I225" s="1474"/>
      <c r="J225" s="1475"/>
      <c r="K225" s="1476"/>
      <c r="L225" s="835"/>
      <c r="M225" s="460"/>
      <c r="N225" s="162"/>
      <c r="O225" s="123"/>
      <c r="P225" s="145"/>
      <c r="Q225" s="123"/>
      <c r="R225" s="123"/>
      <c r="S225" s="183"/>
      <c r="T225" s="123"/>
      <c r="U225" s="146"/>
      <c r="V225" s="147"/>
      <c r="W225" s="184"/>
      <c r="X225" s="146"/>
      <c r="Y225" s="124"/>
      <c r="Z225" s="124"/>
    </row>
    <row r="226" spans="3:26" ht="24">
      <c r="C226" s="162"/>
      <c r="D226" s="497">
        <v>45561</v>
      </c>
      <c r="E226" s="178">
        <v>0.03</v>
      </c>
      <c r="F226" s="178" t="s">
        <v>669</v>
      </c>
      <c r="G226" s="178">
        <v>1.6E-2</v>
      </c>
      <c r="H226" s="837">
        <v>0.52083333333333337</v>
      </c>
      <c r="I226" s="1474"/>
      <c r="J226" s="1475"/>
      <c r="K226" s="1476"/>
      <c r="L226" s="835"/>
      <c r="M226" s="460"/>
      <c r="N226" s="162"/>
      <c r="O226" s="148"/>
      <c r="P226" s="124"/>
      <c r="Q226" s="148"/>
      <c r="R226" s="148"/>
      <c r="S226" s="183"/>
      <c r="T226" s="148"/>
      <c r="U226" s="148"/>
      <c r="V226" s="148"/>
      <c r="W226" s="186"/>
      <c r="X226" s="148"/>
      <c r="Y226" s="124"/>
      <c r="Z226" s="124"/>
    </row>
    <row r="227" spans="3:26" ht="24">
      <c r="C227" s="162"/>
      <c r="D227" s="497">
        <v>45533</v>
      </c>
      <c r="E227" s="178">
        <v>0.03</v>
      </c>
      <c r="F227" s="178" t="s">
        <v>666</v>
      </c>
      <c r="G227" s="178">
        <v>1.4E-2</v>
      </c>
      <c r="H227" s="837">
        <v>0.52083333333333337</v>
      </c>
      <c r="I227" s="1474"/>
      <c r="J227" s="1475"/>
      <c r="K227" s="1476"/>
      <c r="L227" s="835"/>
      <c r="M227" s="460"/>
      <c r="N227" s="162"/>
      <c r="O227" s="115" t="s">
        <v>813</v>
      </c>
      <c r="P227" s="191">
        <v>-0.12</v>
      </c>
      <c r="Q227" s="149">
        <v>5.9933333333333338E-2</v>
      </c>
      <c r="R227" s="150">
        <v>1.4E-2</v>
      </c>
      <c r="S227" s="187">
        <v>-1</v>
      </c>
      <c r="T227" s="188">
        <v>0.10390000000000001</v>
      </c>
      <c r="U227" s="151">
        <v>-29.40905567010309</v>
      </c>
      <c r="V227" s="152">
        <v>110.16</v>
      </c>
      <c r="W227" s="189">
        <v>3.5</v>
      </c>
      <c r="X227" s="153">
        <v>102.93169484536081</v>
      </c>
      <c r="Y227" s="154" t="s">
        <v>814</v>
      </c>
      <c r="Z227" s="154"/>
    </row>
    <row r="228" spans="3:26" ht="24">
      <c r="C228" s="162"/>
      <c r="D228" s="497">
        <v>45498</v>
      </c>
      <c r="E228" s="178">
        <v>2.8000000000000001E-2</v>
      </c>
      <c r="F228" s="178" t="s">
        <v>788</v>
      </c>
      <c r="G228" s="178">
        <v>1.4E-2</v>
      </c>
      <c r="H228" s="837">
        <v>0.52083333333333337</v>
      </c>
      <c r="I228" s="1474"/>
      <c r="J228" s="1475"/>
      <c r="K228" s="1476"/>
      <c r="L228" s="838"/>
      <c r="M228" s="460"/>
      <c r="N228" s="162"/>
      <c r="O228" s="115"/>
      <c r="P228" s="116"/>
      <c r="Q228" s="149"/>
      <c r="R228" s="150"/>
      <c r="S228" s="119"/>
      <c r="T228" s="116"/>
      <c r="U228" s="151"/>
      <c r="V228" s="152"/>
      <c r="W228" s="119"/>
      <c r="X228" s="153"/>
      <c r="Y228" s="154"/>
      <c r="Z228" s="154"/>
    </row>
    <row r="229" spans="3:26" ht="24">
      <c r="C229" s="162"/>
      <c r="D229" s="497">
        <v>45470</v>
      </c>
      <c r="E229" s="178">
        <v>1.4E-2</v>
      </c>
      <c r="F229" s="178" t="s">
        <v>889</v>
      </c>
      <c r="G229" s="178">
        <v>3.4000000000000002E-2</v>
      </c>
      <c r="H229" s="837">
        <v>0.52083333333333337</v>
      </c>
      <c r="I229" s="1474"/>
      <c r="J229" s="1475"/>
      <c r="K229" s="1476"/>
      <c r="L229" s="835"/>
      <c r="M229" s="460"/>
      <c r="N229" s="162"/>
      <c r="O229" s="115"/>
      <c r="P229" s="116"/>
      <c r="Q229" s="149"/>
      <c r="R229" s="150"/>
      <c r="S229" s="119"/>
      <c r="T229" s="116"/>
      <c r="U229" s="151"/>
      <c r="V229" s="152"/>
      <c r="W229" s="119"/>
      <c r="X229" s="153"/>
      <c r="Y229" s="154"/>
      <c r="Z229" s="154"/>
    </row>
    <row r="230" spans="3:26" ht="24">
      <c r="C230" s="162"/>
      <c r="D230" s="497">
        <v>45442</v>
      </c>
      <c r="E230" s="178">
        <v>1.2999999999999999E-2</v>
      </c>
      <c r="F230" s="178" t="s">
        <v>890</v>
      </c>
      <c r="G230" s="178">
        <v>3.4000000000000002E-2</v>
      </c>
      <c r="H230" s="837">
        <v>0.52083333333333337</v>
      </c>
      <c r="I230" s="1474"/>
      <c r="J230" s="1475"/>
      <c r="K230" s="1476"/>
      <c r="L230" s="835"/>
      <c r="M230" s="460"/>
      <c r="N230" s="162"/>
      <c r="O230" s="89"/>
      <c r="P230" s="89"/>
      <c r="Q230" s="89"/>
      <c r="R230" s="89"/>
      <c r="S230" s="89"/>
      <c r="T230" s="89"/>
      <c r="U230" s="89"/>
      <c r="V230" s="89"/>
      <c r="W230" s="89"/>
      <c r="X230" s="89"/>
      <c r="Y230" s="89"/>
      <c r="Z230" s="89"/>
    </row>
    <row r="231" spans="3:26" ht="24">
      <c r="C231" s="162"/>
      <c r="D231" s="497">
        <v>45407</v>
      </c>
      <c r="E231" s="178">
        <v>1.6E-2</v>
      </c>
      <c r="F231" s="178" t="s">
        <v>495</v>
      </c>
      <c r="G231" s="178">
        <v>3.4000000000000002E-2</v>
      </c>
      <c r="H231" s="837">
        <v>0.52083333333333337</v>
      </c>
      <c r="I231" s="1477"/>
      <c r="J231" s="1478"/>
      <c r="K231" s="1479"/>
      <c r="L231" s="835"/>
      <c r="M231" s="460"/>
      <c r="N231" s="162"/>
      <c r="O231" s="89"/>
      <c r="P231" s="89"/>
      <c r="Q231" s="89"/>
      <c r="R231" s="89"/>
      <c r="S231" s="89"/>
      <c r="T231" s="89"/>
      <c r="U231" s="89"/>
      <c r="V231" s="89"/>
      <c r="W231" s="89"/>
      <c r="X231" s="89"/>
      <c r="Y231" s="89"/>
      <c r="Z231" s="89"/>
    </row>
    <row r="232" spans="3:26" ht="48">
      <c r="C232" s="162" t="s">
        <v>105</v>
      </c>
      <c r="D232" s="496" t="s">
        <v>30</v>
      </c>
      <c r="E232" s="1460" t="s">
        <v>837</v>
      </c>
      <c r="F232" s="1460"/>
      <c r="G232" s="1460"/>
      <c r="H232" s="832" t="s">
        <v>790</v>
      </c>
      <c r="I232" s="1468" t="s">
        <v>633</v>
      </c>
      <c r="J232" s="1469"/>
      <c r="K232" s="1470"/>
      <c r="L232" s="833" t="s">
        <v>430</v>
      </c>
      <c r="M232" s="373" t="s">
        <v>431</v>
      </c>
      <c r="N232" s="162" t="s">
        <v>105</v>
      </c>
      <c r="O232" s="114" t="s">
        <v>800</v>
      </c>
      <c r="P232" s="114" t="s">
        <v>801</v>
      </c>
      <c r="Q232" s="114" t="s">
        <v>802</v>
      </c>
      <c r="R232" s="114" t="s">
        <v>803</v>
      </c>
      <c r="S232" s="114" t="s">
        <v>804</v>
      </c>
      <c r="T232" s="114" t="s">
        <v>805</v>
      </c>
      <c r="U232" s="114" t="s">
        <v>806</v>
      </c>
      <c r="V232" s="114" t="s">
        <v>807</v>
      </c>
      <c r="W232" s="114" t="s">
        <v>808</v>
      </c>
      <c r="X232" s="114" t="s">
        <v>809</v>
      </c>
      <c r="Y232" s="114" t="s">
        <v>75</v>
      </c>
      <c r="Z232" s="114" t="s">
        <v>75</v>
      </c>
    </row>
    <row r="233" spans="3:26" ht="24">
      <c r="C233" s="162"/>
      <c r="D233" s="490" t="s">
        <v>432</v>
      </c>
      <c r="E233" s="1464"/>
      <c r="F233" s="1464"/>
      <c r="G233" s="1464"/>
      <c r="H233" s="834" t="s">
        <v>909</v>
      </c>
      <c r="I233" s="1471" t="s">
        <v>838</v>
      </c>
      <c r="J233" s="1472"/>
      <c r="K233" s="1473"/>
      <c r="L233" s="835"/>
      <c r="M233" s="460"/>
      <c r="N233" s="162"/>
      <c r="O233" s="115" t="s">
        <v>810</v>
      </c>
      <c r="P233" s="163">
        <v>0.1</v>
      </c>
      <c r="Q233" s="164">
        <v>1.2999999999999999E-2</v>
      </c>
      <c r="R233" s="165">
        <v>2.199999999999136E-2</v>
      </c>
      <c r="S233" s="119">
        <v>0</v>
      </c>
      <c r="T233" s="115">
        <v>4.1499999999991363E-2</v>
      </c>
      <c r="U233" s="164">
        <v>-10.74</v>
      </c>
      <c r="V233" s="163">
        <v>60.23</v>
      </c>
      <c r="W233" s="166"/>
      <c r="X233" s="153"/>
      <c r="Y233" s="120"/>
      <c r="Z233" s="120"/>
    </row>
    <row r="234" spans="3:26" ht="24">
      <c r="C234" s="162"/>
      <c r="D234" s="490" t="s">
        <v>433</v>
      </c>
      <c r="E234" s="1482">
        <v>2E-3</v>
      </c>
      <c r="F234" s="1482"/>
      <c r="G234" s="1482"/>
      <c r="H234" s="834" t="s">
        <v>910</v>
      </c>
      <c r="I234" s="1474"/>
      <c r="J234" s="1475"/>
      <c r="K234" s="1476"/>
      <c r="L234" s="835"/>
      <c r="M234" s="460"/>
      <c r="N234" s="162"/>
      <c r="O234" s="121"/>
      <c r="P234" s="121"/>
      <c r="Q234" s="121"/>
      <c r="R234" s="122"/>
      <c r="S234" s="123"/>
      <c r="T234" s="121"/>
      <c r="U234" s="121"/>
      <c r="V234" s="121"/>
      <c r="W234" s="121"/>
      <c r="X234" s="123"/>
      <c r="Y234" s="124"/>
      <c r="Z234" s="124"/>
    </row>
    <row r="235" spans="3:26" ht="24">
      <c r="C235" s="162"/>
      <c r="D235" s="490" t="s">
        <v>434</v>
      </c>
      <c r="E235" s="1482">
        <v>0</v>
      </c>
      <c r="F235" s="1482"/>
      <c r="G235" s="1482"/>
      <c r="H235" s="832"/>
      <c r="I235" s="1474"/>
      <c r="J235" s="1475"/>
      <c r="K235" s="1476"/>
      <c r="L235" s="835"/>
      <c r="M235" s="460"/>
      <c r="N235" s="162"/>
      <c r="O235" s="125" t="s">
        <v>811</v>
      </c>
      <c r="P235" s="167">
        <v>0.1</v>
      </c>
      <c r="Q235" s="168">
        <v>3.8399999999999997E-2</v>
      </c>
      <c r="R235" s="169">
        <v>2.199999999999136E-2</v>
      </c>
      <c r="S235" s="179">
        <v>1</v>
      </c>
      <c r="T235" s="125">
        <v>7.9599999999991358E-2</v>
      </c>
      <c r="U235" s="130">
        <v>-20.600096385544219</v>
      </c>
      <c r="V235" s="131">
        <v>91.8</v>
      </c>
      <c r="W235" s="180">
        <v>5.59</v>
      </c>
      <c r="X235" s="133">
        <v>115.15453879519218</v>
      </c>
      <c r="Y235" s="134"/>
      <c r="Z235" s="134"/>
    </row>
    <row r="236" spans="3:26" ht="24">
      <c r="C236" s="162"/>
      <c r="D236" s="490" t="s">
        <v>435</v>
      </c>
      <c r="E236" s="1458">
        <v>0.54166666666666674</v>
      </c>
      <c r="F236" s="1458"/>
      <c r="G236" s="1458"/>
      <c r="H236" s="832"/>
      <c r="I236" s="1474"/>
      <c r="J236" s="1475"/>
      <c r="K236" s="1476"/>
      <c r="L236" s="836">
        <v>0.77083333333333337</v>
      </c>
      <c r="M236" s="461">
        <v>0.66666666666666674</v>
      </c>
      <c r="N236" s="162"/>
      <c r="O236" s="135" t="s">
        <v>812</v>
      </c>
      <c r="P236" s="171">
        <v>0.1</v>
      </c>
      <c r="Q236" s="156">
        <v>5.9933333333333338E-2</v>
      </c>
      <c r="R236" s="172">
        <v>1.4E-2</v>
      </c>
      <c r="S236" s="181">
        <v>1</v>
      </c>
      <c r="T236" s="173">
        <v>0.10390000000000001</v>
      </c>
      <c r="U236" s="140">
        <v>-26.888819277114031</v>
      </c>
      <c r="V236" s="141">
        <v>91.8</v>
      </c>
      <c r="W236" s="182">
        <v>3.85</v>
      </c>
      <c r="X236" s="143">
        <v>103.52195421688903</v>
      </c>
      <c r="Y236" s="144"/>
      <c r="Z236" s="144"/>
    </row>
    <row r="237" spans="3:26" ht="24">
      <c r="C237" s="162"/>
      <c r="D237" s="490" t="s">
        <v>436</v>
      </c>
      <c r="E237" s="175" t="s">
        <v>29</v>
      </c>
      <c r="F237" s="175" t="s">
        <v>28</v>
      </c>
      <c r="G237" s="175" t="s">
        <v>27</v>
      </c>
      <c r="H237" s="832" t="s">
        <v>793</v>
      </c>
      <c r="I237" s="1474"/>
      <c r="J237" s="1475"/>
      <c r="K237" s="1476"/>
      <c r="L237" s="835"/>
      <c r="M237" s="460"/>
      <c r="N237" s="162"/>
      <c r="O237" s="192"/>
      <c r="P237" s="145"/>
      <c r="Q237" s="123"/>
      <c r="R237" s="123"/>
      <c r="S237" s="183"/>
      <c r="T237" s="123"/>
      <c r="U237" s="146"/>
      <c r="V237" s="147"/>
      <c r="W237" s="184"/>
      <c r="X237" s="146"/>
      <c r="Y237" s="124"/>
      <c r="Z237" s="124"/>
    </row>
    <row r="238" spans="3:26" ht="24">
      <c r="C238" s="162"/>
      <c r="D238" s="497">
        <v>45576</v>
      </c>
      <c r="E238" s="178">
        <v>0</v>
      </c>
      <c r="F238" s="178" t="s">
        <v>458</v>
      </c>
      <c r="G238" s="178">
        <v>-1E-3</v>
      </c>
      <c r="H238" s="837">
        <v>0.24999999999999997</v>
      </c>
      <c r="I238" s="1474"/>
      <c r="J238" s="1475"/>
      <c r="K238" s="1476"/>
      <c r="L238" s="839">
        <v>0.47916666666666663</v>
      </c>
      <c r="M238" s="460"/>
      <c r="N238" s="162"/>
      <c r="O238" s="148"/>
      <c r="P238" s="124"/>
      <c r="Q238" s="148"/>
      <c r="R238" s="148"/>
      <c r="S238" s="183"/>
      <c r="T238" s="148"/>
      <c r="U238" s="148"/>
      <c r="V238" s="148"/>
      <c r="W238" s="186"/>
      <c r="X238" s="148"/>
      <c r="Y238" s="124"/>
      <c r="Z238" s="124"/>
    </row>
    <row r="239" spans="3:26" ht="24">
      <c r="C239" s="162"/>
      <c r="D239" s="497">
        <v>45565</v>
      </c>
      <c r="E239" s="178">
        <v>0</v>
      </c>
      <c r="F239" s="178" t="s">
        <v>462</v>
      </c>
      <c r="G239" s="178">
        <v>-1E-3</v>
      </c>
      <c r="H239" s="837">
        <v>0.5</v>
      </c>
      <c r="I239" s="1474"/>
      <c r="J239" s="1475"/>
      <c r="K239" s="1476"/>
      <c r="L239" s="839">
        <v>0.72916666666666663</v>
      </c>
      <c r="M239" s="460"/>
      <c r="N239" s="162"/>
      <c r="O239" s="115" t="s">
        <v>813</v>
      </c>
      <c r="P239" s="191">
        <v>-0.12</v>
      </c>
      <c r="Q239" s="149">
        <v>5.9933333333333338E-2</v>
      </c>
      <c r="R239" s="150">
        <v>1.4E-2</v>
      </c>
      <c r="S239" s="187">
        <v>-1</v>
      </c>
      <c r="T239" s="188">
        <v>0.10390000000000001</v>
      </c>
      <c r="U239" s="151">
        <v>-32.266583132536837</v>
      </c>
      <c r="V239" s="152">
        <v>110.16</v>
      </c>
      <c r="W239" s="189">
        <v>3.5</v>
      </c>
      <c r="X239" s="153">
        <v>112.93304096387894</v>
      </c>
      <c r="Y239" s="154" t="s">
        <v>814</v>
      </c>
      <c r="Z239" s="154"/>
    </row>
    <row r="240" spans="3:26" ht="24">
      <c r="C240" s="162"/>
      <c r="D240" s="497">
        <v>45545</v>
      </c>
      <c r="E240" s="178">
        <v>-1E-3</v>
      </c>
      <c r="F240" s="178" t="s">
        <v>456</v>
      </c>
      <c r="G240" s="178">
        <v>3.0000000000000001E-3</v>
      </c>
      <c r="H240" s="837">
        <v>0.24999999999999997</v>
      </c>
      <c r="I240" s="1474"/>
      <c r="J240" s="1475"/>
      <c r="K240" s="1476"/>
      <c r="L240" s="839">
        <v>0.47916666666666663</v>
      </c>
      <c r="M240" s="460"/>
      <c r="N240" s="162"/>
      <c r="O240" s="115"/>
      <c r="P240" s="116"/>
      <c r="Q240" s="149"/>
      <c r="R240" s="150"/>
      <c r="S240" s="119"/>
      <c r="T240" s="116"/>
      <c r="U240" s="151"/>
      <c r="V240" s="152"/>
      <c r="W240" s="119"/>
      <c r="X240" s="153"/>
      <c r="Y240" s="154"/>
      <c r="Z240" s="154"/>
    </row>
    <row r="241" spans="3:26" ht="24">
      <c r="C241" s="162"/>
      <c r="D241" s="497">
        <v>45533</v>
      </c>
      <c r="E241" s="178">
        <v>-1E-3</v>
      </c>
      <c r="F241" s="178" t="s">
        <v>458</v>
      </c>
      <c r="G241" s="178">
        <v>3.0000000000000001E-3</v>
      </c>
      <c r="H241" s="837">
        <v>0.5</v>
      </c>
      <c r="I241" s="1474"/>
      <c r="J241" s="1475"/>
      <c r="K241" s="1476"/>
      <c r="L241" s="839">
        <v>0.72916666666666663</v>
      </c>
      <c r="M241" s="460"/>
      <c r="N241" s="162"/>
      <c r="O241" s="115"/>
      <c r="P241" s="116"/>
      <c r="Q241" s="149"/>
      <c r="R241" s="150"/>
      <c r="S241" s="119"/>
      <c r="T241" s="116"/>
      <c r="U241" s="151"/>
      <c r="V241" s="152"/>
      <c r="W241" s="119"/>
      <c r="X241" s="153"/>
      <c r="Y241" s="154"/>
      <c r="Z241" s="154"/>
    </row>
    <row r="242" spans="3:26" ht="24">
      <c r="C242" s="162"/>
      <c r="D242" s="497">
        <v>45513</v>
      </c>
      <c r="E242" s="178">
        <v>3.0000000000000001E-3</v>
      </c>
      <c r="F242" s="178" t="s">
        <v>467</v>
      </c>
      <c r="G242" s="178">
        <v>1E-3</v>
      </c>
      <c r="H242" s="837">
        <v>0.24999999999999997</v>
      </c>
      <c r="I242" s="1474"/>
      <c r="J242" s="1475"/>
      <c r="K242" s="1476"/>
      <c r="L242" s="839">
        <v>0.47916666666666663</v>
      </c>
      <c r="M242" s="460"/>
      <c r="N242" s="162"/>
      <c r="O242" s="89"/>
      <c r="P242" s="89"/>
      <c r="Q242" s="89"/>
      <c r="R242" s="89"/>
      <c r="S242" s="89"/>
      <c r="T242" s="89"/>
      <c r="U242" s="89"/>
      <c r="V242" s="89"/>
      <c r="W242" s="89"/>
      <c r="X242" s="89"/>
      <c r="Y242" s="89"/>
      <c r="Z242" s="89"/>
    </row>
    <row r="243" spans="3:26" ht="24">
      <c r="C243" s="162"/>
      <c r="D243" s="497">
        <v>45503</v>
      </c>
      <c r="E243" s="178">
        <v>3.0000000000000001E-3</v>
      </c>
      <c r="F243" s="178" t="s">
        <v>467</v>
      </c>
      <c r="G243" s="178">
        <v>1E-3</v>
      </c>
      <c r="H243" s="837">
        <v>0.5</v>
      </c>
      <c r="I243" s="1477"/>
      <c r="J243" s="1478"/>
      <c r="K243" s="1479"/>
      <c r="L243" s="839">
        <v>0.72916666666666663</v>
      </c>
      <c r="M243" s="460"/>
      <c r="N243" s="162"/>
      <c r="O243" s="89"/>
      <c r="P243" s="89"/>
      <c r="Q243" s="89"/>
      <c r="R243" s="89"/>
      <c r="S243" s="89"/>
      <c r="T243" s="89"/>
      <c r="U243" s="89"/>
      <c r="V243" s="89"/>
      <c r="W243" s="89"/>
      <c r="X243" s="89"/>
      <c r="Y243" s="89"/>
      <c r="Z243" s="89"/>
    </row>
    <row r="244" spans="3:26" ht="48">
      <c r="C244" s="162" t="s">
        <v>105</v>
      </c>
      <c r="D244" s="496" t="s">
        <v>30</v>
      </c>
      <c r="E244" s="1460" t="s">
        <v>9</v>
      </c>
      <c r="F244" s="1460"/>
      <c r="G244" s="1460"/>
      <c r="H244" s="832" t="s">
        <v>790</v>
      </c>
      <c r="I244" s="1468" t="s">
        <v>633</v>
      </c>
      <c r="J244" s="1469"/>
      <c r="K244" s="1470"/>
      <c r="L244" s="833" t="s">
        <v>430</v>
      </c>
      <c r="M244" s="373" t="s">
        <v>431</v>
      </c>
      <c r="N244" s="162" t="s">
        <v>105</v>
      </c>
      <c r="O244" s="114" t="s">
        <v>800</v>
      </c>
      <c r="P244" s="114" t="s">
        <v>801</v>
      </c>
      <c r="Q244" s="114" t="s">
        <v>802</v>
      </c>
      <c r="R244" s="114" t="s">
        <v>803</v>
      </c>
      <c r="S244" s="114" t="s">
        <v>804</v>
      </c>
      <c r="T244" s="114" t="s">
        <v>805</v>
      </c>
      <c r="U244" s="114" t="s">
        <v>806</v>
      </c>
      <c r="V244" s="114" t="s">
        <v>807</v>
      </c>
      <c r="W244" s="114" t="s">
        <v>808</v>
      </c>
      <c r="X244" s="114" t="s">
        <v>809</v>
      </c>
      <c r="Y244" s="114" t="s">
        <v>75</v>
      </c>
      <c r="Z244" s="114" t="s">
        <v>75</v>
      </c>
    </row>
    <row r="245" spans="3:26" ht="24">
      <c r="C245" s="162"/>
      <c r="D245" s="490" t="s">
        <v>432</v>
      </c>
      <c r="E245" s="1464"/>
      <c r="F245" s="1464"/>
      <c r="G245" s="1464"/>
      <c r="H245" s="834" t="s">
        <v>796</v>
      </c>
      <c r="I245" s="1471" t="s">
        <v>840</v>
      </c>
      <c r="J245" s="1472"/>
      <c r="K245" s="1473"/>
      <c r="L245" s="835"/>
      <c r="M245" s="460"/>
      <c r="N245" s="162"/>
      <c r="O245" s="115" t="s">
        <v>810</v>
      </c>
      <c r="P245" s="116">
        <v>0.1</v>
      </c>
      <c r="Q245" s="117">
        <v>3.9E-2</v>
      </c>
      <c r="R245" s="118">
        <v>2.1000000000015007E-2</v>
      </c>
      <c r="S245" s="119"/>
      <c r="T245" s="115">
        <v>7.9500000000015003E-2</v>
      </c>
      <c r="U245" s="117">
        <v>-18.989999999999998</v>
      </c>
      <c r="V245" s="116">
        <v>91.8</v>
      </c>
      <c r="W245" s="119"/>
      <c r="X245" s="119"/>
      <c r="Y245" s="120"/>
      <c r="Z245" s="120"/>
    </row>
    <row r="246" spans="3:26" ht="24">
      <c r="C246" s="162"/>
      <c r="D246" s="490" t="s">
        <v>433</v>
      </c>
      <c r="E246" s="1484">
        <v>0</v>
      </c>
      <c r="F246" s="1484"/>
      <c r="G246" s="1484"/>
      <c r="H246" s="834" t="s">
        <v>796</v>
      </c>
      <c r="I246" s="1474"/>
      <c r="J246" s="1475"/>
      <c r="K246" s="1476"/>
      <c r="L246" s="835"/>
      <c r="M246" s="460"/>
      <c r="N246" s="162"/>
      <c r="O246" s="121"/>
      <c r="P246" s="121"/>
      <c r="Q246" s="121"/>
      <c r="R246" s="122"/>
      <c r="S246" s="123"/>
      <c r="T246" s="121"/>
      <c r="U246" s="121"/>
      <c r="V246" s="121"/>
      <c r="W246" s="123"/>
      <c r="X246" s="123"/>
      <c r="Y246" s="124"/>
      <c r="Z246" s="124"/>
    </row>
    <row r="247" spans="3:26" ht="24">
      <c r="C247" s="162"/>
      <c r="D247" s="490" t="s">
        <v>434</v>
      </c>
      <c r="E247" s="1484" t="s">
        <v>839</v>
      </c>
      <c r="F247" s="1484"/>
      <c r="G247" s="1484"/>
      <c r="H247" s="832"/>
      <c r="I247" s="1474"/>
      <c r="J247" s="1475"/>
      <c r="K247" s="1476"/>
      <c r="L247" s="835"/>
      <c r="M247" s="460"/>
      <c r="N247" s="162"/>
      <c r="O247" s="125" t="s">
        <v>811</v>
      </c>
      <c r="P247" s="126">
        <v>0.1</v>
      </c>
      <c r="Q247" s="127">
        <v>7.22E-2</v>
      </c>
      <c r="R247" s="128">
        <v>1.4999999999999999E-2</v>
      </c>
      <c r="S247" s="129">
        <v>1</v>
      </c>
      <c r="T247" s="125">
        <v>0.12330000000000001</v>
      </c>
      <c r="U247" s="130">
        <v>-29.452415094334064</v>
      </c>
      <c r="V247" s="131">
        <v>91.8</v>
      </c>
      <c r="W247" s="132">
        <v>4.88</v>
      </c>
      <c r="X247" s="133">
        <v>143.72778566035024</v>
      </c>
      <c r="Y247" s="134"/>
      <c r="Z247" s="134">
        <v>4.4350000000000005</v>
      </c>
    </row>
    <row r="248" spans="3:26" ht="24">
      <c r="C248" s="162"/>
      <c r="D248" s="490" t="s">
        <v>435</v>
      </c>
      <c r="E248" s="1457">
        <v>0.72916666666666674</v>
      </c>
      <c r="F248" s="1457"/>
      <c r="G248" s="1457"/>
      <c r="H248" s="832"/>
      <c r="I248" s="1474"/>
      <c r="J248" s="1475"/>
      <c r="K248" s="1476"/>
      <c r="L248" s="836">
        <v>0.83333333333333337</v>
      </c>
      <c r="M248" s="461">
        <v>0.72916666666666674</v>
      </c>
      <c r="N248" s="162"/>
      <c r="O248" s="135" t="s">
        <v>812</v>
      </c>
      <c r="P248" s="136">
        <v>0.1</v>
      </c>
      <c r="Q248" s="137">
        <v>4.0533333333333338E-2</v>
      </c>
      <c r="R248" s="138">
        <v>1.4999999999999999E-2</v>
      </c>
      <c r="S248" s="139">
        <v>0.5</v>
      </c>
      <c r="T248" s="135">
        <v>7.5800000000000006E-2</v>
      </c>
      <c r="U248" s="140">
        <v>-9.0530943396209338</v>
      </c>
      <c r="V248" s="141">
        <v>91.8</v>
      </c>
      <c r="W248" s="142">
        <v>2.3650000000000002</v>
      </c>
      <c r="X248" s="143">
        <v>21.41056811320351</v>
      </c>
      <c r="Y248" s="144"/>
      <c r="Z248" s="144"/>
    </row>
    <row r="249" spans="3:26" ht="24">
      <c r="C249" s="162"/>
      <c r="D249" s="490" t="s">
        <v>436</v>
      </c>
      <c r="E249" s="175" t="s">
        <v>29</v>
      </c>
      <c r="F249" s="175" t="s">
        <v>28</v>
      </c>
      <c r="G249" s="175" t="s">
        <v>27</v>
      </c>
      <c r="H249" s="832" t="s">
        <v>793</v>
      </c>
      <c r="I249" s="1474"/>
      <c r="J249" s="1475"/>
      <c r="K249" s="1476"/>
      <c r="L249" s="835"/>
      <c r="M249" s="460"/>
      <c r="N249" s="162"/>
      <c r="O249" s="123"/>
      <c r="P249" s="145"/>
      <c r="Q249" s="123"/>
      <c r="R249" s="123"/>
      <c r="S249" s="123"/>
      <c r="T249" s="123"/>
      <c r="U249" s="146"/>
      <c r="V249" s="147"/>
      <c r="W249" s="123"/>
      <c r="X249" s="146"/>
      <c r="Y249" s="124"/>
      <c r="Z249" s="124"/>
    </row>
    <row r="250" spans="3:26" ht="24">
      <c r="C250" s="162"/>
      <c r="D250" s="497">
        <v>45588</v>
      </c>
      <c r="E250" s="190" t="s">
        <v>839</v>
      </c>
      <c r="F250" s="190" t="s">
        <v>891</v>
      </c>
      <c r="G250" s="190" t="s">
        <v>699</v>
      </c>
      <c r="H250" s="837">
        <v>0.72916666666666674</v>
      </c>
      <c r="I250" s="1474"/>
      <c r="J250" s="1475"/>
      <c r="K250" s="1476"/>
      <c r="L250" s="835"/>
      <c r="M250" s="460"/>
      <c r="N250" s="162"/>
      <c r="O250" s="148"/>
      <c r="P250" s="124"/>
      <c r="Q250" s="148"/>
      <c r="R250" s="148"/>
      <c r="S250" s="148"/>
      <c r="T250" s="148"/>
      <c r="U250" s="148"/>
      <c r="V250" s="148"/>
      <c r="W250" s="148"/>
      <c r="X250" s="148"/>
      <c r="Y250" s="124"/>
      <c r="Z250" s="124"/>
    </row>
    <row r="251" spans="3:26" ht="24">
      <c r="C251" s="162"/>
      <c r="D251" s="497">
        <v>45582</v>
      </c>
      <c r="E251" s="190" t="s">
        <v>699</v>
      </c>
      <c r="F251" s="190" t="s">
        <v>731</v>
      </c>
      <c r="G251" s="190" t="s">
        <v>677</v>
      </c>
      <c r="H251" s="837">
        <v>0.72916666666666674</v>
      </c>
      <c r="I251" s="1474"/>
      <c r="J251" s="1475"/>
      <c r="K251" s="1476"/>
      <c r="L251" s="835"/>
      <c r="M251" s="460"/>
      <c r="N251" s="162"/>
      <c r="O251" s="115" t="s">
        <v>813</v>
      </c>
      <c r="P251" s="116">
        <v>0.25</v>
      </c>
      <c r="Q251" s="149">
        <v>4.0533333333333338E-2</v>
      </c>
      <c r="R251" s="150">
        <v>1.4999999999999999E-2</v>
      </c>
      <c r="S251" s="119">
        <v>0.5</v>
      </c>
      <c r="T251" s="116">
        <v>7.5800000000000006E-2</v>
      </c>
      <c r="U251" s="151">
        <v>-22.632735849052334</v>
      </c>
      <c r="V251" s="152">
        <v>229.5</v>
      </c>
      <c r="W251" s="119">
        <v>2</v>
      </c>
      <c r="X251" s="153">
        <v>45.265471698104669</v>
      </c>
      <c r="Y251" s="154" t="s">
        <v>814</v>
      </c>
      <c r="Z251" s="154"/>
    </row>
    <row r="252" spans="3:26" ht="24">
      <c r="C252" s="162"/>
      <c r="D252" s="497">
        <v>45574</v>
      </c>
      <c r="E252" s="190" t="s">
        <v>677</v>
      </c>
      <c r="F252" s="190" t="s">
        <v>732</v>
      </c>
      <c r="G252" s="190" t="s">
        <v>637</v>
      </c>
      <c r="H252" s="837">
        <v>0.72916666666666674</v>
      </c>
      <c r="I252" s="1474"/>
      <c r="J252" s="1475"/>
      <c r="K252" s="1476"/>
      <c r="L252" s="838"/>
      <c r="M252" s="460"/>
      <c r="N252" s="162"/>
      <c r="O252" s="115" t="s">
        <v>813</v>
      </c>
      <c r="P252" s="116">
        <v>0.25</v>
      </c>
      <c r="Q252" s="149">
        <v>4.0533333333333338E-2</v>
      </c>
      <c r="R252" s="150">
        <v>1.4999999999999999E-2</v>
      </c>
      <c r="S252" s="119">
        <v>0.5</v>
      </c>
      <c r="T252" s="116">
        <v>7.5800000000000006E-2</v>
      </c>
      <c r="U252" s="151">
        <v>-22.349278350515466</v>
      </c>
      <c r="V252" s="152">
        <v>229.5</v>
      </c>
      <c r="W252" s="119">
        <v>2</v>
      </c>
      <c r="X252" s="153">
        <v>44.698556701030931</v>
      </c>
      <c r="Y252" s="154"/>
      <c r="Z252" s="154"/>
    </row>
    <row r="253" spans="3:26" ht="24">
      <c r="C253" s="162"/>
      <c r="D253" s="497">
        <v>45567</v>
      </c>
      <c r="E253" s="190" t="s">
        <v>637</v>
      </c>
      <c r="F253" s="190" t="s">
        <v>733</v>
      </c>
      <c r="G253" s="190" t="s">
        <v>380</v>
      </c>
      <c r="H253" s="837">
        <v>0.72916666666666674</v>
      </c>
      <c r="I253" s="1474"/>
      <c r="J253" s="1475"/>
      <c r="K253" s="1476"/>
      <c r="L253" s="835"/>
      <c r="M253" s="460"/>
      <c r="N253" s="162"/>
      <c r="O253" s="115" t="s">
        <v>816</v>
      </c>
      <c r="P253" s="116"/>
      <c r="Q253" s="149"/>
      <c r="R253" s="150"/>
      <c r="S253" s="119"/>
      <c r="T253" s="116"/>
      <c r="U253" s="151">
        <v>-22.349278350515466</v>
      </c>
      <c r="V253" s="152"/>
      <c r="W253" s="119"/>
      <c r="X253" s="153">
        <v>44.698556701030931</v>
      </c>
      <c r="Y253" s="154"/>
      <c r="Z253" s="154"/>
    </row>
    <row r="254" spans="3:26" ht="24">
      <c r="C254" s="162"/>
      <c r="D254" s="497">
        <v>45560</v>
      </c>
      <c r="E254" s="190" t="s">
        <v>380</v>
      </c>
      <c r="F254" s="190" t="s">
        <v>564</v>
      </c>
      <c r="G254" s="190" t="s">
        <v>337</v>
      </c>
      <c r="H254" s="837">
        <v>0.72916666666666674</v>
      </c>
      <c r="I254" s="1474"/>
      <c r="J254" s="1475"/>
      <c r="K254" s="1476"/>
      <c r="L254" s="835"/>
      <c r="M254" s="460"/>
      <c r="N254" s="162"/>
      <c r="O254" s="89"/>
      <c r="P254" s="89"/>
      <c r="Q254" s="89"/>
      <c r="R254" s="89"/>
      <c r="S254" s="89"/>
      <c r="T254" s="89"/>
      <c r="U254" s="89"/>
      <c r="V254" s="89"/>
      <c r="W254" s="89"/>
      <c r="X254" s="89"/>
      <c r="Y254" s="89"/>
      <c r="Z254" s="89"/>
    </row>
    <row r="255" spans="3:26" ht="24">
      <c r="C255" s="162"/>
      <c r="D255" s="497">
        <v>45553</v>
      </c>
      <c r="E255" s="190" t="s">
        <v>337</v>
      </c>
      <c r="F255" s="190" t="s">
        <v>565</v>
      </c>
      <c r="G255" s="190" t="s">
        <v>339</v>
      </c>
      <c r="H255" s="837">
        <v>0.72916666666666674</v>
      </c>
      <c r="I255" s="1477"/>
      <c r="J255" s="1478"/>
      <c r="K255" s="1479"/>
      <c r="L255" s="835"/>
      <c r="M255" s="460"/>
      <c r="N255" s="162"/>
      <c r="O255" s="89"/>
      <c r="P255" s="89"/>
      <c r="Q255" s="89"/>
      <c r="R255" s="89"/>
      <c r="S255" s="89"/>
      <c r="T255" s="89"/>
      <c r="U255" s="89"/>
      <c r="V255" s="89"/>
      <c r="W255" s="89"/>
      <c r="X255" s="89"/>
      <c r="Y255" s="89"/>
      <c r="Z255" s="89"/>
    </row>
    <row r="256" spans="3:26" ht="48">
      <c r="C256" s="162" t="s">
        <v>105</v>
      </c>
      <c r="D256" s="496" t="s">
        <v>30</v>
      </c>
      <c r="E256" s="1460" t="s">
        <v>842</v>
      </c>
      <c r="F256" s="1460"/>
      <c r="G256" s="1460"/>
      <c r="H256" s="832" t="s">
        <v>790</v>
      </c>
      <c r="I256" s="1468" t="s">
        <v>633</v>
      </c>
      <c r="J256" s="1469"/>
      <c r="K256" s="1470"/>
      <c r="L256" s="833" t="s">
        <v>430</v>
      </c>
      <c r="M256" s="373" t="s">
        <v>431</v>
      </c>
      <c r="N256" s="162" t="s">
        <v>105</v>
      </c>
      <c r="O256" s="114" t="s">
        <v>800</v>
      </c>
      <c r="P256" s="114" t="s">
        <v>801</v>
      </c>
      <c r="Q256" s="114" t="s">
        <v>802</v>
      </c>
      <c r="R256" s="114" t="s">
        <v>803</v>
      </c>
      <c r="S256" s="114" t="s">
        <v>804</v>
      </c>
      <c r="T256" s="114" t="s">
        <v>805</v>
      </c>
      <c r="U256" s="114" t="s">
        <v>806</v>
      </c>
      <c r="V256" s="114" t="s">
        <v>807</v>
      </c>
      <c r="W256" s="114" t="s">
        <v>808</v>
      </c>
      <c r="X256" s="114" t="s">
        <v>809</v>
      </c>
      <c r="Y256" s="114" t="s">
        <v>75</v>
      </c>
      <c r="Z256" s="114" t="s">
        <v>75</v>
      </c>
    </row>
    <row r="257" spans="3:26" ht="24">
      <c r="C257" s="162"/>
      <c r="D257" s="490" t="s">
        <v>432</v>
      </c>
      <c r="E257" s="1464"/>
      <c r="F257" s="1464"/>
      <c r="G257" s="1464"/>
      <c r="H257" s="834" t="s">
        <v>911</v>
      </c>
      <c r="I257" s="1471" t="s">
        <v>843</v>
      </c>
      <c r="J257" s="1472"/>
      <c r="K257" s="1473"/>
      <c r="L257" s="835"/>
      <c r="M257" s="460"/>
      <c r="N257" s="162"/>
      <c r="O257" s="115" t="s">
        <v>810</v>
      </c>
      <c r="P257" s="116">
        <v>0.1</v>
      </c>
      <c r="Q257" s="117">
        <v>3.9E-2</v>
      </c>
      <c r="R257" s="118">
        <v>2.1000000000015007E-2</v>
      </c>
      <c r="S257" s="119"/>
      <c r="T257" s="115">
        <v>7.9500000000015003E-2</v>
      </c>
      <c r="U257" s="117">
        <v>-18.989999999999998</v>
      </c>
      <c r="V257" s="116">
        <v>91.8</v>
      </c>
      <c r="W257" s="119"/>
      <c r="X257" s="119"/>
      <c r="Y257" s="120"/>
      <c r="Z257" s="120"/>
    </row>
    <row r="258" spans="3:26" ht="24">
      <c r="C258" s="162"/>
      <c r="D258" s="490" t="s">
        <v>433</v>
      </c>
      <c r="E258" s="1453">
        <v>50</v>
      </c>
      <c r="F258" s="1453"/>
      <c r="G258" s="1453"/>
      <c r="H258" s="834" t="s">
        <v>912</v>
      </c>
      <c r="I258" s="1474"/>
      <c r="J258" s="1475"/>
      <c r="K258" s="1476"/>
      <c r="L258" s="835"/>
      <c r="M258" s="460"/>
      <c r="N258" s="162"/>
      <c r="O258" s="121"/>
      <c r="P258" s="121"/>
      <c r="Q258" s="121"/>
      <c r="R258" s="122"/>
      <c r="S258" s="123"/>
      <c r="T258" s="121"/>
      <c r="U258" s="121"/>
      <c r="V258" s="121"/>
      <c r="W258" s="123"/>
      <c r="X258" s="123"/>
      <c r="Y258" s="124"/>
      <c r="Z258" s="124"/>
    </row>
    <row r="259" spans="3:26" ht="24">
      <c r="C259" s="162"/>
      <c r="D259" s="490" t="s">
        <v>434</v>
      </c>
      <c r="E259" s="1453">
        <v>49.8</v>
      </c>
      <c r="F259" s="1453"/>
      <c r="G259" s="1453"/>
      <c r="H259" s="832"/>
      <c r="I259" s="1474"/>
      <c r="J259" s="1475"/>
      <c r="K259" s="1476"/>
      <c r="L259" s="835"/>
      <c r="M259" s="460"/>
      <c r="N259" s="162"/>
      <c r="O259" s="125" t="s">
        <v>811</v>
      </c>
      <c r="P259" s="126">
        <v>0.1</v>
      </c>
      <c r="Q259" s="127">
        <v>7.22E-2</v>
      </c>
      <c r="R259" s="128">
        <v>1.4999999999999999E-2</v>
      </c>
      <c r="S259" s="129">
        <v>1</v>
      </c>
      <c r="T259" s="125">
        <v>0.12330000000000001</v>
      </c>
      <c r="U259" s="130">
        <v>-29.452415094334064</v>
      </c>
      <c r="V259" s="131">
        <v>91.8</v>
      </c>
      <c r="W259" s="132">
        <v>4.88</v>
      </c>
      <c r="X259" s="133">
        <v>143.72778566035024</v>
      </c>
      <c r="Y259" s="134"/>
      <c r="Z259" s="134">
        <v>4.4350000000000005</v>
      </c>
    </row>
    <row r="260" spans="3:26" ht="24">
      <c r="C260" s="162"/>
      <c r="D260" s="490" t="s">
        <v>435</v>
      </c>
      <c r="E260" s="1458">
        <v>6.2500000000000028E-2</v>
      </c>
      <c r="F260" s="1458"/>
      <c r="G260" s="1458"/>
      <c r="H260" s="832"/>
      <c r="I260" s="1474"/>
      <c r="J260" s="1475"/>
      <c r="K260" s="1476"/>
      <c r="L260" s="836">
        <v>0.29166666666666669</v>
      </c>
      <c r="M260" s="461">
        <v>0.1875</v>
      </c>
      <c r="N260" s="162"/>
      <c r="O260" s="135" t="s">
        <v>812</v>
      </c>
      <c r="P260" s="136">
        <v>0.1</v>
      </c>
      <c r="Q260" s="137">
        <v>4.0533333333333338E-2</v>
      </c>
      <c r="R260" s="138">
        <v>1.4999999999999999E-2</v>
      </c>
      <c r="S260" s="139">
        <v>0.5</v>
      </c>
      <c r="T260" s="135">
        <v>7.5800000000000006E-2</v>
      </c>
      <c r="U260" s="140">
        <v>-9.0530943396209338</v>
      </c>
      <c r="V260" s="141">
        <v>91.8</v>
      </c>
      <c r="W260" s="142">
        <v>2.3650000000000002</v>
      </c>
      <c r="X260" s="143">
        <v>21.41056811320351</v>
      </c>
      <c r="Y260" s="144"/>
      <c r="Z260" s="144"/>
    </row>
    <row r="261" spans="3:26" ht="24">
      <c r="C261" s="162"/>
      <c r="D261" s="490" t="s">
        <v>436</v>
      </c>
      <c r="E261" s="175" t="s">
        <v>29</v>
      </c>
      <c r="F261" s="175" t="s">
        <v>28</v>
      </c>
      <c r="G261" s="175" t="s">
        <v>27</v>
      </c>
      <c r="H261" s="832" t="s">
        <v>793</v>
      </c>
      <c r="I261" s="1474"/>
      <c r="J261" s="1475"/>
      <c r="K261" s="1476"/>
      <c r="L261" s="835"/>
      <c r="M261" s="460"/>
      <c r="N261" s="162"/>
      <c r="O261" s="123"/>
      <c r="P261" s="145"/>
      <c r="Q261" s="123"/>
      <c r="R261" s="123"/>
      <c r="S261" s="123"/>
      <c r="T261" s="123"/>
      <c r="U261" s="146"/>
      <c r="V261" s="147"/>
      <c r="W261" s="123"/>
      <c r="X261" s="146"/>
      <c r="Y261" s="124"/>
      <c r="Z261" s="124"/>
    </row>
    <row r="262" spans="3:26" ht="24">
      <c r="C262" s="162"/>
      <c r="D262" s="497">
        <v>45565</v>
      </c>
      <c r="E262" s="190">
        <v>49.8</v>
      </c>
      <c r="F262" s="190" t="s">
        <v>440</v>
      </c>
      <c r="G262" s="190">
        <v>49.1</v>
      </c>
      <c r="H262" s="837">
        <v>6.2500000000000028E-2</v>
      </c>
      <c r="I262" s="1474"/>
      <c r="J262" s="1475"/>
      <c r="K262" s="1476"/>
      <c r="L262" s="835"/>
      <c r="M262" s="460"/>
      <c r="N262" s="162"/>
      <c r="O262" s="148"/>
      <c r="P262" s="124"/>
      <c r="Q262" s="148"/>
      <c r="R262" s="148"/>
      <c r="S262" s="148"/>
      <c r="T262" s="148"/>
      <c r="U262" s="148"/>
      <c r="V262" s="148"/>
      <c r="W262" s="148"/>
      <c r="X262" s="148"/>
      <c r="Y262" s="124"/>
      <c r="Z262" s="124"/>
    </row>
    <row r="263" spans="3:26" ht="24">
      <c r="C263" s="162"/>
      <c r="D263" s="497">
        <v>45535</v>
      </c>
      <c r="E263" s="190">
        <v>49.1</v>
      </c>
      <c r="F263" s="190" t="s">
        <v>438</v>
      </c>
      <c r="G263" s="190">
        <v>49.4</v>
      </c>
      <c r="H263" s="837">
        <v>6.2500000000000028E-2</v>
      </c>
      <c r="I263" s="1474"/>
      <c r="J263" s="1475"/>
      <c r="K263" s="1476"/>
      <c r="L263" s="835"/>
      <c r="M263" s="460"/>
      <c r="N263" s="162"/>
      <c r="O263" s="115" t="s">
        <v>813</v>
      </c>
      <c r="P263" s="116">
        <v>0.25</v>
      </c>
      <c r="Q263" s="149">
        <v>4.0533333333333338E-2</v>
      </c>
      <c r="R263" s="150">
        <v>1.4999999999999999E-2</v>
      </c>
      <c r="S263" s="119">
        <v>0.5</v>
      </c>
      <c r="T263" s="116">
        <v>7.5800000000000006E-2</v>
      </c>
      <c r="U263" s="151">
        <v>-22.632735849052334</v>
      </c>
      <c r="V263" s="152">
        <v>229.5</v>
      </c>
      <c r="W263" s="119">
        <v>2</v>
      </c>
      <c r="X263" s="153">
        <v>45.265471698104669</v>
      </c>
      <c r="Y263" s="154" t="s">
        <v>814</v>
      </c>
      <c r="Z263" s="154"/>
    </row>
    <row r="264" spans="3:26" ht="24">
      <c r="C264" s="162"/>
      <c r="D264" s="497">
        <v>45504</v>
      </c>
      <c r="E264" s="190">
        <v>49.4</v>
      </c>
      <c r="F264" s="190" t="s">
        <v>440</v>
      </c>
      <c r="G264" s="190">
        <v>49.5</v>
      </c>
      <c r="H264" s="837">
        <v>6.2500000000000028E-2</v>
      </c>
      <c r="I264" s="1474"/>
      <c r="J264" s="1475"/>
      <c r="K264" s="1476"/>
      <c r="L264" s="838"/>
      <c r="M264" s="460"/>
      <c r="N264" s="162"/>
      <c r="O264" s="115" t="s">
        <v>813</v>
      </c>
      <c r="P264" s="116">
        <v>0.25</v>
      </c>
      <c r="Q264" s="149">
        <v>4.0533333333333338E-2</v>
      </c>
      <c r="R264" s="150">
        <v>1.4999999999999999E-2</v>
      </c>
      <c r="S264" s="119">
        <v>0.5</v>
      </c>
      <c r="T264" s="116">
        <v>7.5800000000000006E-2</v>
      </c>
      <c r="U264" s="151">
        <v>-22.349278350515466</v>
      </c>
      <c r="V264" s="152">
        <v>229.5</v>
      </c>
      <c r="W264" s="119">
        <v>2</v>
      </c>
      <c r="X264" s="153">
        <v>44.698556701030931</v>
      </c>
      <c r="Y264" s="154"/>
      <c r="Z264" s="154"/>
    </row>
    <row r="265" spans="3:26" ht="24">
      <c r="C265" s="162"/>
      <c r="D265" s="497">
        <v>45473</v>
      </c>
      <c r="E265" s="190">
        <v>49.5</v>
      </c>
      <c r="F265" s="190" t="s">
        <v>438</v>
      </c>
      <c r="G265" s="190">
        <v>49.5</v>
      </c>
      <c r="H265" s="837">
        <v>6.2500000000000028E-2</v>
      </c>
      <c r="I265" s="1474"/>
      <c r="J265" s="1475"/>
      <c r="K265" s="1476"/>
      <c r="L265" s="835"/>
      <c r="M265" s="460"/>
      <c r="N265" s="162"/>
      <c r="O265" s="115" t="s">
        <v>816</v>
      </c>
      <c r="P265" s="116"/>
      <c r="Q265" s="149"/>
      <c r="R265" s="150"/>
      <c r="S265" s="119"/>
      <c r="T265" s="116"/>
      <c r="U265" s="151">
        <v>-22.349278350515466</v>
      </c>
      <c r="V265" s="152"/>
      <c r="W265" s="119"/>
      <c r="X265" s="153">
        <v>44.698556701030931</v>
      </c>
      <c r="Y265" s="154"/>
      <c r="Z265" s="154"/>
    </row>
    <row r="266" spans="3:26" ht="24">
      <c r="C266" s="162"/>
      <c r="D266" s="497">
        <v>45443</v>
      </c>
      <c r="E266" s="190">
        <v>49.5</v>
      </c>
      <c r="F266" s="190" t="s">
        <v>443</v>
      </c>
      <c r="G266" s="190">
        <v>50.4</v>
      </c>
      <c r="H266" s="837">
        <v>6.2500000000000028E-2</v>
      </c>
      <c r="I266" s="1474"/>
      <c r="J266" s="1475"/>
      <c r="K266" s="1476"/>
      <c r="L266" s="835"/>
      <c r="M266" s="460"/>
      <c r="N266" s="162"/>
      <c r="O266" s="89"/>
      <c r="P266" s="89"/>
      <c r="Q266" s="89"/>
      <c r="R266" s="89"/>
      <c r="S266" s="89"/>
      <c r="T266" s="89"/>
      <c r="U266" s="89"/>
      <c r="V266" s="89"/>
      <c r="W266" s="89"/>
      <c r="X266" s="89"/>
      <c r="Y266" s="89"/>
      <c r="Z266" s="89"/>
    </row>
    <row r="267" spans="3:26" ht="24">
      <c r="C267" s="162"/>
      <c r="D267" s="497">
        <v>45412</v>
      </c>
      <c r="E267" s="190">
        <v>50.4</v>
      </c>
      <c r="F267" s="190" t="s">
        <v>445</v>
      </c>
      <c r="G267" s="190">
        <v>50.8</v>
      </c>
      <c r="H267" s="837">
        <v>6.2500000000000028E-2</v>
      </c>
      <c r="I267" s="1477"/>
      <c r="J267" s="1478"/>
      <c r="K267" s="1479"/>
      <c r="L267" s="835"/>
      <c r="M267" s="460"/>
      <c r="N267" s="162"/>
      <c r="O267" s="89"/>
      <c r="P267" s="89"/>
      <c r="Q267" s="89"/>
      <c r="R267" s="89"/>
      <c r="S267" s="89"/>
      <c r="T267" s="89"/>
      <c r="U267" s="89"/>
      <c r="V267" s="89"/>
      <c r="W267" s="89"/>
      <c r="X267" s="89"/>
      <c r="Y267" s="89"/>
      <c r="Z267" s="89"/>
    </row>
    <row r="268" spans="3:26" ht="48">
      <c r="C268" s="162" t="s">
        <v>105</v>
      </c>
      <c r="D268" s="496" t="s">
        <v>30</v>
      </c>
      <c r="E268" s="1460" t="s">
        <v>118</v>
      </c>
      <c r="F268" s="1460"/>
      <c r="G268" s="1460"/>
      <c r="H268" s="832" t="s">
        <v>790</v>
      </c>
      <c r="I268" s="1468" t="s">
        <v>633</v>
      </c>
      <c r="J268" s="1469"/>
      <c r="K268" s="1470"/>
      <c r="L268" s="833" t="s">
        <v>430</v>
      </c>
      <c r="M268" s="373" t="s">
        <v>431</v>
      </c>
      <c r="N268" s="162" t="s">
        <v>105</v>
      </c>
      <c r="O268" s="114" t="s">
        <v>800</v>
      </c>
      <c r="P268" s="114" t="s">
        <v>801</v>
      </c>
      <c r="Q268" s="114" t="s">
        <v>802</v>
      </c>
      <c r="R268" s="114" t="s">
        <v>803</v>
      </c>
      <c r="S268" s="114" t="s">
        <v>804</v>
      </c>
      <c r="T268" s="114" t="s">
        <v>805</v>
      </c>
      <c r="U268" s="114" t="s">
        <v>806</v>
      </c>
      <c r="V268" s="114" t="s">
        <v>807</v>
      </c>
      <c r="W268" s="114" t="s">
        <v>808</v>
      </c>
      <c r="X268" s="114" t="s">
        <v>809</v>
      </c>
      <c r="Y268" s="114" t="s">
        <v>75</v>
      </c>
      <c r="Z268" s="114" t="s">
        <v>75</v>
      </c>
    </row>
    <row r="269" spans="3:26" ht="24">
      <c r="C269" s="162"/>
      <c r="D269" s="490" t="s">
        <v>432</v>
      </c>
      <c r="E269" s="1464"/>
      <c r="F269" s="1464"/>
      <c r="G269" s="1464"/>
      <c r="H269" s="834" t="s">
        <v>794</v>
      </c>
      <c r="I269" s="1471" t="s">
        <v>844</v>
      </c>
      <c r="J269" s="1472"/>
      <c r="K269" s="1473"/>
      <c r="L269" s="835"/>
      <c r="M269" s="460"/>
      <c r="N269" s="162"/>
      <c r="O269" s="115" t="s">
        <v>810</v>
      </c>
      <c r="P269" s="163">
        <v>0.1</v>
      </c>
      <c r="Q269" s="164">
        <v>2.1000000000000001E-2</v>
      </c>
      <c r="R269" s="164">
        <v>1.5999999999991132E-2</v>
      </c>
      <c r="S269" s="119"/>
      <c r="T269" s="115">
        <v>8.0999999999986805E-2</v>
      </c>
      <c r="U269" s="164">
        <v>-11.31</v>
      </c>
      <c r="V269" s="164">
        <v>91.8</v>
      </c>
      <c r="W269" s="164"/>
      <c r="X269" s="153"/>
      <c r="Y269" s="120"/>
      <c r="Z269" s="120"/>
    </row>
    <row r="270" spans="3:26" ht="24">
      <c r="C270" s="162"/>
      <c r="D270" s="490" t="s">
        <v>433</v>
      </c>
      <c r="E270" s="1485">
        <v>2.5000000000000001E-3</v>
      </c>
      <c r="F270" s="1485"/>
      <c r="G270" s="1485"/>
      <c r="H270" s="834" t="s">
        <v>795</v>
      </c>
      <c r="I270" s="1474"/>
      <c r="J270" s="1475"/>
      <c r="K270" s="1476"/>
      <c r="L270" s="835"/>
      <c r="M270" s="460"/>
      <c r="N270" s="162"/>
      <c r="O270" s="121"/>
      <c r="P270" s="121"/>
      <c r="Q270" s="121"/>
      <c r="R270" s="122"/>
      <c r="S270" s="123"/>
      <c r="T270" s="121"/>
      <c r="U270" s="121"/>
      <c r="V270" s="121"/>
      <c r="W270" s="121"/>
      <c r="X270" s="123"/>
      <c r="Y270" s="124"/>
      <c r="Z270" s="124"/>
    </row>
    <row r="271" spans="3:26" ht="24">
      <c r="C271" s="162"/>
      <c r="D271" s="490" t="s">
        <v>434</v>
      </c>
      <c r="E271" s="1485">
        <v>2.5000000000000001E-3</v>
      </c>
      <c r="F271" s="1485"/>
      <c r="G271" s="1485"/>
      <c r="H271" s="832"/>
      <c r="I271" s="1474"/>
      <c r="J271" s="1475"/>
      <c r="K271" s="1476"/>
      <c r="L271" s="835"/>
      <c r="M271" s="460"/>
      <c r="N271" s="162"/>
      <c r="O271" s="125" t="s">
        <v>811</v>
      </c>
      <c r="P271" s="167">
        <v>0.1</v>
      </c>
      <c r="Q271" s="168">
        <v>0.13039999999999999</v>
      </c>
      <c r="R271" s="169">
        <v>1.4999999999999999E-2</v>
      </c>
      <c r="S271" s="179">
        <v>1</v>
      </c>
      <c r="T271" s="125">
        <v>0.21060000000000001</v>
      </c>
      <c r="U271" s="130">
        <v>-29.406000000004795</v>
      </c>
      <c r="V271" s="131">
        <v>91.8</v>
      </c>
      <c r="W271" s="180">
        <v>2.4300000000000002</v>
      </c>
      <c r="X271" s="133">
        <v>71.456580000011655</v>
      </c>
      <c r="Y271" s="134"/>
      <c r="Z271" s="134"/>
    </row>
    <row r="272" spans="3:26" ht="24">
      <c r="C272" s="162"/>
      <c r="D272" s="490" t="s">
        <v>435</v>
      </c>
      <c r="E272" s="1458">
        <v>0.12500000000000003</v>
      </c>
      <c r="F272" s="1458"/>
      <c r="G272" s="1458"/>
      <c r="H272" s="832"/>
      <c r="I272" s="1474"/>
      <c r="J272" s="1475"/>
      <c r="K272" s="1476"/>
      <c r="L272" s="836">
        <v>0.35416666666666669</v>
      </c>
      <c r="M272" s="461">
        <v>0.25</v>
      </c>
      <c r="N272" s="162"/>
      <c r="O272" s="135" t="s">
        <v>812</v>
      </c>
      <c r="P272" s="171">
        <v>0.1</v>
      </c>
      <c r="Q272" s="156">
        <v>0.13473333333333334</v>
      </c>
      <c r="R272" s="172">
        <v>1.4999999999999999E-2</v>
      </c>
      <c r="S272" s="181">
        <v>1</v>
      </c>
      <c r="T272" s="173">
        <v>0.21709999999999999</v>
      </c>
      <c r="U272" s="140">
        <v>-30.31359259259753</v>
      </c>
      <c r="V272" s="141">
        <v>91.8</v>
      </c>
      <c r="W272" s="182">
        <v>2.48</v>
      </c>
      <c r="X272" s="143">
        <v>75.177709629641868</v>
      </c>
      <c r="Y272" s="144"/>
      <c r="Z272" s="144"/>
    </row>
    <row r="273" spans="3:26" ht="24">
      <c r="C273" s="162"/>
      <c r="D273" s="490" t="s">
        <v>436</v>
      </c>
      <c r="E273" s="175" t="s">
        <v>29</v>
      </c>
      <c r="F273" s="175" t="s">
        <v>28</v>
      </c>
      <c r="G273" s="175" t="s">
        <v>27</v>
      </c>
      <c r="H273" s="832" t="s">
        <v>793</v>
      </c>
      <c r="I273" s="1474"/>
      <c r="J273" s="1475"/>
      <c r="K273" s="1476"/>
      <c r="L273" s="835"/>
      <c r="M273" s="460"/>
      <c r="N273" s="162"/>
      <c r="O273" s="123"/>
      <c r="P273" s="145"/>
      <c r="Q273" s="123"/>
      <c r="R273" s="123"/>
      <c r="S273" s="183"/>
      <c r="T273" s="123"/>
      <c r="U273" s="146"/>
      <c r="V273" s="147"/>
      <c r="W273" s="184"/>
      <c r="X273" s="146"/>
      <c r="Y273" s="124"/>
      <c r="Z273" s="124"/>
    </row>
    <row r="274" spans="3:26" ht="24">
      <c r="C274" s="162"/>
      <c r="D274" s="497">
        <v>45555</v>
      </c>
      <c r="E274" s="193">
        <v>2.5000000000000001E-3</v>
      </c>
      <c r="F274" s="193" t="s">
        <v>892</v>
      </c>
      <c r="G274" s="193">
        <v>2.5000000000000001E-3</v>
      </c>
      <c r="H274" s="837">
        <v>1.125</v>
      </c>
      <c r="I274" s="1474"/>
      <c r="J274" s="1475"/>
      <c r="K274" s="1476"/>
      <c r="L274" s="839">
        <v>1.3541666666666667</v>
      </c>
      <c r="M274" s="462">
        <v>1.25</v>
      </c>
      <c r="N274" s="162"/>
      <c r="O274" s="148"/>
      <c r="P274" s="124"/>
      <c r="Q274" s="148"/>
      <c r="R274" s="148"/>
      <c r="S274" s="183"/>
      <c r="T274" s="148"/>
      <c r="U274" s="148"/>
      <c r="V274" s="148"/>
      <c r="W274" s="186"/>
      <c r="X274" s="148"/>
      <c r="Y274" s="124"/>
      <c r="Z274" s="124"/>
    </row>
    <row r="275" spans="3:26" ht="24">
      <c r="C275" s="162"/>
      <c r="D275" s="497">
        <v>45504</v>
      </c>
      <c r="E275" s="193">
        <v>2.5000000000000001E-3</v>
      </c>
      <c r="F275" s="193" t="s">
        <v>893</v>
      </c>
      <c r="G275" s="193">
        <v>1E-3</v>
      </c>
      <c r="H275" s="837">
        <v>0.16666666666666671</v>
      </c>
      <c r="I275" s="1474"/>
      <c r="J275" s="1475"/>
      <c r="K275" s="1476"/>
      <c r="L275" s="839">
        <v>0.39583333333333337</v>
      </c>
      <c r="M275" s="462">
        <v>0.29166666666666669</v>
      </c>
      <c r="N275" s="162"/>
      <c r="O275" s="115" t="s">
        <v>813</v>
      </c>
      <c r="P275" s="191">
        <v>-0.1</v>
      </c>
      <c r="Q275" s="149">
        <v>0.13473333333333334</v>
      </c>
      <c r="R275" s="150">
        <v>1.4999999999999999E-2</v>
      </c>
      <c r="S275" s="187">
        <v>-1</v>
      </c>
      <c r="T275" s="188">
        <v>0.21709999999999999</v>
      </c>
      <c r="U275" s="151">
        <v>-30.31359259259753</v>
      </c>
      <c r="V275" s="152">
        <v>91.8</v>
      </c>
      <c r="W275" s="189">
        <v>2</v>
      </c>
      <c r="X275" s="153">
        <v>60.62718518519506</v>
      </c>
      <c r="Y275" s="154" t="s">
        <v>814</v>
      </c>
      <c r="Z275" s="154"/>
    </row>
    <row r="276" spans="3:26" ht="24">
      <c r="C276" s="162"/>
      <c r="D276" s="497">
        <v>45457</v>
      </c>
      <c r="E276" s="193">
        <v>1E-3</v>
      </c>
      <c r="F276" s="193" t="s">
        <v>893</v>
      </c>
      <c r="G276" s="193">
        <v>1E-3</v>
      </c>
      <c r="H276" s="837">
        <v>1.1423611111111112</v>
      </c>
      <c r="I276" s="1474"/>
      <c r="J276" s="1475"/>
      <c r="K276" s="1476"/>
      <c r="L276" s="839">
        <v>1.3715277777777779</v>
      </c>
      <c r="M276" s="462">
        <v>1.2673611111111112</v>
      </c>
      <c r="N276" s="162"/>
      <c r="O276" s="115"/>
      <c r="P276" s="116"/>
      <c r="Q276" s="149"/>
      <c r="R276" s="150"/>
      <c r="S276" s="119"/>
      <c r="T276" s="116"/>
      <c r="U276" s="151"/>
      <c r="V276" s="152"/>
      <c r="W276" s="119"/>
      <c r="X276" s="153"/>
      <c r="Y276" s="154"/>
      <c r="Z276" s="154"/>
    </row>
    <row r="277" spans="3:26" ht="24">
      <c r="C277" s="162"/>
      <c r="D277" s="497">
        <v>45408</v>
      </c>
      <c r="E277" s="193">
        <v>1E-3</v>
      </c>
      <c r="F277" s="193" t="s">
        <v>893</v>
      </c>
      <c r="G277" s="193">
        <v>1E-3</v>
      </c>
      <c r="H277" s="837">
        <v>1.125</v>
      </c>
      <c r="I277" s="1474"/>
      <c r="J277" s="1475"/>
      <c r="K277" s="1476"/>
      <c r="L277" s="839">
        <v>1.3541666666666667</v>
      </c>
      <c r="M277" s="462">
        <v>1.25</v>
      </c>
      <c r="N277" s="162"/>
      <c r="O277" s="115"/>
      <c r="P277" s="116"/>
      <c r="Q277" s="149"/>
      <c r="R277" s="150"/>
      <c r="S277" s="119"/>
      <c r="T277" s="116"/>
      <c r="U277" s="151"/>
      <c r="V277" s="152"/>
      <c r="W277" s="119"/>
      <c r="X277" s="153"/>
      <c r="Y277" s="154"/>
      <c r="Z277" s="154"/>
    </row>
    <row r="278" spans="3:26" ht="24">
      <c r="C278" s="162"/>
      <c r="D278" s="497">
        <v>45370</v>
      </c>
      <c r="E278" s="193">
        <v>1E-3</v>
      </c>
      <c r="F278" s="193" t="s">
        <v>893</v>
      </c>
      <c r="G278" s="193">
        <v>-1E-3</v>
      </c>
      <c r="H278" s="837">
        <v>1.1493055555555556</v>
      </c>
      <c r="I278" s="1474"/>
      <c r="J278" s="1475"/>
      <c r="K278" s="1476"/>
      <c r="L278" s="839">
        <v>1.3784722222222223</v>
      </c>
      <c r="M278" s="462">
        <v>1.2743055555555556</v>
      </c>
      <c r="N278" s="162"/>
      <c r="O278" s="89"/>
      <c r="P278" s="89"/>
      <c r="Q278" s="89"/>
      <c r="R278" s="89"/>
      <c r="S278" s="89"/>
      <c r="T278" s="89"/>
      <c r="U278" s="89"/>
      <c r="V278" s="89"/>
      <c r="W278" s="89"/>
      <c r="X278" s="89"/>
      <c r="Y278" s="89"/>
      <c r="Z278" s="89"/>
    </row>
    <row r="279" spans="3:26" ht="24">
      <c r="C279" s="162"/>
      <c r="D279" s="497">
        <v>45314</v>
      </c>
      <c r="E279" s="193">
        <v>-1E-3</v>
      </c>
      <c r="F279" s="193" t="s">
        <v>894</v>
      </c>
      <c r="G279" s="193">
        <v>-1E-3</v>
      </c>
      <c r="H279" s="837">
        <v>1.125</v>
      </c>
      <c r="I279" s="1477"/>
      <c r="J279" s="1478"/>
      <c r="K279" s="1479"/>
      <c r="L279" s="839">
        <v>1.3541666666666667</v>
      </c>
      <c r="M279" s="462">
        <v>1.25</v>
      </c>
      <c r="N279" s="162"/>
      <c r="O279" s="89"/>
      <c r="P279" s="89"/>
      <c r="Q279" s="89"/>
      <c r="R279" s="89"/>
      <c r="S279" s="89"/>
      <c r="T279" s="89"/>
      <c r="U279" s="89"/>
      <c r="V279" s="89"/>
      <c r="W279" s="89"/>
      <c r="X279" s="89"/>
      <c r="Y279" s="89"/>
      <c r="Z279" s="89"/>
    </row>
    <row r="280" spans="3:26" ht="48">
      <c r="C280" s="162" t="s">
        <v>105</v>
      </c>
      <c r="D280" s="496" t="s">
        <v>30</v>
      </c>
      <c r="E280" s="1460" t="s">
        <v>845</v>
      </c>
      <c r="F280" s="1460"/>
      <c r="G280" s="1460"/>
      <c r="H280" s="832" t="s">
        <v>790</v>
      </c>
      <c r="I280" s="1468" t="s">
        <v>633</v>
      </c>
      <c r="J280" s="1469"/>
      <c r="K280" s="1470"/>
      <c r="L280" s="833" t="s">
        <v>430</v>
      </c>
      <c r="M280" s="373" t="s">
        <v>431</v>
      </c>
      <c r="N280" s="162" t="s">
        <v>105</v>
      </c>
      <c r="O280" s="114" t="s">
        <v>800</v>
      </c>
      <c r="P280" s="114" t="s">
        <v>801</v>
      </c>
      <c r="Q280" s="114" t="s">
        <v>802</v>
      </c>
      <c r="R280" s="114" t="s">
        <v>803</v>
      </c>
      <c r="S280" s="114" t="s">
        <v>804</v>
      </c>
      <c r="T280" s="114" t="s">
        <v>805</v>
      </c>
      <c r="U280" s="114" t="s">
        <v>806</v>
      </c>
      <c r="V280" s="114" t="s">
        <v>807</v>
      </c>
      <c r="W280" s="114" t="s">
        <v>808</v>
      </c>
      <c r="X280" s="114" t="s">
        <v>809</v>
      </c>
      <c r="Y280" s="114" t="s">
        <v>75</v>
      </c>
      <c r="Z280" s="114" t="s">
        <v>75</v>
      </c>
    </row>
    <row r="281" spans="3:26" ht="24">
      <c r="C281" s="162"/>
      <c r="D281" s="490" t="s">
        <v>432</v>
      </c>
      <c r="E281" s="1464"/>
      <c r="F281" s="1464"/>
      <c r="G281" s="1464"/>
      <c r="H281" s="834" t="s">
        <v>909</v>
      </c>
      <c r="I281" s="1471" t="s">
        <v>846</v>
      </c>
      <c r="J281" s="1472"/>
      <c r="K281" s="1473"/>
      <c r="L281" s="835"/>
      <c r="M281" s="460"/>
      <c r="N281" s="162"/>
      <c r="O281" s="115" t="s">
        <v>810</v>
      </c>
      <c r="P281" s="116">
        <v>0.1</v>
      </c>
      <c r="Q281" s="117">
        <v>3.9E-2</v>
      </c>
      <c r="R281" s="118">
        <v>2.1000000000015007E-2</v>
      </c>
      <c r="S281" s="119"/>
      <c r="T281" s="115">
        <v>7.9500000000015003E-2</v>
      </c>
      <c r="U281" s="117">
        <v>-18.989999999999998</v>
      </c>
      <c r="V281" s="116">
        <v>91.8</v>
      </c>
      <c r="W281" s="119"/>
      <c r="X281" s="119"/>
      <c r="Y281" s="120"/>
      <c r="Z281" s="120"/>
    </row>
    <row r="282" spans="3:26" ht="24">
      <c r="C282" s="162"/>
      <c r="D282" s="490" t="s">
        <v>433</v>
      </c>
      <c r="E282" s="1483">
        <v>1.9E-2</v>
      </c>
      <c r="F282" s="1483"/>
      <c r="G282" s="1483"/>
      <c r="H282" s="834" t="s">
        <v>910</v>
      </c>
      <c r="I282" s="1474"/>
      <c r="J282" s="1475"/>
      <c r="K282" s="1476"/>
      <c r="L282" s="835"/>
      <c r="M282" s="460"/>
      <c r="N282" s="162"/>
      <c r="O282" s="121"/>
      <c r="P282" s="121"/>
      <c r="Q282" s="121"/>
      <c r="R282" s="122"/>
      <c r="S282" s="123"/>
      <c r="T282" s="121"/>
      <c r="U282" s="121"/>
      <c r="V282" s="121"/>
      <c r="W282" s="123"/>
      <c r="X282" s="123"/>
      <c r="Y282" s="124"/>
      <c r="Z282" s="124"/>
    </row>
    <row r="283" spans="3:26" ht="24">
      <c r="C283" s="162"/>
      <c r="D283" s="490" t="s">
        <v>434</v>
      </c>
      <c r="E283" s="1483">
        <v>1.7000000000000001E-2</v>
      </c>
      <c r="F283" s="1483"/>
      <c r="G283" s="1483"/>
      <c r="H283" s="832"/>
      <c r="I283" s="1474"/>
      <c r="J283" s="1475"/>
      <c r="K283" s="1476"/>
      <c r="L283" s="835"/>
      <c r="M283" s="460"/>
      <c r="N283" s="162"/>
      <c r="O283" s="125" t="s">
        <v>811</v>
      </c>
      <c r="P283" s="126">
        <v>0.1</v>
      </c>
      <c r="Q283" s="127">
        <v>7.22E-2</v>
      </c>
      <c r="R283" s="128">
        <v>1.4999999999999999E-2</v>
      </c>
      <c r="S283" s="129">
        <v>1</v>
      </c>
      <c r="T283" s="125">
        <v>0.12330000000000001</v>
      </c>
      <c r="U283" s="130">
        <v>-29.452415094334064</v>
      </c>
      <c r="V283" s="131">
        <v>91.8</v>
      </c>
      <c r="W283" s="132">
        <v>4.88</v>
      </c>
      <c r="X283" s="133">
        <v>143.72778566035024</v>
      </c>
      <c r="Y283" s="134"/>
      <c r="Z283" s="134">
        <v>4.4350000000000005</v>
      </c>
    </row>
    <row r="284" spans="3:26" ht="24">
      <c r="C284" s="162"/>
      <c r="D284" s="490" t="s">
        <v>435</v>
      </c>
      <c r="E284" s="1458">
        <v>0.41666666666666674</v>
      </c>
      <c r="F284" s="1458"/>
      <c r="G284" s="1458"/>
      <c r="H284" s="832"/>
      <c r="I284" s="1474"/>
      <c r="J284" s="1475"/>
      <c r="K284" s="1476"/>
      <c r="L284" s="836">
        <v>0.64583333333333337</v>
      </c>
      <c r="M284" s="461">
        <v>0.54166666666666674</v>
      </c>
      <c r="N284" s="162"/>
      <c r="O284" s="135" t="s">
        <v>812</v>
      </c>
      <c r="P284" s="136">
        <v>0.1</v>
      </c>
      <c r="Q284" s="137">
        <v>4.0533333333333338E-2</v>
      </c>
      <c r="R284" s="138">
        <v>1.4999999999999999E-2</v>
      </c>
      <c r="S284" s="139">
        <v>0.5</v>
      </c>
      <c r="T284" s="135">
        <v>7.5800000000000006E-2</v>
      </c>
      <c r="U284" s="140">
        <v>-9.0530943396209338</v>
      </c>
      <c r="V284" s="141">
        <v>91.8</v>
      </c>
      <c r="W284" s="142">
        <v>2.3650000000000002</v>
      </c>
      <c r="X284" s="143">
        <v>21.41056811320351</v>
      </c>
      <c r="Y284" s="144"/>
      <c r="Z284" s="144"/>
    </row>
    <row r="285" spans="3:26" ht="24">
      <c r="C285" s="162"/>
      <c r="D285" s="490" t="s">
        <v>436</v>
      </c>
      <c r="E285" s="175" t="s">
        <v>29</v>
      </c>
      <c r="F285" s="175" t="s">
        <v>28</v>
      </c>
      <c r="G285" s="175" t="s">
        <v>27</v>
      </c>
      <c r="H285" s="832" t="s">
        <v>793</v>
      </c>
      <c r="I285" s="1474"/>
      <c r="J285" s="1475"/>
      <c r="K285" s="1476"/>
      <c r="L285" s="839"/>
      <c r="M285" s="462"/>
      <c r="N285" s="162"/>
      <c r="O285" s="123"/>
      <c r="P285" s="145"/>
      <c r="Q285" s="123"/>
      <c r="R285" s="123"/>
      <c r="S285" s="123"/>
      <c r="T285" s="123"/>
      <c r="U285" s="146"/>
      <c r="V285" s="147"/>
      <c r="W285" s="123"/>
      <c r="X285" s="146"/>
      <c r="Y285" s="124"/>
      <c r="Z285" s="124"/>
    </row>
    <row r="286" spans="3:26" ht="24">
      <c r="C286" s="162"/>
      <c r="D286" s="497">
        <v>45582</v>
      </c>
      <c r="E286" s="185">
        <v>1.7000000000000001E-2</v>
      </c>
      <c r="F286" s="185" t="s">
        <v>895</v>
      </c>
      <c r="G286" s="185">
        <v>2.1999999999999999E-2</v>
      </c>
      <c r="H286" s="837">
        <v>0.375</v>
      </c>
      <c r="I286" s="1474"/>
      <c r="J286" s="1475"/>
      <c r="K286" s="1476"/>
      <c r="L286" s="839"/>
      <c r="M286" s="462"/>
      <c r="N286" s="162"/>
      <c r="O286" s="148"/>
      <c r="P286" s="124"/>
      <c r="Q286" s="148"/>
      <c r="R286" s="148"/>
      <c r="S286" s="148"/>
      <c r="T286" s="148"/>
      <c r="U286" s="148"/>
      <c r="V286" s="148"/>
      <c r="W286" s="148"/>
      <c r="X286" s="148"/>
      <c r="Y286" s="124"/>
      <c r="Z286" s="124"/>
    </row>
    <row r="287" spans="3:26" ht="24">
      <c r="C287" s="162"/>
      <c r="D287" s="497">
        <v>45566</v>
      </c>
      <c r="E287" s="185">
        <v>1.7999999999999999E-2</v>
      </c>
      <c r="F287" s="185" t="s">
        <v>895</v>
      </c>
      <c r="G287" s="185">
        <v>2.1999999999999999E-2</v>
      </c>
      <c r="H287" s="837">
        <v>0.375</v>
      </c>
      <c r="I287" s="1474"/>
      <c r="J287" s="1475"/>
      <c r="K287" s="1476"/>
      <c r="L287" s="835"/>
      <c r="M287" s="460"/>
      <c r="N287" s="162"/>
      <c r="O287" s="115" t="s">
        <v>813</v>
      </c>
      <c r="P287" s="116">
        <v>0.25</v>
      </c>
      <c r="Q287" s="149">
        <v>4.0533333333333338E-2</v>
      </c>
      <c r="R287" s="150">
        <v>1.4999999999999999E-2</v>
      </c>
      <c r="S287" s="119">
        <v>0.5</v>
      </c>
      <c r="T287" s="116">
        <v>7.5800000000000006E-2</v>
      </c>
      <c r="U287" s="151">
        <v>-22.632735849052334</v>
      </c>
      <c r="V287" s="152">
        <v>229.5</v>
      </c>
      <c r="W287" s="119">
        <v>2</v>
      </c>
      <c r="X287" s="153">
        <v>45.265471698104669</v>
      </c>
      <c r="Y287" s="154" t="s">
        <v>814</v>
      </c>
      <c r="Z287" s="154"/>
    </row>
    <row r="288" spans="3:26" ht="24">
      <c r="C288" s="162"/>
      <c r="D288" s="497">
        <v>45553</v>
      </c>
      <c r="E288" s="185">
        <v>2.1999999999999999E-2</v>
      </c>
      <c r="F288" s="185" t="s">
        <v>490</v>
      </c>
      <c r="G288" s="185">
        <v>2.5999999999999999E-2</v>
      </c>
      <c r="H288" s="837">
        <v>0.375</v>
      </c>
      <c r="I288" s="1474"/>
      <c r="J288" s="1475"/>
      <c r="K288" s="1476"/>
      <c r="L288" s="838"/>
      <c r="M288" s="460"/>
      <c r="N288" s="162"/>
      <c r="O288" s="115" t="s">
        <v>813</v>
      </c>
      <c r="P288" s="116">
        <v>0.25</v>
      </c>
      <c r="Q288" s="149">
        <v>4.0533333333333338E-2</v>
      </c>
      <c r="R288" s="150">
        <v>1.4999999999999999E-2</v>
      </c>
      <c r="S288" s="119">
        <v>0.5</v>
      </c>
      <c r="T288" s="116">
        <v>7.5800000000000006E-2</v>
      </c>
      <c r="U288" s="151">
        <v>-22.349278350515466</v>
      </c>
      <c r="V288" s="152">
        <v>229.5</v>
      </c>
      <c r="W288" s="119">
        <v>2</v>
      </c>
      <c r="X288" s="153">
        <v>44.698556701030931</v>
      </c>
      <c r="Y288" s="154"/>
      <c r="Z288" s="154"/>
    </row>
    <row r="289" spans="3:26" ht="24">
      <c r="C289" s="162"/>
      <c r="D289" s="497">
        <v>45534</v>
      </c>
      <c r="E289" s="185">
        <v>2.1999999999999999E-2</v>
      </c>
      <c r="F289" s="185" t="s">
        <v>490</v>
      </c>
      <c r="G289" s="185">
        <v>2.5999999999999999E-2</v>
      </c>
      <c r="H289" s="837">
        <v>0.375</v>
      </c>
      <c r="I289" s="1474"/>
      <c r="J289" s="1475"/>
      <c r="K289" s="1476"/>
      <c r="L289" s="835"/>
      <c r="M289" s="460"/>
      <c r="N289" s="162"/>
      <c r="O289" s="115" t="s">
        <v>816</v>
      </c>
      <c r="P289" s="116"/>
      <c r="Q289" s="149"/>
      <c r="R289" s="150"/>
      <c r="S289" s="119"/>
      <c r="T289" s="116"/>
      <c r="U289" s="151">
        <v>-22.349278350515466</v>
      </c>
      <c r="V289" s="152"/>
      <c r="W289" s="119"/>
      <c r="X289" s="153">
        <v>44.698556701030931</v>
      </c>
      <c r="Y289" s="154"/>
      <c r="Z289" s="154"/>
    </row>
    <row r="290" spans="3:26" ht="24">
      <c r="C290" s="162"/>
      <c r="D290" s="497">
        <v>45524</v>
      </c>
      <c r="E290" s="185">
        <v>2.5999999999999999E-2</v>
      </c>
      <c r="F290" s="185" t="s">
        <v>493</v>
      </c>
      <c r="G290" s="185">
        <v>2.5000000000000001E-2</v>
      </c>
      <c r="H290" s="837">
        <v>0.375</v>
      </c>
      <c r="I290" s="1474"/>
      <c r="J290" s="1475"/>
      <c r="K290" s="1476"/>
      <c r="L290" s="835"/>
      <c r="M290" s="460"/>
      <c r="N290" s="162"/>
      <c r="O290" s="89"/>
      <c r="P290" s="89"/>
      <c r="Q290" s="89"/>
      <c r="R290" s="89"/>
      <c r="S290" s="89"/>
      <c r="T290" s="89"/>
      <c r="U290" s="89"/>
      <c r="V290" s="89"/>
      <c r="W290" s="89"/>
      <c r="X290" s="89"/>
      <c r="Y290" s="89"/>
      <c r="Z290" s="89"/>
    </row>
    <row r="291" spans="3:26" ht="24">
      <c r="C291" s="162"/>
      <c r="D291" s="497">
        <v>45504</v>
      </c>
      <c r="E291" s="185">
        <v>2.5999999999999999E-2</v>
      </c>
      <c r="F291" s="185" t="s">
        <v>495</v>
      </c>
      <c r="G291" s="185">
        <v>2.5000000000000001E-2</v>
      </c>
      <c r="H291" s="837">
        <v>0.375</v>
      </c>
      <c r="I291" s="1477"/>
      <c r="J291" s="1478"/>
      <c r="K291" s="1479"/>
      <c r="L291" s="835"/>
      <c r="M291" s="460"/>
      <c r="N291" s="162"/>
      <c r="O291" s="89"/>
      <c r="P291" s="89"/>
      <c r="Q291" s="89"/>
      <c r="R291" s="89"/>
      <c r="S291" s="89"/>
      <c r="T291" s="89"/>
      <c r="U291" s="89"/>
      <c r="V291" s="89"/>
      <c r="W291" s="89"/>
      <c r="X291" s="89"/>
      <c r="Y291" s="89"/>
      <c r="Z291" s="89"/>
    </row>
    <row r="292" spans="3:26" ht="48">
      <c r="C292" s="162" t="s">
        <v>105</v>
      </c>
      <c r="D292" s="496" t="s">
        <v>30</v>
      </c>
      <c r="E292" s="1460" t="s">
        <v>847</v>
      </c>
      <c r="F292" s="1460"/>
      <c r="G292" s="1460"/>
      <c r="H292" s="832" t="s">
        <v>790</v>
      </c>
      <c r="I292" s="1468" t="s">
        <v>633</v>
      </c>
      <c r="J292" s="1469"/>
      <c r="K292" s="1470"/>
      <c r="L292" s="833" t="s">
        <v>430</v>
      </c>
      <c r="M292" s="373" t="s">
        <v>431</v>
      </c>
      <c r="N292" s="162" t="s">
        <v>105</v>
      </c>
      <c r="O292" s="114" t="s">
        <v>800</v>
      </c>
      <c r="P292" s="114" t="s">
        <v>801</v>
      </c>
      <c r="Q292" s="114" t="s">
        <v>802</v>
      </c>
      <c r="R292" s="114" t="s">
        <v>803</v>
      </c>
      <c r="S292" s="114" t="s">
        <v>804</v>
      </c>
      <c r="T292" s="114" t="s">
        <v>805</v>
      </c>
      <c r="U292" s="114" t="s">
        <v>806</v>
      </c>
      <c r="V292" s="114" t="s">
        <v>807</v>
      </c>
      <c r="W292" s="114" t="s">
        <v>808</v>
      </c>
      <c r="X292" s="114" t="s">
        <v>809</v>
      </c>
      <c r="Y292" s="114" t="s">
        <v>75</v>
      </c>
      <c r="Z292" s="114" t="s">
        <v>75</v>
      </c>
    </row>
    <row r="293" spans="3:26" ht="24">
      <c r="C293" s="162"/>
      <c r="D293" s="490" t="s">
        <v>432</v>
      </c>
      <c r="E293" s="1464"/>
      <c r="F293" s="1464"/>
      <c r="G293" s="1464"/>
      <c r="H293" s="834" t="s">
        <v>794</v>
      </c>
      <c r="I293" s="1471" t="s">
        <v>848</v>
      </c>
      <c r="J293" s="1472"/>
      <c r="K293" s="1473"/>
      <c r="L293" s="835"/>
      <c r="M293" s="460"/>
      <c r="N293" s="162"/>
      <c r="O293" s="115" t="s">
        <v>810</v>
      </c>
      <c r="P293" s="163">
        <v>0.1</v>
      </c>
      <c r="Q293" s="164">
        <v>2.1000000000000001E-2</v>
      </c>
      <c r="R293" s="165">
        <v>1.7000000000000001E-2</v>
      </c>
      <c r="S293" s="119"/>
      <c r="T293" s="115">
        <v>4.8500000000000001E-2</v>
      </c>
      <c r="U293" s="164">
        <v>-11.44</v>
      </c>
      <c r="V293" s="163">
        <v>91.8</v>
      </c>
      <c r="W293" s="166"/>
      <c r="X293" s="153"/>
      <c r="Y293" s="120"/>
      <c r="Z293" s="120"/>
    </row>
    <row r="294" spans="3:26" ht="24">
      <c r="C294" s="162"/>
      <c r="D294" s="490" t="s">
        <v>433</v>
      </c>
      <c r="E294" s="1482">
        <v>0</v>
      </c>
      <c r="F294" s="1482"/>
      <c r="G294" s="1482"/>
      <c r="H294" s="834" t="s">
        <v>795</v>
      </c>
      <c r="I294" s="1474"/>
      <c r="J294" s="1475"/>
      <c r="K294" s="1476"/>
      <c r="L294" s="835"/>
      <c r="M294" s="460"/>
      <c r="N294" s="162"/>
      <c r="O294" s="121"/>
      <c r="P294" s="121"/>
      <c r="Q294" s="121"/>
      <c r="R294" s="122"/>
      <c r="S294" s="123"/>
      <c r="T294" s="121"/>
      <c r="U294" s="121"/>
      <c r="V294" s="121"/>
      <c r="W294" s="121"/>
      <c r="X294" s="123"/>
      <c r="Y294" s="124"/>
      <c r="Z294" s="124"/>
    </row>
    <row r="295" spans="3:26" ht="24">
      <c r="C295" s="162"/>
      <c r="D295" s="490" t="s">
        <v>434</v>
      </c>
      <c r="E295" s="1482">
        <v>2.7E-2</v>
      </c>
      <c r="F295" s="1482"/>
      <c r="G295" s="1482"/>
      <c r="H295" s="832"/>
      <c r="I295" s="1474"/>
      <c r="J295" s="1475"/>
      <c r="K295" s="1476"/>
      <c r="L295" s="835"/>
      <c r="M295" s="460"/>
      <c r="N295" s="162"/>
      <c r="O295" s="125" t="s">
        <v>811</v>
      </c>
      <c r="P295" s="167">
        <v>0.1</v>
      </c>
      <c r="Q295" s="168">
        <v>8.7999999999999995E-2</v>
      </c>
      <c r="R295" s="169">
        <v>1.7000000000000001E-2</v>
      </c>
      <c r="S295" s="179">
        <v>1</v>
      </c>
      <c r="T295" s="125">
        <v>0.14900000000000002</v>
      </c>
      <c r="U295" s="130">
        <v>-35.145567010309279</v>
      </c>
      <c r="V295" s="131">
        <v>91.8</v>
      </c>
      <c r="W295" s="180">
        <v>5.14</v>
      </c>
      <c r="X295" s="133">
        <v>180.64821443298968</v>
      </c>
      <c r="Y295" s="134"/>
      <c r="Z295" s="134">
        <v>4.4350000000000005</v>
      </c>
    </row>
    <row r="296" spans="3:26" ht="24">
      <c r="C296" s="162"/>
      <c r="D296" s="490" t="s">
        <v>435</v>
      </c>
      <c r="E296" s="1458">
        <v>0.52083333333333337</v>
      </c>
      <c r="F296" s="1458"/>
      <c r="G296" s="1458"/>
      <c r="H296" s="832"/>
      <c r="I296" s="1474"/>
      <c r="J296" s="1475"/>
      <c r="K296" s="1476"/>
      <c r="L296" s="836">
        <v>0.75</v>
      </c>
      <c r="M296" s="461">
        <v>0.64583333333333337</v>
      </c>
      <c r="N296" s="162"/>
      <c r="O296" s="135" t="s">
        <v>812</v>
      </c>
      <c r="P296" s="171">
        <v>0.1</v>
      </c>
      <c r="Q296" s="156">
        <v>5.4866666666666668E-2</v>
      </c>
      <c r="R296" s="172">
        <v>1.7000000000000001E-2</v>
      </c>
      <c r="S296" s="181">
        <v>1</v>
      </c>
      <c r="T296" s="173">
        <v>9.9299999999999999E-2</v>
      </c>
      <c r="U296" s="140">
        <v>-23.422515463917524</v>
      </c>
      <c r="V296" s="141">
        <v>91.8</v>
      </c>
      <c r="W296" s="182">
        <v>4.8600000000000003</v>
      </c>
      <c r="X296" s="143">
        <v>113.83342515463917</v>
      </c>
      <c r="Y296" s="144"/>
      <c r="Z296" s="144"/>
    </row>
    <row r="297" spans="3:26" ht="24">
      <c r="C297" s="162"/>
      <c r="D297" s="490" t="s">
        <v>436</v>
      </c>
      <c r="E297" s="175" t="s">
        <v>29</v>
      </c>
      <c r="F297" s="175" t="s">
        <v>28</v>
      </c>
      <c r="G297" s="175" t="s">
        <v>27</v>
      </c>
      <c r="H297" s="832" t="s">
        <v>793</v>
      </c>
      <c r="I297" s="1474"/>
      <c r="J297" s="1475"/>
      <c r="K297" s="1476"/>
      <c r="L297" s="835"/>
      <c r="M297" s="460"/>
      <c r="N297" s="162"/>
      <c r="O297" s="123"/>
      <c r="P297" s="145"/>
      <c r="Q297" s="123"/>
      <c r="R297" s="123"/>
      <c r="S297" s="183"/>
      <c r="T297" s="123"/>
      <c r="U297" s="146"/>
      <c r="V297" s="147"/>
      <c r="W297" s="184"/>
      <c r="X297" s="146"/>
      <c r="Y297" s="124"/>
      <c r="Z297" s="124"/>
    </row>
    <row r="298" spans="3:26" ht="24">
      <c r="C298" s="162"/>
      <c r="D298" s="497">
        <v>45562</v>
      </c>
      <c r="E298" s="178">
        <v>2.7E-2</v>
      </c>
      <c r="F298" s="178" t="s">
        <v>665</v>
      </c>
      <c r="G298" s="178">
        <v>2.5999999999999999E-2</v>
      </c>
      <c r="H298" s="837">
        <v>0.52083333333333337</v>
      </c>
      <c r="I298" s="1474"/>
      <c r="J298" s="1475"/>
      <c r="K298" s="1476"/>
      <c r="L298" s="835"/>
      <c r="M298" s="460"/>
      <c r="N298" s="162"/>
      <c r="O298" s="148"/>
      <c r="P298" s="124"/>
      <c r="Q298" s="148"/>
      <c r="R298" s="148"/>
      <c r="S298" s="183"/>
      <c r="T298" s="148"/>
      <c r="U298" s="148"/>
      <c r="V298" s="148"/>
      <c r="W298" s="186"/>
      <c r="X298" s="148"/>
      <c r="Y298" s="124"/>
      <c r="Z298" s="124"/>
    </row>
    <row r="299" spans="3:26" ht="24">
      <c r="C299" s="162"/>
      <c r="D299" s="497">
        <v>45534</v>
      </c>
      <c r="E299" s="178">
        <v>2.5999999999999999E-2</v>
      </c>
      <c r="F299" s="178" t="s">
        <v>665</v>
      </c>
      <c r="G299" s="178">
        <v>2.5999999999999999E-2</v>
      </c>
      <c r="H299" s="837">
        <v>0.52083333333333337</v>
      </c>
      <c r="I299" s="1474"/>
      <c r="J299" s="1475"/>
      <c r="K299" s="1476"/>
      <c r="L299" s="835"/>
      <c r="M299" s="460"/>
      <c r="N299" s="162"/>
      <c r="O299" s="115" t="s">
        <v>813</v>
      </c>
      <c r="P299" s="191">
        <v>0.1</v>
      </c>
      <c r="Q299" s="149">
        <v>5.4866666666666668E-2</v>
      </c>
      <c r="R299" s="150">
        <v>1.7000000000000001E-2</v>
      </c>
      <c r="S299" s="187">
        <v>1</v>
      </c>
      <c r="T299" s="125">
        <v>9.9299999999999999E-2</v>
      </c>
      <c r="U299" s="151">
        <v>-23.422515463917524</v>
      </c>
      <c r="V299" s="152">
        <v>91.8</v>
      </c>
      <c r="W299" s="189">
        <v>3</v>
      </c>
      <c r="X299" s="153">
        <v>70.267546391752575</v>
      </c>
      <c r="Y299" s="154" t="s">
        <v>814</v>
      </c>
      <c r="Z299" s="154"/>
    </row>
    <row r="300" spans="3:26" ht="24">
      <c r="C300" s="162"/>
      <c r="D300" s="497">
        <v>45499</v>
      </c>
      <c r="E300" s="178">
        <v>2.5999999999999999E-2</v>
      </c>
      <c r="F300" s="178" t="s">
        <v>495</v>
      </c>
      <c r="G300" s="178">
        <v>2.5999999999999999E-2</v>
      </c>
      <c r="H300" s="837">
        <v>0.52083333333333337</v>
      </c>
      <c r="I300" s="1474"/>
      <c r="J300" s="1475"/>
      <c r="K300" s="1476"/>
      <c r="L300" s="838"/>
      <c r="M300" s="460"/>
      <c r="N300" s="162"/>
      <c r="O300" s="115" t="s">
        <v>813</v>
      </c>
      <c r="P300" s="191">
        <v>-0.1</v>
      </c>
      <c r="Q300" s="149">
        <v>5.4866666666666668E-2</v>
      </c>
      <c r="R300" s="150">
        <v>1.7000000000000001E-2</v>
      </c>
      <c r="S300" s="187">
        <v>-1</v>
      </c>
      <c r="T300" s="125">
        <v>9.9299999999999999E-2</v>
      </c>
      <c r="U300" s="151">
        <v>-23.422515463917524</v>
      </c>
      <c r="V300" s="152">
        <v>91.8</v>
      </c>
      <c r="W300" s="189">
        <v>3</v>
      </c>
      <c r="X300" s="153">
        <v>70.267546391752575</v>
      </c>
      <c r="Y300" s="154" t="s">
        <v>814</v>
      </c>
      <c r="Z300" s="154"/>
    </row>
    <row r="301" spans="3:26" ht="24">
      <c r="C301" s="162"/>
      <c r="D301" s="497">
        <v>45471</v>
      </c>
      <c r="E301" s="178">
        <v>2.5999999999999999E-2</v>
      </c>
      <c r="F301" s="178" t="s">
        <v>493</v>
      </c>
      <c r="G301" s="178">
        <v>2.8000000000000001E-2</v>
      </c>
      <c r="H301" s="837">
        <v>0.52083333333333337</v>
      </c>
      <c r="I301" s="1474"/>
      <c r="J301" s="1475"/>
      <c r="K301" s="1476"/>
      <c r="L301" s="835"/>
      <c r="M301" s="460"/>
      <c r="N301" s="162"/>
      <c r="O301" s="115" t="s">
        <v>816</v>
      </c>
      <c r="P301" s="116"/>
      <c r="Q301" s="149"/>
      <c r="R301" s="150"/>
      <c r="S301" s="119"/>
      <c r="T301" s="116"/>
      <c r="U301" s="151"/>
      <c r="V301" s="152"/>
      <c r="W301" s="119"/>
      <c r="X301" s="153"/>
      <c r="Y301" s="154"/>
      <c r="Z301" s="154"/>
    </row>
    <row r="302" spans="3:26" ht="24">
      <c r="C302" s="162"/>
      <c r="D302" s="497">
        <v>45443</v>
      </c>
      <c r="E302" s="178">
        <v>2.8000000000000001E-2</v>
      </c>
      <c r="F302" s="178" t="s">
        <v>666</v>
      </c>
      <c r="G302" s="178">
        <v>2.8000000000000001E-2</v>
      </c>
      <c r="H302" s="837">
        <v>0.52083333333333337</v>
      </c>
      <c r="I302" s="1474"/>
      <c r="J302" s="1475"/>
      <c r="K302" s="1476"/>
      <c r="L302" s="835"/>
      <c r="M302" s="460"/>
      <c r="N302" s="162"/>
      <c r="O302" s="89"/>
      <c r="P302" s="89"/>
      <c r="Q302" s="89"/>
      <c r="R302" s="89"/>
      <c r="S302" s="89"/>
      <c r="T302" s="89"/>
      <c r="U302" s="89"/>
      <c r="V302" s="89"/>
      <c r="W302" s="89"/>
      <c r="X302" s="89"/>
      <c r="Y302" s="89"/>
      <c r="Z302" s="89"/>
    </row>
    <row r="303" spans="3:26" ht="24">
      <c r="C303" s="162"/>
      <c r="D303" s="497">
        <v>45408</v>
      </c>
      <c r="E303" s="178">
        <v>2.8000000000000001E-2</v>
      </c>
      <c r="F303" s="178" t="s">
        <v>493</v>
      </c>
      <c r="G303" s="178">
        <v>2.8000000000000001E-2</v>
      </c>
      <c r="H303" s="837">
        <v>0.52083333333333337</v>
      </c>
      <c r="I303" s="1477"/>
      <c r="J303" s="1478"/>
      <c r="K303" s="1479"/>
      <c r="L303" s="835"/>
      <c r="M303" s="460"/>
      <c r="N303" s="162"/>
      <c r="O303" s="89"/>
      <c r="P303" s="89"/>
      <c r="Q303" s="89"/>
      <c r="R303" s="89"/>
      <c r="S303" s="89"/>
      <c r="T303" s="89"/>
      <c r="U303" s="89"/>
      <c r="V303" s="89"/>
      <c r="W303" s="89"/>
      <c r="X303" s="89"/>
      <c r="Y303" s="89"/>
      <c r="Z303" s="89"/>
    </row>
    <row r="304" spans="3:26" ht="48">
      <c r="C304" s="162" t="s">
        <v>105</v>
      </c>
      <c r="D304" s="496" t="s">
        <v>30</v>
      </c>
      <c r="E304" s="1460" t="s">
        <v>849</v>
      </c>
      <c r="F304" s="1460"/>
      <c r="G304" s="1460"/>
      <c r="H304" s="832" t="s">
        <v>790</v>
      </c>
      <c r="I304" s="1468" t="s">
        <v>633</v>
      </c>
      <c r="J304" s="1469"/>
      <c r="K304" s="1470"/>
      <c r="L304" s="833" t="s">
        <v>430</v>
      </c>
      <c r="M304" s="373" t="s">
        <v>431</v>
      </c>
      <c r="N304" s="162" t="s">
        <v>105</v>
      </c>
      <c r="O304" s="114" t="s">
        <v>800</v>
      </c>
      <c r="P304" s="114" t="s">
        <v>801</v>
      </c>
      <c r="Q304" s="114" t="s">
        <v>802</v>
      </c>
      <c r="R304" s="114" t="s">
        <v>803</v>
      </c>
      <c r="S304" s="114" t="s">
        <v>804</v>
      </c>
      <c r="T304" s="114" t="s">
        <v>805</v>
      </c>
      <c r="U304" s="114" t="s">
        <v>806</v>
      </c>
      <c r="V304" s="114" t="s">
        <v>807</v>
      </c>
      <c r="W304" s="114" t="s">
        <v>808</v>
      </c>
      <c r="X304" s="114" t="s">
        <v>809</v>
      </c>
      <c r="Y304" s="114" t="s">
        <v>75</v>
      </c>
      <c r="Z304" s="114" t="s">
        <v>75</v>
      </c>
    </row>
    <row r="305" spans="3:26" ht="24">
      <c r="C305" s="162"/>
      <c r="D305" s="490" t="s">
        <v>432</v>
      </c>
      <c r="E305" s="1464"/>
      <c r="F305" s="1464"/>
      <c r="G305" s="1464"/>
      <c r="H305" s="834" t="s">
        <v>794</v>
      </c>
      <c r="I305" s="1471" t="s">
        <v>850</v>
      </c>
      <c r="J305" s="1472"/>
      <c r="K305" s="1473"/>
      <c r="L305" s="835"/>
      <c r="M305" s="460"/>
      <c r="N305" s="162"/>
      <c r="O305" s="115" t="s">
        <v>810</v>
      </c>
      <c r="P305" s="116">
        <v>0.1</v>
      </c>
      <c r="Q305" s="117">
        <v>3.9E-2</v>
      </c>
      <c r="R305" s="118">
        <v>2.1000000000015007E-2</v>
      </c>
      <c r="S305" s="119"/>
      <c r="T305" s="115">
        <v>7.9500000000015003E-2</v>
      </c>
      <c r="U305" s="117">
        <v>-18.989999999999998</v>
      </c>
      <c r="V305" s="116">
        <v>91.8</v>
      </c>
      <c r="W305" s="119"/>
      <c r="X305" s="119"/>
      <c r="Y305" s="120"/>
      <c r="Z305" s="120"/>
    </row>
    <row r="306" spans="3:26" ht="24">
      <c r="C306" s="162"/>
      <c r="D306" s="490" t="s">
        <v>433</v>
      </c>
      <c r="E306" s="1485">
        <v>3.0000000000000001E-3</v>
      </c>
      <c r="F306" s="1485"/>
      <c r="G306" s="1485"/>
      <c r="H306" s="834" t="s">
        <v>795</v>
      </c>
      <c r="I306" s="1474"/>
      <c r="J306" s="1475"/>
      <c r="K306" s="1476"/>
      <c r="L306" s="835"/>
      <c r="M306" s="460"/>
      <c r="N306" s="162"/>
      <c r="O306" s="121"/>
      <c r="P306" s="121"/>
      <c r="Q306" s="121"/>
      <c r="R306" s="122"/>
      <c r="S306" s="123"/>
      <c r="T306" s="121"/>
      <c r="U306" s="121"/>
      <c r="V306" s="121"/>
      <c r="W306" s="123"/>
      <c r="X306" s="123"/>
      <c r="Y306" s="124"/>
      <c r="Z306" s="124"/>
    </row>
    <row r="307" spans="3:26" ht="24">
      <c r="C307" s="162"/>
      <c r="D307" s="490" t="s">
        <v>434</v>
      </c>
      <c r="E307" s="1485">
        <v>1E-3</v>
      </c>
      <c r="F307" s="1485"/>
      <c r="G307" s="1485"/>
      <c r="H307" s="832"/>
      <c r="I307" s="1474"/>
      <c r="J307" s="1475"/>
      <c r="K307" s="1476"/>
      <c r="L307" s="835"/>
      <c r="M307" s="460"/>
      <c r="N307" s="162"/>
      <c r="O307" s="125" t="s">
        <v>811</v>
      </c>
      <c r="P307" s="126">
        <v>0.1</v>
      </c>
      <c r="Q307" s="127">
        <v>7.22E-2</v>
      </c>
      <c r="R307" s="128">
        <v>1.4999999999999999E-2</v>
      </c>
      <c r="S307" s="129">
        <v>1</v>
      </c>
      <c r="T307" s="125">
        <v>0.12330000000000001</v>
      </c>
      <c r="U307" s="130">
        <v>-29.452415094334064</v>
      </c>
      <c r="V307" s="131">
        <v>91.8</v>
      </c>
      <c r="W307" s="132">
        <v>4.88</v>
      </c>
      <c r="X307" s="133">
        <v>143.72778566035024</v>
      </c>
      <c r="Y307" s="134"/>
      <c r="Z307" s="134">
        <v>4.4350000000000005</v>
      </c>
    </row>
    <row r="308" spans="3:26" ht="24">
      <c r="C308" s="162"/>
      <c r="D308" s="490" t="s">
        <v>435</v>
      </c>
      <c r="E308" s="1458">
        <v>0.52083333333333337</v>
      </c>
      <c r="F308" s="1458"/>
      <c r="G308" s="1458"/>
      <c r="H308" s="832"/>
      <c r="I308" s="1474"/>
      <c r="J308" s="1475"/>
      <c r="K308" s="1476"/>
      <c r="L308" s="836">
        <v>0.75</v>
      </c>
      <c r="M308" s="461">
        <v>0.64583333333333337</v>
      </c>
      <c r="N308" s="162"/>
      <c r="O308" s="135" t="s">
        <v>812</v>
      </c>
      <c r="P308" s="136">
        <v>0.1</v>
      </c>
      <c r="Q308" s="137">
        <v>4.0533333333333338E-2</v>
      </c>
      <c r="R308" s="138">
        <v>1.4999999999999999E-2</v>
      </c>
      <c r="S308" s="139">
        <v>0.5</v>
      </c>
      <c r="T308" s="135">
        <v>7.5800000000000006E-2</v>
      </c>
      <c r="U308" s="140">
        <v>-9.0530943396209338</v>
      </c>
      <c r="V308" s="141">
        <v>91.8</v>
      </c>
      <c r="W308" s="142">
        <v>2.3650000000000002</v>
      </c>
      <c r="X308" s="143">
        <v>21.41056811320351</v>
      </c>
      <c r="Y308" s="144"/>
      <c r="Z308" s="144"/>
    </row>
    <row r="309" spans="3:26" ht="24">
      <c r="C309" s="162"/>
      <c r="D309" s="490" t="s">
        <v>436</v>
      </c>
      <c r="E309" s="175" t="s">
        <v>29</v>
      </c>
      <c r="F309" s="175" t="s">
        <v>28</v>
      </c>
      <c r="G309" s="175" t="s">
        <v>27</v>
      </c>
      <c r="H309" s="832" t="s">
        <v>793</v>
      </c>
      <c r="I309" s="1474"/>
      <c r="J309" s="1475"/>
      <c r="K309" s="1476"/>
      <c r="L309" s="835"/>
      <c r="M309" s="460"/>
      <c r="N309" s="162"/>
      <c r="O309" s="123"/>
      <c r="P309" s="145"/>
      <c r="Q309" s="123"/>
      <c r="R309" s="123"/>
      <c r="S309" s="123"/>
      <c r="T309" s="123"/>
      <c r="U309" s="146"/>
      <c r="V309" s="147"/>
      <c r="W309" s="123"/>
      <c r="X309" s="146"/>
      <c r="Y309" s="124"/>
      <c r="Z309" s="124"/>
    </row>
    <row r="310" spans="3:26" ht="24">
      <c r="C310" s="162"/>
      <c r="D310" s="497">
        <v>45562</v>
      </c>
      <c r="E310" s="178">
        <v>1E-3</v>
      </c>
      <c r="F310" s="178" t="s">
        <v>460</v>
      </c>
      <c r="G310" s="178">
        <v>2E-3</v>
      </c>
      <c r="H310" s="837">
        <v>0.52083333333333337</v>
      </c>
      <c r="I310" s="1474"/>
      <c r="J310" s="1475"/>
      <c r="K310" s="1476"/>
      <c r="L310" s="835"/>
      <c r="M310" s="460"/>
      <c r="N310" s="162"/>
      <c r="O310" s="148"/>
      <c r="P310" s="124"/>
      <c r="Q310" s="148"/>
      <c r="R310" s="148"/>
      <c r="S310" s="148"/>
      <c r="T310" s="148"/>
      <c r="U310" s="148"/>
      <c r="V310" s="148"/>
      <c r="W310" s="148"/>
      <c r="X310" s="148"/>
      <c r="Y310" s="124"/>
      <c r="Z310" s="124"/>
    </row>
    <row r="311" spans="3:26" ht="24">
      <c r="C311" s="162"/>
      <c r="D311" s="497">
        <v>45534</v>
      </c>
      <c r="E311" s="178">
        <v>2E-3</v>
      </c>
      <c r="F311" s="178" t="s">
        <v>460</v>
      </c>
      <c r="G311" s="178">
        <v>2E-3</v>
      </c>
      <c r="H311" s="837">
        <v>0.52083333333333337</v>
      </c>
      <c r="I311" s="1474"/>
      <c r="J311" s="1475"/>
      <c r="K311" s="1476"/>
      <c r="L311" s="835"/>
      <c r="M311" s="460"/>
      <c r="N311" s="162"/>
      <c r="O311" s="115" t="s">
        <v>813</v>
      </c>
      <c r="P311" s="116">
        <v>0.25</v>
      </c>
      <c r="Q311" s="149">
        <v>4.0533333333333338E-2</v>
      </c>
      <c r="R311" s="150">
        <v>1.4999999999999999E-2</v>
      </c>
      <c r="S311" s="119">
        <v>0.5</v>
      </c>
      <c r="T311" s="116">
        <v>7.5800000000000006E-2</v>
      </c>
      <c r="U311" s="151">
        <v>-22.632735849052334</v>
      </c>
      <c r="V311" s="152">
        <v>229.5</v>
      </c>
      <c r="W311" s="119">
        <v>2</v>
      </c>
      <c r="X311" s="153">
        <v>45.265471698104669</v>
      </c>
      <c r="Y311" s="154" t="s">
        <v>814</v>
      </c>
      <c r="Z311" s="154"/>
    </row>
    <row r="312" spans="3:26" ht="24">
      <c r="C312" s="162"/>
      <c r="D312" s="497">
        <v>45499</v>
      </c>
      <c r="E312" s="178">
        <v>2E-3</v>
      </c>
      <c r="F312" s="178" t="s">
        <v>460</v>
      </c>
      <c r="G312" s="178">
        <v>1E-3</v>
      </c>
      <c r="H312" s="837">
        <v>0.52083333333333337</v>
      </c>
      <c r="I312" s="1474"/>
      <c r="J312" s="1475"/>
      <c r="K312" s="1476"/>
      <c r="L312" s="838"/>
      <c r="M312" s="460"/>
      <c r="N312" s="162"/>
      <c r="O312" s="115" t="s">
        <v>813</v>
      </c>
      <c r="P312" s="116">
        <v>0.25</v>
      </c>
      <c r="Q312" s="149">
        <v>4.0533333333333338E-2</v>
      </c>
      <c r="R312" s="150">
        <v>1.4999999999999999E-2</v>
      </c>
      <c r="S312" s="119">
        <v>0.5</v>
      </c>
      <c r="T312" s="116">
        <v>7.5800000000000006E-2</v>
      </c>
      <c r="U312" s="151">
        <v>-22.349278350515466</v>
      </c>
      <c r="V312" s="152">
        <v>229.5</v>
      </c>
      <c r="W312" s="119">
        <v>2</v>
      </c>
      <c r="X312" s="153">
        <v>44.698556701030931</v>
      </c>
      <c r="Y312" s="154"/>
      <c r="Z312" s="154"/>
    </row>
    <row r="313" spans="3:26" ht="24">
      <c r="C313" s="162"/>
      <c r="D313" s="497">
        <v>45471</v>
      </c>
      <c r="E313" s="178">
        <v>1E-3</v>
      </c>
      <c r="F313" s="178" t="s">
        <v>462</v>
      </c>
      <c r="G313" s="178">
        <v>3.0000000000000001E-3</v>
      </c>
      <c r="H313" s="837">
        <v>0.52083333333333337</v>
      </c>
      <c r="I313" s="1474"/>
      <c r="J313" s="1475"/>
      <c r="K313" s="1476"/>
      <c r="L313" s="835"/>
      <c r="M313" s="460"/>
      <c r="N313" s="162"/>
      <c r="O313" s="115" t="s">
        <v>816</v>
      </c>
      <c r="P313" s="116"/>
      <c r="Q313" s="149"/>
      <c r="R313" s="150"/>
      <c r="S313" s="119"/>
      <c r="T313" s="116"/>
      <c r="U313" s="151">
        <v>-22.349278350515466</v>
      </c>
      <c r="V313" s="152"/>
      <c r="W313" s="119"/>
      <c r="X313" s="153">
        <v>44.698556701030931</v>
      </c>
      <c r="Y313" s="154"/>
      <c r="Z313" s="154"/>
    </row>
    <row r="314" spans="3:26" ht="24">
      <c r="C314" s="162"/>
      <c r="D314" s="497">
        <v>45443</v>
      </c>
      <c r="E314" s="178">
        <v>2E-3</v>
      </c>
      <c r="F314" s="178" t="s">
        <v>467</v>
      </c>
      <c r="G314" s="178">
        <v>3.0000000000000001E-3</v>
      </c>
      <c r="H314" s="837">
        <v>0.52083333333333337</v>
      </c>
      <c r="I314" s="1474"/>
      <c r="J314" s="1475"/>
      <c r="K314" s="1476"/>
      <c r="L314" s="835"/>
      <c r="M314" s="460"/>
      <c r="N314" s="162"/>
      <c r="O314" s="89"/>
      <c r="P314" s="89"/>
      <c r="Q314" s="89"/>
      <c r="R314" s="89"/>
      <c r="S314" s="89"/>
      <c r="T314" s="89"/>
      <c r="U314" s="89"/>
      <c r="V314" s="89"/>
      <c r="W314" s="89"/>
      <c r="X314" s="89"/>
      <c r="Y314" s="89"/>
      <c r="Z314" s="89"/>
    </row>
    <row r="315" spans="3:26" ht="24">
      <c r="C315" s="162"/>
      <c r="D315" s="497">
        <v>45408</v>
      </c>
      <c r="E315" s="178">
        <v>3.0000000000000001E-3</v>
      </c>
      <c r="F315" s="178" t="s">
        <v>467</v>
      </c>
      <c r="G315" s="178">
        <v>3.0000000000000001E-3</v>
      </c>
      <c r="H315" s="837">
        <v>0.52083333333333337</v>
      </c>
      <c r="I315" s="1477"/>
      <c r="J315" s="1478"/>
      <c r="K315" s="1479"/>
      <c r="L315" s="835"/>
      <c r="M315" s="460"/>
      <c r="N315" s="162"/>
      <c r="O315" s="89"/>
      <c r="P315" s="89"/>
      <c r="Q315" s="89"/>
      <c r="R315" s="89"/>
      <c r="S315" s="89"/>
      <c r="T315" s="89"/>
      <c r="U315" s="89"/>
      <c r="V315" s="89"/>
      <c r="W315" s="89"/>
      <c r="X315" s="89"/>
      <c r="Y315" s="89"/>
      <c r="Z315" s="89"/>
    </row>
    <row r="316" spans="3:26" ht="48">
      <c r="C316" s="162" t="s">
        <v>105</v>
      </c>
      <c r="D316" s="496" t="s">
        <v>30</v>
      </c>
      <c r="E316" s="1460" t="s">
        <v>14</v>
      </c>
      <c r="F316" s="1460"/>
      <c r="G316" s="1460"/>
      <c r="H316" s="832" t="s">
        <v>790</v>
      </c>
      <c r="I316" s="1468" t="s">
        <v>633</v>
      </c>
      <c r="J316" s="1469"/>
      <c r="K316" s="1470"/>
      <c r="L316" s="833" t="s">
        <v>430</v>
      </c>
      <c r="M316" s="373" t="s">
        <v>431</v>
      </c>
      <c r="N316" s="162" t="s">
        <v>105</v>
      </c>
      <c r="O316" s="114" t="s">
        <v>800</v>
      </c>
      <c r="P316" s="114" t="s">
        <v>801</v>
      </c>
      <c r="Q316" s="114" t="s">
        <v>802</v>
      </c>
      <c r="R316" s="114" t="s">
        <v>803</v>
      </c>
      <c r="S316" s="114" t="s">
        <v>804</v>
      </c>
      <c r="T316" s="114" t="s">
        <v>805</v>
      </c>
      <c r="U316" s="114" t="s">
        <v>806</v>
      </c>
      <c r="V316" s="114" t="s">
        <v>807</v>
      </c>
      <c r="W316" s="114" t="s">
        <v>808</v>
      </c>
      <c r="X316" s="114" t="s">
        <v>809</v>
      </c>
      <c r="Y316" s="114" t="s">
        <v>75</v>
      </c>
      <c r="Z316" s="114" t="s">
        <v>75</v>
      </c>
    </row>
    <row r="317" spans="3:26" ht="24">
      <c r="C317" s="162"/>
      <c r="D317" s="490" t="s">
        <v>432</v>
      </c>
      <c r="E317" s="1464"/>
      <c r="F317" s="1464"/>
      <c r="G317" s="1464"/>
      <c r="H317" s="834" t="s">
        <v>794</v>
      </c>
      <c r="I317" s="1471" t="s">
        <v>851</v>
      </c>
      <c r="J317" s="1472"/>
      <c r="K317" s="1473"/>
      <c r="L317" s="835"/>
      <c r="M317" s="460"/>
      <c r="N317" s="162"/>
      <c r="O317" s="115" t="s">
        <v>810</v>
      </c>
      <c r="P317" s="116">
        <v>0.1</v>
      </c>
      <c r="Q317" s="117">
        <v>3.9E-2</v>
      </c>
      <c r="R317" s="118">
        <v>2.1000000000015007E-2</v>
      </c>
      <c r="S317" s="119"/>
      <c r="T317" s="115">
        <v>7.9500000000015003E-2</v>
      </c>
      <c r="U317" s="117">
        <v>-18.989999999999998</v>
      </c>
      <c r="V317" s="116">
        <v>91.8</v>
      </c>
      <c r="W317" s="119"/>
      <c r="X317" s="119"/>
      <c r="Y317" s="120"/>
      <c r="Z317" s="120"/>
    </row>
    <row r="318" spans="3:26" ht="24">
      <c r="C318" s="162"/>
      <c r="D318" s="490" t="s">
        <v>433</v>
      </c>
      <c r="E318" s="1484" t="s">
        <v>268</v>
      </c>
      <c r="F318" s="1484"/>
      <c r="G318" s="1484"/>
      <c r="H318" s="834" t="s">
        <v>795</v>
      </c>
      <c r="I318" s="1474"/>
      <c r="J318" s="1475"/>
      <c r="K318" s="1476"/>
      <c r="L318" s="835"/>
      <c r="M318" s="460"/>
      <c r="N318" s="162"/>
      <c r="O318" s="121"/>
      <c r="P318" s="121"/>
      <c r="Q318" s="121"/>
      <c r="R318" s="122"/>
      <c r="S318" s="123"/>
      <c r="T318" s="121"/>
      <c r="U318" s="121"/>
      <c r="V318" s="121"/>
      <c r="W318" s="123"/>
      <c r="X318" s="123"/>
      <c r="Y318" s="124"/>
      <c r="Z318" s="124"/>
    </row>
    <row r="319" spans="3:26" ht="24">
      <c r="C319" s="162"/>
      <c r="D319" s="490" t="s">
        <v>434</v>
      </c>
      <c r="E319" s="1481" t="s">
        <v>209</v>
      </c>
      <c r="F319" s="1481"/>
      <c r="G319" s="1481"/>
      <c r="H319" s="832"/>
      <c r="I319" s="1474"/>
      <c r="J319" s="1475"/>
      <c r="K319" s="1476"/>
      <c r="L319" s="835"/>
      <c r="M319" s="460"/>
      <c r="N319" s="162"/>
      <c r="O319" s="125" t="s">
        <v>811</v>
      </c>
      <c r="P319" s="126">
        <v>0.1</v>
      </c>
      <c r="Q319" s="127">
        <v>7.22E-2</v>
      </c>
      <c r="R319" s="128">
        <v>1.4999999999999999E-2</v>
      </c>
      <c r="S319" s="129">
        <v>1</v>
      </c>
      <c r="T319" s="125">
        <v>0.12330000000000001</v>
      </c>
      <c r="U319" s="130">
        <v>-29.452415094334064</v>
      </c>
      <c r="V319" s="131">
        <v>91.8</v>
      </c>
      <c r="W319" s="132">
        <v>4.88</v>
      </c>
      <c r="X319" s="133">
        <v>143.72778566035024</v>
      </c>
      <c r="Y319" s="134"/>
      <c r="Z319" s="134">
        <v>4.4350000000000005</v>
      </c>
    </row>
    <row r="320" spans="3:26" ht="24">
      <c r="C320" s="162"/>
      <c r="D320" s="490" t="s">
        <v>435</v>
      </c>
      <c r="E320" s="1458">
        <v>0.52083333333333337</v>
      </c>
      <c r="F320" s="1458"/>
      <c r="G320" s="1458"/>
      <c r="H320" s="832"/>
      <c r="I320" s="1474"/>
      <c r="J320" s="1475"/>
      <c r="K320" s="1476"/>
      <c r="L320" s="836">
        <v>0.75</v>
      </c>
      <c r="M320" s="461">
        <v>0.64583333333333337</v>
      </c>
      <c r="N320" s="162"/>
      <c r="O320" s="135" t="s">
        <v>812</v>
      </c>
      <c r="P320" s="136">
        <v>0.1</v>
      </c>
      <c r="Q320" s="137">
        <v>4.0533333333333338E-2</v>
      </c>
      <c r="R320" s="138">
        <v>1.4999999999999999E-2</v>
      </c>
      <c r="S320" s="139">
        <v>0.5</v>
      </c>
      <c r="T320" s="135">
        <v>7.5800000000000006E-2</v>
      </c>
      <c r="U320" s="140">
        <v>-9.0530943396209338</v>
      </c>
      <c r="V320" s="141">
        <v>91.8</v>
      </c>
      <c r="W320" s="142">
        <v>2.3650000000000002</v>
      </c>
      <c r="X320" s="143">
        <v>21.41056811320351</v>
      </c>
      <c r="Y320" s="144"/>
      <c r="Z320" s="144"/>
    </row>
    <row r="321" spans="3:26" ht="24">
      <c r="C321" s="162"/>
      <c r="D321" s="490" t="s">
        <v>436</v>
      </c>
      <c r="E321" s="175" t="s">
        <v>29</v>
      </c>
      <c r="F321" s="175" t="s">
        <v>28</v>
      </c>
      <c r="G321" s="175" t="s">
        <v>27</v>
      </c>
      <c r="H321" s="832" t="s">
        <v>793</v>
      </c>
      <c r="I321" s="1474"/>
      <c r="J321" s="1475"/>
      <c r="K321" s="1476"/>
      <c r="L321" s="835"/>
      <c r="M321" s="460"/>
      <c r="N321" s="162"/>
      <c r="O321" s="123"/>
      <c r="P321" s="145"/>
      <c r="Q321" s="123"/>
      <c r="R321" s="123"/>
      <c r="S321" s="123"/>
      <c r="T321" s="123"/>
      <c r="U321" s="146"/>
      <c r="V321" s="147"/>
      <c r="W321" s="123"/>
      <c r="X321" s="146"/>
      <c r="Y321" s="124"/>
      <c r="Z321" s="124"/>
    </row>
    <row r="322" spans="3:26" ht="24">
      <c r="C322" s="162"/>
      <c r="D322" s="497">
        <v>45589</v>
      </c>
      <c r="E322" s="194" t="s">
        <v>209</v>
      </c>
      <c r="F322" s="194" t="s">
        <v>896</v>
      </c>
      <c r="G322" s="194" t="s">
        <v>897</v>
      </c>
      <c r="H322" s="837">
        <v>0.52083333333333337</v>
      </c>
      <c r="I322" s="1474"/>
      <c r="J322" s="1475"/>
      <c r="K322" s="1476"/>
      <c r="L322" s="835"/>
      <c r="M322" s="460"/>
      <c r="N322" s="162"/>
      <c r="O322" s="148"/>
      <c r="P322" s="124"/>
      <c r="Q322" s="148"/>
      <c r="R322" s="148"/>
      <c r="S322" s="148"/>
      <c r="T322" s="148"/>
      <c r="U322" s="148"/>
      <c r="V322" s="148"/>
      <c r="W322" s="148"/>
      <c r="X322" s="148"/>
      <c r="Y322" s="124"/>
      <c r="Z322" s="124"/>
    </row>
    <row r="323" spans="3:26" ht="24">
      <c r="C323" s="162"/>
      <c r="D323" s="497">
        <v>45582</v>
      </c>
      <c r="E323" s="194" t="s">
        <v>171</v>
      </c>
      <c r="F323" s="194" t="s">
        <v>898</v>
      </c>
      <c r="G323" s="194" t="s">
        <v>692</v>
      </c>
      <c r="H323" s="837">
        <v>0.52083333333333337</v>
      </c>
      <c r="I323" s="1474"/>
      <c r="J323" s="1475"/>
      <c r="K323" s="1476"/>
      <c r="L323" s="835"/>
      <c r="M323" s="460"/>
      <c r="N323" s="162"/>
      <c r="O323" s="115" t="s">
        <v>813</v>
      </c>
      <c r="P323" s="116">
        <v>0.25</v>
      </c>
      <c r="Q323" s="149">
        <v>4.0533333333333338E-2</v>
      </c>
      <c r="R323" s="150">
        <v>1.4999999999999999E-2</v>
      </c>
      <c r="S323" s="119">
        <v>0.5</v>
      </c>
      <c r="T323" s="116">
        <v>7.5800000000000006E-2</v>
      </c>
      <c r="U323" s="151">
        <v>-22.632735849052334</v>
      </c>
      <c r="V323" s="152">
        <v>229.5</v>
      </c>
      <c r="W323" s="119">
        <v>2</v>
      </c>
      <c r="X323" s="153">
        <v>45.265471698104669</v>
      </c>
      <c r="Y323" s="154" t="s">
        <v>814</v>
      </c>
      <c r="Z323" s="154"/>
    </row>
    <row r="324" spans="3:26" ht="24">
      <c r="C324" s="162"/>
      <c r="D324" s="497">
        <v>45575</v>
      </c>
      <c r="E324" s="194" t="s">
        <v>678</v>
      </c>
      <c r="F324" s="194" t="s">
        <v>580</v>
      </c>
      <c r="G324" s="194" t="s">
        <v>638</v>
      </c>
      <c r="H324" s="837">
        <v>0.52083333333333337</v>
      </c>
      <c r="I324" s="1474"/>
      <c r="J324" s="1475"/>
      <c r="K324" s="1476"/>
      <c r="L324" s="838"/>
      <c r="M324" s="460"/>
      <c r="N324" s="162"/>
      <c r="O324" s="115" t="s">
        <v>813</v>
      </c>
      <c r="P324" s="116">
        <v>0.25</v>
      </c>
      <c r="Q324" s="149">
        <v>4.0533333333333338E-2</v>
      </c>
      <c r="R324" s="150">
        <v>1.4999999999999999E-2</v>
      </c>
      <c r="S324" s="119">
        <v>0.5</v>
      </c>
      <c r="T324" s="116">
        <v>7.5800000000000006E-2</v>
      </c>
      <c r="U324" s="151">
        <v>-22.349278350515466</v>
      </c>
      <c r="V324" s="152">
        <v>229.5</v>
      </c>
      <c r="W324" s="119">
        <v>2</v>
      </c>
      <c r="X324" s="153">
        <v>44.698556701030931</v>
      </c>
      <c r="Y324" s="154"/>
      <c r="Z324" s="154"/>
    </row>
    <row r="325" spans="3:26" ht="24">
      <c r="C325" s="162"/>
      <c r="D325" s="497">
        <v>45568</v>
      </c>
      <c r="E325" s="194" t="s">
        <v>638</v>
      </c>
      <c r="F325" s="194" t="s">
        <v>734</v>
      </c>
      <c r="G325" s="194" t="s">
        <v>345</v>
      </c>
      <c r="H325" s="837">
        <v>0.52083333333333337</v>
      </c>
      <c r="I325" s="1474"/>
      <c r="J325" s="1475"/>
      <c r="K325" s="1476"/>
      <c r="L325" s="835"/>
      <c r="M325" s="460"/>
      <c r="N325" s="162"/>
      <c r="O325" s="115" t="s">
        <v>816</v>
      </c>
      <c r="P325" s="116"/>
      <c r="Q325" s="149"/>
      <c r="R325" s="150"/>
      <c r="S325" s="119"/>
      <c r="T325" s="116"/>
      <c r="U325" s="151">
        <v>-22.349278350515466</v>
      </c>
      <c r="V325" s="152"/>
      <c r="W325" s="119"/>
      <c r="X325" s="153">
        <v>44.698556701030931</v>
      </c>
      <c r="Y325" s="154"/>
      <c r="Z325" s="154"/>
    </row>
    <row r="326" spans="3:26" ht="24">
      <c r="C326" s="162"/>
      <c r="D326" s="497">
        <v>45561</v>
      </c>
      <c r="E326" s="194" t="s">
        <v>382</v>
      </c>
      <c r="F326" s="194" t="s">
        <v>574</v>
      </c>
      <c r="G326" s="194" t="s">
        <v>72</v>
      </c>
      <c r="H326" s="837">
        <v>0.52083333333333337</v>
      </c>
      <c r="I326" s="1474"/>
      <c r="J326" s="1475"/>
      <c r="K326" s="1476"/>
      <c r="L326" s="835"/>
      <c r="M326" s="460"/>
      <c r="N326" s="162"/>
      <c r="O326" s="89"/>
      <c r="P326" s="89"/>
      <c r="Q326" s="89"/>
      <c r="R326" s="89"/>
      <c r="S326" s="89"/>
      <c r="T326" s="89"/>
      <c r="U326" s="89"/>
      <c r="V326" s="89"/>
      <c r="W326" s="89"/>
      <c r="X326" s="89"/>
      <c r="Y326" s="89"/>
      <c r="Z326" s="89"/>
    </row>
    <row r="327" spans="3:26" ht="24">
      <c r="C327" s="162"/>
      <c r="D327" s="497">
        <v>45554</v>
      </c>
      <c r="E327" s="194" t="s">
        <v>345</v>
      </c>
      <c r="F327" s="194" t="s">
        <v>576</v>
      </c>
      <c r="G327" s="194" t="s">
        <v>268</v>
      </c>
      <c r="H327" s="837">
        <v>0.52083333333333337</v>
      </c>
      <c r="I327" s="1477"/>
      <c r="J327" s="1478"/>
      <c r="K327" s="1479"/>
      <c r="L327" s="835"/>
      <c r="M327" s="460"/>
      <c r="N327" s="162"/>
      <c r="O327" s="89"/>
      <c r="P327" s="89"/>
      <c r="Q327" s="89"/>
      <c r="R327" s="89"/>
      <c r="S327" s="89"/>
      <c r="T327" s="89"/>
      <c r="U327" s="89"/>
      <c r="V327" s="89"/>
      <c r="W327" s="89"/>
      <c r="X327" s="89"/>
      <c r="Y327" s="89"/>
      <c r="Z327" s="89"/>
    </row>
    <row r="328" spans="3:26" ht="48">
      <c r="C328" s="162" t="s">
        <v>105</v>
      </c>
      <c r="D328" s="496" t="s">
        <v>30</v>
      </c>
      <c r="E328" s="1460" t="s">
        <v>852</v>
      </c>
      <c r="F328" s="1460"/>
      <c r="G328" s="1460"/>
      <c r="H328" s="832" t="s">
        <v>790</v>
      </c>
      <c r="I328" s="1468" t="s">
        <v>633</v>
      </c>
      <c r="J328" s="1469"/>
      <c r="K328" s="1470"/>
      <c r="L328" s="833" t="s">
        <v>430</v>
      </c>
      <c r="M328" s="373" t="s">
        <v>431</v>
      </c>
      <c r="N328" s="162" t="s">
        <v>105</v>
      </c>
      <c r="O328" s="114" t="s">
        <v>800</v>
      </c>
      <c r="P328" s="114" t="s">
        <v>801</v>
      </c>
      <c r="Q328" s="114" t="s">
        <v>802</v>
      </c>
      <c r="R328" s="114" t="s">
        <v>803</v>
      </c>
      <c r="S328" s="114" t="s">
        <v>804</v>
      </c>
      <c r="T328" s="114" t="s">
        <v>805</v>
      </c>
      <c r="U328" s="114" t="s">
        <v>806</v>
      </c>
      <c r="V328" s="114" t="s">
        <v>807</v>
      </c>
      <c r="W328" s="114" t="s">
        <v>808</v>
      </c>
      <c r="X328" s="114" t="s">
        <v>809</v>
      </c>
      <c r="Y328" s="114" t="s">
        <v>75</v>
      </c>
      <c r="Z328" s="114" t="s">
        <v>75</v>
      </c>
    </row>
    <row r="329" spans="3:26" ht="24">
      <c r="C329" s="162"/>
      <c r="D329" s="490" t="s">
        <v>432</v>
      </c>
      <c r="E329" s="1464"/>
      <c r="F329" s="1464"/>
      <c r="G329" s="1464"/>
      <c r="H329" s="834" t="s">
        <v>794</v>
      </c>
      <c r="I329" s="1471" t="s">
        <v>853</v>
      </c>
      <c r="J329" s="1472"/>
      <c r="K329" s="1473"/>
      <c r="L329" s="835"/>
      <c r="M329" s="460"/>
      <c r="N329" s="162"/>
      <c r="O329" s="115" t="s">
        <v>810</v>
      </c>
      <c r="P329" s="116">
        <v>0.1</v>
      </c>
      <c r="Q329" s="117">
        <v>3.9E-2</v>
      </c>
      <c r="R329" s="118">
        <v>2.1000000000015007E-2</v>
      </c>
      <c r="S329" s="119"/>
      <c r="T329" s="115">
        <v>7.9500000000015003E-2</v>
      </c>
      <c r="U329" s="117">
        <v>-18.989999999999998</v>
      </c>
      <c r="V329" s="116">
        <v>91.8</v>
      </c>
      <c r="W329" s="119"/>
      <c r="X329" s="119"/>
      <c r="Y329" s="120"/>
      <c r="Z329" s="120"/>
    </row>
    <row r="330" spans="3:26" ht="24">
      <c r="C330" s="162"/>
      <c r="D330" s="490" t="s">
        <v>433</v>
      </c>
      <c r="E330" s="1453">
        <v>47.1</v>
      </c>
      <c r="F330" s="1453"/>
      <c r="G330" s="1453"/>
      <c r="H330" s="834" t="s">
        <v>795</v>
      </c>
      <c r="I330" s="1474"/>
      <c r="J330" s="1475"/>
      <c r="K330" s="1476"/>
      <c r="L330" s="835"/>
      <c r="M330" s="460"/>
      <c r="N330" s="162"/>
      <c r="O330" s="121"/>
      <c r="P330" s="121"/>
      <c r="Q330" s="121"/>
      <c r="R330" s="122"/>
      <c r="S330" s="123"/>
      <c r="T330" s="121"/>
      <c r="U330" s="121"/>
      <c r="V330" s="121"/>
      <c r="W330" s="123"/>
      <c r="X330" s="123"/>
      <c r="Y330" s="124"/>
      <c r="Z330" s="124"/>
    </row>
    <row r="331" spans="3:26" ht="24">
      <c r="C331" s="162"/>
      <c r="D331" s="490" t="s">
        <v>434</v>
      </c>
      <c r="E331" s="1453">
        <v>46.6</v>
      </c>
      <c r="F331" s="1453"/>
      <c r="G331" s="1453"/>
      <c r="H331" s="832"/>
      <c r="I331" s="1474"/>
      <c r="J331" s="1475"/>
      <c r="K331" s="1476"/>
      <c r="L331" s="835"/>
      <c r="M331" s="460"/>
      <c r="N331" s="162"/>
      <c r="O331" s="125" t="s">
        <v>811</v>
      </c>
      <c r="P331" s="126">
        <v>0.1</v>
      </c>
      <c r="Q331" s="127">
        <v>7.22E-2</v>
      </c>
      <c r="R331" s="128">
        <v>1.4999999999999999E-2</v>
      </c>
      <c r="S331" s="129">
        <v>1</v>
      </c>
      <c r="T331" s="125">
        <v>0.12330000000000001</v>
      </c>
      <c r="U331" s="130">
        <v>-29.452415094334064</v>
      </c>
      <c r="V331" s="131">
        <v>91.8</v>
      </c>
      <c r="W331" s="132">
        <v>4.88</v>
      </c>
      <c r="X331" s="133">
        <v>143.72778566035024</v>
      </c>
      <c r="Y331" s="134"/>
      <c r="Z331" s="134">
        <v>4.4350000000000005</v>
      </c>
    </row>
    <row r="332" spans="3:26" ht="24">
      <c r="C332" s="162"/>
      <c r="D332" s="490" t="s">
        <v>435</v>
      </c>
      <c r="E332" s="1458">
        <v>0.57291666666666674</v>
      </c>
      <c r="F332" s="1458"/>
      <c r="G332" s="1458"/>
      <c r="H332" s="832"/>
      <c r="I332" s="1474"/>
      <c r="J332" s="1475"/>
      <c r="K332" s="1476"/>
      <c r="L332" s="836">
        <v>0.80208333333333337</v>
      </c>
      <c r="M332" s="461">
        <v>0.69791666666666674</v>
      </c>
      <c r="N332" s="162"/>
      <c r="O332" s="135" t="s">
        <v>812</v>
      </c>
      <c r="P332" s="136">
        <v>0.1</v>
      </c>
      <c r="Q332" s="137">
        <v>4.0533333333333338E-2</v>
      </c>
      <c r="R332" s="138">
        <v>1.4999999999999999E-2</v>
      </c>
      <c r="S332" s="139">
        <v>0.5</v>
      </c>
      <c r="T332" s="135">
        <v>7.5800000000000006E-2</v>
      </c>
      <c r="U332" s="140">
        <v>-9.0530943396209338</v>
      </c>
      <c r="V332" s="141">
        <v>91.8</v>
      </c>
      <c r="W332" s="142">
        <v>2.3650000000000002</v>
      </c>
      <c r="X332" s="143">
        <v>21.41056811320351</v>
      </c>
      <c r="Y332" s="144"/>
      <c r="Z332" s="144"/>
    </row>
    <row r="333" spans="3:26" ht="24">
      <c r="C333" s="162"/>
      <c r="D333" s="490" t="s">
        <v>436</v>
      </c>
      <c r="E333" s="175" t="s">
        <v>29</v>
      </c>
      <c r="F333" s="175" t="s">
        <v>28</v>
      </c>
      <c r="G333" s="175" t="s">
        <v>27</v>
      </c>
      <c r="H333" s="832" t="s">
        <v>793</v>
      </c>
      <c r="I333" s="1474"/>
      <c r="J333" s="1475"/>
      <c r="K333" s="1476"/>
      <c r="L333" s="835"/>
      <c r="M333" s="460"/>
      <c r="N333" s="162"/>
      <c r="O333" s="123"/>
      <c r="P333" s="145"/>
      <c r="Q333" s="123"/>
      <c r="R333" s="123"/>
      <c r="S333" s="123"/>
      <c r="T333" s="123"/>
      <c r="U333" s="146"/>
      <c r="V333" s="147"/>
      <c r="W333" s="123"/>
      <c r="X333" s="146"/>
      <c r="Y333" s="124"/>
      <c r="Z333" s="124"/>
    </row>
    <row r="334" spans="3:26" ht="24">
      <c r="C334" s="162"/>
      <c r="D334" s="497">
        <v>45565</v>
      </c>
      <c r="E334" s="190">
        <v>46.6</v>
      </c>
      <c r="F334" s="190" t="s">
        <v>899</v>
      </c>
      <c r="G334" s="190">
        <v>46.1</v>
      </c>
      <c r="H334" s="837">
        <v>0.57291666666666674</v>
      </c>
      <c r="I334" s="1474"/>
      <c r="J334" s="1475"/>
      <c r="K334" s="1476"/>
      <c r="L334" s="835"/>
      <c r="M334" s="460"/>
      <c r="N334" s="162"/>
      <c r="O334" s="148"/>
      <c r="P334" s="124"/>
      <c r="Q334" s="148"/>
      <c r="R334" s="148"/>
      <c r="S334" s="148"/>
      <c r="T334" s="148"/>
      <c r="U334" s="148"/>
      <c r="V334" s="148"/>
      <c r="W334" s="148"/>
      <c r="X334" s="148"/>
      <c r="Y334" s="124"/>
      <c r="Z334" s="124"/>
    </row>
    <row r="335" spans="3:26" ht="24">
      <c r="C335" s="162"/>
      <c r="D335" s="497">
        <v>45534</v>
      </c>
      <c r="E335" s="190">
        <v>46.1</v>
      </c>
      <c r="F335" s="190" t="s">
        <v>473</v>
      </c>
      <c r="G335" s="190">
        <v>45.3</v>
      </c>
      <c r="H335" s="837">
        <v>0.57291666666666674</v>
      </c>
      <c r="I335" s="1474"/>
      <c r="J335" s="1475"/>
      <c r="K335" s="1476"/>
      <c r="L335" s="835"/>
      <c r="M335" s="460"/>
      <c r="N335" s="162"/>
      <c r="O335" s="115" t="s">
        <v>813</v>
      </c>
      <c r="P335" s="116">
        <v>0.25</v>
      </c>
      <c r="Q335" s="149">
        <v>4.0533333333333338E-2</v>
      </c>
      <c r="R335" s="150">
        <v>1.4999999999999999E-2</v>
      </c>
      <c r="S335" s="119">
        <v>0.5</v>
      </c>
      <c r="T335" s="116">
        <v>7.5800000000000006E-2</v>
      </c>
      <c r="U335" s="151">
        <v>-22.632735849052334</v>
      </c>
      <c r="V335" s="152">
        <v>229.5</v>
      </c>
      <c r="W335" s="119">
        <v>2</v>
      </c>
      <c r="X335" s="153">
        <v>45.265471698104669</v>
      </c>
      <c r="Y335" s="154" t="s">
        <v>814</v>
      </c>
      <c r="Z335" s="154"/>
    </row>
    <row r="336" spans="3:26" ht="24">
      <c r="C336" s="162"/>
      <c r="D336" s="497">
        <v>45504</v>
      </c>
      <c r="E336" s="190">
        <v>45.3</v>
      </c>
      <c r="F336" s="190" t="s">
        <v>474</v>
      </c>
      <c r="G336" s="190">
        <v>47.4</v>
      </c>
      <c r="H336" s="837">
        <v>0.57291666666666674</v>
      </c>
      <c r="I336" s="1474"/>
      <c r="J336" s="1475"/>
      <c r="K336" s="1476"/>
      <c r="L336" s="838"/>
      <c r="M336" s="460"/>
      <c r="N336" s="162"/>
      <c r="O336" s="115" t="s">
        <v>813</v>
      </c>
      <c r="P336" s="116">
        <v>0.25</v>
      </c>
      <c r="Q336" s="149">
        <v>4.0533333333333338E-2</v>
      </c>
      <c r="R336" s="150">
        <v>1.4999999999999999E-2</v>
      </c>
      <c r="S336" s="119">
        <v>0.5</v>
      </c>
      <c r="T336" s="116">
        <v>7.5800000000000006E-2</v>
      </c>
      <c r="U336" s="151">
        <v>-22.349278350515466</v>
      </c>
      <c r="V336" s="152">
        <v>229.5</v>
      </c>
      <c r="W336" s="119">
        <v>2</v>
      </c>
      <c r="X336" s="153">
        <v>44.698556701030931</v>
      </c>
      <c r="Y336" s="154"/>
      <c r="Z336" s="154"/>
    </row>
    <row r="337" spans="3:26" ht="24">
      <c r="C337" s="162"/>
      <c r="D337" s="497">
        <v>45471</v>
      </c>
      <c r="E337" s="190">
        <v>47.4</v>
      </c>
      <c r="F337" s="190" t="s">
        <v>475</v>
      </c>
      <c r="G337" s="190">
        <v>35.4</v>
      </c>
      <c r="H337" s="837">
        <v>0.57291666666666674</v>
      </c>
      <c r="I337" s="1474"/>
      <c r="J337" s="1475"/>
      <c r="K337" s="1476"/>
      <c r="L337" s="835"/>
      <c r="M337" s="460"/>
      <c r="N337" s="162"/>
      <c r="O337" s="115" t="s">
        <v>816</v>
      </c>
      <c r="P337" s="116"/>
      <c r="Q337" s="149"/>
      <c r="R337" s="150"/>
      <c r="S337" s="119"/>
      <c r="T337" s="116"/>
      <c r="U337" s="151">
        <v>-22.349278350515466</v>
      </c>
      <c r="V337" s="152"/>
      <c r="W337" s="119"/>
      <c r="X337" s="153">
        <v>44.698556701030931</v>
      </c>
      <c r="Y337" s="154"/>
      <c r="Z337" s="154"/>
    </row>
    <row r="338" spans="3:26" ht="24">
      <c r="C338" s="162"/>
      <c r="D338" s="497">
        <v>45443</v>
      </c>
      <c r="E338" s="190">
        <v>35.4</v>
      </c>
      <c r="F338" s="190" t="s">
        <v>476</v>
      </c>
      <c r="G338" s="190">
        <v>37.9</v>
      </c>
      <c r="H338" s="837">
        <v>0.57291666666666674</v>
      </c>
      <c r="I338" s="1474"/>
      <c r="J338" s="1475"/>
      <c r="K338" s="1476"/>
      <c r="L338" s="835"/>
      <c r="M338" s="460"/>
      <c r="N338" s="162"/>
      <c r="O338" s="89"/>
      <c r="P338" s="89"/>
      <c r="Q338" s="89"/>
      <c r="R338" s="89"/>
      <c r="S338" s="89"/>
      <c r="T338" s="89"/>
      <c r="U338" s="89"/>
      <c r="V338" s="89"/>
      <c r="W338" s="89"/>
      <c r="X338" s="89"/>
      <c r="Y338" s="89"/>
      <c r="Z338" s="89"/>
    </row>
    <row r="339" spans="3:26" ht="24">
      <c r="C339" s="162"/>
      <c r="D339" s="497">
        <v>45412</v>
      </c>
      <c r="E339" s="190">
        <v>37.9</v>
      </c>
      <c r="F339" s="190" t="s">
        <v>477</v>
      </c>
      <c r="G339" s="190">
        <v>41.4</v>
      </c>
      <c r="H339" s="837">
        <v>0.57291666666666674</v>
      </c>
      <c r="I339" s="1477"/>
      <c r="J339" s="1478"/>
      <c r="K339" s="1479"/>
      <c r="L339" s="835"/>
      <c r="M339" s="460"/>
      <c r="N339" s="162"/>
      <c r="O339" s="89"/>
      <c r="P339" s="89"/>
      <c r="Q339" s="89"/>
      <c r="R339" s="89"/>
      <c r="S339" s="89"/>
      <c r="T339" s="89"/>
      <c r="U339" s="89"/>
      <c r="V339" s="89"/>
      <c r="W339" s="89"/>
      <c r="X339" s="89"/>
      <c r="Y339" s="89"/>
      <c r="Z339" s="89"/>
    </row>
    <row r="340" spans="3:26" ht="48">
      <c r="C340" s="162" t="s">
        <v>105</v>
      </c>
      <c r="D340" s="496" t="s">
        <v>432</v>
      </c>
      <c r="E340" s="1460" t="s">
        <v>856</v>
      </c>
      <c r="F340" s="1460"/>
      <c r="G340" s="1460"/>
      <c r="H340" s="832" t="s">
        <v>790</v>
      </c>
      <c r="I340" s="1468" t="s">
        <v>633</v>
      </c>
      <c r="J340" s="1469"/>
      <c r="K340" s="1470"/>
      <c r="L340" s="833" t="s">
        <v>430</v>
      </c>
      <c r="M340" s="373" t="s">
        <v>431</v>
      </c>
      <c r="N340" s="162" t="s">
        <v>105</v>
      </c>
      <c r="O340" s="114" t="s">
        <v>800</v>
      </c>
      <c r="P340" s="114" t="s">
        <v>801</v>
      </c>
      <c r="Q340" s="114" t="s">
        <v>802</v>
      </c>
      <c r="R340" s="114" t="s">
        <v>803</v>
      </c>
      <c r="S340" s="114" t="s">
        <v>804</v>
      </c>
      <c r="T340" s="114" t="s">
        <v>805</v>
      </c>
      <c r="U340" s="114" t="s">
        <v>806</v>
      </c>
      <c r="V340" s="114" t="s">
        <v>807</v>
      </c>
      <c r="W340" s="114" t="s">
        <v>808</v>
      </c>
      <c r="X340" s="114" t="s">
        <v>809</v>
      </c>
      <c r="Y340" s="114" t="s">
        <v>75</v>
      </c>
      <c r="Z340" s="114" t="s">
        <v>75</v>
      </c>
    </row>
    <row r="341" spans="3:26" ht="24">
      <c r="C341" s="162"/>
      <c r="D341" s="490" t="s">
        <v>432</v>
      </c>
      <c r="E341" s="1464"/>
      <c r="F341" s="1464"/>
      <c r="G341" s="1464"/>
      <c r="H341" s="834" t="s">
        <v>795</v>
      </c>
      <c r="I341" s="1471" t="s">
        <v>857</v>
      </c>
      <c r="J341" s="1472"/>
      <c r="K341" s="1473"/>
      <c r="L341" s="835"/>
      <c r="M341" s="460"/>
      <c r="N341" s="162"/>
      <c r="O341" s="115" t="s">
        <v>810</v>
      </c>
      <c r="P341" s="116">
        <v>0.1</v>
      </c>
      <c r="Q341" s="117">
        <v>3.9E-2</v>
      </c>
      <c r="R341" s="118">
        <v>2.1000000000015007E-2</v>
      </c>
      <c r="S341" s="119"/>
      <c r="T341" s="115">
        <v>7.9500000000015003E-2</v>
      </c>
      <c r="U341" s="117">
        <v>-18.989999999999998</v>
      </c>
      <c r="V341" s="116">
        <v>91.8</v>
      </c>
      <c r="W341" s="119"/>
      <c r="X341" s="119"/>
      <c r="Y341" s="120"/>
      <c r="Z341" s="120"/>
    </row>
    <row r="342" spans="3:26" ht="24">
      <c r="C342" s="162"/>
      <c r="D342" s="490" t="s">
        <v>433</v>
      </c>
      <c r="E342" s="1453">
        <v>1.59</v>
      </c>
      <c r="F342" s="1453"/>
      <c r="G342" s="1453"/>
      <c r="H342" s="834" t="s">
        <v>795</v>
      </c>
      <c r="I342" s="1474"/>
      <c r="J342" s="1475"/>
      <c r="K342" s="1476"/>
      <c r="L342" s="835"/>
      <c r="M342" s="460"/>
      <c r="N342" s="162"/>
      <c r="O342" s="121"/>
      <c r="P342" s="121"/>
      <c r="Q342" s="121"/>
      <c r="R342" s="122"/>
      <c r="S342" s="123"/>
      <c r="T342" s="121"/>
      <c r="U342" s="121"/>
      <c r="V342" s="121"/>
      <c r="W342" s="123"/>
      <c r="X342" s="123"/>
      <c r="Y342" s="124"/>
      <c r="Z342" s="124"/>
    </row>
    <row r="343" spans="3:26" ht="24">
      <c r="C343" s="162"/>
      <c r="D343" s="490" t="s">
        <v>434</v>
      </c>
      <c r="E343" s="1453">
        <v>1.4</v>
      </c>
      <c r="F343" s="1453"/>
      <c r="G343" s="1453"/>
      <c r="H343" s="832"/>
      <c r="I343" s="1474"/>
      <c r="J343" s="1475"/>
      <c r="K343" s="1476"/>
      <c r="L343" s="835"/>
      <c r="M343" s="460"/>
      <c r="N343" s="162"/>
      <c r="O343" s="125" t="s">
        <v>811</v>
      </c>
      <c r="P343" s="126">
        <v>0.1</v>
      </c>
      <c r="Q343" s="127">
        <v>7.22E-2</v>
      </c>
      <c r="R343" s="128">
        <v>1.4999999999999999E-2</v>
      </c>
      <c r="S343" s="129">
        <v>1</v>
      </c>
      <c r="T343" s="125">
        <v>0.12330000000000001</v>
      </c>
      <c r="U343" s="130">
        <v>-29.452415094334064</v>
      </c>
      <c r="V343" s="131">
        <v>91.8</v>
      </c>
      <c r="W343" s="132">
        <v>4.88</v>
      </c>
      <c r="X343" s="133">
        <v>143.72778566035024</v>
      </c>
      <c r="Y343" s="134"/>
      <c r="Z343" s="134">
        <v>4.4350000000000005</v>
      </c>
    </row>
    <row r="344" spans="3:26" ht="24">
      <c r="C344" s="162"/>
      <c r="D344" s="490" t="s">
        <v>435</v>
      </c>
      <c r="E344" s="1457">
        <v>0.95833333333333337</v>
      </c>
      <c r="F344" s="1457"/>
      <c r="G344" s="1457"/>
      <c r="H344" s="832"/>
      <c r="I344" s="1474"/>
      <c r="J344" s="1475"/>
      <c r="K344" s="1476"/>
      <c r="L344" s="836">
        <v>6.25E-2</v>
      </c>
      <c r="M344" s="461">
        <v>0.95833333333333337</v>
      </c>
      <c r="N344" s="162"/>
      <c r="O344" s="135" t="s">
        <v>812</v>
      </c>
      <c r="P344" s="136">
        <v>0.1</v>
      </c>
      <c r="Q344" s="137">
        <v>4.0533333333333338E-2</v>
      </c>
      <c r="R344" s="138">
        <v>1.4999999999999999E-2</v>
      </c>
      <c r="S344" s="139">
        <v>0.5</v>
      </c>
      <c r="T344" s="135">
        <v>7.5800000000000006E-2</v>
      </c>
      <c r="U344" s="140">
        <v>-9.0530943396209338</v>
      </c>
      <c r="V344" s="141">
        <v>91.8</v>
      </c>
      <c r="W344" s="142">
        <v>2.3650000000000002</v>
      </c>
      <c r="X344" s="143">
        <v>21.41056811320351</v>
      </c>
      <c r="Y344" s="144"/>
      <c r="Z344" s="144"/>
    </row>
    <row r="345" spans="3:26" ht="24">
      <c r="C345" s="162"/>
      <c r="D345" s="490" t="s">
        <v>436</v>
      </c>
      <c r="E345" s="175" t="s">
        <v>29</v>
      </c>
      <c r="F345" s="175" t="s">
        <v>28</v>
      </c>
      <c r="G345" s="175" t="s">
        <v>27</v>
      </c>
      <c r="H345" s="832" t="s">
        <v>793</v>
      </c>
      <c r="I345" s="1474"/>
      <c r="J345" s="1475"/>
      <c r="K345" s="1476"/>
      <c r="L345" s="835"/>
      <c r="M345" s="460"/>
      <c r="N345" s="162"/>
      <c r="O345" s="123"/>
      <c r="P345" s="145"/>
      <c r="Q345" s="123"/>
      <c r="R345" s="123"/>
      <c r="S345" s="123"/>
      <c r="T345" s="123"/>
      <c r="U345" s="146"/>
      <c r="V345" s="147"/>
      <c r="W345" s="123"/>
      <c r="X345" s="146"/>
      <c r="Y345" s="124"/>
      <c r="Z345" s="124"/>
    </row>
    <row r="346" spans="3:26" ht="23">
      <c r="C346" s="162"/>
      <c r="D346" s="497">
        <v>45505</v>
      </c>
      <c r="E346" s="176">
        <v>1.4</v>
      </c>
      <c r="F346" s="176">
        <v>1.34</v>
      </c>
      <c r="G346" s="176">
        <v>1.53</v>
      </c>
      <c r="H346" s="837">
        <v>0.95833333333333337</v>
      </c>
      <c r="I346" s="1474"/>
      <c r="J346" s="1475"/>
      <c r="K346" s="1476"/>
      <c r="L346" s="835"/>
      <c r="M346" s="460"/>
      <c r="N346" s="162"/>
      <c r="O346" s="148"/>
      <c r="P346" s="124"/>
      <c r="Q346" s="148"/>
      <c r="R346" s="148"/>
      <c r="S346" s="148"/>
      <c r="T346" s="148"/>
      <c r="U346" s="148"/>
      <c r="V346" s="148"/>
      <c r="W346" s="148"/>
      <c r="X346" s="148"/>
      <c r="Y346" s="124"/>
      <c r="Z346" s="124"/>
    </row>
    <row r="347" spans="3:26" ht="23">
      <c r="C347" s="162"/>
      <c r="D347" s="497">
        <v>45414</v>
      </c>
      <c r="E347" s="176">
        <v>1.53</v>
      </c>
      <c r="F347" s="176">
        <v>1.51</v>
      </c>
      <c r="G347" s="176">
        <v>2.1800000000000002</v>
      </c>
      <c r="H347" s="837">
        <v>0.95833333333333337</v>
      </c>
      <c r="I347" s="1474"/>
      <c r="J347" s="1475"/>
      <c r="K347" s="1476"/>
      <c r="L347" s="835"/>
      <c r="M347" s="460"/>
      <c r="N347" s="162"/>
      <c r="O347" s="115" t="s">
        <v>813</v>
      </c>
      <c r="P347" s="116">
        <v>0.25</v>
      </c>
      <c r="Q347" s="149">
        <v>4.0533333333333338E-2</v>
      </c>
      <c r="R347" s="150">
        <v>1.4999999999999999E-2</v>
      </c>
      <c r="S347" s="119">
        <v>0.5</v>
      </c>
      <c r="T347" s="116">
        <v>7.5800000000000006E-2</v>
      </c>
      <c r="U347" s="151">
        <v>-22.632735849052334</v>
      </c>
      <c r="V347" s="152">
        <v>229.5</v>
      </c>
      <c r="W347" s="119">
        <v>2</v>
      </c>
      <c r="X347" s="153">
        <v>45.265471698104669</v>
      </c>
      <c r="Y347" s="154" t="s">
        <v>814</v>
      </c>
      <c r="Z347" s="154"/>
    </row>
    <row r="348" spans="3:26" ht="23">
      <c r="C348" s="162"/>
      <c r="D348" s="497">
        <v>45323</v>
      </c>
      <c r="E348" s="176">
        <v>2.1800000000000002</v>
      </c>
      <c r="F348" s="176">
        <v>2.09</v>
      </c>
      <c r="G348" s="176">
        <v>1.46</v>
      </c>
      <c r="H348" s="837">
        <v>0.95833333333333337</v>
      </c>
      <c r="I348" s="1474"/>
      <c r="J348" s="1475"/>
      <c r="K348" s="1476"/>
      <c r="L348" s="838"/>
      <c r="M348" s="460"/>
      <c r="N348" s="162"/>
      <c r="O348" s="115" t="s">
        <v>813</v>
      </c>
      <c r="P348" s="116">
        <v>0.25</v>
      </c>
      <c r="Q348" s="149">
        <v>4.0533333333333338E-2</v>
      </c>
      <c r="R348" s="150">
        <v>1.4999999999999999E-2</v>
      </c>
      <c r="S348" s="119">
        <v>0.5</v>
      </c>
      <c r="T348" s="116">
        <v>7.5800000000000006E-2</v>
      </c>
      <c r="U348" s="151">
        <v>-22.349278350515466</v>
      </c>
      <c r="V348" s="152">
        <v>229.5</v>
      </c>
      <c r="W348" s="119">
        <v>2</v>
      </c>
      <c r="X348" s="153">
        <v>44.698556701030931</v>
      </c>
      <c r="Y348" s="154"/>
      <c r="Z348" s="154"/>
    </row>
    <row r="349" spans="3:26" ht="23">
      <c r="C349" s="162"/>
      <c r="D349" s="497">
        <v>45232</v>
      </c>
      <c r="E349" s="176">
        <v>1.46</v>
      </c>
      <c r="F349" s="176">
        <v>1.39</v>
      </c>
      <c r="G349" s="176">
        <v>1.26</v>
      </c>
      <c r="H349" s="837">
        <v>0.95833333333333337</v>
      </c>
      <c r="I349" s="1474"/>
      <c r="J349" s="1475"/>
      <c r="K349" s="1476"/>
      <c r="L349" s="835"/>
      <c r="M349" s="460"/>
      <c r="N349" s="162"/>
      <c r="O349" s="115" t="s">
        <v>816</v>
      </c>
      <c r="P349" s="116"/>
      <c r="Q349" s="149"/>
      <c r="R349" s="150"/>
      <c r="S349" s="119"/>
      <c r="T349" s="116"/>
      <c r="U349" s="151">
        <v>-22.349278350515466</v>
      </c>
      <c r="V349" s="152"/>
      <c r="W349" s="119"/>
      <c r="X349" s="153">
        <v>44.698556701030931</v>
      </c>
      <c r="Y349" s="154"/>
      <c r="Z349" s="154"/>
    </row>
    <row r="350" spans="3:26" ht="23">
      <c r="C350" s="162"/>
      <c r="D350" s="497">
        <v>45141</v>
      </c>
      <c r="E350" s="176">
        <v>1.26</v>
      </c>
      <c r="F350" s="176">
        <v>1.19</v>
      </c>
      <c r="G350" s="176">
        <v>1.52</v>
      </c>
      <c r="H350" s="837">
        <v>0.95833333333333337</v>
      </c>
      <c r="I350" s="1474"/>
      <c r="J350" s="1475"/>
      <c r="K350" s="1476"/>
      <c r="L350" s="835"/>
      <c r="M350" s="460"/>
      <c r="N350" s="162"/>
      <c r="O350" s="89"/>
      <c r="P350" s="89"/>
      <c r="Q350" s="89"/>
      <c r="R350" s="89"/>
      <c r="S350" s="89"/>
      <c r="T350" s="89"/>
      <c r="U350" s="89"/>
      <c r="V350" s="89"/>
      <c r="W350" s="89"/>
      <c r="X350" s="89"/>
      <c r="Y350" s="89"/>
      <c r="Z350" s="89"/>
    </row>
    <row r="351" spans="3:26" ht="23">
      <c r="C351" s="162"/>
      <c r="D351" s="497">
        <v>45050</v>
      </c>
      <c r="E351" s="176">
        <v>1.52</v>
      </c>
      <c r="F351" s="176">
        <v>1.44</v>
      </c>
      <c r="G351" s="176">
        <v>1.88</v>
      </c>
      <c r="H351" s="837">
        <v>0.95833333333333337</v>
      </c>
      <c r="I351" s="1477"/>
      <c r="J351" s="1478"/>
      <c r="K351" s="1479"/>
      <c r="L351" s="835"/>
      <c r="M351" s="460"/>
      <c r="N351" s="162"/>
      <c r="O351" s="89"/>
      <c r="P351" s="89"/>
      <c r="Q351" s="89"/>
      <c r="R351" s="89"/>
      <c r="S351" s="89"/>
      <c r="T351" s="89"/>
      <c r="U351" s="89"/>
      <c r="V351" s="89"/>
      <c r="W351" s="89"/>
      <c r="X351" s="89"/>
      <c r="Y351" s="89"/>
      <c r="Z351" s="89"/>
    </row>
    <row r="352" spans="3:26" ht="48">
      <c r="C352" s="162" t="s">
        <v>105</v>
      </c>
      <c r="D352" s="496" t="s">
        <v>30</v>
      </c>
      <c r="E352" s="1460" t="s">
        <v>858</v>
      </c>
      <c r="F352" s="1460"/>
      <c r="G352" s="1460"/>
      <c r="H352" s="832" t="s">
        <v>790</v>
      </c>
      <c r="I352" s="1468" t="s">
        <v>633</v>
      </c>
      <c r="J352" s="1469"/>
      <c r="K352" s="1470"/>
      <c r="L352" s="833" t="s">
        <v>430</v>
      </c>
      <c r="M352" s="373" t="s">
        <v>431</v>
      </c>
      <c r="N352" s="162" t="s">
        <v>105</v>
      </c>
      <c r="O352" s="114" t="s">
        <v>800</v>
      </c>
      <c r="P352" s="114" t="s">
        <v>801</v>
      </c>
      <c r="Q352" s="114" t="s">
        <v>802</v>
      </c>
      <c r="R352" s="114" t="s">
        <v>803</v>
      </c>
      <c r="S352" s="114" t="s">
        <v>804</v>
      </c>
      <c r="T352" s="114" t="s">
        <v>805</v>
      </c>
      <c r="U352" s="114" t="s">
        <v>806</v>
      </c>
      <c r="V352" s="114" t="s">
        <v>807</v>
      </c>
      <c r="W352" s="114" t="s">
        <v>808</v>
      </c>
      <c r="X352" s="114" t="s">
        <v>809</v>
      </c>
      <c r="Y352" s="114" t="s">
        <v>75</v>
      </c>
      <c r="Z352" s="114" t="s">
        <v>75</v>
      </c>
    </row>
    <row r="353" spans="3:26" ht="24">
      <c r="C353" s="162"/>
      <c r="D353" s="490" t="s">
        <v>432</v>
      </c>
      <c r="E353" s="1464"/>
      <c r="F353" s="1464"/>
      <c r="G353" s="1464"/>
      <c r="H353" s="834" t="s">
        <v>794</v>
      </c>
      <c r="I353" s="1471" t="s">
        <v>859</v>
      </c>
      <c r="J353" s="1472"/>
      <c r="K353" s="1473"/>
      <c r="L353" s="835"/>
      <c r="M353" s="460"/>
      <c r="N353" s="162"/>
      <c r="O353" s="115" t="s">
        <v>810</v>
      </c>
      <c r="P353" s="163">
        <v>0.1</v>
      </c>
      <c r="Q353" s="164">
        <v>3.9E-2</v>
      </c>
      <c r="R353" s="165">
        <v>2.1000000000015007E-2</v>
      </c>
      <c r="S353" s="119"/>
      <c r="T353" s="115">
        <v>7.9500000000015003E-2</v>
      </c>
      <c r="U353" s="164">
        <v>-18.989999999999998</v>
      </c>
      <c r="V353" s="163">
        <v>91.8</v>
      </c>
      <c r="W353" s="166"/>
      <c r="X353" s="153"/>
      <c r="Y353" s="120"/>
      <c r="Z353" s="120"/>
    </row>
    <row r="354" spans="3:26" ht="24">
      <c r="C354" s="162"/>
      <c r="D354" s="490" t="s">
        <v>433</v>
      </c>
      <c r="E354" s="1481">
        <v>3.0000000000000001E-3</v>
      </c>
      <c r="F354" s="1481"/>
      <c r="G354" s="1481"/>
      <c r="H354" s="834" t="s">
        <v>795</v>
      </c>
      <c r="I354" s="1474"/>
      <c r="J354" s="1475"/>
      <c r="K354" s="1476"/>
      <c r="L354" s="835"/>
      <c r="M354" s="460"/>
      <c r="N354" s="162"/>
      <c r="O354" s="121"/>
      <c r="P354" s="121"/>
      <c r="Q354" s="121"/>
      <c r="R354" s="122"/>
      <c r="S354" s="123"/>
      <c r="T354" s="121"/>
      <c r="U354" s="121"/>
      <c r="V354" s="121"/>
      <c r="W354" s="121"/>
      <c r="X354" s="123"/>
      <c r="Y354" s="124"/>
      <c r="Z354" s="124"/>
    </row>
    <row r="355" spans="3:26" ht="24">
      <c r="C355" s="162"/>
      <c r="D355" s="490" t="s">
        <v>434</v>
      </c>
      <c r="E355" s="1481">
        <v>4.0000000000000001E-3</v>
      </c>
      <c r="F355" s="1481"/>
      <c r="G355" s="1481"/>
      <c r="H355" s="832"/>
      <c r="I355" s="1474"/>
      <c r="J355" s="1475"/>
      <c r="K355" s="1476"/>
      <c r="L355" s="835"/>
      <c r="M355" s="460"/>
      <c r="N355" s="162"/>
      <c r="O355" s="125" t="s">
        <v>811</v>
      </c>
      <c r="P355" s="167">
        <v>0.1</v>
      </c>
      <c r="Q355" s="168">
        <v>7.22E-2</v>
      </c>
      <c r="R355" s="169">
        <v>1.4999999999999999E-2</v>
      </c>
      <c r="S355" s="179">
        <v>1</v>
      </c>
      <c r="T355" s="125">
        <v>0.12330000000000001</v>
      </c>
      <c r="U355" s="130">
        <v>-29.452415094334064</v>
      </c>
      <c r="V355" s="131">
        <v>91.8</v>
      </c>
      <c r="W355" s="180">
        <v>4.88</v>
      </c>
      <c r="X355" s="133">
        <v>143.72778566035024</v>
      </c>
      <c r="Y355" s="134"/>
      <c r="Z355" s="134">
        <v>4.4350000000000005</v>
      </c>
    </row>
    <row r="356" spans="3:26" ht="24">
      <c r="C356" s="162"/>
      <c r="D356" s="490" t="s">
        <v>435</v>
      </c>
      <c r="E356" s="1458">
        <v>0.52083333333333337</v>
      </c>
      <c r="F356" s="1458"/>
      <c r="G356" s="1458"/>
      <c r="H356" s="832"/>
      <c r="I356" s="1474"/>
      <c r="J356" s="1475"/>
      <c r="K356" s="1476"/>
      <c r="L356" s="836">
        <v>0.75</v>
      </c>
      <c r="M356" s="461">
        <v>0.64583333333333337</v>
      </c>
      <c r="N356" s="162"/>
      <c r="O356" s="135" t="s">
        <v>812</v>
      </c>
      <c r="P356" s="171">
        <v>0.1</v>
      </c>
      <c r="Q356" s="156">
        <v>0.12866666666666668</v>
      </c>
      <c r="R356" s="172">
        <v>1.4999999999999999E-2</v>
      </c>
      <c r="S356" s="181">
        <v>1</v>
      </c>
      <c r="T356" s="173">
        <v>0.20799999999999999</v>
      </c>
      <c r="U356" s="140">
        <v>-49.684528301877407</v>
      </c>
      <c r="V356" s="141">
        <v>91.8</v>
      </c>
      <c r="W356" s="182">
        <v>2.3650000000000002</v>
      </c>
      <c r="X356" s="143">
        <v>117.50390943394008</v>
      </c>
      <c r="Y356" s="144"/>
      <c r="Z356" s="144"/>
    </row>
    <row r="357" spans="3:26" ht="24">
      <c r="C357" s="162"/>
      <c r="D357" s="490" t="s">
        <v>436</v>
      </c>
      <c r="E357" s="175" t="s">
        <v>29</v>
      </c>
      <c r="F357" s="175" t="s">
        <v>28</v>
      </c>
      <c r="G357" s="175" t="s">
        <v>27</v>
      </c>
      <c r="H357" s="832" t="s">
        <v>793</v>
      </c>
      <c r="I357" s="1474"/>
      <c r="J357" s="1475"/>
      <c r="K357" s="1476"/>
      <c r="L357" s="835"/>
      <c r="M357" s="460"/>
      <c r="N357" s="162"/>
      <c r="O357" s="123"/>
      <c r="P357" s="145"/>
      <c r="Q357" s="123"/>
      <c r="R357" s="123"/>
      <c r="S357" s="183"/>
      <c r="T357" s="123"/>
      <c r="U357" s="146"/>
      <c r="V357" s="147"/>
      <c r="W357" s="184"/>
      <c r="X357" s="146"/>
      <c r="Y357" s="124"/>
      <c r="Z357" s="124"/>
    </row>
    <row r="358" spans="3:26" ht="24">
      <c r="C358" s="162"/>
      <c r="D358" s="497">
        <v>45569</v>
      </c>
      <c r="E358" s="178">
        <v>4.0000000000000001E-3</v>
      </c>
      <c r="F358" s="178" t="s">
        <v>467</v>
      </c>
      <c r="G358" s="178">
        <v>5.0000000000000001E-3</v>
      </c>
      <c r="H358" s="837">
        <v>0.52083333333333337</v>
      </c>
      <c r="I358" s="1474"/>
      <c r="J358" s="1475"/>
      <c r="K358" s="1476"/>
      <c r="L358" s="835"/>
      <c r="M358" s="460"/>
      <c r="N358" s="162"/>
      <c r="O358" s="148"/>
      <c r="P358" s="124"/>
      <c r="Q358" s="148"/>
      <c r="R358" s="148"/>
      <c r="S358" s="183"/>
      <c r="T358" s="148"/>
      <c r="U358" s="148"/>
      <c r="V358" s="148"/>
      <c r="W358" s="186"/>
      <c r="X358" s="148"/>
      <c r="Y358" s="124"/>
      <c r="Z358" s="124"/>
    </row>
    <row r="359" spans="3:26" ht="24">
      <c r="C359" s="162"/>
      <c r="D359" s="497">
        <v>45541</v>
      </c>
      <c r="E359" s="178">
        <v>4.0000000000000001E-3</v>
      </c>
      <c r="F359" s="178" t="s">
        <v>467</v>
      </c>
      <c r="G359" s="178">
        <v>-1E-3</v>
      </c>
      <c r="H359" s="837">
        <v>0.52083333333333337</v>
      </c>
      <c r="I359" s="1474"/>
      <c r="J359" s="1475"/>
      <c r="K359" s="1476"/>
      <c r="L359" s="835"/>
      <c r="M359" s="460"/>
      <c r="N359" s="162"/>
      <c r="O359" s="115" t="s">
        <v>813</v>
      </c>
      <c r="P359" s="191">
        <v>0.25</v>
      </c>
      <c r="Q359" s="149">
        <v>4.0533333333333338E-2</v>
      </c>
      <c r="R359" s="150">
        <v>1.4999999999999999E-2</v>
      </c>
      <c r="S359" s="187">
        <v>0.5</v>
      </c>
      <c r="T359" s="125">
        <v>7.5800000000000006E-2</v>
      </c>
      <c r="U359" s="151">
        <v>-22.632735849052334</v>
      </c>
      <c r="V359" s="152">
        <v>229.5</v>
      </c>
      <c r="W359" s="189">
        <v>2</v>
      </c>
      <c r="X359" s="153">
        <v>45.265471698104669</v>
      </c>
      <c r="Y359" s="154" t="s">
        <v>814</v>
      </c>
      <c r="Z359" s="154"/>
    </row>
    <row r="360" spans="3:26" ht="24">
      <c r="C360" s="162"/>
      <c r="D360" s="497">
        <v>45506</v>
      </c>
      <c r="E360" s="178">
        <v>2E-3</v>
      </c>
      <c r="F360" s="178" t="s">
        <v>467</v>
      </c>
      <c r="G360" s="178">
        <v>3.0000000000000001E-3</v>
      </c>
      <c r="H360" s="837">
        <v>0.52083333333333337</v>
      </c>
      <c r="I360" s="1474"/>
      <c r="J360" s="1475"/>
      <c r="K360" s="1476"/>
      <c r="L360" s="838"/>
      <c r="M360" s="460"/>
      <c r="N360" s="162"/>
      <c r="O360" s="115"/>
      <c r="P360" s="116"/>
      <c r="Q360" s="149"/>
      <c r="R360" s="150"/>
      <c r="S360" s="119"/>
      <c r="T360" s="116"/>
      <c r="U360" s="151"/>
      <c r="V360" s="152"/>
      <c r="W360" s="119"/>
      <c r="X360" s="153"/>
      <c r="Y360" s="154"/>
      <c r="Z360" s="154"/>
    </row>
    <row r="361" spans="3:26" ht="24">
      <c r="C361" s="162"/>
      <c r="D361" s="497">
        <v>45478</v>
      </c>
      <c r="E361" s="178">
        <v>3.0000000000000001E-3</v>
      </c>
      <c r="F361" s="178" t="s">
        <v>467</v>
      </c>
      <c r="G361" s="178">
        <v>4.0000000000000001E-3</v>
      </c>
      <c r="H361" s="837">
        <v>0.52083333333333337</v>
      </c>
      <c r="I361" s="1474"/>
      <c r="J361" s="1475"/>
      <c r="K361" s="1476"/>
      <c r="L361" s="835"/>
      <c r="M361" s="460"/>
      <c r="N361" s="162"/>
      <c r="O361" s="115" t="s">
        <v>816</v>
      </c>
      <c r="P361" s="116"/>
      <c r="Q361" s="149"/>
      <c r="R361" s="150"/>
      <c r="S361" s="119"/>
      <c r="T361" s="116"/>
      <c r="U361" s="151">
        <v>0</v>
      </c>
      <c r="V361" s="152"/>
      <c r="W361" s="119"/>
      <c r="X361" s="153">
        <v>0</v>
      </c>
      <c r="Y361" s="154"/>
      <c r="Z361" s="154"/>
    </row>
    <row r="362" spans="3:26" ht="24">
      <c r="C362" s="162"/>
      <c r="D362" s="497">
        <v>45450</v>
      </c>
      <c r="E362" s="178">
        <v>4.0000000000000001E-3</v>
      </c>
      <c r="F362" s="178" t="s">
        <v>467</v>
      </c>
      <c r="G362" s="178">
        <v>2E-3</v>
      </c>
      <c r="H362" s="837">
        <v>0.52083333333333337</v>
      </c>
      <c r="I362" s="1474"/>
      <c r="J362" s="1475"/>
      <c r="K362" s="1476"/>
      <c r="L362" s="835"/>
      <c r="M362" s="460"/>
      <c r="N362" s="162"/>
      <c r="O362" s="89"/>
      <c r="P362" s="89"/>
      <c r="Q362" s="89"/>
      <c r="R362" s="89"/>
      <c r="S362" s="89"/>
      <c r="T362" s="89"/>
      <c r="U362" s="89"/>
      <c r="V362" s="89"/>
      <c r="W362" s="89"/>
      <c r="X362" s="89"/>
      <c r="Y362" s="89"/>
      <c r="Z362" s="89"/>
    </row>
    <row r="363" spans="3:26" ht="24">
      <c r="C363" s="162"/>
      <c r="D363" s="497">
        <v>45415</v>
      </c>
      <c r="E363" s="178">
        <v>2E-3</v>
      </c>
      <c r="F363" s="178" t="s">
        <v>467</v>
      </c>
      <c r="G363" s="178">
        <v>3.0000000000000001E-3</v>
      </c>
      <c r="H363" s="837">
        <v>0.52083333333333337</v>
      </c>
      <c r="I363" s="1477"/>
      <c r="J363" s="1478"/>
      <c r="K363" s="1479"/>
      <c r="L363" s="835"/>
      <c r="M363" s="460"/>
      <c r="N363" s="162"/>
      <c r="O363" s="89"/>
      <c r="P363" s="89"/>
      <c r="Q363" s="89"/>
      <c r="R363" s="89"/>
      <c r="S363" s="89"/>
      <c r="T363" s="89"/>
      <c r="U363" s="89"/>
      <c r="V363" s="89"/>
      <c r="W363" s="89"/>
      <c r="X363" s="89"/>
      <c r="Y363" s="89"/>
      <c r="Z363" s="89"/>
    </row>
    <row r="364" spans="3:26" ht="48">
      <c r="C364" s="162" t="s">
        <v>105</v>
      </c>
      <c r="D364" s="496" t="s">
        <v>30</v>
      </c>
      <c r="E364" s="1460" t="s">
        <v>860</v>
      </c>
      <c r="F364" s="1460"/>
      <c r="G364" s="1460"/>
      <c r="H364" s="832" t="s">
        <v>790</v>
      </c>
      <c r="I364" s="1468" t="s">
        <v>633</v>
      </c>
      <c r="J364" s="1469"/>
      <c r="K364" s="1470"/>
      <c r="L364" s="833" t="s">
        <v>430</v>
      </c>
      <c r="M364" s="373" t="s">
        <v>431</v>
      </c>
      <c r="N364" s="162" t="s">
        <v>105</v>
      </c>
      <c r="O364" s="114" t="s">
        <v>800</v>
      </c>
      <c r="P364" s="114" t="s">
        <v>801</v>
      </c>
      <c r="Q364" s="114" t="s">
        <v>802</v>
      </c>
      <c r="R364" s="114" t="s">
        <v>803</v>
      </c>
      <c r="S364" s="114" t="s">
        <v>804</v>
      </c>
      <c r="T364" s="114" t="s">
        <v>805</v>
      </c>
      <c r="U364" s="114" t="s">
        <v>806</v>
      </c>
      <c r="V364" s="114" t="s">
        <v>807</v>
      </c>
      <c r="W364" s="114" t="s">
        <v>808</v>
      </c>
      <c r="X364" s="114" t="s">
        <v>809</v>
      </c>
      <c r="Y364" s="114" t="s">
        <v>75</v>
      </c>
      <c r="Z364" s="114" t="s">
        <v>75</v>
      </c>
    </row>
    <row r="365" spans="3:26" ht="24">
      <c r="C365" s="162"/>
      <c r="D365" s="490" t="s">
        <v>432</v>
      </c>
      <c r="E365" s="1464"/>
      <c r="F365" s="1464"/>
      <c r="G365" s="1464"/>
      <c r="H365" s="834" t="s">
        <v>794</v>
      </c>
      <c r="I365" s="1471" t="s">
        <v>859</v>
      </c>
      <c r="J365" s="1472"/>
      <c r="K365" s="1473"/>
      <c r="L365" s="835"/>
      <c r="M365" s="460"/>
      <c r="N365" s="162"/>
      <c r="O365" s="115" t="s">
        <v>810</v>
      </c>
      <c r="P365" s="163">
        <v>0.1</v>
      </c>
      <c r="Q365" s="164">
        <v>2.1000000000000001E-2</v>
      </c>
      <c r="R365" s="165">
        <v>1.7000000000000001E-2</v>
      </c>
      <c r="S365" s="119"/>
      <c r="T365" s="115">
        <v>4.8500000000000001E-2</v>
      </c>
      <c r="U365" s="164">
        <v>-11.44</v>
      </c>
      <c r="V365" s="163">
        <v>91.8</v>
      </c>
      <c r="W365" s="166"/>
      <c r="X365" s="153"/>
      <c r="Y365" s="120"/>
      <c r="Z365" s="120"/>
    </row>
    <row r="366" spans="3:26" ht="24">
      <c r="C366" s="162"/>
      <c r="D366" s="490" t="s">
        <v>433</v>
      </c>
      <c r="E366" s="1481" t="s">
        <v>547</v>
      </c>
      <c r="F366" s="1481"/>
      <c r="G366" s="1481"/>
      <c r="H366" s="834" t="s">
        <v>795</v>
      </c>
      <c r="I366" s="1474"/>
      <c r="J366" s="1475"/>
      <c r="K366" s="1476"/>
      <c r="L366" s="835"/>
      <c r="M366" s="460"/>
      <c r="N366" s="162"/>
      <c r="O366" s="121"/>
      <c r="P366" s="121"/>
      <c r="Q366" s="121"/>
      <c r="R366" s="122"/>
      <c r="S366" s="123"/>
      <c r="T366" s="121"/>
      <c r="U366" s="121"/>
      <c r="V366" s="121"/>
      <c r="W366" s="121"/>
      <c r="X366" s="123"/>
      <c r="Y366" s="124"/>
      <c r="Z366" s="124"/>
    </row>
    <row r="367" spans="3:26" ht="24">
      <c r="C367" s="162"/>
      <c r="D367" s="490" t="s">
        <v>434</v>
      </c>
      <c r="E367" s="1481" t="s">
        <v>641</v>
      </c>
      <c r="F367" s="1481"/>
      <c r="G367" s="1481"/>
      <c r="H367" s="832"/>
      <c r="I367" s="1474"/>
      <c r="J367" s="1475"/>
      <c r="K367" s="1476"/>
      <c r="L367" s="835"/>
      <c r="M367" s="460"/>
      <c r="N367" s="162"/>
      <c r="O367" s="125" t="s">
        <v>811</v>
      </c>
      <c r="P367" s="167">
        <v>0.1</v>
      </c>
      <c r="Q367" s="168">
        <v>0.1389</v>
      </c>
      <c r="R367" s="169">
        <v>1.7999999999999999E-2</v>
      </c>
      <c r="S367" s="179">
        <v>1</v>
      </c>
      <c r="T367" s="125">
        <v>0.22634999999999997</v>
      </c>
      <c r="U367" s="130">
        <v>-53.390597938144317</v>
      </c>
      <c r="V367" s="131">
        <v>91.8</v>
      </c>
      <c r="W367" s="180">
        <v>10.14</v>
      </c>
      <c r="X367" s="133">
        <v>541.38066309278338</v>
      </c>
      <c r="Y367" s="134"/>
      <c r="Z367" s="134"/>
    </row>
    <row r="368" spans="3:26" ht="24">
      <c r="C368" s="162"/>
      <c r="D368" s="490" t="s">
        <v>435</v>
      </c>
      <c r="E368" s="1458">
        <v>0.52083333333333337</v>
      </c>
      <c r="F368" s="1458"/>
      <c r="G368" s="1458"/>
      <c r="H368" s="832"/>
      <c r="I368" s="1474"/>
      <c r="J368" s="1475"/>
      <c r="K368" s="1476"/>
      <c r="L368" s="836">
        <v>0.75</v>
      </c>
      <c r="M368" s="461">
        <v>0.64583333333333337</v>
      </c>
      <c r="N368" s="162"/>
      <c r="O368" s="135" t="s">
        <v>812</v>
      </c>
      <c r="P368" s="171">
        <v>0.1</v>
      </c>
      <c r="Q368" s="156">
        <v>9.3800000000000008E-2</v>
      </c>
      <c r="R368" s="172">
        <v>1.7999999999999999E-2</v>
      </c>
      <c r="S368" s="181">
        <v>1</v>
      </c>
      <c r="T368" s="173">
        <v>0.15870000000000001</v>
      </c>
      <c r="U368" s="140">
        <v>-37.433567010309275</v>
      </c>
      <c r="V368" s="141">
        <v>91.8</v>
      </c>
      <c r="W368" s="182">
        <v>4.45</v>
      </c>
      <c r="X368" s="143">
        <v>166.57937319587629</v>
      </c>
      <c r="Y368" s="144"/>
      <c r="Z368" s="144"/>
    </row>
    <row r="369" spans="3:26" ht="24">
      <c r="C369" s="162"/>
      <c r="D369" s="490" t="s">
        <v>436</v>
      </c>
      <c r="E369" s="175" t="s">
        <v>29</v>
      </c>
      <c r="F369" s="175" t="s">
        <v>28</v>
      </c>
      <c r="G369" s="175" t="s">
        <v>27</v>
      </c>
      <c r="H369" s="832" t="s">
        <v>793</v>
      </c>
      <c r="I369" s="1474"/>
      <c r="J369" s="1475"/>
      <c r="K369" s="1476"/>
      <c r="L369" s="835"/>
      <c r="M369" s="460"/>
      <c r="N369" s="162"/>
      <c r="O369" s="123"/>
      <c r="P369" s="145"/>
      <c r="Q369" s="123"/>
      <c r="R369" s="123"/>
      <c r="S369" s="183"/>
      <c r="T369" s="123"/>
      <c r="U369" s="146"/>
      <c r="V369" s="147"/>
      <c r="W369" s="184"/>
      <c r="X369" s="146"/>
      <c r="Y369" s="124"/>
      <c r="Z369" s="124"/>
    </row>
    <row r="370" spans="3:26" ht="24">
      <c r="C370" s="162"/>
      <c r="D370" s="497">
        <v>45569</v>
      </c>
      <c r="E370" s="178" t="s">
        <v>641</v>
      </c>
      <c r="F370" s="178" t="s">
        <v>548</v>
      </c>
      <c r="G370" s="178" t="s">
        <v>900</v>
      </c>
      <c r="H370" s="837">
        <v>0.52083333333333337</v>
      </c>
      <c r="I370" s="1474"/>
      <c r="J370" s="1475"/>
      <c r="K370" s="1476"/>
      <c r="L370" s="835"/>
      <c r="M370" s="460"/>
      <c r="N370" s="162"/>
      <c r="O370" s="148"/>
      <c r="P370" s="124"/>
      <c r="Q370" s="148"/>
      <c r="R370" s="148"/>
      <c r="S370" s="183"/>
      <c r="T370" s="148"/>
      <c r="U370" s="148"/>
      <c r="V370" s="148"/>
      <c r="W370" s="186"/>
      <c r="X370" s="148"/>
      <c r="Y370" s="124"/>
      <c r="Z370" s="124"/>
    </row>
    <row r="371" spans="3:26" ht="24">
      <c r="C371" s="162"/>
      <c r="D371" s="497">
        <v>45541</v>
      </c>
      <c r="E371" s="178" t="s">
        <v>425</v>
      </c>
      <c r="F371" s="178" t="s">
        <v>614</v>
      </c>
      <c r="G371" s="178" t="s">
        <v>615</v>
      </c>
      <c r="H371" s="837">
        <v>0.52083333333333337</v>
      </c>
      <c r="I371" s="1474"/>
      <c r="J371" s="1475"/>
      <c r="K371" s="1476"/>
      <c r="L371" s="835"/>
      <c r="M371" s="460"/>
      <c r="N371" s="162"/>
      <c r="O371" s="115" t="s">
        <v>813</v>
      </c>
      <c r="P371" s="191">
        <v>0.1</v>
      </c>
      <c r="Q371" s="149">
        <v>0.11635000000000001</v>
      </c>
      <c r="R371" s="150">
        <v>1.7999999999999999E-2</v>
      </c>
      <c r="S371" s="187">
        <v>1</v>
      </c>
      <c r="T371" s="125">
        <v>0.192525</v>
      </c>
      <c r="U371" s="151">
        <v>-45.4120824742268</v>
      </c>
      <c r="V371" s="152">
        <v>91.8</v>
      </c>
      <c r="W371" s="189">
        <v>4</v>
      </c>
      <c r="X371" s="153">
        <v>181.6483298969072</v>
      </c>
      <c r="Y371" s="154" t="s">
        <v>814</v>
      </c>
      <c r="Z371" s="154"/>
    </row>
    <row r="372" spans="3:26" ht="24">
      <c r="C372" s="162"/>
      <c r="D372" s="497">
        <v>45506</v>
      </c>
      <c r="E372" s="178" t="s">
        <v>293</v>
      </c>
      <c r="F372" s="178" t="s">
        <v>616</v>
      </c>
      <c r="G372" s="178" t="s">
        <v>617</v>
      </c>
      <c r="H372" s="837">
        <v>0.52083333333333337</v>
      </c>
      <c r="I372" s="1474"/>
      <c r="J372" s="1475"/>
      <c r="K372" s="1476"/>
      <c r="L372" s="838"/>
      <c r="M372" s="460"/>
      <c r="N372" s="162"/>
      <c r="O372" s="115"/>
      <c r="P372" s="116"/>
      <c r="Q372" s="149"/>
      <c r="R372" s="150"/>
      <c r="S372" s="119"/>
      <c r="T372" s="116"/>
      <c r="U372" s="151"/>
      <c r="V372" s="152"/>
      <c r="W372" s="119"/>
      <c r="X372" s="153"/>
      <c r="Y372" s="154"/>
      <c r="Z372" s="154"/>
    </row>
    <row r="373" spans="3:26" ht="24">
      <c r="C373" s="162"/>
      <c r="D373" s="497">
        <v>45478</v>
      </c>
      <c r="E373" s="178" t="s">
        <v>149</v>
      </c>
      <c r="F373" s="178" t="s">
        <v>618</v>
      </c>
      <c r="G373" s="178" t="s">
        <v>382</v>
      </c>
      <c r="H373" s="837">
        <v>0.52083333333333337</v>
      </c>
      <c r="I373" s="1474"/>
      <c r="J373" s="1475"/>
      <c r="K373" s="1476"/>
      <c r="L373" s="835"/>
      <c r="M373" s="460"/>
      <c r="N373" s="162"/>
      <c r="O373" s="115" t="s">
        <v>816</v>
      </c>
      <c r="P373" s="116"/>
      <c r="Q373" s="149"/>
      <c r="R373" s="150"/>
      <c r="S373" s="119"/>
      <c r="T373" s="116"/>
      <c r="U373" s="151">
        <v>0</v>
      </c>
      <c r="V373" s="152"/>
      <c r="W373" s="119"/>
      <c r="X373" s="153">
        <v>0</v>
      </c>
      <c r="Y373" s="154"/>
      <c r="Z373" s="154"/>
    </row>
    <row r="374" spans="3:26" ht="24">
      <c r="C374" s="162"/>
      <c r="D374" s="497">
        <v>45450</v>
      </c>
      <c r="E374" s="178" t="s">
        <v>3</v>
      </c>
      <c r="F374" s="178" t="s">
        <v>619</v>
      </c>
      <c r="G374" s="178" t="s">
        <v>620</v>
      </c>
      <c r="H374" s="837">
        <v>0.52083333333333337</v>
      </c>
      <c r="I374" s="1474"/>
      <c r="J374" s="1475"/>
      <c r="K374" s="1476"/>
      <c r="L374" s="835"/>
      <c r="M374" s="460"/>
      <c r="N374" s="162"/>
      <c r="O374" s="89"/>
      <c r="P374" s="89"/>
      <c r="Q374" s="89"/>
      <c r="R374" s="89"/>
      <c r="S374" s="89"/>
      <c r="T374" s="89"/>
      <c r="U374" s="89"/>
      <c r="V374" s="89"/>
      <c r="W374" s="89"/>
      <c r="X374" s="89"/>
      <c r="Y374" s="89"/>
      <c r="Z374" s="89"/>
    </row>
    <row r="375" spans="3:26" ht="24">
      <c r="C375" s="162"/>
      <c r="D375" s="497">
        <v>45415</v>
      </c>
      <c r="E375" s="178" t="s">
        <v>621</v>
      </c>
      <c r="F375" s="178" t="s">
        <v>622</v>
      </c>
      <c r="G375" s="178" t="s">
        <v>623</v>
      </c>
      <c r="H375" s="837">
        <v>0.52083333333333337</v>
      </c>
      <c r="I375" s="1477"/>
      <c r="J375" s="1478"/>
      <c r="K375" s="1479"/>
      <c r="L375" s="835"/>
      <c r="M375" s="460"/>
      <c r="N375" s="162"/>
      <c r="O375" s="89"/>
      <c r="P375" s="89"/>
      <c r="Q375" s="89"/>
      <c r="R375" s="89"/>
      <c r="S375" s="89"/>
      <c r="T375" s="89"/>
      <c r="U375" s="89"/>
      <c r="V375" s="89"/>
      <c r="W375" s="89"/>
      <c r="X375" s="89"/>
      <c r="Y375" s="89"/>
      <c r="Z375" s="89"/>
    </row>
    <row r="376" spans="3:26" ht="48">
      <c r="C376" s="162" t="s">
        <v>105</v>
      </c>
      <c r="D376" s="496" t="s">
        <v>30</v>
      </c>
      <c r="E376" s="1460" t="s">
        <v>861</v>
      </c>
      <c r="F376" s="1460"/>
      <c r="G376" s="1460"/>
      <c r="H376" s="832" t="s">
        <v>790</v>
      </c>
      <c r="I376" s="1468" t="s">
        <v>633</v>
      </c>
      <c r="J376" s="1469"/>
      <c r="K376" s="1470"/>
      <c r="L376" s="833" t="s">
        <v>430</v>
      </c>
      <c r="M376" s="373" t="s">
        <v>431</v>
      </c>
      <c r="N376" s="162" t="s">
        <v>105</v>
      </c>
      <c r="O376" s="114" t="s">
        <v>800</v>
      </c>
      <c r="P376" s="114" t="s">
        <v>801</v>
      </c>
      <c r="Q376" s="114" t="s">
        <v>802</v>
      </c>
      <c r="R376" s="114" t="s">
        <v>803</v>
      </c>
      <c r="S376" s="114" t="s">
        <v>804</v>
      </c>
      <c r="T376" s="114" t="s">
        <v>805</v>
      </c>
      <c r="U376" s="114" t="s">
        <v>806</v>
      </c>
      <c r="V376" s="114" t="s">
        <v>807</v>
      </c>
      <c r="W376" s="114" t="s">
        <v>808</v>
      </c>
      <c r="X376" s="114" t="s">
        <v>809</v>
      </c>
      <c r="Y376" s="114" t="s">
        <v>75</v>
      </c>
      <c r="Z376" s="114" t="s">
        <v>75</v>
      </c>
    </row>
    <row r="377" spans="3:26" ht="24">
      <c r="C377" s="162"/>
      <c r="D377" s="490" t="s">
        <v>432</v>
      </c>
      <c r="E377" s="1464"/>
      <c r="F377" s="1464"/>
      <c r="G377" s="1464"/>
      <c r="H377" s="834" t="s">
        <v>794</v>
      </c>
      <c r="I377" s="1471" t="s">
        <v>859</v>
      </c>
      <c r="J377" s="1472"/>
      <c r="K377" s="1473"/>
      <c r="L377" s="835"/>
      <c r="M377" s="460"/>
      <c r="N377" s="162"/>
      <c r="O377" s="115" t="s">
        <v>810</v>
      </c>
      <c r="P377" s="116">
        <v>0.1</v>
      </c>
      <c r="Q377" s="117">
        <v>3.9E-2</v>
      </c>
      <c r="R377" s="118">
        <v>2.1000000000015007E-2</v>
      </c>
      <c r="S377" s="119"/>
      <c r="T377" s="115">
        <v>7.9500000000015003E-2</v>
      </c>
      <c r="U377" s="117">
        <v>-18.989999999999998</v>
      </c>
      <c r="V377" s="116">
        <v>91.8</v>
      </c>
      <c r="W377" s="119"/>
      <c r="X377" s="119"/>
      <c r="Y377" s="120"/>
      <c r="Z377" s="120"/>
    </row>
    <row r="378" spans="3:26" ht="24">
      <c r="C378" s="162"/>
      <c r="D378" s="490" t="s">
        <v>433</v>
      </c>
      <c r="E378" s="1480">
        <v>4.1000000000000002E-2</v>
      </c>
      <c r="F378" s="1453"/>
      <c r="G378" s="1453"/>
      <c r="H378" s="834" t="s">
        <v>795</v>
      </c>
      <c r="I378" s="1474"/>
      <c r="J378" s="1475"/>
      <c r="K378" s="1476"/>
      <c r="L378" s="835"/>
      <c r="M378" s="460"/>
      <c r="N378" s="162"/>
      <c r="O378" s="121"/>
      <c r="P378" s="121"/>
      <c r="Q378" s="121"/>
      <c r="R378" s="122"/>
      <c r="S378" s="123"/>
      <c r="T378" s="121"/>
      <c r="U378" s="121"/>
      <c r="V378" s="121"/>
      <c r="W378" s="123"/>
      <c r="X378" s="123"/>
      <c r="Y378" s="124"/>
      <c r="Z378" s="124"/>
    </row>
    <row r="379" spans="3:26" ht="24">
      <c r="C379" s="162"/>
      <c r="D379" s="490" t="s">
        <v>434</v>
      </c>
      <c r="E379" s="1480">
        <v>4.1000000000000002E-2</v>
      </c>
      <c r="F379" s="1453"/>
      <c r="G379" s="1453"/>
      <c r="H379" s="832"/>
      <c r="I379" s="1474"/>
      <c r="J379" s="1475"/>
      <c r="K379" s="1476"/>
      <c r="L379" s="835"/>
      <c r="M379" s="460"/>
      <c r="N379" s="162"/>
      <c r="O379" s="125" t="s">
        <v>811</v>
      </c>
      <c r="P379" s="126">
        <v>0.1</v>
      </c>
      <c r="Q379" s="127">
        <v>7.22E-2</v>
      </c>
      <c r="R379" s="128">
        <v>1.4999999999999999E-2</v>
      </c>
      <c r="S379" s="129">
        <v>1</v>
      </c>
      <c r="T379" s="125">
        <v>0.12330000000000001</v>
      </c>
      <c r="U379" s="130">
        <v>-29.452415094334064</v>
      </c>
      <c r="V379" s="131">
        <v>91.8</v>
      </c>
      <c r="W379" s="132">
        <v>4.88</v>
      </c>
      <c r="X379" s="133">
        <v>143.72778566035024</v>
      </c>
      <c r="Y379" s="134"/>
      <c r="Z379" s="134">
        <v>4.4350000000000005</v>
      </c>
    </row>
    <row r="380" spans="3:26" ht="24">
      <c r="C380" s="162"/>
      <c r="D380" s="490" t="s">
        <v>435</v>
      </c>
      <c r="E380" s="1458">
        <v>0.52083333333333337</v>
      </c>
      <c r="F380" s="1458"/>
      <c r="G380" s="1458"/>
      <c r="H380" s="832"/>
      <c r="I380" s="1474"/>
      <c r="J380" s="1475"/>
      <c r="K380" s="1476"/>
      <c r="L380" s="836">
        <v>0.75</v>
      </c>
      <c r="M380" s="461">
        <v>0.64583333333333337</v>
      </c>
      <c r="N380" s="162"/>
      <c r="O380" s="135" t="s">
        <v>812</v>
      </c>
      <c r="P380" s="136">
        <v>0.1</v>
      </c>
      <c r="Q380" s="137">
        <v>4.0533333333333338E-2</v>
      </c>
      <c r="R380" s="138">
        <v>1.4999999999999999E-2</v>
      </c>
      <c r="S380" s="139">
        <v>0.5</v>
      </c>
      <c r="T380" s="135">
        <v>7.5800000000000006E-2</v>
      </c>
      <c r="U380" s="140">
        <v>-9.0530943396209338</v>
      </c>
      <c r="V380" s="141">
        <v>91.8</v>
      </c>
      <c r="W380" s="142">
        <v>2.3650000000000002</v>
      </c>
      <c r="X380" s="143">
        <v>21.41056811320351</v>
      </c>
      <c r="Y380" s="144"/>
      <c r="Z380" s="144"/>
    </row>
    <row r="381" spans="3:26" ht="24">
      <c r="C381" s="162"/>
      <c r="D381" s="490" t="s">
        <v>436</v>
      </c>
      <c r="E381" s="175" t="s">
        <v>29</v>
      </c>
      <c r="F381" s="175" t="s">
        <v>28</v>
      </c>
      <c r="G381" s="175" t="s">
        <v>27</v>
      </c>
      <c r="H381" s="832" t="s">
        <v>793</v>
      </c>
      <c r="I381" s="1474"/>
      <c r="J381" s="1475"/>
      <c r="K381" s="1476"/>
      <c r="L381" s="835"/>
      <c r="M381" s="460"/>
      <c r="N381" s="162"/>
      <c r="O381" s="123"/>
      <c r="P381" s="145"/>
      <c r="Q381" s="123"/>
      <c r="R381" s="123"/>
      <c r="S381" s="123"/>
      <c r="T381" s="123"/>
      <c r="U381" s="146"/>
      <c r="V381" s="147"/>
      <c r="W381" s="123"/>
      <c r="X381" s="146"/>
      <c r="Y381" s="124"/>
      <c r="Z381" s="124"/>
    </row>
    <row r="382" spans="3:26" ht="24">
      <c r="C382" s="162"/>
      <c r="D382" s="497">
        <v>45569</v>
      </c>
      <c r="E382" s="178">
        <v>4.1000000000000002E-2</v>
      </c>
      <c r="F382" s="178" t="s">
        <v>628</v>
      </c>
      <c r="G382" s="178">
        <v>4.2000000000000003E-2</v>
      </c>
      <c r="H382" s="837">
        <v>0.52083333333333337</v>
      </c>
      <c r="I382" s="1474"/>
      <c r="J382" s="1475"/>
      <c r="K382" s="1476"/>
      <c r="L382" s="835"/>
      <c r="M382" s="460"/>
      <c r="N382" s="162"/>
      <c r="O382" s="148"/>
      <c r="P382" s="124"/>
      <c r="Q382" s="148"/>
      <c r="R382" s="148"/>
      <c r="S382" s="148"/>
      <c r="T382" s="148"/>
      <c r="U382" s="148"/>
      <c r="V382" s="148"/>
      <c r="W382" s="148"/>
      <c r="X382" s="148"/>
      <c r="Y382" s="124"/>
      <c r="Z382" s="124"/>
    </row>
    <row r="383" spans="3:26" ht="24">
      <c r="C383" s="162"/>
      <c r="D383" s="497">
        <v>45541</v>
      </c>
      <c r="E383" s="178">
        <v>4.2000000000000003E-2</v>
      </c>
      <c r="F383" s="178" t="s">
        <v>628</v>
      </c>
      <c r="G383" s="178">
        <v>4.2999999999999997E-2</v>
      </c>
      <c r="H383" s="837">
        <v>0.52083333333333337</v>
      </c>
      <c r="I383" s="1474"/>
      <c r="J383" s="1475"/>
      <c r="K383" s="1476"/>
      <c r="L383" s="835"/>
      <c r="M383" s="460"/>
      <c r="N383" s="162"/>
      <c r="O383" s="115" t="s">
        <v>813</v>
      </c>
      <c r="P383" s="116">
        <v>0.25</v>
      </c>
      <c r="Q383" s="149">
        <v>4.0533333333333338E-2</v>
      </c>
      <c r="R383" s="150">
        <v>1.4999999999999999E-2</v>
      </c>
      <c r="S383" s="119">
        <v>0.5</v>
      </c>
      <c r="T383" s="116">
        <v>7.5800000000000006E-2</v>
      </c>
      <c r="U383" s="151">
        <v>-22.632735849052334</v>
      </c>
      <c r="V383" s="152">
        <v>229.5</v>
      </c>
      <c r="W383" s="119">
        <v>2</v>
      </c>
      <c r="X383" s="153">
        <v>45.265471698104669</v>
      </c>
      <c r="Y383" s="154" t="s">
        <v>814</v>
      </c>
      <c r="Z383" s="154"/>
    </row>
    <row r="384" spans="3:26" ht="24">
      <c r="C384" s="162"/>
      <c r="D384" s="497">
        <v>45506</v>
      </c>
      <c r="E384" s="178">
        <v>4.2999999999999997E-2</v>
      </c>
      <c r="F384" s="178" t="s">
        <v>629</v>
      </c>
      <c r="G384" s="178">
        <v>4.1000000000000002E-2</v>
      </c>
      <c r="H384" s="837">
        <v>0.52083333333333337</v>
      </c>
      <c r="I384" s="1474"/>
      <c r="J384" s="1475"/>
      <c r="K384" s="1476"/>
      <c r="L384" s="838"/>
      <c r="M384" s="460"/>
      <c r="N384" s="162"/>
      <c r="O384" s="115" t="s">
        <v>813</v>
      </c>
      <c r="P384" s="116">
        <v>0.25</v>
      </c>
      <c r="Q384" s="149">
        <v>4.0533333333333338E-2</v>
      </c>
      <c r="R384" s="150">
        <v>1.4999999999999999E-2</v>
      </c>
      <c r="S384" s="119">
        <v>0.5</v>
      </c>
      <c r="T384" s="116">
        <v>7.5800000000000006E-2</v>
      </c>
      <c r="U384" s="151">
        <v>-22.349278350515466</v>
      </c>
      <c r="V384" s="152">
        <v>229.5</v>
      </c>
      <c r="W384" s="119">
        <v>2</v>
      </c>
      <c r="X384" s="153">
        <v>44.698556701030931</v>
      </c>
      <c r="Y384" s="154"/>
      <c r="Z384" s="154"/>
    </row>
    <row r="385" spans="3:26" ht="24">
      <c r="C385" s="162"/>
      <c r="D385" s="497">
        <v>45478</v>
      </c>
      <c r="E385" s="178">
        <v>4.1000000000000002E-2</v>
      </c>
      <c r="F385" s="178" t="s">
        <v>630</v>
      </c>
      <c r="G385" s="178">
        <v>0.04</v>
      </c>
      <c r="H385" s="837">
        <v>0.52083333333333337</v>
      </c>
      <c r="I385" s="1474"/>
      <c r="J385" s="1475"/>
      <c r="K385" s="1476"/>
      <c r="L385" s="835"/>
      <c r="M385" s="460"/>
      <c r="N385" s="162"/>
      <c r="O385" s="115" t="s">
        <v>816</v>
      </c>
      <c r="P385" s="116"/>
      <c r="Q385" s="149"/>
      <c r="R385" s="150"/>
      <c r="S385" s="119"/>
      <c r="T385" s="116"/>
      <c r="U385" s="151">
        <v>-22.349278350515466</v>
      </c>
      <c r="V385" s="152"/>
      <c r="W385" s="119"/>
      <c r="X385" s="153">
        <v>44.698556701030931</v>
      </c>
      <c r="Y385" s="154"/>
      <c r="Z385" s="154"/>
    </row>
    <row r="386" spans="3:26" ht="24">
      <c r="C386" s="162"/>
      <c r="D386" s="497">
        <v>45450</v>
      </c>
      <c r="E386" s="178">
        <v>0.04</v>
      </c>
      <c r="F386" s="178" t="s">
        <v>631</v>
      </c>
      <c r="G386" s="178">
        <v>3.9E-2</v>
      </c>
      <c r="H386" s="837">
        <v>0.52083333333333337</v>
      </c>
      <c r="I386" s="1474"/>
      <c r="J386" s="1475"/>
      <c r="K386" s="1476"/>
      <c r="L386" s="835"/>
      <c r="M386" s="460"/>
      <c r="N386" s="162"/>
      <c r="O386" s="89"/>
      <c r="P386" s="89"/>
      <c r="Q386" s="89"/>
      <c r="R386" s="89"/>
      <c r="S386" s="89"/>
      <c r="T386" s="89"/>
      <c r="U386" s="89"/>
      <c r="V386" s="89"/>
      <c r="W386" s="89"/>
      <c r="X386" s="89"/>
      <c r="Y386" s="89"/>
      <c r="Z386" s="89"/>
    </row>
    <row r="387" spans="3:26" ht="24">
      <c r="C387" s="162"/>
      <c r="D387" s="497">
        <v>45415</v>
      </c>
      <c r="E387" s="178">
        <v>3.9E-2</v>
      </c>
      <c r="F387" s="178" t="s">
        <v>632</v>
      </c>
      <c r="G387" s="178">
        <v>3.7999999999999999E-2</v>
      </c>
      <c r="H387" s="837">
        <v>0.52083333333333337</v>
      </c>
      <c r="I387" s="1477"/>
      <c r="J387" s="1478"/>
      <c r="K387" s="1479"/>
      <c r="L387" s="835"/>
      <c r="M387" s="460"/>
      <c r="N387" s="162"/>
      <c r="O387" s="89"/>
      <c r="P387" s="89"/>
      <c r="Q387" s="89"/>
      <c r="R387" s="89"/>
      <c r="S387" s="89"/>
      <c r="T387" s="89"/>
      <c r="U387" s="89"/>
      <c r="V387" s="89"/>
      <c r="W387" s="89"/>
      <c r="X387" s="89"/>
      <c r="Y387" s="89"/>
      <c r="Z387" s="89"/>
    </row>
    <row r="388" spans="3:26" ht="48">
      <c r="C388" s="162" t="s">
        <v>105</v>
      </c>
      <c r="D388" s="496" t="s">
        <v>30</v>
      </c>
      <c r="E388" s="1460" t="s">
        <v>862</v>
      </c>
      <c r="F388" s="1460"/>
      <c r="G388" s="1460"/>
      <c r="H388" s="832" t="s">
        <v>790</v>
      </c>
      <c r="I388" s="1468" t="s">
        <v>633</v>
      </c>
      <c r="J388" s="1469"/>
      <c r="K388" s="1470"/>
      <c r="L388" s="833" t="s">
        <v>430</v>
      </c>
      <c r="M388" s="373" t="s">
        <v>431</v>
      </c>
      <c r="N388" s="162" t="s">
        <v>105</v>
      </c>
      <c r="O388" s="114" t="s">
        <v>800</v>
      </c>
      <c r="P388" s="114" t="s">
        <v>801</v>
      </c>
      <c r="Q388" s="114" t="s">
        <v>802</v>
      </c>
      <c r="R388" s="114" t="s">
        <v>803</v>
      </c>
      <c r="S388" s="114" t="s">
        <v>804</v>
      </c>
      <c r="T388" s="114" t="s">
        <v>805</v>
      </c>
      <c r="U388" s="114" t="s">
        <v>806</v>
      </c>
      <c r="V388" s="114" t="s">
        <v>807</v>
      </c>
      <c r="W388" s="114" t="s">
        <v>808</v>
      </c>
      <c r="X388" s="114" t="s">
        <v>809</v>
      </c>
      <c r="Y388" s="114" t="s">
        <v>75</v>
      </c>
      <c r="Z388" s="114" t="s">
        <v>75</v>
      </c>
    </row>
    <row r="389" spans="3:26" ht="24">
      <c r="C389" s="162"/>
      <c r="D389" s="490" t="s">
        <v>432</v>
      </c>
      <c r="E389" s="1464"/>
      <c r="F389" s="1464"/>
      <c r="G389" s="1464"/>
      <c r="H389" s="834" t="s">
        <v>794</v>
      </c>
      <c r="I389" s="1471" t="s">
        <v>863</v>
      </c>
      <c r="J389" s="1472"/>
      <c r="K389" s="1473"/>
      <c r="L389" s="835"/>
      <c r="M389" s="460"/>
      <c r="N389" s="162"/>
      <c r="O389" s="115" t="s">
        <v>810</v>
      </c>
      <c r="P389" s="163">
        <v>0.1</v>
      </c>
      <c r="Q389" s="163">
        <v>2.1000000000000001E-2</v>
      </c>
      <c r="R389" s="163">
        <v>1.7000000000000001E-2</v>
      </c>
      <c r="S389" s="119"/>
      <c r="T389" s="115">
        <v>4.8500000000000001E-2</v>
      </c>
      <c r="U389" s="164">
        <v>-11.44</v>
      </c>
      <c r="V389" s="163">
        <v>91.8</v>
      </c>
      <c r="W389" s="166"/>
      <c r="X389" s="153"/>
      <c r="Y389" s="120"/>
      <c r="Z389" s="120"/>
    </row>
    <row r="390" spans="3:26" ht="24">
      <c r="C390" s="162"/>
      <c r="D390" s="490" t="s">
        <v>433</v>
      </c>
      <c r="E390" s="1453">
        <v>47.5</v>
      </c>
      <c r="F390" s="1453"/>
      <c r="G390" s="1453"/>
      <c r="H390" s="834" t="s">
        <v>795</v>
      </c>
      <c r="I390" s="1474"/>
      <c r="J390" s="1475"/>
      <c r="K390" s="1476"/>
      <c r="L390" s="835"/>
      <c r="M390" s="460"/>
      <c r="N390" s="162"/>
      <c r="O390" s="121"/>
      <c r="P390" s="121"/>
      <c r="Q390" s="121"/>
      <c r="R390" s="122"/>
      <c r="S390" s="123"/>
      <c r="T390" s="121"/>
      <c r="U390" s="121"/>
      <c r="V390" s="121"/>
      <c r="W390" s="121"/>
      <c r="X390" s="123"/>
      <c r="Y390" s="124"/>
      <c r="Z390" s="124"/>
    </row>
    <row r="391" spans="3:26" ht="24">
      <c r="C391" s="162"/>
      <c r="D391" s="490" t="s">
        <v>434</v>
      </c>
      <c r="E391" s="1453">
        <v>47.2</v>
      </c>
      <c r="F391" s="1453"/>
      <c r="G391" s="1453"/>
      <c r="H391" s="832"/>
      <c r="I391" s="1474"/>
      <c r="J391" s="1475"/>
      <c r="K391" s="1476"/>
      <c r="L391" s="835"/>
      <c r="M391" s="460"/>
      <c r="N391" s="162"/>
      <c r="O391" s="125" t="s">
        <v>811</v>
      </c>
      <c r="P391" s="167">
        <v>0.1</v>
      </c>
      <c r="Q391" s="168">
        <v>0.12959999999999999</v>
      </c>
      <c r="R391" s="169">
        <v>1.7000000000000001E-2</v>
      </c>
      <c r="S391" s="179">
        <v>1</v>
      </c>
      <c r="T391" s="125">
        <v>0.21139999999999998</v>
      </c>
      <c r="U391" s="130">
        <v>-49.864247422680407</v>
      </c>
      <c r="V391" s="131">
        <v>91.8</v>
      </c>
      <c r="W391" s="180">
        <v>2.71</v>
      </c>
      <c r="X391" s="133">
        <v>135.13211051546389</v>
      </c>
      <c r="Y391" s="134"/>
      <c r="Z391" s="134"/>
    </row>
    <row r="392" spans="3:26" ht="24">
      <c r="C392" s="162"/>
      <c r="D392" s="490" t="s">
        <v>435</v>
      </c>
      <c r="E392" s="1458">
        <v>0.58333333333333337</v>
      </c>
      <c r="F392" s="1458"/>
      <c r="G392" s="1458"/>
      <c r="H392" s="832"/>
      <c r="I392" s="1474"/>
      <c r="J392" s="1475"/>
      <c r="K392" s="1476"/>
      <c r="L392" s="836">
        <v>0.8125</v>
      </c>
      <c r="M392" s="461">
        <v>0.70833333333333337</v>
      </c>
      <c r="N392" s="162"/>
      <c r="O392" s="135" t="s">
        <v>812</v>
      </c>
      <c r="P392" s="171">
        <v>0.1</v>
      </c>
      <c r="Q392" s="156">
        <v>6.5733333333333324E-2</v>
      </c>
      <c r="R392" s="172">
        <v>1.7000000000000001E-2</v>
      </c>
      <c r="S392" s="181">
        <v>1</v>
      </c>
      <c r="T392" s="173">
        <v>0.11559999999999999</v>
      </c>
      <c r="U392" s="140">
        <v>-27.267298969072165</v>
      </c>
      <c r="V392" s="141">
        <v>91.8</v>
      </c>
      <c r="W392" s="182">
        <v>4.16</v>
      </c>
      <c r="X392" s="143">
        <v>113.43196371134022</v>
      </c>
      <c r="Y392" s="144"/>
      <c r="Z392" s="144"/>
    </row>
    <row r="393" spans="3:26" ht="24">
      <c r="C393" s="162"/>
      <c r="D393" s="490" t="s">
        <v>436</v>
      </c>
      <c r="E393" s="175" t="s">
        <v>29</v>
      </c>
      <c r="F393" s="175" t="s">
        <v>28</v>
      </c>
      <c r="G393" s="175" t="s">
        <v>27</v>
      </c>
      <c r="H393" s="832" t="s">
        <v>793</v>
      </c>
      <c r="I393" s="1474"/>
      <c r="J393" s="1475"/>
      <c r="K393" s="1476"/>
      <c r="L393" s="835"/>
      <c r="M393" s="460"/>
      <c r="N393" s="162"/>
      <c r="O393" s="123"/>
      <c r="P393" s="145"/>
      <c r="Q393" s="123"/>
      <c r="R393" s="123"/>
      <c r="S393" s="183"/>
      <c r="T393" s="123"/>
      <c r="U393" s="146"/>
      <c r="V393" s="147"/>
      <c r="W393" s="184"/>
      <c r="X393" s="146"/>
      <c r="Y393" s="124"/>
      <c r="Z393" s="124"/>
    </row>
    <row r="394" spans="3:26" ht="24">
      <c r="C394" s="162"/>
      <c r="D394" s="497">
        <v>45566</v>
      </c>
      <c r="E394" s="190">
        <v>47.2</v>
      </c>
      <c r="F394" s="190" t="s">
        <v>901</v>
      </c>
      <c r="G394" s="190">
        <v>47.2</v>
      </c>
      <c r="H394" s="837">
        <v>0.58333333333333337</v>
      </c>
      <c r="I394" s="1474"/>
      <c r="J394" s="1475"/>
      <c r="K394" s="1476"/>
      <c r="L394" s="835"/>
      <c r="M394" s="460"/>
      <c r="N394" s="162"/>
      <c r="O394" s="148"/>
      <c r="P394" s="124"/>
      <c r="Q394" s="148"/>
      <c r="R394" s="148"/>
      <c r="S394" s="183"/>
      <c r="T394" s="148"/>
      <c r="U394" s="148"/>
      <c r="V394" s="148"/>
      <c r="W394" s="186"/>
      <c r="X394" s="148"/>
      <c r="Y394" s="124"/>
      <c r="Z394" s="124"/>
    </row>
    <row r="395" spans="3:26" ht="24">
      <c r="C395" s="162"/>
      <c r="D395" s="497">
        <v>45538</v>
      </c>
      <c r="E395" s="190">
        <v>47.2</v>
      </c>
      <c r="F395" s="190" t="s">
        <v>509</v>
      </c>
      <c r="G395" s="190">
        <v>46.8</v>
      </c>
      <c r="H395" s="837">
        <v>0.58333333333333337</v>
      </c>
      <c r="I395" s="1474"/>
      <c r="J395" s="1475"/>
      <c r="K395" s="1476"/>
      <c r="L395" s="835"/>
      <c r="M395" s="460"/>
      <c r="N395" s="162"/>
      <c r="O395" s="115" t="s">
        <v>813</v>
      </c>
      <c r="P395" s="191">
        <v>-0.05</v>
      </c>
      <c r="Q395" s="149">
        <v>9.7666666666666652E-2</v>
      </c>
      <c r="R395" s="150">
        <v>1.7000000000000001E-2</v>
      </c>
      <c r="S395" s="187">
        <v>-1.5</v>
      </c>
      <c r="T395" s="125">
        <v>0.16349999999999998</v>
      </c>
      <c r="U395" s="151">
        <v>-28.92432989690721</v>
      </c>
      <c r="V395" s="152">
        <v>-45.9</v>
      </c>
      <c r="W395" s="189">
        <v>2</v>
      </c>
      <c r="X395" s="153">
        <v>57.84865979381442</v>
      </c>
      <c r="Y395" s="154" t="s">
        <v>814</v>
      </c>
      <c r="Z395" s="154"/>
    </row>
    <row r="396" spans="3:26" ht="24">
      <c r="C396" s="162"/>
      <c r="D396" s="497">
        <v>45505</v>
      </c>
      <c r="E396" s="190">
        <v>46.8</v>
      </c>
      <c r="F396" s="190" t="s">
        <v>510</v>
      </c>
      <c r="G396" s="190">
        <v>48.5</v>
      </c>
      <c r="H396" s="837">
        <v>0.58333333333333337</v>
      </c>
      <c r="I396" s="1474"/>
      <c r="J396" s="1475"/>
      <c r="K396" s="1476"/>
      <c r="L396" s="838"/>
      <c r="M396" s="460"/>
      <c r="N396" s="162"/>
      <c r="O396" s="115"/>
      <c r="P396" s="116"/>
      <c r="Q396" s="149"/>
      <c r="R396" s="150"/>
      <c r="S396" s="119"/>
      <c r="T396" s="116"/>
      <c r="U396" s="151"/>
      <c r="V396" s="152"/>
      <c r="W396" s="119"/>
      <c r="X396" s="153"/>
      <c r="Y396" s="154"/>
      <c r="Z396" s="154"/>
    </row>
    <row r="397" spans="3:26" ht="24">
      <c r="C397" s="162"/>
      <c r="D397" s="497">
        <v>45474</v>
      </c>
      <c r="E397" s="190">
        <v>48.5</v>
      </c>
      <c r="F397" s="190" t="s">
        <v>511</v>
      </c>
      <c r="G397" s="190">
        <v>48.7</v>
      </c>
      <c r="H397" s="837">
        <v>0.58333333333333337</v>
      </c>
      <c r="I397" s="1474"/>
      <c r="J397" s="1475"/>
      <c r="K397" s="1476"/>
      <c r="L397" s="835"/>
      <c r="M397" s="460"/>
      <c r="N397" s="162"/>
      <c r="O397" s="115" t="s">
        <v>816</v>
      </c>
      <c r="P397" s="116"/>
      <c r="Q397" s="149"/>
      <c r="R397" s="150"/>
      <c r="S397" s="119"/>
      <c r="T397" s="116"/>
      <c r="U397" s="151">
        <v>0</v>
      </c>
      <c r="V397" s="152"/>
      <c r="W397" s="119"/>
      <c r="X397" s="153">
        <v>0</v>
      </c>
      <c r="Y397" s="154"/>
      <c r="Z397" s="154"/>
    </row>
    <row r="398" spans="3:26" ht="24">
      <c r="C398" s="162"/>
      <c r="D398" s="497">
        <v>45446</v>
      </c>
      <c r="E398" s="190">
        <v>48.7</v>
      </c>
      <c r="F398" s="190" t="s">
        <v>513</v>
      </c>
      <c r="G398" s="190">
        <v>49.2</v>
      </c>
      <c r="H398" s="837">
        <v>0.58333333333333337</v>
      </c>
      <c r="I398" s="1474"/>
      <c r="J398" s="1475"/>
      <c r="K398" s="1476"/>
      <c r="L398" s="835"/>
      <c r="M398" s="460"/>
      <c r="N398" s="162"/>
      <c r="O398" s="89"/>
      <c r="P398" s="89"/>
      <c r="Q398" s="89"/>
      <c r="R398" s="89"/>
      <c r="S398" s="89"/>
      <c r="T398" s="89"/>
      <c r="U398" s="89"/>
      <c r="V398" s="89"/>
      <c r="W398" s="89"/>
      <c r="X398" s="89"/>
      <c r="Y398" s="89"/>
      <c r="Z398" s="89"/>
    </row>
    <row r="399" spans="3:26" ht="24">
      <c r="C399" s="162"/>
      <c r="D399" s="497">
        <v>45413</v>
      </c>
      <c r="E399" s="190">
        <v>49.2</v>
      </c>
      <c r="F399" s="190" t="s">
        <v>515</v>
      </c>
      <c r="G399" s="190">
        <v>50.3</v>
      </c>
      <c r="H399" s="837">
        <v>0.58333333333333337</v>
      </c>
      <c r="I399" s="1477"/>
      <c r="J399" s="1478"/>
      <c r="K399" s="1479"/>
      <c r="L399" s="835"/>
      <c r="M399" s="460"/>
      <c r="N399" s="162"/>
      <c r="O399" s="89"/>
      <c r="P399" s="89"/>
      <c r="Q399" s="89"/>
      <c r="R399" s="89"/>
      <c r="S399" s="89"/>
      <c r="T399" s="89"/>
      <c r="U399" s="89"/>
      <c r="V399" s="89"/>
      <c r="W399" s="89"/>
      <c r="X399" s="89"/>
      <c r="Y399" s="89"/>
      <c r="Z399" s="89"/>
    </row>
    <row r="400" spans="3:26" ht="48">
      <c r="C400" s="162" t="s">
        <v>105</v>
      </c>
      <c r="D400" s="496" t="s">
        <v>30</v>
      </c>
      <c r="E400" s="1460" t="s">
        <v>864</v>
      </c>
      <c r="F400" s="1460"/>
      <c r="G400" s="1460"/>
      <c r="H400" s="832" t="s">
        <v>790</v>
      </c>
      <c r="I400" s="1468" t="s">
        <v>633</v>
      </c>
      <c r="J400" s="1469"/>
      <c r="K400" s="1470"/>
      <c r="L400" s="833" t="s">
        <v>430</v>
      </c>
      <c r="M400" s="373" t="s">
        <v>431</v>
      </c>
      <c r="N400" s="162" t="s">
        <v>105</v>
      </c>
      <c r="O400" s="114" t="s">
        <v>800</v>
      </c>
      <c r="P400" s="114" t="s">
        <v>801</v>
      </c>
      <c r="Q400" s="114" t="s">
        <v>802</v>
      </c>
      <c r="R400" s="114" t="s">
        <v>803</v>
      </c>
      <c r="S400" s="114" t="s">
        <v>804</v>
      </c>
      <c r="T400" s="114" t="s">
        <v>805</v>
      </c>
      <c r="U400" s="114" t="s">
        <v>806</v>
      </c>
      <c r="V400" s="114" t="s">
        <v>807</v>
      </c>
      <c r="W400" s="114" t="s">
        <v>808</v>
      </c>
      <c r="X400" s="114" t="s">
        <v>809</v>
      </c>
      <c r="Y400" s="114" t="s">
        <v>75</v>
      </c>
      <c r="Z400" s="114" t="s">
        <v>75</v>
      </c>
    </row>
    <row r="401" spans="3:26" ht="24">
      <c r="C401" s="162"/>
      <c r="D401" s="490" t="s">
        <v>432</v>
      </c>
      <c r="E401" s="1464"/>
      <c r="F401" s="1464"/>
      <c r="G401" s="1464"/>
      <c r="H401" s="834" t="s">
        <v>794</v>
      </c>
      <c r="I401" s="1471" t="s">
        <v>865</v>
      </c>
      <c r="J401" s="1472"/>
      <c r="K401" s="1473"/>
      <c r="L401" s="835"/>
      <c r="M401" s="460"/>
      <c r="N401" s="162"/>
      <c r="O401" s="115" t="s">
        <v>810</v>
      </c>
      <c r="P401" s="116">
        <v>0.1</v>
      </c>
      <c r="Q401" s="117">
        <v>3.9E-2</v>
      </c>
      <c r="R401" s="118">
        <v>2.1000000000015007E-2</v>
      </c>
      <c r="S401" s="119"/>
      <c r="T401" s="115">
        <v>7.9500000000015003E-2</v>
      </c>
      <c r="U401" s="117">
        <v>-18.989999999999998</v>
      </c>
      <c r="V401" s="116">
        <v>91.8</v>
      </c>
      <c r="W401" s="119"/>
      <c r="X401" s="119"/>
      <c r="Y401" s="120"/>
      <c r="Z401" s="120"/>
    </row>
    <row r="402" spans="3:26" ht="24">
      <c r="C402" s="162"/>
      <c r="D402" s="490" t="s">
        <v>433</v>
      </c>
      <c r="E402" s="1453">
        <v>48.9</v>
      </c>
      <c r="F402" s="1453"/>
      <c r="G402" s="1453"/>
      <c r="H402" s="834" t="s">
        <v>795</v>
      </c>
      <c r="I402" s="1474"/>
      <c r="J402" s="1475"/>
      <c r="K402" s="1476"/>
      <c r="L402" s="835"/>
      <c r="M402" s="460"/>
      <c r="N402" s="162"/>
      <c r="O402" s="121"/>
      <c r="P402" s="121"/>
      <c r="Q402" s="121"/>
      <c r="R402" s="122"/>
      <c r="S402" s="123"/>
      <c r="T402" s="121"/>
      <c r="U402" s="121"/>
      <c r="V402" s="121"/>
      <c r="W402" s="123"/>
      <c r="X402" s="123"/>
      <c r="Y402" s="124"/>
      <c r="Z402" s="124"/>
    </row>
    <row r="403" spans="3:26" ht="24">
      <c r="C403" s="162"/>
      <c r="D403" s="490" t="s">
        <v>434</v>
      </c>
      <c r="E403" s="1453">
        <v>48.3</v>
      </c>
      <c r="F403" s="1453"/>
      <c r="G403" s="1453"/>
      <c r="H403" s="832"/>
      <c r="I403" s="1474"/>
      <c r="J403" s="1475"/>
      <c r="K403" s="1476"/>
      <c r="L403" s="835"/>
      <c r="M403" s="460"/>
      <c r="N403" s="162"/>
      <c r="O403" s="125" t="s">
        <v>811</v>
      </c>
      <c r="P403" s="126">
        <v>0.1</v>
      </c>
      <c r="Q403" s="127">
        <v>7.22E-2</v>
      </c>
      <c r="R403" s="128">
        <v>1.4999999999999999E-2</v>
      </c>
      <c r="S403" s="129">
        <v>1</v>
      </c>
      <c r="T403" s="125">
        <v>0.12330000000000001</v>
      </c>
      <c r="U403" s="130">
        <v>-29.452415094334064</v>
      </c>
      <c r="V403" s="131">
        <v>91.8</v>
      </c>
      <c r="W403" s="132">
        <v>4.88</v>
      </c>
      <c r="X403" s="133">
        <v>143.72778566035024</v>
      </c>
      <c r="Y403" s="134"/>
      <c r="Z403" s="134">
        <v>4.4350000000000005</v>
      </c>
    </row>
    <row r="404" spans="3:26" ht="24">
      <c r="C404" s="162"/>
      <c r="D404" s="490" t="s">
        <v>435</v>
      </c>
      <c r="E404" s="1458">
        <v>0.58333333333333337</v>
      </c>
      <c r="F404" s="1458"/>
      <c r="G404" s="1458"/>
      <c r="H404" s="832"/>
      <c r="I404" s="1474"/>
      <c r="J404" s="1475"/>
      <c r="K404" s="1476"/>
      <c r="L404" s="836">
        <v>0.8125</v>
      </c>
      <c r="M404" s="461">
        <v>0.70833333333333337</v>
      </c>
      <c r="N404" s="162"/>
      <c r="O404" s="135" t="s">
        <v>812</v>
      </c>
      <c r="P404" s="136">
        <v>0.1</v>
      </c>
      <c r="Q404" s="137">
        <v>4.0533333333333338E-2</v>
      </c>
      <c r="R404" s="138">
        <v>1.4999999999999999E-2</v>
      </c>
      <c r="S404" s="139">
        <v>0.5</v>
      </c>
      <c r="T404" s="135">
        <v>7.5800000000000006E-2</v>
      </c>
      <c r="U404" s="140">
        <v>-9.0530943396209338</v>
      </c>
      <c r="V404" s="141">
        <v>91.8</v>
      </c>
      <c r="W404" s="142">
        <v>2.3650000000000002</v>
      </c>
      <c r="X404" s="143">
        <v>21.41056811320351</v>
      </c>
      <c r="Y404" s="144"/>
      <c r="Z404" s="144"/>
    </row>
    <row r="405" spans="3:26" ht="24">
      <c r="C405" s="162"/>
      <c r="D405" s="490" t="s">
        <v>436</v>
      </c>
      <c r="E405" s="175" t="s">
        <v>29</v>
      </c>
      <c r="F405" s="175" t="s">
        <v>28</v>
      </c>
      <c r="G405" s="175" t="s">
        <v>27</v>
      </c>
      <c r="H405" s="832" t="s">
        <v>793</v>
      </c>
      <c r="I405" s="1474"/>
      <c r="J405" s="1475"/>
      <c r="K405" s="1476"/>
      <c r="L405" s="835"/>
      <c r="M405" s="460"/>
      <c r="N405" s="162"/>
      <c r="O405" s="123"/>
      <c r="P405" s="145"/>
      <c r="Q405" s="123"/>
      <c r="R405" s="123"/>
      <c r="S405" s="123"/>
      <c r="T405" s="123"/>
      <c r="U405" s="146"/>
      <c r="V405" s="147"/>
      <c r="W405" s="123"/>
      <c r="X405" s="146"/>
      <c r="Y405" s="124"/>
      <c r="Z405" s="124"/>
    </row>
    <row r="406" spans="3:26" ht="24">
      <c r="C406" s="162"/>
      <c r="D406" s="497">
        <v>45566</v>
      </c>
      <c r="E406" s="190">
        <v>48.3</v>
      </c>
      <c r="F406" s="190" t="s">
        <v>902</v>
      </c>
      <c r="G406" s="190">
        <v>54</v>
      </c>
      <c r="H406" s="837">
        <v>0.58333333333333337</v>
      </c>
      <c r="I406" s="1474"/>
      <c r="J406" s="1475"/>
      <c r="K406" s="1476"/>
      <c r="L406" s="835"/>
      <c r="M406" s="460"/>
      <c r="N406" s="162"/>
      <c r="O406" s="148"/>
      <c r="P406" s="124"/>
      <c r="Q406" s="148"/>
      <c r="R406" s="148"/>
      <c r="S406" s="148"/>
      <c r="T406" s="148"/>
      <c r="U406" s="148"/>
      <c r="V406" s="148"/>
      <c r="W406" s="148"/>
      <c r="X406" s="148"/>
      <c r="Y406" s="124"/>
      <c r="Z406" s="124"/>
    </row>
    <row r="407" spans="3:26" ht="24">
      <c r="C407" s="162"/>
      <c r="D407" s="497">
        <v>45538</v>
      </c>
      <c r="E407" s="190">
        <v>54</v>
      </c>
      <c r="F407" s="190" t="s">
        <v>519</v>
      </c>
      <c r="G407" s="190">
        <v>52.9</v>
      </c>
      <c r="H407" s="837">
        <v>0.58333333333333337</v>
      </c>
      <c r="I407" s="1474"/>
      <c r="J407" s="1475"/>
      <c r="K407" s="1476"/>
      <c r="L407" s="835"/>
      <c r="M407" s="460"/>
      <c r="N407" s="162"/>
      <c r="O407" s="115" t="s">
        <v>813</v>
      </c>
      <c r="P407" s="116">
        <v>0.25</v>
      </c>
      <c r="Q407" s="149">
        <v>4.0533333333333338E-2</v>
      </c>
      <c r="R407" s="150">
        <v>1.4999999999999999E-2</v>
      </c>
      <c r="S407" s="119">
        <v>0.5</v>
      </c>
      <c r="T407" s="116">
        <v>7.5800000000000006E-2</v>
      </c>
      <c r="U407" s="151">
        <v>-22.632735849052334</v>
      </c>
      <c r="V407" s="152">
        <v>229.5</v>
      </c>
      <c r="W407" s="119">
        <v>2</v>
      </c>
      <c r="X407" s="153">
        <v>45.265471698104669</v>
      </c>
      <c r="Y407" s="154" t="s">
        <v>814</v>
      </c>
      <c r="Z407" s="154"/>
    </row>
    <row r="408" spans="3:26" ht="24">
      <c r="C408" s="162"/>
      <c r="D408" s="497">
        <v>45505</v>
      </c>
      <c r="E408" s="190">
        <v>52.9</v>
      </c>
      <c r="F408" s="190" t="s">
        <v>520</v>
      </c>
      <c r="G408" s="190">
        <v>52.1</v>
      </c>
      <c r="H408" s="837">
        <v>0.58333333333333337</v>
      </c>
      <c r="I408" s="1474"/>
      <c r="J408" s="1475"/>
      <c r="K408" s="1476"/>
      <c r="L408" s="838"/>
      <c r="M408" s="460"/>
      <c r="N408" s="162"/>
      <c r="O408" s="115" t="s">
        <v>813</v>
      </c>
      <c r="P408" s="116">
        <v>0.25</v>
      </c>
      <c r="Q408" s="149">
        <v>4.0533333333333338E-2</v>
      </c>
      <c r="R408" s="150">
        <v>1.4999999999999999E-2</v>
      </c>
      <c r="S408" s="119">
        <v>0.5</v>
      </c>
      <c r="T408" s="116">
        <v>7.5800000000000006E-2</v>
      </c>
      <c r="U408" s="151">
        <v>-22.349278350515466</v>
      </c>
      <c r="V408" s="152">
        <v>229.5</v>
      </c>
      <c r="W408" s="119">
        <v>2</v>
      </c>
      <c r="X408" s="153">
        <v>44.698556701030931</v>
      </c>
      <c r="Y408" s="154"/>
      <c r="Z408" s="154"/>
    </row>
    <row r="409" spans="3:26" ht="24">
      <c r="C409" s="162"/>
      <c r="D409" s="497">
        <v>45474</v>
      </c>
      <c r="E409" s="190">
        <v>52.1</v>
      </c>
      <c r="F409" s="190" t="s">
        <v>521</v>
      </c>
      <c r="G409" s="190">
        <v>57</v>
      </c>
      <c r="H409" s="837">
        <v>0.58333333333333337</v>
      </c>
      <c r="I409" s="1474"/>
      <c r="J409" s="1475"/>
      <c r="K409" s="1476"/>
      <c r="L409" s="835"/>
      <c r="M409" s="460"/>
      <c r="N409" s="162"/>
      <c r="O409" s="115" t="s">
        <v>816</v>
      </c>
      <c r="P409" s="116"/>
      <c r="Q409" s="149"/>
      <c r="R409" s="150"/>
      <c r="S409" s="119"/>
      <c r="T409" s="116"/>
      <c r="U409" s="151">
        <v>-22.349278350515466</v>
      </c>
      <c r="V409" s="152"/>
      <c r="W409" s="119"/>
      <c r="X409" s="153">
        <v>44.698556701030931</v>
      </c>
      <c r="Y409" s="154"/>
      <c r="Z409" s="154"/>
    </row>
    <row r="410" spans="3:26" ht="24">
      <c r="C410" s="162"/>
      <c r="D410" s="497">
        <v>45446</v>
      </c>
      <c r="E410" s="190">
        <v>57</v>
      </c>
      <c r="F410" s="190" t="s">
        <v>522</v>
      </c>
      <c r="G410" s="190">
        <v>60.9</v>
      </c>
      <c r="H410" s="837">
        <v>0.58333333333333337</v>
      </c>
      <c r="I410" s="1474"/>
      <c r="J410" s="1475"/>
      <c r="K410" s="1476"/>
      <c r="L410" s="835"/>
      <c r="M410" s="460"/>
      <c r="N410" s="162"/>
      <c r="O410" s="89"/>
      <c r="P410" s="89"/>
      <c r="Q410" s="89"/>
      <c r="R410" s="89"/>
      <c r="S410" s="89"/>
      <c r="T410" s="89"/>
      <c r="U410" s="89"/>
      <c r="V410" s="89"/>
      <c r="W410" s="89"/>
      <c r="X410" s="89"/>
      <c r="Y410" s="89"/>
      <c r="Z410" s="89"/>
    </row>
    <row r="411" spans="3:26" ht="24">
      <c r="C411" s="162"/>
      <c r="D411" s="497">
        <v>45413</v>
      </c>
      <c r="E411" s="190">
        <v>60.9</v>
      </c>
      <c r="F411" s="190" t="s">
        <v>523</v>
      </c>
      <c r="G411" s="190">
        <v>55.8</v>
      </c>
      <c r="H411" s="837">
        <v>0.58333333333333337</v>
      </c>
      <c r="I411" s="1477"/>
      <c r="J411" s="1478"/>
      <c r="K411" s="1479"/>
      <c r="L411" s="835"/>
      <c r="M411" s="460"/>
      <c r="N411" s="162"/>
      <c r="O411" s="89"/>
      <c r="P411" s="89"/>
      <c r="Q411" s="89"/>
      <c r="R411" s="89"/>
      <c r="S411" s="89"/>
      <c r="T411" s="89"/>
      <c r="U411" s="89"/>
      <c r="V411" s="89"/>
      <c r="W411" s="89"/>
      <c r="X411" s="89"/>
      <c r="Y411" s="89"/>
      <c r="Z411" s="89"/>
    </row>
    <row r="412" spans="3:26" ht="48">
      <c r="C412" s="162" t="s">
        <v>105</v>
      </c>
      <c r="D412" s="496" t="s">
        <v>30</v>
      </c>
      <c r="E412" s="1460" t="s">
        <v>866</v>
      </c>
      <c r="F412" s="1460"/>
      <c r="G412" s="1460"/>
      <c r="H412" s="832" t="s">
        <v>790</v>
      </c>
      <c r="I412" s="1468" t="s">
        <v>633</v>
      </c>
      <c r="J412" s="1469"/>
      <c r="K412" s="1470"/>
      <c r="L412" s="833" t="s">
        <v>430</v>
      </c>
      <c r="M412" s="373" t="s">
        <v>431</v>
      </c>
      <c r="N412" s="162" t="s">
        <v>105</v>
      </c>
      <c r="O412" s="114" t="s">
        <v>800</v>
      </c>
      <c r="P412" s="114" t="s">
        <v>801</v>
      </c>
      <c r="Q412" s="114" t="s">
        <v>802</v>
      </c>
      <c r="R412" s="114" t="s">
        <v>803</v>
      </c>
      <c r="S412" s="114" t="s">
        <v>804</v>
      </c>
      <c r="T412" s="114" t="s">
        <v>805</v>
      </c>
      <c r="U412" s="114" t="s">
        <v>806</v>
      </c>
      <c r="V412" s="114" t="s">
        <v>807</v>
      </c>
      <c r="W412" s="114" t="s">
        <v>808</v>
      </c>
      <c r="X412" s="114" t="s">
        <v>809</v>
      </c>
      <c r="Y412" s="114" t="s">
        <v>75</v>
      </c>
      <c r="Z412" s="114" t="s">
        <v>75</v>
      </c>
    </row>
    <row r="413" spans="3:26" ht="24">
      <c r="C413" s="162"/>
      <c r="D413" s="490" t="s">
        <v>432</v>
      </c>
      <c r="E413" s="1464"/>
      <c r="F413" s="1464"/>
      <c r="G413" s="1464"/>
      <c r="H413" s="834" t="s">
        <v>794</v>
      </c>
      <c r="I413" s="1471" t="s">
        <v>867</v>
      </c>
      <c r="J413" s="1472"/>
      <c r="K413" s="1473"/>
      <c r="L413" s="835"/>
      <c r="M413" s="460"/>
      <c r="N413" s="162"/>
      <c r="O413" s="115" t="s">
        <v>810</v>
      </c>
      <c r="P413" s="163">
        <v>0.1</v>
      </c>
      <c r="Q413" s="163">
        <v>2.1000000000000001E-2</v>
      </c>
      <c r="R413" s="163">
        <v>1.7000000000000001E-2</v>
      </c>
      <c r="S413" s="119"/>
      <c r="T413" s="115">
        <v>4.8500000000000001E-2</v>
      </c>
      <c r="U413" s="164">
        <v>-11.44</v>
      </c>
      <c r="V413" s="163">
        <v>91.8</v>
      </c>
      <c r="W413" s="166"/>
      <c r="X413" s="153"/>
      <c r="Y413" s="120"/>
      <c r="Z413" s="120"/>
    </row>
    <row r="414" spans="3:26" ht="24">
      <c r="C414" s="162"/>
      <c r="D414" s="490" t="s">
        <v>433</v>
      </c>
      <c r="E414" s="1453">
        <v>47.9</v>
      </c>
      <c r="F414" s="1453"/>
      <c r="G414" s="1453"/>
      <c r="H414" s="834" t="s">
        <v>795</v>
      </c>
      <c r="I414" s="1474"/>
      <c r="J414" s="1475"/>
      <c r="K414" s="1476"/>
      <c r="L414" s="835"/>
      <c r="M414" s="460"/>
      <c r="N414" s="162"/>
      <c r="O414" s="121"/>
      <c r="P414" s="121"/>
      <c r="Q414" s="121"/>
      <c r="R414" s="122"/>
      <c r="S414" s="123"/>
      <c r="T414" s="121"/>
      <c r="U414" s="121"/>
      <c r="V414" s="121"/>
      <c r="W414" s="121"/>
      <c r="X414" s="123"/>
      <c r="Y414" s="124"/>
      <c r="Z414" s="124"/>
    </row>
    <row r="415" spans="3:26" ht="24">
      <c r="C415" s="162"/>
      <c r="D415" s="490" t="s">
        <v>434</v>
      </c>
      <c r="E415" s="1453">
        <v>47.3</v>
      </c>
      <c r="F415" s="1453"/>
      <c r="G415" s="1453"/>
      <c r="H415" s="832"/>
      <c r="I415" s="1474"/>
      <c r="J415" s="1475"/>
      <c r="K415" s="1476"/>
      <c r="L415" s="835"/>
      <c r="M415" s="460"/>
      <c r="N415" s="162"/>
      <c r="O415" s="125" t="s">
        <v>811</v>
      </c>
      <c r="P415" s="167">
        <v>0.1</v>
      </c>
      <c r="Q415" s="168">
        <v>0.12959999999999999</v>
      </c>
      <c r="R415" s="169">
        <v>1.7000000000000001E-2</v>
      </c>
      <c r="S415" s="179">
        <v>1</v>
      </c>
      <c r="T415" s="125">
        <v>0.21139999999999998</v>
      </c>
      <c r="U415" s="130">
        <v>-49.864247422680407</v>
      </c>
      <c r="V415" s="131">
        <v>91.8</v>
      </c>
      <c r="W415" s="180">
        <v>2.71</v>
      </c>
      <c r="X415" s="133">
        <v>135.13211051546389</v>
      </c>
      <c r="Y415" s="134"/>
      <c r="Z415" s="134"/>
    </row>
    <row r="416" spans="3:26" ht="24">
      <c r="C416" s="162"/>
      <c r="D416" s="490" t="s">
        <v>435</v>
      </c>
      <c r="E416" s="1458">
        <v>0.61458333333333337</v>
      </c>
      <c r="F416" s="1458"/>
      <c r="G416" s="1458"/>
      <c r="H416" s="832"/>
      <c r="I416" s="1474"/>
      <c r="J416" s="1475"/>
      <c r="K416" s="1476"/>
      <c r="L416" s="836">
        <v>0.84375</v>
      </c>
      <c r="M416" s="461">
        <v>0.73958333333333337</v>
      </c>
      <c r="N416" s="162"/>
      <c r="O416" s="135" t="s">
        <v>812</v>
      </c>
      <c r="P416" s="171">
        <v>0.1</v>
      </c>
      <c r="Q416" s="156">
        <v>6.5733333333333324E-2</v>
      </c>
      <c r="R416" s="172">
        <v>1.7000000000000001E-2</v>
      </c>
      <c r="S416" s="181">
        <v>1</v>
      </c>
      <c r="T416" s="173">
        <v>0.11559999999999999</v>
      </c>
      <c r="U416" s="140">
        <v>-27.267298969072165</v>
      </c>
      <c r="V416" s="141">
        <v>91.8</v>
      </c>
      <c r="W416" s="182">
        <v>4.16</v>
      </c>
      <c r="X416" s="143">
        <v>113.43196371134022</v>
      </c>
      <c r="Y416" s="144"/>
      <c r="Z416" s="144"/>
    </row>
    <row r="417" spans="3:26" ht="24">
      <c r="C417" s="162"/>
      <c r="D417" s="490" t="s">
        <v>436</v>
      </c>
      <c r="E417" s="175" t="s">
        <v>29</v>
      </c>
      <c r="F417" s="175" t="s">
        <v>28</v>
      </c>
      <c r="G417" s="175" t="s">
        <v>27</v>
      </c>
      <c r="H417" s="832" t="s">
        <v>793</v>
      </c>
      <c r="I417" s="1474"/>
      <c r="J417" s="1475"/>
      <c r="K417" s="1476"/>
      <c r="L417" s="835"/>
      <c r="M417" s="460"/>
      <c r="N417" s="162"/>
      <c r="O417" s="123"/>
      <c r="P417" s="145"/>
      <c r="Q417" s="123"/>
      <c r="R417" s="123"/>
      <c r="S417" s="183"/>
      <c r="T417" s="123"/>
      <c r="U417" s="146"/>
      <c r="V417" s="147"/>
      <c r="W417" s="184"/>
      <c r="X417" s="146"/>
      <c r="Y417" s="124"/>
      <c r="Z417" s="124"/>
    </row>
    <row r="418" spans="3:26" ht="24">
      <c r="C418" s="162"/>
      <c r="D418" s="497">
        <v>45589</v>
      </c>
      <c r="E418" s="190">
        <v>47.8</v>
      </c>
      <c r="F418" s="190" t="s">
        <v>509</v>
      </c>
      <c r="G418" s="190">
        <v>47.3</v>
      </c>
      <c r="H418" s="837">
        <v>0.61458333333333337</v>
      </c>
      <c r="I418" s="1474"/>
      <c r="J418" s="1475"/>
      <c r="K418" s="1476"/>
      <c r="L418" s="835"/>
      <c r="M418" s="460"/>
      <c r="N418" s="162"/>
      <c r="O418" s="148"/>
      <c r="P418" s="124"/>
      <c r="Q418" s="148"/>
      <c r="R418" s="148"/>
      <c r="S418" s="183"/>
      <c r="T418" s="148"/>
      <c r="U418" s="148"/>
      <c r="V418" s="148"/>
      <c r="W418" s="186"/>
      <c r="X418" s="148"/>
      <c r="Y418" s="124"/>
      <c r="Z418" s="124"/>
    </row>
    <row r="419" spans="3:26" ht="24">
      <c r="C419" s="162"/>
      <c r="D419" s="497">
        <v>45566</v>
      </c>
      <c r="E419" s="190">
        <v>47.3</v>
      </c>
      <c r="F419" s="190" t="s">
        <v>758</v>
      </c>
      <c r="G419" s="190">
        <v>47.9</v>
      </c>
      <c r="H419" s="837">
        <v>0.61458333333333337</v>
      </c>
      <c r="I419" s="1474"/>
      <c r="J419" s="1475"/>
      <c r="K419" s="1476"/>
      <c r="L419" s="835"/>
      <c r="M419" s="460"/>
      <c r="N419" s="162"/>
      <c r="O419" s="115" t="s">
        <v>813</v>
      </c>
      <c r="P419" s="191">
        <v>-0.05</v>
      </c>
      <c r="Q419" s="149">
        <v>9.7666666666666652E-2</v>
      </c>
      <c r="R419" s="150">
        <v>1.7000000000000001E-2</v>
      </c>
      <c r="S419" s="187">
        <v>-1.5</v>
      </c>
      <c r="T419" s="125">
        <v>0.16349999999999998</v>
      </c>
      <c r="U419" s="151">
        <v>-28.92432989690721</v>
      </c>
      <c r="V419" s="152">
        <v>-45.9</v>
      </c>
      <c r="W419" s="189">
        <v>2</v>
      </c>
      <c r="X419" s="153">
        <v>57.84865979381442</v>
      </c>
      <c r="Y419" s="154" t="s">
        <v>814</v>
      </c>
      <c r="Z419" s="154"/>
    </row>
    <row r="420" spans="3:26" ht="24">
      <c r="C420" s="162"/>
      <c r="D420" s="497">
        <v>45558</v>
      </c>
      <c r="E420" s="190">
        <v>47</v>
      </c>
      <c r="F420" s="190" t="s">
        <v>500</v>
      </c>
      <c r="G420" s="190">
        <v>47.9</v>
      </c>
      <c r="H420" s="837">
        <v>0.61458333333333337</v>
      </c>
      <c r="I420" s="1474"/>
      <c r="J420" s="1475"/>
      <c r="K420" s="1476"/>
      <c r="L420" s="838"/>
      <c r="M420" s="460"/>
      <c r="N420" s="162"/>
      <c r="O420" s="115"/>
      <c r="P420" s="116"/>
      <c r="Q420" s="149"/>
      <c r="R420" s="150"/>
      <c r="S420" s="119"/>
      <c r="T420" s="116"/>
      <c r="U420" s="151"/>
      <c r="V420" s="152"/>
      <c r="W420" s="119"/>
      <c r="X420" s="153"/>
      <c r="Y420" s="154"/>
      <c r="Z420" s="154"/>
    </row>
    <row r="421" spans="3:26" ht="24">
      <c r="C421" s="162"/>
      <c r="D421" s="497">
        <v>45538</v>
      </c>
      <c r="E421" s="190">
        <v>47.9</v>
      </c>
      <c r="F421" s="190" t="s">
        <v>502</v>
      </c>
      <c r="G421" s="190">
        <v>49.6</v>
      </c>
      <c r="H421" s="837">
        <v>0.61458333333333337</v>
      </c>
      <c r="I421" s="1474"/>
      <c r="J421" s="1475"/>
      <c r="K421" s="1476"/>
      <c r="L421" s="835"/>
      <c r="M421" s="460"/>
      <c r="N421" s="162"/>
      <c r="O421" s="115" t="s">
        <v>816</v>
      </c>
      <c r="P421" s="116"/>
      <c r="Q421" s="149"/>
      <c r="R421" s="150"/>
      <c r="S421" s="119"/>
      <c r="T421" s="116"/>
      <c r="U421" s="151">
        <v>0</v>
      </c>
      <c r="V421" s="152"/>
      <c r="W421" s="119"/>
      <c r="X421" s="153">
        <v>0</v>
      </c>
      <c r="Y421" s="154"/>
      <c r="Z421" s="154"/>
    </row>
    <row r="422" spans="3:26" ht="24">
      <c r="C422" s="162"/>
      <c r="D422" s="497">
        <v>45526</v>
      </c>
      <c r="E422" s="190">
        <v>48</v>
      </c>
      <c r="F422" s="190" t="s">
        <v>438</v>
      </c>
      <c r="G422" s="190">
        <v>49.6</v>
      </c>
      <c r="H422" s="837">
        <v>0.61458333333333337</v>
      </c>
      <c r="I422" s="1474"/>
      <c r="J422" s="1475"/>
      <c r="K422" s="1476"/>
      <c r="L422" s="835"/>
      <c r="M422" s="460"/>
      <c r="N422" s="162"/>
      <c r="O422" s="89"/>
      <c r="P422" s="89"/>
      <c r="Q422" s="89"/>
      <c r="R422" s="89"/>
      <c r="S422" s="89"/>
      <c r="T422" s="89"/>
      <c r="U422" s="89"/>
      <c r="V422" s="89"/>
      <c r="W422" s="89"/>
      <c r="X422" s="89"/>
      <c r="Y422" s="89"/>
      <c r="Z422" s="89"/>
    </row>
    <row r="423" spans="3:26" ht="24">
      <c r="C423" s="162"/>
      <c r="D423" s="497">
        <v>45505</v>
      </c>
      <c r="E423" s="190">
        <v>49.6</v>
      </c>
      <c r="F423" s="190" t="s">
        <v>438</v>
      </c>
      <c r="G423" s="190">
        <v>51.6</v>
      </c>
      <c r="H423" s="837">
        <v>0.61458333333333337</v>
      </c>
      <c r="I423" s="1477"/>
      <c r="J423" s="1478"/>
      <c r="K423" s="1479"/>
      <c r="L423" s="835"/>
      <c r="M423" s="460"/>
      <c r="N423" s="162"/>
      <c r="O423" s="89"/>
      <c r="P423" s="89"/>
      <c r="Q423" s="89"/>
      <c r="R423" s="89"/>
      <c r="S423" s="89"/>
      <c r="T423" s="89"/>
      <c r="U423" s="89"/>
      <c r="V423" s="89"/>
      <c r="W423" s="89"/>
      <c r="X423" s="89"/>
      <c r="Y423" s="89"/>
      <c r="Z423" s="89"/>
    </row>
    <row r="424" spans="3:26" ht="24">
      <c r="C424" s="162" t="s">
        <v>105</v>
      </c>
      <c r="D424" s="496" t="s">
        <v>30</v>
      </c>
      <c r="E424" s="1460" t="s">
        <v>868</v>
      </c>
      <c r="F424" s="1460">
        <v>0</v>
      </c>
      <c r="G424" s="1460">
        <v>0</v>
      </c>
      <c r="H424" s="832" t="s">
        <v>790</v>
      </c>
      <c r="I424" s="840"/>
      <c r="J424" s="1461" t="s">
        <v>430</v>
      </c>
      <c r="K424" s="1462"/>
      <c r="L424" s="1463"/>
      <c r="M424" s="373" t="s">
        <v>431</v>
      </c>
      <c r="N424" s="162"/>
      <c r="O424" s="89"/>
      <c r="P424" s="89"/>
      <c r="Q424" s="89"/>
      <c r="R424" s="89"/>
      <c r="S424" s="89"/>
      <c r="T424" s="89"/>
      <c r="U424" s="89"/>
      <c r="V424" s="89"/>
      <c r="W424" s="89"/>
      <c r="X424" s="89"/>
      <c r="Y424" s="89"/>
      <c r="Z424" s="89"/>
    </row>
    <row r="425" spans="3:26" ht="24">
      <c r="C425" s="162"/>
      <c r="D425" s="490" t="s">
        <v>432</v>
      </c>
      <c r="E425" s="1464"/>
      <c r="F425" s="1464"/>
      <c r="G425" s="1464"/>
      <c r="H425" s="834" t="s">
        <v>913</v>
      </c>
      <c r="I425" s="840"/>
      <c r="J425" s="1465"/>
      <c r="K425" s="1466"/>
      <c r="L425" s="1467"/>
      <c r="M425" s="207"/>
      <c r="N425" s="162"/>
      <c r="O425" s="89"/>
      <c r="P425" s="89"/>
      <c r="Q425" s="89"/>
      <c r="R425" s="89"/>
      <c r="S425" s="89"/>
      <c r="T425" s="89"/>
      <c r="U425" s="89"/>
      <c r="V425" s="89"/>
      <c r="W425" s="89"/>
      <c r="X425" s="89"/>
      <c r="Y425" s="89"/>
      <c r="Z425" s="89"/>
    </row>
    <row r="426" spans="3:26" ht="24">
      <c r="C426" s="162"/>
      <c r="D426" s="490" t="s">
        <v>433</v>
      </c>
      <c r="E426" s="1453">
        <v>1.59</v>
      </c>
      <c r="F426" s="1453">
        <v>0</v>
      </c>
      <c r="G426" s="1453">
        <v>0</v>
      </c>
      <c r="H426" s="834" t="s">
        <v>913</v>
      </c>
      <c r="I426" s="840"/>
      <c r="J426" s="1454"/>
      <c r="K426" s="1455"/>
      <c r="L426" s="1456"/>
      <c r="M426" s="207"/>
      <c r="N426" s="162"/>
      <c r="O426" s="89"/>
      <c r="P426" s="89"/>
      <c r="Q426" s="89"/>
      <c r="R426" s="89"/>
      <c r="S426" s="89"/>
      <c r="T426" s="89"/>
      <c r="U426" s="89"/>
      <c r="V426" s="89"/>
      <c r="W426" s="89"/>
      <c r="X426" s="89"/>
      <c r="Y426" s="89"/>
      <c r="Z426" s="89"/>
    </row>
    <row r="427" spans="3:26" ht="24">
      <c r="C427" s="162"/>
      <c r="D427" s="490" t="s">
        <v>434</v>
      </c>
      <c r="E427" s="1453">
        <v>1.4</v>
      </c>
      <c r="F427" s="1453">
        <v>0</v>
      </c>
      <c r="G427" s="1453">
        <v>0</v>
      </c>
      <c r="H427" s="832"/>
      <c r="I427" s="840"/>
      <c r="J427" s="1454"/>
      <c r="K427" s="1455"/>
      <c r="L427" s="1456"/>
      <c r="M427" s="207"/>
      <c r="N427" s="162"/>
      <c r="O427" s="89"/>
      <c r="P427" s="89"/>
      <c r="Q427" s="89"/>
      <c r="R427" s="89"/>
      <c r="S427" s="89"/>
      <c r="T427" s="89"/>
      <c r="U427" s="89"/>
      <c r="V427" s="89"/>
      <c r="W427" s="89"/>
      <c r="X427" s="89"/>
      <c r="Y427" s="89"/>
      <c r="Z427" s="89"/>
    </row>
    <row r="428" spans="3:26" ht="24">
      <c r="C428" s="162"/>
      <c r="D428" s="490" t="s">
        <v>435</v>
      </c>
      <c r="E428" s="1457">
        <v>0.95833333333333337</v>
      </c>
      <c r="F428" s="1457">
        <v>0</v>
      </c>
      <c r="G428" s="1457">
        <v>0</v>
      </c>
      <c r="H428" s="832"/>
      <c r="I428" s="840"/>
      <c r="J428" s="1458">
        <v>6.25E-2</v>
      </c>
      <c r="K428" s="1458"/>
      <c r="L428" s="1459"/>
      <c r="M428" s="463">
        <v>0.95833333333333337</v>
      </c>
      <c r="N428" s="162"/>
      <c r="O428" s="89"/>
      <c r="P428" s="89"/>
      <c r="Q428" s="89"/>
      <c r="R428" s="89"/>
      <c r="S428" s="89"/>
      <c r="T428" s="89"/>
      <c r="U428" s="89"/>
      <c r="V428" s="89"/>
      <c r="W428" s="89"/>
      <c r="X428" s="89"/>
      <c r="Y428" s="89"/>
      <c r="Z428" s="89"/>
    </row>
    <row r="429" spans="3:26" ht="24">
      <c r="C429" s="162"/>
      <c r="D429" s="490" t="s">
        <v>436</v>
      </c>
      <c r="E429" s="175" t="s">
        <v>29</v>
      </c>
      <c r="F429" s="175" t="s">
        <v>28</v>
      </c>
      <c r="G429" s="175" t="s">
        <v>27</v>
      </c>
      <c r="H429" s="832" t="s">
        <v>793</v>
      </c>
      <c r="I429" s="840"/>
      <c r="J429" s="175"/>
      <c r="K429" s="175"/>
      <c r="L429" s="833"/>
      <c r="M429" s="207"/>
      <c r="N429" s="162"/>
      <c r="O429" s="89"/>
      <c r="P429" s="89"/>
      <c r="Q429" s="89"/>
      <c r="R429" s="89"/>
      <c r="S429" s="89"/>
      <c r="T429" s="89"/>
      <c r="U429" s="89"/>
      <c r="V429" s="89"/>
      <c r="W429" s="89"/>
      <c r="X429" s="89"/>
      <c r="Y429" s="89"/>
      <c r="Z429" s="89"/>
    </row>
    <row r="430" spans="3:26" ht="23">
      <c r="C430" s="162"/>
      <c r="D430" s="497">
        <v>45505</v>
      </c>
      <c r="E430" s="176">
        <v>1.4</v>
      </c>
      <c r="F430" s="176">
        <v>1.34</v>
      </c>
      <c r="G430" s="176">
        <v>1.53</v>
      </c>
      <c r="H430" s="837">
        <v>0.95833333333333337</v>
      </c>
      <c r="I430" s="841"/>
      <c r="J430" s="842"/>
      <c r="K430" s="842"/>
      <c r="L430" s="843"/>
      <c r="M430" s="464"/>
      <c r="N430" s="162"/>
      <c r="O430" s="89"/>
      <c r="P430" s="89"/>
      <c r="Q430" s="89"/>
      <c r="R430" s="89"/>
      <c r="S430" s="89"/>
      <c r="T430" s="89"/>
      <c r="U430" s="89"/>
      <c r="V430" s="89"/>
      <c r="W430" s="89"/>
      <c r="X430" s="89"/>
      <c r="Y430" s="89"/>
      <c r="Z430" s="89"/>
    </row>
    <row r="431" spans="3:26" ht="23">
      <c r="C431" s="162"/>
      <c r="D431" s="497">
        <v>45414</v>
      </c>
      <c r="E431" s="176">
        <v>1.53</v>
      </c>
      <c r="F431" s="176">
        <v>1.51</v>
      </c>
      <c r="G431" s="176">
        <v>1.45</v>
      </c>
      <c r="H431" s="837">
        <v>0.95833333333333337</v>
      </c>
      <c r="I431" s="841"/>
      <c r="J431" s="842"/>
      <c r="K431" s="842"/>
      <c r="L431" s="843"/>
      <c r="M431" s="464"/>
      <c r="N431" s="162"/>
      <c r="O431" s="89"/>
      <c r="P431" s="89"/>
      <c r="Q431" s="89"/>
      <c r="R431" s="89"/>
      <c r="S431" s="89"/>
      <c r="T431" s="89"/>
      <c r="U431" s="89"/>
      <c r="V431" s="89"/>
      <c r="W431" s="89"/>
      <c r="X431" s="89"/>
      <c r="Y431" s="89"/>
      <c r="Z431" s="89"/>
    </row>
    <row r="432" spans="3:26" ht="23">
      <c r="C432" s="162"/>
      <c r="D432" s="497">
        <v>45323</v>
      </c>
      <c r="E432" s="176">
        <v>1.45</v>
      </c>
      <c r="F432" s="176">
        <v>1.28</v>
      </c>
      <c r="G432" s="176">
        <v>1.46</v>
      </c>
      <c r="H432" s="837">
        <v>0.95833333333333337</v>
      </c>
      <c r="I432" s="841"/>
      <c r="J432" s="842"/>
      <c r="K432" s="842"/>
      <c r="L432" s="843"/>
      <c r="M432" s="464"/>
      <c r="N432" s="162"/>
      <c r="O432" s="89"/>
      <c r="P432" s="89"/>
      <c r="Q432" s="89"/>
      <c r="R432" s="89"/>
      <c r="S432" s="89"/>
      <c r="T432" s="89"/>
      <c r="U432" s="89"/>
      <c r="V432" s="89"/>
      <c r="W432" s="89"/>
      <c r="X432" s="89"/>
      <c r="Y432" s="89"/>
      <c r="Z432" s="89"/>
    </row>
    <row r="433" spans="3:26" ht="23">
      <c r="C433" s="162"/>
      <c r="D433" s="497">
        <v>45232</v>
      </c>
      <c r="E433" s="176">
        <v>1.46</v>
      </c>
      <c r="F433" s="176">
        <v>1.39</v>
      </c>
      <c r="G433" s="176">
        <v>1.26</v>
      </c>
      <c r="H433" s="837">
        <v>0.95833333333333337</v>
      </c>
      <c r="I433" s="841"/>
      <c r="J433" s="842"/>
      <c r="K433" s="842"/>
      <c r="L433" s="843"/>
      <c r="M433" s="464"/>
      <c r="N433" s="162"/>
      <c r="O433" s="89"/>
      <c r="P433" s="89"/>
      <c r="Q433" s="89"/>
      <c r="R433" s="89"/>
      <c r="S433" s="89"/>
      <c r="T433" s="89"/>
      <c r="U433" s="89"/>
      <c r="V433" s="89"/>
      <c r="W433" s="89"/>
      <c r="X433" s="89"/>
      <c r="Y433" s="89"/>
      <c r="Z433" s="89"/>
    </row>
    <row r="434" spans="3:26" ht="23">
      <c r="C434" s="162"/>
      <c r="D434" s="497">
        <v>45141</v>
      </c>
      <c r="E434" s="176">
        <v>1.26</v>
      </c>
      <c r="F434" s="176">
        <v>1.19</v>
      </c>
      <c r="G434" s="176">
        <v>1.52</v>
      </c>
      <c r="H434" s="837">
        <v>0.95833333333333337</v>
      </c>
      <c r="I434" s="841"/>
      <c r="J434" s="842"/>
      <c r="K434" s="842"/>
      <c r="L434" s="843"/>
      <c r="M434" s="464"/>
      <c r="N434" s="162"/>
      <c r="O434" s="89"/>
      <c r="P434" s="89"/>
      <c r="Q434" s="89"/>
      <c r="R434" s="89"/>
      <c r="S434" s="89"/>
      <c r="T434" s="89"/>
      <c r="U434" s="89"/>
      <c r="V434" s="89"/>
      <c r="W434" s="89"/>
      <c r="X434" s="89"/>
      <c r="Y434" s="89"/>
      <c r="Z434" s="89"/>
    </row>
    <row r="435" spans="3:26" ht="23">
      <c r="C435" s="162"/>
      <c r="D435" s="497">
        <v>45050</v>
      </c>
      <c r="E435" s="176">
        <v>1.52</v>
      </c>
      <c r="F435" s="176">
        <v>1.44</v>
      </c>
      <c r="G435" s="176">
        <v>1.88</v>
      </c>
      <c r="H435" s="837">
        <v>0.95833333333333337</v>
      </c>
      <c r="I435" s="841"/>
      <c r="J435" s="842"/>
      <c r="K435" s="842"/>
      <c r="L435" s="843"/>
      <c r="M435" s="464"/>
      <c r="N435" s="162"/>
      <c r="O435" s="89"/>
      <c r="P435" s="89"/>
      <c r="Q435" s="89"/>
      <c r="R435" s="89"/>
      <c r="S435" s="89"/>
      <c r="T435" s="89"/>
      <c r="U435" s="89"/>
      <c r="V435" s="89"/>
      <c r="W435" s="89"/>
      <c r="X435" s="89"/>
      <c r="Y435" s="89"/>
      <c r="Z435" s="89"/>
    </row>
    <row r="436" spans="3:26" ht="24">
      <c r="C436" s="162" t="s">
        <v>105</v>
      </c>
      <c r="D436" s="496" t="s">
        <v>30</v>
      </c>
      <c r="E436" s="1460" t="s">
        <v>869</v>
      </c>
      <c r="F436" s="1460">
        <v>0</v>
      </c>
      <c r="G436" s="1460">
        <v>0</v>
      </c>
      <c r="H436" s="832" t="s">
        <v>790</v>
      </c>
      <c r="I436" s="840"/>
      <c r="J436" s="1461" t="s">
        <v>430</v>
      </c>
      <c r="K436" s="1462"/>
      <c r="L436" s="1463"/>
      <c r="M436" s="373" t="s">
        <v>431</v>
      </c>
      <c r="N436" s="162"/>
      <c r="O436" s="89"/>
      <c r="P436" s="89"/>
      <c r="Q436" s="89"/>
      <c r="R436" s="89"/>
      <c r="S436" s="89"/>
      <c r="T436" s="89"/>
      <c r="U436" s="89"/>
      <c r="V436" s="89"/>
      <c r="W436" s="89"/>
      <c r="X436" s="89"/>
      <c r="Y436" s="89"/>
      <c r="Z436" s="89"/>
    </row>
    <row r="437" spans="3:26" ht="24">
      <c r="C437" s="162"/>
      <c r="D437" s="490" t="s">
        <v>432</v>
      </c>
      <c r="E437" s="1464"/>
      <c r="F437" s="1464"/>
      <c r="G437" s="1464"/>
      <c r="H437" s="834" t="s">
        <v>913</v>
      </c>
      <c r="I437" s="840"/>
      <c r="J437" s="1465"/>
      <c r="K437" s="1466"/>
      <c r="L437" s="1467"/>
      <c r="M437" s="207"/>
      <c r="N437" s="162"/>
      <c r="O437" s="89"/>
      <c r="P437" s="89"/>
      <c r="Q437" s="89"/>
      <c r="R437" s="89"/>
      <c r="S437" s="89"/>
      <c r="T437" s="89"/>
      <c r="U437" s="89"/>
      <c r="V437" s="89"/>
      <c r="W437" s="89"/>
      <c r="X437" s="89"/>
      <c r="Y437" s="89"/>
      <c r="Z437" s="89"/>
    </row>
    <row r="438" spans="3:26" ht="24">
      <c r="C438" s="162"/>
      <c r="D438" s="490" t="s">
        <v>433</v>
      </c>
      <c r="E438" s="1453">
        <v>0.92</v>
      </c>
      <c r="F438" s="1453">
        <v>0</v>
      </c>
      <c r="G438" s="1453">
        <v>0</v>
      </c>
      <c r="H438" s="834" t="s">
        <v>913</v>
      </c>
      <c r="I438" s="840"/>
      <c r="J438" s="1454"/>
      <c r="K438" s="1455"/>
      <c r="L438" s="1456"/>
      <c r="M438" s="207"/>
      <c r="N438" s="162"/>
      <c r="O438" s="89"/>
      <c r="P438" s="89"/>
      <c r="Q438" s="89"/>
      <c r="R438" s="89"/>
      <c r="S438" s="89"/>
      <c r="T438" s="89"/>
      <c r="U438" s="89"/>
      <c r="V438" s="89"/>
      <c r="W438" s="89"/>
      <c r="X438" s="89"/>
      <c r="Y438" s="89"/>
      <c r="Z438" s="89"/>
    </row>
    <row r="439" spans="3:26" ht="24">
      <c r="C439" s="162"/>
      <c r="D439" s="490" t="s">
        <v>434</v>
      </c>
      <c r="E439" s="1453">
        <v>0.7</v>
      </c>
      <c r="F439" s="1453">
        <v>0</v>
      </c>
      <c r="G439" s="1453">
        <v>0</v>
      </c>
      <c r="H439" s="832"/>
      <c r="I439" s="840"/>
      <c r="J439" s="1454"/>
      <c r="K439" s="1455"/>
      <c r="L439" s="1456"/>
      <c r="M439" s="207"/>
      <c r="N439" s="162"/>
      <c r="O439" s="89"/>
      <c r="P439" s="89"/>
      <c r="Q439" s="89"/>
      <c r="R439" s="89"/>
      <c r="S439" s="89"/>
      <c r="T439" s="89"/>
      <c r="U439" s="89"/>
      <c r="V439" s="89"/>
      <c r="W439" s="89"/>
      <c r="X439" s="89"/>
      <c r="Y439" s="89"/>
      <c r="Z439" s="89"/>
    </row>
    <row r="440" spans="3:26" ht="24">
      <c r="C440" s="162"/>
      <c r="D440" s="490" t="s">
        <v>435</v>
      </c>
      <c r="E440" s="1457">
        <v>0.95833333333333337</v>
      </c>
      <c r="F440" s="1457">
        <v>0</v>
      </c>
      <c r="G440" s="1457">
        <v>0</v>
      </c>
      <c r="H440" s="832"/>
      <c r="I440" s="840"/>
      <c r="J440" s="1458">
        <v>6.25E-2</v>
      </c>
      <c r="K440" s="1458"/>
      <c r="L440" s="1459"/>
      <c r="M440" s="463">
        <v>0.95833333333333337</v>
      </c>
      <c r="N440" s="162"/>
      <c r="O440" s="89"/>
      <c r="P440" s="89"/>
      <c r="Q440" s="89"/>
      <c r="R440" s="89"/>
      <c r="S440" s="89"/>
      <c r="T440" s="89"/>
      <c r="U440" s="89"/>
      <c r="V440" s="89"/>
      <c r="W440" s="89"/>
      <c r="X440" s="89"/>
      <c r="Y440" s="89"/>
      <c r="Z440" s="89"/>
    </row>
    <row r="441" spans="3:26" ht="24">
      <c r="C441" s="162"/>
      <c r="D441" s="490" t="s">
        <v>436</v>
      </c>
      <c r="E441" s="175" t="s">
        <v>29</v>
      </c>
      <c r="F441" s="175" t="s">
        <v>28</v>
      </c>
      <c r="G441" s="175" t="s">
        <v>27</v>
      </c>
      <c r="H441" s="832" t="s">
        <v>793</v>
      </c>
      <c r="I441" s="840"/>
      <c r="J441" s="175"/>
      <c r="K441" s="175"/>
      <c r="L441" s="833"/>
      <c r="M441" s="207"/>
      <c r="N441" s="162"/>
      <c r="O441" s="89"/>
      <c r="P441" s="89"/>
      <c r="Q441" s="89"/>
      <c r="R441" s="89"/>
      <c r="S441" s="89"/>
      <c r="T441" s="89"/>
      <c r="U441" s="89"/>
      <c r="V441" s="89"/>
      <c r="W441" s="89"/>
      <c r="X441" s="89"/>
      <c r="Y441" s="89"/>
      <c r="Z441" s="89"/>
    </row>
    <row r="442" spans="3:26" ht="23">
      <c r="C442" s="162"/>
      <c r="D442" s="497">
        <v>45502</v>
      </c>
      <c r="E442" s="176">
        <v>0.5</v>
      </c>
      <c r="F442" s="176">
        <v>0.47</v>
      </c>
      <c r="G442" s="176">
        <v>0.57999999999999996</v>
      </c>
      <c r="H442" s="837">
        <v>0.95833333333333337</v>
      </c>
      <c r="I442" s="841"/>
      <c r="J442" s="842"/>
      <c r="K442" s="842"/>
      <c r="L442" s="843"/>
      <c r="M442" s="464"/>
      <c r="N442" s="162"/>
      <c r="O442" s="89"/>
      <c r="P442" s="89"/>
      <c r="Q442" s="89"/>
      <c r="R442" s="89"/>
      <c r="S442" s="89"/>
      <c r="T442" s="89"/>
      <c r="U442" s="89"/>
      <c r="V442" s="89"/>
      <c r="W442" s="89"/>
      <c r="X442" s="89"/>
      <c r="Y442" s="89"/>
      <c r="Z442" s="89"/>
    </row>
    <row r="443" spans="3:26" ht="23">
      <c r="C443" s="162"/>
      <c r="D443" s="497">
        <v>45411</v>
      </c>
      <c r="E443" s="176">
        <v>0.43</v>
      </c>
      <c r="F443" s="176">
        <v>0.41</v>
      </c>
      <c r="G443" s="176">
        <v>0.6</v>
      </c>
      <c r="H443" s="837">
        <v>0.95833333333333337</v>
      </c>
      <c r="I443" s="841"/>
      <c r="J443" s="842"/>
      <c r="K443" s="842"/>
      <c r="L443" s="843"/>
      <c r="M443" s="464"/>
      <c r="N443" s="162"/>
      <c r="O443" s="89"/>
      <c r="P443" s="89"/>
      <c r="Q443" s="89"/>
      <c r="R443" s="89"/>
      <c r="S443" s="89"/>
      <c r="T443" s="89"/>
      <c r="U443" s="89"/>
      <c r="V443" s="89"/>
      <c r="W443" s="89"/>
      <c r="X443" s="89"/>
      <c r="Y443" s="89"/>
      <c r="Z443" s="89"/>
    </row>
    <row r="444" spans="3:26" ht="23">
      <c r="C444" s="162"/>
      <c r="D444" s="497">
        <v>45320</v>
      </c>
      <c r="E444" s="176">
        <v>0.59</v>
      </c>
      <c r="F444" s="176">
        <v>0.57999999999999996</v>
      </c>
      <c r="G444" s="176">
        <v>0.69</v>
      </c>
      <c r="H444" s="837">
        <v>0.95833333333333337</v>
      </c>
      <c r="I444" s="841"/>
      <c r="J444" s="842"/>
      <c r="K444" s="842"/>
      <c r="L444" s="843"/>
      <c r="M444" s="464"/>
      <c r="N444" s="162"/>
      <c r="O444" s="89"/>
      <c r="P444" s="89"/>
      <c r="Q444" s="89"/>
      <c r="R444" s="89"/>
      <c r="S444" s="89"/>
      <c r="T444" s="89"/>
      <c r="U444" s="89"/>
      <c r="V444" s="89"/>
      <c r="W444" s="89"/>
      <c r="X444" s="89"/>
      <c r="Y444" s="89"/>
      <c r="Z444" s="89"/>
    </row>
    <row r="445" spans="3:26" ht="23">
      <c r="C445" s="162"/>
      <c r="D445" s="497">
        <v>45229</v>
      </c>
      <c r="E445" s="176">
        <v>0.53</v>
      </c>
      <c r="F445" s="176">
        <v>0.49</v>
      </c>
      <c r="G445" s="176">
        <v>0.67</v>
      </c>
      <c r="H445" s="837">
        <v>0.95833333333333337</v>
      </c>
      <c r="I445" s="841"/>
      <c r="J445" s="842"/>
      <c r="K445" s="842"/>
      <c r="L445" s="843"/>
      <c r="M445" s="464"/>
      <c r="N445" s="162"/>
      <c r="O445" s="89"/>
      <c r="P445" s="89"/>
      <c r="Q445" s="89"/>
      <c r="R445" s="89"/>
      <c r="S445" s="89"/>
      <c r="T445" s="89"/>
      <c r="U445" s="89"/>
      <c r="V445" s="89"/>
      <c r="W445" s="89"/>
      <c r="X445" s="89"/>
      <c r="Y445" s="89"/>
      <c r="Z445" s="89"/>
    </row>
    <row r="446" spans="3:26" ht="23">
      <c r="C446" s="162"/>
      <c r="D446" s="497">
        <v>45138</v>
      </c>
      <c r="E446" s="176">
        <v>0.4</v>
      </c>
      <c r="F446" s="176">
        <v>0.4</v>
      </c>
      <c r="G446" s="176">
        <v>1.05</v>
      </c>
      <c r="H446" s="837">
        <v>0.95833333333333337</v>
      </c>
      <c r="I446" s="841"/>
      <c r="J446" s="842"/>
      <c r="K446" s="842"/>
      <c r="L446" s="843"/>
      <c r="M446" s="464"/>
      <c r="N446" s="162"/>
      <c r="O446" s="89"/>
      <c r="P446" s="89"/>
      <c r="Q446" s="89"/>
      <c r="R446" s="89"/>
      <c r="S446" s="89"/>
      <c r="T446" s="89"/>
      <c r="U446" s="89"/>
      <c r="V446" s="89"/>
      <c r="W446" s="89"/>
      <c r="X446" s="89"/>
      <c r="Y446" s="89"/>
      <c r="Z446" s="89"/>
    </row>
    <row r="447" spans="3:26" ht="23">
      <c r="C447" s="162"/>
      <c r="D447" s="497">
        <v>45047</v>
      </c>
      <c r="E447" s="176">
        <v>0.43</v>
      </c>
      <c r="F447" s="176">
        <v>0.42</v>
      </c>
      <c r="G447" s="176">
        <v>1.1299999999999999</v>
      </c>
      <c r="H447" s="837">
        <v>0.95833333333333337</v>
      </c>
      <c r="I447" s="841"/>
      <c r="J447" s="842"/>
      <c r="K447" s="842"/>
      <c r="L447" s="843"/>
      <c r="M447" s="464"/>
      <c r="N447" s="162"/>
      <c r="O447" s="89"/>
      <c r="P447" s="89"/>
      <c r="Q447" s="89"/>
      <c r="R447" s="89"/>
      <c r="S447" s="89"/>
      <c r="T447" s="89"/>
      <c r="U447" s="89"/>
      <c r="V447" s="89"/>
      <c r="W447" s="89"/>
      <c r="X447" s="89"/>
      <c r="Y447" s="89"/>
      <c r="Z447" s="89"/>
    </row>
    <row r="448" spans="3:26" ht="24">
      <c r="C448" s="162" t="s">
        <v>105</v>
      </c>
      <c r="D448" s="496" t="s">
        <v>30</v>
      </c>
      <c r="E448" s="1460" t="s">
        <v>870</v>
      </c>
      <c r="F448" s="1460">
        <v>0</v>
      </c>
      <c r="G448" s="1460">
        <v>0</v>
      </c>
      <c r="H448" s="832" t="s">
        <v>790</v>
      </c>
      <c r="I448" s="840"/>
      <c r="J448" s="1461" t="s">
        <v>430</v>
      </c>
      <c r="K448" s="1462"/>
      <c r="L448" s="1463"/>
      <c r="M448" s="373" t="s">
        <v>431</v>
      </c>
      <c r="N448" s="162" t="s">
        <v>105</v>
      </c>
      <c r="O448" s="114" t="s">
        <v>800</v>
      </c>
      <c r="P448" s="114" t="s">
        <v>801</v>
      </c>
      <c r="Q448" s="114" t="s">
        <v>802</v>
      </c>
      <c r="R448" s="114" t="s">
        <v>803</v>
      </c>
      <c r="S448" s="114" t="s">
        <v>804</v>
      </c>
      <c r="T448" s="114" t="s">
        <v>805</v>
      </c>
      <c r="U448" s="114" t="s">
        <v>806</v>
      </c>
      <c r="V448" s="114" t="s">
        <v>807</v>
      </c>
      <c r="W448" s="114" t="s">
        <v>808</v>
      </c>
      <c r="X448" s="114" t="s">
        <v>809</v>
      </c>
      <c r="Y448" s="114" t="s">
        <v>75</v>
      </c>
      <c r="Z448" s="114" t="s">
        <v>75</v>
      </c>
    </row>
    <row r="449" spans="3:26" ht="24">
      <c r="C449" s="162"/>
      <c r="D449" s="490" t="s">
        <v>432</v>
      </c>
      <c r="E449" s="1464"/>
      <c r="F449" s="1464"/>
      <c r="G449" s="1464"/>
      <c r="H449" s="834" t="s">
        <v>913</v>
      </c>
      <c r="I449" s="840"/>
      <c r="J449" s="1465"/>
      <c r="K449" s="1466"/>
      <c r="L449" s="1467"/>
      <c r="M449" s="207"/>
      <c r="N449" s="162"/>
      <c r="O449" s="115" t="s">
        <v>810</v>
      </c>
      <c r="P449" s="116">
        <v>0.1</v>
      </c>
      <c r="Q449" s="117">
        <v>7.81</v>
      </c>
      <c r="R449" s="118">
        <v>1</v>
      </c>
      <c r="S449" s="119"/>
      <c r="T449" s="115">
        <v>12.715</v>
      </c>
      <c r="U449" s="117">
        <v>-4.6399999999999997</v>
      </c>
      <c r="V449" s="116">
        <v>37</v>
      </c>
      <c r="W449" s="119"/>
      <c r="X449" s="119"/>
      <c r="Y449" s="120"/>
      <c r="Z449" s="120"/>
    </row>
    <row r="450" spans="3:26" ht="24">
      <c r="C450" s="162"/>
      <c r="D450" s="490" t="s">
        <v>433</v>
      </c>
      <c r="E450" s="1453">
        <v>1.84</v>
      </c>
      <c r="F450" s="1453">
        <v>0</v>
      </c>
      <c r="G450" s="1453">
        <v>0</v>
      </c>
      <c r="H450" s="834" t="s">
        <v>913</v>
      </c>
      <c r="I450" s="840"/>
      <c r="J450" s="1454"/>
      <c r="K450" s="1455"/>
      <c r="L450" s="1456"/>
      <c r="M450" s="207"/>
      <c r="N450" s="162"/>
      <c r="O450" s="121"/>
      <c r="P450" s="121"/>
      <c r="Q450" s="121"/>
      <c r="R450" s="122"/>
      <c r="S450" s="123"/>
      <c r="T450" s="121"/>
      <c r="U450" s="121"/>
      <c r="V450" s="121"/>
      <c r="W450" s="123"/>
      <c r="X450" s="123"/>
      <c r="Y450" s="124"/>
      <c r="Z450" s="124"/>
    </row>
    <row r="451" spans="3:26" ht="24">
      <c r="C451" s="162"/>
      <c r="D451" s="490" t="s">
        <v>434</v>
      </c>
      <c r="E451" s="1453">
        <v>1.55</v>
      </c>
      <c r="F451" s="1453">
        <v>0</v>
      </c>
      <c r="G451" s="1453">
        <v>0</v>
      </c>
      <c r="H451" s="832"/>
      <c r="I451" s="840"/>
      <c r="J451" s="1454"/>
      <c r="K451" s="1455"/>
      <c r="L451" s="1456"/>
      <c r="M451" s="207"/>
      <c r="N451" s="162"/>
      <c r="O451" s="125" t="s">
        <v>811</v>
      </c>
      <c r="P451" s="126">
        <v>0.5</v>
      </c>
      <c r="Q451" s="127">
        <v>14.205</v>
      </c>
      <c r="R451" s="128">
        <v>3</v>
      </c>
      <c r="S451" s="129">
        <v>1</v>
      </c>
      <c r="T451" s="125">
        <v>24.307500000000001</v>
      </c>
      <c r="U451" s="130">
        <v>-44.351867872591427</v>
      </c>
      <c r="V451" s="131">
        <v>185</v>
      </c>
      <c r="W451" s="132">
        <v>2.95</v>
      </c>
      <c r="X451" s="133">
        <v>130.83801022414471</v>
      </c>
      <c r="Y451" s="134"/>
      <c r="Z451" s="134"/>
    </row>
    <row r="452" spans="3:26" ht="24">
      <c r="C452" s="162"/>
      <c r="D452" s="490" t="s">
        <v>435</v>
      </c>
      <c r="E452" s="1457">
        <v>0.95833333333333337</v>
      </c>
      <c r="F452" s="1457">
        <v>0</v>
      </c>
      <c r="G452" s="1457">
        <v>0</v>
      </c>
      <c r="H452" s="832"/>
      <c r="I452" s="840"/>
      <c r="J452" s="1458">
        <v>6.25E-2</v>
      </c>
      <c r="K452" s="1458"/>
      <c r="L452" s="1459"/>
      <c r="M452" s="463">
        <v>0.95833333333333337</v>
      </c>
      <c r="N452" s="162"/>
      <c r="O452" s="135" t="s">
        <v>812</v>
      </c>
      <c r="P452" s="136">
        <v>0.1</v>
      </c>
      <c r="Q452" s="137"/>
      <c r="R452" s="138">
        <v>3</v>
      </c>
      <c r="S452" s="139">
        <v>1</v>
      </c>
      <c r="T452" s="135"/>
      <c r="U452" s="140">
        <v>0</v>
      </c>
      <c r="V452" s="141">
        <v>37</v>
      </c>
      <c r="W452" s="142">
        <v>2.3650000000000002</v>
      </c>
      <c r="X452" s="143">
        <v>0</v>
      </c>
      <c r="Y452" s="144"/>
      <c r="Z452" s="144"/>
    </row>
    <row r="453" spans="3:26" ht="24">
      <c r="C453" s="162"/>
      <c r="D453" s="490" t="s">
        <v>436</v>
      </c>
      <c r="E453" s="175" t="s">
        <v>29</v>
      </c>
      <c r="F453" s="175" t="s">
        <v>28</v>
      </c>
      <c r="G453" s="175" t="s">
        <v>27</v>
      </c>
      <c r="H453" s="832" t="s">
        <v>793</v>
      </c>
      <c r="I453" s="840"/>
      <c r="J453" s="175"/>
      <c r="K453" s="175"/>
      <c r="L453" s="833"/>
      <c r="M453" s="207"/>
      <c r="N453" s="162"/>
      <c r="O453" s="123"/>
      <c r="P453" s="145"/>
      <c r="Q453" s="123"/>
      <c r="R453" s="123"/>
      <c r="S453" s="123"/>
      <c r="T453" s="123"/>
      <c r="U453" s="146"/>
      <c r="V453" s="147"/>
      <c r="W453" s="123"/>
      <c r="X453" s="146"/>
      <c r="Y453" s="124"/>
      <c r="Z453" s="124"/>
    </row>
    <row r="454" spans="3:26" ht="23">
      <c r="C454" s="162"/>
      <c r="D454" s="497">
        <v>45495</v>
      </c>
      <c r="E454" s="176">
        <v>1.89</v>
      </c>
      <c r="F454" s="176">
        <v>1.85</v>
      </c>
      <c r="G454" s="176">
        <v>1.44</v>
      </c>
      <c r="H454" s="837">
        <v>0.95833333333333337</v>
      </c>
      <c r="I454" s="841"/>
      <c r="J454" s="842"/>
      <c r="K454" s="842"/>
      <c r="L454" s="843"/>
      <c r="M454" s="464"/>
      <c r="N454" s="162"/>
      <c r="O454" s="148"/>
      <c r="P454" s="124"/>
      <c r="Q454" s="148"/>
      <c r="R454" s="148"/>
      <c r="S454" s="148"/>
      <c r="T454" s="148"/>
      <c r="U454" s="148"/>
      <c r="V454" s="148"/>
      <c r="W454" s="148"/>
      <c r="X454" s="148"/>
      <c r="Y454" s="124"/>
      <c r="Z454" s="124"/>
    </row>
    <row r="455" spans="3:26" ht="23">
      <c r="C455" s="162"/>
      <c r="D455" s="497">
        <v>45406</v>
      </c>
      <c r="E455" s="176">
        <v>1.89</v>
      </c>
      <c r="F455" s="176">
        <v>1.49</v>
      </c>
      <c r="G455" s="176">
        <v>1.17</v>
      </c>
      <c r="H455" s="837">
        <v>0.95833333333333337</v>
      </c>
      <c r="I455" s="841"/>
      <c r="J455" s="842"/>
      <c r="K455" s="842"/>
      <c r="L455" s="843"/>
      <c r="M455" s="464"/>
      <c r="N455" s="162"/>
      <c r="O455" s="115" t="s">
        <v>813</v>
      </c>
      <c r="P455" s="116">
        <v>0.25</v>
      </c>
      <c r="Q455" s="149">
        <v>14.205</v>
      </c>
      <c r="R455" s="150">
        <v>3</v>
      </c>
      <c r="S455" s="119">
        <v>1</v>
      </c>
      <c r="T455" s="125">
        <v>24.307500000000001</v>
      </c>
      <c r="U455" s="151">
        <v>-22.175933936295714</v>
      </c>
      <c r="V455" s="152">
        <v>92.5</v>
      </c>
      <c r="W455" s="119">
        <v>2.95</v>
      </c>
      <c r="X455" s="153">
        <v>65.419005112072355</v>
      </c>
      <c r="Y455" s="154"/>
      <c r="Z455" s="154"/>
    </row>
    <row r="456" spans="3:26" ht="23">
      <c r="C456" s="162"/>
      <c r="D456" s="497">
        <v>45320</v>
      </c>
      <c r="E456" s="176">
        <v>1.64</v>
      </c>
      <c r="F456" s="176">
        <v>1.6</v>
      </c>
      <c r="G456" s="176">
        <v>1.05</v>
      </c>
      <c r="H456" s="837">
        <v>0.95833333333333337</v>
      </c>
      <c r="I456" s="841"/>
      <c r="J456" s="842"/>
      <c r="K456" s="842"/>
      <c r="L456" s="843"/>
      <c r="M456" s="464"/>
      <c r="N456" s="162"/>
      <c r="O456" s="115"/>
      <c r="P456" s="116"/>
      <c r="Q456" s="149"/>
      <c r="R456" s="150"/>
      <c r="S456" s="119"/>
      <c r="T456" s="116"/>
      <c r="U456" s="151"/>
      <c r="V456" s="152"/>
      <c r="W456" s="119"/>
      <c r="X456" s="153"/>
      <c r="Y456" s="154"/>
      <c r="Z456" s="154"/>
    </row>
    <row r="457" spans="3:26" ht="23">
      <c r="C457" s="162"/>
      <c r="D457" s="497">
        <v>45222</v>
      </c>
      <c r="E457" s="176">
        <v>1.55</v>
      </c>
      <c r="F457" s="176">
        <v>1.45</v>
      </c>
      <c r="G457" s="176">
        <v>1.06</v>
      </c>
      <c r="H457" s="837">
        <v>0.95833333333333337</v>
      </c>
      <c r="I457" s="841"/>
      <c r="J457" s="842"/>
      <c r="K457" s="842"/>
      <c r="L457" s="843"/>
      <c r="M457" s="464"/>
      <c r="N457" s="162"/>
      <c r="O457" s="115" t="s">
        <v>816</v>
      </c>
      <c r="P457" s="116"/>
      <c r="Q457" s="149"/>
      <c r="R457" s="150"/>
      <c r="S457" s="119"/>
      <c r="T457" s="116"/>
      <c r="U457" s="151">
        <v>0</v>
      </c>
      <c r="V457" s="152"/>
      <c r="W457" s="119"/>
      <c r="X457" s="153">
        <v>0</v>
      </c>
      <c r="Y457" s="154"/>
      <c r="Z457" s="154"/>
    </row>
    <row r="458" spans="3:26" ht="23">
      <c r="C458" s="162"/>
      <c r="D458" s="497">
        <v>45131</v>
      </c>
      <c r="E458" s="176">
        <v>1.44</v>
      </c>
      <c r="F458" s="176">
        <v>1.32</v>
      </c>
      <c r="G458" s="176">
        <v>1.21</v>
      </c>
      <c r="H458" s="837">
        <v>0.95833333333333337</v>
      </c>
      <c r="I458" s="841"/>
      <c r="J458" s="842"/>
      <c r="K458" s="842"/>
      <c r="L458" s="843"/>
      <c r="M458" s="464"/>
      <c r="N458" s="162"/>
      <c r="O458" s="89"/>
      <c r="P458" s="89"/>
      <c r="Q458" s="89"/>
      <c r="R458" s="89"/>
      <c r="S458" s="89"/>
      <c r="T458" s="89"/>
      <c r="U458" s="89"/>
      <c r="V458" s="89"/>
      <c r="W458" s="89"/>
      <c r="X458" s="89"/>
      <c r="Y458" s="89"/>
      <c r="Z458" s="89"/>
    </row>
    <row r="459" spans="3:26" ht="23">
      <c r="C459" s="162"/>
      <c r="D459" s="497">
        <v>45040</v>
      </c>
      <c r="E459" s="176">
        <v>1.17</v>
      </c>
      <c r="F459" s="176">
        <v>1.06</v>
      </c>
      <c r="G459" s="176">
        <v>1.23</v>
      </c>
      <c r="H459" s="837">
        <v>0.95833333333333337</v>
      </c>
      <c r="I459" s="841"/>
      <c r="J459" s="842"/>
      <c r="K459" s="842"/>
      <c r="L459" s="843"/>
      <c r="M459" s="464"/>
      <c r="N459" s="162"/>
      <c r="O459" s="89"/>
      <c r="P459" s="89"/>
      <c r="Q459" s="89"/>
      <c r="R459" s="89"/>
      <c r="S459" s="89"/>
      <c r="T459" s="89"/>
      <c r="U459" s="89"/>
      <c r="V459" s="89"/>
      <c r="W459" s="89"/>
      <c r="X459" s="89"/>
      <c r="Y459" s="89"/>
      <c r="Z459" s="89"/>
    </row>
    <row r="460" spans="3:26" ht="24">
      <c r="C460" s="162" t="s">
        <v>105</v>
      </c>
      <c r="D460" s="496" t="s">
        <v>30</v>
      </c>
      <c r="E460" s="1460" t="s">
        <v>871</v>
      </c>
      <c r="F460" s="1460">
        <v>0</v>
      </c>
      <c r="G460" s="1460">
        <v>0</v>
      </c>
      <c r="H460" s="832" t="s">
        <v>790</v>
      </c>
      <c r="I460" s="840"/>
      <c r="J460" s="1461" t="s">
        <v>430</v>
      </c>
      <c r="K460" s="1462"/>
      <c r="L460" s="1463"/>
      <c r="M460" s="373" t="s">
        <v>431</v>
      </c>
      <c r="N460" s="162" t="s">
        <v>105</v>
      </c>
      <c r="O460" s="114" t="s">
        <v>800</v>
      </c>
      <c r="P460" s="114" t="s">
        <v>801</v>
      </c>
      <c r="Q460" s="114" t="s">
        <v>802</v>
      </c>
      <c r="R460" s="114" t="s">
        <v>803</v>
      </c>
      <c r="S460" s="114" t="s">
        <v>804</v>
      </c>
      <c r="T460" s="114" t="s">
        <v>805</v>
      </c>
      <c r="U460" s="114" t="s">
        <v>806</v>
      </c>
      <c r="V460" s="114" t="s">
        <v>807</v>
      </c>
      <c r="W460" s="114" t="s">
        <v>808</v>
      </c>
      <c r="X460" s="114" t="s">
        <v>809</v>
      </c>
      <c r="Y460" s="114" t="s">
        <v>75</v>
      </c>
      <c r="Z460" s="114" t="s">
        <v>75</v>
      </c>
    </row>
    <row r="461" spans="3:26" ht="24">
      <c r="C461" s="162"/>
      <c r="D461" s="490" t="s">
        <v>432</v>
      </c>
      <c r="E461" s="1464"/>
      <c r="F461" s="1464"/>
      <c r="G461" s="1464"/>
      <c r="H461" s="834" t="s">
        <v>913</v>
      </c>
      <c r="I461" s="840"/>
      <c r="J461" s="1465"/>
      <c r="K461" s="1466"/>
      <c r="L461" s="1467"/>
      <c r="M461" s="207"/>
      <c r="N461" s="162"/>
      <c r="O461" s="115" t="s">
        <v>810</v>
      </c>
      <c r="P461" s="116">
        <v>0.1</v>
      </c>
      <c r="Q461" s="117">
        <v>6</v>
      </c>
      <c r="R461" s="118">
        <v>1</v>
      </c>
      <c r="S461" s="119"/>
      <c r="T461" s="115">
        <v>10</v>
      </c>
      <c r="U461" s="117">
        <v>-3.67</v>
      </c>
      <c r="V461" s="116">
        <v>37</v>
      </c>
      <c r="W461" s="119"/>
      <c r="X461" s="119"/>
      <c r="Y461" s="120"/>
      <c r="Z461" s="120"/>
    </row>
    <row r="462" spans="3:26" ht="24">
      <c r="C462" s="162"/>
      <c r="D462" s="490" t="s">
        <v>433</v>
      </c>
      <c r="E462" s="1453">
        <v>3.1</v>
      </c>
      <c r="F462" s="1453">
        <v>0</v>
      </c>
      <c r="G462" s="1453">
        <v>0</v>
      </c>
      <c r="H462" s="834" t="s">
        <v>913</v>
      </c>
      <c r="I462" s="840"/>
      <c r="J462" s="1454"/>
      <c r="K462" s="1455"/>
      <c r="L462" s="1456"/>
      <c r="M462" s="207"/>
      <c r="N462" s="162"/>
      <c r="O462" s="121"/>
      <c r="P462" s="121"/>
      <c r="Q462" s="121"/>
      <c r="R462" s="122"/>
      <c r="S462" s="123"/>
      <c r="T462" s="121"/>
      <c r="U462" s="121"/>
      <c r="V462" s="121"/>
      <c r="W462" s="123"/>
      <c r="X462" s="123"/>
      <c r="Y462" s="124"/>
      <c r="Z462" s="124"/>
    </row>
    <row r="463" spans="3:26" ht="24">
      <c r="C463" s="162"/>
      <c r="D463" s="490" t="s">
        <v>434</v>
      </c>
      <c r="E463" s="1453">
        <v>2.99</v>
      </c>
      <c r="F463" s="1453">
        <v>0</v>
      </c>
      <c r="G463" s="1453">
        <v>0</v>
      </c>
      <c r="H463" s="832"/>
      <c r="I463" s="840"/>
      <c r="J463" s="1454"/>
      <c r="K463" s="1455"/>
      <c r="L463" s="1456"/>
      <c r="M463" s="207"/>
      <c r="N463" s="162"/>
      <c r="O463" s="125" t="s">
        <v>811</v>
      </c>
      <c r="P463" s="126">
        <v>0.1</v>
      </c>
      <c r="Q463" s="127">
        <v>32.925699999999999</v>
      </c>
      <c r="R463" s="128">
        <v>1</v>
      </c>
      <c r="S463" s="129">
        <v>1</v>
      </c>
      <c r="T463" s="125">
        <v>50.388549999999995</v>
      </c>
      <c r="U463" s="130">
        <v>-18.492597849999999</v>
      </c>
      <c r="V463" s="131">
        <v>37</v>
      </c>
      <c r="W463" s="132">
        <v>3.72</v>
      </c>
      <c r="X463" s="133">
        <v>68.792464002000003</v>
      </c>
      <c r="Y463" s="134"/>
      <c r="Z463" s="134"/>
    </row>
    <row r="464" spans="3:26" ht="24">
      <c r="C464" s="162"/>
      <c r="D464" s="490" t="s">
        <v>435</v>
      </c>
      <c r="E464" s="1457">
        <v>0.95833333333333337</v>
      </c>
      <c r="F464" s="1457">
        <v>0</v>
      </c>
      <c r="G464" s="1457">
        <v>0</v>
      </c>
      <c r="H464" s="832"/>
      <c r="I464" s="840"/>
      <c r="J464" s="1458">
        <v>6.25E-2</v>
      </c>
      <c r="K464" s="1458"/>
      <c r="L464" s="1459"/>
      <c r="M464" s="463">
        <v>0.95833333333333337</v>
      </c>
      <c r="N464" s="162"/>
      <c r="O464" s="135" t="s">
        <v>812</v>
      </c>
      <c r="P464" s="171">
        <v>0.1</v>
      </c>
      <c r="Q464" s="156">
        <v>32.925699999999999</v>
      </c>
      <c r="R464" s="172">
        <v>1</v>
      </c>
      <c r="S464" s="181">
        <v>1</v>
      </c>
      <c r="T464" s="173">
        <v>50.388549999999995</v>
      </c>
      <c r="U464" s="140">
        <v>-18.492597849999999</v>
      </c>
      <c r="V464" s="141">
        <v>91.8</v>
      </c>
      <c r="W464" s="182">
        <v>3.12</v>
      </c>
      <c r="X464" s="143">
        <v>57.696905291999997</v>
      </c>
      <c r="Y464" s="144"/>
      <c r="Z464" s="144"/>
    </row>
    <row r="465" spans="3:26" ht="24">
      <c r="C465" s="162"/>
      <c r="D465" s="490" t="s">
        <v>436</v>
      </c>
      <c r="E465" s="175" t="s">
        <v>29</v>
      </c>
      <c r="F465" s="175" t="s">
        <v>28</v>
      </c>
      <c r="G465" s="175" t="s">
        <v>27</v>
      </c>
      <c r="H465" s="832" t="s">
        <v>793</v>
      </c>
      <c r="I465" s="840"/>
      <c r="J465" s="175"/>
      <c r="K465" s="175"/>
      <c r="L465" s="833"/>
      <c r="M465" s="207"/>
      <c r="N465" s="162"/>
      <c r="O465" s="123"/>
      <c r="P465" s="145"/>
      <c r="Q465" s="123"/>
      <c r="R465" s="123"/>
      <c r="S465" s="183"/>
      <c r="T465" s="123"/>
      <c r="U465" s="146"/>
      <c r="V465" s="147"/>
      <c r="W465" s="184"/>
      <c r="X465" s="146"/>
      <c r="Y465" s="124"/>
      <c r="Z465" s="124"/>
    </row>
    <row r="466" spans="3:26" ht="23">
      <c r="C466" s="162"/>
      <c r="D466" s="497">
        <v>45503</v>
      </c>
      <c r="E466" s="176">
        <v>2.95</v>
      </c>
      <c r="F466" s="176">
        <v>2.94</v>
      </c>
      <c r="G466" s="176">
        <v>2.69</v>
      </c>
      <c r="H466" s="837">
        <v>0.95833333333333337</v>
      </c>
      <c r="I466" s="841"/>
      <c r="J466" s="842"/>
      <c r="K466" s="842"/>
      <c r="L466" s="843"/>
      <c r="M466" s="464"/>
      <c r="N466" s="162"/>
      <c r="O466" s="148"/>
      <c r="P466" s="124"/>
      <c r="Q466" s="148"/>
      <c r="R466" s="148"/>
      <c r="S466" s="183"/>
      <c r="T466" s="148"/>
      <c r="U466" s="148"/>
      <c r="V466" s="148"/>
      <c r="W466" s="186"/>
      <c r="X466" s="148"/>
      <c r="Y466" s="124"/>
      <c r="Z466" s="124"/>
    </row>
    <row r="467" spans="3:26" ht="23">
      <c r="C467" s="162"/>
      <c r="D467" s="497">
        <v>45407</v>
      </c>
      <c r="E467" s="176">
        <v>2.94</v>
      </c>
      <c r="F467" s="176">
        <v>2.94</v>
      </c>
      <c r="G467" s="176">
        <v>2.4500000000000002</v>
      </c>
      <c r="H467" s="837">
        <v>0.95833333333333337</v>
      </c>
      <c r="I467" s="841"/>
      <c r="J467" s="842"/>
      <c r="K467" s="842"/>
      <c r="L467" s="843"/>
      <c r="M467" s="464"/>
      <c r="N467" s="162"/>
      <c r="O467" s="115" t="s">
        <v>813</v>
      </c>
      <c r="P467" s="191">
        <v>0.15</v>
      </c>
      <c r="Q467" s="149">
        <v>32.925699999999999</v>
      </c>
      <c r="R467" s="150">
        <v>1</v>
      </c>
      <c r="S467" s="187">
        <v>1</v>
      </c>
      <c r="T467" s="188">
        <v>50.388549999999995</v>
      </c>
      <c r="U467" s="151">
        <v>-27.738896774999994</v>
      </c>
      <c r="V467" s="152">
        <v>137.69999999999999</v>
      </c>
      <c r="W467" s="189">
        <v>3</v>
      </c>
      <c r="X467" s="153">
        <v>83.216690324999973</v>
      </c>
      <c r="Y467" s="154" t="s">
        <v>814</v>
      </c>
      <c r="Z467" s="154" t="s">
        <v>914</v>
      </c>
    </row>
    <row r="468" spans="3:26" ht="23">
      <c r="C468" s="162"/>
      <c r="D468" s="497">
        <v>45321</v>
      </c>
      <c r="E468" s="176">
        <v>2.93</v>
      </c>
      <c r="F468" s="176">
        <v>2.78</v>
      </c>
      <c r="G468" s="176">
        <v>2.3199999999999998</v>
      </c>
      <c r="H468" s="837">
        <v>0.95833333333333337</v>
      </c>
      <c r="I468" s="841"/>
      <c r="J468" s="842"/>
      <c r="K468" s="842"/>
      <c r="L468" s="843"/>
      <c r="M468" s="464"/>
      <c r="N468" s="162"/>
      <c r="O468" s="115"/>
      <c r="P468" s="116"/>
      <c r="Q468" s="149"/>
      <c r="R468" s="150"/>
      <c r="S468" s="119"/>
      <c r="T468" s="116"/>
      <c r="U468" s="151"/>
      <c r="V468" s="152"/>
      <c r="W468" s="119"/>
      <c r="X468" s="153"/>
      <c r="Y468" s="154"/>
      <c r="Z468" s="154"/>
    </row>
    <row r="469" spans="3:26" ht="23">
      <c r="C469" s="162"/>
      <c r="D469" s="497">
        <v>45223</v>
      </c>
      <c r="E469" s="176">
        <v>2.99</v>
      </c>
      <c r="F469" s="176">
        <v>2.65</v>
      </c>
      <c r="G469" s="176">
        <v>2.35</v>
      </c>
      <c r="H469" s="837">
        <v>0.95833333333333337</v>
      </c>
      <c r="I469" s="841"/>
      <c r="J469" s="842"/>
      <c r="K469" s="842"/>
      <c r="L469" s="843"/>
      <c r="M469" s="464"/>
      <c r="N469" s="162"/>
      <c r="O469" s="115" t="s">
        <v>816</v>
      </c>
      <c r="P469" s="116"/>
      <c r="Q469" s="149"/>
      <c r="R469" s="150"/>
      <c r="S469" s="119"/>
      <c r="T469" s="116"/>
      <c r="U469" s="151">
        <v>0</v>
      </c>
      <c r="V469" s="152"/>
      <c r="W469" s="119"/>
      <c r="X469" s="153">
        <v>0</v>
      </c>
      <c r="Y469" s="154"/>
      <c r="Z469" s="154"/>
    </row>
    <row r="470" spans="3:26" ht="23">
      <c r="C470" s="162"/>
      <c r="D470" s="497">
        <v>45132</v>
      </c>
      <c r="E470" s="176">
        <v>2.69</v>
      </c>
      <c r="F470" s="176">
        <v>2.5499999999999998</v>
      </c>
      <c r="G470" s="176">
        <v>2.23</v>
      </c>
      <c r="H470" s="837">
        <v>0.95833333333333337</v>
      </c>
      <c r="I470" s="841"/>
      <c r="J470" s="842"/>
      <c r="K470" s="842"/>
      <c r="L470" s="843"/>
      <c r="M470" s="464"/>
      <c r="N470" s="162"/>
      <c r="O470" s="89"/>
      <c r="P470" s="89"/>
      <c r="Q470" s="89"/>
      <c r="R470" s="89"/>
      <c r="S470" s="89"/>
      <c r="T470" s="89"/>
      <c r="U470" s="89"/>
      <c r="V470" s="89"/>
      <c r="W470" s="89"/>
      <c r="X470" s="89"/>
      <c r="Y470" s="89"/>
      <c r="Z470" s="89"/>
    </row>
    <row r="471" spans="3:26" ht="23">
      <c r="C471" s="162"/>
      <c r="D471" s="497">
        <v>45041</v>
      </c>
      <c r="E471" s="176">
        <v>2.4500000000000002</v>
      </c>
      <c r="F471" s="176">
        <v>2.2400000000000002</v>
      </c>
      <c r="G471" s="176">
        <v>2.2200000000000002</v>
      </c>
      <c r="H471" s="837">
        <v>0.95833333333333337</v>
      </c>
      <c r="I471" s="841"/>
      <c r="J471" s="842"/>
      <c r="K471" s="842"/>
      <c r="L471" s="843"/>
      <c r="M471" s="464"/>
      <c r="N471" s="162"/>
      <c r="O471" s="89"/>
      <c r="P471" s="89"/>
      <c r="Q471" s="89"/>
      <c r="R471" s="89"/>
      <c r="S471" s="89"/>
      <c r="T471" s="89"/>
      <c r="U471" s="89"/>
      <c r="V471" s="89"/>
      <c r="W471" s="89"/>
      <c r="X471" s="89"/>
      <c r="Y471" s="89"/>
      <c r="Z471" s="89"/>
    </row>
    <row r="472" spans="3:26" ht="24">
      <c r="C472" s="162" t="s">
        <v>105</v>
      </c>
      <c r="D472" s="496" t="s">
        <v>30</v>
      </c>
      <c r="E472" s="1460" t="s">
        <v>872</v>
      </c>
      <c r="F472" s="1460">
        <v>0</v>
      </c>
      <c r="G472" s="1460">
        <v>0</v>
      </c>
      <c r="H472" s="832" t="s">
        <v>790</v>
      </c>
      <c r="I472" s="840"/>
      <c r="J472" s="1461" t="s">
        <v>430</v>
      </c>
      <c r="K472" s="1462"/>
      <c r="L472" s="1463"/>
      <c r="M472" s="373" t="s">
        <v>431</v>
      </c>
      <c r="N472" s="162" t="s">
        <v>105</v>
      </c>
      <c r="O472" s="114" t="s">
        <v>800</v>
      </c>
      <c r="P472" s="114" t="s">
        <v>801</v>
      </c>
      <c r="Q472" s="114" t="s">
        <v>802</v>
      </c>
      <c r="R472" s="114" t="s">
        <v>803</v>
      </c>
      <c r="S472" s="114" t="s">
        <v>804</v>
      </c>
      <c r="T472" s="114" t="s">
        <v>805</v>
      </c>
      <c r="U472" s="114" t="s">
        <v>806</v>
      </c>
      <c r="V472" s="114" t="s">
        <v>807</v>
      </c>
      <c r="W472" s="114" t="s">
        <v>808</v>
      </c>
      <c r="X472" s="114" t="s">
        <v>809</v>
      </c>
      <c r="Y472" s="114" t="s">
        <v>75</v>
      </c>
      <c r="Z472" s="114" t="s">
        <v>75</v>
      </c>
    </row>
    <row r="473" spans="3:26" ht="24">
      <c r="C473" s="162"/>
      <c r="D473" s="490" t="s">
        <v>432</v>
      </c>
      <c r="E473" s="1464"/>
      <c r="F473" s="1464"/>
      <c r="G473" s="1464"/>
      <c r="H473" s="834" t="s">
        <v>913</v>
      </c>
      <c r="I473" s="840"/>
      <c r="J473" s="1465"/>
      <c r="K473" s="1466"/>
      <c r="L473" s="1467"/>
      <c r="M473" s="207"/>
      <c r="N473" s="162"/>
      <c r="O473" s="115" t="s">
        <v>810</v>
      </c>
      <c r="P473" s="116">
        <v>0.1</v>
      </c>
      <c r="Q473" s="117">
        <v>7.81</v>
      </c>
      <c r="R473" s="118">
        <v>1</v>
      </c>
      <c r="S473" s="119"/>
      <c r="T473" s="115">
        <v>12.715</v>
      </c>
      <c r="U473" s="117">
        <v>-4.6399999999999997</v>
      </c>
      <c r="V473" s="116">
        <v>37</v>
      </c>
      <c r="W473" s="119"/>
      <c r="X473" s="119"/>
      <c r="Y473" s="120"/>
      <c r="Z473" s="120"/>
    </row>
    <row r="474" spans="3:26" ht="24">
      <c r="C474" s="162"/>
      <c r="D474" s="490" t="s">
        <v>433</v>
      </c>
      <c r="E474" s="1453">
        <v>5.21</v>
      </c>
      <c r="F474" s="1453">
        <v>0</v>
      </c>
      <c r="G474" s="1453">
        <v>0</v>
      </c>
      <c r="H474" s="834" t="s">
        <v>913</v>
      </c>
      <c r="I474" s="840"/>
      <c r="J474" s="1454"/>
      <c r="K474" s="1455"/>
      <c r="L474" s="1456"/>
      <c r="M474" s="207"/>
      <c r="N474" s="162"/>
      <c r="O474" s="121"/>
      <c r="P474" s="121"/>
      <c r="Q474" s="121"/>
      <c r="R474" s="122"/>
      <c r="S474" s="123"/>
      <c r="T474" s="121"/>
      <c r="U474" s="121"/>
      <c r="V474" s="121"/>
      <c r="W474" s="123"/>
      <c r="X474" s="123"/>
      <c r="Y474" s="124"/>
      <c r="Z474" s="124"/>
    </row>
    <row r="475" spans="3:26" ht="24">
      <c r="C475" s="162"/>
      <c r="D475" s="490" t="s">
        <v>434</v>
      </c>
      <c r="E475" s="1453">
        <v>4.3899999999999997</v>
      </c>
      <c r="F475" s="1453">
        <v>0</v>
      </c>
      <c r="G475" s="1453">
        <v>0</v>
      </c>
      <c r="H475" s="832"/>
      <c r="I475" s="840"/>
      <c r="J475" s="1454"/>
      <c r="K475" s="1455"/>
      <c r="L475" s="1456"/>
      <c r="M475" s="207"/>
      <c r="N475" s="162"/>
      <c r="O475" s="125" t="s">
        <v>811</v>
      </c>
      <c r="P475" s="126">
        <v>0.5</v>
      </c>
      <c r="Q475" s="127">
        <v>14.205</v>
      </c>
      <c r="R475" s="128">
        <v>3</v>
      </c>
      <c r="S475" s="129">
        <v>1</v>
      </c>
      <c r="T475" s="125">
        <v>24.307500000000001</v>
      </c>
      <c r="U475" s="130">
        <v>-44.351867872591427</v>
      </c>
      <c r="V475" s="131">
        <v>185</v>
      </c>
      <c r="W475" s="132">
        <v>2.95</v>
      </c>
      <c r="X475" s="133">
        <v>130.83801022414471</v>
      </c>
      <c r="Y475" s="134"/>
      <c r="Z475" s="134"/>
    </row>
    <row r="476" spans="3:26" ht="24">
      <c r="C476" s="162"/>
      <c r="D476" s="490" t="s">
        <v>435</v>
      </c>
      <c r="E476" s="1457">
        <v>0.95833333333333337</v>
      </c>
      <c r="F476" s="1457">
        <v>0</v>
      </c>
      <c r="G476" s="1457">
        <v>0</v>
      </c>
      <c r="H476" s="832"/>
      <c r="I476" s="840"/>
      <c r="J476" s="1458">
        <v>6.25E-2</v>
      </c>
      <c r="K476" s="1458"/>
      <c r="L476" s="1459"/>
      <c r="M476" s="463">
        <v>0.95833333333333337</v>
      </c>
      <c r="N476" s="162"/>
      <c r="O476" s="135" t="s">
        <v>812</v>
      </c>
      <c r="P476" s="136">
        <v>0.1</v>
      </c>
      <c r="Q476" s="137"/>
      <c r="R476" s="138">
        <v>3</v>
      </c>
      <c r="S476" s="139">
        <v>1</v>
      </c>
      <c r="T476" s="135"/>
      <c r="U476" s="140">
        <v>0</v>
      </c>
      <c r="V476" s="141">
        <v>37</v>
      </c>
      <c r="W476" s="142">
        <v>2.3650000000000002</v>
      </c>
      <c r="X476" s="143">
        <v>0</v>
      </c>
      <c r="Y476" s="144"/>
      <c r="Z476" s="144"/>
    </row>
    <row r="477" spans="3:26" ht="24">
      <c r="C477" s="162"/>
      <c r="D477" s="490" t="s">
        <v>436</v>
      </c>
      <c r="E477" s="175" t="s">
        <v>29</v>
      </c>
      <c r="F477" s="175" t="s">
        <v>28</v>
      </c>
      <c r="G477" s="175" t="s">
        <v>27</v>
      </c>
      <c r="H477" s="832" t="s">
        <v>793</v>
      </c>
      <c r="I477" s="840"/>
      <c r="J477" s="175"/>
      <c r="K477" s="175"/>
      <c r="L477" s="833"/>
      <c r="M477" s="207"/>
      <c r="N477" s="162"/>
      <c r="O477" s="123"/>
      <c r="P477" s="145"/>
      <c r="Q477" s="123"/>
      <c r="R477" s="123"/>
      <c r="S477" s="123"/>
      <c r="T477" s="123"/>
      <c r="U477" s="146"/>
      <c r="V477" s="147"/>
      <c r="W477" s="123"/>
      <c r="X477" s="146"/>
      <c r="Y477" s="124"/>
      <c r="Z477" s="124"/>
    </row>
    <row r="478" spans="3:26" ht="23">
      <c r="C478" s="162"/>
      <c r="D478" s="497">
        <v>45504</v>
      </c>
      <c r="E478" s="176">
        <v>5.16</v>
      </c>
      <c r="F478" s="176">
        <v>4.72</v>
      </c>
      <c r="G478" s="176">
        <v>2.98</v>
      </c>
      <c r="H478" s="837">
        <v>0.95833333333333337</v>
      </c>
      <c r="I478" s="841"/>
      <c r="J478" s="842"/>
      <c r="K478" s="842"/>
      <c r="L478" s="843"/>
      <c r="M478" s="464"/>
      <c r="N478" s="162"/>
      <c r="O478" s="195"/>
      <c r="P478" s="124"/>
      <c r="Q478" s="148"/>
      <c r="R478" s="148"/>
      <c r="S478" s="148"/>
      <c r="T478" s="148"/>
      <c r="U478" s="148"/>
      <c r="V478" s="148"/>
      <c r="W478" s="148"/>
      <c r="X478" s="148"/>
      <c r="Y478" s="124"/>
      <c r="Z478" s="124"/>
    </row>
    <row r="479" spans="3:26" ht="23">
      <c r="C479" s="162"/>
      <c r="D479" s="497">
        <v>45406</v>
      </c>
      <c r="E479" s="176">
        <v>4.71</v>
      </c>
      <c r="F479" s="176">
        <v>4.32</v>
      </c>
      <c r="G479" s="176">
        <v>2.2000000000000002</v>
      </c>
      <c r="H479" s="837">
        <v>0.95833333333333337</v>
      </c>
      <c r="I479" s="841"/>
      <c r="J479" s="842"/>
      <c r="K479" s="842"/>
      <c r="L479" s="843"/>
      <c r="M479" s="464"/>
      <c r="N479" s="162"/>
      <c r="O479" s="115" t="s">
        <v>813</v>
      </c>
      <c r="P479" s="116">
        <v>0.25</v>
      </c>
      <c r="Q479" s="149">
        <v>14.205</v>
      </c>
      <c r="R479" s="150">
        <v>3</v>
      </c>
      <c r="S479" s="119">
        <v>1</v>
      </c>
      <c r="T479" s="125">
        <v>24.307500000000001</v>
      </c>
      <c r="U479" s="151">
        <v>-22.175933936295714</v>
      </c>
      <c r="V479" s="152">
        <v>92.5</v>
      </c>
      <c r="W479" s="119">
        <v>2.95</v>
      </c>
      <c r="X479" s="153">
        <v>65.419005112072355</v>
      </c>
      <c r="Y479" s="154"/>
      <c r="Z479" s="154"/>
    </row>
    <row r="480" spans="3:26" ht="23">
      <c r="C480" s="162"/>
      <c r="D480" s="497">
        <v>45323</v>
      </c>
      <c r="E480" s="176">
        <v>5.33</v>
      </c>
      <c r="F480" s="176">
        <v>4.96</v>
      </c>
      <c r="G480" s="176">
        <v>1.76</v>
      </c>
      <c r="H480" s="837">
        <v>0.95833333333333337</v>
      </c>
      <c r="I480" s="841"/>
      <c r="J480" s="842"/>
      <c r="K480" s="842"/>
      <c r="L480" s="843"/>
      <c r="M480" s="464"/>
      <c r="N480" s="162"/>
      <c r="O480" s="115"/>
      <c r="P480" s="116"/>
      <c r="Q480" s="149"/>
      <c r="R480" s="150"/>
      <c r="S480" s="119"/>
      <c r="T480" s="116"/>
      <c r="U480" s="151"/>
      <c r="V480" s="152"/>
      <c r="W480" s="119"/>
      <c r="X480" s="153"/>
      <c r="Y480" s="154"/>
      <c r="Z480" s="154"/>
    </row>
    <row r="481" spans="3:26" ht="23">
      <c r="C481" s="162"/>
      <c r="D481" s="497">
        <v>45224</v>
      </c>
      <c r="E481" s="176">
        <v>4.3899999999999997</v>
      </c>
      <c r="F481" s="176">
        <v>3.64</v>
      </c>
      <c r="G481" s="176">
        <v>1.64</v>
      </c>
      <c r="H481" s="837">
        <v>0.95833333333333337</v>
      </c>
      <c r="I481" s="841"/>
      <c r="J481" s="842"/>
      <c r="K481" s="842"/>
      <c r="L481" s="843"/>
      <c r="M481" s="464"/>
      <c r="N481" s="162"/>
      <c r="O481" s="115" t="s">
        <v>816</v>
      </c>
      <c r="P481" s="116"/>
      <c r="Q481" s="149"/>
      <c r="R481" s="150"/>
      <c r="S481" s="119"/>
      <c r="T481" s="116"/>
      <c r="U481" s="151">
        <v>0</v>
      </c>
      <c r="V481" s="152"/>
      <c r="W481" s="119"/>
      <c r="X481" s="153">
        <v>0</v>
      </c>
      <c r="Y481" s="154"/>
      <c r="Z481" s="154"/>
    </row>
    <row r="482" spans="3:26" ht="23">
      <c r="C482" s="162"/>
      <c r="D482" s="497">
        <v>45133</v>
      </c>
      <c r="E482" s="176">
        <v>2.98</v>
      </c>
      <c r="F482" s="176">
        <v>2.91</v>
      </c>
      <c r="G482" s="176">
        <v>2.46</v>
      </c>
      <c r="H482" s="837">
        <v>0.95833333333333337</v>
      </c>
      <c r="I482" s="841"/>
      <c r="J482" s="842"/>
      <c r="K482" s="842"/>
      <c r="L482" s="843"/>
      <c r="M482" s="464"/>
      <c r="N482" s="162"/>
      <c r="O482" s="89"/>
      <c r="P482" s="89"/>
      <c r="Q482" s="89"/>
      <c r="R482" s="89"/>
      <c r="S482" s="89"/>
      <c r="T482" s="89"/>
      <c r="U482" s="89"/>
      <c r="V482" s="89"/>
      <c r="W482" s="89"/>
      <c r="X482" s="89"/>
      <c r="Y482" s="89"/>
      <c r="Z482" s="89"/>
    </row>
    <row r="483" spans="3:26" ht="23">
      <c r="C483" s="162"/>
      <c r="D483" s="497">
        <v>45042</v>
      </c>
      <c r="E483" s="176">
        <v>2.2000000000000002</v>
      </c>
      <c r="F483" s="176">
        <v>2.02</v>
      </c>
      <c r="G483" s="176">
        <v>2.72</v>
      </c>
      <c r="H483" s="837">
        <v>0.95833333333333337</v>
      </c>
      <c r="I483" s="841"/>
      <c r="J483" s="842"/>
      <c r="K483" s="842"/>
      <c r="L483" s="843"/>
      <c r="M483" s="464"/>
      <c r="N483" s="162"/>
      <c r="O483" s="89"/>
      <c r="P483" s="89"/>
      <c r="Q483" s="89"/>
      <c r="R483" s="89"/>
      <c r="S483" s="89"/>
      <c r="T483" s="89"/>
      <c r="U483" s="89"/>
      <c r="V483" s="89"/>
      <c r="W483" s="89"/>
      <c r="X483" s="89"/>
      <c r="Y483" s="89"/>
      <c r="Z483" s="89"/>
    </row>
    <row r="484" spans="3:26" ht="24">
      <c r="C484" s="162" t="s">
        <v>105</v>
      </c>
      <c r="D484" s="496" t="s">
        <v>30</v>
      </c>
      <c r="E484" s="1460" t="s">
        <v>854</v>
      </c>
      <c r="F484" s="1460">
        <v>0</v>
      </c>
      <c r="G484" s="1460">
        <v>0</v>
      </c>
      <c r="H484" s="832" t="s">
        <v>790</v>
      </c>
      <c r="I484" s="840"/>
      <c r="J484" s="1461" t="s">
        <v>430</v>
      </c>
      <c r="K484" s="1462"/>
      <c r="L484" s="1463"/>
      <c r="M484" s="373" t="s">
        <v>431</v>
      </c>
      <c r="N484" s="162" t="s">
        <v>105</v>
      </c>
      <c r="O484" s="89"/>
      <c r="P484" s="89"/>
      <c r="Q484" s="89"/>
      <c r="R484" s="89"/>
      <c r="S484" s="89"/>
      <c r="T484" s="89"/>
      <c r="U484" s="89"/>
      <c r="V484" s="89"/>
      <c r="W484" s="89"/>
      <c r="X484" s="89"/>
      <c r="Y484" s="89"/>
      <c r="Z484" s="89"/>
    </row>
    <row r="485" spans="3:26" ht="24">
      <c r="C485" s="162"/>
      <c r="D485" s="490" t="s">
        <v>432</v>
      </c>
      <c r="E485" s="1464"/>
      <c r="F485" s="1464"/>
      <c r="G485" s="1464"/>
      <c r="H485" s="834" t="s">
        <v>913</v>
      </c>
      <c r="I485" s="840"/>
      <c r="J485" s="1465"/>
      <c r="K485" s="1466"/>
      <c r="L485" s="1467"/>
      <c r="M485" s="207"/>
      <c r="N485" s="162"/>
      <c r="O485" s="89"/>
      <c r="P485" s="89"/>
      <c r="Q485" s="89"/>
      <c r="R485" s="89"/>
      <c r="S485" s="89"/>
      <c r="T485" s="89"/>
      <c r="U485" s="89"/>
      <c r="V485" s="89"/>
      <c r="W485" s="89"/>
      <c r="X485" s="89"/>
      <c r="Y485" s="89"/>
      <c r="Z485" s="89"/>
    </row>
    <row r="486" spans="3:26" ht="24">
      <c r="C486" s="162"/>
      <c r="D486" s="490" t="s">
        <v>433</v>
      </c>
      <c r="E486" s="1453">
        <v>1.1399999999999999</v>
      </c>
      <c r="F486" s="1453">
        <v>0</v>
      </c>
      <c r="G486" s="1453">
        <v>0</v>
      </c>
      <c r="H486" s="834" t="s">
        <v>913</v>
      </c>
      <c r="I486" s="840"/>
      <c r="J486" s="1454"/>
      <c r="K486" s="1455"/>
      <c r="L486" s="1456"/>
      <c r="M486" s="207"/>
      <c r="N486" s="162"/>
      <c r="O486" s="89"/>
      <c r="P486" s="89"/>
      <c r="Q486" s="89"/>
      <c r="R486" s="89"/>
      <c r="S486" s="89"/>
      <c r="T486" s="89"/>
      <c r="U486" s="89"/>
      <c r="V486" s="89"/>
      <c r="W486" s="89"/>
      <c r="X486" s="89"/>
      <c r="Y486" s="89"/>
      <c r="Z486" s="89"/>
    </row>
    <row r="487" spans="3:26" ht="24">
      <c r="C487" s="162"/>
      <c r="D487" s="490" t="s">
        <v>434</v>
      </c>
      <c r="E487" s="1453">
        <v>0</v>
      </c>
      <c r="F487" s="1453">
        <v>0</v>
      </c>
      <c r="G487" s="1453">
        <v>0</v>
      </c>
      <c r="H487" s="832"/>
      <c r="I487" s="840"/>
      <c r="J487" s="1454"/>
      <c r="K487" s="1455"/>
      <c r="L487" s="1456"/>
      <c r="M487" s="207"/>
      <c r="N487" s="162"/>
      <c r="O487" s="89"/>
      <c r="P487" s="89"/>
      <c r="Q487" s="89"/>
      <c r="R487" s="89"/>
      <c r="S487" s="89"/>
      <c r="T487" s="89"/>
      <c r="U487" s="89"/>
      <c r="V487" s="89"/>
      <c r="W487" s="89"/>
      <c r="X487" s="89"/>
      <c r="Y487" s="89"/>
      <c r="Z487" s="89"/>
    </row>
    <row r="488" spans="3:26" ht="24">
      <c r="C488" s="162"/>
      <c r="D488" s="490" t="s">
        <v>435</v>
      </c>
      <c r="E488" s="1457">
        <v>0.95833333333333337</v>
      </c>
      <c r="F488" s="1457">
        <v>0</v>
      </c>
      <c r="G488" s="1457">
        <v>0</v>
      </c>
      <c r="H488" s="832"/>
      <c r="I488" s="840"/>
      <c r="J488" s="1458">
        <v>6.25E-2</v>
      </c>
      <c r="K488" s="1458"/>
      <c r="L488" s="1459"/>
      <c r="M488" s="463">
        <v>0.95833333333333337</v>
      </c>
      <c r="N488" s="162"/>
      <c r="O488" s="89"/>
      <c r="P488" s="89"/>
      <c r="Q488" s="89"/>
      <c r="R488" s="89"/>
      <c r="S488" s="89"/>
      <c r="T488" s="89"/>
      <c r="U488" s="89"/>
      <c r="V488" s="89"/>
      <c r="W488" s="89"/>
      <c r="X488" s="89"/>
      <c r="Y488" s="89"/>
      <c r="Z488" s="89"/>
    </row>
    <row r="489" spans="3:26" ht="24">
      <c r="C489" s="162"/>
      <c r="D489" s="490" t="s">
        <v>436</v>
      </c>
      <c r="E489" s="175" t="s">
        <v>29</v>
      </c>
      <c r="F489" s="175" t="s">
        <v>28</v>
      </c>
      <c r="G489" s="175" t="s">
        <v>27</v>
      </c>
      <c r="H489" s="832" t="s">
        <v>793</v>
      </c>
      <c r="I489" s="840"/>
      <c r="J489" s="175"/>
      <c r="K489" s="175"/>
      <c r="L489" s="833"/>
      <c r="M489" s="207"/>
      <c r="N489" s="162"/>
      <c r="O489" s="89"/>
      <c r="P489" s="89"/>
      <c r="Q489" s="89"/>
      <c r="R489" s="89"/>
      <c r="S489" s="89"/>
      <c r="T489" s="89"/>
      <c r="U489" s="89"/>
      <c r="V489" s="89"/>
      <c r="W489" s="89"/>
      <c r="X489" s="89"/>
      <c r="Y489" s="89"/>
      <c r="Z489" s="89"/>
    </row>
    <row r="490" spans="3:26" ht="23">
      <c r="C490" s="162"/>
      <c r="D490" s="497">
        <v>45505</v>
      </c>
      <c r="E490" s="176">
        <v>1.26</v>
      </c>
      <c r="F490" s="176">
        <v>1.03</v>
      </c>
      <c r="G490" s="176">
        <v>0</v>
      </c>
      <c r="H490" s="837">
        <v>0.95833333333333337</v>
      </c>
      <c r="I490" s="841"/>
      <c r="J490" s="842"/>
      <c r="K490" s="842"/>
      <c r="L490" s="843"/>
      <c r="M490" s="464"/>
      <c r="N490" s="162"/>
      <c r="O490" s="89"/>
      <c r="P490" s="89"/>
      <c r="Q490" s="89"/>
      <c r="R490" s="89"/>
      <c r="S490" s="89"/>
      <c r="T490" s="89"/>
      <c r="U490" s="89"/>
      <c r="V490" s="89"/>
      <c r="W490" s="89"/>
      <c r="X490" s="89"/>
      <c r="Y490" s="89"/>
      <c r="Z490" s="89"/>
    </row>
    <row r="491" spans="3:26" ht="23">
      <c r="C491" s="162"/>
      <c r="D491" s="497">
        <v>45412</v>
      </c>
      <c r="E491" s="176">
        <v>0.98</v>
      </c>
      <c r="F491" s="176">
        <v>0.84</v>
      </c>
      <c r="G491" s="176">
        <v>0</v>
      </c>
      <c r="H491" s="837">
        <v>0.95833333333333337</v>
      </c>
      <c r="I491" s="841"/>
      <c r="J491" s="842"/>
      <c r="K491" s="842"/>
      <c r="L491" s="843"/>
      <c r="M491" s="464"/>
      <c r="N491" s="162"/>
      <c r="O491" s="89"/>
      <c r="P491" s="89"/>
      <c r="Q491" s="89"/>
      <c r="R491" s="89"/>
      <c r="S491" s="89"/>
      <c r="T491" s="89"/>
      <c r="U491" s="89"/>
      <c r="V491" s="89"/>
      <c r="W491" s="89"/>
      <c r="X491" s="89"/>
      <c r="Y491" s="89"/>
      <c r="Z491" s="89"/>
    </row>
    <row r="492" spans="3:26" ht="23">
      <c r="C492" s="162"/>
      <c r="D492" s="497">
        <v>45323</v>
      </c>
      <c r="E492" s="176">
        <v>1</v>
      </c>
      <c r="F492" s="176">
        <v>0.8</v>
      </c>
      <c r="G492" s="176">
        <v>0</v>
      </c>
      <c r="H492" s="837">
        <v>0.95833333333333337</v>
      </c>
      <c r="I492" s="841"/>
      <c r="J492" s="842"/>
      <c r="K492" s="842"/>
      <c r="L492" s="843"/>
      <c r="M492" s="464"/>
      <c r="N492" s="162"/>
      <c r="O492" s="89"/>
      <c r="P492" s="89"/>
      <c r="Q492" s="89"/>
      <c r="R492" s="89"/>
      <c r="S492" s="89"/>
      <c r="T492" s="89"/>
      <c r="U492" s="89"/>
      <c r="V492" s="89"/>
      <c r="W492" s="89"/>
      <c r="X492" s="89"/>
      <c r="Y492" s="89"/>
      <c r="Z492" s="89"/>
    </row>
    <row r="493" spans="3:26" ht="23">
      <c r="C493" s="162"/>
      <c r="D493" s="497">
        <v>45225</v>
      </c>
      <c r="E493" s="176">
        <v>0.94</v>
      </c>
      <c r="F493" s="176">
        <v>0.57999999999999996</v>
      </c>
      <c r="G493" s="176">
        <v>0</v>
      </c>
      <c r="H493" s="837">
        <v>0.95833333333333337</v>
      </c>
      <c r="I493" s="841"/>
      <c r="J493" s="842"/>
      <c r="K493" s="842"/>
      <c r="L493" s="843"/>
      <c r="M493" s="464"/>
      <c r="N493" s="162"/>
      <c r="O493" s="89"/>
      <c r="P493" s="89"/>
      <c r="Q493" s="89"/>
      <c r="R493" s="89"/>
      <c r="S493" s="89"/>
      <c r="T493" s="89"/>
      <c r="U493" s="89"/>
      <c r="V493" s="89"/>
      <c r="W493" s="89"/>
      <c r="X493" s="89"/>
      <c r="Y493" s="89"/>
      <c r="Z493" s="89"/>
    </row>
    <row r="494" spans="3:26" ht="23">
      <c r="C494" s="162"/>
      <c r="D494" s="497">
        <v>45141</v>
      </c>
      <c r="E494" s="176">
        <v>0.65</v>
      </c>
      <c r="F494" s="176">
        <v>0.35</v>
      </c>
      <c r="G494" s="176">
        <v>0</v>
      </c>
      <c r="H494" s="837">
        <v>0.95833333333333337</v>
      </c>
      <c r="I494" s="841"/>
      <c r="J494" s="842"/>
      <c r="K494" s="842"/>
      <c r="L494" s="843"/>
      <c r="M494" s="464"/>
      <c r="N494" s="162"/>
      <c r="O494" s="89"/>
      <c r="P494" s="89"/>
      <c r="Q494" s="89"/>
      <c r="R494" s="89"/>
      <c r="S494" s="89"/>
      <c r="T494" s="89"/>
      <c r="U494" s="89"/>
      <c r="V494" s="89"/>
      <c r="W494" s="89"/>
      <c r="X494" s="89"/>
      <c r="Y494" s="89"/>
      <c r="Z494" s="89"/>
    </row>
    <row r="495" spans="3:26" ht="23">
      <c r="C495" s="162"/>
      <c r="D495" s="497">
        <v>45043</v>
      </c>
      <c r="E495" s="176">
        <v>0.31</v>
      </c>
      <c r="F495" s="176">
        <v>0.21</v>
      </c>
      <c r="G495" s="176">
        <v>0</v>
      </c>
      <c r="H495" s="837">
        <v>0.95833333333333337</v>
      </c>
      <c r="I495" s="841"/>
      <c r="J495" s="842"/>
      <c r="K495" s="842"/>
      <c r="L495" s="843"/>
      <c r="M495" s="464"/>
      <c r="N495" s="162"/>
      <c r="O495" s="89"/>
      <c r="P495" s="89"/>
      <c r="Q495" s="89"/>
      <c r="R495" s="89"/>
      <c r="S495" s="89"/>
      <c r="T495" s="89"/>
      <c r="U495" s="89"/>
      <c r="V495" s="89"/>
      <c r="W495" s="89"/>
      <c r="X495" s="89"/>
      <c r="Y495" s="89"/>
      <c r="Z495" s="89"/>
    </row>
    <row r="496" spans="3:26" ht="24">
      <c r="C496" s="162" t="s">
        <v>105</v>
      </c>
      <c r="D496" s="496" t="s">
        <v>30</v>
      </c>
      <c r="E496" s="1460" t="s">
        <v>873</v>
      </c>
      <c r="F496" s="1460">
        <v>0</v>
      </c>
      <c r="G496" s="1460">
        <v>0</v>
      </c>
      <c r="H496" s="832" t="s">
        <v>790</v>
      </c>
      <c r="I496" s="840"/>
      <c r="J496" s="1461" t="s">
        <v>430</v>
      </c>
      <c r="K496" s="1462"/>
      <c r="L496" s="1463"/>
      <c r="M496" s="373" t="s">
        <v>431</v>
      </c>
      <c r="N496" s="162" t="s">
        <v>105</v>
      </c>
      <c r="O496" s="114" t="s">
        <v>800</v>
      </c>
      <c r="P496" s="114" t="s">
        <v>801</v>
      </c>
      <c r="Q496" s="114" t="s">
        <v>802</v>
      </c>
      <c r="R496" s="114" t="s">
        <v>803</v>
      </c>
      <c r="S496" s="114" t="s">
        <v>804</v>
      </c>
      <c r="T496" s="114" t="s">
        <v>805</v>
      </c>
      <c r="U496" s="114" t="s">
        <v>806</v>
      </c>
      <c r="V496" s="114" t="s">
        <v>807</v>
      </c>
      <c r="W496" s="114" t="s">
        <v>808</v>
      </c>
      <c r="X496" s="114" t="s">
        <v>809</v>
      </c>
      <c r="Y496" s="114" t="s">
        <v>75</v>
      </c>
      <c r="Z496" s="114" t="s">
        <v>75</v>
      </c>
    </row>
    <row r="497" spans="2:26" ht="24">
      <c r="C497" s="162"/>
      <c r="D497" s="490" t="s">
        <v>432</v>
      </c>
      <c r="E497" s="1464"/>
      <c r="F497" s="1464"/>
      <c r="G497" s="1464"/>
      <c r="H497" s="834" t="s">
        <v>913</v>
      </c>
      <c r="I497" s="840"/>
      <c r="J497" s="1465"/>
      <c r="K497" s="1466"/>
      <c r="L497" s="1467"/>
      <c r="M497" s="207"/>
      <c r="N497" s="162"/>
      <c r="O497" s="115" t="s">
        <v>810</v>
      </c>
      <c r="P497" s="163">
        <v>0.1</v>
      </c>
      <c r="Q497" s="164">
        <v>2.1000000000000001E-2</v>
      </c>
      <c r="R497" s="165">
        <v>1.7000000000000001E-2</v>
      </c>
      <c r="S497" s="119"/>
      <c r="T497" s="115">
        <v>4.8500000000000001E-2</v>
      </c>
      <c r="U497" s="164">
        <v>-11.44</v>
      </c>
      <c r="V497" s="163">
        <v>91.8</v>
      </c>
      <c r="W497" s="166">
        <v>2</v>
      </c>
      <c r="X497" s="153">
        <v>22.88</v>
      </c>
      <c r="Y497" s="120"/>
      <c r="Z497" s="120"/>
    </row>
    <row r="498" spans="2:26" ht="24">
      <c r="C498" s="162"/>
      <c r="D498" s="490" t="s">
        <v>433</v>
      </c>
      <c r="E498" s="1453">
        <v>1E-3</v>
      </c>
      <c r="F498" s="1453">
        <v>0</v>
      </c>
      <c r="G498" s="1453">
        <v>0</v>
      </c>
      <c r="H498" s="834" t="s">
        <v>913</v>
      </c>
      <c r="I498" s="840"/>
      <c r="J498" s="1454"/>
      <c r="K498" s="1455"/>
      <c r="L498" s="1456"/>
      <c r="M498" s="207"/>
      <c r="N498" s="162"/>
      <c r="O498" s="121"/>
      <c r="P498" s="121"/>
      <c r="Q498" s="121"/>
      <c r="R498" s="122"/>
      <c r="S498" s="123"/>
      <c r="T498" s="121"/>
      <c r="U498" s="121"/>
      <c r="V498" s="121"/>
      <c r="W498" s="123"/>
      <c r="X498" s="123"/>
      <c r="Y498" s="124"/>
      <c r="Z498" s="124"/>
    </row>
    <row r="499" spans="2:26" ht="24">
      <c r="C499" s="162"/>
      <c r="D499" s="490" t="s">
        <v>434</v>
      </c>
      <c r="E499" s="1453">
        <v>1E-3</v>
      </c>
      <c r="F499" s="1453">
        <v>0</v>
      </c>
      <c r="G499" s="1453">
        <v>0</v>
      </c>
      <c r="H499" s="832"/>
      <c r="I499" s="840"/>
      <c r="J499" s="1454"/>
      <c r="K499" s="1455"/>
      <c r="L499" s="1456"/>
      <c r="M499" s="207"/>
      <c r="N499" s="162"/>
      <c r="O499" s="125" t="s">
        <v>811</v>
      </c>
      <c r="P499" s="167">
        <v>0.1</v>
      </c>
      <c r="Q499" s="168">
        <v>4.5600000000000002E-2</v>
      </c>
      <c r="R499" s="169">
        <v>1.7000000000000001E-2</v>
      </c>
      <c r="S499" s="129">
        <v>1</v>
      </c>
      <c r="T499" s="125">
        <v>8.5400000000000004E-2</v>
      </c>
      <c r="U499" s="130">
        <v>-20.14383505154639</v>
      </c>
      <c r="V499" s="131">
        <v>91.8</v>
      </c>
      <c r="W499" s="170">
        <v>4.83</v>
      </c>
      <c r="X499" s="133">
        <v>97.29472329896906</v>
      </c>
      <c r="Y499" s="134"/>
      <c r="Z499" s="134"/>
    </row>
    <row r="500" spans="2:26" ht="24">
      <c r="C500" s="162"/>
      <c r="D500" s="490" t="s">
        <v>435</v>
      </c>
      <c r="E500" s="1457">
        <v>0.95833333333333337</v>
      </c>
      <c r="F500" s="1457">
        <v>0</v>
      </c>
      <c r="G500" s="1457">
        <v>0</v>
      </c>
      <c r="H500" s="832"/>
      <c r="I500" s="840"/>
      <c r="J500" s="1458">
        <v>0.77083333333333337</v>
      </c>
      <c r="K500" s="1458"/>
      <c r="L500" s="1459"/>
      <c r="M500" s="463">
        <v>0.95833333333333337</v>
      </c>
      <c r="N500" s="162"/>
      <c r="O500" s="135" t="s">
        <v>812</v>
      </c>
      <c r="P500" s="171">
        <v>0.2</v>
      </c>
      <c r="Q500" s="156">
        <v>3.5533333333333333E-2</v>
      </c>
      <c r="R500" s="172">
        <v>1.7000000000000001E-2</v>
      </c>
      <c r="S500" s="139">
        <v>0.3</v>
      </c>
      <c r="T500" s="173">
        <v>7.0300000000000001E-2</v>
      </c>
      <c r="U500" s="140">
        <v>-9.9492618556701036</v>
      </c>
      <c r="V500" s="141">
        <v>183.6</v>
      </c>
      <c r="W500" s="174">
        <v>5.8</v>
      </c>
      <c r="X500" s="143">
        <v>57.705718762886598</v>
      </c>
      <c r="Y500" s="144"/>
      <c r="Z500" s="144"/>
    </row>
    <row r="501" spans="2:26" ht="24">
      <c r="C501" s="162"/>
      <c r="D501" s="490" t="s">
        <v>436</v>
      </c>
      <c r="E501" s="175" t="s">
        <v>29</v>
      </c>
      <c r="F501" s="175" t="s">
        <v>28</v>
      </c>
      <c r="G501" s="175" t="s">
        <v>27</v>
      </c>
      <c r="H501" s="832" t="s">
        <v>793</v>
      </c>
      <c r="I501" s="840"/>
      <c r="J501" s="175"/>
      <c r="K501" s="175"/>
      <c r="L501" s="833"/>
      <c r="M501" s="207"/>
      <c r="N501" s="162"/>
      <c r="O501" s="123"/>
      <c r="P501" s="145"/>
      <c r="Q501" s="196"/>
      <c r="R501" s="146">
        <v>2.4059381443298973</v>
      </c>
      <c r="S501" s="123"/>
      <c r="T501" s="123"/>
      <c r="U501" s="146">
        <v>141.5257731958763</v>
      </c>
      <c r="V501" s="147"/>
      <c r="W501" s="123"/>
      <c r="X501" s="146"/>
      <c r="Y501" s="124"/>
      <c r="Z501" s="124"/>
    </row>
    <row r="502" spans="2:26" ht="24">
      <c r="C502" s="162"/>
      <c r="D502" s="497">
        <v>45558</v>
      </c>
      <c r="E502" s="176">
        <v>1E-3</v>
      </c>
      <c r="F502" s="176" t="s">
        <v>460</v>
      </c>
      <c r="G502" s="176">
        <v>0</v>
      </c>
      <c r="H502" s="837">
        <v>0.95833333333333337</v>
      </c>
      <c r="I502" s="841"/>
      <c r="J502" s="842"/>
      <c r="K502" s="842"/>
      <c r="L502" s="843"/>
      <c r="M502" s="464"/>
      <c r="N502" s="162"/>
      <c r="O502" s="148"/>
      <c r="P502" s="124"/>
      <c r="Q502" s="148"/>
      <c r="R502" s="148"/>
      <c r="S502" s="148"/>
      <c r="T502" s="148"/>
      <c r="U502" s="148"/>
      <c r="V502" s="148"/>
      <c r="W502" s="148"/>
      <c r="X502" s="148"/>
      <c r="Y502" s="124"/>
      <c r="Z502" s="124"/>
    </row>
    <row r="503" spans="2:26" ht="24">
      <c r="C503" s="162"/>
      <c r="D503" s="497">
        <v>45530</v>
      </c>
      <c r="E503" s="176">
        <v>-1E-3</v>
      </c>
      <c r="F503" s="176" t="s">
        <v>462</v>
      </c>
      <c r="G503" s="176">
        <v>0</v>
      </c>
      <c r="H503" s="837">
        <v>0.95833333333333337</v>
      </c>
      <c r="I503" s="841"/>
      <c r="J503" s="842"/>
      <c r="K503" s="842"/>
      <c r="L503" s="843"/>
      <c r="M503" s="464"/>
      <c r="N503" s="162"/>
      <c r="O503" s="115" t="s">
        <v>813</v>
      </c>
      <c r="P503" s="177">
        <v>-0.15</v>
      </c>
      <c r="Q503" s="149">
        <v>3.5533333333333333E-2</v>
      </c>
      <c r="R503" s="150">
        <v>1.7000000000000001E-2</v>
      </c>
      <c r="S503" s="119">
        <v>-1.5</v>
      </c>
      <c r="T503" s="125">
        <v>7.0300000000000001E-2</v>
      </c>
      <c r="U503" s="151">
        <v>-37.309731958762882</v>
      </c>
      <c r="V503" s="152">
        <v>-137.69999999999999</v>
      </c>
      <c r="W503" s="119">
        <v>2</v>
      </c>
      <c r="X503" s="153">
        <v>74.619463917525763</v>
      </c>
      <c r="Y503" s="154"/>
      <c r="Z503" s="154"/>
    </row>
    <row r="504" spans="2:26" ht="24">
      <c r="C504" s="162"/>
      <c r="D504" s="497">
        <v>45502</v>
      </c>
      <c r="E504" s="176">
        <v>0</v>
      </c>
      <c r="F504" s="176" t="s">
        <v>460</v>
      </c>
      <c r="G504" s="176">
        <v>3.0000000000000001E-3</v>
      </c>
      <c r="H504" s="837">
        <v>0.95833333333333337</v>
      </c>
      <c r="I504" s="841"/>
      <c r="J504" s="842"/>
      <c r="K504" s="842"/>
      <c r="L504" s="843"/>
      <c r="M504" s="464"/>
      <c r="N504" s="162"/>
      <c r="O504" s="115"/>
      <c r="P504" s="115"/>
      <c r="Q504" s="149"/>
      <c r="R504" s="150"/>
      <c r="S504" s="119"/>
      <c r="T504" s="163"/>
      <c r="U504" s="151"/>
      <c r="V504" s="152"/>
      <c r="W504" s="119"/>
      <c r="X504" s="153"/>
      <c r="Y504" s="154"/>
      <c r="Z504" s="154"/>
    </row>
    <row r="505" spans="2:26" ht="24">
      <c r="C505" s="162"/>
      <c r="D505" s="497">
        <v>45467</v>
      </c>
      <c r="E505" s="176">
        <v>2E-3</v>
      </c>
      <c r="F505" s="176" t="s">
        <v>467</v>
      </c>
      <c r="G505" s="176">
        <v>1E-3</v>
      </c>
      <c r="H505" s="837">
        <v>0.95833333333333337</v>
      </c>
      <c r="I505" s="841"/>
      <c r="J505" s="842"/>
      <c r="K505" s="842"/>
      <c r="L505" s="843"/>
      <c r="M505" s="464"/>
      <c r="N505" s="162"/>
      <c r="O505" s="115" t="s">
        <v>816</v>
      </c>
      <c r="P505" s="116"/>
      <c r="Q505" s="149"/>
      <c r="R505" s="150"/>
      <c r="S505" s="119"/>
      <c r="T505" s="116"/>
      <c r="U505" s="151">
        <v>0</v>
      </c>
      <c r="V505" s="152"/>
      <c r="W505" s="119"/>
      <c r="X505" s="153">
        <v>0</v>
      </c>
      <c r="Y505" s="154"/>
      <c r="Z505" s="154"/>
    </row>
    <row r="506" spans="2:26" ht="24">
      <c r="C506" s="162"/>
      <c r="D506" s="497">
        <v>45439</v>
      </c>
      <c r="E506" s="176">
        <v>1E-3</v>
      </c>
      <c r="F506" s="176" t="s">
        <v>903</v>
      </c>
      <c r="G506" s="176">
        <v>1.2E-2</v>
      </c>
      <c r="H506" s="837">
        <v>0.95833333333333337</v>
      </c>
      <c r="I506" s="841"/>
      <c r="J506" s="842"/>
      <c r="K506" s="842"/>
      <c r="L506" s="843"/>
      <c r="M506" s="464"/>
      <c r="N506" s="162"/>
      <c r="O506" s="89"/>
      <c r="P506" s="89"/>
      <c r="Q506" s="89"/>
      <c r="R506" s="89"/>
      <c r="S506" s="89"/>
      <c r="T506" s="89"/>
      <c r="U506" s="89"/>
      <c r="V506" s="89"/>
      <c r="W506" s="89"/>
      <c r="X506" s="89"/>
      <c r="Y506" s="89"/>
      <c r="Z506" s="89"/>
    </row>
    <row r="507" spans="2:26" ht="25" thickBot="1">
      <c r="C507" s="162"/>
      <c r="D507" s="497">
        <v>45411</v>
      </c>
      <c r="E507" s="176">
        <v>1.2E-2</v>
      </c>
      <c r="F507" s="176" t="s">
        <v>462</v>
      </c>
      <c r="G507" s="176">
        <v>-1E-3</v>
      </c>
      <c r="H507" s="837">
        <v>0.95833333333333337</v>
      </c>
      <c r="I507" s="841"/>
      <c r="J507" s="842"/>
      <c r="K507" s="842"/>
      <c r="L507" s="843"/>
      <c r="M507" s="464"/>
      <c r="N507" s="162"/>
      <c r="O507" s="89"/>
      <c r="P507" s="89"/>
      <c r="Q507" s="89"/>
      <c r="R507" s="89"/>
      <c r="S507" s="89"/>
      <c r="T507" s="89"/>
      <c r="U507" s="89"/>
      <c r="V507" s="89"/>
      <c r="W507" s="89"/>
      <c r="X507" s="89"/>
      <c r="Y507" s="89"/>
      <c r="Z507" s="89"/>
    </row>
    <row r="508" spans="2:26" ht="49" thickBot="1">
      <c r="B508" s="90" t="s">
        <v>429</v>
      </c>
      <c r="C508" s="90">
        <v>1</v>
      </c>
      <c r="D508" s="494" t="s">
        <v>30</v>
      </c>
      <c r="E508" s="1429" t="s">
        <v>915</v>
      </c>
      <c r="F508" s="1430"/>
      <c r="G508" s="1431"/>
      <c r="H508" s="844" t="s">
        <v>790</v>
      </c>
      <c r="I508" s="1432" t="s">
        <v>633</v>
      </c>
      <c r="J508" s="1433"/>
      <c r="K508" s="1434"/>
      <c r="L508" s="845" t="s">
        <v>430</v>
      </c>
      <c r="M508" s="465" t="s">
        <v>431</v>
      </c>
      <c r="N508" s="162" t="s">
        <v>105</v>
      </c>
      <c r="O508" s="114" t="s">
        <v>800</v>
      </c>
      <c r="P508" s="114" t="s">
        <v>801</v>
      </c>
      <c r="Q508" s="114" t="s">
        <v>802</v>
      </c>
      <c r="R508" s="114" t="s">
        <v>803</v>
      </c>
      <c r="S508" s="114" t="s">
        <v>804</v>
      </c>
      <c r="T508" s="114" t="s">
        <v>805</v>
      </c>
      <c r="U508" s="114" t="s">
        <v>806</v>
      </c>
      <c r="V508" s="114" t="s">
        <v>807</v>
      </c>
      <c r="W508" s="114" t="s">
        <v>808</v>
      </c>
      <c r="X508" s="114" t="s">
        <v>809</v>
      </c>
      <c r="Y508" s="114" t="s">
        <v>75</v>
      </c>
      <c r="Z508" s="114" t="s">
        <v>75</v>
      </c>
    </row>
    <row r="509" spans="2:26" ht="24">
      <c r="C509" s="90"/>
      <c r="D509" s="489" t="s">
        <v>432</v>
      </c>
      <c r="E509" s="1435"/>
      <c r="F509" s="1436"/>
      <c r="G509" s="1437"/>
      <c r="H509" s="846" t="s">
        <v>904</v>
      </c>
      <c r="I509" s="1438" t="s">
        <v>916</v>
      </c>
      <c r="J509" s="1243"/>
      <c r="K509" s="1439"/>
      <c r="L509" s="835"/>
      <c r="M509" s="466"/>
      <c r="N509" s="162"/>
      <c r="O509" s="115" t="s">
        <v>810</v>
      </c>
      <c r="P509" s="163">
        <v>0.1</v>
      </c>
      <c r="Q509" s="164">
        <v>1.9E-2</v>
      </c>
      <c r="R509" s="165">
        <v>2.199999999999136E-2</v>
      </c>
      <c r="S509" s="119"/>
      <c r="T509" s="115">
        <v>5.0499999999991357E-2</v>
      </c>
      <c r="U509" s="164">
        <v>-12.04</v>
      </c>
      <c r="V509" s="163">
        <v>60.5</v>
      </c>
      <c r="W509" s="166">
        <v>2</v>
      </c>
      <c r="X509" s="153">
        <v>24.08</v>
      </c>
      <c r="Y509" s="120"/>
      <c r="Z509" s="120"/>
    </row>
    <row r="510" spans="2:26" ht="24">
      <c r="C510" s="90"/>
      <c r="D510" s="490" t="s">
        <v>433</v>
      </c>
      <c r="E510" s="1444">
        <v>4.3499999999999997E-2</v>
      </c>
      <c r="F510" s="1445"/>
      <c r="G510" s="1446"/>
      <c r="H510" s="846" t="s">
        <v>905</v>
      </c>
      <c r="I510" s="1440"/>
      <c r="J510" s="1246"/>
      <c r="K510" s="1441"/>
      <c r="L510" s="835"/>
      <c r="M510" s="466"/>
      <c r="N510" s="162"/>
      <c r="O510" s="121"/>
      <c r="P510" s="121"/>
      <c r="Q510" s="121"/>
      <c r="R510" s="122"/>
      <c r="S510" s="123"/>
      <c r="T510" s="121"/>
      <c r="U510" s="121"/>
      <c r="V510" s="121"/>
      <c r="W510" s="123"/>
      <c r="X510" s="123"/>
      <c r="Y510" s="124"/>
      <c r="Z510" s="124"/>
    </row>
    <row r="511" spans="2:26" ht="24">
      <c r="C511" s="90"/>
      <c r="D511" s="490" t="s">
        <v>434</v>
      </c>
      <c r="E511" s="1444">
        <v>4.3499999999999997E-2</v>
      </c>
      <c r="F511" s="1445"/>
      <c r="G511" s="1446"/>
      <c r="H511" s="847"/>
      <c r="I511" s="1440"/>
      <c r="J511" s="1246"/>
      <c r="K511" s="1441"/>
      <c r="L511" s="835"/>
      <c r="M511" s="466"/>
      <c r="N511" s="162"/>
      <c r="O511" s="125" t="s">
        <v>811</v>
      </c>
      <c r="P511" s="167">
        <v>0.1</v>
      </c>
      <c r="Q511" s="168">
        <v>5.7299999999999997E-2</v>
      </c>
      <c r="R511" s="169">
        <v>0.05</v>
      </c>
      <c r="S511" s="129">
        <v>1</v>
      </c>
      <c r="T511" s="125">
        <v>0.13595000000000002</v>
      </c>
      <c r="U511" s="130">
        <v>-32.412633663371885</v>
      </c>
      <c r="V511" s="131">
        <v>60.5</v>
      </c>
      <c r="W511" s="170">
        <v>3.28</v>
      </c>
      <c r="X511" s="133">
        <v>106.31343841585978</v>
      </c>
      <c r="Y511" s="134"/>
      <c r="Z511" s="134"/>
    </row>
    <row r="512" spans="2:26" ht="25" thickBot="1">
      <c r="C512" s="90"/>
      <c r="D512" s="491" t="s">
        <v>435</v>
      </c>
      <c r="E512" s="1447">
        <v>0.14583333333333334</v>
      </c>
      <c r="F512" s="1448"/>
      <c r="G512" s="1449"/>
      <c r="H512" s="847"/>
      <c r="I512" s="1440"/>
      <c r="J512" s="1246"/>
      <c r="K512" s="1441"/>
      <c r="L512" s="836">
        <v>0.375</v>
      </c>
      <c r="M512" s="467">
        <v>0.22916666666666666</v>
      </c>
      <c r="N512" s="162"/>
      <c r="O512" s="135" t="s">
        <v>812</v>
      </c>
      <c r="P512" s="171">
        <v>0.1</v>
      </c>
      <c r="Q512" s="156">
        <v>7.0800000000000002E-2</v>
      </c>
      <c r="R512" s="172">
        <v>0.05</v>
      </c>
      <c r="S512" s="139">
        <v>1</v>
      </c>
      <c r="T512" s="173">
        <v>0.15620000000000001</v>
      </c>
      <c r="U512" s="140">
        <v>-37.240554455451914</v>
      </c>
      <c r="V512" s="141">
        <v>60.5</v>
      </c>
      <c r="W512" s="174">
        <v>2.97</v>
      </c>
      <c r="X512" s="143">
        <v>110.6044467326922</v>
      </c>
      <c r="Y512" s="144"/>
      <c r="Z512" s="144"/>
    </row>
    <row r="513" spans="3:26" ht="25" thickBot="1">
      <c r="C513" s="90"/>
      <c r="D513" s="492" t="s">
        <v>436</v>
      </c>
      <c r="E513" s="92" t="s">
        <v>29</v>
      </c>
      <c r="F513" s="92" t="s">
        <v>28</v>
      </c>
      <c r="G513" s="93" t="s">
        <v>27</v>
      </c>
      <c r="H513" s="847" t="s">
        <v>793</v>
      </c>
      <c r="I513" s="1440"/>
      <c r="J513" s="1246"/>
      <c r="K513" s="1441"/>
      <c r="L513" s="835"/>
      <c r="M513" s="466"/>
      <c r="N513" s="162"/>
      <c r="O513" s="123"/>
      <c r="P513" s="145"/>
      <c r="Q513" s="123"/>
      <c r="R513" s="123"/>
      <c r="S513" s="123"/>
      <c r="T513" s="123"/>
      <c r="U513" s="146"/>
      <c r="V513" s="147"/>
      <c r="W513" s="123"/>
      <c r="X513" s="146"/>
      <c r="Y513" s="124"/>
      <c r="Z513" s="124"/>
    </row>
    <row r="514" spans="3:26" ht="24">
      <c r="C514" s="90"/>
      <c r="D514" s="493">
        <v>45559</v>
      </c>
      <c r="E514" s="98">
        <v>4.3499999999999997E-2</v>
      </c>
      <c r="F514" s="98" t="s">
        <v>938</v>
      </c>
      <c r="G514" s="98">
        <v>4.3499999999999997E-2</v>
      </c>
      <c r="H514" s="848">
        <v>0.1875</v>
      </c>
      <c r="I514" s="1440"/>
      <c r="J514" s="1246"/>
      <c r="K514" s="1441"/>
      <c r="L514" s="835"/>
      <c r="M514" s="466"/>
      <c r="N514" s="162"/>
      <c r="O514" s="148"/>
      <c r="P514" s="124"/>
      <c r="Q514" s="148"/>
      <c r="R514" s="148"/>
      <c r="S514" s="148"/>
      <c r="T514" s="148"/>
      <c r="U514" s="148"/>
      <c r="V514" s="148"/>
      <c r="W514" s="148"/>
      <c r="X514" s="148"/>
      <c r="Y514" s="124"/>
      <c r="Z514" s="124"/>
    </row>
    <row r="515" spans="3:26" ht="24">
      <c r="C515" s="90"/>
      <c r="D515" s="493">
        <v>45510</v>
      </c>
      <c r="E515" s="98">
        <v>4.3499999999999997E-2</v>
      </c>
      <c r="F515" s="98" t="s">
        <v>938</v>
      </c>
      <c r="G515" s="98">
        <v>4.3499999999999997E-2</v>
      </c>
      <c r="H515" s="848">
        <v>0.1875</v>
      </c>
      <c r="I515" s="1440"/>
      <c r="J515" s="1246"/>
      <c r="K515" s="1441"/>
      <c r="L515" s="835"/>
      <c r="M515" s="466"/>
      <c r="N515" s="162"/>
      <c r="O515" s="115" t="s">
        <v>813</v>
      </c>
      <c r="P515" s="163">
        <v>0.1</v>
      </c>
      <c r="Q515" s="149">
        <v>6.4049999999999996E-2</v>
      </c>
      <c r="R515" s="150">
        <v>0.05</v>
      </c>
      <c r="S515" s="119">
        <v>1</v>
      </c>
      <c r="T515" s="125">
        <v>0.14607500000000001</v>
      </c>
      <c r="U515" s="151">
        <v>-34.826594059411903</v>
      </c>
      <c r="V515" s="152">
        <v>60.5</v>
      </c>
      <c r="W515" s="119">
        <v>2</v>
      </c>
      <c r="X515" s="153">
        <v>69.653188118823806</v>
      </c>
      <c r="Y515" s="154"/>
      <c r="Z515" s="154"/>
    </row>
    <row r="516" spans="3:26" ht="24">
      <c r="C516" s="90"/>
      <c r="D516" s="493">
        <v>45461</v>
      </c>
      <c r="E516" s="98">
        <v>4.3499999999999997E-2</v>
      </c>
      <c r="F516" s="98" t="s">
        <v>938</v>
      </c>
      <c r="G516" s="98">
        <v>4.3499999999999997E-2</v>
      </c>
      <c r="H516" s="848">
        <v>0.1875</v>
      </c>
      <c r="I516" s="1440"/>
      <c r="J516" s="1246"/>
      <c r="K516" s="1441"/>
      <c r="L516" s="838"/>
      <c r="M516" s="466"/>
      <c r="N516" s="162"/>
      <c r="O516" s="115"/>
      <c r="P516" s="115"/>
      <c r="Q516" s="149"/>
      <c r="R516" s="150"/>
      <c r="S516" s="119"/>
      <c r="T516" s="163"/>
      <c r="U516" s="151"/>
      <c r="V516" s="152"/>
      <c r="W516" s="119"/>
      <c r="X516" s="153"/>
      <c r="Y516" s="154"/>
      <c r="Z516" s="154"/>
    </row>
    <row r="517" spans="3:26" ht="24">
      <c r="C517" s="90"/>
      <c r="D517" s="493">
        <v>45419</v>
      </c>
      <c r="E517" s="98">
        <v>4.3499999999999997E-2</v>
      </c>
      <c r="F517" s="98" t="s">
        <v>938</v>
      </c>
      <c r="G517" s="98">
        <v>4.3499999999999997E-2</v>
      </c>
      <c r="H517" s="848">
        <v>0.1875</v>
      </c>
      <c r="I517" s="1440"/>
      <c r="J517" s="1246"/>
      <c r="K517" s="1441"/>
      <c r="L517" s="835"/>
      <c r="M517" s="466"/>
      <c r="N517" s="162"/>
      <c r="O517" s="115" t="s">
        <v>816</v>
      </c>
      <c r="P517" s="116"/>
      <c r="Q517" s="149"/>
      <c r="R517" s="150"/>
      <c r="S517" s="119"/>
      <c r="T517" s="116"/>
      <c r="U517" s="151">
        <v>0</v>
      </c>
      <c r="V517" s="152"/>
      <c r="W517" s="119"/>
      <c r="X517" s="153">
        <v>0</v>
      </c>
      <c r="Y517" s="154"/>
      <c r="Z517" s="154"/>
    </row>
    <row r="518" spans="3:26" ht="24">
      <c r="C518" s="90"/>
      <c r="D518" s="493">
        <v>45370</v>
      </c>
      <c r="E518" s="98">
        <v>4.3499999999999997E-2</v>
      </c>
      <c r="F518" s="98" t="s">
        <v>938</v>
      </c>
      <c r="G518" s="98">
        <v>4.3499999999999997E-2</v>
      </c>
      <c r="H518" s="848">
        <v>0.14583333333333334</v>
      </c>
      <c r="I518" s="1440"/>
      <c r="J518" s="1246"/>
      <c r="K518" s="1441"/>
      <c r="L518" s="835"/>
      <c r="M518" s="466"/>
      <c r="N518" s="162"/>
      <c r="O518" s="89"/>
      <c r="P518" s="89"/>
      <c r="Q518" s="89"/>
      <c r="R518" s="89"/>
      <c r="S518" s="89"/>
      <c r="T518" s="89"/>
      <c r="U518" s="89"/>
      <c r="V518" s="89"/>
      <c r="W518" s="89"/>
      <c r="X518" s="89"/>
      <c r="Y518" s="89"/>
      <c r="Z518" s="89"/>
    </row>
    <row r="519" spans="3:26" ht="25" thickBot="1">
      <c r="C519" s="90"/>
      <c r="D519" s="493">
        <v>45328</v>
      </c>
      <c r="E519" s="98">
        <v>4.3499999999999997E-2</v>
      </c>
      <c r="F519" s="98" t="s">
        <v>938</v>
      </c>
      <c r="G519" s="98">
        <v>4.3499999999999997E-2</v>
      </c>
      <c r="H519" s="848">
        <v>0.14583333333333334</v>
      </c>
      <c r="I519" s="1501"/>
      <c r="J519" s="1502"/>
      <c r="K519" s="1503"/>
      <c r="L519" s="835"/>
      <c r="M519" s="466"/>
      <c r="N519" s="162"/>
      <c r="O519" s="89"/>
      <c r="P519" s="89"/>
      <c r="Q519" s="89"/>
      <c r="R519" s="89"/>
      <c r="S519" s="89"/>
      <c r="T519" s="89"/>
      <c r="U519" s="89"/>
      <c r="V519" s="89"/>
      <c r="W519" s="89"/>
      <c r="X519" s="89"/>
      <c r="Y519" s="89"/>
      <c r="Z519" s="89"/>
    </row>
    <row r="520" spans="3:26" ht="49" thickBot="1">
      <c r="C520" s="90">
        <v>2</v>
      </c>
      <c r="D520" s="494" t="s">
        <v>30</v>
      </c>
      <c r="E520" s="1429" t="s">
        <v>917</v>
      </c>
      <c r="F520" s="1430"/>
      <c r="G520" s="1431"/>
      <c r="H520" s="847" t="s">
        <v>790</v>
      </c>
      <c r="I520" s="1498" t="s">
        <v>633</v>
      </c>
      <c r="J520" s="1499"/>
      <c r="K520" s="1500"/>
      <c r="L520" s="833" t="s">
        <v>430</v>
      </c>
      <c r="M520" s="468" t="s">
        <v>431</v>
      </c>
      <c r="N520" s="162" t="s">
        <v>105</v>
      </c>
      <c r="O520" s="114" t="s">
        <v>800</v>
      </c>
      <c r="P520" s="114" t="s">
        <v>801</v>
      </c>
      <c r="Q520" s="114" t="s">
        <v>802</v>
      </c>
      <c r="R520" s="114" t="s">
        <v>803</v>
      </c>
      <c r="S520" s="114" t="s">
        <v>804</v>
      </c>
      <c r="T520" s="114" t="s">
        <v>805</v>
      </c>
      <c r="U520" s="114" t="s">
        <v>806</v>
      </c>
      <c r="V520" s="114" t="s">
        <v>807</v>
      </c>
      <c r="W520" s="114" t="s">
        <v>808</v>
      </c>
      <c r="X520" s="114" t="s">
        <v>809</v>
      </c>
      <c r="Y520" s="114" t="s">
        <v>75</v>
      </c>
      <c r="Z520" s="114" t="s">
        <v>75</v>
      </c>
    </row>
    <row r="521" spans="3:26" ht="24">
      <c r="C521" s="90"/>
      <c r="D521" s="489" t="s">
        <v>432</v>
      </c>
      <c r="E521" s="1435"/>
      <c r="F521" s="1436"/>
      <c r="G521" s="1437"/>
      <c r="H521" s="846" t="s">
        <v>795</v>
      </c>
      <c r="I521" s="1438" t="s">
        <v>918</v>
      </c>
      <c r="J521" s="1243"/>
      <c r="K521" s="1439"/>
      <c r="L521" s="835"/>
      <c r="M521" s="466"/>
      <c r="N521" s="162"/>
      <c r="O521" s="115" t="s">
        <v>810</v>
      </c>
      <c r="P521" s="163">
        <v>0.1</v>
      </c>
      <c r="Q521" s="164">
        <v>0.03</v>
      </c>
      <c r="R521" s="165">
        <v>1.5999999999991132E-2</v>
      </c>
      <c r="S521" s="119"/>
      <c r="T521" s="115">
        <v>6.0999999999991131E-2</v>
      </c>
      <c r="U521" s="164">
        <v>-14.17</v>
      </c>
      <c r="V521" s="163">
        <v>91.8</v>
      </c>
      <c r="W521" s="166">
        <v>2</v>
      </c>
      <c r="X521" s="153">
        <v>28.34</v>
      </c>
      <c r="Y521" s="120"/>
      <c r="Z521" s="120"/>
    </row>
    <row r="522" spans="3:26" ht="24">
      <c r="C522" s="90"/>
      <c r="D522" s="490" t="s">
        <v>433</v>
      </c>
      <c r="E522" s="1492">
        <v>0</v>
      </c>
      <c r="F522" s="1493"/>
      <c r="G522" s="1494"/>
      <c r="H522" s="846" t="s">
        <v>795</v>
      </c>
      <c r="I522" s="1440"/>
      <c r="J522" s="1246"/>
      <c r="K522" s="1441"/>
      <c r="L522" s="835"/>
      <c r="M522" s="466"/>
      <c r="N522" s="162"/>
      <c r="O522" s="121"/>
      <c r="P522" s="121"/>
      <c r="Q522" s="121"/>
      <c r="R522" s="122"/>
      <c r="S522" s="123"/>
      <c r="T522" s="121"/>
      <c r="U522" s="121"/>
      <c r="V522" s="121"/>
      <c r="W522" s="123"/>
      <c r="X522" s="123"/>
      <c r="Y522" s="124"/>
      <c r="Z522" s="124"/>
    </row>
    <row r="523" spans="3:26" ht="24">
      <c r="C523" s="90"/>
      <c r="D523" s="490" t="s">
        <v>434</v>
      </c>
      <c r="E523" s="1492">
        <v>0</v>
      </c>
      <c r="F523" s="1493"/>
      <c r="G523" s="1494"/>
      <c r="H523" s="847"/>
      <c r="I523" s="1440"/>
      <c r="J523" s="1246"/>
      <c r="K523" s="1441"/>
      <c r="L523" s="835"/>
      <c r="M523" s="466"/>
      <c r="N523" s="162"/>
      <c r="O523" s="125" t="s">
        <v>811</v>
      </c>
      <c r="P523" s="167">
        <v>0.1</v>
      </c>
      <c r="Q523" s="168">
        <v>5.7000000000000002E-2</v>
      </c>
      <c r="R523" s="169">
        <v>7.0000000000000007E-2</v>
      </c>
      <c r="S523" s="129">
        <v>1</v>
      </c>
      <c r="T523" s="125">
        <v>0.15550000000000003</v>
      </c>
      <c r="U523" s="130">
        <v>-36.121885245906896</v>
      </c>
      <c r="V523" s="131">
        <v>60.5</v>
      </c>
      <c r="W523" s="170">
        <v>2.74</v>
      </c>
      <c r="X523" s="133">
        <v>98.973965573784895</v>
      </c>
      <c r="Y523" s="134"/>
      <c r="Z523" s="134">
        <v>4.4350000000000005</v>
      </c>
    </row>
    <row r="524" spans="3:26" ht="25" thickBot="1">
      <c r="C524" s="90"/>
      <c r="D524" s="491" t="s">
        <v>435</v>
      </c>
      <c r="E524" s="1447">
        <v>0.41666666666666674</v>
      </c>
      <c r="F524" s="1448"/>
      <c r="G524" s="1449"/>
      <c r="H524" s="847"/>
      <c r="I524" s="1440"/>
      <c r="J524" s="1246"/>
      <c r="K524" s="1441"/>
      <c r="L524" s="836">
        <v>0.64583333333333337</v>
      </c>
      <c r="M524" s="467">
        <v>0.5</v>
      </c>
      <c r="N524" s="162"/>
      <c r="O524" s="135" t="s">
        <v>812</v>
      </c>
      <c r="P524" s="171">
        <v>0.1</v>
      </c>
      <c r="Q524" s="156">
        <v>0.106</v>
      </c>
      <c r="R524" s="172">
        <v>7.0000000000000007E-2</v>
      </c>
      <c r="S524" s="139">
        <v>1</v>
      </c>
      <c r="T524" s="173">
        <v>0.22900000000000001</v>
      </c>
      <c r="U524" s="140">
        <v>-53.195573770499543</v>
      </c>
      <c r="V524" s="141">
        <v>60.5</v>
      </c>
      <c r="W524" s="174">
        <v>2.94</v>
      </c>
      <c r="X524" s="143">
        <v>156.39498688526865</v>
      </c>
      <c r="Y524" s="144"/>
      <c r="Z524" s="144"/>
    </row>
    <row r="525" spans="3:26" ht="25" thickBot="1">
      <c r="C525" s="90"/>
      <c r="D525" s="492" t="s">
        <v>436</v>
      </c>
      <c r="E525" s="92" t="s">
        <v>29</v>
      </c>
      <c r="F525" s="92" t="s">
        <v>28</v>
      </c>
      <c r="G525" s="93" t="s">
        <v>27</v>
      </c>
      <c r="H525" s="847" t="s">
        <v>793</v>
      </c>
      <c r="I525" s="1440"/>
      <c r="J525" s="1246"/>
      <c r="K525" s="1441"/>
      <c r="L525" s="835"/>
      <c r="M525" s="466"/>
      <c r="N525" s="162"/>
      <c r="O525" s="123"/>
      <c r="P525" s="145"/>
      <c r="Q525" s="123"/>
      <c r="R525" s="123"/>
      <c r="S525" s="123"/>
      <c r="T525" s="123"/>
      <c r="U525" s="146"/>
      <c r="V525" s="147"/>
      <c r="W525" s="123"/>
      <c r="X525" s="146"/>
      <c r="Y525" s="124"/>
      <c r="Z525" s="124"/>
    </row>
    <row r="526" spans="3:26" ht="23">
      <c r="C526" s="90"/>
      <c r="D526" s="493">
        <v>44138</v>
      </c>
      <c r="E526" s="94">
        <v>0</v>
      </c>
      <c r="F526" s="94">
        <v>0</v>
      </c>
      <c r="G526" s="94">
        <v>0</v>
      </c>
      <c r="H526" s="849" t="s">
        <v>944</v>
      </c>
      <c r="I526" s="1440"/>
      <c r="J526" s="1246"/>
      <c r="K526" s="1441"/>
      <c r="L526" s="835"/>
      <c r="M526" s="466"/>
      <c r="N526" s="162"/>
      <c r="O526" s="148"/>
      <c r="P526" s="124"/>
      <c r="Q526" s="148"/>
      <c r="R526" s="148"/>
      <c r="S526" s="148"/>
      <c r="T526" s="148"/>
      <c r="U526" s="148"/>
      <c r="V526" s="148"/>
      <c r="W526" s="148"/>
      <c r="X526" s="148"/>
      <c r="Y526" s="124"/>
      <c r="Z526" s="124"/>
    </row>
    <row r="527" spans="3:26" ht="23">
      <c r="C527" s="90"/>
      <c r="D527" s="493">
        <v>42682</v>
      </c>
      <c r="E527" s="94">
        <v>0</v>
      </c>
      <c r="F527" s="94">
        <v>0</v>
      </c>
      <c r="G527" s="94">
        <v>0</v>
      </c>
      <c r="H527" s="849">
        <v>0.32291666666666669</v>
      </c>
      <c r="I527" s="1440"/>
      <c r="J527" s="1246"/>
      <c r="K527" s="1441"/>
      <c r="L527" s="835" t="s">
        <v>945</v>
      </c>
      <c r="M527" s="466"/>
      <c r="N527" s="162"/>
      <c r="O527" s="115" t="s">
        <v>813</v>
      </c>
      <c r="P527" s="163">
        <v>0.1</v>
      </c>
      <c r="Q527" s="149">
        <v>8.1500000000000003E-2</v>
      </c>
      <c r="R527" s="150">
        <v>7.0000000000000007E-2</v>
      </c>
      <c r="S527" s="119">
        <v>1</v>
      </c>
      <c r="T527" s="125">
        <v>0.19225</v>
      </c>
      <c r="U527" s="151">
        <v>-44.658729508203216</v>
      </c>
      <c r="V527" s="152">
        <v>60.5</v>
      </c>
      <c r="W527" s="119">
        <v>2</v>
      </c>
      <c r="X527" s="153">
        <v>89.317459016406431</v>
      </c>
      <c r="Y527" s="154"/>
      <c r="Z527" s="154"/>
    </row>
    <row r="528" spans="3:26" ht="23">
      <c r="C528" s="90"/>
      <c r="D528" s="493">
        <v>41219</v>
      </c>
      <c r="E528" s="94">
        <v>0</v>
      </c>
      <c r="F528" s="94">
        <v>0</v>
      </c>
      <c r="G528" s="94">
        <v>0</v>
      </c>
      <c r="H528" s="849" t="s">
        <v>946</v>
      </c>
      <c r="I528" s="1440"/>
      <c r="J528" s="1246"/>
      <c r="K528" s="1441"/>
      <c r="L528" s="838"/>
      <c r="M528" s="466"/>
      <c r="N528" s="162"/>
      <c r="O528" s="115"/>
      <c r="P528" s="115"/>
      <c r="Q528" s="149"/>
      <c r="R528" s="150"/>
      <c r="S528" s="119"/>
      <c r="T528" s="163"/>
      <c r="U528" s="151"/>
      <c r="V528" s="152"/>
      <c r="W528" s="119"/>
      <c r="X528" s="153"/>
      <c r="Y528" s="154"/>
      <c r="Z528" s="154"/>
    </row>
    <row r="529" spans="3:26" ht="23">
      <c r="C529" s="90"/>
      <c r="D529" s="493">
        <v>39756</v>
      </c>
      <c r="E529" s="94">
        <v>0</v>
      </c>
      <c r="F529" s="94">
        <v>0</v>
      </c>
      <c r="G529" s="94">
        <v>0</v>
      </c>
      <c r="H529" s="849" t="s">
        <v>946</v>
      </c>
      <c r="I529" s="1440"/>
      <c r="J529" s="1246"/>
      <c r="K529" s="1441"/>
      <c r="L529" s="835"/>
      <c r="M529" s="466"/>
      <c r="N529" s="162"/>
      <c r="O529" s="115" t="s">
        <v>816</v>
      </c>
      <c r="P529" s="116"/>
      <c r="Q529" s="149"/>
      <c r="R529" s="150"/>
      <c r="S529" s="119"/>
      <c r="T529" s="116"/>
      <c r="U529" s="151">
        <v>0</v>
      </c>
      <c r="V529" s="152"/>
      <c r="W529" s="119"/>
      <c r="X529" s="153">
        <v>0</v>
      </c>
      <c r="Y529" s="154"/>
      <c r="Z529" s="154"/>
    </row>
    <row r="530" spans="3:26" ht="23">
      <c r="C530" s="90"/>
      <c r="D530" s="493"/>
      <c r="E530" s="95"/>
      <c r="F530" s="95"/>
      <c r="G530" s="95"/>
      <c r="H530" s="848"/>
      <c r="I530" s="1440"/>
      <c r="J530" s="1246"/>
      <c r="K530" s="1441"/>
      <c r="L530" s="835"/>
      <c r="M530" s="466"/>
      <c r="N530" s="162"/>
      <c r="O530" s="89"/>
      <c r="P530" s="89"/>
      <c r="Q530" s="89"/>
      <c r="R530" s="89"/>
      <c r="S530" s="89"/>
      <c r="T530" s="89"/>
      <c r="U530" s="89"/>
      <c r="V530" s="89"/>
      <c r="W530" s="89"/>
      <c r="X530" s="89"/>
      <c r="Y530" s="89"/>
      <c r="Z530" s="89"/>
    </row>
    <row r="531" spans="3:26" ht="24" thickBot="1">
      <c r="C531" s="90"/>
      <c r="D531" s="493"/>
      <c r="E531" s="95"/>
      <c r="F531" s="95"/>
      <c r="G531" s="95"/>
      <c r="H531" s="848"/>
      <c r="I531" s="1501"/>
      <c r="J531" s="1502"/>
      <c r="K531" s="1503"/>
      <c r="L531" s="835"/>
      <c r="M531" s="466"/>
      <c r="N531" s="162"/>
      <c r="O531" s="89"/>
      <c r="P531" s="89"/>
      <c r="Q531" s="89"/>
      <c r="R531" s="89"/>
      <c r="S531" s="89"/>
      <c r="T531" s="89"/>
      <c r="U531" s="89"/>
      <c r="V531" s="89"/>
      <c r="W531" s="89"/>
      <c r="X531" s="89"/>
      <c r="Y531" s="89"/>
      <c r="Z531" s="89"/>
    </row>
    <row r="532" spans="3:26" ht="49" thickBot="1">
      <c r="C532" s="90">
        <v>3</v>
      </c>
      <c r="D532" s="494" t="s">
        <v>30</v>
      </c>
      <c r="E532" s="1429" t="s">
        <v>919</v>
      </c>
      <c r="F532" s="1430"/>
      <c r="G532" s="1431"/>
      <c r="H532" s="847" t="s">
        <v>790</v>
      </c>
      <c r="I532" s="1498" t="s">
        <v>633</v>
      </c>
      <c r="J532" s="1499"/>
      <c r="K532" s="1500"/>
      <c r="L532" s="833" t="s">
        <v>430</v>
      </c>
      <c r="M532" s="468" t="s">
        <v>431</v>
      </c>
      <c r="N532" s="162" t="s">
        <v>105</v>
      </c>
      <c r="O532" s="114" t="s">
        <v>800</v>
      </c>
      <c r="P532" s="114" t="s">
        <v>801</v>
      </c>
      <c r="Q532" s="114" t="s">
        <v>802</v>
      </c>
      <c r="R532" s="114" t="s">
        <v>803</v>
      </c>
      <c r="S532" s="114" t="s">
        <v>804</v>
      </c>
      <c r="T532" s="114" t="s">
        <v>805</v>
      </c>
      <c r="U532" s="114" t="s">
        <v>806</v>
      </c>
      <c r="V532" s="114" t="s">
        <v>807</v>
      </c>
      <c r="W532" s="114" t="s">
        <v>808</v>
      </c>
      <c r="X532" s="114" t="s">
        <v>809</v>
      </c>
      <c r="Y532" s="114" t="s">
        <v>75</v>
      </c>
      <c r="Z532" s="114" t="s">
        <v>75</v>
      </c>
    </row>
    <row r="533" spans="3:26" ht="24">
      <c r="C533" s="90"/>
      <c r="D533" s="489" t="s">
        <v>432</v>
      </c>
      <c r="E533" s="1435"/>
      <c r="F533" s="1436"/>
      <c r="G533" s="1437"/>
      <c r="H533" s="846" t="s">
        <v>794</v>
      </c>
      <c r="I533" s="1438" t="s">
        <v>716</v>
      </c>
      <c r="J533" s="1243"/>
      <c r="K533" s="1439"/>
      <c r="L533" s="835"/>
      <c r="M533" s="466"/>
      <c r="N533" s="162"/>
      <c r="O533" s="115" t="s">
        <v>810</v>
      </c>
      <c r="P533" s="163">
        <v>0.1</v>
      </c>
      <c r="Q533" s="164">
        <v>0.03</v>
      </c>
      <c r="R533" s="165">
        <v>1.5999999999991132E-2</v>
      </c>
      <c r="S533" s="119"/>
      <c r="T533" s="115">
        <v>6.0999999999991131E-2</v>
      </c>
      <c r="U533" s="164">
        <v>-14.17</v>
      </c>
      <c r="V533" s="163">
        <v>91.8</v>
      </c>
      <c r="W533" s="166">
        <v>2</v>
      </c>
      <c r="X533" s="153">
        <v>28.34</v>
      </c>
      <c r="Y533" s="120"/>
      <c r="Z533" s="120"/>
    </row>
    <row r="534" spans="3:26" ht="24">
      <c r="C534" s="90"/>
      <c r="D534" s="490" t="s">
        <v>433</v>
      </c>
      <c r="E534" s="1492">
        <v>55.3</v>
      </c>
      <c r="F534" s="1493"/>
      <c r="G534" s="1494"/>
      <c r="H534" s="846" t="s">
        <v>795</v>
      </c>
      <c r="I534" s="1440"/>
      <c r="J534" s="1246"/>
      <c r="K534" s="1441"/>
      <c r="L534" s="835"/>
      <c r="M534" s="466"/>
      <c r="N534" s="162"/>
      <c r="O534" s="121"/>
      <c r="P534" s="121"/>
      <c r="Q534" s="121"/>
      <c r="R534" s="122"/>
      <c r="S534" s="123"/>
      <c r="T534" s="121"/>
      <c r="U534" s="121"/>
      <c r="V534" s="121"/>
      <c r="W534" s="123"/>
      <c r="X534" s="123"/>
      <c r="Y534" s="124"/>
      <c r="Z534" s="124"/>
    </row>
    <row r="535" spans="3:26" ht="24">
      <c r="C535" s="90"/>
      <c r="D535" s="490" t="s">
        <v>434</v>
      </c>
      <c r="E535" s="1492">
        <v>55.2</v>
      </c>
      <c r="F535" s="1493"/>
      <c r="G535" s="1494"/>
      <c r="H535" s="847"/>
      <c r="I535" s="1440"/>
      <c r="J535" s="1246"/>
      <c r="K535" s="1441"/>
      <c r="L535" s="835"/>
      <c r="M535" s="466"/>
      <c r="N535" s="162"/>
      <c r="O535" s="125" t="s">
        <v>811</v>
      </c>
      <c r="P535" s="167">
        <v>0.1</v>
      </c>
      <c r="Q535" s="168">
        <v>5.7000000000000002E-2</v>
      </c>
      <c r="R535" s="169">
        <v>7.0000000000000007E-2</v>
      </c>
      <c r="S535" s="129">
        <v>1</v>
      </c>
      <c r="T535" s="125">
        <v>0.15550000000000003</v>
      </c>
      <c r="U535" s="130">
        <v>-36.121885245906896</v>
      </c>
      <c r="V535" s="131">
        <v>60.5</v>
      </c>
      <c r="W535" s="170">
        <v>2.74</v>
      </c>
      <c r="X535" s="133">
        <v>98.973965573784895</v>
      </c>
      <c r="Y535" s="134"/>
      <c r="Z535" s="134">
        <v>4.4350000000000005</v>
      </c>
    </row>
    <row r="536" spans="3:26" ht="25" thickBot="1">
      <c r="C536" s="90"/>
      <c r="D536" s="491" t="s">
        <v>435</v>
      </c>
      <c r="E536" s="1447">
        <v>0.625</v>
      </c>
      <c r="F536" s="1448"/>
      <c r="G536" s="1449"/>
      <c r="H536" s="847"/>
      <c r="I536" s="1440"/>
      <c r="J536" s="1246"/>
      <c r="K536" s="1441"/>
      <c r="L536" s="836">
        <v>0.85416666666666663</v>
      </c>
      <c r="M536" s="467">
        <v>0.70833333333333326</v>
      </c>
      <c r="N536" s="162"/>
      <c r="O536" s="135" t="s">
        <v>812</v>
      </c>
      <c r="P536" s="171">
        <v>0.1</v>
      </c>
      <c r="Q536" s="156">
        <v>0.106</v>
      </c>
      <c r="R536" s="172">
        <v>7.0000000000000007E-2</v>
      </c>
      <c r="S536" s="139">
        <v>1</v>
      </c>
      <c r="T536" s="173">
        <v>0.22900000000000001</v>
      </c>
      <c r="U536" s="140">
        <v>-53.195573770499543</v>
      </c>
      <c r="V536" s="141">
        <v>60.5</v>
      </c>
      <c r="W536" s="174">
        <v>2.94</v>
      </c>
      <c r="X536" s="143">
        <v>156.39498688526865</v>
      </c>
      <c r="Y536" s="144"/>
      <c r="Z536" s="144"/>
    </row>
    <row r="537" spans="3:26" ht="25" thickBot="1">
      <c r="C537" s="90"/>
      <c r="D537" s="492" t="s">
        <v>436</v>
      </c>
      <c r="E537" s="92" t="s">
        <v>29</v>
      </c>
      <c r="F537" s="92" t="s">
        <v>28</v>
      </c>
      <c r="G537" s="93" t="s">
        <v>27</v>
      </c>
      <c r="H537" s="847" t="s">
        <v>793</v>
      </c>
      <c r="I537" s="1440"/>
      <c r="J537" s="1246"/>
      <c r="K537" s="1441"/>
      <c r="L537" s="835"/>
      <c r="M537" s="466"/>
      <c r="N537" s="162"/>
      <c r="O537" s="123"/>
      <c r="P537" s="145"/>
      <c r="Q537" s="123"/>
      <c r="R537" s="123"/>
      <c r="S537" s="123"/>
      <c r="T537" s="123"/>
      <c r="U537" s="146"/>
      <c r="V537" s="147"/>
      <c r="W537" s="123"/>
      <c r="X537" s="146"/>
      <c r="Y537" s="124"/>
      <c r="Z537" s="124"/>
    </row>
    <row r="538" spans="3:26" ht="24">
      <c r="C538" s="90"/>
      <c r="D538" s="493">
        <v>45589</v>
      </c>
      <c r="E538" s="205">
        <v>55.3</v>
      </c>
      <c r="F538" s="205" t="s">
        <v>604</v>
      </c>
      <c r="G538" s="205">
        <v>55.2</v>
      </c>
      <c r="H538" s="848">
        <v>0.58333333333333337</v>
      </c>
      <c r="I538" s="1440"/>
      <c r="J538" s="1246"/>
      <c r="K538" s="1441"/>
      <c r="L538" s="835"/>
      <c r="M538" s="466"/>
      <c r="N538" s="162"/>
      <c r="O538" s="148"/>
      <c r="P538" s="124"/>
      <c r="Q538" s="148"/>
      <c r="R538" s="148"/>
      <c r="S538" s="148"/>
      <c r="T538" s="148"/>
      <c r="U538" s="148"/>
      <c r="V538" s="148"/>
      <c r="W538" s="148"/>
      <c r="X538" s="148"/>
      <c r="Y538" s="124"/>
      <c r="Z538" s="124"/>
    </row>
    <row r="539" spans="3:26" ht="24">
      <c r="C539" s="90"/>
      <c r="D539" s="493">
        <v>45568</v>
      </c>
      <c r="E539" s="205">
        <v>55.2</v>
      </c>
      <c r="F539" s="205" t="s">
        <v>759</v>
      </c>
      <c r="G539" s="205">
        <v>55.7</v>
      </c>
      <c r="H539" s="848">
        <v>0.58333333333333337</v>
      </c>
      <c r="I539" s="1440"/>
      <c r="J539" s="1246"/>
      <c r="K539" s="1441"/>
      <c r="L539" s="835"/>
      <c r="M539" s="466"/>
      <c r="N539" s="162"/>
      <c r="O539" s="115" t="s">
        <v>813</v>
      </c>
      <c r="P539" s="163">
        <v>0.1</v>
      </c>
      <c r="Q539" s="149">
        <v>8.1500000000000003E-2</v>
      </c>
      <c r="R539" s="150">
        <v>7.0000000000000007E-2</v>
      </c>
      <c r="S539" s="119">
        <v>1</v>
      </c>
      <c r="T539" s="125">
        <v>0.19225</v>
      </c>
      <c r="U539" s="151">
        <v>-44.658729508203216</v>
      </c>
      <c r="V539" s="152">
        <v>60.5</v>
      </c>
      <c r="W539" s="119">
        <v>2</v>
      </c>
      <c r="X539" s="153">
        <v>89.317459016406431</v>
      </c>
      <c r="Y539" s="154"/>
      <c r="Z539" s="154"/>
    </row>
    <row r="540" spans="3:26" ht="24">
      <c r="C540" s="90"/>
      <c r="D540" s="493">
        <v>45558</v>
      </c>
      <c r="E540" s="205">
        <v>55.4</v>
      </c>
      <c r="F540" s="205" t="s">
        <v>585</v>
      </c>
      <c r="G540" s="205">
        <v>55.7</v>
      </c>
      <c r="H540" s="848">
        <v>0.58333333333333337</v>
      </c>
      <c r="I540" s="1440"/>
      <c r="J540" s="1246"/>
      <c r="K540" s="1441"/>
      <c r="L540" s="838"/>
      <c r="M540" s="466"/>
      <c r="N540" s="162"/>
      <c r="O540" s="115"/>
      <c r="P540" s="115"/>
      <c r="Q540" s="149"/>
      <c r="R540" s="150"/>
      <c r="S540" s="119"/>
      <c r="T540" s="163"/>
      <c r="U540" s="151"/>
      <c r="V540" s="152"/>
      <c r="W540" s="119"/>
      <c r="X540" s="153"/>
      <c r="Y540" s="154"/>
      <c r="Z540" s="154"/>
    </row>
    <row r="541" spans="3:26" ht="24">
      <c r="C541" s="90"/>
      <c r="D541" s="493">
        <v>45540</v>
      </c>
      <c r="E541" s="205">
        <v>55.7</v>
      </c>
      <c r="F541" s="205" t="s">
        <v>586</v>
      </c>
      <c r="G541" s="205">
        <v>55</v>
      </c>
      <c r="H541" s="848">
        <v>0.58333333333333337</v>
      </c>
      <c r="I541" s="1440"/>
      <c r="J541" s="1246"/>
      <c r="K541" s="1441"/>
      <c r="L541" s="835"/>
      <c r="M541" s="466"/>
      <c r="N541" s="162"/>
      <c r="O541" s="115" t="s">
        <v>816</v>
      </c>
      <c r="P541" s="116"/>
      <c r="Q541" s="149"/>
      <c r="R541" s="150"/>
      <c r="S541" s="119"/>
      <c r="T541" s="116"/>
      <c r="U541" s="151">
        <v>0</v>
      </c>
      <c r="V541" s="152"/>
      <c r="W541" s="119"/>
      <c r="X541" s="153">
        <v>0</v>
      </c>
      <c r="Y541" s="154"/>
      <c r="Z541" s="154"/>
    </row>
    <row r="542" spans="3:26" ht="24">
      <c r="C542" s="90"/>
      <c r="D542" s="493">
        <v>45526</v>
      </c>
      <c r="E542" s="205">
        <v>55.2</v>
      </c>
      <c r="F542" s="205" t="s">
        <v>587</v>
      </c>
      <c r="G542" s="205">
        <v>55</v>
      </c>
      <c r="H542" s="848">
        <v>0.58333333333333337</v>
      </c>
      <c r="I542" s="1440"/>
      <c r="J542" s="1246"/>
      <c r="K542" s="1441"/>
      <c r="L542" s="835"/>
      <c r="M542" s="466"/>
      <c r="N542" s="162"/>
      <c r="O542" s="89"/>
      <c r="P542" s="89"/>
      <c r="Q542" s="89"/>
      <c r="R542" s="89"/>
      <c r="S542" s="89"/>
      <c r="T542" s="89"/>
      <c r="U542" s="89"/>
      <c r="V542" s="89"/>
      <c r="W542" s="89"/>
      <c r="X542" s="89"/>
      <c r="Y542" s="89"/>
      <c r="Z542" s="89"/>
    </row>
    <row r="543" spans="3:26" ht="25" thickBot="1">
      <c r="C543" s="90"/>
      <c r="D543" s="493">
        <v>45509</v>
      </c>
      <c r="E543" s="205">
        <v>55</v>
      </c>
      <c r="F543" s="205" t="s">
        <v>589</v>
      </c>
      <c r="G543" s="205">
        <v>55.3</v>
      </c>
      <c r="H543" s="848">
        <v>0.58333333333333337</v>
      </c>
      <c r="I543" s="1501"/>
      <c r="J543" s="1502"/>
      <c r="K543" s="1503"/>
      <c r="L543" s="835"/>
      <c r="M543" s="466"/>
      <c r="N543" s="162"/>
      <c r="O543" s="89"/>
      <c r="P543" s="89"/>
      <c r="Q543" s="89"/>
      <c r="R543" s="89"/>
      <c r="S543" s="89"/>
      <c r="T543" s="89"/>
      <c r="U543" s="89"/>
      <c r="V543" s="89"/>
      <c r="W543" s="89"/>
      <c r="X543" s="89"/>
      <c r="Y543" s="89"/>
      <c r="Z543" s="89"/>
    </row>
    <row r="544" spans="3:26" ht="49" thickBot="1">
      <c r="C544" s="90">
        <v>4</v>
      </c>
      <c r="D544" s="494" t="s">
        <v>30</v>
      </c>
      <c r="E544" s="1429" t="s">
        <v>920</v>
      </c>
      <c r="F544" s="1430"/>
      <c r="G544" s="1431"/>
      <c r="H544" s="847" t="s">
        <v>790</v>
      </c>
      <c r="I544" s="1498" t="s">
        <v>633</v>
      </c>
      <c r="J544" s="1499"/>
      <c r="K544" s="1500"/>
      <c r="L544" s="833" t="s">
        <v>430</v>
      </c>
      <c r="M544" s="468" t="s">
        <v>431</v>
      </c>
      <c r="N544" s="162" t="s">
        <v>105</v>
      </c>
      <c r="O544" s="114" t="s">
        <v>800</v>
      </c>
      <c r="P544" s="114" t="s">
        <v>801</v>
      </c>
      <c r="Q544" s="114" t="s">
        <v>802</v>
      </c>
      <c r="R544" s="114" t="s">
        <v>803</v>
      </c>
      <c r="S544" s="114" t="s">
        <v>804</v>
      </c>
      <c r="T544" s="114" t="s">
        <v>805</v>
      </c>
      <c r="U544" s="114" t="s">
        <v>806</v>
      </c>
      <c r="V544" s="114" t="s">
        <v>807</v>
      </c>
      <c r="W544" s="114" t="s">
        <v>808</v>
      </c>
      <c r="X544" s="114" t="s">
        <v>809</v>
      </c>
      <c r="Y544" s="114" t="s">
        <v>75</v>
      </c>
      <c r="Z544" s="114" t="s">
        <v>75</v>
      </c>
    </row>
    <row r="545" spans="3:26" ht="24">
      <c r="C545" s="90"/>
      <c r="D545" s="489" t="s">
        <v>432</v>
      </c>
      <c r="E545" s="1435"/>
      <c r="F545" s="1436"/>
      <c r="G545" s="1437"/>
      <c r="H545" s="846" t="s">
        <v>794</v>
      </c>
      <c r="I545" s="1438" t="s">
        <v>921</v>
      </c>
      <c r="J545" s="1243"/>
      <c r="K545" s="1439"/>
      <c r="L545" s="835"/>
      <c r="M545" s="466"/>
      <c r="N545" s="162"/>
      <c r="O545" s="115" t="s">
        <v>810</v>
      </c>
      <c r="P545" s="163">
        <v>0.1</v>
      </c>
      <c r="Q545" s="164">
        <v>0.03</v>
      </c>
      <c r="R545" s="165">
        <v>1.5999999999991132E-2</v>
      </c>
      <c r="S545" s="119"/>
      <c r="T545" s="115">
        <v>6.0999999999991131E-2</v>
      </c>
      <c r="U545" s="164">
        <v>-14.17</v>
      </c>
      <c r="V545" s="163">
        <v>91.8</v>
      </c>
      <c r="W545" s="166">
        <v>2</v>
      </c>
      <c r="X545" s="153">
        <v>28.34</v>
      </c>
      <c r="Y545" s="120"/>
      <c r="Z545" s="120"/>
    </row>
    <row r="546" spans="3:26" ht="24">
      <c r="C546" s="90"/>
      <c r="D546" s="490" t="s">
        <v>433</v>
      </c>
      <c r="E546" s="1492">
        <v>53.3</v>
      </c>
      <c r="F546" s="1493"/>
      <c r="G546" s="1494"/>
      <c r="H546" s="846" t="s">
        <v>795</v>
      </c>
      <c r="I546" s="1440"/>
      <c r="J546" s="1246"/>
      <c r="K546" s="1441"/>
      <c r="L546" s="835"/>
      <c r="M546" s="466"/>
      <c r="N546" s="162"/>
      <c r="O546" s="121"/>
      <c r="P546" s="121"/>
      <c r="Q546" s="121"/>
      <c r="R546" s="122"/>
      <c r="S546" s="123"/>
      <c r="T546" s="121"/>
      <c r="U546" s="121"/>
      <c r="V546" s="121"/>
      <c r="W546" s="123"/>
      <c r="X546" s="123"/>
      <c r="Y546" s="124"/>
      <c r="Z546" s="124"/>
    </row>
    <row r="547" spans="3:26" ht="24">
      <c r="C547" s="90"/>
      <c r="D547" s="490" t="s">
        <v>434</v>
      </c>
      <c r="E547" s="1492">
        <v>54.9</v>
      </c>
      <c r="F547" s="1493"/>
      <c r="G547" s="1494"/>
      <c r="H547" s="847"/>
      <c r="I547" s="1440"/>
      <c r="J547" s="1246"/>
      <c r="K547" s="1441"/>
      <c r="L547" s="835"/>
      <c r="M547" s="466"/>
      <c r="N547" s="162"/>
      <c r="O547" s="125" t="s">
        <v>811</v>
      </c>
      <c r="P547" s="167">
        <v>0.05</v>
      </c>
      <c r="Q547" s="168">
        <v>7.51E-2</v>
      </c>
      <c r="R547" s="169">
        <v>7.0000000000000007E-2</v>
      </c>
      <c r="S547" s="129">
        <v>1</v>
      </c>
      <c r="T547" s="125">
        <v>0.18265000000000001</v>
      </c>
      <c r="U547" s="130">
        <v>-21.214348360658821</v>
      </c>
      <c r="V547" s="131">
        <v>30.25</v>
      </c>
      <c r="W547" s="170">
        <v>2.94</v>
      </c>
      <c r="X547" s="133">
        <v>62.370184180336935</v>
      </c>
      <c r="Y547" s="134"/>
      <c r="Z547" s="134">
        <v>4.4350000000000005</v>
      </c>
    </row>
    <row r="548" spans="3:26" ht="25" thickBot="1">
      <c r="C548" s="90"/>
      <c r="D548" s="491" t="s">
        <v>435</v>
      </c>
      <c r="E548" s="1447">
        <v>0.625</v>
      </c>
      <c r="F548" s="1448"/>
      <c r="G548" s="1449"/>
      <c r="H548" s="847"/>
      <c r="I548" s="1440"/>
      <c r="J548" s="1246"/>
      <c r="K548" s="1441"/>
      <c r="L548" s="836">
        <v>0.85416666666666663</v>
      </c>
      <c r="M548" s="467">
        <v>0.70833333333333326</v>
      </c>
      <c r="N548" s="162"/>
      <c r="O548" s="135" t="s">
        <v>812</v>
      </c>
      <c r="P548" s="171">
        <v>0.05</v>
      </c>
      <c r="Q548" s="156">
        <v>0.10166666666666667</v>
      </c>
      <c r="R548" s="172">
        <v>7.0000000000000007E-2</v>
      </c>
      <c r="S548" s="139">
        <v>1</v>
      </c>
      <c r="T548" s="173">
        <v>0.2225</v>
      </c>
      <c r="U548" s="140">
        <v>-25.842827868856215</v>
      </c>
      <c r="V548" s="141">
        <v>30.25</v>
      </c>
      <c r="W548" s="174">
        <v>3.19</v>
      </c>
      <c r="X548" s="143">
        <v>82.438620901651319</v>
      </c>
      <c r="Y548" s="144"/>
      <c r="Z548" s="144"/>
    </row>
    <row r="549" spans="3:26" ht="25" thickBot="1">
      <c r="C549" s="90"/>
      <c r="D549" s="492" t="s">
        <v>436</v>
      </c>
      <c r="E549" s="92" t="s">
        <v>29</v>
      </c>
      <c r="F549" s="92" t="s">
        <v>28</v>
      </c>
      <c r="G549" s="93" t="s">
        <v>27</v>
      </c>
      <c r="H549" s="847" t="s">
        <v>793</v>
      </c>
      <c r="I549" s="1440"/>
      <c r="J549" s="1246"/>
      <c r="K549" s="1441"/>
      <c r="L549" s="835"/>
      <c r="M549" s="466"/>
      <c r="N549" s="162"/>
      <c r="O549" s="123"/>
      <c r="P549" s="145"/>
      <c r="Q549" s="123"/>
      <c r="R549" s="123"/>
      <c r="S549" s="123"/>
      <c r="T549" s="123"/>
      <c r="U549" s="146"/>
      <c r="V549" s="147"/>
      <c r="W549" s="123"/>
      <c r="X549" s="146"/>
      <c r="Y549" s="124"/>
      <c r="Z549" s="124"/>
    </row>
    <row r="550" spans="3:26" ht="24">
      <c r="C550" s="90"/>
      <c r="D550" s="493">
        <v>45568</v>
      </c>
      <c r="E550" s="205">
        <v>54.9</v>
      </c>
      <c r="F550" s="205" t="s">
        <v>506</v>
      </c>
      <c r="G550" s="205">
        <v>51.5</v>
      </c>
      <c r="H550" s="848">
        <v>0.58333333333333337</v>
      </c>
      <c r="I550" s="1440"/>
      <c r="J550" s="1246"/>
      <c r="K550" s="1441"/>
      <c r="L550" s="835"/>
      <c r="M550" s="466"/>
      <c r="N550" s="162"/>
      <c r="O550" s="148"/>
      <c r="P550" s="124"/>
      <c r="Q550" s="148"/>
      <c r="R550" s="148"/>
      <c r="S550" s="148"/>
      <c r="T550" s="148"/>
      <c r="U550" s="148"/>
      <c r="V550" s="148"/>
      <c r="W550" s="148"/>
      <c r="X550" s="148"/>
      <c r="Y550" s="124"/>
      <c r="Z550" s="124"/>
    </row>
    <row r="551" spans="3:26" ht="24">
      <c r="C551" s="90"/>
      <c r="D551" s="493">
        <v>45540</v>
      </c>
      <c r="E551" s="205">
        <v>51.5</v>
      </c>
      <c r="F551" s="205" t="s">
        <v>594</v>
      </c>
      <c r="G551" s="205">
        <v>51.4</v>
      </c>
      <c r="H551" s="848">
        <v>0.58333333333333337</v>
      </c>
      <c r="I551" s="1440"/>
      <c r="J551" s="1246"/>
      <c r="K551" s="1441"/>
      <c r="L551" s="835"/>
      <c r="M551" s="466"/>
      <c r="N551" s="162"/>
      <c r="O551" s="115" t="s">
        <v>813</v>
      </c>
      <c r="P551" s="163">
        <v>-0.05</v>
      </c>
      <c r="Q551" s="149">
        <v>8.8383333333333342E-2</v>
      </c>
      <c r="R551" s="150">
        <v>7.0000000000000007E-2</v>
      </c>
      <c r="S551" s="119">
        <v>-1</v>
      </c>
      <c r="T551" s="125">
        <v>0.20257500000000001</v>
      </c>
      <c r="U551" s="151">
        <v>-23.528588114757518</v>
      </c>
      <c r="V551" s="152">
        <v>-30.25</v>
      </c>
      <c r="W551" s="119">
        <v>2.5</v>
      </c>
      <c r="X551" s="153">
        <v>58.821470286893799</v>
      </c>
      <c r="Y551" s="154"/>
      <c r="Z551" s="154"/>
    </row>
    <row r="552" spans="3:26" ht="24">
      <c r="C552" s="90"/>
      <c r="D552" s="493">
        <v>45509</v>
      </c>
      <c r="E552" s="205">
        <v>51.4</v>
      </c>
      <c r="F552" s="205" t="s">
        <v>595</v>
      </c>
      <c r="G552" s="205">
        <v>48.8</v>
      </c>
      <c r="H552" s="848">
        <v>0.58333333333333337</v>
      </c>
      <c r="I552" s="1440"/>
      <c r="J552" s="1246"/>
      <c r="K552" s="1441"/>
      <c r="L552" s="838"/>
      <c r="M552" s="466"/>
      <c r="N552" s="162"/>
      <c r="O552" s="115" t="s">
        <v>813</v>
      </c>
      <c r="P552" s="163">
        <v>0.05</v>
      </c>
      <c r="Q552" s="149">
        <v>8.8383333333333342E-2</v>
      </c>
      <c r="R552" s="150">
        <v>7.0000000000000007E-2</v>
      </c>
      <c r="S552" s="119">
        <v>1</v>
      </c>
      <c r="T552" s="125">
        <v>0.20257500000000001</v>
      </c>
      <c r="U552" s="151">
        <v>-23.528588114757518</v>
      </c>
      <c r="V552" s="152">
        <v>30.25</v>
      </c>
      <c r="W552" s="119">
        <v>2.5</v>
      </c>
      <c r="X552" s="153">
        <v>58.821470286893799</v>
      </c>
      <c r="Y552" s="154"/>
      <c r="Z552" s="154"/>
    </row>
    <row r="553" spans="3:26" ht="24">
      <c r="C553" s="90"/>
      <c r="D553" s="493">
        <v>45476</v>
      </c>
      <c r="E553" s="205">
        <v>48.8</v>
      </c>
      <c r="F553" s="205" t="s">
        <v>596</v>
      </c>
      <c r="G553" s="205">
        <v>53.8</v>
      </c>
      <c r="H553" s="848">
        <v>0.58333333333333337</v>
      </c>
      <c r="I553" s="1440"/>
      <c r="J553" s="1246"/>
      <c r="K553" s="1441"/>
      <c r="L553" s="835"/>
      <c r="M553" s="466"/>
      <c r="N553" s="162"/>
      <c r="O553" s="115" t="s">
        <v>816</v>
      </c>
      <c r="P553" s="116"/>
      <c r="Q553" s="149"/>
      <c r="R553" s="150"/>
      <c r="S553" s="119"/>
      <c r="T553" s="116"/>
      <c r="U553" s="151"/>
      <c r="V553" s="152"/>
      <c r="W553" s="119"/>
      <c r="X553" s="153"/>
      <c r="Y553" s="154"/>
      <c r="Z553" s="154"/>
    </row>
    <row r="554" spans="3:26" ht="24">
      <c r="C554" s="90"/>
      <c r="D554" s="493">
        <v>45448</v>
      </c>
      <c r="E554" s="205">
        <v>53.8</v>
      </c>
      <c r="F554" s="205" t="s">
        <v>597</v>
      </c>
      <c r="G554" s="205">
        <v>49.4</v>
      </c>
      <c r="H554" s="848">
        <v>0.58333333333333337</v>
      </c>
      <c r="I554" s="1440"/>
      <c r="J554" s="1246"/>
      <c r="K554" s="1441"/>
      <c r="L554" s="835"/>
      <c r="M554" s="466"/>
      <c r="N554" s="162"/>
      <c r="O554" s="89"/>
      <c r="P554" s="89"/>
      <c r="Q554" s="89"/>
      <c r="R554" s="89"/>
      <c r="S554" s="89"/>
      <c r="T554" s="89"/>
      <c r="U554" s="89"/>
      <c r="V554" s="89"/>
      <c r="W554" s="89"/>
      <c r="X554" s="89"/>
      <c r="Y554" s="89"/>
      <c r="Z554" s="89"/>
    </row>
    <row r="555" spans="3:26" ht="25" thickBot="1">
      <c r="C555" s="90"/>
      <c r="D555" s="493">
        <v>45415</v>
      </c>
      <c r="E555" s="205">
        <v>49.4</v>
      </c>
      <c r="F555" s="205" t="s">
        <v>599</v>
      </c>
      <c r="G555" s="205">
        <v>51.4</v>
      </c>
      <c r="H555" s="848">
        <v>0.58333333333333337</v>
      </c>
      <c r="I555" s="1501"/>
      <c r="J555" s="1502"/>
      <c r="K555" s="1503"/>
      <c r="L555" s="835"/>
      <c r="M555" s="466"/>
      <c r="N555" s="162"/>
      <c r="O555" s="89"/>
      <c r="P555" s="89"/>
      <c r="Q555" s="89"/>
      <c r="R555" s="89"/>
      <c r="S555" s="89"/>
      <c r="T555" s="89"/>
      <c r="U555" s="89"/>
      <c r="V555" s="89"/>
      <c r="W555" s="89"/>
      <c r="X555" s="89"/>
      <c r="Y555" s="89"/>
      <c r="Z555" s="89"/>
    </row>
    <row r="556" spans="3:26" ht="49" thickBot="1">
      <c r="C556" s="90">
        <v>5</v>
      </c>
      <c r="D556" s="494" t="s">
        <v>30</v>
      </c>
      <c r="E556" s="1429" t="s">
        <v>922</v>
      </c>
      <c r="F556" s="1430"/>
      <c r="G556" s="1431"/>
      <c r="H556" s="847" t="s">
        <v>790</v>
      </c>
      <c r="I556" s="1498" t="s">
        <v>633</v>
      </c>
      <c r="J556" s="1499"/>
      <c r="K556" s="1500"/>
      <c r="L556" s="833" t="s">
        <v>430</v>
      </c>
      <c r="M556" s="468" t="s">
        <v>431</v>
      </c>
      <c r="N556" s="162" t="s">
        <v>105</v>
      </c>
      <c r="O556" s="114" t="s">
        <v>800</v>
      </c>
      <c r="P556" s="114" t="s">
        <v>801</v>
      </c>
      <c r="Q556" s="114" t="s">
        <v>802</v>
      </c>
      <c r="R556" s="114" t="s">
        <v>803</v>
      </c>
      <c r="S556" s="114" t="s">
        <v>804</v>
      </c>
      <c r="T556" s="114" t="s">
        <v>805</v>
      </c>
      <c r="U556" s="114" t="s">
        <v>806</v>
      </c>
      <c r="V556" s="114" t="s">
        <v>807</v>
      </c>
      <c r="W556" s="114" t="s">
        <v>808</v>
      </c>
      <c r="X556" s="114" t="s">
        <v>809</v>
      </c>
      <c r="Y556" s="114" t="s">
        <v>75</v>
      </c>
      <c r="Z556" s="114" t="s">
        <v>75</v>
      </c>
    </row>
    <row r="557" spans="3:26" ht="24">
      <c r="C557" s="90"/>
      <c r="D557" s="489" t="s">
        <v>432</v>
      </c>
      <c r="E557" s="1435"/>
      <c r="F557" s="1436"/>
      <c r="G557" s="1437"/>
      <c r="H557" s="846" t="s">
        <v>794</v>
      </c>
      <c r="I557" s="1438" t="s">
        <v>923</v>
      </c>
      <c r="J557" s="1243"/>
      <c r="K557" s="1439"/>
      <c r="L557" s="835"/>
      <c r="M557" s="466"/>
      <c r="N557" s="162"/>
      <c r="O557" s="115" t="s">
        <v>810</v>
      </c>
      <c r="P557" s="163">
        <v>0.1</v>
      </c>
      <c r="Q557" s="164">
        <v>1.2999999999999999E-2</v>
      </c>
      <c r="R557" s="165">
        <v>2.199999999999136E-2</v>
      </c>
      <c r="S557" s="119"/>
      <c r="T557" s="115">
        <v>4.1499999999991363E-2</v>
      </c>
      <c r="U557" s="164">
        <v>-10.74</v>
      </c>
      <c r="V557" s="163">
        <v>60.23</v>
      </c>
      <c r="W557" s="163"/>
      <c r="X557" s="153"/>
      <c r="Y557" s="120"/>
      <c r="Z557" s="120"/>
    </row>
    <row r="558" spans="3:26" ht="24">
      <c r="C558" s="90"/>
      <c r="D558" s="490" t="s">
        <v>433</v>
      </c>
      <c r="E558" s="1492">
        <v>0</v>
      </c>
      <c r="F558" s="1493"/>
      <c r="G558" s="1494"/>
      <c r="H558" s="846" t="s">
        <v>795</v>
      </c>
      <c r="I558" s="1440"/>
      <c r="J558" s="1246"/>
      <c r="K558" s="1441"/>
      <c r="L558" s="835"/>
      <c r="M558" s="466"/>
      <c r="N558" s="162"/>
      <c r="O558" s="121"/>
      <c r="P558" s="121"/>
      <c r="Q558" s="121"/>
      <c r="R558" s="122"/>
      <c r="S558" s="123"/>
      <c r="T558" s="121"/>
      <c r="U558" s="121"/>
      <c r="V558" s="121"/>
      <c r="W558" s="121"/>
      <c r="X558" s="123"/>
      <c r="Y558" s="124"/>
      <c r="Z558" s="124"/>
    </row>
    <row r="559" spans="3:26" ht="24">
      <c r="C559" s="90"/>
      <c r="D559" s="490" t="s">
        <v>434</v>
      </c>
      <c r="E559" s="1492">
        <v>59.4</v>
      </c>
      <c r="F559" s="1493"/>
      <c r="G559" s="1494"/>
      <c r="H559" s="847"/>
      <c r="I559" s="1440"/>
      <c r="J559" s="1246"/>
      <c r="K559" s="1441"/>
      <c r="L559" s="835"/>
      <c r="M559" s="466"/>
      <c r="N559" s="162"/>
      <c r="O559" s="125" t="s">
        <v>811</v>
      </c>
      <c r="P559" s="167">
        <v>0.1</v>
      </c>
      <c r="Q559" s="168">
        <v>9.2700000000000005E-2</v>
      </c>
      <c r="R559" s="169">
        <v>2.4E-2</v>
      </c>
      <c r="S559" s="179">
        <v>1</v>
      </c>
      <c r="T559" s="125">
        <v>0.16305</v>
      </c>
      <c r="U559" s="130">
        <v>-42.196554216876251</v>
      </c>
      <c r="V559" s="131">
        <v>60.5</v>
      </c>
      <c r="W559" s="180">
        <v>4.95</v>
      </c>
      <c r="X559" s="133">
        <v>208.87294337353745</v>
      </c>
      <c r="Y559" s="134"/>
      <c r="Z559" s="134"/>
    </row>
    <row r="560" spans="3:26" ht="25" thickBot="1">
      <c r="C560" s="90"/>
      <c r="D560" s="491" t="s">
        <v>435</v>
      </c>
      <c r="E560" s="1447">
        <v>0.625</v>
      </c>
      <c r="F560" s="1448"/>
      <c r="G560" s="1449"/>
      <c r="H560" s="847"/>
      <c r="I560" s="1440"/>
      <c r="J560" s="1246"/>
      <c r="K560" s="1441"/>
      <c r="L560" s="836">
        <v>0.85416666666666663</v>
      </c>
      <c r="M560" s="467">
        <v>0.70833333333333326</v>
      </c>
      <c r="N560" s="162"/>
      <c r="O560" s="135" t="s">
        <v>812</v>
      </c>
      <c r="P560" s="171">
        <v>0.1</v>
      </c>
      <c r="Q560" s="156">
        <v>0.10253333333333335</v>
      </c>
      <c r="R560" s="172">
        <v>2.4E-2</v>
      </c>
      <c r="S560" s="181">
        <v>1</v>
      </c>
      <c r="T560" s="173">
        <v>0.17780000000000001</v>
      </c>
      <c r="U560" s="140">
        <v>-46.0137831325397</v>
      </c>
      <c r="V560" s="141">
        <v>60.5</v>
      </c>
      <c r="W560" s="182">
        <v>3.5933333333333337</v>
      </c>
      <c r="X560" s="143">
        <v>165.34286072292602</v>
      </c>
      <c r="Y560" s="144"/>
      <c r="Z560" s="144"/>
    </row>
    <row r="561" spans="3:26" ht="25" thickBot="1">
      <c r="C561" s="90"/>
      <c r="D561" s="492" t="s">
        <v>436</v>
      </c>
      <c r="E561" s="92" t="s">
        <v>29</v>
      </c>
      <c r="F561" s="92" t="s">
        <v>28</v>
      </c>
      <c r="G561" s="93" t="s">
        <v>27</v>
      </c>
      <c r="H561" s="847" t="s">
        <v>793</v>
      </c>
      <c r="I561" s="1440"/>
      <c r="J561" s="1246"/>
      <c r="K561" s="1441"/>
      <c r="L561" s="835"/>
      <c r="M561" s="466"/>
      <c r="N561" s="162"/>
      <c r="O561" s="123"/>
      <c r="P561" s="145"/>
      <c r="Q561" s="123"/>
      <c r="R561" s="123"/>
      <c r="S561" s="183"/>
      <c r="T561" s="123"/>
      <c r="U561" s="146"/>
      <c r="V561" s="147"/>
      <c r="W561" s="184"/>
      <c r="X561" s="146"/>
      <c r="Y561" s="124"/>
      <c r="Z561" s="124"/>
    </row>
    <row r="562" spans="3:26" ht="24">
      <c r="C562" s="90"/>
      <c r="D562" s="493">
        <v>45568</v>
      </c>
      <c r="E562" s="205">
        <v>59.4</v>
      </c>
      <c r="F562" s="205" t="s">
        <v>943</v>
      </c>
      <c r="G562" s="205">
        <v>57.3</v>
      </c>
      <c r="H562" s="848">
        <v>0.58333333333333337</v>
      </c>
      <c r="I562" s="1440"/>
      <c r="J562" s="1246"/>
      <c r="K562" s="1441"/>
      <c r="L562" s="835"/>
      <c r="M562" s="466"/>
      <c r="N562" s="162"/>
      <c r="O562" s="148"/>
      <c r="P562" s="124"/>
      <c r="Q562" s="148"/>
      <c r="R562" s="148"/>
      <c r="S562" s="183"/>
      <c r="T562" s="148"/>
      <c r="U562" s="148"/>
      <c r="V562" s="148"/>
      <c r="W562" s="186"/>
      <c r="X562" s="148"/>
      <c r="Y562" s="124"/>
      <c r="Z562" s="124"/>
    </row>
    <row r="563" spans="3:26" ht="24">
      <c r="C563" s="90"/>
      <c r="D563" s="493">
        <v>45540</v>
      </c>
      <c r="E563" s="205">
        <v>57.3</v>
      </c>
      <c r="F563" s="205" t="s">
        <v>589</v>
      </c>
      <c r="G563" s="205">
        <v>57</v>
      </c>
      <c r="H563" s="848">
        <v>0.58333333333333337</v>
      </c>
      <c r="I563" s="1440"/>
      <c r="J563" s="1246"/>
      <c r="K563" s="1441"/>
      <c r="L563" s="835"/>
      <c r="M563" s="466"/>
      <c r="N563" s="162"/>
      <c r="O563" s="115" t="s">
        <v>813</v>
      </c>
      <c r="P563" s="187">
        <v>0.1</v>
      </c>
      <c r="Q563" s="149">
        <v>0.10253333333333335</v>
      </c>
      <c r="R563" s="150">
        <v>2.4E-2</v>
      </c>
      <c r="S563" s="187">
        <v>1</v>
      </c>
      <c r="T563" s="188">
        <v>0.17780000000000001</v>
      </c>
      <c r="U563" s="151">
        <v>-46.0137831325397</v>
      </c>
      <c r="V563" s="152">
        <v>60.5</v>
      </c>
      <c r="W563" s="189">
        <v>3</v>
      </c>
      <c r="X563" s="153">
        <v>138.04134939761911</v>
      </c>
      <c r="Y563" s="154"/>
      <c r="Z563" s="154"/>
    </row>
    <row r="564" spans="3:26" ht="24">
      <c r="C564" s="90"/>
      <c r="D564" s="493">
        <v>45509</v>
      </c>
      <c r="E564" s="205">
        <v>57</v>
      </c>
      <c r="F564" s="205" t="s">
        <v>589</v>
      </c>
      <c r="G564" s="205">
        <v>56.3</v>
      </c>
      <c r="H564" s="848">
        <v>0.58333333333333337</v>
      </c>
      <c r="I564" s="1440"/>
      <c r="J564" s="1246"/>
      <c r="K564" s="1441"/>
      <c r="L564" s="838"/>
      <c r="M564" s="466"/>
      <c r="N564" s="162"/>
      <c r="O564" s="115"/>
      <c r="P564" s="116"/>
      <c r="Q564" s="149"/>
      <c r="R564" s="150"/>
      <c r="S564" s="139"/>
      <c r="T564" s="116"/>
      <c r="U564" s="151"/>
      <c r="V564" s="152"/>
      <c r="W564" s="119"/>
      <c r="X564" s="153"/>
      <c r="Y564" s="154"/>
      <c r="Z564" s="154"/>
    </row>
    <row r="565" spans="3:26" ht="24">
      <c r="C565" s="90"/>
      <c r="D565" s="493">
        <v>45476</v>
      </c>
      <c r="E565" s="205">
        <v>56.3</v>
      </c>
      <c r="F565" s="205" t="s">
        <v>602</v>
      </c>
      <c r="G565" s="205">
        <v>58.1</v>
      </c>
      <c r="H565" s="848">
        <v>0.58333333333333337</v>
      </c>
      <c r="I565" s="1440"/>
      <c r="J565" s="1246"/>
      <c r="K565" s="1441"/>
      <c r="L565" s="835"/>
      <c r="M565" s="466"/>
      <c r="N565" s="162"/>
      <c r="O565" s="115"/>
      <c r="P565" s="116"/>
      <c r="Q565" s="149"/>
      <c r="R565" s="150"/>
      <c r="S565" s="119"/>
      <c r="T565" s="116"/>
      <c r="U565" s="151"/>
      <c r="V565" s="152"/>
      <c r="W565" s="119"/>
      <c r="X565" s="153"/>
      <c r="Y565" s="154"/>
      <c r="Z565" s="154"/>
    </row>
    <row r="566" spans="3:26" ht="24">
      <c r="C566" s="90"/>
      <c r="D566" s="493">
        <v>45448</v>
      </c>
      <c r="E566" s="205">
        <v>58.1</v>
      </c>
      <c r="F566" s="205" t="s">
        <v>603</v>
      </c>
      <c r="G566" s="205">
        <v>59.2</v>
      </c>
      <c r="H566" s="848">
        <v>0.58333333333333337</v>
      </c>
      <c r="I566" s="1440"/>
      <c r="J566" s="1246"/>
      <c r="K566" s="1441"/>
      <c r="L566" s="835"/>
      <c r="M566" s="466"/>
      <c r="N566" s="162"/>
      <c r="O566" s="89"/>
      <c r="P566" s="89"/>
      <c r="Q566" s="89"/>
      <c r="R566" s="89"/>
      <c r="S566" s="89"/>
      <c r="T566" s="89"/>
      <c r="U566" s="89"/>
      <c r="V566" s="89"/>
      <c r="W566" s="89"/>
      <c r="X566" s="89"/>
      <c r="Y566" s="89"/>
      <c r="Z566" s="89"/>
    </row>
    <row r="567" spans="3:26" ht="25" thickBot="1">
      <c r="C567" s="90"/>
      <c r="D567" s="493">
        <v>45415</v>
      </c>
      <c r="E567" s="205">
        <v>59.2</v>
      </c>
      <c r="F567" s="205" t="s">
        <v>604</v>
      </c>
      <c r="G567" s="205">
        <v>53.4</v>
      </c>
      <c r="H567" s="848">
        <v>0.58333333333333337</v>
      </c>
      <c r="I567" s="1501"/>
      <c r="J567" s="1502"/>
      <c r="K567" s="1503"/>
      <c r="L567" s="835"/>
      <c r="M567" s="466"/>
      <c r="N567" s="162"/>
      <c r="O567" s="89"/>
      <c r="P567" s="89"/>
      <c r="Q567" s="89"/>
      <c r="R567" s="89"/>
      <c r="S567" s="89"/>
      <c r="T567" s="89"/>
      <c r="U567" s="89"/>
      <c r="V567" s="89"/>
      <c r="W567" s="89"/>
      <c r="X567" s="89"/>
      <c r="Y567" s="89"/>
      <c r="Z567" s="89"/>
    </row>
    <row r="568" spans="3:26" ht="49" thickBot="1">
      <c r="C568" s="90">
        <v>6</v>
      </c>
      <c r="D568" s="494" t="s">
        <v>30</v>
      </c>
      <c r="E568" s="1429" t="s">
        <v>52</v>
      </c>
      <c r="F568" s="1430"/>
      <c r="G568" s="1431"/>
      <c r="H568" s="847" t="s">
        <v>790</v>
      </c>
      <c r="I568" s="1498" t="s">
        <v>633</v>
      </c>
      <c r="J568" s="1499"/>
      <c r="K568" s="1500"/>
      <c r="L568" s="833" t="s">
        <v>430</v>
      </c>
      <c r="M568" s="468" t="s">
        <v>431</v>
      </c>
      <c r="N568" s="162" t="s">
        <v>105</v>
      </c>
      <c r="O568" s="114" t="s">
        <v>800</v>
      </c>
      <c r="P568" s="114" t="s">
        <v>801</v>
      </c>
      <c r="Q568" s="114" t="s">
        <v>802</v>
      </c>
      <c r="R568" s="114" t="s">
        <v>803</v>
      </c>
      <c r="S568" s="114" t="s">
        <v>804</v>
      </c>
      <c r="T568" s="114" t="s">
        <v>805</v>
      </c>
      <c r="U568" s="114" t="s">
        <v>806</v>
      </c>
      <c r="V568" s="114" t="s">
        <v>807</v>
      </c>
      <c r="W568" s="114" t="s">
        <v>808</v>
      </c>
      <c r="X568" s="114" t="s">
        <v>809</v>
      </c>
      <c r="Y568" s="114" t="s">
        <v>75</v>
      </c>
      <c r="Z568" s="114" t="s">
        <v>75</v>
      </c>
    </row>
    <row r="569" spans="3:26" ht="24">
      <c r="C569" s="162"/>
      <c r="D569" s="489" t="s">
        <v>432</v>
      </c>
      <c r="E569" s="1435"/>
      <c r="F569" s="1436"/>
      <c r="G569" s="1437"/>
      <c r="H569" s="846" t="s">
        <v>794</v>
      </c>
      <c r="I569" s="1438" t="s">
        <v>924</v>
      </c>
      <c r="J569" s="1243"/>
      <c r="K569" s="1439"/>
      <c r="L569" s="835"/>
      <c r="M569" s="466"/>
      <c r="N569" s="162"/>
      <c r="O569" s="115" t="s">
        <v>810</v>
      </c>
      <c r="P569" s="163">
        <v>0.1</v>
      </c>
      <c r="Q569" s="164">
        <v>2.1999999999999999E-2</v>
      </c>
      <c r="R569" s="165">
        <v>3.0000000000001137E-2</v>
      </c>
      <c r="S569" s="119"/>
      <c r="T569" s="115">
        <v>6.3000000000001138E-2</v>
      </c>
      <c r="U569" s="164">
        <v>-15.02</v>
      </c>
      <c r="V569" s="163">
        <v>99.37</v>
      </c>
      <c r="W569" s="163"/>
      <c r="X569" s="153"/>
      <c r="Y569" s="120"/>
      <c r="Z569" s="120"/>
    </row>
    <row r="570" spans="3:26" ht="24">
      <c r="C570" s="162"/>
      <c r="D570" s="490" t="s">
        <v>433</v>
      </c>
      <c r="E570" s="1492">
        <v>0</v>
      </c>
      <c r="F570" s="1493"/>
      <c r="G570" s="1494"/>
      <c r="H570" s="846" t="s">
        <v>795</v>
      </c>
      <c r="I570" s="1440"/>
      <c r="J570" s="1246"/>
      <c r="K570" s="1441"/>
      <c r="L570" s="835"/>
      <c r="M570" s="466"/>
      <c r="N570" s="162"/>
      <c r="O570" s="121"/>
      <c r="P570" s="121"/>
      <c r="Q570" s="121"/>
      <c r="R570" s="122"/>
      <c r="S570" s="123"/>
      <c r="T570" s="121"/>
      <c r="U570" s="121"/>
      <c r="V570" s="121"/>
      <c r="W570" s="121"/>
      <c r="X570" s="123"/>
      <c r="Y570" s="124"/>
      <c r="Z570" s="124"/>
    </row>
    <row r="571" spans="3:26" ht="24">
      <c r="C571" s="162"/>
      <c r="D571" s="490" t="s">
        <v>434</v>
      </c>
      <c r="E571" s="1507">
        <v>4.0660000000000002E-2</v>
      </c>
      <c r="F571" s="1508"/>
      <c r="G571" s="1509"/>
      <c r="H571" s="847"/>
      <c r="I571" s="1440"/>
      <c r="J571" s="1246"/>
      <c r="K571" s="1441"/>
      <c r="L571" s="835"/>
      <c r="M571" s="466"/>
      <c r="N571" s="162"/>
      <c r="O571" s="125" t="s">
        <v>811</v>
      </c>
      <c r="P571" s="167">
        <v>0.1</v>
      </c>
      <c r="Q571" s="168">
        <v>5.0599999999999999E-2</v>
      </c>
      <c r="R571" s="169">
        <v>3.0000000000001137E-2</v>
      </c>
      <c r="S571" s="179">
        <v>1</v>
      </c>
      <c r="T571" s="125">
        <v>0.10590000000000113</v>
      </c>
      <c r="U571" s="130">
        <v>-25.247904761904575</v>
      </c>
      <c r="V571" s="131">
        <v>99.37</v>
      </c>
      <c r="W571" s="180">
        <v>4.26</v>
      </c>
      <c r="X571" s="133">
        <v>107.55607428571348</v>
      </c>
      <c r="Y571" s="134"/>
      <c r="Z571" s="134">
        <v>4.4350000000000005</v>
      </c>
    </row>
    <row r="572" spans="3:26" ht="25" thickBot="1">
      <c r="C572" s="162"/>
      <c r="D572" s="491" t="s">
        <v>435</v>
      </c>
      <c r="E572" s="1447">
        <v>0.75</v>
      </c>
      <c r="F572" s="1448"/>
      <c r="G572" s="1449"/>
      <c r="H572" s="847"/>
      <c r="I572" s="1440"/>
      <c r="J572" s="1246"/>
      <c r="K572" s="1441"/>
      <c r="L572" s="836">
        <v>0.97916666666666663</v>
      </c>
      <c r="M572" s="467">
        <v>0.83333333333333326</v>
      </c>
      <c r="N572" s="162"/>
      <c r="O572" s="135" t="s">
        <v>812</v>
      </c>
      <c r="P572" s="171">
        <v>0.1</v>
      </c>
      <c r="Q572" s="156">
        <v>6.1533333333332579E-2</v>
      </c>
      <c r="R572" s="172">
        <v>3.0000000000001137E-2</v>
      </c>
      <c r="S572" s="181">
        <v>0.5</v>
      </c>
      <c r="T572" s="173">
        <v>0.12230000000000001</v>
      </c>
      <c r="U572" s="140">
        <v>-14.578936507936245</v>
      </c>
      <c r="V572" s="141">
        <v>99.37</v>
      </c>
      <c r="W572" s="182">
        <v>2.15</v>
      </c>
      <c r="X572" s="143">
        <v>31.344713492062926</v>
      </c>
      <c r="Y572" s="144"/>
      <c r="Z572" s="144"/>
    </row>
    <row r="573" spans="3:26" ht="25" thickBot="1">
      <c r="C573" s="162"/>
      <c r="D573" s="492" t="s">
        <v>436</v>
      </c>
      <c r="E573" s="92" t="s">
        <v>29</v>
      </c>
      <c r="F573" s="92" t="s">
        <v>28</v>
      </c>
      <c r="G573" s="93" t="s">
        <v>27</v>
      </c>
      <c r="H573" s="847" t="s">
        <v>793</v>
      </c>
      <c r="I573" s="1440"/>
      <c r="J573" s="1246"/>
      <c r="K573" s="1441"/>
      <c r="L573" s="839"/>
      <c r="M573" s="466"/>
      <c r="N573" s="162"/>
      <c r="O573" s="123"/>
      <c r="P573" s="145"/>
      <c r="Q573" s="123"/>
      <c r="R573" s="123"/>
      <c r="S573" s="183"/>
      <c r="T573" s="123"/>
      <c r="U573" s="146"/>
      <c r="V573" s="147"/>
      <c r="W573" s="184"/>
      <c r="X573" s="146"/>
      <c r="Y573" s="124"/>
      <c r="Z573" s="124"/>
    </row>
    <row r="574" spans="3:26" ht="24">
      <c r="C574" s="162"/>
      <c r="D574" s="493">
        <v>45574</v>
      </c>
      <c r="E574" s="108">
        <v>4.0660000000000002E-2</v>
      </c>
      <c r="F574" s="108" t="s">
        <v>754</v>
      </c>
      <c r="G574" s="108">
        <v>3.6479999999999999E-2</v>
      </c>
      <c r="H574" s="850">
        <v>0.70833333333333337</v>
      </c>
      <c r="I574" s="1440"/>
      <c r="J574" s="1246"/>
      <c r="K574" s="1441"/>
      <c r="L574" s="839"/>
      <c r="M574" s="466"/>
      <c r="N574" s="162"/>
      <c r="O574" s="148"/>
      <c r="P574" s="124"/>
      <c r="Q574" s="148"/>
      <c r="R574" s="148"/>
      <c r="S574" s="183"/>
      <c r="T574" s="148"/>
      <c r="U574" s="148"/>
      <c r="V574" s="148"/>
      <c r="W574" s="186"/>
      <c r="X574" s="148"/>
      <c r="Y574" s="124"/>
      <c r="Z574" s="124"/>
    </row>
    <row r="575" spans="3:26" ht="24">
      <c r="C575" s="162"/>
      <c r="D575" s="493">
        <v>45546</v>
      </c>
      <c r="E575" s="108">
        <v>3.6479999999999999E-2</v>
      </c>
      <c r="F575" s="108" t="s">
        <v>754</v>
      </c>
      <c r="G575" s="108">
        <v>3.9600000000000003E-2</v>
      </c>
      <c r="H575" s="850">
        <v>0.70833333333333337</v>
      </c>
      <c r="I575" s="1440"/>
      <c r="J575" s="1246"/>
      <c r="K575" s="1441"/>
      <c r="L575" s="839"/>
      <c r="M575" s="466"/>
      <c r="N575" s="162"/>
      <c r="O575" s="115" t="s">
        <v>813</v>
      </c>
      <c r="P575" s="187">
        <v>0.1</v>
      </c>
      <c r="Q575" s="149">
        <v>6.1533333333332579E-2</v>
      </c>
      <c r="R575" s="150">
        <v>3.0000000000001137E-2</v>
      </c>
      <c r="S575" s="187">
        <v>1</v>
      </c>
      <c r="T575" s="188">
        <v>0.12230000000000001</v>
      </c>
      <c r="U575" s="151">
        <v>-29.157873015872489</v>
      </c>
      <c r="V575" s="152">
        <v>99.37</v>
      </c>
      <c r="W575" s="189">
        <v>2.15</v>
      </c>
      <c r="X575" s="153">
        <v>62.689426984125852</v>
      </c>
      <c r="Y575" s="154"/>
      <c r="Z575" s="154"/>
    </row>
    <row r="576" spans="3:26" ht="24">
      <c r="C576" s="162"/>
      <c r="D576" s="493">
        <v>45511</v>
      </c>
      <c r="E576" s="108">
        <v>3.9600000000000003E-2</v>
      </c>
      <c r="F576" s="108" t="s">
        <v>754</v>
      </c>
      <c r="G576" s="108">
        <v>4.2759999999999999E-2</v>
      </c>
      <c r="H576" s="850">
        <v>0.70833333333333337</v>
      </c>
      <c r="I576" s="1440"/>
      <c r="J576" s="1246"/>
      <c r="K576" s="1441"/>
      <c r="L576" s="839"/>
      <c r="M576" s="466"/>
      <c r="N576" s="162"/>
      <c r="O576" s="115"/>
      <c r="P576" s="116"/>
      <c r="Q576" s="149"/>
      <c r="R576" s="150"/>
      <c r="S576" s="119"/>
      <c r="T576" s="116"/>
      <c r="U576" s="151"/>
      <c r="V576" s="152"/>
      <c r="W576" s="119"/>
      <c r="X576" s="153"/>
      <c r="Y576" s="154"/>
      <c r="Z576" s="154"/>
    </row>
    <row r="577" spans="3:26" ht="24">
      <c r="C577" s="162"/>
      <c r="D577" s="493">
        <v>45483</v>
      </c>
      <c r="E577" s="108">
        <v>4.2759999999999999E-2</v>
      </c>
      <c r="F577" s="108" t="s">
        <v>754</v>
      </c>
      <c r="G577" s="108">
        <v>4.4380000000000003E-2</v>
      </c>
      <c r="H577" s="850">
        <v>0.70833333333333337</v>
      </c>
      <c r="I577" s="1440"/>
      <c r="J577" s="1246"/>
      <c r="K577" s="1441"/>
      <c r="L577" s="839"/>
      <c r="M577" s="466"/>
      <c r="N577" s="162"/>
      <c r="O577" s="115" t="s">
        <v>816</v>
      </c>
      <c r="P577" s="116"/>
      <c r="Q577" s="149"/>
      <c r="R577" s="150"/>
      <c r="S577" s="119"/>
      <c r="T577" s="116"/>
      <c r="U577" s="151">
        <v>0</v>
      </c>
      <c r="V577" s="152"/>
      <c r="W577" s="119"/>
      <c r="X577" s="153">
        <v>0</v>
      </c>
      <c r="Y577" s="154"/>
      <c r="Z577" s="154"/>
    </row>
    <row r="578" spans="3:26" ht="24">
      <c r="C578" s="162"/>
      <c r="D578" s="493">
        <v>45454</v>
      </c>
      <c r="E578" s="108">
        <v>4.4380000000000003E-2</v>
      </c>
      <c r="F578" s="108" t="s">
        <v>754</v>
      </c>
      <c r="G578" s="108">
        <v>4.4830000000000002E-2</v>
      </c>
      <c r="H578" s="850">
        <v>0.70833333333333337</v>
      </c>
      <c r="I578" s="1440"/>
      <c r="J578" s="1246"/>
      <c r="K578" s="1441"/>
      <c r="L578" s="839"/>
      <c r="M578" s="466"/>
      <c r="N578" s="162"/>
      <c r="O578" s="89"/>
      <c r="P578" s="89"/>
      <c r="Q578" s="89"/>
      <c r="R578" s="89"/>
      <c r="S578" s="89"/>
      <c r="T578" s="89"/>
      <c r="U578" s="89"/>
      <c r="V578" s="89"/>
      <c r="W578" s="89"/>
      <c r="X578" s="89"/>
      <c r="Y578" s="89"/>
      <c r="Z578" s="89"/>
    </row>
    <row r="579" spans="3:26" ht="25" thickBot="1">
      <c r="C579" s="162"/>
      <c r="D579" s="493">
        <v>45420</v>
      </c>
      <c r="E579" s="108">
        <v>4.4830000000000002E-2</v>
      </c>
      <c r="F579" s="108" t="s">
        <v>754</v>
      </c>
      <c r="G579" s="108">
        <v>4.5600000000000002E-2</v>
      </c>
      <c r="H579" s="850">
        <v>0.70833333333333337</v>
      </c>
      <c r="I579" s="1501"/>
      <c r="J579" s="1502"/>
      <c r="K579" s="1503"/>
      <c r="L579" s="839"/>
      <c r="M579" s="466"/>
      <c r="N579" s="162"/>
      <c r="O579" s="89"/>
      <c r="P579" s="89"/>
      <c r="Q579" s="89"/>
      <c r="R579" s="89"/>
      <c r="S579" s="89"/>
      <c r="T579" s="89"/>
      <c r="U579" s="89"/>
      <c r="V579" s="89"/>
      <c r="W579" s="89"/>
      <c r="X579" s="89"/>
      <c r="Y579" s="89"/>
      <c r="Z579" s="89"/>
    </row>
    <row r="580" spans="3:26" ht="49" thickBot="1">
      <c r="C580" s="90">
        <v>7</v>
      </c>
      <c r="D580" s="494" t="s">
        <v>30</v>
      </c>
      <c r="E580" s="1429" t="s">
        <v>9</v>
      </c>
      <c r="F580" s="1430"/>
      <c r="G580" s="1431"/>
      <c r="H580" s="847" t="s">
        <v>790</v>
      </c>
      <c r="I580" s="1498" t="s">
        <v>633</v>
      </c>
      <c r="J580" s="1499"/>
      <c r="K580" s="1500"/>
      <c r="L580" s="833" t="s">
        <v>430</v>
      </c>
      <c r="M580" s="468" t="s">
        <v>431</v>
      </c>
      <c r="N580" s="162" t="s">
        <v>105</v>
      </c>
      <c r="O580" s="114" t="s">
        <v>800</v>
      </c>
      <c r="P580" s="114" t="s">
        <v>801</v>
      </c>
      <c r="Q580" s="114" t="s">
        <v>802</v>
      </c>
      <c r="R580" s="114" t="s">
        <v>803</v>
      </c>
      <c r="S580" s="114" t="s">
        <v>804</v>
      </c>
      <c r="T580" s="114" t="s">
        <v>805</v>
      </c>
      <c r="U580" s="114" t="s">
        <v>806</v>
      </c>
      <c r="V580" s="114" t="s">
        <v>807</v>
      </c>
      <c r="W580" s="114" t="s">
        <v>808</v>
      </c>
      <c r="X580" s="114" t="s">
        <v>809</v>
      </c>
      <c r="Y580" s="114" t="s">
        <v>75</v>
      </c>
      <c r="Z580" s="114" t="s">
        <v>75</v>
      </c>
    </row>
    <row r="581" spans="3:26" ht="24">
      <c r="C581" s="162"/>
      <c r="D581" s="489" t="s">
        <v>432</v>
      </c>
      <c r="E581" s="1435"/>
      <c r="F581" s="1436"/>
      <c r="G581" s="1437"/>
      <c r="H581" s="846" t="s">
        <v>796</v>
      </c>
      <c r="I581" s="1438" t="s">
        <v>926</v>
      </c>
      <c r="J581" s="1243"/>
      <c r="K581" s="1439"/>
      <c r="L581" s="835"/>
      <c r="M581" s="466"/>
      <c r="N581" s="162"/>
      <c r="O581" s="115" t="s">
        <v>810</v>
      </c>
      <c r="P581" s="163">
        <v>0.1</v>
      </c>
      <c r="Q581" s="164">
        <v>2.1999999999999999E-2</v>
      </c>
      <c r="R581" s="165">
        <v>3.0000000000001137E-2</v>
      </c>
      <c r="S581" s="119"/>
      <c r="T581" s="115">
        <v>6.3000000000001138E-2</v>
      </c>
      <c r="U581" s="164">
        <v>-15.02</v>
      </c>
      <c r="V581" s="163">
        <v>99.37</v>
      </c>
      <c r="W581" s="163"/>
      <c r="X581" s="153"/>
      <c r="Y581" s="120"/>
      <c r="Z581" s="120"/>
    </row>
    <row r="582" spans="3:26" ht="24">
      <c r="C582" s="162"/>
      <c r="D582" s="490" t="s">
        <v>433</v>
      </c>
      <c r="E582" s="1492">
        <v>0</v>
      </c>
      <c r="F582" s="1493"/>
      <c r="G582" s="1494"/>
      <c r="H582" s="846" t="s">
        <v>796</v>
      </c>
      <c r="I582" s="1440"/>
      <c r="J582" s="1246"/>
      <c r="K582" s="1441"/>
      <c r="L582" s="835"/>
      <c r="M582" s="466"/>
      <c r="N582" s="162"/>
      <c r="O582" s="121"/>
      <c r="P582" s="121"/>
      <c r="Q582" s="121"/>
      <c r="R582" s="122"/>
      <c r="S582" s="123"/>
      <c r="T582" s="121"/>
      <c r="U582" s="121"/>
      <c r="V582" s="121"/>
      <c r="W582" s="121"/>
      <c r="X582" s="123"/>
      <c r="Y582" s="124"/>
      <c r="Z582" s="124"/>
    </row>
    <row r="583" spans="3:26" ht="24">
      <c r="C583" s="162"/>
      <c r="D583" s="490" t="s">
        <v>434</v>
      </c>
      <c r="E583" s="1444" t="s">
        <v>925</v>
      </c>
      <c r="F583" s="1445"/>
      <c r="G583" s="1446"/>
      <c r="H583" s="847"/>
      <c r="I583" s="1440"/>
      <c r="J583" s="1246"/>
      <c r="K583" s="1441"/>
      <c r="L583" s="835"/>
      <c r="M583" s="466"/>
      <c r="N583" s="162"/>
      <c r="O583" s="125" t="s">
        <v>811</v>
      </c>
      <c r="P583" s="167">
        <v>0.1</v>
      </c>
      <c r="Q583" s="168">
        <v>6.4100000000000004E-2</v>
      </c>
      <c r="R583" s="169">
        <v>3.0000000000001137E-2</v>
      </c>
      <c r="S583" s="179">
        <v>1</v>
      </c>
      <c r="T583" s="125">
        <v>0.12615000000000115</v>
      </c>
      <c r="U583" s="130">
        <v>-30.075761904761638</v>
      </c>
      <c r="V583" s="131">
        <v>60.5</v>
      </c>
      <c r="W583" s="180">
        <v>2.39</v>
      </c>
      <c r="X583" s="133">
        <v>71.881070952380313</v>
      </c>
      <c r="Y583" s="134"/>
      <c r="Z583" s="134"/>
    </row>
    <row r="584" spans="3:26" ht="25" thickBot="1">
      <c r="C584" s="162"/>
      <c r="D584" s="491" t="s">
        <v>435</v>
      </c>
      <c r="E584" s="1510">
        <v>0.72916666666666663</v>
      </c>
      <c r="F584" s="1511"/>
      <c r="G584" s="1512"/>
      <c r="H584" s="847"/>
      <c r="I584" s="1440"/>
      <c r="J584" s="1246"/>
      <c r="K584" s="1441"/>
      <c r="L584" s="836">
        <v>0.875</v>
      </c>
      <c r="M584" s="467">
        <v>0.72916666666666663</v>
      </c>
      <c r="N584" s="162"/>
      <c r="O584" s="135" t="s">
        <v>812</v>
      </c>
      <c r="P584" s="171">
        <v>0.1</v>
      </c>
      <c r="Q584" s="156">
        <v>7.6066666666665908E-2</v>
      </c>
      <c r="R584" s="172">
        <v>3.0000000000001137E-2</v>
      </c>
      <c r="S584" s="181">
        <v>1</v>
      </c>
      <c r="T584" s="173">
        <v>0.14410000000000001</v>
      </c>
      <c r="U584" s="140">
        <v>-34.355269841269219</v>
      </c>
      <c r="V584" s="141">
        <v>60.5</v>
      </c>
      <c r="W584" s="182">
        <v>2.08</v>
      </c>
      <c r="X584" s="143">
        <v>71.458961269839975</v>
      </c>
      <c r="Y584" s="144"/>
      <c r="Z584" s="144"/>
    </row>
    <row r="585" spans="3:26" ht="25" thickBot="1">
      <c r="C585" s="162"/>
      <c r="D585" s="492" t="s">
        <v>436</v>
      </c>
      <c r="E585" s="92" t="s">
        <v>29</v>
      </c>
      <c r="F585" s="92" t="s">
        <v>28</v>
      </c>
      <c r="G585" s="93" t="s">
        <v>27</v>
      </c>
      <c r="H585" s="847" t="s">
        <v>793</v>
      </c>
      <c r="I585" s="1440"/>
      <c r="J585" s="1246"/>
      <c r="K585" s="1441"/>
      <c r="L585" s="835"/>
      <c r="M585" s="466"/>
      <c r="N585" s="162"/>
      <c r="O585" s="123"/>
      <c r="P585" s="145"/>
      <c r="Q585" s="123"/>
      <c r="R585" s="123"/>
      <c r="S585" s="183"/>
      <c r="T585" s="123"/>
      <c r="U585" s="146"/>
      <c r="V585" s="147"/>
      <c r="W585" s="184"/>
      <c r="X585" s="146"/>
      <c r="Y585" s="124"/>
      <c r="Z585" s="124"/>
    </row>
    <row r="586" spans="3:26" ht="24">
      <c r="C586" s="162"/>
      <c r="D586" s="493">
        <v>45595</v>
      </c>
      <c r="E586" s="159" t="s">
        <v>925</v>
      </c>
      <c r="F586" s="159" t="s">
        <v>939</v>
      </c>
      <c r="G586" s="159" t="s">
        <v>839</v>
      </c>
      <c r="H586" s="850">
        <v>0.6875</v>
      </c>
      <c r="I586" s="1440"/>
      <c r="J586" s="1246"/>
      <c r="K586" s="1441"/>
      <c r="L586" s="839"/>
      <c r="M586" s="466"/>
      <c r="N586" s="162"/>
      <c r="O586" s="148"/>
      <c r="P586" s="124"/>
      <c r="Q586" s="148"/>
      <c r="R586" s="148"/>
      <c r="S586" s="183"/>
      <c r="T586" s="148"/>
      <c r="U586" s="148"/>
      <c r="V586" s="148"/>
      <c r="W586" s="186"/>
      <c r="X586" s="148"/>
      <c r="Y586" s="124"/>
      <c r="Z586" s="124"/>
    </row>
    <row r="587" spans="3:26" ht="24">
      <c r="C587" s="162"/>
      <c r="D587" s="493">
        <v>45588</v>
      </c>
      <c r="E587" s="159" t="s">
        <v>839</v>
      </c>
      <c r="F587" s="159" t="s">
        <v>891</v>
      </c>
      <c r="G587" s="159" t="s">
        <v>699</v>
      </c>
      <c r="H587" s="851">
        <v>0.6875</v>
      </c>
      <c r="I587" s="1440"/>
      <c r="J587" s="1246"/>
      <c r="K587" s="1441"/>
      <c r="L587" s="839"/>
      <c r="M587" s="466"/>
      <c r="N587" s="162"/>
      <c r="O587" s="115" t="s">
        <v>813</v>
      </c>
      <c r="P587" s="187">
        <v>0.1</v>
      </c>
      <c r="Q587" s="149">
        <v>7.6066666666665908E-2</v>
      </c>
      <c r="R587" s="150">
        <v>3.0000000000001137E-2</v>
      </c>
      <c r="S587" s="187">
        <v>1</v>
      </c>
      <c r="T587" s="188">
        <v>0.14410000000000001</v>
      </c>
      <c r="U587" s="151">
        <v>-34.355269841269219</v>
      </c>
      <c r="V587" s="152">
        <v>60.5</v>
      </c>
      <c r="W587" s="189">
        <v>2.08</v>
      </c>
      <c r="X587" s="153">
        <v>71.458961269839975</v>
      </c>
      <c r="Y587" s="154"/>
      <c r="Z587" s="154"/>
    </row>
    <row r="588" spans="3:26" ht="24">
      <c r="C588" s="162"/>
      <c r="D588" s="493">
        <v>45582</v>
      </c>
      <c r="E588" s="159" t="s">
        <v>699</v>
      </c>
      <c r="F588" s="159" t="s">
        <v>731</v>
      </c>
      <c r="G588" s="159" t="s">
        <v>677</v>
      </c>
      <c r="H588" s="848">
        <v>0.70833333333333337</v>
      </c>
      <c r="I588" s="1440"/>
      <c r="J588" s="1246"/>
      <c r="K588" s="1441"/>
      <c r="L588" s="839"/>
      <c r="M588" s="466"/>
      <c r="N588" s="162"/>
      <c r="O588" s="115"/>
      <c r="P588" s="116"/>
      <c r="Q588" s="149"/>
      <c r="R588" s="150"/>
      <c r="S588" s="119"/>
      <c r="T588" s="116"/>
      <c r="U588" s="151"/>
      <c r="V588" s="152"/>
      <c r="W588" s="119"/>
      <c r="X588" s="153"/>
      <c r="Y588" s="154"/>
      <c r="Z588" s="154"/>
    </row>
    <row r="589" spans="3:26" ht="24">
      <c r="C589" s="162"/>
      <c r="D589" s="493">
        <v>45574</v>
      </c>
      <c r="E589" s="159" t="s">
        <v>677</v>
      </c>
      <c r="F589" s="159" t="s">
        <v>732</v>
      </c>
      <c r="G589" s="159" t="s">
        <v>637</v>
      </c>
      <c r="H589" s="851">
        <v>0.6875</v>
      </c>
      <c r="I589" s="1440"/>
      <c r="J589" s="1246"/>
      <c r="K589" s="1441"/>
      <c r="L589" s="839"/>
      <c r="M589" s="466"/>
      <c r="N589" s="162"/>
      <c r="O589" s="115"/>
      <c r="P589" s="116"/>
      <c r="Q589" s="149"/>
      <c r="R589" s="150"/>
      <c r="S589" s="119"/>
      <c r="T589" s="116"/>
      <c r="U589" s="151"/>
      <c r="V589" s="152"/>
      <c r="W589" s="119"/>
      <c r="X589" s="153"/>
      <c r="Y589" s="154"/>
      <c r="Z589" s="154"/>
    </row>
    <row r="590" spans="3:26" ht="24">
      <c r="C590" s="162"/>
      <c r="D590" s="493">
        <v>45567</v>
      </c>
      <c r="E590" s="159" t="s">
        <v>637</v>
      </c>
      <c r="F590" s="159" t="s">
        <v>733</v>
      </c>
      <c r="G590" s="159" t="s">
        <v>380</v>
      </c>
      <c r="H590" s="851">
        <v>0.6875</v>
      </c>
      <c r="I590" s="1440"/>
      <c r="J590" s="1246"/>
      <c r="K590" s="1441"/>
      <c r="L590" s="839"/>
      <c r="M590" s="466"/>
      <c r="N590" s="162"/>
      <c r="O590" s="89"/>
      <c r="P590" s="89"/>
      <c r="Q590" s="89"/>
      <c r="R590" s="89"/>
      <c r="S590" s="89"/>
      <c r="T590" s="89"/>
      <c r="U590" s="89"/>
      <c r="V590" s="89"/>
      <c r="W590" s="89"/>
      <c r="X590" s="89"/>
      <c r="Y590" s="89"/>
      <c r="Z590" s="89"/>
    </row>
    <row r="591" spans="3:26" ht="25" thickBot="1">
      <c r="C591" s="162"/>
      <c r="D591" s="493">
        <v>45560</v>
      </c>
      <c r="E591" s="159" t="s">
        <v>380</v>
      </c>
      <c r="F591" s="159" t="s">
        <v>564</v>
      </c>
      <c r="G591" s="159" t="s">
        <v>337</v>
      </c>
      <c r="H591" s="851">
        <v>0.6875</v>
      </c>
      <c r="I591" s="1501"/>
      <c r="J591" s="1502"/>
      <c r="K591" s="1503"/>
      <c r="L591" s="839"/>
      <c r="M591" s="466"/>
      <c r="N591" s="162"/>
      <c r="O591" s="89"/>
      <c r="P591" s="89"/>
      <c r="Q591" s="89"/>
      <c r="R591" s="89"/>
      <c r="S591" s="89"/>
      <c r="T591" s="89"/>
      <c r="U591" s="89"/>
      <c r="V591" s="89"/>
      <c r="W591" s="89"/>
      <c r="X591" s="89"/>
      <c r="Y591" s="89"/>
      <c r="Z591" s="89"/>
    </row>
    <row r="592" spans="3:26" ht="49" thickBot="1">
      <c r="C592" s="90">
        <v>8</v>
      </c>
      <c r="D592" s="494" t="s">
        <v>30</v>
      </c>
      <c r="E592" s="1429" t="s">
        <v>927</v>
      </c>
      <c r="F592" s="1430"/>
      <c r="G592" s="1431"/>
      <c r="H592" s="847" t="s">
        <v>790</v>
      </c>
      <c r="I592" s="1498" t="s">
        <v>633</v>
      </c>
      <c r="J592" s="1499"/>
      <c r="K592" s="1500"/>
      <c r="L592" s="833" t="s">
        <v>430</v>
      </c>
      <c r="M592" s="468" t="s">
        <v>431</v>
      </c>
      <c r="N592" s="162" t="s">
        <v>105</v>
      </c>
      <c r="O592" s="114" t="s">
        <v>800</v>
      </c>
      <c r="P592" s="114" t="s">
        <v>801</v>
      </c>
      <c r="Q592" s="114" t="s">
        <v>802</v>
      </c>
      <c r="R592" s="114" t="s">
        <v>803</v>
      </c>
      <c r="S592" s="114" t="s">
        <v>804</v>
      </c>
      <c r="T592" s="114" t="s">
        <v>805</v>
      </c>
      <c r="U592" s="114" t="s">
        <v>806</v>
      </c>
      <c r="V592" s="114" t="s">
        <v>807</v>
      </c>
      <c r="W592" s="114" t="s">
        <v>808</v>
      </c>
      <c r="X592" s="114" t="s">
        <v>809</v>
      </c>
      <c r="Y592" s="114" t="s">
        <v>75</v>
      </c>
      <c r="Z592" s="114" t="s">
        <v>75</v>
      </c>
    </row>
    <row r="593" spans="3:26" ht="24">
      <c r="C593" s="162"/>
      <c r="D593" s="489" t="s">
        <v>432</v>
      </c>
      <c r="E593" s="1435"/>
      <c r="F593" s="1436"/>
      <c r="G593" s="1437"/>
      <c r="H593" s="846" t="s">
        <v>794</v>
      </c>
      <c r="I593" s="1438" t="s">
        <v>928</v>
      </c>
      <c r="J593" s="1243"/>
      <c r="K593" s="1439"/>
      <c r="L593" s="835"/>
      <c r="M593" s="466"/>
      <c r="N593" s="162"/>
      <c r="O593" s="115" t="s">
        <v>810</v>
      </c>
      <c r="P593" s="163">
        <v>0.1</v>
      </c>
      <c r="Q593" s="164">
        <v>3.5999999999999997E-2</v>
      </c>
      <c r="R593" s="165">
        <v>2.6999999999986812E-2</v>
      </c>
      <c r="S593" s="119"/>
      <c r="T593" s="115">
        <v>8.0999999999986805E-2</v>
      </c>
      <c r="U593" s="164">
        <v>-22.8</v>
      </c>
      <c r="V593" s="163">
        <v>119.47</v>
      </c>
      <c r="W593" s="163"/>
      <c r="X593" s="153"/>
      <c r="Y593" s="120"/>
      <c r="Z593" s="120"/>
    </row>
    <row r="594" spans="3:26" ht="24">
      <c r="C594" s="162"/>
      <c r="D594" s="490" t="s">
        <v>433</v>
      </c>
      <c r="E594" s="1492">
        <v>0</v>
      </c>
      <c r="F594" s="1493"/>
      <c r="G594" s="1494"/>
      <c r="H594" s="846" t="s">
        <v>795</v>
      </c>
      <c r="I594" s="1440"/>
      <c r="J594" s="1246"/>
      <c r="K594" s="1441"/>
      <c r="L594" s="835"/>
      <c r="M594" s="466"/>
      <c r="N594" s="162"/>
      <c r="O594" s="121"/>
      <c r="P594" s="121"/>
      <c r="Q594" s="121"/>
      <c r="R594" s="122"/>
      <c r="S594" s="123"/>
      <c r="T594" s="121"/>
      <c r="U594" s="121"/>
      <c r="V594" s="121"/>
      <c r="W594" s="121"/>
      <c r="X594" s="123"/>
      <c r="Y594" s="124"/>
      <c r="Z594" s="124"/>
    </row>
    <row r="595" spans="3:26" ht="24">
      <c r="C595" s="162"/>
      <c r="D595" s="490" t="s">
        <v>434</v>
      </c>
      <c r="E595" s="1507">
        <v>4.3889999999999998E-2</v>
      </c>
      <c r="F595" s="1508"/>
      <c r="G595" s="1509"/>
      <c r="H595" s="847"/>
      <c r="I595" s="1440"/>
      <c r="J595" s="1246"/>
      <c r="K595" s="1441"/>
      <c r="L595" s="835"/>
      <c r="M595" s="466"/>
      <c r="N595" s="162"/>
      <c r="O595" s="125" t="s">
        <v>811</v>
      </c>
      <c r="P595" s="167">
        <v>0.1</v>
      </c>
      <c r="Q595" s="168">
        <v>6.4799999999999996E-2</v>
      </c>
      <c r="R595" s="169">
        <v>2.8000000000000001E-2</v>
      </c>
      <c r="S595" s="179">
        <v>1</v>
      </c>
      <c r="T595" s="125">
        <v>0.12520000000000001</v>
      </c>
      <c r="U595" s="130">
        <v>-35.241481481487227</v>
      </c>
      <c r="V595" s="131">
        <v>60.5</v>
      </c>
      <c r="W595" s="180">
        <v>4.17</v>
      </c>
      <c r="X595" s="133">
        <v>146.95697777780174</v>
      </c>
      <c r="Y595" s="134"/>
      <c r="Z595" s="134"/>
    </row>
    <row r="596" spans="3:26" ht="25" thickBot="1">
      <c r="C596" s="162"/>
      <c r="D596" s="491" t="s">
        <v>435</v>
      </c>
      <c r="E596" s="1447">
        <v>0.83333333333333326</v>
      </c>
      <c r="F596" s="1448"/>
      <c r="G596" s="1449"/>
      <c r="H596" s="847"/>
      <c r="I596" s="1440"/>
      <c r="J596" s="1246"/>
      <c r="K596" s="1441"/>
      <c r="L596" s="836">
        <v>0.97916666666666663</v>
      </c>
      <c r="M596" s="467">
        <v>0.83333333333333326</v>
      </c>
      <c r="N596" s="162"/>
      <c r="O596" s="135" t="s">
        <v>812</v>
      </c>
      <c r="P596" s="171">
        <v>0.05</v>
      </c>
      <c r="Q596" s="156">
        <v>7.1466666666666664E-2</v>
      </c>
      <c r="R596" s="172">
        <v>2.8000000000000001E-2</v>
      </c>
      <c r="S596" s="181">
        <v>1</v>
      </c>
      <c r="T596" s="173">
        <v>0.13519999999999999</v>
      </c>
      <c r="U596" s="140">
        <v>-19.028148148151246</v>
      </c>
      <c r="V596" s="141">
        <v>30.25</v>
      </c>
      <c r="W596" s="182">
        <v>4.7300000000000004</v>
      </c>
      <c r="X596" s="143">
        <v>90.003140740755398</v>
      </c>
      <c r="Y596" s="144"/>
      <c r="Z596" s="144"/>
    </row>
    <row r="597" spans="3:26" ht="25" thickBot="1">
      <c r="C597" s="162"/>
      <c r="D597" s="492" t="s">
        <v>436</v>
      </c>
      <c r="E597" s="92" t="s">
        <v>29</v>
      </c>
      <c r="F597" s="92" t="s">
        <v>28</v>
      </c>
      <c r="G597" s="93" t="s">
        <v>27</v>
      </c>
      <c r="H597" s="847" t="s">
        <v>793</v>
      </c>
      <c r="I597" s="1440"/>
      <c r="J597" s="1246"/>
      <c r="K597" s="1441"/>
      <c r="L597" s="835"/>
      <c r="M597" s="466"/>
      <c r="N597" s="162"/>
      <c r="O597" s="123"/>
      <c r="P597" s="145"/>
      <c r="Q597" s="123"/>
      <c r="R597" s="123"/>
      <c r="S597" s="183"/>
      <c r="T597" s="123"/>
      <c r="U597" s="146"/>
      <c r="V597" s="147"/>
      <c r="W597" s="184"/>
      <c r="X597" s="146"/>
      <c r="Y597" s="124"/>
      <c r="Z597" s="124"/>
    </row>
    <row r="598" spans="3:26" ht="24">
      <c r="C598" s="162"/>
      <c r="D598" s="493">
        <v>45575</v>
      </c>
      <c r="E598" s="108">
        <v>4.3889999999999998E-2</v>
      </c>
      <c r="F598" s="108" t="s">
        <v>754</v>
      </c>
      <c r="G598" s="108">
        <v>4.0149999999999998E-2</v>
      </c>
      <c r="H598" s="850">
        <v>0.79166666666666663</v>
      </c>
      <c r="I598" s="1440"/>
      <c r="J598" s="1246"/>
      <c r="K598" s="1441"/>
      <c r="L598" s="835"/>
      <c r="M598" s="466"/>
      <c r="N598" s="162"/>
      <c r="O598" s="148"/>
      <c r="P598" s="124"/>
      <c r="Q598" s="148"/>
      <c r="R598" s="148"/>
      <c r="S598" s="183"/>
      <c r="T598" s="148"/>
      <c r="U598" s="148"/>
      <c r="V598" s="148"/>
      <c r="W598" s="186"/>
      <c r="X598" s="148"/>
      <c r="Y598" s="124"/>
      <c r="Z598" s="124"/>
    </row>
    <row r="599" spans="3:26" ht="24">
      <c r="C599" s="162"/>
      <c r="D599" s="493">
        <v>45547</v>
      </c>
      <c r="E599" s="108">
        <v>4.0149999999999998E-2</v>
      </c>
      <c r="F599" s="108" t="s">
        <v>754</v>
      </c>
      <c r="G599" s="108">
        <v>4.3139999999999998E-2</v>
      </c>
      <c r="H599" s="851">
        <v>0.79166666666666663</v>
      </c>
      <c r="I599" s="1440"/>
      <c r="J599" s="1246"/>
      <c r="K599" s="1441"/>
      <c r="L599" s="835"/>
      <c r="M599" s="466"/>
      <c r="N599" s="162"/>
      <c r="O599" s="115" t="s">
        <v>813</v>
      </c>
      <c r="P599" s="187">
        <v>0.05</v>
      </c>
      <c r="Q599" s="149">
        <v>7.1466666666666664E-2</v>
      </c>
      <c r="R599" s="150">
        <v>2.8000000000000001E-2</v>
      </c>
      <c r="S599" s="187">
        <v>1</v>
      </c>
      <c r="T599" s="188">
        <v>0.13519999999999999</v>
      </c>
      <c r="U599" s="151">
        <v>-19.028148148151246</v>
      </c>
      <c r="V599" s="152">
        <v>30.25</v>
      </c>
      <c r="W599" s="189">
        <v>2</v>
      </c>
      <c r="X599" s="153">
        <v>38.056296296302492</v>
      </c>
      <c r="Y599" s="154"/>
      <c r="Z599" s="154" t="s">
        <v>814</v>
      </c>
    </row>
    <row r="600" spans="3:26" ht="24">
      <c r="C600" s="162"/>
      <c r="D600" s="493">
        <v>45512</v>
      </c>
      <c r="E600" s="108">
        <v>4.3139999999999998E-2</v>
      </c>
      <c r="F600" s="108" t="s">
        <v>754</v>
      </c>
      <c r="G600" s="108">
        <v>4.4049999999999999E-2</v>
      </c>
      <c r="H600" s="851">
        <v>0.79166666666666663</v>
      </c>
      <c r="I600" s="1440"/>
      <c r="J600" s="1246"/>
      <c r="K600" s="1441"/>
      <c r="L600" s="838"/>
      <c r="M600" s="466"/>
      <c r="N600" s="162"/>
      <c r="O600" s="115"/>
      <c r="P600" s="116"/>
      <c r="Q600" s="149"/>
      <c r="R600" s="150"/>
      <c r="S600" s="119"/>
      <c r="T600" s="116"/>
      <c r="U600" s="151"/>
      <c r="V600" s="152"/>
      <c r="W600" s="119"/>
      <c r="X600" s="153"/>
      <c r="Y600" s="154"/>
      <c r="Z600" s="154"/>
    </row>
    <row r="601" spans="3:26" ht="24">
      <c r="C601" s="162"/>
      <c r="D601" s="493">
        <v>45484</v>
      </c>
      <c r="E601" s="108">
        <v>4.4049999999999999E-2</v>
      </c>
      <c r="F601" s="108" t="s">
        <v>754</v>
      </c>
      <c r="G601" s="108">
        <v>4.403E-2</v>
      </c>
      <c r="H601" s="851">
        <v>0.79166666666666663</v>
      </c>
      <c r="I601" s="1440"/>
      <c r="J601" s="1246"/>
      <c r="K601" s="1441"/>
      <c r="L601" s="835"/>
      <c r="M601" s="466"/>
      <c r="N601" s="162"/>
      <c r="O601" s="115"/>
      <c r="P601" s="116"/>
      <c r="Q601" s="149"/>
      <c r="R601" s="150"/>
      <c r="S601" s="119"/>
      <c r="T601" s="116"/>
      <c r="U601" s="151"/>
      <c r="V601" s="152"/>
      <c r="W601" s="119"/>
      <c r="X601" s="153"/>
      <c r="Y601" s="154"/>
      <c r="Z601" s="154"/>
    </row>
    <row r="602" spans="3:26" ht="24">
      <c r="C602" s="162"/>
      <c r="D602" s="493">
        <v>45456</v>
      </c>
      <c r="E602" s="108">
        <v>4.403E-2</v>
      </c>
      <c r="F602" s="108" t="s">
        <v>754</v>
      </c>
      <c r="G602" s="108">
        <v>4.6350000000000002E-2</v>
      </c>
      <c r="H602" s="851">
        <v>0.79166666666666663</v>
      </c>
      <c r="I602" s="1440"/>
      <c r="J602" s="1246"/>
      <c r="K602" s="1441"/>
      <c r="L602" s="835"/>
      <c r="M602" s="466"/>
      <c r="N602" s="162"/>
      <c r="O602" s="89"/>
      <c r="P602" s="89"/>
      <c r="Q602" s="89"/>
      <c r="R602" s="89"/>
      <c r="S602" s="89"/>
      <c r="T602" s="89"/>
      <c r="U602" s="89"/>
      <c r="V602" s="89"/>
      <c r="W602" s="89"/>
      <c r="X602" s="89"/>
      <c r="Y602" s="89"/>
      <c r="Z602" s="89"/>
    </row>
    <row r="603" spans="3:26" ht="25" thickBot="1">
      <c r="C603" s="162"/>
      <c r="D603" s="493">
        <v>45421</v>
      </c>
      <c r="E603" s="108">
        <v>4.6350000000000002E-2</v>
      </c>
      <c r="F603" s="108" t="s">
        <v>754</v>
      </c>
      <c r="G603" s="108">
        <v>4.6710000000000002E-2</v>
      </c>
      <c r="H603" s="851">
        <v>0.79166666666666663</v>
      </c>
      <c r="I603" s="1501"/>
      <c r="J603" s="1502"/>
      <c r="K603" s="1503"/>
      <c r="L603" s="835"/>
      <c r="M603" s="466"/>
      <c r="N603" s="162"/>
      <c r="O603" s="89"/>
      <c r="P603" s="89"/>
      <c r="Q603" s="89"/>
      <c r="R603" s="89"/>
      <c r="S603" s="89"/>
      <c r="T603" s="89"/>
      <c r="U603" s="89"/>
      <c r="V603" s="89"/>
      <c r="W603" s="89"/>
      <c r="X603" s="89"/>
      <c r="Y603" s="89"/>
      <c r="Z603" s="89"/>
    </row>
    <row r="604" spans="3:26" ht="49" thickBot="1">
      <c r="C604" s="90">
        <v>9</v>
      </c>
      <c r="D604" s="494" t="s">
        <v>30</v>
      </c>
      <c r="E604" s="1429" t="s">
        <v>929</v>
      </c>
      <c r="F604" s="1430"/>
      <c r="G604" s="1431"/>
      <c r="H604" s="847" t="s">
        <v>790</v>
      </c>
      <c r="I604" s="1498" t="s">
        <v>633</v>
      </c>
      <c r="J604" s="1499"/>
      <c r="K604" s="1500"/>
      <c r="L604" s="833" t="s">
        <v>430</v>
      </c>
      <c r="M604" s="468" t="s">
        <v>431</v>
      </c>
      <c r="N604" s="162" t="s">
        <v>105</v>
      </c>
      <c r="O604" s="114" t="s">
        <v>800</v>
      </c>
      <c r="P604" s="114" t="s">
        <v>801</v>
      </c>
      <c r="Q604" s="114" t="s">
        <v>802</v>
      </c>
      <c r="R604" s="114" t="s">
        <v>803</v>
      </c>
      <c r="S604" s="114" t="s">
        <v>804</v>
      </c>
      <c r="T604" s="114" t="s">
        <v>805</v>
      </c>
      <c r="U604" s="114" t="s">
        <v>806</v>
      </c>
      <c r="V604" s="114" t="s">
        <v>807</v>
      </c>
      <c r="W604" s="114" t="s">
        <v>808</v>
      </c>
      <c r="X604" s="114" t="s">
        <v>809</v>
      </c>
      <c r="Y604" s="114" t="s">
        <v>75</v>
      </c>
      <c r="Z604" s="114" t="s">
        <v>75</v>
      </c>
    </row>
    <row r="605" spans="3:26" ht="24">
      <c r="C605" s="162"/>
      <c r="D605" s="489" t="s">
        <v>432</v>
      </c>
      <c r="E605" s="1435"/>
      <c r="F605" s="1436"/>
      <c r="G605" s="1437"/>
      <c r="H605" s="846" t="s">
        <v>947</v>
      </c>
      <c r="I605" s="1438" t="s">
        <v>930</v>
      </c>
      <c r="J605" s="1243"/>
      <c r="K605" s="1439"/>
      <c r="L605" s="835"/>
      <c r="M605" s="466"/>
      <c r="N605" s="162"/>
      <c r="O605" s="115" t="s">
        <v>810</v>
      </c>
      <c r="P605" s="163">
        <v>0.1</v>
      </c>
      <c r="Q605" s="164">
        <v>3.2000000000000001E-2</v>
      </c>
      <c r="R605" s="165">
        <v>1.8000000000000682E-2</v>
      </c>
      <c r="S605" s="119">
        <v>0</v>
      </c>
      <c r="T605" s="115">
        <v>5.0499999999991357E-2</v>
      </c>
      <c r="U605" s="164">
        <v>-16.61</v>
      </c>
      <c r="V605" s="163">
        <v>60.5</v>
      </c>
      <c r="W605" s="166">
        <v>2</v>
      </c>
      <c r="X605" s="153"/>
      <c r="Y605" s="120"/>
      <c r="Z605" s="120"/>
    </row>
    <row r="606" spans="3:26" ht="24">
      <c r="C606" s="162"/>
      <c r="D606" s="490" t="s">
        <v>433</v>
      </c>
      <c r="E606" s="1444">
        <v>4.7500000000000001E-2</v>
      </c>
      <c r="F606" s="1445"/>
      <c r="G606" s="1446"/>
      <c r="H606" s="846" t="s">
        <v>908</v>
      </c>
      <c r="I606" s="1440"/>
      <c r="J606" s="1246"/>
      <c r="K606" s="1441"/>
      <c r="L606" s="835"/>
      <c r="M606" s="466"/>
      <c r="N606" s="162"/>
      <c r="O606" s="121"/>
      <c r="P606" s="121"/>
      <c r="Q606" s="121"/>
      <c r="R606" s="122"/>
      <c r="S606" s="123"/>
      <c r="T606" s="121"/>
      <c r="U606" s="121"/>
      <c r="V606" s="121"/>
      <c r="W606" s="121"/>
      <c r="X606" s="123"/>
      <c r="Y606" s="124"/>
      <c r="Z606" s="124"/>
    </row>
    <row r="607" spans="3:26" ht="24">
      <c r="C607" s="162"/>
      <c r="D607" s="490" t="s">
        <v>434</v>
      </c>
      <c r="E607" s="1444">
        <v>0.05</v>
      </c>
      <c r="F607" s="1445"/>
      <c r="G607" s="1446"/>
      <c r="H607" s="847"/>
      <c r="I607" s="1440"/>
      <c r="J607" s="1246"/>
      <c r="K607" s="1441"/>
      <c r="L607" s="835"/>
      <c r="M607" s="466"/>
      <c r="N607" s="162"/>
      <c r="O607" s="125" t="s">
        <v>811</v>
      </c>
      <c r="P607" s="167">
        <v>0.1</v>
      </c>
      <c r="Q607" s="168">
        <v>0.1182</v>
      </c>
      <c r="R607" s="169">
        <v>1.7999999999999999E-2</v>
      </c>
      <c r="S607" s="179">
        <v>1</v>
      </c>
      <c r="T607" s="125">
        <v>0.1953</v>
      </c>
      <c r="U607" s="130">
        <v>-64.236297029713967</v>
      </c>
      <c r="V607" s="131">
        <v>60.5</v>
      </c>
      <c r="W607" s="180">
        <v>1.93</v>
      </c>
      <c r="X607" s="133">
        <v>123.97605326734795</v>
      </c>
      <c r="Y607" s="134"/>
      <c r="Z607" s="134"/>
    </row>
    <row r="608" spans="3:26" ht="25" thickBot="1">
      <c r="C608" s="162"/>
      <c r="D608" s="491" t="s">
        <v>435</v>
      </c>
      <c r="E608" s="1447">
        <v>0.5</v>
      </c>
      <c r="F608" s="1448"/>
      <c r="G608" s="1449"/>
      <c r="H608" s="847"/>
      <c r="I608" s="1440"/>
      <c r="J608" s="1246"/>
      <c r="K608" s="1441"/>
      <c r="L608" s="836">
        <v>0.72916666666666663</v>
      </c>
      <c r="M608" s="467">
        <v>0.58333333333333326</v>
      </c>
      <c r="N608" s="162"/>
      <c r="O608" s="135" t="s">
        <v>812</v>
      </c>
      <c r="P608" s="171">
        <v>0.1</v>
      </c>
      <c r="Q608" s="156">
        <v>0.12453333333333334</v>
      </c>
      <c r="R608" s="172">
        <v>1.7999999999999999E-2</v>
      </c>
      <c r="S608" s="181">
        <v>1</v>
      </c>
      <c r="T608" s="173">
        <v>0.20480000000000001</v>
      </c>
      <c r="U608" s="140">
        <v>-67.360950495061033</v>
      </c>
      <c r="V608" s="141">
        <v>60.5</v>
      </c>
      <c r="W608" s="182">
        <v>2.48</v>
      </c>
      <c r="X608" s="143">
        <v>167.05515722775135</v>
      </c>
      <c r="Y608" s="144"/>
      <c r="Z608" s="144"/>
    </row>
    <row r="609" spans="3:26" ht="25" thickBot="1">
      <c r="C609" s="162"/>
      <c r="D609" s="492" t="s">
        <v>436</v>
      </c>
      <c r="E609" s="92" t="s">
        <v>29</v>
      </c>
      <c r="F609" s="92" t="s">
        <v>28</v>
      </c>
      <c r="G609" s="93" t="s">
        <v>27</v>
      </c>
      <c r="H609" s="847" t="s">
        <v>793</v>
      </c>
      <c r="I609" s="1440"/>
      <c r="J609" s="1246"/>
      <c r="K609" s="1441"/>
      <c r="L609" s="835"/>
      <c r="M609" s="466"/>
      <c r="N609" s="162"/>
      <c r="O609" s="123"/>
      <c r="P609" s="145"/>
      <c r="Q609" s="123"/>
      <c r="R609" s="123"/>
      <c r="S609" s="183"/>
      <c r="T609" s="123"/>
      <c r="U609" s="146"/>
      <c r="V609" s="147"/>
      <c r="W609" s="184"/>
      <c r="X609" s="146"/>
      <c r="Y609" s="124"/>
      <c r="Z609" s="124"/>
    </row>
    <row r="610" spans="3:26" ht="24">
      <c r="C610" s="162"/>
      <c r="D610" s="493">
        <v>45554</v>
      </c>
      <c r="E610" s="98">
        <v>0.05</v>
      </c>
      <c r="F610" s="98" t="s">
        <v>728</v>
      </c>
      <c r="G610" s="98">
        <v>0.05</v>
      </c>
      <c r="H610" s="850">
        <v>0.45833333333333331</v>
      </c>
      <c r="I610" s="1440"/>
      <c r="J610" s="1246"/>
      <c r="K610" s="1441"/>
      <c r="L610" s="835"/>
      <c r="M610" s="466"/>
      <c r="N610" s="162"/>
      <c r="O610" s="148"/>
      <c r="P610" s="124"/>
      <c r="Q610" s="148"/>
      <c r="R610" s="148"/>
      <c r="S610" s="183"/>
      <c r="T610" s="148"/>
      <c r="U610" s="148"/>
      <c r="V610" s="148"/>
      <c r="W610" s="186"/>
      <c r="X610" s="148"/>
      <c r="Y610" s="124"/>
      <c r="Z610" s="124"/>
    </row>
    <row r="611" spans="3:26" ht="24">
      <c r="C611" s="162"/>
      <c r="D611" s="493">
        <v>45505</v>
      </c>
      <c r="E611" s="98">
        <v>0.05</v>
      </c>
      <c r="F611" s="98" t="s">
        <v>728</v>
      </c>
      <c r="G611" s="98">
        <v>5.2499999999999998E-2</v>
      </c>
      <c r="H611" s="851">
        <v>0.45833333333333331</v>
      </c>
      <c r="I611" s="1440"/>
      <c r="J611" s="1246"/>
      <c r="K611" s="1441"/>
      <c r="L611" s="835"/>
      <c r="M611" s="466"/>
      <c r="N611" s="162"/>
      <c r="O611" s="115" t="s">
        <v>813</v>
      </c>
      <c r="P611" s="191">
        <v>-0.1</v>
      </c>
      <c r="Q611" s="149">
        <v>0.05</v>
      </c>
      <c r="R611" s="150">
        <v>1.7999999999999999E-2</v>
      </c>
      <c r="S611" s="187">
        <v>-1</v>
      </c>
      <c r="T611" s="125">
        <v>9.3000000000000013E-2</v>
      </c>
      <c r="U611" s="151">
        <v>-30.588712871292365</v>
      </c>
      <c r="V611" s="152">
        <v>60.5</v>
      </c>
      <c r="W611" s="189">
        <v>1.5</v>
      </c>
      <c r="X611" s="153">
        <v>45.883069306938552</v>
      </c>
      <c r="Y611" s="154" t="s">
        <v>814</v>
      </c>
      <c r="Z611" s="154"/>
    </row>
    <row r="612" spans="3:26" ht="24">
      <c r="C612" s="162"/>
      <c r="D612" s="493">
        <v>45463</v>
      </c>
      <c r="E612" s="98">
        <v>5.2499999999999998E-2</v>
      </c>
      <c r="F612" s="98" t="s">
        <v>940</v>
      </c>
      <c r="G612" s="98">
        <v>5.2499999999999998E-2</v>
      </c>
      <c r="H612" s="851">
        <v>0.45833333333333331</v>
      </c>
      <c r="I612" s="1440"/>
      <c r="J612" s="1246"/>
      <c r="K612" s="1441"/>
      <c r="L612" s="838"/>
      <c r="M612" s="466"/>
      <c r="N612" s="162"/>
      <c r="O612" s="115"/>
      <c r="P612" s="116"/>
      <c r="Q612" s="149"/>
      <c r="R612" s="150"/>
      <c r="S612" s="119"/>
      <c r="T612" s="116"/>
      <c r="U612" s="151"/>
      <c r="V612" s="152"/>
      <c r="W612" s="119"/>
      <c r="X612" s="153"/>
      <c r="Y612" s="154"/>
      <c r="Z612" s="154"/>
    </row>
    <row r="613" spans="3:26" ht="24">
      <c r="C613" s="162"/>
      <c r="D613" s="493">
        <v>45421</v>
      </c>
      <c r="E613" s="98">
        <v>5.2499999999999998E-2</v>
      </c>
      <c r="F613" s="98" t="s">
        <v>940</v>
      </c>
      <c r="G613" s="98">
        <v>5.2499999999999998E-2</v>
      </c>
      <c r="H613" s="851">
        <v>0.45833333333333331</v>
      </c>
      <c r="I613" s="1440"/>
      <c r="J613" s="1246"/>
      <c r="K613" s="1441"/>
      <c r="L613" s="835"/>
      <c r="M613" s="466"/>
      <c r="N613" s="162"/>
      <c r="O613" s="115"/>
      <c r="P613" s="116"/>
      <c r="Q613" s="149"/>
      <c r="R613" s="150"/>
      <c r="S613" s="119"/>
      <c r="T613" s="116"/>
      <c r="U613" s="151"/>
      <c r="V613" s="152"/>
      <c r="W613" s="119"/>
      <c r="X613" s="153"/>
      <c r="Y613" s="154"/>
      <c r="Z613" s="154"/>
    </row>
    <row r="614" spans="3:26" ht="24">
      <c r="C614" s="162"/>
      <c r="D614" s="493">
        <v>45372</v>
      </c>
      <c r="E614" s="98">
        <v>5.2499999999999998E-2</v>
      </c>
      <c r="F614" s="98" t="s">
        <v>940</v>
      </c>
      <c r="G614" s="98">
        <v>5.2499999999999998E-2</v>
      </c>
      <c r="H614" s="848">
        <v>0.5</v>
      </c>
      <c r="I614" s="1440"/>
      <c r="J614" s="1246"/>
      <c r="K614" s="1441"/>
      <c r="L614" s="835"/>
      <c r="M614" s="466"/>
      <c r="N614" s="162"/>
      <c r="O614" s="89"/>
      <c r="P614" s="89"/>
      <c r="Q614" s="89"/>
      <c r="R614" s="89"/>
      <c r="S614" s="89"/>
      <c r="T614" s="89"/>
      <c r="U614" s="89"/>
      <c r="V614" s="89"/>
      <c r="W614" s="89"/>
      <c r="X614" s="89"/>
      <c r="Y614" s="89"/>
      <c r="Z614" s="89"/>
    </row>
    <row r="615" spans="3:26" ht="25" thickBot="1">
      <c r="C615" s="162"/>
      <c r="D615" s="493">
        <v>45323</v>
      </c>
      <c r="E615" s="98">
        <v>5.2499999999999998E-2</v>
      </c>
      <c r="F615" s="98" t="s">
        <v>940</v>
      </c>
      <c r="G615" s="98">
        <v>5.2499999999999998E-2</v>
      </c>
      <c r="H615" s="851">
        <v>0.5</v>
      </c>
      <c r="I615" s="1501"/>
      <c r="J615" s="1502"/>
      <c r="K615" s="1503"/>
      <c r="L615" s="835"/>
      <c r="M615" s="466"/>
      <c r="N615" s="162"/>
      <c r="O615" s="89"/>
      <c r="P615" s="89"/>
      <c r="Q615" s="89"/>
      <c r="R615" s="89"/>
      <c r="S615" s="89"/>
      <c r="T615" s="89"/>
      <c r="U615" s="89"/>
      <c r="V615" s="89"/>
      <c r="W615" s="89"/>
      <c r="X615" s="89"/>
      <c r="Y615" s="89"/>
      <c r="Z615" s="89"/>
    </row>
    <row r="616" spans="3:26" ht="49" thickBot="1">
      <c r="C616" s="90">
        <v>10</v>
      </c>
      <c r="D616" s="494" t="s">
        <v>30</v>
      </c>
      <c r="E616" s="1429" t="s">
        <v>14</v>
      </c>
      <c r="F616" s="1430"/>
      <c r="G616" s="1431"/>
      <c r="H616" s="847" t="s">
        <v>790</v>
      </c>
      <c r="I616" s="1498" t="s">
        <v>633</v>
      </c>
      <c r="J616" s="1499"/>
      <c r="K616" s="1500"/>
      <c r="L616" s="833" t="s">
        <v>430</v>
      </c>
      <c r="M616" s="468" t="s">
        <v>431</v>
      </c>
      <c r="N616" s="162" t="s">
        <v>105</v>
      </c>
      <c r="O616" s="114" t="s">
        <v>800</v>
      </c>
      <c r="P616" s="114" t="s">
        <v>801</v>
      </c>
      <c r="Q616" s="114" t="s">
        <v>802</v>
      </c>
      <c r="R616" s="114" t="s">
        <v>803</v>
      </c>
      <c r="S616" s="114" t="s">
        <v>804</v>
      </c>
      <c r="T616" s="114" t="s">
        <v>805</v>
      </c>
      <c r="U616" s="114" t="s">
        <v>806</v>
      </c>
      <c r="V616" s="114" t="s">
        <v>807</v>
      </c>
      <c r="W616" s="114" t="s">
        <v>808</v>
      </c>
      <c r="X616" s="114" t="s">
        <v>809</v>
      </c>
      <c r="Y616" s="114" t="s">
        <v>75</v>
      </c>
      <c r="Z616" s="114" t="s">
        <v>75</v>
      </c>
    </row>
    <row r="617" spans="3:26" ht="24">
      <c r="C617" s="162"/>
      <c r="D617" s="489" t="s">
        <v>432</v>
      </c>
      <c r="E617" s="1450"/>
      <c r="F617" s="1451"/>
      <c r="G617" s="1452"/>
      <c r="H617" s="846" t="s">
        <v>794</v>
      </c>
      <c r="I617" s="1438" t="s">
        <v>933</v>
      </c>
      <c r="J617" s="1243"/>
      <c r="K617" s="1439"/>
      <c r="L617" s="835"/>
      <c r="M617" s="466"/>
      <c r="N617" s="162"/>
      <c r="O617" s="115" t="s">
        <v>810</v>
      </c>
      <c r="P617" s="163">
        <v>0.1</v>
      </c>
      <c r="Q617" s="164">
        <v>1.9E-2</v>
      </c>
      <c r="R617" s="165">
        <v>1.8000000000000682E-2</v>
      </c>
      <c r="S617" s="119">
        <v>0</v>
      </c>
      <c r="T617" s="115">
        <v>6.0999999999991131E-2</v>
      </c>
      <c r="U617" s="164">
        <v>-10.78</v>
      </c>
      <c r="V617" s="163">
        <v>91.8</v>
      </c>
      <c r="W617" s="166">
        <v>2</v>
      </c>
      <c r="X617" s="153"/>
      <c r="Y617" s="120"/>
      <c r="Z617" s="120"/>
    </row>
    <row r="618" spans="3:26" ht="24">
      <c r="C618" s="162"/>
      <c r="D618" s="490" t="s">
        <v>433</v>
      </c>
      <c r="E618" s="1444" t="s">
        <v>931</v>
      </c>
      <c r="F618" s="1445"/>
      <c r="G618" s="1446"/>
      <c r="H618" s="846" t="s">
        <v>795</v>
      </c>
      <c r="I618" s="1440"/>
      <c r="J618" s="1246"/>
      <c r="K618" s="1441"/>
      <c r="L618" s="835"/>
      <c r="M618" s="466"/>
      <c r="N618" s="162"/>
      <c r="O618" s="121"/>
      <c r="P618" s="121"/>
      <c r="Q618" s="121"/>
      <c r="R618" s="122"/>
      <c r="S618" s="123"/>
      <c r="T618" s="121"/>
      <c r="U618" s="121"/>
      <c r="V618" s="121"/>
      <c r="W618" s="121"/>
      <c r="X618" s="123"/>
      <c r="Y618" s="124"/>
      <c r="Z618" s="124"/>
    </row>
    <row r="619" spans="3:26" ht="24">
      <c r="C619" s="162"/>
      <c r="D619" s="490" t="s">
        <v>434</v>
      </c>
      <c r="E619" s="1444" t="s">
        <v>932</v>
      </c>
      <c r="F619" s="1445"/>
      <c r="G619" s="1446"/>
      <c r="H619" s="847"/>
      <c r="I619" s="1440"/>
      <c r="J619" s="1246"/>
      <c r="K619" s="1441"/>
      <c r="L619" s="835"/>
      <c r="M619" s="466"/>
      <c r="N619" s="162"/>
      <c r="O619" s="125" t="s">
        <v>811</v>
      </c>
      <c r="P619" s="167">
        <v>0.1</v>
      </c>
      <c r="Q619" s="168">
        <v>6.8099999999999994E-2</v>
      </c>
      <c r="R619" s="169">
        <v>1.8000000000000682E-2</v>
      </c>
      <c r="S619" s="179">
        <v>1</v>
      </c>
      <c r="T619" s="125">
        <v>0.12015000000000067</v>
      </c>
      <c r="U619" s="130">
        <v>-21.233065573773697</v>
      </c>
      <c r="V619" s="131">
        <v>60.5</v>
      </c>
      <c r="W619" s="180">
        <v>1.77</v>
      </c>
      <c r="X619" s="133">
        <v>37.582526065579444</v>
      </c>
      <c r="Y619" s="134"/>
      <c r="Z619" s="134"/>
    </row>
    <row r="620" spans="3:26" ht="25" thickBot="1">
      <c r="C620" s="162"/>
      <c r="D620" s="491" t="s">
        <v>435</v>
      </c>
      <c r="E620" s="1447">
        <v>0.5625</v>
      </c>
      <c r="F620" s="1448"/>
      <c r="G620" s="1449"/>
      <c r="H620" s="847"/>
      <c r="I620" s="1440"/>
      <c r="J620" s="1246"/>
      <c r="K620" s="1441"/>
      <c r="L620" s="836">
        <v>0.79166666666666663</v>
      </c>
      <c r="M620" s="467">
        <v>0.64583333333333326</v>
      </c>
      <c r="N620" s="162"/>
      <c r="O620" s="135" t="s">
        <v>812</v>
      </c>
      <c r="P620" s="171">
        <v>0.1</v>
      </c>
      <c r="Q620" s="156">
        <v>0.11893333333333332</v>
      </c>
      <c r="R620" s="172">
        <v>1.4E-2</v>
      </c>
      <c r="S620" s="181">
        <v>1</v>
      </c>
      <c r="T620" s="173">
        <v>0.19239999999999999</v>
      </c>
      <c r="U620" s="140">
        <v>-34.001180327873797</v>
      </c>
      <c r="V620" s="141">
        <v>60.5</v>
      </c>
      <c r="W620" s="182">
        <v>3.08</v>
      </c>
      <c r="X620" s="143">
        <v>104.7236354098513</v>
      </c>
      <c r="Y620" s="144"/>
      <c r="Z620" s="144"/>
    </row>
    <row r="621" spans="3:26" ht="25" thickBot="1">
      <c r="C621" s="162"/>
      <c r="D621" s="492" t="s">
        <v>436</v>
      </c>
      <c r="E621" s="92" t="s">
        <v>29</v>
      </c>
      <c r="F621" s="92" t="s">
        <v>28</v>
      </c>
      <c r="G621" s="93" t="s">
        <v>27</v>
      </c>
      <c r="H621" s="847" t="s">
        <v>793</v>
      </c>
      <c r="I621" s="1440"/>
      <c r="J621" s="1246"/>
      <c r="K621" s="1441"/>
      <c r="L621" s="835"/>
      <c r="M621" s="466"/>
      <c r="N621" s="162"/>
      <c r="O621" s="123"/>
      <c r="P621" s="145"/>
      <c r="Q621" s="123"/>
      <c r="R621" s="123"/>
      <c r="S621" s="183"/>
      <c r="T621" s="123"/>
      <c r="U621" s="146"/>
      <c r="V621" s="147"/>
      <c r="W621" s="184"/>
      <c r="X621" s="146"/>
      <c r="Y621" s="124"/>
      <c r="Z621" s="124"/>
    </row>
    <row r="622" spans="3:26" ht="24">
      <c r="C622" s="162"/>
      <c r="D622" s="493">
        <v>45596</v>
      </c>
      <c r="E622" s="95" t="s">
        <v>932</v>
      </c>
      <c r="F622" s="95" t="s">
        <v>941</v>
      </c>
      <c r="G622" s="95" t="s">
        <v>579</v>
      </c>
      <c r="H622" s="850">
        <v>0.52083333333333337</v>
      </c>
      <c r="I622" s="1440"/>
      <c r="J622" s="1246"/>
      <c r="K622" s="1441"/>
      <c r="L622" s="835"/>
      <c r="M622" s="466"/>
      <c r="N622" s="162"/>
      <c r="O622" s="148"/>
      <c r="P622" s="124"/>
      <c r="Q622" s="148"/>
      <c r="R622" s="148"/>
      <c r="S622" s="183"/>
      <c r="T622" s="148"/>
      <c r="U622" s="148"/>
      <c r="V622" s="148"/>
      <c r="W622" s="186"/>
      <c r="X622" s="148"/>
      <c r="Y622" s="124"/>
      <c r="Z622" s="124"/>
    </row>
    <row r="623" spans="3:26" ht="24">
      <c r="C623" s="162"/>
      <c r="D623" s="493">
        <v>45589</v>
      </c>
      <c r="E623" s="95" t="s">
        <v>209</v>
      </c>
      <c r="F623" s="95" t="s">
        <v>896</v>
      </c>
      <c r="G623" s="95" t="s">
        <v>897</v>
      </c>
      <c r="H623" s="851">
        <v>0.52083333333333337</v>
      </c>
      <c r="I623" s="1440"/>
      <c r="J623" s="1246"/>
      <c r="K623" s="1441"/>
      <c r="L623" s="835"/>
      <c r="M623" s="466"/>
      <c r="N623" s="162"/>
      <c r="O623" s="115" t="s">
        <v>813</v>
      </c>
      <c r="P623" s="191">
        <v>0.1</v>
      </c>
      <c r="Q623" s="149">
        <v>0.03</v>
      </c>
      <c r="R623" s="150">
        <v>1.4E-2</v>
      </c>
      <c r="S623" s="187">
        <v>1</v>
      </c>
      <c r="T623" s="188">
        <v>0.19239999999999999</v>
      </c>
      <c r="U623" s="151">
        <v>-34.001180327873797</v>
      </c>
      <c r="V623" s="152">
        <v>60.5</v>
      </c>
      <c r="W623" s="189">
        <v>3</v>
      </c>
      <c r="X623" s="153">
        <v>102.00354098362139</v>
      </c>
      <c r="Y623" s="154" t="s">
        <v>814</v>
      </c>
      <c r="Z623" s="154"/>
    </row>
    <row r="624" spans="3:26" ht="24">
      <c r="C624" s="162"/>
      <c r="D624" s="493">
        <v>45582</v>
      </c>
      <c r="E624" s="95" t="s">
        <v>171</v>
      </c>
      <c r="F624" s="95" t="s">
        <v>898</v>
      </c>
      <c r="G624" s="95" t="s">
        <v>692</v>
      </c>
      <c r="H624" s="851">
        <v>0.52083333333333337</v>
      </c>
      <c r="I624" s="1440"/>
      <c r="J624" s="1246"/>
      <c r="K624" s="1441"/>
      <c r="L624" s="838"/>
      <c r="M624" s="466"/>
      <c r="N624" s="162"/>
      <c r="O624" s="115" t="s">
        <v>813</v>
      </c>
      <c r="P624" s="191">
        <v>-0.1</v>
      </c>
      <c r="Q624" s="149">
        <v>0.03</v>
      </c>
      <c r="R624" s="150">
        <v>1.4E-2</v>
      </c>
      <c r="S624" s="187">
        <v>-1</v>
      </c>
      <c r="T624" s="188">
        <v>0.19239999999999999</v>
      </c>
      <c r="U624" s="151">
        <v>-34.001180327873797</v>
      </c>
      <c r="V624" s="152">
        <v>60.5</v>
      </c>
      <c r="W624" s="189">
        <v>3</v>
      </c>
      <c r="X624" s="153">
        <v>102.00354098362139</v>
      </c>
      <c r="Y624" s="154" t="s">
        <v>814</v>
      </c>
      <c r="Z624" s="154"/>
    </row>
    <row r="625" spans="3:26" ht="24">
      <c r="C625" s="162"/>
      <c r="D625" s="493">
        <v>45575</v>
      </c>
      <c r="E625" s="95" t="s">
        <v>678</v>
      </c>
      <c r="F625" s="95" t="s">
        <v>580</v>
      </c>
      <c r="G625" s="95" t="s">
        <v>638</v>
      </c>
      <c r="H625" s="851">
        <v>0.52083333333333337</v>
      </c>
      <c r="I625" s="1440"/>
      <c r="J625" s="1246"/>
      <c r="K625" s="1441"/>
      <c r="L625" s="835"/>
      <c r="M625" s="466"/>
      <c r="N625" s="162"/>
      <c r="O625" s="115"/>
      <c r="P625" s="116"/>
      <c r="Q625" s="149"/>
      <c r="R625" s="150"/>
      <c r="S625" s="119"/>
      <c r="T625" s="116"/>
      <c r="U625" s="151"/>
      <c r="V625" s="152"/>
      <c r="W625" s="119"/>
      <c r="X625" s="153"/>
      <c r="Y625" s="154"/>
      <c r="Z625" s="154"/>
    </row>
    <row r="626" spans="3:26" ht="24">
      <c r="C626" s="162"/>
      <c r="D626" s="493">
        <v>45568</v>
      </c>
      <c r="E626" s="95" t="s">
        <v>638</v>
      </c>
      <c r="F626" s="95" t="s">
        <v>734</v>
      </c>
      <c r="G626" s="95" t="s">
        <v>345</v>
      </c>
      <c r="H626" s="851">
        <v>0.52083333333333337</v>
      </c>
      <c r="I626" s="1440"/>
      <c r="J626" s="1246"/>
      <c r="K626" s="1441"/>
      <c r="L626" s="835"/>
      <c r="M626" s="466"/>
      <c r="N626" s="162"/>
      <c r="O626" s="89"/>
      <c r="P626" s="89"/>
      <c r="Q626" s="89"/>
      <c r="R626" s="89"/>
      <c r="S626" s="89"/>
      <c r="T626" s="89"/>
      <c r="U626" s="89"/>
      <c r="V626" s="89"/>
      <c r="W626" s="89"/>
      <c r="X626" s="89"/>
      <c r="Y626" s="89"/>
      <c r="Z626" s="89"/>
    </row>
    <row r="627" spans="3:26" ht="25" thickBot="1">
      <c r="C627" s="162"/>
      <c r="D627" s="493">
        <v>45561</v>
      </c>
      <c r="E627" s="95" t="s">
        <v>382</v>
      </c>
      <c r="F627" s="95" t="s">
        <v>574</v>
      </c>
      <c r="G627" s="95" t="s">
        <v>72</v>
      </c>
      <c r="H627" s="851">
        <v>0.52083333333333337</v>
      </c>
      <c r="I627" s="1501"/>
      <c r="J627" s="1502"/>
      <c r="K627" s="1503"/>
      <c r="L627" s="835"/>
      <c r="M627" s="466"/>
      <c r="N627" s="162"/>
      <c r="O627" s="89"/>
      <c r="P627" s="89"/>
      <c r="Q627" s="89"/>
      <c r="R627" s="89"/>
      <c r="S627" s="89"/>
      <c r="T627" s="89"/>
      <c r="U627" s="89"/>
      <c r="V627" s="89"/>
      <c r="W627" s="89"/>
      <c r="X627" s="89"/>
      <c r="Y627" s="89"/>
      <c r="Z627" s="89"/>
    </row>
    <row r="628" spans="3:26" ht="49" thickBot="1">
      <c r="C628" s="90">
        <v>11</v>
      </c>
      <c r="D628" s="494" t="s">
        <v>30</v>
      </c>
      <c r="E628" s="1429" t="s">
        <v>127</v>
      </c>
      <c r="F628" s="1430"/>
      <c r="G628" s="1431"/>
      <c r="H628" s="847" t="s">
        <v>790</v>
      </c>
      <c r="I628" s="1498" t="s">
        <v>633</v>
      </c>
      <c r="J628" s="1499"/>
      <c r="K628" s="1500"/>
      <c r="L628" s="833" t="s">
        <v>430</v>
      </c>
      <c r="M628" s="468" t="s">
        <v>431</v>
      </c>
      <c r="N628" s="162" t="s">
        <v>105</v>
      </c>
      <c r="O628" s="114" t="s">
        <v>800</v>
      </c>
      <c r="P628" s="114" t="s">
        <v>801</v>
      </c>
      <c r="Q628" s="114" t="s">
        <v>802</v>
      </c>
      <c r="R628" s="114" t="s">
        <v>803</v>
      </c>
      <c r="S628" s="114" t="s">
        <v>804</v>
      </c>
      <c r="T628" s="114" t="s">
        <v>805</v>
      </c>
      <c r="U628" s="114" t="s">
        <v>806</v>
      </c>
      <c r="V628" s="114" t="s">
        <v>807</v>
      </c>
      <c r="W628" s="114" t="s">
        <v>808</v>
      </c>
      <c r="X628" s="114" t="s">
        <v>809</v>
      </c>
      <c r="Y628" s="114" t="s">
        <v>75</v>
      </c>
      <c r="Z628" s="114" t="s">
        <v>75</v>
      </c>
    </row>
    <row r="629" spans="3:26" ht="24">
      <c r="C629" s="162"/>
      <c r="D629" s="489" t="s">
        <v>432</v>
      </c>
      <c r="E629" s="1435"/>
      <c r="F629" s="1436"/>
      <c r="G629" s="1437"/>
      <c r="H629" s="846" t="s">
        <v>794</v>
      </c>
      <c r="I629" s="1438" t="s">
        <v>934</v>
      </c>
      <c r="J629" s="1243"/>
      <c r="K629" s="1439"/>
      <c r="L629" s="835"/>
      <c r="M629" s="466"/>
      <c r="N629" s="162"/>
      <c r="O629" s="115" t="s">
        <v>810</v>
      </c>
      <c r="P629" s="163">
        <v>0.1</v>
      </c>
      <c r="Q629" s="164">
        <v>1.9E-2</v>
      </c>
      <c r="R629" s="165">
        <v>1.8000000000000682E-2</v>
      </c>
      <c r="S629" s="119">
        <v>0</v>
      </c>
      <c r="T629" s="115">
        <v>6.0999999999991131E-2</v>
      </c>
      <c r="U629" s="164">
        <v>-10.78</v>
      </c>
      <c r="V629" s="163">
        <v>91.8</v>
      </c>
      <c r="W629" s="166">
        <v>2</v>
      </c>
      <c r="X629" s="153"/>
      <c r="Y629" s="120"/>
      <c r="Z629" s="120"/>
    </row>
    <row r="630" spans="3:26" ht="24">
      <c r="C630" s="162"/>
      <c r="D630" s="490" t="s">
        <v>433</v>
      </c>
      <c r="E630" s="1444">
        <v>4.6199999999999998E-2</v>
      </c>
      <c r="F630" s="1445"/>
      <c r="G630" s="1446"/>
      <c r="H630" s="846" t="s">
        <v>795</v>
      </c>
      <c r="I630" s="1440"/>
      <c r="J630" s="1246"/>
      <c r="K630" s="1441"/>
      <c r="L630" s="835"/>
      <c r="M630" s="466"/>
      <c r="N630" s="162"/>
      <c r="O630" s="121"/>
      <c r="P630" s="121"/>
      <c r="Q630" s="121"/>
      <c r="R630" s="122"/>
      <c r="S630" s="123"/>
      <c r="T630" s="121"/>
      <c r="U630" s="121"/>
      <c r="V630" s="121"/>
      <c r="W630" s="121"/>
      <c r="X630" s="123"/>
      <c r="Y630" s="124"/>
      <c r="Z630" s="124"/>
    </row>
    <row r="631" spans="3:26" ht="24">
      <c r="C631" s="162"/>
      <c r="D631" s="490" t="s">
        <v>434</v>
      </c>
      <c r="E631" s="1444">
        <v>4.8800000000000003E-2</v>
      </c>
      <c r="F631" s="1445"/>
      <c r="G631" s="1446"/>
      <c r="H631" s="847"/>
      <c r="I631" s="1440"/>
      <c r="J631" s="1246"/>
      <c r="K631" s="1441"/>
      <c r="L631" s="835"/>
      <c r="M631" s="466"/>
      <c r="N631" s="162"/>
      <c r="O631" s="125" t="s">
        <v>811</v>
      </c>
      <c r="P631" s="167">
        <v>0.1</v>
      </c>
      <c r="Q631" s="168">
        <v>6.8099999999999994E-2</v>
      </c>
      <c r="R631" s="169">
        <v>1.8000000000000682E-2</v>
      </c>
      <c r="S631" s="179">
        <v>1</v>
      </c>
      <c r="T631" s="125">
        <v>0.12015000000000067</v>
      </c>
      <c r="U631" s="130">
        <v>-21.233065573773697</v>
      </c>
      <c r="V631" s="131">
        <v>60.5</v>
      </c>
      <c r="W631" s="180">
        <v>1.77</v>
      </c>
      <c r="X631" s="133">
        <v>37.582526065579444</v>
      </c>
      <c r="Y631" s="134"/>
      <c r="Z631" s="134"/>
    </row>
    <row r="632" spans="3:26" ht="25" thickBot="1">
      <c r="C632" s="162"/>
      <c r="D632" s="491" t="s">
        <v>435</v>
      </c>
      <c r="E632" s="1447">
        <v>0.79166666666666663</v>
      </c>
      <c r="F632" s="1448"/>
      <c r="G632" s="1449"/>
      <c r="H632" s="847"/>
      <c r="I632" s="1440"/>
      <c r="J632" s="1246"/>
      <c r="K632" s="1441"/>
      <c r="L632" s="836">
        <v>2.0833333333333332E-2</v>
      </c>
      <c r="M632" s="467">
        <v>0.875</v>
      </c>
      <c r="N632" s="162"/>
      <c r="O632" s="135" t="s">
        <v>812</v>
      </c>
      <c r="P632" s="171">
        <v>0.1</v>
      </c>
      <c r="Q632" s="156">
        <v>0.11893333333333332</v>
      </c>
      <c r="R632" s="172">
        <v>1.4E-2</v>
      </c>
      <c r="S632" s="181">
        <v>1</v>
      </c>
      <c r="T632" s="173">
        <v>0.19239999999999999</v>
      </c>
      <c r="U632" s="140">
        <v>-34.001180327873797</v>
      </c>
      <c r="V632" s="141">
        <v>60.5</v>
      </c>
      <c r="W632" s="182">
        <v>3.08</v>
      </c>
      <c r="X632" s="143">
        <v>104.7236354098513</v>
      </c>
      <c r="Y632" s="144"/>
      <c r="Z632" s="144"/>
    </row>
    <row r="633" spans="3:26" ht="25" thickBot="1">
      <c r="C633" s="162"/>
      <c r="D633" s="492" t="s">
        <v>436</v>
      </c>
      <c r="E633" s="92" t="s">
        <v>29</v>
      </c>
      <c r="F633" s="92" t="s">
        <v>28</v>
      </c>
      <c r="G633" s="93" t="s">
        <v>27</v>
      </c>
      <c r="H633" s="847" t="s">
        <v>793</v>
      </c>
      <c r="I633" s="1440"/>
      <c r="J633" s="1246"/>
      <c r="K633" s="1441"/>
      <c r="L633" s="835"/>
      <c r="M633" s="466"/>
      <c r="N633" s="162"/>
      <c r="O633" s="123"/>
      <c r="P633" s="145"/>
      <c r="Q633" s="123"/>
      <c r="R633" s="123"/>
      <c r="S633" s="183"/>
      <c r="T633" s="123"/>
      <c r="U633" s="146"/>
      <c r="V633" s="147"/>
      <c r="W633" s="184"/>
      <c r="X633" s="146"/>
      <c r="Y633" s="124"/>
      <c r="Z633" s="124"/>
    </row>
    <row r="634" spans="3:26" ht="24">
      <c r="C634" s="162"/>
      <c r="D634" s="493">
        <v>45553</v>
      </c>
      <c r="E634" s="95">
        <v>0.05</v>
      </c>
      <c r="F634" s="95" t="s">
        <v>940</v>
      </c>
      <c r="G634" s="95">
        <v>5.5E-2</v>
      </c>
      <c r="H634" s="851">
        <v>0.79166666666666663</v>
      </c>
      <c r="I634" s="1440"/>
      <c r="J634" s="1246"/>
      <c r="K634" s="1441"/>
      <c r="L634" s="839"/>
      <c r="M634" s="466"/>
      <c r="N634" s="162"/>
      <c r="O634" s="148"/>
      <c r="P634" s="124"/>
      <c r="Q634" s="148"/>
      <c r="R634" s="148"/>
      <c r="S634" s="183"/>
      <c r="T634" s="148"/>
      <c r="U634" s="148"/>
      <c r="V634" s="148"/>
      <c r="W634" s="186"/>
      <c r="X634" s="148"/>
      <c r="Y634" s="124"/>
      <c r="Z634" s="124"/>
    </row>
    <row r="635" spans="3:26" ht="24">
      <c r="C635" s="162"/>
      <c r="D635" s="493">
        <v>45504</v>
      </c>
      <c r="E635" s="95">
        <v>5.5E-2</v>
      </c>
      <c r="F635" s="95" t="s">
        <v>942</v>
      </c>
      <c r="G635" s="95">
        <v>5.5E-2</v>
      </c>
      <c r="H635" s="851">
        <v>0.79166666666666663</v>
      </c>
      <c r="I635" s="1440"/>
      <c r="J635" s="1246"/>
      <c r="K635" s="1441"/>
      <c r="L635" s="839"/>
      <c r="M635" s="466"/>
      <c r="N635" s="162"/>
      <c r="O635" s="115" t="s">
        <v>813</v>
      </c>
      <c r="P635" s="191">
        <v>0.1</v>
      </c>
      <c r="Q635" s="149">
        <v>0.03</v>
      </c>
      <c r="R635" s="150">
        <v>1.4E-2</v>
      </c>
      <c r="S635" s="187">
        <v>1</v>
      </c>
      <c r="T635" s="188">
        <v>0.19239999999999999</v>
      </c>
      <c r="U635" s="151">
        <v>-34.001180327873797</v>
      </c>
      <c r="V635" s="152">
        <v>60.5</v>
      </c>
      <c r="W635" s="189">
        <v>3</v>
      </c>
      <c r="X635" s="153">
        <v>102.00354098362139</v>
      </c>
      <c r="Y635" s="154" t="s">
        <v>814</v>
      </c>
      <c r="Z635" s="154"/>
    </row>
    <row r="636" spans="3:26" ht="24">
      <c r="C636" s="162"/>
      <c r="D636" s="493">
        <v>45455</v>
      </c>
      <c r="E636" s="95">
        <v>5.5E-2</v>
      </c>
      <c r="F636" s="95" t="s">
        <v>942</v>
      </c>
      <c r="G636" s="95">
        <v>5.5E-2</v>
      </c>
      <c r="H636" s="851">
        <v>0.79166666666666663</v>
      </c>
      <c r="I636" s="1440"/>
      <c r="J636" s="1246"/>
      <c r="K636" s="1441"/>
      <c r="L636" s="839"/>
      <c r="M636" s="466"/>
      <c r="N636" s="162"/>
      <c r="O636" s="115" t="s">
        <v>813</v>
      </c>
      <c r="P636" s="191">
        <v>-0.1</v>
      </c>
      <c r="Q636" s="149">
        <v>0.03</v>
      </c>
      <c r="R636" s="150">
        <v>1.4E-2</v>
      </c>
      <c r="S636" s="187">
        <v>-1</v>
      </c>
      <c r="T636" s="188">
        <v>0.19239999999999999</v>
      </c>
      <c r="U636" s="151">
        <v>-34.001180327873797</v>
      </c>
      <c r="V636" s="152">
        <v>60.5</v>
      </c>
      <c r="W636" s="189">
        <v>3</v>
      </c>
      <c r="X636" s="153">
        <v>102.00354098362139</v>
      </c>
      <c r="Y636" s="154" t="s">
        <v>814</v>
      </c>
      <c r="Z636" s="154"/>
    </row>
    <row r="637" spans="3:26" ht="24">
      <c r="C637" s="162"/>
      <c r="D637" s="493">
        <v>45413</v>
      </c>
      <c r="E637" s="95">
        <v>5.5E-2</v>
      </c>
      <c r="F637" s="95" t="s">
        <v>942</v>
      </c>
      <c r="G637" s="95">
        <v>5.5E-2</v>
      </c>
      <c r="H637" s="851">
        <v>0.79166666666666663</v>
      </c>
      <c r="I637" s="1440"/>
      <c r="J637" s="1246"/>
      <c r="K637" s="1441"/>
      <c r="L637" s="839"/>
      <c r="M637" s="466"/>
      <c r="N637" s="162"/>
      <c r="O637" s="115"/>
      <c r="P637" s="116"/>
      <c r="Q637" s="149"/>
      <c r="R637" s="150"/>
      <c r="S637" s="119"/>
      <c r="T637" s="116"/>
      <c r="U637" s="151"/>
      <c r="V637" s="152"/>
      <c r="W637" s="119"/>
      <c r="X637" s="153"/>
      <c r="Y637" s="154"/>
      <c r="Z637" s="154"/>
    </row>
    <row r="638" spans="3:26" ht="24">
      <c r="C638" s="162"/>
      <c r="D638" s="493">
        <v>45371</v>
      </c>
      <c r="E638" s="95">
        <v>5.5E-2</v>
      </c>
      <c r="F638" s="95" t="s">
        <v>942</v>
      </c>
      <c r="G638" s="95">
        <v>5.5E-2</v>
      </c>
      <c r="H638" s="851">
        <v>0.79166666666666663</v>
      </c>
      <c r="I638" s="1440"/>
      <c r="J638" s="1246"/>
      <c r="K638" s="1441"/>
      <c r="L638" s="839"/>
      <c r="M638" s="466"/>
      <c r="N638" s="162"/>
      <c r="O638" s="89"/>
      <c r="P638" s="89"/>
      <c r="Q638" s="89"/>
      <c r="R638" s="89"/>
      <c r="S638" s="89"/>
      <c r="T638" s="89"/>
      <c r="U638" s="89"/>
      <c r="V638" s="89"/>
      <c r="W638" s="89"/>
      <c r="X638" s="89"/>
      <c r="Y638" s="89"/>
      <c r="Z638" s="89"/>
    </row>
    <row r="639" spans="3:26" ht="25" thickBot="1">
      <c r="C639" s="162"/>
      <c r="D639" s="493">
        <v>45322</v>
      </c>
      <c r="E639" s="95">
        <v>5.5E-2</v>
      </c>
      <c r="F639" s="95" t="s">
        <v>942</v>
      </c>
      <c r="G639" s="95">
        <v>5.5E-2</v>
      </c>
      <c r="H639" s="851">
        <v>0.83333333333333326</v>
      </c>
      <c r="I639" s="1501"/>
      <c r="J639" s="1502"/>
      <c r="K639" s="1503"/>
      <c r="L639" s="839"/>
      <c r="M639" s="466"/>
      <c r="N639" s="162"/>
      <c r="O639" s="89"/>
      <c r="P639" s="89"/>
      <c r="Q639" s="89"/>
      <c r="R639" s="89"/>
      <c r="S639" s="89"/>
      <c r="T639" s="89"/>
      <c r="U639" s="89"/>
      <c r="V639" s="89"/>
      <c r="W639" s="89"/>
      <c r="X639" s="89"/>
      <c r="Y639" s="89"/>
      <c r="Z639" s="89"/>
    </row>
    <row r="640" spans="3:26" ht="49" thickBot="1">
      <c r="C640" s="90">
        <v>12</v>
      </c>
      <c r="D640" s="494" t="s">
        <v>30</v>
      </c>
      <c r="E640" s="1429" t="s">
        <v>125</v>
      </c>
      <c r="F640" s="1430"/>
      <c r="G640" s="1431"/>
      <c r="H640" s="847" t="s">
        <v>790</v>
      </c>
      <c r="I640" s="1498" t="s">
        <v>633</v>
      </c>
      <c r="J640" s="1499"/>
      <c r="K640" s="1500"/>
      <c r="L640" s="833" t="s">
        <v>430</v>
      </c>
      <c r="M640" s="468" t="s">
        <v>431</v>
      </c>
      <c r="N640" s="162" t="s">
        <v>105</v>
      </c>
      <c r="O640" s="114" t="s">
        <v>800</v>
      </c>
      <c r="P640" s="114" t="s">
        <v>801</v>
      </c>
      <c r="Q640" s="114" t="s">
        <v>802</v>
      </c>
      <c r="R640" s="114" t="s">
        <v>803</v>
      </c>
      <c r="S640" s="114" t="s">
        <v>804</v>
      </c>
      <c r="T640" s="114" t="s">
        <v>805</v>
      </c>
      <c r="U640" s="114" t="s">
        <v>806</v>
      </c>
      <c r="V640" s="114" t="s">
        <v>807</v>
      </c>
      <c r="W640" s="114" t="s">
        <v>808</v>
      </c>
      <c r="X640" s="114" t="s">
        <v>809</v>
      </c>
      <c r="Y640" s="114" t="s">
        <v>75</v>
      </c>
      <c r="Z640" s="114" t="s">
        <v>75</v>
      </c>
    </row>
    <row r="641" spans="3:26" ht="24">
      <c r="C641" s="162"/>
      <c r="D641" s="489" t="s">
        <v>432</v>
      </c>
      <c r="E641" s="1435"/>
      <c r="F641" s="1436"/>
      <c r="G641" s="1437"/>
      <c r="H641" s="846" t="s">
        <v>794</v>
      </c>
      <c r="I641" s="1438" t="s">
        <v>935</v>
      </c>
      <c r="J641" s="1243"/>
      <c r="K641" s="1439"/>
      <c r="L641" s="835"/>
      <c r="M641" s="466"/>
      <c r="N641" s="162"/>
      <c r="O641" s="115" t="s">
        <v>810</v>
      </c>
      <c r="P641" s="116">
        <v>0.1</v>
      </c>
      <c r="Q641" s="117">
        <v>3.9E-2</v>
      </c>
      <c r="R641" s="118">
        <v>2.1000000000015007E-2</v>
      </c>
      <c r="S641" s="119"/>
      <c r="T641" s="115">
        <v>7.9500000000015003E-2</v>
      </c>
      <c r="U641" s="117">
        <v>-18.989999999999998</v>
      </c>
      <c r="V641" s="116">
        <v>91.8</v>
      </c>
      <c r="W641" s="119"/>
      <c r="X641" s="119"/>
      <c r="Y641" s="120"/>
      <c r="Z641" s="120"/>
    </row>
    <row r="642" spans="3:26" ht="24">
      <c r="C642" s="162"/>
      <c r="D642" s="490" t="s">
        <v>433</v>
      </c>
      <c r="E642" s="1513">
        <v>0</v>
      </c>
      <c r="F642" s="1514"/>
      <c r="G642" s="1515"/>
      <c r="H642" s="846" t="s">
        <v>795</v>
      </c>
      <c r="I642" s="1440"/>
      <c r="J642" s="1246"/>
      <c r="K642" s="1441"/>
      <c r="L642" s="835"/>
      <c r="M642" s="466"/>
      <c r="N642" s="162"/>
      <c r="O642" s="121"/>
      <c r="P642" s="121"/>
      <c r="Q642" s="121"/>
      <c r="R642" s="122"/>
      <c r="S642" s="123"/>
      <c r="T642" s="121"/>
      <c r="U642" s="121"/>
      <c r="V642" s="121"/>
      <c r="W642" s="123"/>
      <c r="X642" s="123"/>
      <c r="Y642" s="124"/>
      <c r="Z642" s="124"/>
    </row>
    <row r="643" spans="3:26" ht="24">
      <c r="C643" s="162"/>
      <c r="D643" s="490" t="s">
        <v>434</v>
      </c>
      <c r="E643" s="1513">
        <v>0</v>
      </c>
      <c r="F643" s="1514"/>
      <c r="G643" s="1515"/>
      <c r="H643" s="847"/>
      <c r="I643" s="1440"/>
      <c r="J643" s="1246"/>
      <c r="K643" s="1441"/>
      <c r="L643" s="835"/>
      <c r="M643" s="466"/>
      <c r="N643" s="162"/>
      <c r="O643" s="125" t="s">
        <v>811</v>
      </c>
      <c r="P643" s="126">
        <v>0.1</v>
      </c>
      <c r="Q643" s="127">
        <v>7.22E-2</v>
      </c>
      <c r="R643" s="128">
        <v>1.4999999999999999E-2</v>
      </c>
      <c r="S643" s="129">
        <v>1</v>
      </c>
      <c r="T643" s="125">
        <v>0.12330000000000001</v>
      </c>
      <c r="U643" s="130">
        <v>-29.452415094334064</v>
      </c>
      <c r="V643" s="131">
        <v>60.5</v>
      </c>
      <c r="W643" s="132">
        <v>4.88</v>
      </c>
      <c r="X643" s="133">
        <v>143.72778566035024</v>
      </c>
      <c r="Y643" s="134"/>
      <c r="Z643" s="134">
        <v>4.4350000000000005</v>
      </c>
    </row>
    <row r="644" spans="3:26" ht="25" thickBot="1">
      <c r="C644" s="162"/>
      <c r="D644" s="491" t="s">
        <v>435</v>
      </c>
      <c r="E644" s="1447">
        <v>0.79166666666666663</v>
      </c>
      <c r="F644" s="1448"/>
      <c r="G644" s="1449"/>
      <c r="H644" s="847"/>
      <c r="I644" s="1440"/>
      <c r="J644" s="1246"/>
      <c r="K644" s="1441"/>
      <c r="L644" s="836">
        <v>2.0833333333333332E-2</v>
      </c>
      <c r="M644" s="467">
        <v>0.875</v>
      </c>
      <c r="N644" s="162"/>
      <c r="O644" s="135" t="s">
        <v>812</v>
      </c>
      <c r="P644" s="136">
        <v>0.1</v>
      </c>
      <c r="Q644" s="137">
        <v>4.0533333333333338E-2</v>
      </c>
      <c r="R644" s="138">
        <v>1.4999999999999999E-2</v>
      </c>
      <c r="S644" s="139">
        <v>0.5</v>
      </c>
      <c r="T644" s="135">
        <v>7.5800000000000006E-2</v>
      </c>
      <c r="U644" s="140">
        <v>-9.0530943396209338</v>
      </c>
      <c r="V644" s="141">
        <v>60.5</v>
      </c>
      <c r="W644" s="142">
        <v>2.3650000000000002</v>
      </c>
      <c r="X644" s="143">
        <v>21.41056811320351</v>
      </c>
      <c r="Y644" s="144"/>
      <c r="Z644" s="144"/>
    </row>
    <row r="645" spans="3:26" ht="25" thickBot="1">
      <c r="C645" s="162"/>
      <c r="D645" s="492" t="s">
        <v>436</v>
      </c>
      <c r="E645" s="92" t="s">
        <v>29</v>
      </c>
      <c r="F645" s="92" t="s">
        <v>28</v>
      </c>
      <c r="G645" s="93" t="s">
        <v>27</v>
      </c>
      <c r="H645" s="847" t="s">
        <v>793</v>
      </c>
      <c r="I645" s="1440"/>
      <c r="J645" s="1246"/>
      <c r="K645" s="1441"/>
      <c r="L645" s="835"/>
      <c r="M645" s="466"/>
      <c r="N645" s="162"/>
      <c r="O645" s="123"/>
      <c r="P645" s="145"/>
      <c r="Q645" s="123"/>
      <c r="R645" s="123"/>
      <c r="S645" s="123"/>
      <c r="T645" s="123"/>
      <c r="U645" s="146"/>
      <c r="V645" s="147"/>
      <c r="W645" s="123"/>
      <c r="X645" s="146"/>
      <c r="Y645" s="124"/>
      <c r="Z645" s="124"/>
    </row>
    <row r="646" spans="3:26" ht="24">
      <c r="C646" s="162"/>
      <c r="D646" s="493">
        <v>45553</v>
      </c>
      <c r="E646" s="96">
        <v>0</v>
      </c>
      <c r="F646" s="96" t="s">
        <v>754</v>
      </c>
      <c r="G646" s="96">
        <v>0</v>
      </c>
      <c r="H646" s="851">
        <v>0.79166666666666663</v>
      </c>
      <c r="I646" s="1440"/>
      <c r="J646" s="1246"/>
      <c r="K646" s="1441"/>
      <c r="L646" s="835"/>
      <c r="M646" s="466"/>
      <c r="N646" s="162"/>
      <c r="O646" s="148"/>
      <c r="P646" s="124"/>
      <c r="Q646" s="148"/>
      <c r="R646" s="148"/>
      <c r="S646" s="148"/>
      <c r="T646" s="148"/>
      <c r="U646" s="148"/>
      <c r="V646" s="148"/>
      <c r="W646" s="148"/>
      <c r="X646" s="148"/>
      <c r="Y646" s="124"/>
      <c r="Z646" s="124"/>
    </row>
    <row r="647" spans="3:26" ht="24">
      <c r="C647" s="162"/>
      <c r="D647" s="493">
        <v>45504</v>
      </c>
      <c r="E647" s="96">
        <v>0</v>
      </c>
      <c r="F647" s="96" t="s">
        <v>754</v>
      </c>
      <c r="G647" s="96">
        <v>0</v>
      </c>
      <c r="H647" s="851">
        <v>0.79166666666666663</v>
      </c>
      <c r="I647" s="1440"/>
      <c r="J647" s="1246"/>
      <c r="K647" s="1441"/>
      <c r="L647" s="835"/>
      <c r="M647" s="466"/>
      <c r="N647" s="162"/>
      <c r="O647" s="115" t="s">
        <v>813</v>
      </c>
      <c r="P647" s="116">
        <v>0.25</v>
      </c>
      <c r="Q647" s="149">
        <v>4.0533333333333338E-2</v>
      </c>
      <c r="R647" s="150">
        <v>1.4999999999999999E-2</v>
      </c>
      <c r="S647" s="119">
        <v>0.5</v>
      </c>
      <c r="T647" s="116">
        <v>7.5800000000000006E-2</v>
      </c>
      <c r="U647" s="151">
        <v>-22.632735849052334</v>
      </c>
      <c r="V647" s="152">
        <v>151.25</v>
      </c>
      <c r="W647" s="119">
        <v>2</v>
      </c>
      <c r="X647" s="153">
        <v>45.265471698104669</v>
      </c>
      <c r="Y647" s="154" t="s">
        <v>814</v>
      </c>
      <c r="Z647" s="154"/>
    </row>
    <row r="648" spans="3:26" ht="24">
      <c r="C648" s="162"/>
      <c r="D648" s="493">
        <v>45455</v>
      </c>
      <c r="E648" s="96">
        <v>0</v>
      </c>
      <c r="F648" s="96" t="s">
        <v>754</v>
      </c>
      <c r="G648" s="96">
        <v>0</v>
      </c>
      <c r="H648" s="851">
        <v>0.79166666666666663</v>
      </c>
      <c r="I648" s="1440"/>
      <c r="J648" s="1246"/>
      <c r="K648" s="1441"/>
      <c r="L648" s="838"/>
      <c r="M648" s="466"/>
      <c r="N648" s="162"/>
      <c r="O648" s="115" t="s">
        <v>813</v>
      </c>
      <c r="P648" s="116">
        <v>0.25</v>
      </c>
      <c r="Q648" s="149">
        <v>4.0533333333333338E-2</v>
      </c>
      <c r="R648" s="150">
        <v>1.4999999999999999E-2</v>
      </c>
      <c r="S648" s="119">
        <v>0.5</v>
      </c>
      <c r="T648" s="116">
        <v>7.5800000000000006E-2</v>
      </c>
      <c r="U648" s="151">
        <v>-22.009959016396646</v>
      </c>
      <c r="V648" s="152">
        <v>151.25</v>
      </c>
      <c r="W648" s="119">
        <v>2</v>
      </c>
      <c r="X648" s="153">
        <v>44.019918032793292</v>
      </c>
      <c r="Y648" s="154"/>
      <c r="Z648" s="154"/>
    </row>
    <row r="649" spans="3:26" ht="24">
      <c r="C649" s="162"/>
      <c r="D649" s="493">
        <v>45413</v>
      </c>
      <c r="E649" s="96">
        <v>0</v>
      </c>
      <c r="F649" s="96" t="s">
        <v>754</v>
      </c>
      <c r="G649" s="96">
        <v>0</v>
      </c>
      <c r="H649" s="851">
        <v>0.79166666666666663</v>
      </c>
      <c r="I649" s="1440"/>
      <c r="J649" s="1246"/>
      <c r="K649" s="1441"/>
      <c r="L649" s="835"/>
      <c r="M649" s="466"/>
      <c r="N649" s="162"/>
      <c r="O649" s="115" t="s">
        <v>816</v>
      </c>
      <c r="P649" s="116"/>
      <c r="Q649" s="149"/>
      <c r="R649" s="150"/>
      <c r="S649" s="119"/>
      <c r="T649" s="116"/>
      <c r="U649" s="151">
        <v>-22.009959016396646</v>
      </c>
      <c r="V649" s="152"/>
      <c r="W649" s="119"/>
      <c r="X649" s="153">
        <v>44.019918032793292</v>
      </c>
      <c r="Y649" s="154"/>
      <c r="Z649" s="154"/>
    </row>
    <row r="650" spans="3:26" ht="24">
      <c r="C650" s="162"/>
      <c r="D650" s="493">
        <v>45371</v>
      </c>
      <c r="E650" s="96">
        <v>0</v>
      </c>
      <c r="F650" s="96" t="s">
        <v>754</v>
      </c>
      <c r="G650" s="96">
        <v>0</v>
      </c>
      <c r="H650" s="851">
        <v>0.79166666666666663</v>
      </c>
      <c r="I650" s="1440"/>
      <c r="J650" s="1246"/>
      <c r="K650" s="1441"/>
      <c r="L650" s="835"/>
      <c r="M650" s="466"/>
      <c r="N650" s="162"/>
      <c r="O650" s="89"/>
      <c r="P650" s="89"/>
      <c r="Q650" s="89"/>
      <c r="R650" s="89"/>
      <c r="S650" s="89"/>
      <c r="T650" s="89"/>
      <c r="U650" s="89"/>
      <c r="V650" s="89"/>
      <c r="W650" s="89"/>
      <c r="X650" s="89"/>
      <c r="Y650" s="89"/>
      <c r="Z650" s="89"/>
    </row>
    <row r="651" spans="3:26" ht="24" thickBot="1">
      <c r="C651" s="162"/>
      <c r="D651" s="493">
        <v>45322</v>
      </c>
      <c r="E651" s="96">
        <v>0</v>
      </c>
      <c r="F651" s="96">
        <v>0</v>
      </c>
      <c r="G651" s="96">
        <v>0</v>
      </c>
      <c r="H651" s="851">
        <v>0.83333333333333326</v>
      </c>
      <c r="I651" s="1442"/>
      <c r="J651" s="1249"/>
      <c r="K651" s="1443"/>
      <c r="L651" s="852"/>
      <c r="M651" s="469"/>
      <c r="N651" s="162"/>
      <c r="O651" s="89"/>
      <c r="P651" s="89"/>
      <c r="Q651" s="89"/>
      <c r="R651" s="89"/>
      <c r="S651" s="89"/>
      <c r="T651" s="89"/>
      <c r="U651" s="89"/>
      <c r="V651" s="89"/>
      <c r="W651" s="89"/>
      <c r="X651" s="89"/>
      <c r="Y651" s="89"/>
      <c r="Z651" s="89"/>
    </row>
    <row r="652" spans="3:26" ht="49" thickBot="1">
      <c r="C652" s="90">
        <v>13</v>
      </c>
      <c r="D652" s="494" t="s">
        <v>30</v>
      </c>
      <c r="E652" s="1429" t="s">
        <v>129</v>
      </c>
      <c r="F652" s="1430"/>
      <c r="G652" s="1431"/>
      <c r="H652" s="853" t="s">
        <v>790</v>
      </c>
      <c r="I652" s="1516" t="s">
        <v>633</v>
      </c>
      <c r="J652" s="1517"/>
      <c r="K652" s="1518"/>
      <c r="L652" s="854" t="s">
        <v>430</v>
      </c>
      <c r="M652" s="206" t="s">
        <v>431</v>
      </c>
      <c r="N652" s="162" t="s">
        <v>105</v>
      </c>
      <c r="O652" s="114" t="s">
        <v>800</v>
      </c>
      <c r="P652" s="114" t="s">
        <v>801</v>
      </c>
      <c r="Q652" s="114" t="s">
        <v>802</v>
      </c>
      <c r="R652" s="114" t="s">
        <v>803</v>
      </c>
      <c r="S652" s="114" t="s">
        <v>804</v>
      </c>
      <c r="T652" s="114" t="s">
        <v>805</v>
      </c>
      <c r="U652" s="114" t="s">
        <v>806</v>
      </c>
      <c r="V652" s="114" t="s">
        <v>807</v>
      </c>
      <c r="W652" s="114" t="s">
        <v>808</v>
      </c>
      <c r="X652" s="114" t="s">
        <v>809</v>
      </c>
      <c r="Y652" s="114" t="s">
        <v>75</v>
      </c>
      <c r="Z652" s="114" t="s">
        <v>75</v>
      </c>
    </row>
    <row r="653" spans="3:26" ht="24">
      <c r="C653" s="162"/>
      <c r="D653" s="489" t="s">
        <v>432</v>
      </c>
      <c r="E653" s="1435"/>
      <c r="F653" s="1436"/>
      <c r="G653" s="1437"/>
      <c r="H653" s="846" t="s">
        <v>794</v>
      </c>
      <c r="I653" s="1471" t="s">
        <v>936</v>
      </c>
      <c r="J653" s="1472"/>
      <c r="K653" s="1473"/>
      <c r="L653" s="835"/>
      <c r="M653" s="460"/>
      <c r="N653" s="162"/>
      <c r="O653" s="115" t="s">
        <v>810</v>
      </c>
      <c r="P653" s="116">
        <v>0.1</v>
      </c>
      <c r="Q653" s="117">
        <v>3.9E-2</v>
      </c>
      <c r="R653" s="118">
        <v>2.1000000000015007E-2</v>
      </c>
      <c r="S653" s="119"/>
      <c r="T653" s="115">
        <v>7.9500000000015003E-2</v>
      </c>
      <c r="U653" s="117">
        <v>-18.989999999999998</v>
      </c>
      <c r="V653" s="116">
        <v>91.8</v>
      </c>
      <c r="W653" s="119"/>
      <c r="X653" s="119"/>
      <c r="Y653" s="120"/>
      <c r="Z653" s="120"/>
    </row>
    <row r="654" spans="3:26" ht="24">
      <c r="C654" s="162"/>
      <c r="D654" s="490" t="s">
        <v>433</v>
      </c>
      <c r="E654" s="1513">
        <v>0</v>
      </c>
      <c r="F654" s="1514"/>
      <c r="G654" s="1515"/>
      <c r="H654" s="846" t="s">
        <v>795</v>
      </c>
      <c r="I654" s="1474"/>
      <c r="J654" s="1475"/>
      <c r="K654" s="1476"/>
      <c r="L654" s="835"/>
      <c r="M654" s="460"/>
      <c r="N654" s="162"/>
      <c r="O654" s="121"/>
      <c r="P654" s="121"/>
      <c r="Q654" s="121"/>
      <c r="R654" s="122"/>
      <c r="S654" s="123"/>
      <c r="T654" s="121"/>
      <c r="U654" s="121"/>
      <c r="V654" s="121"/>
      <c r="W654" s="123"/>
      <c r="X654" s="123"/>
      <c r="Y654" s="124"/>
      <c r="Z654" s="124"/>
    </row>
    <row r="655" spans="3:26" ht="24">
      <c r="C655" s="162"/>
      <c r="D655" s="490" t="s">
        <v>434</v>
      </c>
      <c r="E655" s="1513">
        <v>0</v>
      </c>
      <c r="F655" s="1514"/>
      <c r="G655" s="1515"/>
      <c r="H655" s="207"/>
      <c r="I655" s="1474"/>
      <c r="J655" s="1475"/>
      <c r="K655" s="1476"/>
      <c r="L655" s="835"/>
      <c r="M655" s="460"/>
      <c r="N655" s="162"/>
      <c r="O655" s="125" t="s">
        <v>811</v>
      </c>
      <c r="P655" s="126">
        <v>0.1</v>
      </c>
      <c r="Q655" s="127">
        <v>7.22E-2</v>
      </c>
      <c r="R655" s="128">
        <v>1.4999999999999999E-2</v>
      </c>
      <c r="S655" s="129">
        <v>1</v>
      </c>
      <c r="T655" s="125">
        <v>0.12330000000000001</v>
      </c>
      <c r="U655" s="130">
        <v>-29.452415094334064</v>
      </c>
      <c r="V655" s="131">
        <v>60.5</v>
      </c>
      <c r="W655" s="132">
        <v>4.88</v>
      </c>
      <c r="X655" s="133">
        <v>143.72778566035024</v>
      </c>
      <c r="Y655" s="134"/>
      <c r="Z655" s="134">
        <v>4.4350000000000005</v>
      </c>
    </row>
    <row r="656" spans="3:26" ht="25" thickBot="1">
      <c r="C656" s="162"/>
      <c r="D656" s="491" t="s">
        <v>435</v>
      </c>
      <c r="E656" s="1447">
        <v>0.8125</v>
      </c>
      <c r="F656" s="1448"/>
      <c r="G656" s="1449"/>
      <c r="H656" s="207"/>
      <c r="I656" s="1474"/>
      <c r="J656" s="1475"/>
      <c r="K656" s="1476"/>
      <c r="L656" s="836">
        <v>4.1666666666666664E-2</v>
      </c>
      <c r="M656" s="461">
        <v>0.89583333333333337</v>
      </c>
      <c r="N656" s="162"/>
      <c r="O656" s="135" t="s">
        <v>812</v>
      </c>
      <c r="P656" s="136">
        <v>0.1</v>
      </c>
      <c r="Q656" s="137">
        <v>4.0533333333333338E-2</v>
      </c>
      <c r="R656" s="138">
        <v>1.4999999999999999E-2</v>
      </c>
      <c r="S656" s="139">
        <v>0.5</v>
      </c>
      <c r="T656" s="135">
        <v>7.5800000000000006E-2</v>
      </c>
      <c r="U656" s="140">
        <v>-9.0530943396209338</v>
      </c>
      <c r="V656" s="141">
        <v>60.5</v>
      </c>
      <c r="W656" s="142">
        <v>2.3650000000000002</v>
      </c>
      <c r="X656" s="143">
        <v>21.41056811320351</v>
      </c>
      <c r="Y656" s="144"/>
      <c r="Z656" s="144"/>
    </row>
    <row r="657" spans="2:40" ht="25" thickBot="1">
      <c r="C657" s="162"/>
      <c r="D657" s="492" t="s">
        <v>436</v>
      </c>
      <c r="E657" s="92" t="s">
        <v>29</v>
      </c>
      <c r="F657" s="92" t="s">
        <v>28</v>
      </c>
      <c r="G657" s="93" t="s">
        <v>27</v>
      </c>
      <c r="H657" s="207" t="s">
        <v>793</v>
      </c>
      <c r="I657" s="1474"/>
      <c r="J657" s="1475"/>
      <c r="K657" s="1476"/>
      <c r="L657" s="835"/>
      <c r="M657" s="460"/>
      <c r="N657" s="162"/>
      <c r="O657" s="123"/>
      <c r="P657" s="145"/>
      <c r="Q657" s="123"/>
      <c r="R657" s="123"/>
      <c r="S657" s="123"/>
      <c r="T657" s="123"/>
      <c r="U657" s="146"/>
      <c r="V657" s="147"/>
      <c r="W657" s="123"/>
      <c r="X657" s="146"/>
      <c r="Y657" s="124"/>
      <c r="Z657" s="124"/>
    </row>
    <row r="658" spans="2:40" ht="24">
      <c r="C658" s="162"/>
      <c r="D658" s="493">
        <v>45553</v>
      </c>
      <c r="E658" s="96">
        <v>0</v>
      </c>
      <c r="F658" s="96" t="s">
        <v>754</v>
      </c>
      <c r="G658" s="97">
        <v>0</v>
      </c>
      <c r="H658" s="851">
        <v>0.8125</v>
      </c>
      <c r="I658" s="1474"/>
      <c r="J658" s="1475"/>
      <c r="K658" s="1476"/>
      <c r="L658" s="835"/>
      <c r="M658" s="460"/>
      <c r="N658" s="162"/>
      <c r="O658" s="148"/>
      <c r="P658" s="124"/>
      <c r="Q658" s="148"/>
      <c r="R658" s="148"/>
      <c r="S658" s="148"/>
      <c r="T658" s="148"/>
      <c r="U658" s="148"/>
      <c r="V658" s="148"/>
      <c r="W658" s="148"/>
      <c r="X658" s="148"/>
      <c r="Y658" s="124"/>
      <c r="Z658" s="124"/>
    </row>
    <row r="659" spans="2:40" ht="24">
      <c r="C659" s="162"/>
      <c r="D659" s="493">
        <v>45504</v>
      </c>
      <c r="E659" s="96">
        <v>0</v>
      </c>
      <c r="F659" s="96" t="s">
        <v>754</v>
      </c>
      <c r="G659" s="97">
        <v>0</v>
      </c>
      <c r="H659" s="851">
        <v>0.8125</v>
      </c>
      <c r="I659" s="1474"/>
      <c r="J659" s="1475"/>
      <c r="K659" s="1476"/>
      <c r="L659" s="835"/>
      <c r="M659" s="460"/>
      <c r="N659" s="162"/>
      <c r="O659" s="115" t="s">
        <v>813</v>
      </c>
      <c r="P659" s="116">
        <v>0.25</v>
      </c>
      <c r="Q659" s="149">
        <v>4.0533333333333338E-2</v>
      </c>
      <c r="R659" s="150">
        <v>1.4999999999999999E-2</v>
      </c>
      <c r="S659" s="119">
        <v>0.5</v>
      </c>
      <c r="T659" s="116">
        <v>7.5800000000000006E-2</v>
      </c>
      <c r="U659" s="151">
        <v>-22.632735849052334</v>
      </c>
      <c r="V659" s="152">
        <v>151.25</v>
      </c>
      <c r="W659" s="119">
        <v>2</v>
      </c>
      <c r="X659" s="153">
        <v>45.265471698104669</v>
      </c>
      <c r="Y659" s="154" t="s">
        <v>814</v>
      </c>
      <c r="Z659" s="154"/>
    </row>
    <row r="660" spans="2:40" ht="24">
      <c r="C660" s="162"/>
      <c r="D660" s="493">
        <v>45455</v>
      </c>
      <c r="E660" s="96">
        <v>0</v>
      </c>
      <c r="F660" s="96" t="s">
        <v>754</v>
      </c>
      <c r="G660" s="97">
        <v>0</v>
      </c>
      <c r="H660" s="851">
        <v>0.8125</v>
      </c>
      <c r="I660" s="1474"/>
      <c r="J660" s="1475"/>
      <c r="K660" s="1476"/>
      <c r="L660" s="838"/>
      <c r="M660" s="460"/>
      <c r="N660" s="162"/>
      <c r="O660" s="115" t="s">
        <v>813</v>
      </c>
      <c r="P660" s="116">
        <v>0.25</v>
      </c>
      <c r="Q660" s="149">
        <v>4.0533333333333338E-2</v>
      </c>
      <c r="R660" s="150">
        <v>1.4999999999999999E-2</v>
      </c>
      <c r="S660" s="119">
        <v>0.5</v>
      </c>
      <c r="T660" s="116">
        <v>7.5800000000000006E-2</v>
      </c>
      <c r="U660" s="151">
        <v>-22.009959016396646</v>
      </c>
      <c r="V660" s="152">
        <v>151.25</v>
      </c>
      <c r="W660" s="119">
        <v>2</v>
      </c>
      <c r="X660" s="153">
        <v>44.019918032793292</v>
      </c>
      <c r="Y660" s="154"/>
      <c r="Z660" s="154"/>
    </row>
    <row r="661" spans="2:40" ht="24">
      <c r="C661" s="162"/>
      <c r="D661" s="493">
        <v>45413</v>
      </c>
      <c r="E661" s="96">
        <v>0</v>
      </c>
      <c r="F661" s="96" t="s">
        <v>754</v>
      </c>
      <c r="G661" s="97">
        <v>0</v>
      </c>
      <c r="H661" s="851">
        <v>0.8125</v>
      </c>
      <c r="I661" s="1474"/>
      <c r="J661" s="1475"/>
      <c r="K661" s="1476"/>
      <c r="L661" s="835"/>
      <c r="M661" s="460"/>
      <c r="N661" s="162"/>
      <c r="O661" s="115" t="s">
        <v>816</v>
      </c>
      <c r="P661" s="116"/>
      <c r="Q661" s="149"/>
      <c r="R661" s="150"/>
      <c r="S661" s="119"/>
      <c r="T661" s="116"/>
      <c r="U661" s="151">
        <v>-22.009959016396646</v>
      </c>
      <c r="V661" s="152"/>
      <c r="W661" s="119"/>
      <c r="X661" s="153">
        <v>44.019918032793292</v>
      </c>
      <c r="Y661" s="154"/>
      <c r="Z661" s="154"/>
    </row>
    <row r="662" spans="2:40" ht="24">
      <c r="C662" s="162"/>
      <c r="D662" s="493">
        <v>45371</v>
      </c>
      <c r="E662" s="96">
        <v>0</v>
      </c>
      <c r="F662" s="96" t="s">
        <v>754</v>
      </c>
      <c r="G662" s="97">
        <v>0</v>
      </c>
      <c r="H662" s="851">
        <v>0.8125</v>
      </c>
      <c r="I662" s="1474"/>
      <c r="J662" s="1475"/>
      <c r="K662" s="1476"/>
      <c r="L662" s="835"/>
      <c r="M662" s="460"/>
      <c r="N662" s="162"/>
      <c r="O662" s="89"/>
      <c r="P662" s="89"/>
      <c r="Q662" s="89"/>
      <c r="R662" s="89"/>
      <c r="S662" s="89"/>
      <c r="T662" s="89"/>
      <c r="U662" s="89"/>
      <c r="V662" s="89"/>
      <c r="W662" s="89"/>
      <c r="X662" s="89"/>
      <c r="Y662" s="89"/>
      <c r="Z662" s="89"/>
    </row>
    <row r="663" spans="2:40" ht="25" thickBot="1">
      <c r="C663" s="162"/>
      <c r="D663" s="495">
        <v>45322</v>
      </c>
      <c r="E663" s="160">
        <v>0</v>
      </c>
      <c r="F663" s="160" t="s">
        <v>754</v>
      </c>
      <c r="G663" s="208">
        <v>0</v>
      </c>
      <c r="H663" s="851">
        <v>0.85416666666666663</v>
      </c>
      <c r="I663" s="1477"/>
      <c r="J663" s="1478"/>
      <c r="K663" s="1479"/>
      <c r="L663" s="835"/>
      <c r="M663" s="460"/>
      <c r="N663" s="162"/>
      <c r="O663" s="89"/>
      <c r="P663" s="89"/>
      <c r="Q663" s="89"/>
      <c r="R663" s="89"/>
      <c r="S663" s="89"/>
      <c r="T663" s="89"/>
      <c r="U663" s="89"/>
      <c r="V663" s="89"/>
      <c r="W663" s="89"/>
      <c r="X663" s="89"/>
      <c r="Y663" s="89"/>
      <c r="Z663" s="89"/>
    </row>
    <row r="664" spans="2:40" ht="49" thickBot="1">
      <c r="B664" s="90" t="s">
        <v>429</v>
      </c>
      <c r="C664" s="90">
        <v>1</v>
      </c>
      <c r="D664" s="494" t="s">
        <v>30</v>
      </c>
      <c r="E664" s="1429" t="s">
        <v>948</v>
      </c>
      <c r="F664" s="1430"/>
      <c r="G664" s="1431"/>
      <c r="H664" s="844" t="s">
        <v>790</v>
      </c>
      <c r="I664" s="1432" t="s">
        <v>633</v>
      </c>
      <c r="J664" s="1433"/>
      <c r="K664" s="1434"/>
      <c r="L664" s="845" t="s">
        <v>430</v>
      </c>
      <c r="M664" s="465" t="s">
        <v>431</v>
      </c>
      <c r="N664" s="162" t="s">
        <v>105</v>
      </c>
      <c r="O664" s="114" t="s">
        <v>800</v>
      </c>
      <c r="P664" s="114" t="s">
        <v>801</v>
      </c>
      <c r="Q664" s="114" t="s">
        <v>802</v>
      </c>
      <c r="R664" s="114" t="s">
        <v>803</v>
      </c>
      <c r="S664" s="114" t="s">
        <v>804</v>
      </c>
      <c r="T664" s="114" t="s">
        <v>805</v>
      </c>
      <c r="U664" s="114" t="s">
        <v>806</v>
      </c>
      <c r="V664" s="114" t="s">
        <v>807</v>
      </c>
      <c r="W664" s="114" t="s">
        <v>808</v>
      </c>
      <c r="X664" s="114" t="s">
        <v>809</v>
      </c>
      <c r="Y664" s="114" t="s">
        <v>75</v>
      </c>
      <c r="Z664" s="114" t="s">
        <v>75</v>
      </c>
      <c r="AA664" s="89"/>
      <c r="AB664" s="89"/>
      <c r="AC664" s="89"/>
      <c r="AD664" s="89"/>
      <c r="AE664" s="89"/>
      <c r="AF664" s="89"/>
      <c r="AG664" s="89"/>
      <c r="AH664" s="89"/>
      <c r="AI664" s="89"/>
      <c r="AJ664" s="89"/>
      <c r="AK664" s="89"/>
      <c r="AL664" s="89"/>
      <c r="AM664" s="89"/>
      <c r="AN664" s="89"/>
    </row>
    <row r="665" spans="2:40" ht="24">
      <c r="C665" s="90"/>
      <c r="D665" s="489" t="s">
        <v>432</v>
      </c>
      <c r="E665" s="1435"/>
      <c r="F665" s="1436"/>
      <c r="G665" s="1437"/>
      <c r="H665" s="846" t="s">
        <v>909</v>
      </c>
      <c r="I665" s="1438" t="s">
        <v>949</v>
      </c>
      <c r="J665" s="1243"/>
      <c r="K665" s="1439"/>
      <c r="L665" s="835"/>
      <c r="M665" s="466"/>
      <c r="N665" s="162"/>
      <c r="O665" s="115" t="s">
        <v>810</v>
      </c>
      <c r="P665" s="163">
        <v>0.1</v>
      </c>
      <c r="Q665" s="164">
        <v>1.9E-2</v>
      </c>
      <c r="R665" s="165">
        <v>2.199999999999136E-2</v>
      </c>
      <c r="S665" s="119"/>
      <c r="T665" s="115">
        <v>5.0499999999991357E-2</v>
      </c>
      <c r="U665" s="164">
        <v>-12.04</v>
      </c>
      <c r="V665" s="163">
        <v>60.5</v>
      </c>
      <c r="W665" s="166">
        <v>2</v>
      </c>
      <c r="X665" s="153">
        <v>24.08</v>
      </c>
      <c r="Y665" s="120"/>
      <c r="Z665" s="120"/>
      <c r="AA665" s="89"/>
      <c r="AB665" s="89"/>
      <c r="AC665" s="89"/>
      <c r="AD665" s="89"/>
      <c r="AE665" s="89"/>
      <c r="AF665" s="89"/>
      <c r="AG665" s="89"/>
      <c r="AH665" s="89"/>
      <c r="AI665" s="89"/>
      <c r="AJ665" s="89"/>
      <c r="AK665" s="89"/>
      <c r="AL665" s="89"/>
      <c r="AM665" s="89"/>
      <c r="AN665" s="89"/>
    </row>
    <row r="666" spans="2:40" ht="24">
      <c r="C666" s="90"/>
      <c r="D666" s="490" t="s">
        <v>433</v>
      </c>
      <c r="E666" s="1444">
        <v>4.0000000000000001E-3</v>
      </c>
      <c r="F666" s="1445"/>
      <c r="G666" s="1446"/>
      <c r="H666" s="846" t="s">
        <v>910</v>
      </c>
      <c r="I666" s="1440"/>
      <c r="J666" s="1246"/>
      <c r="K666" s="1441"/>
      <c r="L666" s="835"/>
      <c r="M666" s="466"/>
      <c r="N666" s="162"/>
      <c r="O666" s="121"/>
      <c r="P666" s="121"/>
      <c r="Q666" s="121"/>
      <c r="R666" s="122"/>
      <c r="S666" s="123"/>
      <c r="T666" s="121"/>
      <c r="U666" s="121"/>
      <c r="V666" s="121"/>
      <c r="W666" s="123"/>
      <c r="X666" s="123"/>
      <c r="Y666" s="124"/>
      <c r="Z666" s="124"/>
      <c r="AA666" s="89"/>
      <c r="AB666" s="89"/>
      <c r="AC666" s="89"/>
      <c r="AD666" s="89"/>
      <c r="AE666" s="89"/>
      <c r="AF666" s="89"/>
      <c r="AG666" s="89"/>
      <c r="AH666" s="89"/>
      <c r="AI666" s="89"/>
      <c r="AJ666" s="89"/>
      <c r="AK666" s="89"/>
      <c r="AL666" s="89"/>
      <c r="AM666" s="89"/>
      <c r="AN666" s="89"/>
    </row>
    <row r="667" spans="2:40" ht="24">
      <c r="C667" s="90"/>
      <c r="D667" s="490" t="s">
        <v>434</v>
      </c>
      <c r="E667" s="1444">
        <v>0</v>
      </c>
      <c r="F667" s="1445"/>
      <c r="G667" s="1446"/>
      <c r="H667" s="847"/>
      <c r="I667" s="1440"/>
      <c r="J667" s="1246"/>
      <c r="K667" s="1441"/>
      <c r="L667" s="835"/>
      <c r="M667" s="466"/>
      <c r="N667" s="162"/>
      <c r="O667" s="125" t="s">
        <v>811</v>
      </c>
      <c r="P667" s="167">
        <v>0.1</v>
      </c>
      <c r="Q667" s="168">
        <v>5.7299999999999997E-2</v>
      </c>
      <c r="R667" s="169">
        <v>0.05</v>
      </c>
      <c r="S667" s="129">
        <v>1</v>
      </c>
      <c r="T667" s="125">
        <v>0.13595000000000002</v>
      </c>
      <c r="U667" s="130">
        <v>-32.412633663371885</v>
      </c>
      <c r="V667" s="131">
        <v>60.5</v>
      </c>
      <c r="W667" s="170">
        <v>3.28</v>
      </c>
      <c r="X667" s="133">
        <v>106.31343841585978</v>
      </c>
      <c r="Y667" s="134"/>
      <c r="Z667" s="134"/>
      <c r="AA667" s="89"/>
      <c r="AB667" s="89"/>
      <c r="AC667" s="89"/>
      <c r="AD667" s="89"/>
      <c r="AE667" s="89"/>
      <c r="AF667" s="89"/>
      <c r="AG667" s="89"/>
      <c r="AH667" s="89"/>
      <c r="AI667" s="89"/>
      <c r="AJ667" s="89"/>
      <c r="AK667" s="89"/>
      <c r="AL667" s="89"/>
      <c r="AM667" s="89"/>
      <c r="AN667" s="89"/>
    </row>
    <row r="668" spans="2:40" ht="25" thickBot="1">
      <c r="C668" s="90"/>
      <c r="D668" s="491" t="s">
        <v>435</v>
      </c>
      <c r="E668" s="1447">
        <v>0.29166666666666674</v>
      </c>
      <c r="F668" s="1448"/>
      <c r="G668" s="1449"/>
      <c r="H668" s="847"/>
      <c r="I668" s="1440"/>
      <c r="J668" s="1246"/>
      <c r="K668" s="1441"/>
      <c r="L668" s="836">
        <v>0.52083333333333337</v>
      </c>
      <c r="M668" s="467">
        <v>0.375</v>
      </c>
      <c r="N668" s="162"/>
      <c r="O668" s="135" t="s">
        <v>812</v>
      </c>
      <c r="P668" s="171">
        <v>0.1</v>
      </c>
      <c r="Q668" s="156">
        <v>7.0800000000000002E-2</v>
      </c>
      <c r="R668" s="172">
        <v>0.05</v>
      </c>
      <c r="S668" s="139">
        <v>1</v>
      </c>
      <c r="T668" s="173">
        <v>0.15620000000000001</v>
      </c>
      <c r="U668" s="140">
        <v>-37.240554455451914</v>
      </c>
      <c r="V668" s="141">
        <v>60.5</v>
      </c>
      <c r="W668" s="174">
        <v>2.97</v>
      </c>
      <c r="X668" s="143">
        <v>110.6044467326922</v>
      </c>
      <c r="Y668" s="144"/>
      <c r="Z668" s="144"/>
      <c r="AA668" s="89"/>
      <c r="AB668" s="89"/>
      <c r="AC668" s="89"/>
      <c r="AD668" s="89"/>
      <c r="AE668" s="89"/>
      <c r="AF668" s="89"/>
      <c r="AG668" s="89"/>
      <c r="AH668" s="89"/>
      <c r="AI668" s="89"/>
      <c r="AJ668" s="89"/>
      <c r="AK668" s="89"/>
      <c r="AL668" s="89"/>
      <c r="AM668" s="89"/>
      <c r="AN668" s="89"/>
    </row>
    <row r="669" spans="2:40" ht="25" thickBot="1">
      <c r="C669" s="90"/>
      <c r="D669" s="492" t="s">
        <v>436</v>
      </c>
      <c r="E669" s="92" t="s">
        <v>29</v>
      </c>
      <c r="F669" s="92" t="s">
        <v>28</v>
      </c>
      <c r="G669" s="93" t="s">
        <v>27</v>
      </c>
      <c r="H669" s="855" t="s">
        <v>793</v>
      </c>
      <c r="I669" s="1440"/>
      <c r="J669" s="1246"/>
      <c r="K669" s="1441"/>
      <c r="L669" s="856" t="s">
        <v>1002</v>
      </c>
      <c r="M669" s="470"/>
      <c r="N669" s="162"/>
      <c r="O669" s="123"/>
      <c r="P669" s="145"/>
      <c r="Q669" s="123"/>
      <c r="R669" s="123"/>
      <c r="S669" s="123"/>
      <c r="T669" s="123"/>
      <c r="U669" s="146"/>
      <c r="V669" s="147"/>
      <c r="W669" s="123"/>
      <c r="X669" s="146"/>
      <c r="Y669" s="124"/>
      <c r="Z669" s="124"/>
      <c r="AA669" s="89"/>
      <c r="AB669" s="89"/>
      <c r="AC669" s="89"/>
      <c r="AD669" s="89"/>
      <c r="AE669" s="89"/>
      <c r="AF669" s="89"/>
      <c r="AG669" s="89"/>
      <c r="AH669" s="89"/>
      <c r="AI669" s="89"/>
      <c r="AJ669" s="89"/>
      <c r="AK669" s="89"/>
      <c r="AL669" s="89"/>
      <c r="AM669" s="89"/>
      <c r="AN669" s="89"/>
    </row>
    <row r="670" spans="2:40" ht="24">
      <c r="C670" s="90"/>
      <c r="D670" s="493">
        <v>45595</v>
      </c>
      <c r="E670" s="98">
        <v>4.0000000000000001E-3</v>
      </c>
      <c r="F670" s="98" t="s">
        <v>460</v>
      </c>
      <c r="G670" s="98">
        <v>0</v>
      </c>
      <c r="H670" s="850">
        <v>0.54166666666666663</v>
      </c>
      <c r="I670" s="1440"/>
      <c r="J670" s="1246"/>
      <c r="K670" s="1441"/>
      <c r="L670" s="857">
        <v>0.33333333333333331</v>
      </c>
      <c r="M670" s="471"/>
      <c r="N670" s="162"/>
      <c r="O670" s="148"/>
      <c r="P670" s="124"/>
      <c r="Q670" s="148"/>
      <c r="R670" s="148"/>
      <c r="S670" s="148"/>
      <c r="T670" s="148"/>
      <c r="U670" s="148"/>
      <c r="V670" s="148"/>
      <c r="W670" s="148"/>
      <c r="X670" s="148"/>
      <c r="Y670" s="124"/>
      <c r="Z670" s="124"/>
      <c r="AA670" s="89"/>
      <c r="AB670" s="89"/>
      <c r="AC670" s="89"/>
      <c r="AD670" s="89"/>
      <c r="AE670" s="89"/>
      <c r="AF670" s="89"/>
      <c r="AG670" s="89"/>
      <c r="AH670" s="89"/>
      <c r="AI670" s="89"/>
      <c r="AJ670" s="89"/>
      <c r="AK670" s="89"/>
      <c r="AL670" s="89"/>
      <c r="AM670" s="89"/>
      <c r="AN670" s="89"/>
    </row>
    <row r="671" spans="2:40" ht="24">
      <c r="C671" s="90"/>
      <c r="D671" s="493">
        <v>45576</v>
      </c>
      <c r="E671" s="98">
        <v>0</v>
      </c>
      <c r="F671" s="98" t="s">
        <v>458</v>
      </c>
      <c r="G671" s="98">
        <v>-1E-3</v>
      </c>
      <c r="H671" s="850">
        <v>0.25</v>
      </c>
      <c r="I671" s="1440"/>
      <c r="J671" s="1246"/>
      <c r="K671" s="1441"/>
      <c r="L671" s="857">
        <v>4.1666666666666664E-2</v>
      </c>
      <c r="M671" s="472"/>
      <c r="N671" s="162"/>
      <c r="O671" s="115" t="s">
        <v>813</v>
      </c>
      <c r="P671" s="163">
        <v>0.1</v>
      </c>
      <c r="Q671" s="149">
        <v>6.4049999999999996E-2</v>
      </c>
      <c r="R671" s="150">
        <v>0.05</v>
      </c>
      <c r="S671" s="119">
        <v>1</v>
      </c>
      <c r="T671" s="125">
        <v>0.14607500000000001</v>
      </c>
      <c r="U671" s="151">
        <v>-34.826594059411903</v>
      </c>
      <c r="V671" s="152">
        <v>60.5</v>
      </c>
      <c r="W671" s="119">
        <v>2</v>
      </c>
      <c r="X671" s="153">
        <v>69.653188118823806</v>
      </c>
      <c r="Y671" s="154"/>
      <c r="Z671" s="154"/>
      <c r="AA671" s="89"/>
      <c r="AB671" s="89"/>
      <c r="AC671" s="89"/>
      <c r="AD671" s="89"/>
      <c r="AE671" s="89"/>
      <c r="AF671" s="89"/>
      <c r="AG671" s="89"/>
      <c r="AH671" s="89"/>
      <c r="AI671" s="89"/>
      <c r="AJ671" s="89"/>
      <c r="AK671" s="89"/>
      <c r="AL671" s="89"/>
      <c r="AM671" s="89"/>
      <c r="AN671" s="89"/>
    </row>
    <row r="672" spans="2:40" ht="24">
      <c r="C672" s="90"/>
      <c r="D672" s="493">
        <v>45565</v>
      </c>
      <c r="E672" s="98">
        <v>0</v>
      </c>
      <c r="F672" s="98" t="s">
        <v>462</v>
      </c>
      <c r="G672" s="98">
        <v>-1E-3</v>
      </c>
      <c r="H672" s="850">
        <v>0.5</v>
      </c>
      <c r="I672" s="1440"/>
      <c r="J672" s="1246"/>
      <c r="K672" s="1441"/>
      <c r="L672" s="857">
        <v>0.29166666666666669</v>
      </c>
      <c r="M672" s="466"/>
      <c r="N672" s="162"/>
      <c r="O672" s="115"/>
      <c r="P672" s="115"/>
      <c r="Q672" s="149"/>
      <c r="R672" s="150"/>
      <c r="S672" s="119"/>
      <c r="T672" s="163"/>
      <c r="U672" s="151"/>
      <c r="V672" s="152"/>
      <c r="W672" s="119"/>
      <c r="X672" s="153"/>
      <c r="Y672" s="154"/>
      <c r="Z672" s="154"/>
      <c r="AA672" s="89"/>
      <c r="AB672" s="89"/>
      <c r="AC672" s="89"/>
      <c r="AD672" s="89"/>
      <c r="AE672" s="89"/>
      <c r="AF672" s="89"/>
      <c r="AG672" s="89"/>
      <c r="AH672" s="89"/>
      <c r="AI672" s="89"/>
      <c r="AJ672" s="89"/>
      <c r="AK672" s="89"/>
      <c r="AL672" s="89"/>
      <c r="AM672" s="89"/>
      <c r="AN672" s="89"/>
    </row>
    <row r="673" spans="3:40" ht="24">
      <c r="C673" s="90"/>
      <c r="D673" s="493">
        <v>45545</v>
      </c>
      <c r="E673" s="98">
        <v>-1E-3</v>
      </c>
      <c r="F673" s="98" t="s">
        <v>456</v>
      </c>
      <c r="G673" s="98">
        <v>3.0000000000000001E-3</v>
      </c>
      <c r="H673" s="850">
        <v>0.25</v>
      </c>
      <c r="I673" s="1440"/>
      <c r="J673" s="1246"/>
      <c r="K673" s="1441"/>
      <c r="L673" s="857">
        <v>4.1666666666666664E-2</v>
      </c>
      <c r="M673" s="466"/>
      <c r="N673" s="162"/>
      <c r="O673" s="115" t="s">
        <v>816</v>
      </c>
      <c r="P673" s="116"/>
      <c r="Q673" s="149"/>
      <c r="R673" s="150"/>
      <c r="S673" s="119"/>
      <c r="T673" s="116"/>
      <c r="U673" s="151">
        <v>0</v>
      </c>
      <c r="V673" s="152"/>
      <c r="W673" s="119"/>
      <c r="X673" s="153">
        <v>0</v>
      </c>
      <c r="Y673" s="154"/>
      <c r="Z673" s="154"/>
      <c r="AA673" s="89"/>
      <c r="AB673" s="89"/>
      <c r="AC673" s="89"/>
      <c r="AD673" s="89"/>
      <c r="AE673" s="89"/>
      <c r="AF673" s="89"/>
      <c r="AG673" s="89"/>
      <c r="AH673" s="89"/>
      <c r="AI673" s="89"/>
      <c r="AJ673" s="89"/>
      <c r="AK673" s="89"/>
      <c r="AL673" s="89"/>
      <c r="AM673" s="89"/>
      <c r="AN673" s="89"/>
    </row>
    <row r="674" spans="3:40" ht="24">
      <c r="C674" s="90"/>
      <c r="D674" s="493">
        <v>45533</v>
      </c>
      <c r="E674" s="98">
        <v>-1E-3</v>
      </c>
      <c r="F674" s="98" t="s">
        <v>458</v>
      </c>
      <c r="G674" s="98">
        <v>3.0000000000000001E-3</v>
      </c>
      <c r="H674" s="850">
        <v>0.5</v>
      </c>
      <c r="I674" s="1440"/>
      <c r="J674" s="1246"/>
      <c r="K674" s="1441"/>
      <c r="L674" s="857">
        <v>0.29166666666666669</v>
      </c>
      <c r="M674" s="466"/>
      <c r="N674" s="162"/>
      <c r="O674" s="89"/>
      <c r="P674" s="89"/>
      <c r="Q674" s="89"/>
      <c r="R674" s="89"/>
      <c r="S674" s="89"/>
      <c r="T674" s="89"/>
      <c r="U674" s="89"/>
      <c r="V674" s="89"/>
      <c r="W674" s="89"/>
      <c r="X674" s="89"/>
      <c r="Y674" s="89"/>
      <c r="Z674" s="89"/>
      <c r="AA674" s="89"/>
      <c r="AB674" s="89"/>
      <c r="AC674" s="89"/>
      <c r="AD674" s="89"/>
      <c r="AE674" s="89"/>
      <c r="AF674" s="89"/>
      <c r="AG674" s="89"/>
      <c r="AH674" s="89"/>
      <c r="AI674" s="89"/>
      <c r="AJ674" s="89"/>
      <c r="AK674" s="89"/>
      <c r="AL674" s="89"/>
      <c r="AM674" s="89"/>
      <c r="AN674" s="89"/>
    </row>
    <row r="675" spans="3:40" ht="25" thickBot="1">
      <c r="C675" s="90"/>
      <c r="D675" s="493">
        <v>45513</v>
      </c>
      <c r="E675" s="98">
        <v>3.0000000000000001E-3</v>
      </c>
      <c r="F675" s="98" t="s">
        <v>467</v>
      </c>
      <c r="G675" s="98">
        <v>1E-3</v>
      </c>
      <c r="H675" s="858">
        <v>0.25</v>
      </c>
      <c r="I675" s="1442"/>
      <c r="J675" s="1249"/>
      <c r="K675" s="1443"/>
      <c r="L675" s="859">
        <v>4.1666666666666664E-2</v>
      </c>
      <c r="M675" s="469"/>
      <c r="N675" s="162"/>
      <c r="O675" s="89"/>
      <c r="P675" s="89"/>
      <c r="Q675" s="89"/>
      <c r="R675" s="89"/>
      <c r="S675" s="89"/>
      <c r="T675" s="89"/>
      <c r="U675" s="89"/>
      <c r="V675" s="89"/>
      <c r="W675" s="89"/>
      <c r="X675" s="89"/>
      <c r="Y675" s="89"/>
      <c r="Z675" s="89"/>
      <c r="AA675" s="89"/>
      <c r="AB675" s="89"/>
      <c r="AC675" s="89"/>
      <c r="AD675" s="89"/>
      <c r="AE675" s="89"/>
      <c r="AF675" s="89"/>
      <c r="AG675" s="89"/>
      <c r="AH675" s="89"/>
      <c r="AI675" s="89"/>
      <c r="AJ675" s="89"/>
      <c r="AK675" s="89"/>
      <c r="AL675" s="89"/>
      <c r="AM675" s="89"/>
      <c r="AN675" s="89"/>
    </row>
    <row r="676" spans="3:40" ht="49" thickBot="1">
      <c r="C676" s="90">
        <v>2</v>
      </c>
      <c r="D676" s="494" t="s">
        <v>30</v>
      </c>
      <c r="E676" s="1429" t="s">
        <v>950</v>
      </c>
      <c r="F676" s="1430"/>
      <c r="G676" s="1431"/>
      <c r="H676" s="844" t="s">
        <v>790</v>
      </c>
      <c r="I676" s="1432" t="s">
        <v>633</v>
      </c>
      <c r="J676" s="1433"/>
      <c r="K676" s="1434"/>
      <c r="L676" s="845" t="s">
        <v>430</v>
      </c>
      <c r="M676" s="465" t="s">
        <v>431</v>
      </c>
      <c r="N676" s="162" t="s">
        <v>105</v>
      </c>
      <c r="O676" s="114" t="s">
        <v>800</v>
      </c>
      <c r="P676" s="114" t="s">
        <v>801</v>
      </c>
      <c r="Q676" s="114" t="s">
        <v>802</v>
      </c>
      <c r="R676" s="114" t="s">
        <v>803</v>
      </c>
      <c r="S676" s="114" t="s">
        <v>804</v>
      </c>
      <c r="T676" s="114" t="s">
        <v>805</v>
      </c>
      <c r="U676" s="114" t="s">
        <v>806</v>
      </c>
      <c r="V676" s="114" t="s">
        <v>807</v>
      </c>
      <c r="W676" s="114" t="s">
        <v>808</v>
      </c>
      <c r="X676" s="114" t="s">
        <v>809</v>
      </c>
      <c r="Y676" s="114" t="s">
        <v>75</v>
      </c>
      <c r="Z676" s="114" t="s">
        <v>75</v>
      </c>
      <c r="AA676" s="89"/>
      <c r="AB676" s="89"/>
      <c r="AC676" s="89"/>
      <c r="AD676" s="89"/>
      <c r="AE676" s="89"/>
      <c r="AF676" s="89"/>
      <c r="AG676" s="89"/>
      <c r="AH676" s="89"/>
      <c r="AI676" s="89"/>
      <c r="AJ676" s="89"/>
      <c r="AK676" s="89"/>
      <c r="AL676" s="89"/>
      <c r="AM676" s="89"/>
      <c r="AN676" s="89"/>
    </row>
    <row r="677" spans="3:40" ht="24">
      <c r="C677" s="90"/>
      <c r="D677" s="489" t="s">
        <v>432</v>
      </c>
      <c r="E677" s="1435"/>
      <c r="F677" s="1436"/>
      <c r="G677" s="1437"/>
      <c r="H677" s="846" t="s">
        <v>794</v>
      </c>
      <c r="I677" s="1438" t="s">
        <v>951</v>
      </c>
      <c r="J677" s="1243"/>
      <c r="K677" s="1439"/>
      <c r="L677" s="835"/>
      <c r="M677" s="466"/>
      <c r="N677" s="162"/>
      <c r="O677" s="115" t="s">
        <v>810</v>
      </c>
      <c r="P677" s="163">
        <v>0.1</v>
      </c>
      <c r="Q677" s="164">
        <v>0.03</v>
      </c>
      <c r="R677" s="165">
        <v>1.5999999999991132E-2</v>
      </c>
      <c r="S677" s="119"/>
      <c r="T677" s="115">
        <v>6.0999999999991131E-2</v>
      </c>
      <c r="U677" s="164">
        <v>-14.17</v>
      </c>
      <c r="V677" s="163">
        <v>91.8</v>
      </c>
      <c r="W677" s="166">
        <v>2</v>
      </c>
      <c r="X677" s="153">
        <v>28.34</v>
      </c>
      <c r="Y677" s="120"/>
      <c r="Z677" s="120"/>
      <c r="AA677" s="89"/>
      <c r="AB677" s="89"/>
      <c r="AC677" s="89"/>
      <c r="AD677" s="89"/>
      <c r="AE677" s="89"/>
      <c r="AF677" s="89"/>
      <c r="AG677" s="89"/>
      <c r="AH677" s="89"/>
      <c r="AI677" s="89"/>
      <c r="AJ677" s="89"/>
      <c r="AK677" s="89"/>
      <c r="AL677" s="89"/>
      <c r="AM677" s="89"/>
      <c r="AN677" s="89"/>
    </row>
    <row r="678" spans="3:40" ht="24">
      <c r="C678" s="90"/>
      <c r="D678" s="490" t="s">
        <v>433</v>
      </c>
      <c r="E678" s="1444">
        <v>3.0000000000000001E-3</v>
      </c>
      <c r="F678" s="1445"/>
      <c r="G678" s="1446"/>
      <c r="H678" s="846" t="s">
        <v>795</v>
      </c>
      <c r="I678" s="1440"/>
      <c r="J678" s="1246"/>
      <c r="K678" s="1441"/>
      <c r="L678" s="835"/>
      <c r="M678" s="466"/>
      <c r="N678" s="162"/>
      <c r="O678" s="121"/>
      <c r="P678" s="121"/>
      <c r="Q678" s="121"/>
      <c r="R678" s="122"/>
      <c r="S678" s="123"/>
      <c r="T678" s="121"/>
      <c r="U678" s="121"/>
      <c r="V678" s="121"/>
      <c r="W678" s="123"/>
      <c r="X678" s="123"/>
      <c r="Y678" s="124"/>
      <c r="Z678" s="124"/>
      <c r="AA678" s="89"/>
      <c r="AB678" s="89"/>
      <c r="AC678" s="89"/>
      <c r="AD678" s="89"/>
      <c r="AE678" s="89"/>
      <c r="AF678" s="89"/>
      <c r="AG678" s="89"/>
      <c r="AH678" s="89"/>
      <c r="AI678" s="89"/>
      <c r="AJ678" s="89"/>
      <c r="AK678" s="89"/>
      <c r="AL678" s="89"/>
      <c r="AM678" s="89"/>
      <c r="AN678" s="89"/>
    </row>
    <row r="679" spans="3:40" ht="24">
      <c r="C679" s="90"/>
      <c r="D679" s="490" t="s">
        <v>434</v>
      </c>
      <c r="E679" s="1444">
        <v>3.0000000000000001E-3</v>
      </c>
      <c r="F679" s="1445"/>
      <c r="G679" s="1446"/>
      <c r="H679" s="847"/>
      <c r="I679" s="1440"/>
      <c r="J679" s="1246"/>
      <c r="K679" s="1441"/>
      <c r="L679" s="835"/>
      <c r="M679" s="466"/>
      <c r="N679" s="162"/>
      <c r="O679" s="125" t="s">
        <v>811</v>
      </c>
      <c r="P679" s="167">
        <v>0.1</v>
      </c>
      <c r="Q679" s="168">
        <v>5.7000000000000002E-2</v>
      </c>
      <c r="R679" s="169">
        <v>7.0000000000000007E-2</v>
      </c>
      <c r="S679" s="129">
        <v>1</v>
      </c>
      <c r="T679" s="125">
        <v>0.15550000000000003</v>
      </c>
      <c r="U679" s="130">
        <v>-36.121885245906896</v>
      </c>
      <c r="V679" s="131">
        <v>60.5</v>
      </c>
      <c r="W679" s="170">
        <v>2.74</v>
      </c>
      <c r="X679" s="133">
        <v>98.973965573784895</v>
      </c>
      <c r="Y679" s="134"/>
      <c r="Z679" s="134">
        <v>4.4350000000000005</v>
      </c>
      <c r="AA679" s="89"/>
      <c r="AB679" s="89"/>
      <c r="AC679" s="89"/>
      <c r="AD679" s="89"/>
      <c r="AE679" s="89"/>
      <c r="AF679" s="89"/>
      <c r="AG679" s="89"/>
      <c r="AH679" s="89"/>
      <c r="AI679" s="89"/>
      <c r="AJ679" s="89"/>
      <c r="AK679" s="89"/>
      <c r="AL679" s="89"/>
      <c r="AM679" s="89"/>
      <c r="AN679" s="89"/>
    </row>
    <row r="680" spans="3:40" ht="25" thickBot="1">
      <c r="C680" s="90"/>
      <c r="D680" s="491" t="s">
        <v>435</v>
      </c>
      <c r="E680" s="1447">
        <v>0.5625</v>
      </c>
      <c r="F680" s="1448"/>
      <c r="G680" s="1449"/>
      <c r="H680" s="847"/>
      <c r="I680" s="1440"/>
      <c r="J680" s="1246"/>
      <c r="K680" s="1441"/>
      <c r="L680" s="836">
        <v>0.79166666666666663</v>
      </c>
      <c r="M680" s="467">
        <v>0.64583333333333326</v>
      </c>
      <c r="N680" s="162"/>
      <c r="O680" s="135" t="s">
        <v>812</v>
      </c>
      <c r="P680" s="171">
        <v>0.1</v>
      </c>
      <c r="Q680" s="156">
        <v>0.106</v>
      </c>
      <c r="R680" s="172">
        <v>7.0000000000000007E-2</v>
      </c>
      <c r="S680" s="139">
        <v>1</v>
      </c>
      <c r="T680" s="173">
        <v>0.22900000000000001</v>
      </c>
      <c r="U680" s="140">
        <v>-53.195573770499543</v>
      </c>
      <c r="V680" s="141">
        <v>60.5</v>
      </c>
      <c r="W680" s="174">
        <v>4.0600000000000005</v>
      </c>
      <c r="X680" s="143">
        <v>215.97402950822817</v>
      </c>
      <c r="Y680" s="144"/>
      <c r="Z680" s="144"/>
      <c r="AA680" s="89"/>
      <c r="AB680" s="89"/>
      <c r="AC680" s="89"/>
      <c r="AD680" s="89"/>
      <c r="AE680" s="89"/>
      <c r="AF680" s="89"/>
      <c r="AG680" s="89"/>
      <c r="AH680" s="89"/>
      <c r="AI680" s="89"/>
      <c r="AJ680" s="89"/>
      <c r="AK680" s="89"/>
      <c r="AL680" s="89"/>
      <c r="AM680" s="89"/>
      <c r="AN680" s="89"/>
    </row>
    <row r="681" spans="3:40" ht="25" thickBot="1">
      <c r="C681" s="90"/>
      <c r="D681" s="492" t="s">
        <v>436</v>
      </c>
      <c r="E681" s="92" t="s">
        <v>29</v>
      </c>
      <c r="F681" s="92" t="s">
        <v>28</v>
      </c>
      <c r="G681" s="93" t="s">
        <v>27</v>
      </c>
      <c r="H681" s="855" t="s">
        <v>793</v>
      </c>
      <c r="I681" s="1440"/>
      <c r="J681" s="1246"/>
      <c r="K681" s="1441"/>
      <c r="L681" s="856" t="s">
        <v>1002</v>
      </c>
      <c r="M681" s="470"/>
      <c r="N681" s="162"/>
      <c r="O681" s="123"/>
      <c r="P681" s="145"/>
      <c r="Q681" s="123"/>
      <c r="R681" s="123"/>
      <c r="S681" s="123"/>
      <c r="T681" s="123"/>
      <c r="U681" s="146"/>
      <c r="V681" s="147"/>
      <c r="W681" s="123"/>
      <c r="X681" s="146"/>
      <c r="Y681" s="124"/>
      <c r="Z681" s="124"/>
      <c r="AA681" s="89"/>
      <c r="AB681" s="89"/>
      <c r="AC681" s="89"/>
      <c r="AD681" s="89"/>
      <c r="AE681" s="89"/>
      <c r="AF681" s="89"/>
      <c r="AG681" s="89"/>
      <c r="AH681" s="89"/>
      <c r="AI681" s="89"/>
      <c r="AJ681" s="89"/>
      <c r="AK681" s="89"/>
      <c r="AL681" s="89"/>
      <c r="AM681" s="89"/>
      <c r="AN681" s="89"/>
    </row>
    <row r="682" spans="3:40" ht="24">
      <c r="C682" s="90"/>
      <c r="D682" s="493">
        <v>45575</v>
      </c>
      <c r="E682" s="98">
        <v>3.0000000000000001E-3</v>
      </c>
      <c r="F682" s="98" t="s">
        <v>460</v>
      </c>
      <c r="G682" s="98">
        <v>3.0000000000000001E-3</v>
      </c>
      <c r="H682" s="850">
        <v>0.52083333333333337</v>
      </c>
      <c r="I682" s="1440"/>
      <c r="J682" s="1246"/>
      <c r="K682" s="1441"/>
      <c r="L682" s="857">
        <v>0.3125</v>
      </c>
      <c r="M682" s="471"/>
      <c r="N682" s="162"/>
      <c r="O682" s="148"/>
      <c r="P682" s="124"/>
      <c r="Q682" s="148"/>
      <c r="R682" s="148"/>
      <c r="S682" s="148"/>
      <c r="T682" s="148"/>
      <c r="U682" s="148"/>
      <c r="V682" s="148"/>
      <c r="W682" s="148"/>
      <c r="X682" s="148"/>
      <c r="Y682" s="124"/>
      <c r="Z682" s="124"/>
      <c r="AA682" s="89"/>
      <c r="AB682" s="89"/>
      <c r="AC682" s="89"/>
      <c r="AD682" s="89"/>
      <c r="AE682" s="89"/>
      <c r="AF682" s="89"/>
      <c r="AG682" s="89"/>
      <c r="AH682" s="89"/>
      <c r="AI682" s="89"/>
      <c r="AJ682" s="89"/>
      <c r="AK682" s="89"/>
      <c r="AL682" s="89"/>
      <c r="AM682" s="89"/>
      <c r="AN682" s="89"/>
    </row>
    <row r="683" spans="3:40" ht="24">
      <c r="C683" s="90"/>
      <c r="D683" s="493">
        <v>45546</v>
      </c>
      <c r="E683" s="98">
        <v>3.0000000000000001E-3</v>
      </c>
      <c r="F683" s="98" t="s">
        <v>460</v>
      </c>
      <c r="G683" s="98">
        <v>2E-3</v>
      </c>
      <c r="H683" s="850">
        <v>0.52083333333333337</v>
      </c>
      <c r="I683" s="1440"/>
      <c r="J683" s="1246"/>
      <c r="K683" s="1441"/>
      <c r="L683" s="857">
        <v>0.3125</v>
      </c>
      <c r="M683" s="472"/>
      <c r="N683" s="162"/>
      <c r="O683" s="115" t="s">
        <v>813</v>
      </c>
      <c r="P683" s="163">
        <v>0.1</v>
      </c>
      <c r="Q683" s="149">
        <v>8.1500000000000003E-2</v>
      </c>
      <c r="R683" s="150">
        <v>7.0000000000000007E-2</v>
      </c>
      <c r="S683" s="119">
        <v>1</v>
      </c>
      <c r="T683" s="125">
        <v>0.19225</v>
      </c>
      <c r="U683" s="151">
        <v>-44.658729508203216</v>
      </c>
      <c r="V683" s="152">
        <v>60.5</v>
      </c>
      <c r="W683" s="119">
        <v>2</v>
      </c>
      <c r="X683" s="153">
        <v>89.317459016406431</v>
      </c>
      <c r="Y683" s="154"/>
      <c r="Z683" s="154"/>
      <c r="AA683" s="89"/>
      <c r="AB683" s="89"/>
      <c r="AC683" s="89"/>
      <c r="AD683" s="89"/>
      <c r="AE683" s="89"/>
      <c r="AF683" s="89"/>
      <c r="AG683" s="89"/>
      <c r="AH683" s="89"/>
      <c r="AI683" s="89"/>
      <c r="AJ683" s="89"/>
      <c r="AK683" s="89"/>
      <c r="AL683" s="89"/>
      <c r="AM683" s="89"/>
      <c r="AN683" s="89"/>
    </row>
    <row r="684" spans="3:40" ht="24">
      <c r="C684" s="90"/>
      <c r="D684" s="493">
        <v>45518</v>
      </c>
      <c r="E684" s="98">
        <v>2E-3</v>
      </c>
      <c r="F684" s="98" t="s">
        <v>460</v>
      </c>
      <c r="G684" s="98">
        <v>1E-3</v>
      </c>
      <c r="H684" s="850">
        <v>0.52083333333333337</v>
      </c>
      <c r="I684" s="1440"/>
      <c r="J684" s="1246"/>
      <c r="K684" s="1441"/>
      <c r="L684" s="857">
        <v>0.3125</v>
      </c>
      <c r="M684" s="466"/>
      <c r="N684" s="162"/>
      <c r="O684" s="115"/>
      <c r="P684" s="115"/>
      <c r="Q684" s="149"/>
      <c r="R684" s="150"/>
      <c r="S684" s="119"/>
      <c r="T684" s="163"/>
      <c r="U684" s="151"/>
      <c r="V684" s="152"/>
      <c r="W684" s="119"/>
      <c r="X684" s="153"/>
      <c r="Y684" s="154"/>
      <c r="Z684" s="154"/>
      <c r="AA684" s="89"/>
      <c r="AB684" s="89"/>
      <c r="AC684" s="89"/>
      <c r="AD684" s="89"/>
      <c r="AE684" s="89"/>
      <c r="AF684" s="89"/>
      <c r="AG684" s="89"/>
      <c r="AH684" s="89"/>
      <c r="AI684" s="89"/>
      <c r="AJ684" s="89"/>
      <c r="AK684" s="89"/>
      <c r="AL684" s="89"/>
      <c r="AM684" s="89"/>
      <c r="AN684" s="89"/>
    </row>
    <row r="685" spans="3:40" ht="24">
      <c r="C685" s="90"/>
      <c r="D685" s="493">
        <v>45484</v>
      </c>
      <c r="E685" s="98">
        <v>1E-3</v>
      </c>
      <c r="F685" s="98" t="s">
        <v>460</v>
      </c>
      <c r="G685" s="98">
        <v>2E-3</v>
      </c>
      <c r="H685" s="850">
        <v>0.52083333333333337</v>
      </c>
      <c r="I685" s="1440"/>
      <c r="J685" s="1246"/>
      <c r="K685" s="1441"/>
      <c r="L685" s="857">
        <v>0.3125</v>
      </c>
      <c r="M685" s="466"/>
      <c r="N685" s="162"/>
      <c r="O685" s="115" t="s">
        <v>816</v>
      </c>
      <c r="P685" s="116"/>
      <c r="Q685" s="149"/>
      <c r="R685" s="150"/>
      <c r="S685" s="119"/>
      <c r="T685" s="116"/>
      <c r="U685" s="151">
        <v>0</v>
      </c>
      <c r="V685" s="152"/>
      <c r="W685" s="119"/>
      <c r="X685" s="153">
        <v>0</v>
      </c>
      <c r="Y685" s="154"/>
      <c r="Z685" s="154"/>
      <c r="AA685" s="89"/>
      <c r="AB685" s="89"/>
      <c r="AC685" s="89"/>
      <c r="AD685" s="89"/>
      <c r="AE685" s="89"/>
      <c r="AF685" s="89"/>
      <c r="AG685" s="89"/>
      <c r="AH685" s="89"/>
      <c r="AI685" s="89"/>
      <c r="AJ685" s="89"/>
      <c r="AK685" s="89"/>
      <c r="AL685" s="89"/>
      <c r="AM685" s="89"/>
      <c r="AN685" s="89"/>
    </row>
    <row r="686" spans="3:40" ht="24">
      <c r="C686" s="90"/>
      <c r="D686" s="493">
        <v>45455</v>
      </c>
      <c r="E686" s="98">
        <v>2E-3</v>
      </c>
      <c r="F686" s="98" t="s">
        <v>467</v>
      </c>
      <c r="G686" s="98">
        <v>3.0000000000000001E-3</v>
      </c>
      <c r="H686" s="850">
        <v>0.52083333333333337</v>
      </c>
      <c r="I686" s="1440"/>
      <c r="J686" s="1246"/>
      <c r="K686" s="1441"/>
      <c r="L686" s="857">
        <v>0.3125</v>
      </c>
      <c r="M686" s="466"/>
      <c r="N686" s="162"/>
      <c r="O686" s="89"/>
      <c r="P686" s="89"/>
      <c r="Q686" s="89"/>
      <c r="R686" s="89"/>
      <c r="S686" s="89"/>
      <c r="T686" s="89"/>
      <c r="U686" s="89"/>
      <c r="V686" s="89"/>
      <c r="W686" s="89"/>
      <c r="X686" s="89"/>
      <c r="Y686" s="89"/>
      <c r="Z686" s="89"/>
      <c r="AA686" s="89"/>
      <c r="AB686" s="89"/>
      <c r="AC686" s="89"/>
      <c r="AD686" s="89"/>
      <c r="AE686" s="89"/>
      <c r="AF686" s="89"/>
      <c r="AG686" s="89"/>
      <c r="AH686" s="89"/>
      <c r="AI686" s="89"/>
      <c r="AJ686" s="89"/>
      <c r="AK686" s="89"/>
      <c r="AL686" s="89"/>
      <c r="AM686" s="89"/>
      <c r="AN686" s="89"/>
    </row>
    <row r="687" spans="3:40" ht="25" thickBot="1">
      <c r="C687" s="90"/>
      <c r="D687" s="493">
        <v>45427</v>
      </c>
      <c r="E687" s="98">
        <v>3.0000000000000001E-3</v>
      </c>
      <c r="F687" s="98" t="s">
        <v>467</v>
      </c>
      <c r="G687" s="98">
        <v>4.0000000000000001E-3</v>
      </c>
      <c r="H687" s="858">
        <v>0.52083333333333337</v>
      </c>
      <c r="I687" s="1442"/>
      <c r="J687" s="1249"/>
      <c r="K687" s="1443"/>
      <c r="L687" s="859">
        <v>0.3125</v>
      </c>
      <c r="M687" s="469"/>
      <c r="N687" s="162"/>
      <c r="O687" s="89"/>
      <c r="P687" s="89"/>
      <c r="Q687" s="89"/>
      <c r="R687" s="89"/>
      <c r="S687" s="89"/>
      <c r="T687" s="89"/>
      <c r="U687" s="89"/>
      <c r="V687" s="89"/>
      <c r="W687" s="89"/>
      <c r="X687" s="89"/>
      <c r="Y687" s="89"/>
      <c r="Z687" s="89"/>
      <c r="AA687" s="89"/>
      <c r="AB687" s="89"/>
      <c r="AC687" s="89"/>
      <c r="AD687" s="89"/>
      <c r="AE687" s="89"/>
      <c r="AF687" s="89"/>
      <c r="AG687" s="89"/>
      <c r="AH687" s="89"/>
      <c r="AI687" s="89"/>
      <c r="AJ687" s="89"/>
      <c r="AK687" s="89"/>
      <c r="AL687" s="89"/>
      <c r="AM687" s="89"/>
      <c r="AN687" s="89"/>
    </row>
    <row r="688" spans="3:40" ht="49" thickBot="1">
      <c r="C688" s="90">
        <v>3</v>
      </c>
      <c r="D688" s="494" t="s">
        <v>30</v>
      </c>
      <c r="E688" s="1429" t="s">
        <v>952</v>
      </c>
      <c r="F688" s="1430"/>
      <c r="G688" s="1431"/>
      <c r="H688" s="844" t="s">
        <v>790</v>
      </c>
      <c r="I688" s="1432" t="s">
        <v>633</v>
      </c>
      <c r="J688" s="1433"/>
      <c r="K688" s="1434"/>
      <c r="L688" s="845" t="s">
        <v>430</v>
      </c>
      <c r="M688" s="465" t="s">
        <v>431</v>
      </c>
      <c r="N688" s="162" t="s">
        <v>105</v>
      </c>
      <c r="O688" s="114" t="s">
        <v>800</v>
      </c>
      <c r="P688" s="114" t="s">
        <v>801</v>
      </c>
      <c r="Q688" s="114" t="s">
        <v>802</v>
      </c>
      <c r="R688" s="114" t="s">
        <v>803</v>
      </c>
      <c r="S688" s="114" t="s">
        <v>804</v>
      </c>
      <c r="T688" s="114" t="s">
        <v>805</v>
      </c>
      <c r="U688" s="114" t="s">
        <v>806</v>
      </c>
      <c r="V688" s="114" t="s">
        <v>807</v>
      </c>
      <c r="W688" s="114" t="s">
        <v>808</v>
      </c>
      <c r="X688" s="114" t="s">
        <v>809</v>
      </c>
      <c r="Y688" s="114" t="s">
        <v>75</v>
      </c>
      <c r="Z688" s="114" t="s">
        <v>75</v>
      </c>
      <c r="AA688" s="89"/>
      <c r="AB688" s="89"/>
      <c r="AC688" s="89"/>
      <c r="AD688" s="89"/>
      <c r="AE688" s="89"/>
      <c r="AF688" s="89"/>
      <c r="AG688" s="89"/>
      <c r="AH688" s="89"/>
      <c r="AI688" s="89"/>
      <c r="AJ688" s="89"/>
      <c r="AK688" s="89"/>
      <c r="AL688" s="89"/>
      <c r="AM688" s="89"/>
      <c r="AN688" s="89"/>
    </row>
    <row r="689" spans="3:40" ht="24">
      <c r="C689" s="90"/>
      <c r="D689" s="489" t="s">
        <v>432</v>
      </c>
      <c r="E689" s="1450"/>
      <c r="F689" s="1451"/>
      <c r="G689" s="1452"/>
      <c r="H689" s="846" t="s">
        <v>794</v>
      </c>
      <c r="I689" s="1438" t="s">
        <v>953</v>
      </c>
      <c r="J689" s="1243"/>
      <c r="K689" s="1439"/>
      <c r="L689" s="835"/>
      <c r="M689" s="466"/>
      <c r="N689" s="162"/>
      <c r="O689" s="115" t="s">
        <v>810</v>
      </c>
      <c r="P689" s="163">
        <v>0.1</v>
      </c>
      <c r="Q689" s="164">
        <v>2.7E-2</v>
      </c>
      <c r="R689" s="165">
        <v>1.5999999999991132E-2</v>
      </c>
      <c r="S689" s="119"/>
      <c r="T689" s="115">
        <v>5.6499999999991134E-2</v>
      </c>
      <c r="U689" s="164">
        <v>-13.31</v>
      </c>
      <c r="V689" s="163">
        <v>91.8</v>
      </c>
      <c r="W689" s="166">
        <v>2</v>
      </c>
      <c r="X689" s="153">
        <v>26.62</v>
      </c>
      <c r="Y689" s="120"/>
      <c r="Z689" s="120"/>
      <c r="AA689" s="89"/>
      <c r="AB689" s="89"/>
      <c r="AC689" s="89"/>
      <c r="AD689" s="89"/>
      <c r="AE689" s="89"/>
      <c r="AF689" s="89"/>
      <c r="AG689" s="89"/>
      <c r="AH689" s="89"/>
      <c r="AI689" s="89"/>
      <c r="AJ689" s="89"/>
      <c r="AK689" s="89"/>
      <c r="AL689" s="89"/>
      <c r="AM689" s="89"/>
      <c r="AN689" s="89"/>
    </row>
    <row r="690" spans="3:40" ht="24">
      <c r="C690" s="90"/>
      <c r="D690" s="490" t="s">
        <v>433</v>
      </c>
      <c r="E690" s="1444">
        <v>2.4E-2</v>
      </c>
      <c r="F690" s="1445"/>
      <c r="G690" s="1446"/>
      <c r="H690" s="846" t="s">
        <v>795</v>
      </c>
      <c r="I690" s="1440"/>
      <c r="J690" s="1246"/>
      <c r="K690" s="1441"/>
      <c r="L690" s="835"/>
      <c r="M690" s="466"/>
      <c r="N690" s="162"/>
      <c r="O690" s="121"/>
      <c r="P690" s="121"/>
      <c r="Q690" s="121"/>
      <c r="R690" s="122"/>
      <c r="S690" s="123"/>
      <c r="T690" s="121"/>
      <c r="U690" s="121"/>
      <c r="V690" s="121"/>
      <c r="W690" s="123"/>
      <c r="X690" s="123"/>
      <c r="Y690" s="124"/>
      <c r="Z690" s="124"/>
      <c r="AA690" s="89"/>
      <c r="AB690" s="89"/>
      <c r="AC690" s="89"/>
      <c r="AD690" s="89"/>
      <c r="AE690" s="89"/>
      <c r="AF690" s="89"/>
      <c r="AG690" s="89"/>
      <c r="AH690" s="89"/>
      <c r="AI690" s="89"/>
      <c r="AJ690" s="89"/>
      <c r="AK690" s="89"/>
      <c r="AL690" s="89"/>
      <c r="AM690" s="89"/>
      <c r="AN690" s="89"/>
    </row>
    <row r="691" spans="3:40" ht="24">
      <c r="C691" s="90"/>
      <c r="D691" s="490" t="s">
        <v>434</v>
      </c>
      <c r="E691" s="1444">
        <v>2.4E-2</v>
      </c>
      <c r="F691" s="1445"/>
      <c r="G691" s="1446"/>
      <c r="H691" s="847"/>
      <c r="I691" s="1440"/>
      <c r="J691" s="1246"/>
      <c r="K691" s="1441"/>
      <c r="L691" s="835"/>
      <c r="M691" s="466"/>
      <c r="N691" s="162"/>
      <c r="O691" s="125" t="s">
        <v>811</v>
      </c>
      <c r="P691" s="167">
        <v>0.1</v>
      </c>
      <c r="Q691" s="168">
        <v>8.3099999999999993E-2</v>
      </c>
      <c r="R691" s="169">
        <v>1.7000000000000001E-2</v>
      </c>
      <c r="S691" s="129">
        <v>1</v>
      </c>
      <c r="T691" s="125">
        <v>0.14165</v>
      </c>
      <c r="U691" s="130">
        <v>-33.369230088500814</v>
      </c>
      <c r="V691" s="131">
        <v>60.5</v>
      </c>
      <c r="W691" s="170">
        <v>5.49</v>
      </c>
      <c r="X691" s="133">
        <v>183.19707318586947</v>
      </c>
      <c r="Y691" s="134"/>
      <c r="Z691" s="134">
        <v>4.4350000000000005</v>
      </c>
      <c r="AA691" s="89"/>
      <c r="AB691" s="89"/>
      <c r="AC691" s="89"/>
      <c r="AD691" s="89"/>
      <c r="AE691" s="89"/>
      <c r="AF691" s="89"/>
      <c r="AG691" s="89"/>
      <c r="AH691" s="89"/>
      <c r="AI691" s="89"/>
      <c r="AJ691" s="89"/>
      <c r="AK691" s="89"/>
      <c r="AL691" s="89"/>
      <c r="AM691" s="89"/>
      <c r="AN691" s="89"/>
    </row>
    <row r="692" spans="3:40" ht="25" thickBot="1">
      <c r="C692" s="90"/>
      <c r="D692" s="491" t="s">
        <v>435</v>
      </c>
      <c r="E692" s="1447">
        <v>0.5625</v>
      </c>
      <c r="F692" s="1448"/>
      <c r="G692" s="1449"/>
      <c r="H692" s="847"/>
      <c r="I692" s="1440"/>
      <c r="J692" s="1246"/>
      <c r="K692" s="1441"/>
      <c r="L692" s="836">
        <v>0.79166666666666663</v>
      </c>
      <c r="M692" s="467">
        <v>0.64583333333333326</v>
      </c>
      <c r="N692" s="162"/>
      <c r="O692" s="135" t="s">
        <v>812</v>
      </c>
      <c r="P692" s="171">
        <v>0.1</v>
      </c>
      <c r="Q692" s="156">
        <v>9.1333333333333336E-2</v>
      </c>
      <c r="R692" s="172">
        <v>1.7000000000000001E-2</v>
      </c>
      <c r="S692" s="139">
        <v>1</v>
      </c>
      <c r="T692" s="173">
        <v>0.154</v>
      </c>
      <c r="U692" s="140">
        <v>-36.278584070802154</v>
      </c>
      <c r="V692" s="141">
        <v>60.5</v>
      </c>
      <c r="W692" s="174">
        <v>4.0600000000000005</v>
      </c>
      <c r="X692" s="143">
        <v>147.29105132745676</v>
      </c>
      <c r="Y692" s="144"/>
      <c r="Z692" s="144"/>
      <c r="AA692" s="89"/>
      <c r="AB692" s="89"/>
      <c r="AC692" s="89"/>
      <c r="AD692" s="89"/>
      <c r="AE692" s="89"/>
      <c r="AF692" s="89"/>
      <c r="AG692" s="89"/>
      <c r="AH692" s="89"/>
      <c r="AI692" s="89"/>
      <c r="AJ692" s="89"/>
      <c r="AK692" s="89"/>
      <c r="AL692" s="89"/>
      <c r="AM692" s="89"/>
      <c r="AN692" s="89"/>
    </row>
    <row r="693" spans="3:40" ht="25" thickBot="1">
      <c r="C693" s="90"/>
      <c r="D693" s="492" t="s">
        <v>436</v>
      </c>
      <c r="E693" s="92" t="s">
        <v>29</v>
      </c>
      <c r="F693" s="92" t="s">
        <v>28</v>
      </c>
      <c r="G693" s="93" t="s">
        <v>27</v>
      </c>
      <c r="H693" s="855" t="s">
        <v>793</v>
      </c>
      <c r="I693" s="1440"/>
      <c r="J693" s="1246"/>
      <c r="K693" s="1441"/>
      <c r="L693" s="856" t="s">
        <v>1002</v>
      </c>
      <c r="M693" s="470"/>
      <c r="N693" s="162"/>
      <c r="O693" s="123"/>
      <c r="P693" s="145"/>
      <c r="Q693" s="123"/>
      <c r="R693" s="123"/>
      <c r="S693" s="123"/>
      <c r="T693" s="123"/>
      <c r="U693" s="146"/>
      <c r="V693" s="147"/>
      <c r="W693" s="123"/>
      <c r="X693" s="146"/>
      <c r="Y693" s="124"/>
      <c r="Z693" s="124"/>
      <c r="AA693" s="89"/>
      <c r="AB693" s="89"/>
      <c r="AC693" s="89"/>
      <c r="AD693" s="89"/>
      <c r="AE693" s="89"/>
      <c r="AF693" s="89"/>
      <c r="AG693" s="89"/>
      <c r="AH693" s="89"/>
      <c r="AI693" s="89"/>
      <c r="AJ693" s="89"/>
      <c r="AK693" s="89"/>
      <c r="AL693" s="89"/>
      <c r="AM693" s="89"/>
      <c r="AN693" s="89"/>
    </row>
    <row r="694" spans="3:40" ht="24">
      <c r="C694" s="90"/>
      <c r="D694" s="493">
        <v>45575</v>
      </c>
      <c r="E694" s="98">
        <v>2.4E-2</v>
      </c>
      <c r="F694" s="98" t="s">
        <v>971</v>
      </c>
      <c r="G694" s="98">
        <v>2.5000000000000001E-2</v>
      </c>
      <c r="H694" s="850">
        <v>0.52083333333333337</v>
      </c>
      <c r="I694" s="1440"/>
      <c r="J694" s="1246"/>
      <c r="K694" s="1441"/>
      <c r="L694" s="857">
        <v>0.3125</v>
      </c>
      <c r="M694" s="471"/>
      <c r="N694" s="162"/>
      <c r="O694" s="148"/>
      <c r="P694" s="124"/>
      <c r="Q694" s="148"/>
      <c r="R694" s="148"/>
      <c r="S694" s="148"/>
      <c r="T694" s="148"/>
      <c r="U694" s="148"/>
      <c r="V694" s="148"/>
      <c r="W694" s="148"/>
      <c r="X694" s="148"/>
      <c r="Y694" s="124"/>
      <c r="Z694" s="124"/>
      <c r="AA694" s="89"/>
      <c r="AB694" s="89"/>
      <c r="AC694" s="89"/>
      <c r="AD694" s="89"/>
      <c r="AE694" s="89"/>
      <c r="AF694" s="89"/>
      <c r="AG694" s="89"/>
      <c r="AH694" s="89"/>
      <c r="AI694" s="89"/>
      <c r="AJ694" s="89"/>
      <c r="AK694" s="89"/>
      <c r="AL694" s="89"/>
      <c r="AM694" s="89"/>
      <c r="AN694" s="89"/>
    </row>
    <row r="695" spans="3:40" ht="24">
      <c r="C695" s="90"/>
      <c r="D695" s="493">
        <v>45546</v>
      </c>
      <c r="E695" s="98">
        <v>2.5000000000000001E-2</v>
      </c>
      <c r="F695" s="98" t="s">
        <v>495</v>
      </c>
      <c r="G695" s="98">
        <v>2.9000000000000001E-2</v>
      </c>
      <c r="H695" s="850">
        <v>0.52083333333333337</v>
      </c>
      <c r="I695" s="1440"/>
      <c r="J695" s="1246"/>
      <c r="K695" s="1441"/>
      <c r="L695" s="857">
        <v>0.3125</v>
      </c>
      <c r="M695" s="472"/>
      <c r="N695" s="162"/>
      <c r="O695" s="115" t="s">
        <v>813</v>
      </c>
      <c r="P695" s="163">
        <v>0.1</v>
      </c>
      <c r="Q695" s="149">
        <v>8.7216666666666665E-2</v>
      </c>
      <c r="R695" s="150">
        <v>1.7000000000000001E-2</v>
      </c>
      <c r="S695" s="119">
        <v>1</v>
      </c>
      <c r="T695" s="125">
        <v>0.14782499999999998</v>
      </c>
      <c r="U695" s="151">
        <v>-34.823907079651477</v>
      </c>
      <c r="V695" s="152">
        <v>60.5</v>
      </c>
      <c r="W695" s="119">
        <v>2</v>
      </c>
      <c r="X695" s="153">
        <v>69.647814159302953</v>
      </c>
      <c r="Y695" s="154"/>
      <c r="Z695" s="154"/>
      <c r="AA695" s="89"/>
      <c r="AB695" s="89"/>
      <c r="AC695" s="89"/>
      <c r="AD695" s="89"/>
      <c r="AE695" s="89"/>
      <c r="AF695" s="89"/>
      <c r="AG695" s="89"/>
      <c r="AH695" s="89"/>
      <c r="AI695" s="89"/>
      <c r="AJ695" s="89"/>
      <c r="AK695" s="89"/>
      <c r="AL695" s="89"/>
      <c r="AM695" s="89"/>
      <c r="AN695" s="89"/>
    </row>
    <row r="696" spans="3:40" ht="24">
      <c r="C696" s="90"/>
      <c r="D696" s="493">
        <v>45518</v>
      </c>
      <c r="E696" s="98">
        <v>2.9000000000000001E-2</v>
      </c>
      <c r="F696" s="98" t="s">
        <v>669</v>
      </c>
      <c r="G696" s="98">
        <v>0.03</v>
      </c>
      <c r="H696" s="850">
        <v>0.52083333333333337</v>
      </c>
      <c r="I696" s="1440"/>
      <c r="J696" s="1246"/>
      <c r="K696" s="1441"/>
      <c r="L696" s="857">
        <v>0.3125</v>
      </c>
      <c r="M696" s="466"/>
      <c r="N696" s="162"/>
      <c r="O696" s="115"/>
      <c r="P696" s="115"/>
      <c r="Q696" s="149"/>
      <c r="R696" s="150"/>
      <c r="S696" s="119"/>
      <c r="T696" s="163"/>
      <c r="U696" s="151"/>
      <c r="V696" s="152"/>
      <c r="W696" s="119"/>
      <c r="X696" s="153"/>
      <c r="Y696" s="154"/>
      <c r="Z696" s="154"/>
      <c r="AA696" s="89"/>
      <c r="AB696" s="89"/>
      <c r="AC696" s="89"/>
      <c r="AD696" s="89"/>
      <c r="AE696" s="89"/>
      <c r="AF696" s="89"/>
      <c r="AG696" s="89"/>
      <c r="AH696" s="89"/>
      <c r="AI696" s="89"/>
      <c r="AJ696" s="89"/>
      <c r="AK696" s="89"/>
      <c r="AL696" s="89"/>
      <c r="AM696" s="89"/>
      <c r="AN696" s="89"/>
    </row>
    <row r="697" spans="3:40" ht="24">
      <c r="C697" s="90"/>
      <c r="D697" s="493">
        <v>45484</v>
      </c>
      <c r="E697" s="98">
        <v>0.03</v>
      </c>
      <c r="F697" s="98" t="s">
        <v>668</v>
      </c>
      <c r="G697" s="98">
        <v>3.3000000000000002E-2</v>
      </c>
      <c r="H697" s="850">
        <v>0.52083333333333337</v>
      </c>
      <c r="I697" s="1440"/>
      <c r="J697" s="1246"/>
      <c r="K697" s="1441"/>
      <c r="L697" s="857">
        <v>0.3125</v>
      </c>
      <c r="M697" s="466"/>
      <c r="N697" s="162"/>
      <c r="O697" s="115" t="s">
        <v>816</v>
      </c>
      <c r="P697" s="116"/>
      <c r="Q697" s="149"/>
      <c r="R697" s="150"/>
      <c r="S697" s="119"/>
      <c r="T697" s="116"/>
      <c r="U697" s="151">
        <v>0</v>
      </c>
      <c r="V697" s="152"/>
      <c r="W697" s="119"/>
      <c r="X697" s="153">
        <v>0</v>
      </c>
      <c r="Y697" s="154"/>
      <c r="Z697" s="154"/>
      <c r="AA697" s="89"/>
      <c r="AB697" s="89"/>
      <c r="AC697" s="89"/>
      <c r="AD697" s="89"/>
      <c r="AE697" s="89"/>
      <c r="AF697" s="89"/>
      <c r="AG697" s="89"/>
      <c r="AH697" s="89"/>
      <c r="AI697" s="89"/>
      <c r="AJ697" s="89"/>
      <c r="AK697" s="89"/>
      <c r="AL697" s="89"/>
      <c r="AM697" s="89"/>
      <c r="AN697" s="89"/>
    </row>
    <row r="698" spans="3:40" ht="24">
      <c r="C698" s="90"/>
      <c r="D698" s="493">
        <v>45455</v>
      </c>
      <c r="E698" s="98">
        <v>3.3000000000000002E-2</v>
      </c>
      <c r="F698" s="98" t="s">
        <v>882</v>
      </c>
      <c r="G698" s="98">
        <v>3.4000000000000002E-2</v>
      </c>
      <c r="H698" s="850">
        <v>0.52083333333333337</v>
      </c>
      <c r="I698" s="1440"/>
      <c r="J698" s="1246"/>
      <c r="K698" s="1441"/>
      <c r="L698" s="857">
        <v>0.3125</v>
      </c>
      <c r="M698" s="466"/>
      <c r="N698" s="162"/>
      <c r="O698" s="89"/>
      <c r="P698" s="89"/>
      <c r="Q698" s="89"/>
      <c r="R698" s="89"/>
      <c r="S698" s="89"/>
      <c r="T698" s="89"/>
      <c r="U698" s="89"/>
      <c r="V698" s="89"/>
      <c r="W698" s="89"/>
      <c r="X698" s="89"/>
      <c r="Y698" s="89"/>
      <c r="Z698" s="89"/>
      <c r="AA698" s="89"/>
      <c r="AB698" s="89"/>
      <c r="AC698" s="89"/>
      <c r="AD698" s="89"/>
      <c r="AE698" s="89"/>
      <c r="AF698" s="89"/>
      <c r="AG698" s="89"/>
      <c r="AH698" s="89"/>
      <c r="AI698" s="89"/>
      <c r="AJ698" s="89"/>
      <c r="AK698" s="89"/>
      <c r="AL698" s="89"/>
      <c r="AM698" s="89"/>
      <c r="AN698" s="89"/>
    </row>
    <row r="699" spans="3:40" ht="25" thickBot="1">
      <c r="C699" s="90"/>
      <c r="D699" s="493">
        <v>45427</v>
      </c>
      <c r="E699" s="98">
        <v>3.4000000000000002E-2</v>
      </c>
      <c r="F699" s="98" t="s">
        <v>882</v>
      </c>
      <c r="G699" s="98">
        <v>3.5000000000000003E-2</v>
      </c>
      <c r="H699" s="858">
        <v>0.52083333333333337</v>
      </c>
      <c r="I699" s="1442"/>
      <c r="J699" s="1249"/>
      <c r="K699" s="1443"/>
      <c r="L699" s="859">
        <v>0.3125</v>
      </c>
      <c r="M699" s="469"/>
      <c r="N699" s="162"/>
      <c r="O699" s="89"/>
      <c r="P699" s="89"/>
      <c r="Q699" s="89"/>
      <c r="R699" s="89"/>
      <c r="S699" s="89"/>
      <c r="T699" s="89"/>
      <c r="U699" s="89"/>
      <c r="V699" s="89"/>
      <c r="W699" s="89"/>
      <c r="X699" s="89"/>
      <c r="Y699" s="89"/>
      <c r="Z699" s="89"/>
      <c r="AA699" s="89"/>
      <c r="AB699" s="89"/>
      <c r="AC699" s="89"/>
      <c r="AD699" s="89"/>
      <c r="AE699" s="89"/>
      <c r="AF699" s="89"/>
      <c r="AG699" s="89"/>
      <c r="AH699" s="89"/>
      <c r="AI699" s="89"/>
      <c r="AJ699" s="89"/>
      <c r="AK699" s="89"/>
      <c r="AL699" s="89"/>
      <c r="AM699" s="89"/>
      <c r="AN699" s="89"/>
    </row>
    <row r="700" spans="3:40" ht="49" thickBot="1">
      <c r="C700" s="90">
        <v>4</v>
      </c>
      <c r="D700" s="494" t="s">
        <v>30</v>
      </c>
      <c r="E700" s="1429" t="s">
        <v>954</v>
      </c>
      <c r="F700" s="1430"/>
      <c r="G700" s="1431"/>
      <c r="H700" s="844" t="s">
        <v>790</v>
      </c>
      <c r="I700" s="1432" t="s">
        <v>633</v>
      </c>
      <c r="J700" s="1433"/>
      <c r="K700" s="1434"/>
      <c r="L700" s="845" t="s">
        <v>430</v>
      </c>
      <c r="M700" s="465" t="s">
        <v>431</v>
      </c>
      <c r="N700" s="162" t="s">
        <v>105</v>
      </c>
      <c r="O700" s="114" t="s">
        <v>800</v>
      </c>
      <c r="P700" s="114" t="s">
        <v>801</v>
      </c>
      <c r="Q700" s="114" t="s">
        <v>802</v>
      </c>
      <c r="R700" s="114" t="s">
        <v>803</v>
      </c>
      <c r="S700" s="114" t="s">
        <v>804</v>
      </c>
      <c r="T700" s="114" t="s">
        <v>805</v>
      </c>
      <c r="U700" s="114" t="s">
        <v>806</v>
      </c>
      <c r="V700" s="114" t="s">
        <v>807</v>
      </c>
      <c r="W700" s="114" t="s">
        <v>808</v>
      </c>
      <c r="X700" s="114" t="s">
        <v>809</v>
      </c>
      <c r="Y700" s="114" t="s">
        <v>75</v>
      </c>
      <c r="Z700" s="114" t="s">
        <v>75</v>
      </c>
      <c r="AA700" s="89"/>
      <c r="AB700" s="89"/>
      <c r="AC700" s="89"/>
      <c r="AD700" s="89"/>
      <c r="AE700" s="89"/>
      <c r="AF700" s="89"/>
      <c r="AG700" s="89"/>
      <c r="AH700" s="89"/>
      <c r="AI700" s="89"/>
      <c r="AJ700" s="89"/>
      <c r="AK700" s="89"/>
      <c r="AL700" s="89"/>
      <c r="AM700" s="89"/>
      <c r="AN700" s="89"/>
    </row>
    <row r="701" spans="3:40" ht="24">
      <c r="C701" s="90"/>
      <c r="D701" s="489" t="s">
        <v>432</v>
      </c>
      <c r="E701" s="1435"/>
      <c r="F701" s="1436"/>
      <c r="G701" s="1437"/>
      <c r="H701" s="846" t="s">
        <v>794</v>
      </c>
      <c r="I701" s="1438" t="s">
        <v>953</v>
      </c>
      <c r="J701" s="1243"/>
      <c r="K701" s="1439"/>
      <c r="L701" s="835"/>
      <c r="M701" s="466"/>
      <c r="N701" s="162"/>
      <c r="O701" s="115" t="s">
        <v>810</v>
      </c>
      <c r="P701" s="163">
        <v>0.1</v>
      </c>
      <c r="Q701" s="164">
        <v>0.03</v>
      </c>
      <c r="R701" s="165">
        <v>1.5999999999991132E-2</v>
      </c>
      <c r="S701" s="119"/>
      <c r="T701" s="115">
        <v>6.0999999999991131E-2</v>
      </c>
      <c r="U701" s="164">
        <v>-14.17</v>
      </c>
      <c r="V701" s="163">
        <v>91.8</v>
      </c>
      <c r="W701" s="166">
        <v>2</v>
      </c>
      <c r="X701" s="153">
        <v>28.34</v>
      </c>
      <c r="Y701" s="120"/>
      <c r="Z701" s="120"/>
      <c r="AA701" s="89"/>
      <c r="AB701" s="89"/>
      <c r="AC701" s="89"/>
      <c r="AD701" s="89"/>
      <c r="AE701" s="89"/>
      <c r="AF701" s="89"/>
      <c r="AG701" s="89"/>
      <c r="AH701" s="89"/>
      <c r="AI701" s="89"/>
      <c r="AJ701" s="89"/>
      <c r="AK701" s="89"/>
      <c r="AL701" s="89"/>
      <c r="AM701" s="89"/>
      <c r="AN701" s="89"/>
    </row>
    <row r="702" spans="3:40" ht="24">
      <c r="C702" s="90"/>
      <c r="D702" s="490" t="s">
        <v>433</v>
      </c>
      <c r="E702" s="1444">
        <v>2E-3</v>
      </c>
      <c r="F702" s="1445"/>
      <c r="G702" s="1446"/>
      <c r="H702" s="846" t="s">
        <v>795</v>
      </c>
      <c r="I702" s="1440"/>
      <c r="J702" s="1246"/>
      <c r="K702" s="1441"/>
      <c r="L702" s="835"/>
      <c r="M702" s="466"/>
      <c r="N702" s="162"/>
      <c r="O702" s="121"/>
      <c r="P702" s="121"/>
      <c r="Q702" s="121"/>
      <c r="R702" s="122"/>
      <c r="S702" s="123"/>
      <c r="T702" s="121"/>
      <c r="U702" s="121"/>
      <c r="V702" s="121"/>
      <c r="W702" s="123"/>
      <c r="X702" s="123"/>
      <c r="Y702" s="124"/>
      <c r="Z702" s="124"/>
      <c r="AA702" s="89"/>
      <c r="AB702" s="89"/>
      <c r="AC702" s="89"/>
      <c r="AD702" s="89"/>
      <c r="AE702" s="89"/>
      <c r="AF702" s="89"/>
      <c r="AG702" s="89"/>
      <c r="AH702" s="89"/>
      <c r="AI702" s="89"/>
      <c r="AJ702" s="89"/>
      <c r="AK702" s="89"/>
      <c r="AL702" s="89"/>
      <c r="AM702" s="89"/>
      <c r="AN702" s="89"/>
    </row>
    <row r="703" spans="3:40" ht="24">
      <c r="C703" s="90"/>
      <c r="D703" s="490" t="s">
        <v>434</v>
      </c>
      <c r="E703" s="1444">
        <v>2E-3</v>
      </c>
      <c r="F703" s="1445"/>
      <c r="G703" s="1446"/>
      <c r="H703" s="847"/>
      <c r="I703" s="1440"/>
      <c r="J703" s="1246"/>
      <c r="K703" s="1441"/>
      <c r="L703" s="835"/>
      <c r="M703" s="466"/>
      <c r="N703" s="162"/>
      <c r="O703" s="125" t="s">
        <v>811</v>
      </c>
      <c r="P703" s="167">
        <v>0.05</v>
      </c>
      <c r="Q703" s="168">
        <v>7.51E-2</v>
      </c>
      <c r="R703" s="169">
        <v>7.0000000000000007E-2</v>
      </c>
      <c r="S703" s="129">
        <v>1</v>
      </c>
      <c r="T703" s="125">
        <v>0.18265000000000001</v>
      </c>
      <c r="U703" s="130">
        <v>-21.214348360658821</v>
      </c>
      <c r="V703" s="131">
        <v>30.25</v>
      </c>
      <c r="W703" s="170">
        <v>2.94</v>
      </c>
      <c r="X703" s="133">
        <v>62.370184180336935</v>
      </c>
      <c r="Y703" s="134"/>
      <c r="Z703" s="134">
        <v>4.4350000000000005</v>
      </c>
      <c r="AA703" s="89"/>
      <c r="AB703" s="89"/>
      <c r="AC703" s="89"/>
      <c r="AD703" s="89"/>
      <c r="AE703" s="89"/>
      <c r="AF703" s="89"/>
      <c r="AG703" s="89"/>
      <c r="AH703" s="89"/>
      <c r="AI703" s="89"/>
      <c r="AJ703" s="89"/>
      <c r="AK703" s="89"/>
      <c r="AL703" s="89"/>
      <c r="AM703" s="89"/>
      <c r="AN703" s="89"/>
    </row>
    <row r="704" spans="3:40" ht="25" thickBot="1">
      <c r="C704" s="90"/>
      <c r="D704" s="491" t="s">
        <v>435</v>
      </c>
      <c r="E704" s="1447">
        <v>0.5625</v>
      </c>
      <c r="F704" s="1448"/>
      <c r="G704" s="1449"/>
      <c r="H704" s="847"/>
      <c r="I704" s="1440"/>
      <c r="J704" s="1246"/>
      <c r="K704" s="1441"/>
      <c r="L704" s="836">
        <v>0.79166666666666663</v>
      </c>
      <c r="M704" s="467">
        <v>0.64583333333333326</v>
      </c>
      <c r="N704" s="162"/>
      <c r="O704" s="135" t="s">
        <v>812</v>
      </c>
      <c r="P704" s="171">
        <v>0.05</v>
      </c>
      <c r="Q704" s="156">
        <v>0.10166666666666667</v>
      </c>
      <c r="R704" s="172">
        <v>7.0000000000000007E-2</v>
      </c>
      <c r="S704" s="139">
        <v>1</v>
      </c>
      <c r="T704" s="173">
        <v>0.2225</v>
      </c>
      <c r="U704" s="140">
        <v>-25.842827868856215</v>
      </c>
      <c r="V704" s="141">
        <v>30.25</v>
      </c>
      <c r="W704" s="174">
        <v>3.19</v>
      </c>
      <c r="X704" s="143">
        <v>82.438620901651319</v>
      </c>
      <c r="Y704" s="144"/>
      <c r="Z704" s="144"/>
      <c r="AA704" s="89"/>
      <c r="AB704" s="89"/>
      <c r="AC704" s="89"/>
      <c r="AD704" s="89"/>
      <c r="AE704" s="89"/>
      <c r="AF704" s="89"/>
      <c r="AG704" s="89"/>
      <c r="AH704" s="89"/>
      <c r="AI704" s="89"/>
      <c r="AJ704" s="89"/>
      <c r="AK704" s="89"/>
      <c r="AL704" s="89"/>
      <c r="AM704" s="89"/>
      <c r="AN704" s="89"/>
    </row>
    <row r="705" spans="3:40" ht="25" thickBot="1">
      <c r="C705" s="90"/>
      <c r="D705" s="492" t="s">
        <v>436</v>
      </c>
      <c r="E705" s="92" t="s">
        <v>29</v>
      </c>
      <c r="F705" s="92" t="s">
        <v>28</v>
      </c>
      <c r="G705" s="93" t="s">
        <v>27</v>
      </c>
      <c r="H705" s="855" t="s">
        <v>793</v>
      </c>
      <c r="I705" s="1440"/>
      <c r="J705" s="1246"/>
      <c r="K705" s="1441"/>
      <c r="L705" s="856" t="s">
        <v>1002</v>
      </c>
      <c r="M705" s="470"/>
      <c r="N705" s="162"/>
      <c r="O705" s="123"/>
      <c r="P705" s="145"/>
      <c r="Q705" s="123"/>
      <c r="R705" s="123"/>
      <c r="S705" s="123"/>
      <c r="T705" s="123"/>
      <c r="U705" s="146"/>
      <c r="V705" s="147"/>
      <c r="W705" s="123"/>
      <c r="X705" s="146"/>
      <c r="Y705" s="124"/>
      <c r="Z705" s="124"/>
      <c r="AA705" s="89"/>
      <c r="AB705" s="89"/>
      <c r="AC705" s="89"/>
      <c r="AD705" s="89"/>
      <c r="AE705" s="89"/>
      <c r="AF705" s="89"/>
      <c r="AG705" s="89"/>
      <c r="AH705" s="89"/>
      <c r="AI705" s="89"/>
      <c r="AJ705" s="89"/>
      <c r="AK705" s="89"/>
      <c r="AL705" s="89"/>
      <c r="AM705" s="89"/>
      <c r="AN705" s="89"/>
    </row>
    <row r="706" spans="3:40" ht="24">
      <c r="C706" s="90"/>
      <c r="D706" s="493">
        <v>45575</v>
      </c>
      <c r="E706" s="98">
        <v>2E-3</v>
      </c>
      <c r="F706" s="98" t="s">
        <v>462</v>
      </c>
      <c r="G706" s="98">
        <v>2E-3</v>
      </c>
      <c r="H706" s="850">
        <v>0.52083333333333337</v>
      </c>
      <c r="I706" s="1440"/>
      <c r="J706" s="1246"/>
      <c r="K706" s="1441"/>
      <c r="L706" s="857">
        <v>0.3125</v>
      </c>
      <c r="M706" s="471"/>
      <c r="N706" s="162"/>
      <c r="O706" s="148"/>
      <c r="P706" s="124"/>
      <c r="Q706" s="148"/>
      <c r="R706" s="148"/>
      <c r="S706" s="148"/>
      <c r="T706" s="148"/>
      <c r="U706" s="148"/>
      <c r="V706" s="148"/>
      <c r="W706" s="148"/>
      <c r="X706" s="148"/>
      <c r="Y706" s="124"/>
      <c r="Z706" s="124"/>
      <c r="AA706" s="89"/>
      <c r="AB706" s="89"/>
      <c r="AC706" s="89"/>
      <c r="AD706" s="89"/>
      <c r="AE706" s="89"/>
      <c r="AF706" s="89"/>
      <c r="AG706" s="89"/>
      <c r="AH706" s="89"/>
      <c r="AI706" s="89"/>
      <c r="AJ706" s="89"/>
      <c r="AK706" s="89"/>
      <c r="AL706" s="89"/>
      <c r="AM706" s="89"/>
      <c r="AN706" s="89"/>
    </row>
    <row r="707" spans="3:40" ht="24">
      <c r="C707" s="90"/>
      <c r="D707" s="493">
        <v>45546</v>
      </c>
      <c r="E707" s="98">
        <v>2E-3</v>
      </c>
      <c r="F707" s="98" t="s">
        <v>460</v>
      </c>
      <c r="G707" s="98">
        <v>2E-3</v>
      </c>
      <c r="H707" s="850">
        <v>0.52083333333333337</v>
      </c>
      <c r="I707" s="1440"/>
      <c r="J707" s="1246"/>
      <c r="K707" s="1441"/>
      <c r="L707" s="857">
        <v>0.3125</v>
      </c>
      <c r="M707" s="472"/>
      <c r="N707" s="162"/>
      <c r="O707" s="115" t="s">
        <v>813</v>
      </c>
      <c r="P707" s="163">
        <v>-0.05</v>
      </c>
      <c r="Q707" s="149">
        <v>8.8383333333333342E-2</v>
      </c>
      <c r="R707" s="150">
        <v>7.0000000000000007E-2</v>
      </c>
      <c r="S707" s="119">
        <v>-1</v>
      </c>
      <c r="T707" s="125">
        <v>0.20257500000000001</v>
      </c>
      <c r="U707" s="151">
        <v>-23.528588114757518</v>
      </c>
      <c r="V707" s="152">
        <v>-30.25</v>
      </c>
      <c r="W707" s="119">
        <v>2.5</v>
      </c>
      <c r="X707" s="153">
        <v>58.821470286893799</v>
      </c>
      <c r="Y707" s="154"/>
      <c r="Z707" s="154"/>
      <c r="AA707" s="89"/>
      <c r="AB707" s="89"/>
      <c r="AC707" s="89"/>
      <c r="AD707" s="89"/>
      <c r="AE707" s="89"/>
      <c r="AF707" s="89"/>
      <c r="AG707" s="89"/>
      <c r="AH707" s="89"/>
      <c r="AI707" s="89"/>
      <c r="AJ707" s="89"/>
      <c r="AK707" s="89"/>
      <c r="AL707" s="89"/>
      <c r="AM707" s="89"/>
      <c r="AN707" s="89"/>
    </row>
    <row r="708" spans="3:40" ht="24">
      <c r="C708" s="90"/>
      <c r="D708" s="493">
        <v>45518</v>
      </c>
      <c r="E708" s="98">
        <v>2E-3</v>
      </c>
      <c r="F708" s="98" t="s">
        <v>460</v>
      </c>
      <c r="G708" s="98">
        <v>-1E-3</v>
      </c>
      <c r="H708" s="850">
        <v>0.52083333333333337</v>
      </c>
      <c r="I708" s="1440"/>
      <c r="J708" s="1246"/>
      <c r="K708" s="1441"/>
      <c r="L708" s="857">
        <v>0.3125</v>
      </c>
      <c r="M708" s="466"/>
      <c r="N708" s="162"/>
      <c r="O708" s="115" t="s">
        <v>813</v>
      </c>
      <c r="P708" s="163">
        <v>0.05</v>
      </c>
      <c r="Q708" s="149">
        <v>8.8383333333333342E-2</v>
      </c>
      <c r="R708" s="150">
        <v>7.0000000000000007E-2</v>
      </c>
      <c r="S708" s="119">
        <v>1</v>
      </c>
      <c r="T708" s="125">
        <v>0.20257500000000001</v>
      </c>
      <c r="U708" s="151">
        <v>-23.528588114757518</v>
      </c>
      <c r="V708" s="152">
        <v>30.25</v>
      </c>
      <c r="W708" s="119">
        <v>2.5</v>
      </c>
      <c r="X708" s="153">
        <v>58.821470286893799</v>
      </c>
      <c r="Y708" s="154"/>
      <c r="Z708" s="154"/>
      <c r="AA708" s="89"/>
      <c r="AB708" s="89"/>
      <c r="AC708" s="89"/>
      <c r="AD708" s="89"/>
      <c r="AE708" s="89"/>
      <c r="AF708" s="89"/>
      <c r="AG708" s="89"/>
      <c r="AH708" s="89"/>
      <c r="AI708" s="89"/>
      <c r="AJ708" s="89"/>
      <c r="AK708" s="89"/>
      <c r="AL708" s="89"/>
      <c r="AM708" s="89"/>
      <c r="AN708" s="89"/>
    </row>
    <row r="709" spans="3:40" ht="24">
      <c r="C709" s="90"/>
      <c r="D709" s="493">
        <v>45484</v>
      </c>
      <c r="E709" s="98">
        <v>-1E-3</v>
      </c>
      <c r="F709" s="98" t="s">
        <v>462</v>
      </c>
      <c r="G709" s="98">
        <v>0</v>
      </c>
      <c r="H709" s="850">
        <v>0.52083333333333337</v>
      </c>
      <c r="I709" s="1440"/>
      <c r="J709" s="1246"/>
      <c r="K709" s="1441"/>
      <c r="L709" s="857">
        <v>0.3125</v>
      </c>
      <c r="M709" s="466"/>
      <c r="N709" s="162"/>
      <c r="O709" s="115" t="s">
        <v>816</v>
      </c>
      <c r="P709" s="116"/>
      <c r="Q709" s="149"/>
      <c r="R709" s="150"/>
      <c r="S709" s="119"/>
      <c r="T709" s="116"/>
      <c r="U709" s="151"/>
      <c r="V709" s="152"/>
      <c r="W709" s="119"/>
      <c r="X709" s="153"/>
      <c r="Y709" s="154"/>
      <c r="Z709" s="154"/>
      <c r="AA709" s="89"/>
      <c r="AB709" s="89"/>
      <c r="AC709" s="89"/>
      <c r="AD709" s="89"/>
      <c r="AE709" s="89"/>
      <c r="AF709" s="89"/>
      <c r="AG709" s="89"/>
      <c r="AH709" s="89"/>
      <c r="AI709" s="89"/>
      <c r="AJ709" s="89"/>
      <c r="AK709" s="89"/>
      <c r="AL709" s="89"/>
      <c r="AM709" s="89"/>
      <c r="AN709" s="89"/>
    </row>
    <row r="710" spans="3:40" ht="24">
      <c r="C710" s="90"/>
      <c r="D710" s="493">
        <v>45455</v>
      </c>
      <c r="E710" s="98">
        <v>0</v>
      </c>
      <c r="F710" s="98" t="s">
        <v>462</v>
      </c>
      <c r="G710" s="98">
        <v>3.0000000000000001E-3</v>
      </c>
      <c r="H710" s="850">
        <v>0.52083333333333337</v>
      </c>
      <c r="I710" s="1440"/>
      <c r="J710" s="1246"/>
      <c r="K710" s="1441"/>
      <c r="L710" s="857">
        <v>0.3125</v>
      </c>
      <c r="M710" s="466"/>
      <c r="N710" s="162"/>
      <c r="O710" s="89"/>
      <c r="P710" s="89"/>
      <c r="Q710" s="89"/>
      <c r="R710" s="89"/>
      <c r="S710" s="89"/>
      <c r="T710" s="89"/>
      <c r="U710" s="89"/>
      <c r="V710" s="89"/>
      <c r="W710" s="89"/>
      <c r="X710" s="89"/>
      <c r="Y710" s="89"/>
      <c r="Z710" s="89"/>
      <c r="AA710" s="89"/>
      <c r="AB710" s="89"/>
      <c r="AC710" s="89"/>
      <c r="AD710" s="89"/>
      <c r="AE710" s="89"/>
      <c r="AF710" s="89"/>
      <c r="AG710" s="89"/>
      <c r="AH710" s="89"/>
      <c r="AI710" s="89"/>
      <c r="AJ710" s="89"/>
      <c r="AK710" s="89"/>
      <c r="AL710" s="89"/>
      <c r="AM710" s="89"/>
      <c r="AN710" s="89"/>
    </row>
    <row r="711" spans="3:40" ht="25" thickBot="1">
      <c r="C711" s="90"/>
      <c r="D711" s="493">
        <v>45427</v>
      </c>
      <c r="E711" s="98">
        <v>3.0000000000000001E-3</v>
      </c>
      <c r="F711" s="98" t="s">
        <v>452</v>
      </c>
      <c r="G711" s="98">
        <v>4.0000000000000001E-3</v>
      </c>
      <c r="H711" s="858">
        <v>0.52083333333333337</v>
      </c>
      <c r="I711" s="1442"/>
      <c r="J711" s="1249"/>
      <c r="K711" s="1443"/>
      <c r="L711" s="859">
        <v>0.3125</v>
      </c>
      <c r="M711" s="469"/>
      <c r="N711" s="162"/>
      <c r="O711" s="89"/>
      <c r="P711" s="89"/>
      <c r="Q711" s="89"/>
      <c r="R711" s="89"/>
      <c r="S711" s="89"/>
      <c r="T711" s="89"/>
      <c r="U711" s="89"/>
      <c r="V711" s="89"/>
      <c r="W711" s="89"/>
      <c r="X711" s="89"/>
      <c r="Y711" s="89"/>
      <c r="Z711" s="89"/>
      <c r="AA711" s="89"/>
      <c r="AB711" s="89"/>
      <c r="AC711" s="89"/>
      <c r="AD711" s="89"/>
      <c r="AE711" s="89"/>
      <c r="AF711" s="89"/>
      <c r="AG711" s="89"/>
      <c r="AH711" s="89"/>
      <c r="AI711" s="89"/>
      <c r="AJ711" s="89"/>
      <c r="AK711" s="89"/>
      <c r="AL711" s="89"/>
      <c r="AM711" s="89"/>
      <c r="AN711" s="89"/>
    </row>
    <row r="712" spans="3:40" ht="49" thickBot="1">
      <c r="C712" s="90">
        <v>5</v>
      </c>
      <c r="D712" s="494" t="s">
        <v>30</v>
      </c>
      <c r="E712" s="1429" t="s">
        <v>14</v>
      </c>
      <c r="F712" s="1430"/>
      <c r="G712" s="1431"/>
      <c r="H712" s="844" t="s">
        <v>790</v>
      </c>
      <c r="I712" s="1432" t="s">
        <v>633</v>
      </c>
      <c r="J712" s="1433"/>
      <c r="K712" s="1434"/>
      <c r="L712" s="845" t="s">
        <v>430</v>
      </c>
      <c r="M712" s="465" t="s">
        <v>431</v>
      </c>
      <c r="N712" s="162" t="s">
        <v>105</v>
      </c>
      <c r="O712" s="114" t="s">
        <v>800</v>
      </c>
      <c r="P712" s="114" t="s">
        <v>801</v>
      </c>
      <c r="Q712" s="114" t="s">
        <v>802</v>
      </c>
      <c r="R712" s="114" t="s">
        <v>803</v>
      </c>
      <c r="S712" s="114" t="s">
        <v>804</v>
      </c>
      <c r="T712" s="114" t="s">
        <v>805</v>
      </c>
      <c r="U712" s="114" t="s">
        <v>806</v>
      </c>
      <c r="V712" s="114" t="s">
        <v>807</v>
      </c>
      <c r="W712" s="114" t="s">
        <v>808</v>
      </c>
      <c r="X712" s="114" t="s">
        <v>809</v>
      </c>
      <c r="Y712" s="114" t="s">
        <v>75</v>
      </c>
      <c r="Z712" s="114" t="s">
        <v>75</v>
      </c>
      <c r="AA712" s="89"/>
      <c r="AB712" s="89"/>
      <c r="AC712" s="89"/>
      <c r="AD712" s="89"/>
      <c r="AE712" s="89"/>
      <c r="AF712" s="89"/>
      <c r="AG712" s="89"/>
      <c r="AH712" s="89"/>
      <c r="AI712" s="89"/>
      <c r="AJ712" s="89"/>
      <c r="AK712" s="89"/>
      <c r="AL712" s="89"/>
      <c r="AM712" s="89"/>
      <c r="AN712" s="89"/>
    </row>
    <row r="713" spans="3:40" ht="24">
      <c r="C713" s="90"/>
      <c r="D713" s="489" t="s">
        <v>432</v>
      </c>
      <c r="E713" s="1435"/>
      <c r="F713" s="1436"/>
      <c r="G713" s="1437"/>
      <c r="H713" s="846" t="s">
        <v>794</v>
      </c>
      <c r="I713" s="1438" t="s">
        <v>955</v>
      </c>
      <c r="J713" s="1243"/>
      <c r="K713" s="1439"/>
      <c r="L713" s="835"/>
      <c r="M713" s="466"/>
      <c r="N713" s="162"/>
      <c r="O713" s="115" t="s">
        <v>810</v>
      </c>
      <c r="P713" s="163">
        <v>0.1</v>
      </c>
      <c r="Q713" s="164">
        <v>1.2999999999999999E-2</v>
      </c>
      <c r="R713" s="165">
        <v>2.199999999999136E-2</v>
      </c>
      <c r="S713" s="119"/>
      <c r="T713" s="115">
        <v>4.1499999999991363E-2</v>
      </c>
      <c r="U713" s="164">
        <v>-10.74</v>
      </c>
      <c r="V713" s="163">
        <v>60.23</v>
      </c>
      <c r="W713" s="163"/>
      <c r="X713" s="153"/>
      <c r="Y713" s="120"/>
      <c r="Z713" s="120"/>
      <c r="AA713" s="89"/>
      <c r="AB713" s="89"/>
      <c r="AC713" s="89"/>
      <c r="AD713" s="89"/>
      <c r="AE713" s="89"/>
      <c r="AF713" s="89"/>
      <c r="AG713" s="89"/>
      <c r="AH713" s="89"/>
      <c r="AI713" s="89"/>
      <c r="AJ713" s="89"/>
      <c r="AK713" s="89"/>
      <c r="AL713" s="89"/>
      <c r="AM713" s="89"/>
      <c r="AN713" s="89"/>
    </row>
    <row r="714" spans="3:40" ht="24">
      <c r="C714" s="90"/>
      <c r="D714" s="490" t="s">
        <v>433</v>
      </c>
      <c r="E714" s="1444" t="s">
        <v>72</v>
      </c>
      <c r="F714" s="1445"/>
      <c r="G714" s="1446"/>
      <c r="H714" s="846" t="s">
        <v>795</v>
      </c>
      <c r="I714" s="1440"/>
      <c r="J714" s="1246"/>
      <c r="K714" s="1441"/>
      <c r="L714" s="835"/>
      <c r="M714" s="466"/>
      <c r="N714" s="162"/>
      <c r="O714" s="121"/>
      <c r="P714" s="121"/>
      <c r="Q714" s="121"/>
      <c r="R714" s="122"/>
      <c r="S714" s="123"/>
      <c r="T714" s="121"/>
      <c r="U714" s="121"/>
      <c r="V714" s="121"/>
      <c r="W714" s="121"/>
      <c r="X714" s="123"/>
      <c r="Y714" s="124"/>
      <c r="Z714" s="124"/>
      <c r="AA714" s="89"/>
      <c r="AB714" s="89"/>
      <c r="AC714" s="89"/>
      <c r="AD714" s="89"/>
      <c r="AE714" s="89"/>
      <c r="AF714" s="89"/>
      <c r="AG714" s="89"/>
      <c r="AH714" s="89"/>
      <c r="AI714" s="89"/>
      <c r="AJ714" s="89"/>
      <c r="AK714" s="89"/>
      <c r="AL714" s="89"/>
      <c r="AM714" s="89"/>
      <c r="AN714" s="89"/>
    </row>
    <row r="715" spans="3:40" ht="24">
      <c r="C715" s="90"/>
      <c r="D715" s="490" t="s">
        <v>434</v>
      </c>
      <c r="E715" s="1444" t="s">
        <v>413</v>
      </c>
      <c r="F715" s="1445"/>
      <c r="G715" s="1446"/>
      <c r="H715" s="847"/>
      <c r="I715" s="1440"/>
      <c r="J715" s="1246"/>
      <c r="K715" s="1441"/>
      <c r="L715" s="835"/>
      <c r="M715" s="466"/>
      <c r="N715" s="162"/>
      <c r="O715" s="125" t="s">
        <v>811</v>
      </c>
      <c r="P715" s="167">
        <v>0.1</v>
      </c>
      <c r="Q715" s="168">
        <v>9.2700000000000005E-2</v>
      </c>
      <c r="R715" s="169">
        <v>2.4E-2</v>
      </c>
      <c r="S715" s="179">
        <v>1</v>
      </c>
      <c r="T715" s="125">
        <v>0.16305</v>
      </c>
      <c r="U715" s="130">
        <v>-42.196554216876251</v>
      </c>
      <c r="V715" s="131">
        <v>60.5</v>
      </c>
      <c r="W715" s="180">
        <v>4.95</v>
      </c>
      <c r="X715" s="133">
        <v>208.87294337353745</v>
      </c>
      <c r="Y715" s="134"/>
      <c r="Z715" s="134"/>
      <c r="AA715" s="89"/>
      <c r="AB715" s="89"/>
      <c r="AC715" s="89"/>
      <c r="AD715" s="89"/>
      <c r="AE715" s="89"/>
      <c r="AF715" s="89"/>
      <c r="AG715" s="89"/>
      <c r="AH715" s="89"/>
      <c r="AI715" s="89"/>
      <c r="AJ715" s="89"/>
      <c r="AK715" s="89"/>
      <c r="AL715" s="89"/>
      <c r="AM715" s="89"/>
      <c r="AN715" s="89"/>
    </row>
    <row r="716" spans="3:40" ht="25" thickBot="1">
      <c r="C716" s="90"/>
      <c r="D716" s="491" t="s">
        <v>435</v>
      </c>
      <c r="E716" s="1447">
        <v>0.5625</v>
      </c>
      <c r="F716" s="1448"/>
      <c r="G716" s="1449"/>
      <c r="H716" s="847"/>
      <c r="I716" s="1440"/>
      <c r="J716" s="1246"/>
      <c r="K716" s="1441"/>
      <c r="L716" s="836">
        <v>0.79166666666666663</v>
      </c>
      <c r="M716" s="467">
        <v>0.64583333333333326</v>
      </c>
      <c r="N716" s="162"/>
      <c r="O716" s="135" t="s">
        <v>812</v>
      </c>
      <c r="P716" s="171">
        <v>0.1</v>
      </c>
      <c r="Q716" s="156">
        <v>0.10253333333333335</v>
      </c>
      <c r="R716" s="172">
        <v>2.4E-2</v>
      </c>
      <c r="S716" s="181">
        <v>1</v>
      </c>
      <c r="T716" s="173">
        <v>0.17780000000000001</v>
      </c>
      <c r="U716" s="140">
        <v>-46.0137831325397</v>
      </c>
      <c r="V716" s="141">
        <v>60.5</v>
      </c>
      <c r="W716" s="182">
        <v>3.5933333333333337</v>
      </c>
      <c r="X716" s="143">
        <v>165.34286072292602</v>
      </c>
      <c r="Y716" s="144"/>
      <c r="Z716" s="144"/>
      <c r="AA716" s="89"/>
      <c r="AB716" s="89"/>
      <c r="AC716" s="89"/>
      <c r="AD716" s="89"/>
      <c r="AE716" s="89"/>
      <c r="AF716" s="89"/>
      <c r="AG716" s="89"/>
      <c r="AH716" s="89"/>
      <c r="AI716" s="89"/>
      <c r="AJ716" s="89"/>
      <c r="AK716" s="89"/>
      <c r="AL716" s="89"/>
      <c r="AM716" s="89"/>
      <c r="AN716" s="89"/>
    </row>
    <row r="717" spans="3:40" ht="25" thickBot="1">
      <c r="C717" s="90"/>
      <c r="D717" s="492" t="s">
        <v>436</v>
      </c>
      <c r="E717" s="92" t="s">
        <v>29</v>
      </c>
      <c r="F717" s="92" t="s">
        <v>28</v>
      </c>
      <c r="G717" s="93" t="s">
        <v>27</v>
      </c>
      <c r="H717" s="855" t="s">
        <v>793</v>
      </c>
      <c r="I717" s="1440"/>
      <c r="J717" s="1246"/>
      <c r="K717" s="1441"/>
      <c r="L717" s="856" t="s">
        <v>1002</v>
      </c>
      <c r="M717" s="470"/>
      <c r="N717" s="162"/>
      <c r="O717" s="123"/>
      <c r="P717" s="145"/>
      <c r="Q717" s="123"/>
      <c r="R717" s="123"/>
      <c r="S717" s="183"/>
      <c r="T717" s="123"/>
      <c r="U717" s="146"/>
      <c r="V717" s="147"/>
      <c r="W717" s="184"/>
      <c r="X717" s="146"/>
      <c r="Y717" s="124"/>
      <c r="Z717" s="124"/>
      <c r="AA717" s="89"/>
      <c r="AB717" s="89"/>
      <c r="AC717" s="89"/>
      <c r="AD717" s="89"/>
      <c r="AE717" s="89"/>
      <c r="AF717" s="89"/>
      <c r="AG717" s="89"/>
      <c r="AH717" s="89"/>
      <c r="AI717" s="89"/>
      <c r="AJ717" s="89"/>
      <c r="AK717" s="89"/>
      <c r="AL717" s="89"/>
      <c r="AM717" s="89"/>
      <c r="AN717" s="89"/>
    </row>
    <row r="718" spans="3:40" ht="24">
      <c r="C718" s="90"/>
      <c r="D718" s="493">
        <v>45603</v>
      </c>
      <c r="E718" s="98" t="s">
        <v>972</v>
      </c>
      <c r="F718" s="98" t="s">
        <v>973</v>
      </c>
      <c r="G718" s="98" t="s">
        <v>974</v>
      </c>
      <c r="H718" s="850">
        <v>0.5625</v>
      </c>
      <c r="I718" s="1440"/>
      <c r="J718" s="1246"/>
      <c r="K718" s="1441"/>
      <c r="L718" s="857">
        <v>0.35416666666666669</v>
      </c>
      <c r="M718" s="471"/>
      <c r="N718" s="162"/>
      <c r="O718" s="148"/>
      <c r="P718" s="124"/>
      <c r="Q718" s="148"/>
      <c r="R718" s="148"/>
      <c r="S718" s="183"/>
      <c r="T718" s="148"/>
      <c r="U718" s="148"/>
      <c r="V718" s="148"/>
      <c r="W718" s="186"/>
      <c r="X718" s="148"/>
      <c r="Y718" s="124"/>
      <c r="Z718" s="124"/>
      <c r="AA718" s="89"/>
      <c r="AB718" s="89"/>
      <c r="AC718" s="89"/>
      <c r="AD718" s="89"/>
      <c r="AE718" s="89"/>
      <c r="AF718" s="89"/>
      <c r="AG718" s="89"/>
      <c r="AH718" s="89"/>
      <c r="AI718" s="89"/>
      <c r="AJ718" s="89"/>
      <c r="AK718" s="89"/>
      <c r="AL718" s="89"/>
      <c r="AM718" s="89"/>
      <c r="AN718" s="89"/>
    </row>
    <row r="719" spans="3:40" ht="24">
      <c r="C719" s="90"/>
      <c r="D719" s="493">
        <v>45596</v>
      </c>
      <c r="E719" s="98" t="s">
        <v>975</v>
      </c>
      <c r="F719" s="98" t="s">
        <v>976</v>
      </c>
      <c r="G719" s="98" t="s">
        <v>977</v>
      </c>
      <c r="H719" s="850">
        <v>0.52083333333333337</v>
      </c>
      <c r="I719" s="1440"/>
      <c r="J719" s="1246"/>
      <c r="K719" s="1441"/>
      <c r="L719" s="857">
        <v>0.3125</v>
      </c>
      <c r="M719" s="472"/>
      <c r="N719" s="162"/>
      <c r="O719" s="115" t="s">
        <v>813</v>
      </c>
      <c r="P719" s="187">
        <v>0.1</v>
      </c>
      <c r="Q719" s="149">
        <v>0.10253333333333335</v>
      </c>
      <c r="R719" s="150">
        <v>2.4E-2</v>
      </c>
      <c r="S719" s="187">
        <v>1</v>
      </c>
      <c r="T719" s="188">
        <v>0.17780000000000001</v>
      </c>
      <c r="U719" s="151">
        <v>-46.0137831325397</v>
      </c>
      <c r="V719" s="152">
        <v>60.5</v>
      </c>
      <c r="W719" s="189">
        <v>3</v>
      </c>
      <c r="X719" s="153">
        <v>138.04134939761911</v>
      </c>
      <c r="Y719" s="154"/>
      <c r="Z719" s="154"/>
      <c r="AA719" s="89"/>
      <c r="AB719" s="89"/>
      <c r="AC719" s="89"/>
      <c r="AD719" s="89"/>
      <c r="AE719" s="89"/>
      <c r="AF719" s="89"/>
      <c r="AG719" s="89"/>
      <c r="AH719" s="89"/>
      <c r="AI719" s="89"/>
      <c r="AJ719" s="89"/>
      <c r="AK719" s="89"/>
      <c r="AL719" s="89"/>
      <c r="AM719" s="89"/>
      <c r="AN719" s="89"/>
    </row>
    <row r="720" spans="3:40" ht="24">
      <c r="C720" s="90"/>
      <c r="D720" s="493">
        <v>45589</v>
      </c>
      <c r="E720" s="98" t="s">
        <v>978</v>
      </c>
      <c r="F720" s="98" t="s">
        <v>979</v>
      </c>
      <c r="G720" s="98" t="s">
        <v>980</v>
      </c>
      <c r="H720" s="850">
        <v>0.52083333333333337</v>
      </c>
      <c r="I720" s="1440"/>
      <c r="J720" s="1246"/>
      <c r="K720" s="1441"/>
      <c r="L720" s="857">
        <v>0.3125</v>
      </c>
      <c r="M720" s="466"/>
      <c r="N720" s="162"/>
      <c r="O720" s="115"/>
      <c r="P720" s="116"/>
      <c r="Q720" s="149"/>
      <c r="R720" s="150"/>
      <c r="S720" s="139"/>
      <c r="T720" s="116"/>
      <c r="U720" s="151"/>
      <c r="V720" s="152"/>
      <c r="W720" s="119"/>
      <c r="X720" s="153"/>
      <c r="Y720" s="154"/>
      <c r="Z720" s="154"/>
      <c r="AA720" s="89"/>
      <c r="AB720" s="89"/>
      <c r="AC720" s="89"/>
      <c r="AD720" s="89"/>
      <c r="AE720" s="89"/>
      <c r="AF720" s="89"/>
      <c r="AG720" s="89"/>
      <c r="AH720" s="89"/>
      <c r="AI720" s="89"/>
      <c r="AJ720" s="89"/>
      <c r="AK720" s="89"/>
      <c r="AL720" s="89"/>
      <c r="AM720" s="89"/>
      <c r="AN720" s="89"/>
    </row>
    <row r="721" spans="3:40" ht="24">
      <c r="C721" s="90"/>
      <c r="D721" s="493">
        <v>45582</v>
      </c>
      <c r="E721" s="98" t="s">
        <v>981</v>
      </c>
      <c r="F721" s="98" t="s">
        <v>981</v>
      </c>
      <c r="G721" s="98" t="s">
        <v>982</v>
      </c>
      <c r="H721" s="850">
        <v>0.52083333333333337</v>
      </c>
      <c r="I721" s="1440"/>
      <c r="J721" s="1246"/>
      <c r="K721" s="1441"/>
      <c r="L721" s="857">
        <v>0.3125</v>
      </c>
      <c r="M721" s="466"/>
      <c r="N721" s="162"/>
      <c r="O721" s="115"/>
      <c r="P721" s="116"/>
      <c r="Q721" s="149"/>
      <c r="R721" s="150"/>
      <c r="S721" s="119"/>
      <c r="T721" s="116"/>
      <c r="U721" s="151"/>
      <c r="V721" s="152"/>
      <c r="W721" s="119"/>
      <c r="X721" s="153"/>
      <c r="Y721" s="154"/>
      <c r="Z721" s="154"/>
      <c r="AA721" s="89"/>
      <c r="AB721" s="89"/>
      <c r="AC721" s="89"/>
      <c r="AD721" s="89"/>
      <c r="AE721" s="89"/>
      <c r="AF721" s="89"/>
      <c r="AG721" s="89"/>
      <c r="AH721" s="89"/>
      <c r="AI721" s="89"/>
      <c r="AJ721" s="89"/>
      <c r="AK721" s="89"/>
      <c r="AL721" s="89"/>
      <c r="AM721" s="89"/>
      <c r="AN721" s="89"/>
    </row>
    <row r="722" spans="3:40" ht="24">
      <c r="C722" s="90"/>
      <c r="D722" s="493">
        <v>45575</v>
      </c>
      <c r="E722" s="98" t="s">
        <v>983</v>
      </c>
      <c r="F722" s="98" t="s">
        <v>984</v>
      </c>
      <c r="G722" s="98" t="s">
        <v>985</v>
      </c>
      <c r="H722" s="850">
        <v>0.52083333333333337</v>
      </c>
      <c r="I722" s="1440"/>
      <c r="J722" s="1246"/>
      <c r="K722" s="1441"/>
      <c r="L722" s="857">
        <v>0.3125</v>
      </c>
      <c r="M722" s="466"/>
      <c r="N722" s="162"/>
      <c r="O722" s="89"/>
      <c r="P722" s="89"/>
      <c r="Q722" s="89"/>
      <c r="R722" s="89"/>
      <c r="S722" s="89"/>
      <c r="T722" s="89"/>
      <c r="U722" s="89"/>
      <c r="V722" s="89"/>
      <c r="W722" s="89"/>
      <c r="X722" s="89"/>
      <c r="Y722" s="89"/>
      <c r="Z722" s="89"/>
      <c r="AA722" s="89"/>
      <c r="AB722" s="89"/>
      <c r="AC722" s="89"/>
      <c r="AD722" s="89"/>
      <c r="AE722" s="89"/>
      <c r="AF722" s="89"/>
      <c r="AG722" s="89"/>
      <c r="AH722" s="89"/>
      <c r="AI722" s="89"/>
      <c r="AJ722" s="89"/>
      <c r="AK722" s="89"/>
      <c r="AL722" s="89"/>
      <c r="AM722" s="89"/>
      <c r="AN722" s="89"/>
    </row>
    <row r="723" spans="3:40" ht="25" thickBot="1">
      <c r="C723" s="90"/>
      <c r="D723" s="493">
        <v>45568</v>
      </c>
      <c r="E723" s="98" t="s">
        <v>985</v>
      </c>
      <c r="F723" s="98" t="s">
        <v>986</v>
      </c>
      <c r="G723" s="98" t="s">
        <v>987</v>
      </c>
      <c r="H723" s="858">
        <v>0.52083333333333337</v>
      </c>
      <c r="I723" s="1442"/>
      <c r="J723" s="1249"/>
      <c r="K723" s="1443"/>
      <c r="L723" s="859">
        <v>0.3125</v>
      </c>
      <c r="M723" s="469"/>
      <c r="N723" s="162"/>
      <c r="O723" s="89"/>
      <c r="P723" s="89"/>
      <c r="Q723" s="89"/>
      <c r="R723" s="89"/>
      <c r="S723" s="89"/>
      <c r="T723" s="89"/>
      <c r="U723" s="89"/>
      <c r="V723" s="89"/>
      <c r="W723" s="89"/>
      <c r="X723" s="89"/>
      <c r="Y723" s="89"/>
      <c r="Z723" s="89"/>
      <c r="AA723" s="89"/>
      <c r="AB723" s="89"/>
      <c r="AC723" s="89"/>
      <c r="AD723" s="89"/>
      <c r="AE723" s="89"/>
      <c r="AF723" s="89"/>
      <c r="AG723" s="89"/>
      <c r="AH723" s="89"/>
      <c r="AI723" s="89"/>
      <c r="AJ723" s="89"/>
      <c r="AK723" s="89"/>
      <c r="AL723" s="89"/>
      <c r="AM723" s="89"/>
      <c r="AN723" s="89"/>
    </row>
    <row r="724" spans="3:40" ht="49" thickBot="1">
      <c r="C724" s="90">
        <v>6</v>
      </c>
      <c r="D724" s="494" t="s">
        <v>30</v>
      </c>
      <c r="E724" s="1429" t="s">
        <v>956</v>
      </c>
      <c r="F724" s="1430"/>
      <c r="G724" s="1431"/>
      <c r="H724" s="844" t="s">
        <v>790</v>
      </c>
      <c r="I724" s="1432" t="s">
        <v>633</v>
      </c>
      <c r="J724" s="1433"/>
      <c r="K724" s="1434"/>
      <c r="L724" s="845" t="s">
        <v>430</v>
      </c>
      <c r="M724" s="465" t="s">
        <v>431</v>
      </c>
      <c r="N724" s="162" t="s">
        <v>105</v>
      </c>
      <c r="O724" s="114" t="s">
        <v>800</v>
      </c>
      <c r="P724" s="114" t="s">
        <v>801</v>
      </c>
      <c r="Q724" s="114" t="s">
        <v>802</v>
      </c>
      <c r="R724" s="114" t="s">
        <v>803</v>
      </c>
      <c r="S724" s="114" t="s">
        <v>804</v>
      </c>
      <c r="T724" s="114" t="s">
        <v>805</v>
      </c>
      <c r="U724" s="114" t="s">
        <v>806</v>
      </c>
      <c r="V724" s="114" t="s">
        <v>807</v>
      </c>
      <c r="W724" s="114" t="s">
        <v>808</v>
      </c>
      <c r="X724" s="114" t="s">
        <v>809</v>
      </c>
      <c r="Y724" s="114" t="s">
        <v>75</v>
      </c>
      <c r="Z724" s="114" t="s">
        <v>75</v>
      </c>
      <c r="AA724" s="89"/>
      <c r="AB724" s="89"/>
      <c r="AC724" s="89"/>
      <c r="AD724" s="89"/>
      <c r="AE724" s="89"/>
      <c r="AF724" s="89"/>
      <c r="AG724" s="89"/>
      <c r="AH724" s="89"/>
      <c r="AI724" s="89"/>
      <c r="AJ724" s="89"/>
      <c r="AK724" s="89"/>
      <c r="AL724" s="89"/>
      <c r="AM724" s="89"/>
      <c r="AN724" s="89"/>
    </row>
    <row r="725" spans="3:40" ht="24">
      <c r="C725" s="162"/>
      <c r="D725" s="489" t="s">
        <v>432</v>
      </c>
      <c r="E725" s="1435"/>
      <c r="F725" s="1436"/>
      <c r="G725" s="1437"/>
      <c r="H725" s="846" t="s">
        <v>794</v>
      </c>
      <c r="I725" s="1438" t="s">
        <v>957</v>
      </c>
      <c r="J725" s="1243"/>
      <c r="K725" s="1439"/>
      <c r="L725" s="835"/>
      <c r="M725" s="466"/>
      <c r="N725" s="162"/>
      <c r="O725" s="115" t="s">
        <v>810</v>
      </c>
      <c r="P725" s="163">
        <v>0.1</v>
      </c>
      <c r="Q725" s="164">
        <v>2.7E-2</v>
      </c>
      <c r="R725" s="165">
        <v>1.5999999999991132E-2</v>
      </c>
      <c r="S725" s="119"/>
      <c r="T725" s="115">
        <v>5.6499999999991134E-2</v>
      </c>
      <c r="U725" s="164">
        <v>-13.31</v>
      </c>
      <c r="V725" s="163">
        <v>91.8</v>
      </c>
      <c r="W725" s="166">
        <v>2</v>
      </c>
      <c r="X725" s="153">
        <v>26.62</v>
      </c>
      <c r="Y725" s="120"/>
      <c r="Z725" s="120"/>
      <c r="AA725" s="89"/>
      <c r="AB725" s="89"/>
      <c r="AC725" s="89"/>
      <c r="AD725" s="89"/>
      <c r="AE725" s="89"/>
      <c r="AF725" s="89"/>
      <c r="AG725" s="89"/>
      <c r="AH725" s="89"/>
      <c r="AI725" s="89"/>
      <c r="AJ725" s="89"/>
      <c r="AK725" s="89"/>
      <c r="AL725" s="89"/>
      <c r="AM725" s="89"/>
      <c r="AN725" s="89"/>
    </row>
    <row r="726" spans="3:40" ht="24">
      <c r="C726" s="162"/>
      <c r="D726" s="490" t="s">
        <v>433</v>
      </c>
      <c r="E726" s="1444">
        <v>2E-3</v>
      </c>
      <c r="F726" s="1445"/>
      <c r="G726" s="1446"/>
      <c r="H726" s="846" t="s">
        <v>795</v>
      </c>
      <c r="I726" s="1440"/>
      <c r="J726" s="1246"/>
      <c r="K726" s="1441"/>
      <c r="L726" s="835"/>
      <c r="M726" s="466"/>
      <c r="N726" s="162"/>
      <c r="O726" s="121"/>
      <c r="P726" s="121"/>
      <c r="Q726" s="121"/>
      <c r="R726" s="122"/>
      <c r="S726" s="123"/>
      <c r="T726" s="121"/>
      <c r="U726" s="121"/>
      <c r="V726" s="121"/>
      <c r="W726" s="123"/>
      <c r="X726" s="123"/>
      <c r="Y726" s="124"/>
      <c r="Z726" s="124"/>
      <c r="AA726" s="89"/>
      <c r="AB726" s="89"/>
      <c r="AC726" s="89"/>
      <c r="AD726" s="89"/>
      <c r="AE726" s="89"/>
      <c r="AF726" s="89"/>
      <c r="AG726" s="89"/>
      <c r="AH726" s="89"/>
      <c r="AI726" s="89"/>
      <c r="AJ726" s="89"/>
      <c r="AK726" s="89"/>
      <c r="AL726" s="89"/>
      <c r="AM726" s="89"/>
      <c r="AN726" s="89"/>
    </row>
    <row r="727" spans="3:40" ht="24">
      <c r="C727" s="162"/>
      <c r="D727" s="490" t="s">
        <v>434</v>
      </c>
      <c r="E727" s="1444">
        <v>0</v>
      </c>
      <c r="F727" s="1445"/>
      <c r="G727" s="1446"/>
      <c r="H727" s="847"/>
      <c r="I727" s="1440"/>
      <c r="J727" s="1246"/>
      <c r="K727" s="1441"/>
      <c r="L727" s="835"/>
      <c r="M727" s="466"/>
      <c r="N727" s="162"/>
      <c r="O727" s="125" t="s">
        <v>811</v>
      </c>
      <c r="P727" s="167">
        <v>0.1</v>
      </c>
      <c r="Q727" s="168">
        <v>4.7899999999999998E-2</v>
      </c>
      <c r="R727" s="169">
        <v>1.7000000000000001E-2</v>
      </c>
      <c r="S727" s="129">
        <v>1</v>
      </c>
      <c r="T727" s="125">
        <v>8.8849999999999998E-2</v>
      </c>
      <c r="U727" s="130">
        <v>-20.93085840708293</v>
      </c>
      <c r="V727" s="131">
        <v>60.5</v>
      </c>
      <c r="W727" s="170">
        <v>2.2000000000000002</v>
      </c>
      <c r="X727" s="133">
        <v>46.047888495582448</v>
      </c>
      <c r="Y727" s="134"/>
      <c r="Z727" s="134">
        <v>4.4350000000000005</v>
      </c>
      <c r="AA727" s="89"/>
      <c r="AB727" s="89"/>
      <c r="AC727" s="89"/>
      <c r="AD727" s="89"/>
      <c r="AE727" s="89"/>
      <c r="AF727" s="89"/>
      <c r="AG727" s="89"/>
      <c r="AH727" s="89"/>
      <c r="AI727" s="89"/>
      <c r="AJ727" s="89"/>
      <c r="AK727" s="89"/>
      <c r="AL727" s="89"/>
      <c r="AM727" s="89"/>
      <c r="AN727" s="89"/>
    </row>
    <row r="728" spans="3:40" ht="25" thickBot="1">
      <c r="C728" s="162"/>
      <c r="D728" s="491" t="s">
        <v>435</v>
      </c>
      <c r="E728" s="1447">
        <v>0.5625</v>
      </c>
      <c r="F728" s="1448"/>
      <c r="G728" s="1449"/>
      <c r="H728" s="847"/>
      <c r="I728" s="1440"/>
      <c r="J728" s="1246"/>
      <c r="K728" s="1441"/>
      <c r="L728" s="836">
        <v>0.79166666666666663</v>
      </c>
      <c r="M728" s="467">
        <v>0.64583333333333326</v>
      </c>
      <c r="N728" s="162"/>
      <c r="O728" s="135" t="s">
        <v>812</v>
      </c>
      <c r="P728" s="171">
        <v>0.1</v>
      </c>
      <c r="Q728" s="156">
        <v>7.2866666666666663E-2</v>
      </c>
      <c r="R728" s="172">
        <v>1.7000000000000001E-2</v>
      </c>
      <c r="S728" s="139">
        <v>1</v>
      </c>
      <c r="T728" s="173">
        <v>0.1263</v>
      </c>
      <c r="U728" s="140">
        <v>-29.753150442482543</v>
      </c>
      <c r="V728" s="141">
        <v>60.5</v>
      </c>
      <c r="W728" s="210">
        <v>3.282</v>
      </c>
      <c r="X728" s="143">
        <v>97.649839752227706</v>
      </c>
      <c r="Y728" s="144"/>
      <c r="Z728" s="144"/>
      <c r="AA728" s="89"/>
      <c r="AB728" s="89"/>
      <c r="AC728" s="89"/>
      <c r="AD728" s="89"/>
      <c r="AE728" s="89"/>
      <c r="AF728" s="89"/>
      <c r="AG728" s="89"/>
      <c r="AH728" s="89"/>
      <c r="AI728" s="89"/>
      <c r="AJ728" s="89"/>
      <c r="AK728" s="89"/>
      <c r="AL728" s="89"/>
      <c r="AM728" s="89"/>
      <c r="AN728" s="89"/>
    </row>
    <row r="729" spans="3:40" ht="25" thickBot="1">
      <c r="C729" s="162"/>
      <c r="D729" s="492" t="s">
        <v>436</v>
      </c>
      <c r="E729" s="92" t="s">
        <v>29</v>
      </c>
      <c r="F729" s="92" t="s">
        <v>28</v>
      </c>
      <c r="G729" s="93" t="s">
        <v>27</v>
      </c>
      <c r="H729" s="855" t="s">
        <v>793</v>
      </c>
      <c r="I729" s="1440"/>
      <c r="J729" s="1246"/>
      <c r="K729" s="1441"/>
      <c r="L729" s="856" t="s">
        <v>1002</v>
      </c>
      <c r="M729" s="470"/>
      <c r="N729" s="162"/>
      <c r="O729" s="123"/>
      <c r="P729" s="145"/>
      <c r="Q729" s="123"/>
      <c r="R729" s="123"/>
      <c r="S729" s="123"/>
      <c r="T729" s="123"/>
      <c r="U729" s="146"/>
      <c r="V729" s="147"/>
      <c r="W729" s="123"/>
      <c r="X729" s="146"/>
      <c r="Y729" s="124"/>
      <c r="Z729" s="124"/>
      <c r="AA729" s="89"/>
      <c r="AB729" s="89"/>
      <c r="AC729" s="89"/>
      <c r="AD729" s="89"/>
      <c r="AE729" s="89"/>
      <c r="AF729" s="89"/>
      <c r="AG729" s="89"/>
      <c r="AH729" s="89"/>
      <c r="AI729" s="89"/>
      <c r="AJ729" s="89"/>
      <c r="AK729" s="89"/>
      <c r="AL729" s="89"/>
      <c r="AM729" s="89"/>
      <c r="AN729" s="89"/>
    </row>
    <row r="730" spans="3:40" ht="24">
      <c r="C730" s="162"/>
      <c r="D730" s="493">
        <v>45576</v>
      </c>
      <c r="E730" s="98">
        <v>0</v>
      </c>
      <c r="F730" s="98" t="s">
        <v>462</v>
      </c>
      <c r="G730" s="98">
        <v>2E-3</v>
      </c>
      <c r="H730" s="850">
        <v>0.52083333333333337</v>
      </c>
      <c r="I730" s="1440"/>
      <c r="J730" s="1246"/>
      <c r="K730" s="1441"/>
      <c r="L730" s="857">
        <v>0.3125</v>
      </c>
      <c r="M730" s="471"/>
      <c r="N730" s="162"/>
      <c r="O730" s="148"/>
      <c r="P730" s="124"/>
      <c r="Q730" s="148"/>
      <c r="R730" s="148"/>
      <c r="S730" s="148"/>
      <c r="T730" s="148"/>
      <c r="U730" s="148"/>
      <c r="V730" s="148"/>
      <c r="W730" s="148"/>
      <c r="X730" s="148"/>
      <c r="Y730" s="124"/>
      <c r="Z730" s="124"/>
      <c r="AA730" s="89"/>
      <c r="AB730" s="89"/>
      <c r="AC730" s="89"/>
      <c r="AD730" s="89"/>
      <c r="AE730" s="89"/>
      <c r="AF730" s="89"/>
      <c r="AG730" s="89"/>
      <c r="AH730" s="89"/>
      <c r="AI730" s="89"/>
      <c r="AJ730" s="89"/>
      <c r="AK730" s="89"/>
      <c r="AL730" s="89"/>
      <c r="AM730" s="89"/>
      <c r="AN730" s="89"/>
    </row>
    <row r="731" spans="3:40" ht="24">
      <c r="C731" s="162"/>
      <c r="D731" s="493">
        <v>45547</v>
      </c>
      <c r="E731" s="98">
        <v>2E-3</v>
      </c>
      <c r="F731" s="98" t="s">
        <v>462</v>
      </c>
      <c r="G731" s="98">
        <v>0</v>
      </c>
      <c r="H731" s="850">
        <v>0.52083333333333337</v>
      </c>
      <c r="I731" s="1440"/>
      <c r="J731" s="1246"/>
      <c r="K731" s="1441"/>
      <c r="L731" s="857">
        <v>0.3125</v>
      </c>
      <c r="M731" s="472"/>
      <c r="N731" s="162"/>
      <c r="O731" s="115" t="s">
        <v>813</v>
      </c>
      <c r="P731" s="163">
        <v>0.1</v>
      </c>
      <c r="Q731" s="149">
        <v>6.0383333333333331E-2</v>
      </c>
      <c r="R731" s="150">
        <v>1.7000000000000001E-2</v>
      </c>
      <c r="S731" s="119">
        <v>1</v>
      </c>
      <c r="T731" s="125">
        <v>0.10757499999999999</v>
      </c>
      <c r="U731" s="151">
        <v>-25.342004424782736</v>
      </c>
      <c r="V731" s="152">
        <v>60.5</v>
      </c>
      <c r="W731" s="119">
        <v>2</v>
      </c>
      <c r="X731" s="153">
        <v>50.684008849565473</v>
      </c>
      <c r="Y731" s="154"/>
      <c r="Z731" s="154"/>
      <c r="AA731" s="89"/>
      <c r="AB731" s="89"/>
      <c r="AC731" s="89"/>
      <c r="AD731" s="89"/>
      <c r="AE731" s="89"/>
      <c r="AF731" s="89"/>
      <c r="AG731" s="89"/>
      <c r="AH731" s="89"/>
      <c r="AI731" s="89"/>
      <c r="AJ731" s="89"/>
      <c r="AK731" s="89"/>
      <c r="AL731" s="89"/>
      <c r="AM731" s="89"/>
      <c r="AN731" s="89"/>
    </row>
    <row r="732" spans="3:40" ht="24">
      <c r="C732" s="162"/>
      <c r="D732" s="493">
        <v>45517</v>
      </c>
      <c r="E732" s="98">
        <v>1E-3</v>
      </c>
      <c r="F732" s="98" t="s">
        <v>460</v>
      </c>
      <c r="G732" s="98">
        <v>2E-3</v>
      </c>
      <c r="H732" s="850">
        <v>0.52083333333333337</v>
      </c>
      <c r="I732" s="1440"/>
      <c r="J732" s="1246"/>
      <c r="K732" s="1441"/>
      <c r="L732" s="857">
        <v>0.3125</v>
      </c>
      <c r="M732" s="466"/>
      <c r="N732" s="162"/>
      <c r="O732" s="115" t="s">
        <v>813</v>
      </c>
      <c r="P732" s="163">
        <v>0.1</v>
      </c>
      <c r="Q732" s="149">
        <v>7.2866666666666663E-2</v>
      </c>
      <c r="R732" s="150">
        <v>0</v>
      </c>
      <c r="S732" s="119">
        <v>1</v>
      </c>
      <c r="T732" s="125">
        <v>0.10929999999999999</v>
      </c>
      <c r="U732" s="151">
        <v>-25.748371681419972</v>
      </c>
      <c r="V732" s="152">
        <v>60.5</v>
      </c>
      <c r="W732" s="119">
        <v>2</v>
      </c>
      <c r="X732" s="153">
        <v>51.496743362839943</v>
      </c>
      <c r="Y732" s="154"/>
      <c r="Z732" s="154"/>
      <c r="AA732" s="89"/>
      <c r="AB732" s="89"/>
      <c r="AC732" s="89"/>
      <c r="AD732" s="89"/>
      <c r="AE732" s="89"/>
      <c r="AF732" s="89"/>
      <c r="AG732" s="89"/>
      <c r="AH732" s="89"/>
      <c r="AI732" s="89"/>
      <c r="AJ732" s="89"/>
      <c r="AK732" s="89"/>
      <c r="AL732" s="89"/>
      <c r="AM732" s="89"/>
      <c r="AN732" s="89"/>
    </row>
    <row r="733" spans="3:40" ht="24">
      <c r="C733" s="162"/>
      <c r="D733" s="493">
        <v>45485</v>
      </c>
      <c r="E733" s="98">
        <v>2E-3</v>
      </c>
      <c r="F733" s="98" t="s">
        <v>462</v>
      </c>
      <c r="G733" s="98">
        <v>0</v>
      </c>
      <c r="H733" s="850">
        <v>0.52083333333333337</v>
      </c>
      <c r="I733" s="1440"/>
      <c r="J733" s="1246"/>
      <c r="K733" s="1441"/>
      <c r="L733" s="857">
        <v>0.3125</v>
      </c>
      <c r="M733" s="466"/>
      <c r="N733" s="162"/>
      <c r="O733" s="115" t="s">
        <v>816</v>
      </c>
      <c r="P733" s="116"/>
      <c r="Q733" s="149"/>
      <c r="R733" s="150"/>
      <c r="S733" s="119"/>
      <c r="T733" s="116"/>
      <c r="U733" s="151"/>
      <c r="V733" s="152"/>
      <c r="W733" s="119"/>
      <c r="X733" s="153"/>
      <c r="Y733" s="154"/>
      <c r="Z733" s="154"/>
      <c r="AA733" s="89"/>
      <c r="AB733" s="89"/>
      <c r="AC733" s="89"/>
      <c r="AD733" s="89"/>
      <c r="AE733" s="89"/>
      <c r="AF733" s="89"/>
      <c r="AG733" s="89"/>
      <c r="AH733" s="89"/>
      <c r="AI733" s="89"/>
      <c r="AJ733" s="89"/>
      <c r="AK733" s="89"/>
      <c r="AL733" s="89"/>
      <c r="AM733" s="89"/>
      <c r="AN733" s="89"/>
    </row>
    <row r="734" spans="3:40" ht="24">
      <c r="C734" s="162"/>
      <c r="D734" s="493">
        <v>45456</v>
      </c>
      <c r="E734" s="98">
        <v>-2E-3</v>
      </c>
      <c r="F734" s="98" t="s">
        <v>462</v>
      </c>
      <c r="G734" s="98">
        <v>5.0000000000000001E-3</v>
      </c>
      <c r="H734" s="850">
        <v>0.52083333333333337</v>
      </c>
      <c r="I734" s="1440"/>
      <c r="J734" s="1246"/>
      <c r="K734" s="1441"/>
      <c r="L734" s="857">
        <v>0.3125</v>
      </c>
      <c r="M734" s="466"/>
      <c r="N734" s="162"/>
      <c r="O734" s="89"/>
      <c r="P734" s="89"/>
      <c r="Q734" s="89"/>
      <c r="R734" s="89"/>
      <c r="S734" s="89"/>
      <c r="T734" s="89"/>
      <c r="U734" s="89"/>
      <c r="V734" s="89"/>
      <c r="W734" s="89"/>
      <c r="X734" s="89"/>
      <c r="Y734" s="89"/>
      <c r="Z734" s="89"/>
      <c r="AA734" s="89"/>
      <c r="AB734" s="89"/>
      <c r="AC734" s="89"/>
      <c r="AD734" s="89"/>
      <c r="AE734" s="89"/>
      <c r="AF734" s="89"/>
      <c r="AG734" s="89"/>
      <c r="AH734" s="89"/>
      <c r="AI734" s="89"/>
      <c r="AJ734" s="89"/>
      <c r="AK734" s="89"/>
      <c r="AL734" s="89"/>
      <c r="AM734" s="89"/>
      <c r="AN734" s="89"/>
    </row>
    <row r="735" spans="3:40" ht="25" thickBot="1">
      <c r="C735" s="162"/>
      <c r="D735" s="493">
        <v>45426</v>
      </c>
      <c r="E735" s="98">
        <v>5.0000000000000001E-3</v>
      </c>
      <c r="F735" s="98" t="s">
        <v>467</v>
      </c>
      <c r="G735" s="98">
        <v>-1E-3</v>
      </c>
      <c r="H735" s="858">
        <v>0.52083333333333337</v>
      </c>
      <c r="I735" s="1442"/>
      <c r="J735" s="1249"/>
      <c r="K735" s="1443"/>
      <c r="L735" s="859">
        <v>0.3125</v>
      </c>
      <c r="M735" s="469"/>
      <c r="N735" s="162"/>
      <c r="O735" s="89"/>
      <c r="P735" s="89"/>
      <c r="Q735" s="89"/>
      <c r="R735" s="89"/>
      <c r="S735" s="89"/>
      <c r="T735" s="89"/>
      <c r="U735" s="89"/>
      <c r="V735" s="89"/>
      <c r="W735" s="89"/>
      <c r="X735" s="89"/>
      <c r="Y735" s="89"/>
      <c r="Z735" s="89"/>
      <c r="AA735" s="89"/>
      <c r="AB735" s="89"/>
      <c r="AC735" s="89"/>
      <c r="AD735" s="89"/>
      <c r="AE735" s="89"/>
      <c r="AF735" s="89"/>
      <c r="AG735" s="89"/>
      <c r="AH735" s="89"/>
      <c r="AI735" s="89"/>
      <c r="AJ735" s="89"/>
      <c r="AK735" s="89"/>
      <c r="AL735" s="89"/>
      <c r="AM735" s="89"/>
      <c r="AN735" s="89"/>
    </row>
    <row r="736" spans="3:40" ht="49" thickBot="1">
      <c r="C736" s="90">
        <v>7</v>
      </c>
      <c r="D736" s="494" t="s">
        <v>30</v>
      </c>
      <c r="E736" s="1429" t="s">
        <v>9</v>
      </c>
      <c r="F736" s="1430"/>
      <c r="G736" s="1431"/>
      <c r="H736" s="844" t="s">
        <v>790</v>
      </c>
      <c r="I736" s="1432" t="s">
        <v>633</v>
      </c>
      <c r="J736" s="1433"/>
      <c r="K736" s="1434"/>
      <c r="L736" s="845" t="s">
        <v>430</v>
      </c>
      <c r="M736" s="465" t="s">
        <v>431</v>
      </c>
      <c r="N736" s="162" t="s">
        <v>105</v>
      </c>
      <c r="O736" s="114" t="s">
        <v>800</v>
      </c>
      <c r="P736" s="114" t="s">
        <v>801</v>
      </c>
      <c r="Q736" s="114" t="s">
        <v>802</v>
      </c>
      <c r="R736" s="114" t="s">
        <v>803</v>
      </c>
      <c r="S736" s="114" t="s">
        <v>804</v>
      </c>
      <c r="T736" s="114" t="s">
        <v>805</v>
      </c>
      <c r="U736" s="114" t="s">
        <v>806</v>
      </c>
      <c r="V736" s="114" t="s">
        <v>807</v>
      </c>
      <c r="W736" s="114" t="s">
        <v>808</v>
      </c>
      <c r="X736" s="114" t="s">
        <v>809</v>
      </c>
      <c r="Y736" s="114" t="s">
        <v>75</v>
      </c>
      <c r="Z736" s="114" t="s">
        <v>75</v>
      </c>
      <c r="AA736" s="89"/>
      <c r="AB736" s="89"/>
      <c r="AC736" s="89"/>
      <c r="AD736" s="89"/>
      <c r="AE736" s="89"/>
      <c r="AF736" s="89"/>
      <c r="AG736" s="89"/>
      <c r="AH736" s="89"/>
      <c r="AI736" s="89"/>
      <c r="AJ736" s="89"/>
      <c r="AK736" s="89"/>
      <c r="AL736" s="89"/>
      <c r="AM736" s="89"/>
      <c r="AN736" s="89"/>
    </row>
    <row r="737" spans="3:40" ht="24">
      <c r="C737" s="162"/>
      <c r="D737" s="489" t="s">
        <v>432</v>
      </c>
      <c r="E737" s="1435"/>
      <c r="F737" s="1436"/>
      <c r="G737" s="1437"/>
      <c r="H737" s="846" t="s">
        <v>796</v>
      </c>
      <c r="I737" s="1438" t="s">
        <v>926</v>
      </c>
      <c r="J737" s="1243"/>
      <c r="K737" s="1439"/>
      <c r="L737" s="835"/>
      <c r="M737" s="466"/>
      <c r="N737" s="162"/>
      <c r="O737" s="115" t="s">
        <v>810</v>
      </c>
      <c r="P737" s="163">
        <v>0.1</v>
      </c>
      <c r="Q737" s="164">
        <v>2.1999999999999999E-2</v>
      </c>
      <c r="R737" s="165">
        <v>3.0000000000001137E-2</v>
      </c>
      <c r="S737" s="119"/>
      <c r="T737" s="115">
        <v>6.3000000000001138E-2</v>
      </c>
      <c r="U737" s="164">
        <v>-15.02</v>
      </c>
      <c r="V737" s="163">
        <v>99.37</v>
      </c>
      <c r="W737" s="163"/>
      <c r="X737" s="153"/>
      <c r="Y737" s="120"/>
      <c r="Z737" s="120"/>
      <c r="AA737" s="89"/>
      <c r="AB737" s="89"/>
      <c r="AC737" s="89"/>
      <c r="AD737" s="89"/>
      <c r="AE737" s="89"/>
      <c r="AF737" s="89"/>
      <c r="AG737" s="89"/>
      <c r="AH737" s="89"/>
      <c r="AI737" s="89"/>
      <c r="AJ737" s="89"/>
      <c r="AK737" s="89"/>
      <c r="AL737" s="89"/>
      <c r="AM737" s="89"/>
      <c r="AN737" s="89"/>
    </row>
    <row r="738" spans="3:40" ht="24">
      <c r="C738" s="162"/>
      <c r="D738" s="490" t="s">
        <v>433</v>
      </c>
      <c r="E738" s="1444"/>
      <c r="F738" s="1445"/>
      <c r="G738" s="1446"/>
      <c r="H738" s="846" t="s">
        <v>796</v>
      </c>
      <c r="I738" s="1440"/>
      <c r="J738" s="1246"/>
      <c r="K738" s="1441"/>
      <c r="L738" s="835"/>
      <c r="M738" s="466"/>
      <c r="N738" s="162"/>
      <c r="O738" s="121"/>
      <c r="P738" s="121"/>
      <c r="Q738" s="121"/>
      <c r="R738" s="122"/>
      <c r="S738" s="123"/>
      <c r="T738" s="121"/>
      <c r="U738" s="121"/>
      <c r="V738" s="121"/>
      <c r="W738" s="121"/>
      <c r="X738" s="123"/>
      <c r="Y738" s="124"/>
      <c r="Z738" s="124"/>
      <c r="AA738" s="89"/>
      <c r="AB738" s="89"/>
      <c r="AC738" s="89"/>
      <c r="AD738" s="89"/>
      <c r="AE738" s="89"/>
      <c r="AF738" s="89"/>
      <c r="AG738" s="89"/>
      <c r="AH738" s="89"/>
      <c r="AI738" s="89"/>
      <c r="AJ738" s="89"/>
      <c r="AK738" s="89"/>
      <c r="AL738" s="89"/>
      <c r="AM738" s="89"/>
      <c r="AN738" s="89"/>
    </row>
    <row r="739" spans="3:40" ht="24">
      <c r="C739" s="162"/>
      <c r="D739" s="490" t="s">
        <v>434</v>
      </c>
      <c r="E739" s="1444" t="s">
        <v>958</v>
      </c>
      <c r="F739" s="1445"/>
      <c r="G739" s="1446"/>
      <c r="H739" s="847"/>
      <c r="I739" s="1440"/>
      <c r="J739" s="1246"/>
      <c r="K739" s="1441"/>
      <c r="L739" s="835"/>
      <c r="M739" s="466"/>
      <c r="N739" s="162"/>
      <c r="O739" s="125" t="s">
        <v>811</v>
      </c>
      <c r="P739" s="167">
        <v>0.1</v>
      </c>
      <c r="Q739" s="168">
        <v>6.4100000000000004E-2</v>
      </c>
      <c r="R739" s="169">
        <v>3.0000000000001137E-2</v>
      </c>
      <c r="S739" s="179">
        <v>1</v>
      </c>
      <c r="T739" s="125">
        <v>0.12615000000000115</v>
      </c>
      <c r="U739" s="130">
        <v>-30.075761904761638</v>
      </c>
      <c r="V739" s="131">
        <v>60.5</v>
      </c>
      <c r="W739" s="180">
        <v>2.39</v>
      </c>
      <c r="X739" s="133">
        <v>71.881070952380313</v>
      </c>
      <c r="Y739" s="134"/>
      <c r="Z739" s="134"/>
      <c r="AA739" s="89"/>
      <c r="AB739" s="89"/>
      <c r="AC739" s="89"/>
      <c r="AD739" s="89"/>
      <c r="AE739" s="89"/>
      <c r="AF739" s="89"/>
      <c r="AG739" s="89"/>
      <c r="AH739" s="89"/>
      <c r="AI739" s="89"/>
      <c r="AJ739" s="89"/>
      <c r="AK739" s="89"/>
      <c r="AL739" s="89"/>
      <c r="AM739" s="89"/>
      <c r="AN739" s="89"/>
    </row>
    <row r="740" spans="3:40" ht="25" thickBot="1">
      <c r="C740" s="162"/>
      <c r="D740" s="491" t="s">
        <v>435</v>
      </c>
      <c r="E740" s="1447">
        <v>0.66666666666666674</v>
      </c>
      <c r="F740" s="1448"/>
      <c r="G740" s="1449"/>
      <c r="H740" s="860"/>
      <c r="I740" s="1440"/>
      <c r="J740" s="1246"/>
      <c r="K740" s="1441"/>
      <c r="L740" s="836">
        <v>0.89583333333333337</v>
      </c>
      <c r="M740" s="467">
        <v>0.75</v>
      </c>
      <c r="N740" s="162"/>
      <c r="O740" s="135" t="s">
        <v>812</v>
      </c>
      <c r="P740" s="171">
        <v>0.1</v>
      </c>
      <c r="Q740" s="156">
        <v>7.6066666666665908E-2</v>
      </c>
      <c r="R740" s="172">
        <v>3.0000000000001137E-2</v>
      </c>
      <c r="S740" s="181">
        <v>1</v>
      </c>
      <c r="T740" s="173">
        <v>0.14410000000000001</v>
      </c>
      <c r="U740" s="140">
        <v>-34.355269841269219</v>
      </c>
      <c r="V740" s="141">
        <v>60.5</v>
      </c>
      <c r="W740" s="182">
        <v>2.08</v>
      </c>
      <c r="X740" s="143">
        <v>71.458961269839975</v>
      </c>
      <c r="Y740" s="144"/>
      <c r="Z740" s="144"/>
      <c r="AA740" s="89"/>
      <c r="AB740" s="89"/>
      <c r="AC740" s="89"/>
      <c r="AD740" s="89"/>
      <c r="AE740" s="89"/>
      <c r="AF740" s="89"/>
      <c r="AG740" s="89"/>
      <c r="AH740" s="89"/>
      <c r="AI740" s="89"/>
      <c r="AJ740" s="89"/>
      <c r="AK740" s="89"/>
      <c r="AL740" s="89"/>
      <c r="AM740" s="89"/>
      <c r="AN740" s="89"/>
    </row>
    <row r="741" spans="3:40" ht="25" thickBot="1">
      <c r="C741" s="162"/>
      <c r="D741" s="492" t="s">
        <v>436</v>
      </c>
      <c r="E741" s="92" t="s">
        <v>29</v>
      </c>
      <c r="F741" s="92" t="s">
        <v>28</v>
      </c>
      <c r="G741" s="93" t="s">
        <v>27</v>
      </c>
      <c r="H741" s="855" t="s">
        <v>793</v>
      </c>
      <c r="I741" s="1440"/>
      <c r="J741" s="1246"/>
      <c r="K741" s="1441"/>
      <c r="L741" s="856" t="s">
        <v>1002</v>
      </c>
      <c r="M741" s="470" t="s">
        <v>1003</v>
      </c>
      <c r="N741" s="162"/>
      <c r="O741" s="123"/>
      <c r="P741" s="145"/>
      <c r="Q741" s="123"/>
      <c r="R741" s="123"/>
      <c r="S741" s="183"/>
      <c r="T741" s="123"/>
      <c r="U741" s="146"/>
      <c r="V741" s="147"/>
      <c r="W741" s="184"/>
      <c r="X741" s="146"/>
      <c r="Y741" s="124"/>
      <c r="Z741" s="124"/>
      <c r="AA741" s="89"/>
      <c r="AB741" s="89"/>
      <c r="AC741" s="89"/>
      <c r="AD741" s="89"/>
      <c r="AE741" s="89"/>
      <c r="AF741" s="89"/>
      <c r="AG741" s="89"/>
      <c r="AH741" s="89"/>
      <c r="AI741" s="89"/>
      <c r="AJ741" s="89"/>
      <c r="AK741" s="89"/>
      <c r="AL741" s="89"/>
      <c r="AM741" s="89"/>
      <c r="AN741" s="89"/>
    </row>
    <row r="742" spans="3:40" ht="24">
      <c r="C742" s="162"/>
      <c r="D742" s="493">
        <v>45602</v>
      </c>
      <c r="E742" s="98" t="s">
        <v>988</v>
      </c>
      <c r="F742" s="98" t="s">
        <v>989</v>
      </c>
      <c r="G742" s="98" t="s">
        <v>990</v>
      </c>
      <c r="H742" s="850">
        <v>0.72916666666666674</v>
      </c>
      <c r="I742" s="1440"/>
      <c r="J742" s="1246"/>
      <c r="K742" s="1441"/>
      <c r="L742" s="857">
        <v>0.4375</v>
      </c>
      <c r="M742" s="473">
        <v>0.64583333333333337</v>
      </c>
      <c r="N742" s="162"/>
      <c r="O742" s="148"/>
      <c r="P742" s="124"/>
      <c r="Q742" s="148"/>
      <c r="R742" s="148"/>
      <c r="S742" s="183"/>
      <c r="T742" s="148"/>
      <c r="U742" s="148"/>
      <c r="V742" s="148"/>
      <c r="W742" s="186"/>
      <c r="X742" s="148"/>
      <c r="Y742" s="124"/>
      <c r="Z742" s="124"/>
      <c r="AA742" s="89"/>
      <c r="AB742" s="89"/>
      <c r="AC742" s="89"/>
      <c r="AD742" s="89"/>
      <c r="AE742" s="89"/>
      <c r="AF742" s="89"/>
      <c r="AG742" s="89"/>
      <c r="AH742" s="89"/>
      <c r="AI742" s="89"/>
      <c r="AJ742" s="89"/>
      <c r="AK742" s="89"/>
      <c r="AL742" s="89"/>
      <c r="AM742" s="89"/>
      <c r="AN742" s="89"/>
    </row>
    <row r="743" spans="3:40" ht="24">
      <c r="C743" s="162"/>
      <c r="D743" s="493">
        <v>45595</v>
      </c>
      <c r="E743" s="98" t="s">
        <v>990</v>
      </c>
      <c r="F743" s="98" t="s">
        <v>991</v>
      </c>
      <c r="G743" s="98" t="s">
        <v>992</v>
      </c>
      <c r="H743" s="850">
        <v>0.6875</v>
      </c>
      <c r="I743" s="1440"/>
      <c r="J743" s="1246"/>
      <c r="K743" s="1441"/>
      <c r="L743" s="857">
        <v>0.39583333333333331</v>
      </c>
      <c r="M743" s="473">
        <v>0.60416666666666663</v>
      </c>
      <c r="N743" s="162"/>
      <c r="O743" s="115" t="s">
        <v>813</v>
      </c>
      <c r="P743" s="187">
        <v>0.1</v>
      </c>
      <c r="Q743" s="149">
        <v>7.6066666666665908E-2</v>
      </c>
      <c r="R743" s="150">
        <v>3.0000000000001137E-2</v>
      </c>
      <c r="S743" s="187">
        <v>1</v>
      </c>
      <c r="T743" s="188">
        <v>0.14410000000000001</v>
      </c>
      <c r="U743" s="151">
        <v>-34.355269841269219</v>
      </c>
      <c r="V743" s="152">
        <v>60.5</v>
      </c>
      <c r="W743" s="189">
        <v>2.08</v>
      </c>
      <c r="X743" s="153">
        <v>71.458961269839975</v>
      </c>
      <c r="Y743" s="154"/>
      <c r="Z743" s="154"/>
      <c r="AA743" s="89"/>
      <c r="AB743" s="89"/>
      <c r="AC743" s="89"/>
      <c r="AD743" s="89"/>
      <c r="AE743" s="89"/>
      <c r="AF743" s="89"/>
      <c r="AG743" s="89"/>
      <c r="AH743" s="89"/>
      <c r="AI743" s="89"/>
      <c r="AJ743" s="89"/>
      <c r="AK743" s="89"/>
      <c r="AL743" s="89"/>
      <c r="AM743" s="89"/>
      <c r="AN743" s="89"/>
    </row>
    <row r="744" spans="3:40" ht="24">
      <c r="C744" s="162"/>
      <c r="D744" s="493">
        <v>45588</v>
      </c>
      <c r="E744" s="98" t="s">
        <v>992</v>
      </c>
      <c r="F744" s="98" t="s">
        <v>993</v>
      </c>
      <c r="G744" s="98" t="s">
        <v>994</v>
      </c>
      <c r="H744" s="850">
        <v>0.6875</v>
      </c>
      <c r="I744" s="1440"/>
      <c r="J744" s="1246"/>
      <c r="K744" s="1441"/>
      <c r="L744" s="857">
        <v>0.39583333333333331</v>
      </c>
      <c r="M744" s="473">
        <v>0.60416666666666663</v>
      </c>
      <c r="N744" s="162"/>
      <c r="O744" s="115"/>
      <c r="P744" s="116"/>
      <c r="Q744" s="149"/>
      <c r="R744" s="150"/>
      <c r="S744" s="119"/>
      <c r="T744" s="116"/>
      <c r="U744" s="151"/>
      <c r="V744" s="152"/>
      <c r="W744" s="119"/>
      <c r="X744" s="153"/>
      <c r="Y744" s="154"/>
      <c r="Z744" s="154"/>
      <c r="AA744" s="89"/>
      <c r="AB744" s="89"/>
      <c r="AC744" s="89"/>
      <c r="AD744" s="89"/>
      <c r="AE744" s="89"/>
      <c r="AF744" s="89"/>
      <c r="AG744" s="89"/>
      <c r="AH744" s="89"/>
      <c r="AI744" s="89"/>
      <c r="AJ744" s="89"/>
      <c r="AK744" s="89"/>
      <c r="AL744" s="89"/>
      <c r="AM744" s="89"/>
      <c r="AN744" s="89"/>
    </row>
    <row r="745" spans="3:40" ht="24">
      <c r="C745" s="162"/>
      <c r="D745" s="493">
        <v>45582</v>
      </c>
      <c r="E745" s="98" t="s">
        <v>994</v>
      </c>
      <c r="F745" s="98" t="s">
        <v>995</v>
      </c>
      <c r="G745" s="98" t="s">
        <v>996</v>
      </c>
      <c r="H745" s="850">
        <v>0.70833333333333337</v>
      </c>
      <c r="I745" s="1440"/>
      <c r="J745" s="1246"/>
      <c r="K745" s="1441"/>
      <c r="L745" s="857">
        <v>0.41666666666666669</v>
      </c>
      <c r="M745" s="473">
        <v>0.625</v>
      </c>
      <c r="N745" s="162"/>
      <c r="O745" s="115"/>
      <c r="P745" s="116"/>
      <c r="Q745" s="149"/>
      <c r="R745" s="150"/>
      <c r="S745" s="119"/>
      <c r="T745" s="116"/>
      <c r="U745" s="151"/>
      <c r="V745" s="152"/>
      <c r="W745" s="119"/>
      <c r="X745" s="153"/>
      <c r="Y745" s="154"/>
      <c r="Z745" s="154"/>
      <c r="AA745" s="89"/>
      <c r="AB745" s="89"/>
      <c r="AC745" s="89"/>
      <c r="AD745" s="89"/>
      <c r="AE745" s="89"/>
      <c r="AF745" s="89"/>
      <c r="AG745" s="89"/>
      <c r="AH745" s="89"/>
      <c r="AI745" s="89"/>
      <c r="AJ745" s="89"/>
      <c r="AK745" s="89"/>
      <c r="AL745" s="89"/>
      <c r="AM745" s="89"/>
      <c r="AN745" s="89"/>
    </row>
    <row r="746" spans="3:40" ht="24">
      <c r="C746" s="162"/>
      <c r="D746" s="493">
        <v>45574</v>
      </c>
      <c r="E746" s="98" t="s">
        <v>996</v>
      </c>
      <c r="F746" s="98" t="s">
        <v>997</v>
      </c>
      <c r="G746" s="98" t="s">
        <v>998</v>
      </c>
      <c r="H746" s="850">
        <v>0.6875</v>
      </c>
      <c r="I746" s="1440"/>
      <c r="J746" s="1246"/>
      <c r="K746" s="1441"/>
      <c r="L746" s="857">
        <v>0.39583333333333331</v>
      </c>
      <c r="M746" s="473">
        <v>0.60416666666666663</v>
      </c>
      <c r="N746" s="162"/>
      <c r="O746" s="89"/>
      <c r="P746" s="89"/>
      <c r="Q746" s="89"/>
      <c r="R746" s="89"/>
      <c r="S746" s="89"/>
      <c r="T746" s="89"/>
      <c r="U746" s="89"/>
      <c r="V746" s="89"/>
      <c r="W746" s="89"/>
      <c r="X746" s="89"/>
      <c r="Y746" s="89"/>
      <c r="Z746" s="89"/>
      <c r="AA746" s="89"/>
      <c r="AB746" s="89"/>
      <c r="AC746" s="89"/>
      <c r="AD746" s="89"/>
      <c r="AE746" s="89"/>
      <c r="AF746" s="89"/>
      <c r="AG746" s="89"/>
      <c r="AH746" s="89"/>
      <c r="AI746" s="89"/>
      <c r="AJ746" s="89"/>
      <c r="AK746" s="89"/>
      <c r="AL746" s="89"/>
      <c r="AM746" s="89"/>
      <c r="AN746" s="89"/>
    </row>
    <row r="747" spans="3:40" ht="25" thickBot="1">
      <c r="C747" s="162"/>
      <c r="D747" s="493">
        <v>45567</v>
      </c>
      <c r="E747" s="98" t="s">
        <v>998</v>
      </c>
      <c r="F747" s="98" t="s">
        <v>999</v>
      </c>
      <c r="G747" s="98" t="s">
        <v>1000</v>
      </c>
      <c r="H747" s="850">
        <v>0.6875</v>
      </c>
      <c r="I747" s="1442"/>
      <c r="J747" s="1249"/>
      <c r="K747" s="1443"/>
      <c r="L747" s="859">
        <v>0.39583333333333331</v>
      </c>
      <c r="M747" s="473">
        <v>0.60416666666666663</v>
      </c>
      <c r="N747" s="162"/>
      <c r="O747" s="89"/>
      <c r="P747" s="89"/>
      <c r="Q747" s="89"/>
      <c r="R747" s="89"/>
      <c r="S747" s="89"/>
      <c r="T747" s="89"/>
      <c r="U747" s="89"/>
      <c r="V747" s="89"/>
      <c r="W747" s="89"/>
      <c r="X747" s="89"/>
      <c r="Y747" s="89"/>
      <c r="Z747" s="89"/>
      <c r="AA747" s="89"/>
      <c r="AB747" s="89"/>
      <c r="AC747" s="89"/>
      <c r="AD747" s="89"/>
      <c r="AE747" s="89"/>
      <c r="AF747" s="89"/>
      <c r="AG747" s="89"/>
      <c r="AH747" s="89"/>
      <c r="AI747" s="89"/>
      <c r="AJ747" s="89"/>
      <c r="AK747" s="89"/>
      <c r="AL747" s="89"/>
      <c r="AM747" s="89"/>
      <c r="AN747" s="89"/>
    </row>
    <row r="748" spans="3:40" ht="49" thickBot="1">
      <c r="C748" s="90">
        <v>8</v>
      </c>
      <c r="D748" s="494" t="s">
        <v>30</v>
      </c>
      <c r="E748" s="1429" t="s">
        <v>959</v>
      </c>
      <c r="F748" s="1430"/>
      <c r="G748" s="1431"/>
      <c r="H748" s="844" t="s">
        <v>790</v>
      </c>
      <c r="I748" s="1432" t="s">
        <v>633</v>
      </c>
      <c r="J748" s="1433"/>
      <c r="K748" s="1434"/>
      <c r="L748" s="845" t="s">
        <v>430</v>
      </c>
      <c r="M748" s="465" t="s">
        <v>431</v>
      </c>
      <c r="N748" s="162" t="s">
        <v>105</v>
      </c>
      <c r="O748" s="114" t="s">
        <v>800</v>
      </c>
      <c r="P748" s="114" t="s">
        <v>801</v>
      </c>
      <c r="Q748" s="114" t="s">
        <v>802</v>
      </c>
      <c r="R748" s="114" t="s">
        <v>803</v>
      </c>
      <c r="S748" s="114" t="s">
        <v>804</v>
      </c>
      <c r="T748" s="114" t="s">
        <v>805</v>
      </c>
      <c r="U748" s="114" t="s">
        <v>806</v>
      </c>
      <c r="V748" s="114" t="s">
        <v>807</v>
      </c>
      <c r="W748" s="114" t="s">
        <v>808</v>
      </c>
      <c r="X748" s="114" t="s">
        <v>809</v>
      </c>
      <c r="Y748" s="114" t="s">
        <v>75</v>
      </c>
      <c r="Z748" s="114" t="s">
        <v>75</v>
      </c>
      <c r="AA748" s="89"/>
      <c r="AB748" s="89"/>
      <c r="AC748" s="89"/>
      <c r="AD748" s="89"/>
      <c r="AE748" s="89"/>
      <c r="AF748" s="89"/>
      <c r="AG748" s="89"/>
      <c r="AH748" s="89"/>
      <c r="AI748" s="89"/>
      <c r="AJ748" s="89"/>
      <c r="AK748" s="89"/>
      <c r="AL748" s="89"/>
      <c r="AM748" s="89"/>
      <c r="AN748" s="89"/>
    </row>
    <row r="749" spans="3:40" ht="24">
      <c r="C749" s="162"/>
      <c r="D749" s="489" t="s">
        <v>432</v>
      </c>
      <c r="E749" s="1435"/>
      <c r="F749" s="1436"/>
      <c r="G749" s="1437"/>
      <c r="H749" s="846" t="s">
        <v>794</v>
      </c>
      <c r="I749" s="1438" t="s">
        <v>960</v>
      </c>
      <c r="J749" s="1243"/>
      <c r="K749" s="1439"/>
      <c r="L749" s="835"/>
      <c r="M749" s="466"/>
      <c r="N749" s="162"/>
      <c r="O749" s="115" t="s">
        <v>810</v>
      </c>
      <c r="P749" s="163">
        <v>0.1</v>
      </c>
      <c r="Q749" s="164">
        <v>2.7E-2</v>
      </c>
      <c r="R749" s="165">
        <v>1.5999999999991132E-2</v>
      </c>
      <c r="S749" s="119"/>
      <c r="T749" s="115">
        <v>5.6499999999991134E-2</v>
      </c>
      <c r="U749" s="164">
        <v>-13.31</v>
      </c>
      <c r="V749" s="163">
        <v>91.8</v>
      </c>
      <c r="W749" s="166">
        <v>2</v>
      </c>
      <c r="X749" s="153">
        <v>26.62</v>
      </c>
      <c r="Y749" s="120"/>
      <c r="Z749" s="120"/>
      <c r="AA749" s="89"/>
      <c r="AB749" s="89"/>
      <c r="AC749" s="89"/>
      <c r="AD749" s="89"/>
      <c r="AE749" s="89"/>
      <c r="AF749" s="89"/>
      <c r="AG749" s="89"/>
      <c r="AH749" s="89"/>
      <c r="AI749" s="89"/>
      <c r="AJ749" s="89"/>
      <c r="AK749" s="89"/>
      <c r="AL749" s="89"/>
      <c r="AM749" s="89"/>
      <c r="AN749" s="89"/>
    </row>
    <row r="750" spans="3:40" ht="24">
      <c r="C750" s="162"/>
      <c r="D750" s="490" t="s">
        <v>433</v>
      </c>
      <c r="E750" s="1444">
        <v>2E-3</v>
      </c>
      <c r="F750" s="1445"/>
      <c r="G750" s="1446"/>
      <c r="H750" s="846" t="s">
        <v>795</v>
      </c>
      <c r="I750" s="1440"/>
      <c r="J750" s="1246"/>
      <c r="K750" s="1441"/>
      <c r="L750" s="835"/>
      <c r="M750" s="466"/>
      <c r="N750" s="162"/>
      <c r="O750" s="121"/>
      <c r="P750" s="121"/>
      <c r="Q750" s="121"/>
      <c r="R750" s="122"/>
      <c r="S750" s="123"/>
      <c r="T750" s="121"/>
      <c r="U750" s="121"/>
      <c r="V750" s="121"/>
      <c r="W750" s="123"/>
      <c r="X750" s="123"/>
      <c r="Y750" s="124"/>
      <c r="Z750" s="124"/>
      <c r="AA750" s="89"/>
      <c r="AB750" s="89"/>
      <c r="AC750" s="89"/>
      <c r="AD750" s="89"/>
      <c r="AE750" s="89"/>
      <c r="AF750" s="89"/>
      <c r="AG750" s="89"/>
      <c r="AH750" s="89"/>
      <c r="AI750" s="89"/>
      <c r="AJ750" s="89"/>
      <c r="AK750" s="89"/>
      <c r="AL750" s="89"/>
      <c r="AM750" s="89"/>
      <c r="AN750" s="89"/>
    </row>
    <row r="751" spans="3:40" ht="24">
      <c r="C751" s="162"/>
      <c r="D751" s="490" t="s">
        <v>434</v>
      </c>
      <c r="E751" s="1444">
        <v>7.0000000000000001E-3</v>
      </c>
      <c r="F751" s="1445"/>
      <c r="G751" s="1446"/>
      <c r="H751" s="847"/>
      <c r="I751" s="1440"/>
      <c r="J751" s="1246"/>
      <c r="K751" s="1441"/>
      <c r="L751" s="835"/>
      <c r="M751" s="466"/>
      <c r="N751" s="162"/>
      <c r="O751" s="125" t="s">
        <v>811</v>
      </c>
      <c r="P751" s="167">
        <v>0.1</v>
      </c>
      <c r="Q751" s="168">
        <v>4.0500000000000001E-2</v>
      </c>
      <c r="R751" s="169">
        <v>1.7000000000000001E-2</v>
      </c>
      <c r="S751" s="129">
        <v>1</v>
      </c>
      <c r="T751" s="125">
        <v>7.775E-2</v>
      </c>
      <c r="U751" s="130">
        <v>-18.315973451330308</v>
      </c>
      <c r="V751" s="131">
        <v>60.5</v>
      </c>
      <c r="W751" s="170">
        <v>3.27</v>
      </c>
      <c r="X751" s="133">
        <v>59.893233185850107</v>
      </c>
      <c r="Y751" s="134"/>
      <c r="Z751" s="134">
        <v>4.4350000000000005</v>
      </c>
      <c r="AA751" s="89"/>
      <c r="AB751" s="89"/>
      <c r="AC751" s="89"/>
      <c r="AD751" s="89"/>
      <c r="AE751" s="89"/>
      <c r="AF751" s="89"/>
      <c r="AG751" s="89"/>
      <c r="AH751" s="89"/>
      <c r="AI751" s="89"/>
      <c r="AJ751" s="89"/>
      <c r="AK751" s="89"/>
      <c r="AL751" s="89"/>
      <c r="AM751" s="89"/>
      <c r="AN751" s="89"/>
    </row>
    <row r="752" spans="3:40" ht="25" thickBot="1">
      <c r="C752" s="162"/>
      <c r="D752" s="491" t="s">
        <v>435</v>
      </c>
      <c r="E752" s="1447">
        <v>7.6388888888888867E-2</v>
      </c>
      <c r="F752" s="1448"/>
      <c r="G752" s="1449"/>
      <c r="H752" s="847"/>
      <c r="I752" s="1440"/>
      <c r="J752" s="1246"/>
      <c r="K752" s="1441"/>
      <c r="L752" s="836">
        <v>0.22222222222222221</v>
      </c>
      <c r="M752" s="467">
        <v>7.6388888888888867E-2</v>
      </c>
      <c r="N752" s="162"/>
      <c r="O752" s="135" t="s">
        <v>812</v>
      </c>
      <c r="P752" s="171">
        <v>0.1</v>
      </c>
      <c r="Q752" s="156">
        <v>2.5266666666666663E-2</v>
      </c>
      <c r="R752" s="172">
        <v>1.7000000000000001E-2</v>
      </c>
      <c r="S752" s="139">
        <v>1</v>
      </c>
      <c r="T752" s="173">
        <v>5.4899999999999997E-2</v>
      </c>
      <c r="U752" s="140">
        <v>-12.933079646019728</v>
      </c>
      <c r="V752" s="141">
        <v>60.5</v>
      </c>
      <c r="W752" s="210">
        <v>2.2200000000000002</v>
      </c>
      <c r="X752" s="143">
        <v>28.711436814163797</v>
      </c>
      <c r="Y752" s="144"/>
      <c r="Z752" s="144"/>
      <c r="AA752" s="89"/>
      <c r="AB752" s="89"/>
      <c r="AC752" s="89"/>
      <c r="AD752" s="89"/>
      <c r="AE752" s="89"/>
      <c r="AF752" s="89"/>
      <c r="AG752" s="89"/>
      <c r="AH752" s="89"/>
      <c r="AI752" s="89"/>
      <c r="AJ752" s="89"/>
      <c r="AK752" s="89"/>
      <c r="AL752" s="89"/>
      <c r="AM752" s="89"/>
      <c r="AN752" s="89"/>
    </row>
    <row r="753" spans="3:40" ht="25" thickBot="1">
      <c r="C753" s="162"/>
      <c r="D753" s="492" t="s">
        <v>436</v>
      </c>
      <c r="E753" s="92" t="s">
        <v>29</v>
      </c>
      <c r="F753" s="92" t="s">
        <v>28</v>
      </c>
      <c r="G753" s="93" t="s">
        <v>27</v>
      </c>
      <c r="H753" s="855" t="s">
        <v>793</v>
      </c>
      <c r="I753" s="1440"/>
      <c r="J753" s="1246"/>
      <c r="K753" s="1441"/>
      <c r="L753" s="856" t="s">
        <v>1002</v>
      </c>
      <c r="M753" s="470"/>
      <c r="N753" s="162"/>
      <c r="O753" s="123"/>
      <c r="P753" s="145"/>
      <c r="Q753" s="123"/>
      <c r="R753" s="123"/>
      <c r="S753" s="123"/>
      <c r="T753" s="123"/>
      <c r="U753" s="146"/>
      <c r="V753" s="147"/>
      <c r="W753" s="123"/>
      <c r="X753" s="146"/>
      <c r="Y753" s="124"/>
      <c r="Z753" s="124"/>
      <c r="AA753" s="89"/>
      <c r="AB753" s="89"/>
      <c r="AC753" s="89"/>
      <c r="AD753" s="89"/>
      <c r="AE753" s="89"/>
      <c r="AF753" s="89"/>
      <c r="AG753" s="89"/>
      <c r="AH753" s="89"/>
      <c r="AI753" s="89"/>
      <c r="AJ753" s="89"/>
      <c r="AK753" s="89"/>
      <c r="AL753" s="89"/>
      <c r="AM753" s="89"/>
      <c r="AN753" s="89"/>
    </row>
    <row r="754" spans="3:40" ht="24">
      <c r="C754" s="162"/>
      <c r="D754" s="493">
        <v>45542</v>
      </c>
      <c r="E754" s="98">
        <v>7.0000000000000001E-3</v>
      </c>
      <c r="F754" s="98" t="s">
        <v>1001</v>
      </c>
      <c r="G754" s="98">
        <v>-6.0000000000000001E-3</v>
      </c>
      <c r="H754" s="850">
        <v>0.99305555555555558</v>
      </c>
      <c r="I754" s="1440"/>
      <c r="J754" s="1246"/>
      <c r="K754" s="1441"/>
      <c r="L754" s="857">
        <v>0.78472222222222221</v>
      </c>
      <c r="M754" s="471"/>
      <c r="N754" s="162"/>
      <c r="O754" s="148"/>
      <c r="P754" s="124"/>
      <c r="Q754" s="148"/>
      <c r="R754" s="148"/>
      <c r="S754" s="148"/>
      <c r="T754" s="148"/>
      <c r="U754" s="148"/>
      <c r="V754" s="148"/>
      <c r="W754" s="148"/>
      <c r="X754" s="148"/>
      <c r="Y754" s="124"/>
      <c r="Z754" s="124"/>
      <c r="AA754" s="89"/>
      <c r="AB754" s="89"/>
      <c r="AC754" s="89"/>
      <c r="AD754" s="89"/>
      <c r="AE754" s="89"/>
      <c r="AF754" s="89"/>
      <c r="AG754" s="89"/>
      <c r="AH754" s="89"/>
      <c r="AI754" s="89"/>
      <c r="AJ754" s="89"/>
      <c r="AK754" s="89"/>
      <c r="AL754" s="89"/>
      <c r="AM754" s="89"/>
      <c r="AN754" s="89"/>
    </row>
    <row r="755" spans="3:40" ht="24">
      <c r="C755" s="162"/>
      <c r="D755" s="493">
        <v>45517</v>
      </c>
      <c r="E755" s="98">
        <v>8.0000000000000002E-3</v>
      </c>
      <c r="F755" s="98" t="s">
        <v>449</v>
      </c>
      <c r="G755" s="98">
        <v>-6.0000000000000001E-3</v>
      </c>
      <c r="H755" s="850">
        <v>0.99305555555555558</v>
      </c>
      <c r="I755" s="1440"/>
      <c r="J755" s="1246"/>
      <c r="K755" s="1441"/>
      <c r="L755" s="857">
        <v>0.78472222222222221</v>
      </c>
      <c r="M755" s="472"/>
      <c r="N755" s="162"/>
      <c r="O755" s="115" t="s">
        <v>813</v>
      </c>
      <c r="P755" s="163">
        <v>0.1</v>
      </c>
      <c r="Q755" s="149">
        <v>3.2883333333333334E-2</v>
      </c>
      <c r="R755" s="150">
        <v>1.7000000000000001E-2</v>
      </c>
      <c r="S755" s="119">
        <v>1</v>
      </c>
      <c r="T755" s="125">
        <v>6.6324999999999995E-2</v>
      </c>
      <c r="U755" s="151">
        <v>-15.624526548675018</v>
      </c>
      <c r="V755" s="152">
        <v>60.5</v>
      </c>
      <c r="W755" s="119">
        <v>2</v>
      </c>
      <c r="X755" s="153">
        <v>31.249053097350036</v>
      </c>
      <c r="Y755" s="154"/>
      <c r="Z755" s="154"/>
      <c r="AA755" s="89"/>
      <c r="AB755" s="89"/>
      <c r="AC755" s="89"/>
      <c r="AD755" s="89"/>
      <c r="AE755" s="89"/>
      <c r="AF755" s="89"/>
      <c r="AG755" s="89"/>
      <c r="AH755" s="89"/>
      <c r="AI755" s="89"/>
      <c r="AJ755" s="89"/>
      <c r="AK755" s="89"/>
      <c r="AL755" s="89"/>
      <c r="AM755" s="89"/>
      <c r="AN755" s="89"/>
    </row>
    <row r="756" spans="3:40" ht="24">
      <c r="C756" s="162"/>
      <c r="D756" s="493">
        <v>45451</v>
      </c>
      <c r="E756" s="98">
        <v>-5.0000000000000001E-3</v>
      </c>
      <c r="F756" s="98" t="s">
        <v>782</v>
      </c>
      <c r="G756" s="98">
        <v>1E-3</v>
      </c>
      <c r="H756" s="850">
        <v>0.99305555555555558</v>
      </c>
      <c r="I756" s="1440"/>
      <c r="J756" s="1246"/>
      <c r="K756" s="1441"/>
      <c r="L756" s="857">
        <v>0.78472222222222221</v>
      </c>
      <c r="M756" s="466"/>
      <c r="N756" s="162"/>
      <c r="O756" s="115"/>
      <c r="P756" s="163"/>
      <c r="Q756" s="149"/>
      <c r="R756" s="150"/>
      <c r="S756" s="119"/>
      <c r="T756" s="125"/>
      <c r="U756" s="151"/>
      <c r="V756" s="152"/>
      <c r="W756" s="119"/>
      <c r="X756" s="153"/>
      <c r="Y756" s="154"/>
      <c r="Z756" s="154"/>
      <c r="AA756" s="89"/>
      <c r="AB756" s="89"/>
      <c r="AC756" s="89"/>
      <c r="AD756" s="89"/>
      <c r="AE756" s="89"/>
      <c r="AF756" s="89"/>
      <c r="AG756" s="89"/>
      <c r="AH756" s="89"/>
      <c r="AI756" s="89"/>
      <c r="AJ756" s="89"/>
      <c r="AK756" s="89"/>
      <c r="AL756" s="89"/>
      <c r="AM756" s="89"/>
      <c r="AN756" s="89"/>
    </row>
    <row r="757" spans="3:40" ht="24">
      <c r="C757" s="162"/>
      <c r="D757" s="493">
        <v>45426</v>
      </c>
      <c r="E757" s="98">
        <v>-5.0000000000000001E-3</v>
      </c>
      <c r="F757" s="98" t="s">
        <v>454</v>
      </c>
      <c r="G757" s="98">
        <v>0</v>
      </c>
      <c r="H757" s="850">
        <v>0.99305555555555558</v>
      </c>
      <c r="I757" s="1440"/>
      <c r="J757" s="1246"/>
      <c r="K757" s="1441"/>
      <c r="L757" s="857">
        <v>0.78472222222222221</v>
      </c>
      <c r="M757" s="466"/>
      <c r="N757" s="162"/>
      <c r="O757" s="115"/>
      <c r="P757" s="116"/>
      <c r="Q757" s="149"/>
      <c r="R757" s="150"/>
      <c r="S757" s="119"/>
      <c r="T757" s="116"/>
      <c r="U757" s="151"/>
      <c r="V757" s="152"/>
      <c r="W757" s="119"/>
      <c r="X757" s="153"/>
      <c r="Y757" s="154"/>
      <c r="Z757" s="154"/>
      <c r="AA757" s="89"/>
      <c r="AB757" s="89"/>
      <c r="AC757" s="89"/>
      <c r="AD757" s="89"/>
      <c r="AE757" s="89"/>
      <c r="AF757" s="89"/>
      <c r="AG757" s="89"/>
      <c r="AH757" s="89"/>
      <c r="AI757" s="89"/>
      <c r="AJ757" s="89"/>
      <c r="AK757" s="89"/>
      <c r="AL757" s="89"/>
      <c r="AM757" s="89"/>
      <c r="AN757" s="89"/>
    </row>
    <row r="758" spans="3:40" ht="24">
      <c r="C758" s="162"/>
      <c r="D758" s="493">
        <v>45360</v>
      </c>
      <c r="E758" s="98">
        <v>1E-3</v>
      </c>
      <c r="F758" s="98" t="s">
        <v>456</v>
      </c>
      <c r="G758" s="98">
        <v>-7.0000000000000001E-3</v>
      </c>
      <c r="H758" s="850">
        <v>0.99305555555555558</v>
      </c>
      <c r="I758" s="1440"/>
      <c r="J758" s="1246"/>
      <c r="K758" s="1441"/>
      <c r="L758" s="857">
        <v>0.78472222222222221</v>
      </c>
      <c r="M758" s="466"/>
      <c r="N758" s="162"/>
      <c r="O758" s="89"/>
      <c r="P758" s="89"/>
      <c r="Q758" s="89"/>
      <c r="R758" s="89"/>
      <c r="S758" s="89"/>
      <c r="T758" s="89"/>
      <c r="U758" s="89"/>
      <c r="V758" s="89"/>
      <c r="W758" s="89"/>
      <c r="X758" s="89"/>
      <c r="Y758" s="89"/>
      <c r="Z758" s="89"/>
      <c r="AA758" s="89"/>
      <c r="AB758" s="89"/>
      <c r="AC758" s="89"/>
      <c r="AD758" s="89"/>
      <c r="AE758" s="89"/>
      <c r="AF758" s="89"/>
      <c r="AG758" s="89"/>
      <c r="AH758" s="89"/>
      <c r="AI758" s="89"/>
      <c r="AJ758" s="89"/>
      <c r="AK758" s="89"/>
      <c r="AL758" s="89"/>
      <c r="AM758" s="89"/>
      <c r="AN758" s="89"/>
    </row>
    <row r="759" spans="3:40" ht="25" thickBot="1">
      <c r="C759" s="162"/>
      <c r="D759" s="493">
        <v>45335</v>
      </c>
      <c r="E759" s="98">
        <v>-1E-3</v>
      </c>
      <c r="F759" s="98" t="s">
        <v>460</v>
      </c>
      <c r="G759" s="98">
        <v>-8.0000000000000002E-3</v>
      </c>
      <c r="H759" s="850">
        <v>0.99305555555555558</v>
      </c>
      <c r="I759" s="1442"/>
      <c r="J759" s="1249"/>
      <c r="K759" s="1443"/>
      <c r="L759" s="857">
        <v>0.78472222222222221</v>
      </c>
      <c r="M759" s="469"/>
      <c r="N759" s="162"/>
      <c r="O759" s="89"/>
      <c r="P759" s="89"/>
      <c r="Q759" s="89"/>
      <c r="R759" s="89"/>
      <c r="S759" s="89"/>
      <c r="T759" s="89"/>
      <c r="U759" s="89"/>
      <c r="V759" s="89"/>
      <c r="W759" s="89"/>
      <c r="X759" s="89"/>
      <c r="Y759" s="89"/>
      <c r="Z759" s="89"/>
      <c r="AA759" s="89"/>
      <c r="AB759" s="89"/>
      <c r="AC759" s="89"/>
      <c r="AD759" s="89"/>
      <c r="AE759" s="89"/>
      <c r="AF759" s="89"/>
      <c r="AG759" s="89"/>
      <c r="AH759" s="89"/>
      <c r="AI759" s="89"/>
      <c r="AJ759" s="89"/>
      <c r="AK759" s="89"/>
      <c r="AL759" s="89"/>
      <c r="AM759" s="89"/>
      <c r="AN759" s="89"/>
    </row>
    <row r="760" spans="3:40" ht="49" thickBot="1">
      <c r="C760" s="90">
        <v>9</v>
      </c>
      <c r="D760" s="494" t="s">
        <v>30</v>
      </c>
      <c r="E760" s="1429" t="s">
        <v>961</v>
      </c>
      <c r="F760" s="1430"/>
      <c r="G760" s="1431"/>
      <c r="H760" s="844" t="s">
        <v>790</v>
      </c>
      <c r="I760" s="1432" t="s">
        <v>633</v>
      </c>
      <c r="J760" s="1433"/>
      <c r="K760" s="1434"/>
      <c r="L760" s="845" t="s">
        <v>430</v>
      </c>
      <c r="M760" s="465" t="s">
        <v>431</v>
      </c>
      <c r="N760" s="162" t="s">
        <v>105</v>
      </c>
      <c r="O760" s="114" t="s">
        <v>800</v>
      </c>
      <c r="P760" s="114" t="s">
        <v>801</v>
      </c>
      <c r="Q760" s="114" t="s">
        <v>802</v>
      </c>
      <c r="R760" s="114" t="s">
        <v>803</v>
      </c>
      <c r="S760" s="114" t="s">
        <v>804</v>
      </c>
      <c r="T760" s="114" t="s">
        <v>805</v>
      </c>
      <c r="U760" s="114" t="s">
        <v>806</v>
      </c>
      <c r="V760" s="114" t="s">
        <v>807</v>
      </c>
      <c r="W760" s="114" t="s">
        <v>808</v>
      </c>
      <c r="X760" s="114" t="s">
        <v>809</v>
      </c>
      <c r="Y760" s="114" t="s">
        <v>75</v>
      </c>
      <c r="Z760" s="114" t="s">
        <v>75</v>
      </c>
      <c r="AA760" s="89"/>
      <c r="AB760" s="89"/>
      <c r="AC760" s="89"/>
      <c r="AD760" s="89"/>
      <c r="AE760" s="89"/>
      <c r="AF760" s="89"/>
      <c r="AG760" s="89"/>
      <c r="AH760" s="89"/>
      <c r="AI760" s="89"/>
      <c r="AJ760" s="89"/>
      <c r="AK760" s="89"/>
      <c r="AL760" s="89"/>
      <c r="AM760" s="89"/>
      <c r="AN760" s="89"/>
    </row>
    <row r="761" spans="3:40" ht="24">
      <c r="C761" s="162"/>
      <c r="D761" s="489" t="s">
        <v>432</v>
      </c>
      <c r="E761" s="1435"/>
      <c r="F761" s="1436"/>
      <c r="G761" s="1437"/>
      <c r="H761" s="846" t="s">
        <v>947</v>
      </c>
      <c r="I761" s="1438" t="s">
        <v>962</v>
      </c>
      <c r="J761" s="1243"/>
      <c r="K761" s="1439"/>
      <c r="L761" s="835"/>
      <c r="M761" s="466"/>
      <c r="N761" s="162"/>
      <c r="O761" s="115" t="s">
        <v>810</v>
      </c>
      <c r="P761" s="163">
        <v>0.1</v>
      </c>
      <c r="Q761" s="164">
        <v>3.2000000000000001E-2</v>
      </c>
      <c r="R761" s="165">
        <v>1.8000000000000682E-2</v>
      </c>
      <c r="S761" s="119">
        <v>0</v>
      </c>
      <c r="T761" s="115">
        <v>5.0499999999991357E-2</v>
      </c>
      <c r="U761" s="164">
        <v>-16.61</v>
      </c>
      <c r="V761" s="163">
        <v>60.5</v>
      </c>
      <c r="W761" s="166">
        <v>2</v>
      </c>
      <c r="X761" s="153"/>
      <c r="Y761" s="120"/>
      <c r="Z761" s="120"/>
      <c r="AA761" s="89"/>
      <c r="AB761" s="89"/>
      <c r="AC761" s="89"/>
      <c r="AD761" s="89"/>
      <c r="AE761" s="89"/>
      <c r="AF761" s="89"/>
      <c r="AG761" s="89"/>
      <c r="AH761" s="89"/>
      <c r="AI761" s="89"/>
      <c r="AJ761" s="89"/>
      <c r="AK761" s="89"/>
      <c r="AL761" s="89"/>
      <c r="AM761" s="89"/>
      <c r="AN761" s="89"/>
    </row>
    <row r="762" spans="3:40" ht="24">
      <c r="C762" s="162"/>
      <c r="D762" s="490" t="s">
        <v>433</v>
      </c>
      <c r="E762" s="1444">
        <v>1E-3</v>
      </c>
      <c r="F762" s="1445"/>
      <c r="G762" s="1446"/>
      <c r="H762" s="846" t="s">
        <v>908</v>
      </c>
      <c r="I762" s="1440"/>
      <c r="J762" s="1246"/>
      <c r="K762" s="1441"/>
      <c r="L762" s="835"/>
      <c r="M762" s="466"/>
      <c r="N762" s="162"/>
      <c r="O762" s="121"/>
      <c r="P762" s="121"/>
      <c r="Q762" s="121"/>
      <c r="R762" s="122"/>
      <c r="S762" s="123"/>
      <c r="T762" s="121"/>
      <c r="U762" s="121"/>
      <c r="V762" s="121"/>
      <c r="W762" s="121"/>
      <c r="X762" s="123"/>
      <c r="Y762" s="124"/>
      <c r="Z762" s="124"/>
      <c r="AA762" s="89"/>
      <c r="AB762" s="89"/>
      <c r="AC762" s="89"/>
      <c r="AD762" s="89"/>
      <c r="AE762" s="89"/>
      <c r="AF762" s="89"/>
      <c r="AG762" s="89"/>
      <c r="AH762" s="89"/>
      <c r="AI762" s="89"/>
      <c r="AJ762" s="89"/>
      <c r="AK762" s="89"/>
      <c r="AL762" s="89"/>
      <c r="AM762" s="89"/>
      <c r="AN762" s="89"/>
    </row>
    <row r="763" spans="3:40" ht="24">
      <c r="C763" s="162"/>
      <c r="D763" s="490" t="s">
        <v>434</v>
      </c>
      <c r="E763" s="1444">
        <v>7.0000000000000001E-3</v>
      </c>
      <c r="F763" s="1445"/>
      <c r="G763" s="1446"/>
      <c r="H763" s="847"/>
      <c r="I763" s="1440"/>
      <c r="J763" s="1246"/>
      <c r="K763" s="1441"/>
      <c r="L763" s="835"/>
      <c r="M763" s="466"/>
      <c r="N763" s="162"/>
      <c r="O763" s="125" t="s">
        <v>811</v>
      </c>
      <c r="P763" s="167">
        <v>0.1</v>
      </c>
      <c r="Q763" s="168">
        <v>0.1182</v>
      </c>
      <c r="R763" s="169">
        <v>1.7999999999999999E-2</v>
      </c>
      <c r="S763" s="179">
        <v>1</v>
      </c>
      <c r="T763" s="125">
        <v>0.1953</v>
      </c>
      <c r="U763" s="130">
        <v>-64.236297029713967</v>
      </c>
      <c r="V763" s="131">
        <v>60.5</v>
      </c>
      <c r="W763" s="180">
        <v>1.93</v>
      </c>
      <c r="X763" s="133">
        <v>123.97605326734795</v>
      </c>
      <c r="Y763" s="134"/>
      <c r="Z763" s="134"/>
      <c r="AA763" s="89"/>
      <c r="AB763" s="89"/>
      <c r="AC763" s="89"/>
      <c r="AD763" s="89"/>
      <c r="AE763" s="89"/>
      <c r="AF763" s="89"/>
      <c r="AG763" s="89"/>
      <c r="AH763" s="89"/>
      <c r="AI763" s="89"/>
      <c r="AJ763" s="89"/>
      <c r="AK763" s="89"/>
      <c r="AL763" s="89"/>
      <c r="AM763" s="89"/>
      <c r="AN763" s="89"/>
    </row>
    <row r="764" spans="3:40" ht="25" thickBot="1">
      <c r="C764" s="162"/>
      <c r="D764" s="491" t="s">
        <v>435</v>
      </c>
      <c r="E764" s="1447">
        <v>0.29166666666666674</v>
      </c>
      <c r="F764" s="1448"/>
      <c r="G764" s="1449"/>
      <c r="H764" s="847"/>
      <c r="I764" s="1440"/>
      <c r="J764" s="1246"/>
      <c r="K764" s="1441"/>
      <c r="L764" s="836">
        <v>0.52083333333333337</v>
      </c>
      <c r="M764" s="467">
        <v>0.375</v>
      </c>
      <c r="N764" s="162"/>
      <c r="O764" s="135" t="s">
        <v>812</v>
      </c>
      <c r="P764" s="171">
        <v>0.1</v>
      </c>
      <c r="Q764" s="156">
        <v>0.12453333333333334</v>
      </c>
      <c r="R764" s="172">
        <v>1.7999999999999999E-2</v>
      </c>
      <c r="S764" s="181">
        <v>1</v>
      </c>
      <c r="T764" s="173">
        <v>0.20480000000000001</v>
      </c>
      <c r="U764" s="140">
        <v>-67.360950495061033</v>
      </c>
      <c r="V764" s="141">
        <v>60.5</v>
      </c>
      <c r="W764" s="182">
        <v>2.48</v>
      </c>
      <c r="X764" s="143">
        <v>167.05515722775135</v>
      </c>
      <c r="Y764" s="144"/>
      <c r="Z764" s="144"/>
      <c r="AA764" s="89"/>
      <c r="AB764" s="89"/>
      <c r="AC764" s="89"/>
      <c r="AD764" s="89"/>
      <c r="AE764" s="89"/>
      <c r="AF764" s="89"/>
      <c r="AG764" s="89"/>
      <c r="AH764" s="89"/>
      <c r="AI764" s="89"/>
      <c r="AJ764" s="89"/>
      <c r="AK764" s="89"/>
      <c r="AL764" s="89"/>
      <c r="AM764" s="89"/>
      <c r="AN764" s="89"/>
    </row>
    <row r="765" spans="3:40" ht="25" thickBot="1">
      <c r="C765" s="162"/>
      <c r="D765" s="492" t="s">
        <v>436</v>
      </c>
      <c r="E765" s="92" t="s">
        <v>29</v>
      </c>
      <c r="F765" s="92" t="s">
        <v>28</v>
      </c>
      <c r="G765" s="93" t="s">
        <v>27</v>
      </c>
      <c r="H765" s="855" t="s">
        <v>793</v>
      </c>
      <c r="I765" s="1440"/>
      <c r="J765" s="1246"/>
      <c r="K765" s="1441"/>
      <c r="L765" s="856" t="s">
        <v>1002</v>
      </c>
      <c r="M765" s="470"/>
      <c r="N765" s="162"/>
      <c r="O765" s="123"/>
      <c r="P765" s="145"/>
      <c r="Q765" s="123"/>
      <c r="R765" s="123"/>
      <c r="S765" s="183"/>
      <c r="T765" s="123"/>
      <c r="U765" s="146"/>
      <c r="V765" s="147"/>
      <c r="W765" s="184"/>
      <c r="X765" s="146"/>
      <c r="Y765" s="124"/>
      <c r="Z765" s="124"/>
      <c r="AA765" s="89"/>
      <c r="AB765" s="89"/>
      <c r="AC765" s="89"/>
      <c r="AD765" s="89"/>
      <c r="AE765" s="89"/>
      <c r="AF765" s="89"/>
      <c r="AG765" s="89"/>
      <c r="AH765" s="89"/>
      <c r="AI765" s="89"/>
      <c r="AJ765" s="89"/>
      <c r="AK765" s="89"/>
      <c r="AL765" s="89"/>
      <c r="AM765" s="89"/>
      <c r="AN765" s="89"/>
    </row>
    <row r="766" spans="3:40" ht="24">
      <c r="C766" s="162"/>
      <c r="D766" s="493">
        <v>45565</v>
      </c>
      <c r="E766" s="98">
        <v>7.0000000000000001E-3</v>
      </c>
      <c r="F766" s="98" t="s">
        <v>459</v>
      </c>
      <c r="G766" s="98">
        <v>3.0000000000000001E-3</v>
      </c>
      <c r="H766" s="850">
        <v>0.25</v>
      </c>
      <c r="I766" s="1440"/>
      <c r="J766" s="1246"/>
      <c r="K766" s="1441"/>
      <c r="L766" s="857">
        <v>4.1666666666666664E-2</v>
      </c>
      <c r="M766" s="471"/>
      <c r="N766" s="162"/>
      <c r="O766" s="148"/>
      <c r="P766" s="124"/>
      <c r="Q766" s="148"/>
      <c r="R766" s="148"/>
      <c r="S766" s="183"/>
      <c r="T766" s="148"/>
      <c r="U766" s="148"/>
      <c r="V766" s="148"/>
      <c r="W766" s="186"/>
      <c r="X766" s="148"/>
      <c r="Y766" s="124"/>
      <c r="Z766" s="124"/>
      <c r="AA766" s="89"/>
      <c r="AB766" s="89"/>
      <c r="AC766" s="89"/>
      <c r="AD766" s="89"/>
      <c r="AE766" s="89"/>
      <c r="AF766" s="89"/>
      <c r="AG766" s="89"/>
      <c r="AH766" s="89"/>
      <c r="AI766" s="89"/>
      <c r="AJ766" s="89"/>
      <c r="AK766" s="89"/>
      <c r="AL766" s="89"/>
      <c r="AM766" s="89"/>
      <c r="AN766" s="89"/>
    </row>
    <row r="767" spans="3:40" ht="24">
      <c r="C767" s="162"/>
      <c r="D767" s="493">
        <v>45519</v>
      </c>
      <c r="E767" s="98">
        <v>8.9999999999999993E-3</v>
      </c>
      <c r="F767" s="98" t="s">
        <v>459</v>
      </c>
      <c r="G767" s="98">
        <v>3.0000000000000001E-3</v>
      </c>
      <c r="H767" s="850">
        <v>0.25</v>
      </c>
      <c r="I767" s="1440"/>
      <c r="J767" s="1246"/>
      <c r="K767" s="1441"/>
      <c r="L767" s="857">
        <v>4.1666666666666664E-2</v>
      </c>
      <c r="M767" s="472"/>
      <c r="N767" s="162"/>
      <c r="O767" s="115" t="s">
        <v>813</v>
      </c>
      <c r="P767" s="191">
        <v>-0.1</v>
      </c>
      <c r="Q767" s="149">
        <v>0.05</v>
      </c>
      <c r="R767" s="150">
        <v>1.7999999999999999E-2</v>
      </c>
      <c r="S767" s="187">
        <v>-1</v>
      </c>
      <c r="T767" s="125">
        <v>9.3000000000000013E-2</v>
      </c>
      <c r="U767" s="151">
        <v>-30.588712871292365</v>
      </c>
      <c r="V767" s="152">
        <v>60.5</v>
      </c>
      <c r="W767" s="189">
        <v>1.5</v>
      </c>
      <c r="X767" s="153">
        <v>45.883069306938552</v>
      </c>
      <c r="Y767" s="154" t="s">
        <v>814</v>
      </c>
      <c r="Z767" s="154"/>
      <c r="AA767" s="89"/>
      <c r="AB767" s="89"/>
      <c r="AC767" s="89"/>
      <c r="AD767" s="89"/>
      <c r="AE767" s="89"/>
      <c r="AF767" s="89"/>
      <c r="AG767" s="89"/>
      <c r="AH767" s="89"/>
      <c r="AI767" s="89"/>
      <c r="AJ767" s="89"/>
      <c r="AK767" s="89"/>
      <c r="AL767" s="89"/>
      <c r="AM767" s="89"/>
      <c r="AN767" s="89"/>
    </row>
    <row r="768" spans="3:40" ht="24">
      <c r="C768" s="162"/>
      <c r="D768" s="493">
        <v>45471</v>
      </c>
      <c r="E768" s="98">
        <v>3.0000000000000001E-3</v>
      </c>
      <c r="F768" s="98" t="s">
        <v>460</v>
      </c>
      <c r="G768" s="98">
        <v>-2E-3</v>
      </c>
      <c r="H768" s="850">
        <v>0.25</v>
      </c>
      <c r="I768" s="1440"/>
      <c r="J768" s="1246"/>
      <c r="K768" s="1441"/>
      <c r="L768" s="857">
        <v>4.1666666666666664E-2</v>
      </c>
      <c r="M768" s="466"/>
      <c r="N768" s="162"/>
      <c r="O768" s="115"/>
      <c r="P768" s="116"/>
      <c r="Q768" s="149"/>
      <c r="R768" s="150"/>
      <c r="S768" s="119"/>
      <c r="T768" s="116"/>
      <c r="U768" s="151"/>
      <c r="V768" s="152"/>
      <c r="W768" s="119"/>
      <c r="X768" s="153"/>
      <c r="Y768" s="154"/>
      <c r="Z768" s="154"/>
      <c r="AA768" s="89"/>
      <c r="AB768" s="89"/>
      <c r="AC768" s="89"/>
      <c r="AD768" s="89"/>
      <c r="AE768" s="89"/>
      <c r="AF768" s="89"/>
      <c r="AG768" s="89"/>
      <c r="AH768" s="89"/>
      <c r="AI768" s="89"/>
      <c r="AJ768" s="89"/>
      <c r="AK768" s="89"/>
      <c r="AL768" s="89"/>
      <c r="AM768" s="89"/>
      <c r="AN768" s="89"/>
    </row>
    <row r="769" spans="3:40" ht="24">
      <c r="C769" s="162"/>
      <c r="D769" s="493">
        <v>45422</v>
      </c>
      <c r="E769" s="98">
        <v>2E-3</v>
      </c>
      <c r="F769" s="98" t="s">
        <v>458</v>
      </c>
      <c r="G769" s="98">
        <v>-2E-3</v>
      </c>
      <c r="H769" s="850">
        <v>0.25</v>
      </c>
      <c r="I769" s="1440"/>
      <c r="J769" s="1246"/>
      <c r="K769" s="1441"/>
      <c r="L769" s="857">
        <v>4.1666666666666664E-2</v>
      </c>
      <c r="M769" s="466"/>
      <c r="N769" s="162"/>
      <c r="O769" s="115"/>
      <c r="P769" s="116"/>
      <c r="Q769" s="149"/>
      <c r="R769" s="150"/>
      <c r="S769" s="119"/>
      <c r="T769" s="116"/>
      <c r="U769" s="151"/>
      <c r="V769" s="152"/>
      <c r="W769" s="119"/>
      <c r="X769" s="153"/>
      <c r="Y769" s="154"/>
      <c r="Z769" s="154"/>
      <c r="AA769" s="89"/>
      <c r="AB769" s="89"/>
      <c r="AC769" s="89"/>
      <c r="AD769" s="89"/>
      <c r="AE769" s="89"/>
      <c r="AF769" s="89"/>
      <c r="AG769" s="89"/>
      <c r="AH769" s="89"/>
      <c r="AI769" s="89"/>
      <c r="AJ769" s="89"/>
      <c r="AK769" s="89"/>
      <c r="AL769" s="89"/>
      <c r="AM769" s="89"/>
      <c r="AN769" s="89"/>
    </row>
    <row r="770" spans="3:40" ht="24">
      <c r="C770" s="162"/>
      <c r="D770" s="493">
        <v>45379</v>
      </c>
      <c r="E770" s="98">
        <v>-2E-3</v>
      </c>
      <c r="F770" s="98" t="s">
        <v>461</v>
      </c>
      <c r="G770" s="98">
        <v>3.0000000000000001E-3</v>
      </c>
      <c r="H770" s="850">
        <v>0.29166666666666669</v>
      </c>
      <c r="I770" s="1440"/>
      <c r="J770" s="1246"/>
      <c r="K770" s="1441"/>
      <c r="L770" s="857">
        <v>8.3333333333333329E-2</v>
      </c>
      <c r="M770" s="466"/>
      <c r="N770" s="162"/>
      <c r="O770" s="89"/>
      <c r="P770" s="89"/>
      <c r="Q770" s="89"/>
      <c r="R770" s="89"/>
      <c r="S770" s="89"/>
      <c r="T770" s="89"/>
      <c r="U770" s="89"/>
      <c r="V770" s="89"/>
      <c r="W770" s="89"/>
      <c r="X770" s="89"/>
      <c r="Y770" s="89"/>
      <c r="Z770" s="89"/>
      <c r="AA770" s="89"/>
      <c r="AB770" s="89"/>
      <c r="AC770" s="89"/>
      <c r="AD770" s="89"/>
      <c r="AE770" s="89"/>
      <c r="AF770" s="89"/>
      <c r="AG770" s="89"/>
      <c r="AH770" s="89"/>
      <c r="AI770" s="89"/>
      <c r="AJ770" s="89"/>
      <c r="AK770" s="89"/>
      <c r="AL770" s="89"/>
      <c r="AM770" s="89"/>
      <c r="AN770" s="89"/>
    </row>
    <row r="771" spans="3:40" ht="25" thickBot="1">
      <c r="C771" s="162"/>
      <c r="D771" s="493">
        <v>45337</v>
      </c>
      <c r="E771" s="98">
        <v>-2E-3</v>
      </c>
      <c r="F771" s="98" t="s">
        <v>462</v>
      </c>
      <c r="G771" s="98">
        <v>2E-3</v>
      </c>
      <c r="H771" s="850">
        <v>0.29166666666666669</v>
      </c>
      <c r="I771" s="1442"/>
      <c r="J771" s="1249"/>
      <c r="K771" s="1443"/>
      <c r="L771" s="857">
        <v>8.3333333333333329E-2</v>
      </c>
      <c r="M771" s="469"/>
      <c r="N771" s="162"/>
      <c r="O771" s="89"/>
      <c r="P771" s="89"/>
      <c r="Q771" s="89"/>
      <c r="R771" s="89"/>
      <c r="S771" s="89"/>
      <c r="T771" s="89"/>
      <c r="U771" s="89"/>
      <c r="V771" s="89"/>
      <c r="W771" s="89"/>
      <c r="X771" s="89"/>
      <c r="Y771" s="89"/>
      <c r="Z771" s="89"/>
      <c r="AA771" s="89"/>
      <c r="AB771" s="89"/>
      <c r="AC771" s="89"/>
      <c r="AD771" s="89"/>
      <c r="AE771" s="89"/>
      <c r="AF771" s="89"/>
      <c r="AG771" s="89"/>
      <c r="AH771" s="89"/>
      <c r="AI771" s="89"/>
      <c r="AJ771" s="89"/>
      <c r="AK771" s="89"/>
      <c r="AL771" s="89"/>
      <c r="AM771" s="89"/>
      <c r="AN771" s="89"/>
    </row>
    <row r="772" spans="3:40" ht="49" thickBot="1">
      <c r="C772" s="90">
        <v>10</v>
      </c>
      <c r="D772" s="494" t="s">
        <v>30</v>
      </c>
      <c r="E772" s="1429" t="s">
        <v>963</v>
      </c>
      <c r="F772" s="1430"/>
      <c r="G772" s="1431"/>
      <c r="H772" s="844" t="s">
        <v>790</v>
      </c>
      <c r="I772" s="1432" t="s">
        <v>633</v>
      </c>
      <c r="J772" s="1433"/>
      <c r="K772" s="1434"/>
      <c r="L772" s="845" t="s">
        <v>430</v>
      </c>
      <c r="M772" s="465" t="s">
        <v>431</v>
      </c>
      <c r="N772" s="162" t="s">
        <v>105</v>
      </c>
      <c r="O772" s="114" t="s">
        <v>800</v>
      </c>
      <c r="P772" s="114" t="s">
        <v>801</v>
      </c>
      <c r="Q772" s="114" t="s">
        <v>802</v>
      </c>
      <c r="R772" s="114" t="s">
        <v>803</v>
      </c>
      <c r="S772" s="114" t="s">
        <v>804</v>
      </c>
      <c r="T772" s="114" t="s">
        <v>805</v>
      </c>
      <c r="U772" s="114" t="s">
        <v>806</v>
      </c>
      <c r="V772" s="114" t="s">
        <v>807</v>
      </c>
      <c r="W772" s="114" t="s">
        <v>808</v>
      </c>
      <c r="X772" s="114" t="s">
        <v>809</v>
      </c>
      <c r="Y772" s="114" t="s">
        <v>75</v>
      </c>
      <c r="Z772" s="114" t="s">
        <v>75</v>
      </c>
      <c r="AA772" s="89"/>
      <c r="AB772" s="162" t="s">
        <v>105</v>
      </c>
      <c r="AC772" s="114" t="s">
        <v>800</v>
      </c>
      <c r="AD772" s="114" t="s">
        <v>801</v>
      </c>
      <c r="AE772" s="114" t="s">
        <v>802</v>
      </c>
      <c r="AF772" s="114" t="s">
        <v>803</v>
      </c>
      <c r="AG772" s="114" t="s">
        <v>804</v>
      </c>
      <c r="AH772" s="114" t="s">
        <v>805</v>
      </c>
      <c r="AI772" s="114" t="s">
        <v>806</v>
      </c>
      <c r="AJ772" s="114" t="s">
        <v>807</v>
      </c>
      <c r="AK772" s="114" t="s">
        <v>808</v>
      </c>
      <c r="AL772" s="114" t="s">
        <v>809</v>
      </c>
      <c r="AM772" s="114" t="s">
        <v>75</v>
      </c>
      <c r="AN772" s="114" t="s">
        <v>75</v>
      </c>
    </row>
    <row r="773" spans="3:40" ht="24">
      <c r="C773" s="162"/>
      <c r="D773" s="489" t="s">
        <v>432</v>
      </c>
      <c r="E773" s="1435"/>
      <c r="F773" s="1436"/>
      <c r="G773" s="1437"/>
      <c r="H773" s="846" t="s">
        <v>947</v>
      </c>
      <c r="I773" s="1438" t="s">
        <v>964</v>
      </c>
      <c r="J773" s="1243"/>
      <c r="K773" s="1439"/>
      <c r="L773" s="835"/>
      <c r="M773" s="466"/>
      <c r="N773" s="162"/>
      <c r="O773" s="115" t="s">
        <v>810</v>
      </c>
      <c r="P773" s="163">
        <v>0.1</v>
      </c>
      <c r="Q773" s="164">
        <v>4.9000000000000002E-2</v>
      </c>
      <c r="R773" s="165">
        <v>1.5000000000014779E-2</v>
      </c>
      <c r="S773" s="119">
        <v>0</v>
      </c>
      <c r="T773" s="115">
        <v>6.0999999999991131E-2</v>
      </c>
      <c r="U773" s="164">
        <v>-21.14</v>
      </c>
      <c r="V773" s="163">
        <v>91.8</v>
      </c>
      <c r="W773" s="166">
        <v>2</v>
      </c>
      <c r="X773" s="153"/>
      <c r="Y773" s="120"/>
      <c r="Z773" s="120"/>
      <c r="AA773" s="89"/>
      <c r="AB773" s="162"/>
      <c r="AC773" s="115" t="s">
        <v>810</v>
      </c>
      <c r="AD773" s="163">
        <v>0</v>
      </c>
      <c r="AE773" s="164">
        <v>4.9000000000000002E-2</v>
      </c>
      <c r="AF773" s="165">
        <v>1.5000000000014779E-2</v>
      </c>
      <c r="AG773" s="119">
        <v>0</v>
      </c>
      <c r="AH773" s="119">
        <v>6.0999999999991131E-2</v>
      </c>
      <c r="AI773" s="164">
        <v>-21.14</v>
      </c>
      <c r="AJ773" s="163">
        <v>0</v>
      </c>
      <c r="AK773" s="166">
        <v>0</v>
      </c>
      <c r="AL773" s="153"/>
      <c r="AM773" s="120"/>
      <c r="AN773" s="120"/>
    </row>
    <row r="774" spans="3:40" ht="24">
      <c r="C774" s="162"/>
      <c r="D774" s="490" t="s">
        <v>433</v>
      </c>
      <c r="E774" s="1444">
        <v>2E-3</v>
      </c>
      <c r="F774" s="1445"/>
      <c r="G774" s="1446"/>
      <c r="H774" s="846" t="s">
        <v>908</v>
      </c>
      <c r="I774" s="1440"/>
      <c r="J774" s="1246"/>
      <c r="K774" s="1441"/>
      <c r="L774" s="835"/>
      <c r="M774" s="466"/>
      <c r="N774" s="162"/>
      <c r="O774" s="121"/>
      <c r="P774" s="121"/>
      <c r="Q774" s="121"/>
      <c r="R774" s="122"/>
      <c r="S774" s="123"/>
      <c r="T774" s="121"/>
      <c r="U774" s="121"/>
      <c r="V774" s="121"/>
      <c r="W774" s="121"/>
      <c r="X774" s="123"/>
      <c r="Y774" s="124"/>
      <c r="Z774" s="124"/>
      <c r="AA774" s="89"/>
      <c r="AB774" s="162"/>
      <c r="AC774" s="121"/>
      <c r="AD774" s="121"/>
      <c r="AE774" s="121"/>
      <c r="AF774" s="122"/>
      <c r="AG774" s="123"/>
      <c r="AH774" s="121"/>
      <c r="AI774" s="121"/>
      <c r="AJ774" s="121"/>
      <c r="AK774" s="121"/>
      <c r="AL774" s="123"/>
      <c r="AM774" s="124"/>
      <c r="AN774" s="124"/>
    </row>
    <row r="775" spans="3:40" ht="24">
      <c r="C775" s="162"/>
      <c r="D775" s="490" t="s">
        <v>434</v>
      </c>
      <c r="E775" s="1444">
        <v>2E-3</v>
      </c>
      <c r="F775" s="1445"/>
      <c r="G775" s="1446"/>
      <c r="H775" s="847"/>
      <c r="I775" s="1440"/>
      <c r="J775" s="1246"/>
      <c r="K775" s="1441"/>
      <c r="L775" s="835"/>
      <c r="M775" s="466"/>
      <c r="N775" s="162"/>
      <c r="O775" s="125" t="s">
        <v>811</v>
      </c>
      <c r="P775" s="167">
        <v>0.1</v>
      </c>
      <c r="Q775" s="168">
        <v>9.1399999999999995E-2</v>
      </c>
      <c r="R775" s="169">
        <v>0.02</v>
      </c>
      <c r="S775" s="179">
        <v>1</v>
      </c>
      <c r="T775" s="125">
        <v>0.15709999999999999</v>
      </c>
      <c r="U775" s="130">
        <v>-54.444163934434144</v>
      </c>
      <c r="V775" s="131">
        <v>60.5</v>
      </c>
      <c r="W775" s="180">
        <v>7.02</v>
      </c>
      <c r="X775" s="133">
        <v>382.19803081972765</v>
      </c>
      <c r="Y775" s="134"/>
      <c r="Z775" s="134"/>
      <c r="AA775" s="89"/>
      <c r="AB775" s="162"/>
      <c r="AC775" s="125" t="s">
        <v>811</v>
      </c>
      <c r="AD775" s="167">
        <v>0.1</v>
      </c>
      <c r="AE775" s="168">
        <v>9.1399999999999995E-2</v>
      </c>
      <c r="AF775" s="169">
        <v>0.02</v>
      </c>
      <c r="AG775" s="179">
        <v>1</v>
      </c>
      <c r="AH775" s="125">
        <v>0.15709999999999999</v>
      </c>
      <c r="AI775" s="130">
        <v>-54.444163934434144</v>
      </c>
      <c r="AJ775" s="131">
        <v>60.5</v>
      </c>
      <c r="AK775" s="180">
        <v>7.02</v>
      </c>
      <c r="AL775" s="133">
        <v>382.19803081972765</v>
      </c>
      <c r="AM775" s="134"/>
      <c r="AN775" s="134"/>
    </row>
    <row r="776" spans="3:40" ht="25" thickBot="1">
      <c r="C776" s="162"/>
      <c r="D776" s="491" t="s">
        <v>435</v>
      </c>
      <c r="E776" s="1447">
        <v>0.29166666666666674</v>
      </c>
      <c r="F776" s="1448"/>
      <c r="G776" s="1449"/>
      <c r="H776" s="847"/>
      <c r="I776" s="1440"/>
      <c r="J776" s="1246"/>
      <c r="K776" s="1441"/>
      <c r="L776" s="836">
        <v>0.52083333333333337</v>
      </c>
      <c r="M776" s="467">
        <v>0.375</v>
      </c>
      <c r="N776" s="162"/>
      <c r="O776" s="135" t="s">
        <v>812</v>
      </c>
      <c r="P776" s="171">
        <v>0.1</v>
      </c>
      <c r="Q776" s="156">
        <v>5.673333333333333E-2</v>
      </c>
      <c r="R776" s="172">
        <v>0.02</v>
      </c>
      <c r="S776" s="181">
        <v>1</v>
      </c>
      <c r="T776" s="173">
        <v>0.1051</v>
      </c>
      <c r="U776" s="140">
        <v>-36.423180327874149</v>
      </c>
      <c r="V776" s="141">
        <v>60.5</v>
      </c>
      <c r="W776" s="182">
        <v>2.31</v>
      </c>
      <c r="X776" s="143">
        <v>84.137546557389285</v>
      </c>
      <c r="Y776" s="144"/>
      <c r="Z776" s="144"/>
      <c r="AA776" s="89"/>
      <c r="AB776" s="162"/>
      <c r="AC776" s="135" t="s">
        <v>812</v>
      </c>
      <c r="AD776" s="171">
        <v>0.1</v>
      </c>
      <c r="AE776" s="156">
        <v>5.673333333333333E-2</v>
      </c>
      <c r="AF776" s="172">
        <v>0.02</v>
      </c>
      <c r="AG776" s="181">
        <v>1</v>
      </c>
      <c r="AH776" s="173">
        <v>0.1051</v>
      </c>
      <c r="AI776" s="140">
        <v>-36.423180327874149</v>
      </c>
      <c r="AJ776" s="141">
        <v>60.5</v>
      </c>
      <c r="AK776" s="182">
        <v>2.31</v>
      </c>
      <c r="AL776" s="143">
        <v>84.137546557389285</v>
      </c>
      <c r="AM776" s="144"/>
      <c r="AN776" s="144"/>
    </row>
    <row r="777" spans="3:40" ht="25" thickBot="1">
      <c r="C777" s="162"/>
      <c r="D777" s="492" t="s">
        <v>436</v>
      </c>
      <c r="E777" s="92" t="s">
        <v>29</v>
      </c>
      <c r="F777" s="92" t="s">
        <v>28</v>
      </c>
      <c r="G777" s="93" t="s">
        <v>27</v>
      </c>
      <c r="H777" s="855" t="s">
        <v>793</v>
      </c>
      <c r="I777" s="1440"/>
      <c r="J777" s="1246"/>
      <c r="K777" s="1441"/>
      <c r="L777" s="856" t="s">
        <v>1002</v>
      </c>
      <c r="M777" s="470"/>
      <c r="N777" s="162"/>
      <c r="O777" s="123"/>
      <c r="P777" s="145"/>
      <c r="Q777" s="123"/>
      <c r="R777" s="123"/>
      <c r="S777" s="183"/>
      <c r="T777" s="123"/>
      <c r="U777" s="146"/>
      <c r="V777" s="147"/>
      <c r="W777" s="184"/>
      <c r="X777" s="146"/>
      <c r="Y777" s="124"/>
      <c r="Z777" s="124"/>
      <c r="AA777" s="89"/>
      <c r="AB777" s="162"/>
      <c r="AC777" s="123"/>
      <c r="AD777" s="145"/>
      <c r="AE777" s="123"/>
      <c r="AF777" s="123"/>
      <c r="AG777" s="183"/>
      <c r="AH777" s="123"/>
      <c r="AI777" s="146"/>
      <c r="AJ777" s="147"/>
      <c r="AK777" s="184"/>
      <c r="AL777" s="146"/>
      <c r="AM777" s="124"/>
      <c r="AN777" s="124"/>
    </row>
    <row r="778" spans="3:40" ht="24">
      <c r="C778" s="162"/>
      <c r="D778" s="493">
        <v>45565</v>
      </c>
      <c r="E778" s="98">
        <v>5.0000000000000001E-3</v>
      </c>
      <c r="F778" s="98" t="s">
        <v>449</v>
      </c>
      <c r="G778" s="98">
        <v>7.0000000000000001E-3</v>
      </c>
      <c r="H778" s="850">
        <v>0.25</v>
      </c>
      <c r="I778" s="1440"/>
      <c r="J778" s="1246"/>
      <c r="K778" s="1441"/>
      <c r="L778" s="857">
        <v>4.1666666666666664E-2</v>
      </c>
      <c r="M778" s="471"/>
      <c r="N778" s="162"/>
      <c r="O778" s="148"/>
      <c r="P778" s="124"/>
      <c r="Q778" s="148"/>
      <c r="R778" s="148"/>
      <c r="S778" s="183"/>
      <c r="T778" s="148"/>
      <c r="U778" s="148"/>
      <c r="V778" s="148"/>
      <c r="W778" s="186"/>
      <c r="X778" s="148"/>
      <c r="Y778" s="124"/>
      <c r="Z778" s="124"/>
      <c r="AA778" s="89"/>
      <c r="AB778" s="162"/>
      <c r="AC778" s="148"/>
      <c r="AD778" s="124"/>
      <c r="AE778" s="148"/>
      <c r="AF778" s="148"/>
      <c r="AG778" s="183"/>
      <c r="AH778" s="148"/>
      <c r="AI778" s="148"/>
      <c r="AJ778" s="148"/>
      <c r="AK778" s="186"/>
      <c r="AL778" s="148"/>
      <c r="AM778" s="124"/>
      <c r="AN778" s="124"/>
    </row>
    <row r="779" spans="3:40" ht="24">
      <c r="C779" s="162"/>
      <c r="D779" s="493">
        <v>45519</v>
      </c>
      <c r="E779" s="98">
        <v>6.0000000000000001E-3</v>
      </c>
      <c r="F779" s="98" t="s">
        <v>449</v>
      </c>
      <c r="G779" s="98">
        <v>7.0000000000000001E-3</v>
      </c>
      <c r="H779" s="850">
        <v>0.25</v>
      </c>
      <c r="I779" s="1440"/>
      <c r="J779" s="1246"/>
      <c r="K779" s="1441"/>
      <c r="L779" s="857">
        <v>4.1666666666666664E-2</v>
      </c>
      <c r="M779" s="472"/>
      <c r="N779" s="162"/>
      <c r="O779" s="115" t="s">
        <v>813</v>
      </c>
      <c r="P779" s="191">
        <v>0.05</v>
      </c>
      <c r="Q779" s="149">
        <v>6.5711111111111109E-2</v>
      </c>
      <c r="R779" s="150">
        <v>0.02</v>
      </c>
      <c r="S779" s="187">
        <v>1.5</v>
      </c>
      <c r="T779" s="125">
        <v>0.11856666666666667</v>
      </c>
      <c r="U779" s="151">
        <v>-30.817614754102841</v>
      </c>
      <c r="V779" s="152">
        <v>30.25</v>
      </c>
      <c r="W779" s="189">
        <v>2</v>
      </c>
      <c r="X779" s="153">
        <v>61.635229508205683</v>
      </c>
      <c r="Y779" s="154"/>
      <c r="Z779" s="154"/>
      <c r="AA779" s="89"/>
      <c r="AB779" s="162"/>
      <c r="AC779" s="115" t="s">
        <v>813</v>
      </c>
      <c r="AD779" s="191">
        <v>0.05</v>
      </c>
      <c r="AE779" s="149">
        <v>6.5711111111111109E-2</v>
      </c>
      <c r="AF779" s="150">
        <v>0.02</v>
      </c>
      <c r="AG779" s="187">
        <v>1.5</v>
      </c>
      <c r="AH779" s="125">
        <v>0.11856666666666667</v>
      </c>
      <c r="AI779" s="151">
        <v>-30.817614754102841</v>
      </c>
      <c r="AJ779" s="152">
        <v>30.25</v>
      </c>
      <c r="AK779" s="189">
        <v>2</v>
      </c>
      <c r="AL779" s="153">
        <v>61.635229508205683</v>
      </c>
      <c r="AM779" s="211">
        <v>-3.0817614754102842E-3</v>
      </c>
      <c r="AN779" s="212" t="s">
        <v>1004</v>
      </c>
    </row>
    <row r="780" spans="3:40" ht="24">
      <c r="C780" s="162"/>
      <c r="D780" s="493">
        <v>45471</v>
      </c>
      <c r="E780" s="98">
        <v>7.0000000000000001E-3</v>
      </c>
      <c r="F780" s="98" t="s">
        <v>449</v>
      </c>
      <c r="G780" s="98">
        <v>-3.0000000000000001E-3</v>
      </c>
      <c r="H780" s="850">
        <v>0.25</v>
      </c>
      <c r="I780" s="1440"/>
      <c r="J780" s="1246"/>
      <c r="K780" s="1441"/>
      <c r="L780" s="857">
        <v>4.1666666666666664E-2</v>
      </c>
      <c r="M780" s="466"/>
      <c r="N780" s="162"/>
      <c r="O780" s="115"/>
      <c r="P780" s="191"/>
      <c r="Q780" s="149"/>
      <c r="R780" s="150"/>
      <c r="S780" s="187"/>
      <c r="T780" s="188"/>
      <c r="U780" s="151"/>
      <c r="V780" s="152"/>
      <c r="W780" s="189"/>
      <c r="X780" s="153"/>
      <c r="Y780" s="154"/>
      <c r="Z780" s="154"/>
      <c r="AA780" s="89"/>
      <c r="AB780" s="162"/>
      <c r="AC780" s="115"/>
      <c r="AD780" s="191"/>
      <c r="AE780" s="149"/>
      <c r="AF780" s="150"/>
      <c r="AG780" s="187"/>
      <c r="AH780" s="188"/>
      <c r="AI780" s="89"/>
      <c r="AJ780" s="152"/>
      <c r="AK780" s="189"/>
      <c r="AL780" s="153"/>
      <c r="AM780" s="154"/>
      <c r="AN780" s="154"/>
    </row>
    <row r="781" spans="3:40" ht="24">
      <c r="C781" s="162"/>
      <c r="D781" s="493">
        <v>45422</v>
      </c>
      <c r="E781" s="98">
        <v>6.0000000000000001E-3</v>
      </c>
      <c r="F781" s="98" t="s">
        <v>452</v>
      </c>
      <c r="G781" s="98">
        <v>-3.0000000000000001E-3</v>
      </c>
      <c r="H781" s="850">
        <v>0.25</v>
      </c>
      <c r="I781" s="1440"/>
      <c r="J781" s="1246"/>
      <c r="K781" s="1441"/>
      <c r="L781" s="857">
        <v>4.1666666666666664E-2</v>
      </c>
      <c r="M781" s="466"/>
      <c r="N781" s="162"/>
      <c r="O781" s="115"/>
      <c r="P781" s="116"/>
      <c r="Q781" s="149"/>
      <c r="R781" s="150"/>
      <c r="S781" s="119"/>
      <c r="T781" s="116"/>
      <c r="U781" s="151"/>
      <c r="V781" s="152"/>
      <c r="W781" s="119"/>
      <c r="X781" s="153"/>
      <c r="Y781" s="154"/>
      <c r="Z781" s="154"/>
      <c r="AA781" s="89"/>
      <c r="AB781" s="162"/>
      <c r="AC781" s="115"/>
      <c r="AD781" s="116"/>
      <c r="AE781" s="149"/>
      <c r="AF781" s="150"/>
      <c r="AG781" s="119"/>
      <c r="AH781" s="116"/>
      <c r="AI781" s="151"/>
      <c r="AJ781" s="152"/>
      <c r="AK781" s="119"/>
      <c r="AL781" s="153"/>
      <c r="AM781" s="154"/>
      <c r="AN781" s="154"/>
    </row>
    <row r="782" spans="3:40" ht="24">
      <c r="C782" s="162"/>
      <c r="D782" s="493">
        <v>45379</v>
      </c>
      <c r="E782" s="98">
        <v>-3.0000000000000001E-3</v>
      </c>
      <c r="F782" s="98" t="s">
        <v>454</v>
      </c>
      <c r="G782" s="98">
        <v>-1E-3</v>
      </c>
      <c r="H782" s="850">
        <v>0.25</v>
      </c>
      <c r="I782" s="1440"/>
      <c r="J782" s="1246"/>
      <c r="K782" s="1441"/>
      <c r="L782" s="857">
        <v>4.1666666666666664E-2</v>
      </c>
      <c r="M782" s="466"/>
      <c r="N782" s="162"/>
      <c r="O782" s="89"/>
      <c r="P782" s="89"/>
      <c r="Q782" s="89"/>
      <c r="R782" s="89"/>
      <c r="S782" s="89"/>
      <c r="T782" s="89"/>
      <c r="U782" s="89"/>
      <c r="V782" s="89"/>
      <c r="W782" s="89"/>
      <c r="X782" s="89"/>
      <c r="Y782" s="89"/>
      <c r="Z782" s="89"/>
      <c r="AA782" s="89"/>
      <c r="AB782" s="89"/>
      <c r="AC782" s="89"/>
      <c r="AD782" s="89"/>
      <c r="AE782" s="89"/>
      <c r="AF782" s="89"/>
      <c r="AG782" s="89"/>
      <c r="AH782" s="89"/>
      <c r="AI782" s="89"/>
      <c r="AJ782" s="89"/>
      <c r="AK782" s="89"/>
      <c r="AL782" s="89"/>
      <c r="AM782" s="89"/>
      <c r="AN782" s="89"/>
    </row>
    <row r="783" spans="3:40" ht="25" thickBot="1">
      <c r="C783" s="162"/>
      <c r="D783" s="495">
        <v>45337</v>
      </c>
      <c r="E783" s="213">
        <v>-3.0000000000000001E-3</v>
      </c>
      <c r="F783" s="213" t="s">
        <v>456</v>
      </c>
      <c r="G783" s="213">
        <v>-1E-3</v>
      </c>
      <c r="H783" s="858">
        <v>0.25</v>
      </c>
      <c r="I783" s="1442"/>
      <c r="J783" s="1249"/>
      <c r="K783" s="1443"/>
      <c r="L783" s="859">
        <v>4.1666666666666664E-2</v>
      </c>
      <c r="M783" s="469"/>
      <c r="N783" s="162"/>
      <c r="O783" s="89"/>
      <c r="P783" s="89"/>
      <c r="Q783" s="89"/>
      <c r="R783" s="89"/>
      <c r="S783" s="89"/>
      <c r="T783" s="89"/>
      <c r="U783" s="89"/>
      <c r="V783" s="89"/>
      <c r="W783" s="89"/>
      <c r="X783" s="89"/>
      <c r="Y783" s="89"/>
      <c r="Z783" s="89"/>
      <c r="AA783" s="89"/>
      <c r="AB783" s="89"/>
      <c r="AC783" s="89"/>
      <c r="AD783" s="89"/>
      <c r="AE783" s="89"/>
      <c r="AF783" s="89"/>
      <c r="AG783" s="89"/>
      <c r="AH783" s="89"/>
      <c r="AI783" s="89"/>
      <c r="AJ783" s="89"/>
      <c r="AK783" s="89"/>
      <c r="AL783" s="89"/>
      <c r="AM783" s="89"/>
      <c r="AN783" s="89"/>
    </row>
    <row r="784" spans="3:40" ht="49" thickBot="1">
      <c r="C784" s="90">
        <v>11</v>
      </c>
      <c r="D784" s="494" t="s">
        <v>30</v>
      </c>
      <c r="E784" s="1429" t="s">
        <v>965</v>
      </c>
      <c r="F784" s="1430"/>
      <c r="G784" s="1431"/>
      <c r="H784" s="844" t="s">
        <v>790</v>
      </c>
      <c r="I784" s="1432" t="s">
        <v>633</v>
      </c>
      <c r="J784" s="1433"/>
      <c r="K784" s="1434"/>
      <c r="L784" s="845" t="s">
        <v>430</v>
      </c>
      <c r="M784" s="465" t="s">
        <v>431</v>
      </c>
      <c r="N784" s="162" t="s">
        <v>105</v>
      </c>
      <c r="O784" s="114" t="s">
        <v>800</v>
      </c>
      <c r="P784" s="114" t="s">
        <v>801</v>
      </c>
      <c r="Q784" s="114" t="s">
        <v>802</v>
      </c>
      <c r="R784" s="114" t="s">
        <v>803</v>
      </c>
      <c r="S784" s="114" t="s">
        <v>804</v>
      </c>
      <c r="T784" s="114" t="s">
        <v>805</v>
      </c>
      <c r="U784" s="114" t="s">
        <v>806</v>
      </c>
      <c r="V784" s="114" t="s">
        <v>807</v>
      </c>
      <c r="W784" s="114" t="s">
        <v>808</v>
      </c>
      <c r="X784" s="114" t="s">
        <v>809</v>
      </c>
      <c r="Y784" s="114" t="s">
        <v>75</v>
      </c>
      <c r="Z784" s="114" t="s">
        <v>75</v>
      </c>
      <c r="AA784" s="89"/>
      <c r="AB784" s="89"/>
      <c r="AC784" s="89"/>
      <c r="AD784" s="89"/>
      <c r="AE784" s="89"/>
      <c r="AF784" s="89"/>
      <c r="AG784" s="89"/>
      <c r="AH784" s="89"/>
      <c r="AI784" s="89"/>
      <c r="AJ784" s="89"/>
      <c r="AK784" s="89"/>
      <c r="AL784" s="89"/>
      <c r="AM784" s="89"/>
      <c r="AN784" s="89"/>
    </row>
    <row r="785" spans="3:40" ht="24">
      <c r="C785" s="162"/>
      <c r="D785" s="489" t="s">
        <v>432</v>
      </c>
      <c r="E785" s="1435"/>
      <c r="F785" s="1436"/>
      <c r="G785" s="1437"/>
      <c r="H785" s="846" t="s">
        <v>947</v>
      </c>
      <c r="I785" s="1438" t="s">
        <v>966</v>
      </c>
      <c r="J785" s="1243"/>
      <c r="K785" s="1439"/>
      <c r="L785" s="835"/>
      <c r="M785" s="466"/>
      <c r="N785" s="162"/>
      <c r="O785" s="115" t="s">
        <v>810</v>
      </c>
      <c r="P785" s="163">
        <v>0.1</v>
      </c>
      <c r="Q785" s="164">
        <v>1.9E-2</v>
      </c>
      <c r="R785" s="165">
        <v>1.8000000000000682E-2</v>
      </c>
      <c r="S785" s="119">
        <v>0</v>
      </c>
      <c r="T785" s="115">
        <v>5.6499999999991134E-2</v>
      </c>
      <c r="U785" s="164">
        <v>-10.78</v>
      </c>
      <c r="V785" s="163">
        <v>91.8</v>
      </c>
      <c r="W785" s="166">
        <v>2</v>
      </c>
      <c r="X785" s="153"/>
      <c r="Y785" s="120"/>
      <c r="Z785" s="120"/>
      <c r="AA785" s="89"/>
      <c r="AB785" s="89"/>
      <c r="AC785" s="89"/>
      <c r="AD785" s="89"/>
      <c r="AE785" s="89"/>
      <c r="AF785" s="89"/>
      <c r="AG785" s="89"/>
      <c r="AH785" s="89"/>
      <c r="AI785" s="89"/>
      <c r="AJ785" s="89"/>
      <c r="AK785" s="89"/>
      <c r="AL785" s="89"/>
      <c r="AM785" s="89"/>
      <c r="AN785" s="89"/>
    </row>
    <row r="786" spans="3:40" ht="24">
      <c r="C786" s="162"/>
      <c r="D786" s="490" t="s">
        <v>433</v>
      </c>
      <c r="E786" s="1444">
        <v>2E-3</v>
      </c>
      <c r="F786" s="1445"/>
      <c r="G786" s="1446"/>
      <c r="H786" s="846" t="s">
        <v>908</v>
      </c>
      <c r="I786" s="1440"/>
      <c r="J786" s="1246"/>
      <c r="K786" s="1441"/>
      <c r="L786" s="835"/>
      <c r="M786" s="466"/>
      <c r="N786" s="162"/>
      <c r="O786" s="121"/>
      <c r="P786" s="121"/>
      <c r="Q786" s="121"/>
      <c r="R786" s="122"/>
      <c r="S786" s="123"/>
      <c r="T786" s="121"/>
      <c r="U786" s="121"/>
      <c r="V786" s="121"/>
      <c r="W786" s="121"/>
      <c r="X786" s="123"/>
      <c r="Y786" s="124"/>
      <c r="Z786" s="124"/>
      <c r="AA786" s="89"/>
      <c r="AB786" s="89"/>
      <c r="AC786" s="89"/>
      <c r="AD786" s="89"/>
      <c r="AE786" s="89"/>
      <c r="AF786" s="89"/>
      <c r="AG786" s="89"/>
      <c r="AH786" s="89"/>
      <c r="AI786" s="89"/>
      <c r="AJ786" s="89"/>
      <c r="AK786" s="89"/>
      <c r="AL786" s="89"/>
      <c r="AM786" s="89"/>
      <c r="AN786" s="89"/>
    </row>
    <row r="787" spans="3:40" ht="24">
      <c r="C787" s="162"/>
      <c r="D787" s="490" t="s">
        <v>434</v>
      </c>
      <c r="E787" s="1444">
        <v>5.0000000000000001E-3</v>
      </c>
      <c r="F787" s="1445"/>
      <c r="G787" s="1446"/>
      <c r="H787" s="847"/>
      <c r="I787" s="1440"/>
      <c r="J787" s="1246"/>
      <c r="K787" s="1441"/>
      <c r="L787" s="835"/>
      <c r="M787" s="466"/>
      <c r="N787" s="162"/>
      <c r="O787" s="125" t="s">
        <v>811</v>
      </c>
      <c r="P787" s="167">
        <v>0.1</v>
      </c>
      <c r="Q787" s="168">
        <v>6.8099999999999994E-2</v>
      </c>
      <c r="R787" s="169">
        <v>1.8000000000000682E-2</v>
      </c>
      <c r="S787" s="179">
        <v>1</v>
      </c>
      <c r="T787" s="125">
        <v>0.12015000000000067</v>
      </c>
      <c r="U787" s="130">
        <v>-22.924194690269211</v>
      </c>
      <c r="V787" s="131">
        <v>60.5</v>
      </c>
      <c r="W787" s="180">
        <v>1.77</v>
      </c>
      <c r="X787" s="133">
        <v>40.575824601776503</v>
      </c>
      <c r="Y787" s="134"/>
      <c r="Z787" s="134"/>
      <c r="AA787" s="89"/>
      <c r="AB787" s="89"/>
      <c r="AC787" s="89"/>
      <c r="AD787" s="89"/>
      <c r="AE787" s="89"/>
      <c r="AF787" s="89"/>
      <c r="AG787" s="89"/>
      <c r="AH787" s="89"/>
      <c r="AI787" s="89"/>
      <c r="AJ787" s="89"/>
      <c r="AK787" s="89"/>
      <c r="AL787" s="89"/>
      <c r="AM787" s="89"/>
      <c r="AN787" s="89"/>
    </row>
    <row r="788" spans="3:40" ht="25" thickBot="1">
      <c r="C788" s="162"/>
      <c r="D788" s="491" t="s">
        <v>435</v>
      </c>
      <c r="E788" s="1447">
        <v>0.29166666666666674</v>
      </c>
      <c r="F788" s="1448"/>
      <c r="G788" s="1449"/>
      <c r="H788" s="847"/>
      <c r="I788" s="1440"/>
      <c r="J788" s="1246"/>
      <c r="K788" s="1441"/>
      <c r="L788" s="836">
        <v>0.52083333333333337</v>
      </c>
      <c r="M788" s="467">
        <v>0.375</v>
      </c>
      <c r="N788" s="162"/>
      <c r="O788" s="135" t="s">
        <v>812</v>
      </c>
      <c r="P788" s="171">
        <v>0.1</v>
      </c>
      <c r="Q788" s="156">
        <v>0.11893333333333332</v>
      </c>
      <c r="R788" s="172">
        <v>1.4E-2</v>
      </c>
      <c r="S788" s="181">
        <v>1</v>
      </c>
      <c r="T788" s="173">
        <v>0.19239999999999999</v>
      </c>
      <c r="U788" s="140">
        <v>-36.709238938058853</v>
      </c>
      <c r="V788" s="141">
        <v>60.5</v>
      </c>
      <c r="W788" s="182">
        <v>3.08</v>
      </c>
      <c r="X788" s="143">
        <v>113.06445592922127</v>
      </c>
      <c r="Y788" s="144"/>
      <c r="Z788" s="144"/>
      <c r="AA788" s="89"/>
      <c r="AB788" s="89"/>
      <c r="AC788" s="89"/>
      <c r="AD788" s="89"/>
      <c r="AE788" s="89"/>
      <c r="AF788" s="89"/>
      <c r="AG788" s="89"/>
      <c r="AH788" s="89"/>
      <c r="AI788" s="89"/>
      <c r="AJ788" s="89"/>
      <c r="AK788" s="89"/>
      <c r="AL788" s="89"/>
      <c r="AM788" s="89"/>
      <c r="AN788" s="89"/>
    </row>
    <row r="789" spans="3:40" ht="25" thickBot="1">
      <c r="C789" s="162"/>
      <c r="D789" s="492" t="s">
        <v>436</v>
      </c>
      <c r="E789" s="92" t="s">
        <v>29</v>
      </c>
      <c r="F789" s="92" t="s">
        <v>28</v>
      </c>
      <c r="G789" s="93" t="s">
        <v>27</v>
      </c>
      <c r="H789" s="855" t="s">
        <v>793</v>
      </c>
      <c r="I789" s="1440"/>
      <c r="J789" s="1246"/>
      <c r="K789" s="1441"/>
      <c r="L789" s="856"/>
      <c r="M789" s="470"/>
      <c r="N789" s="162"/>
      <c r="O789" s="123"/>
      <c r="P789" s="145"/>
      <c r="Q789" s="123"/>
      <c r="R789" s="123"/>
      <c r="S789" s="183"/>
      <c r="T789" s="123"/>
      <c r="U789" s="146"/>
      <c r="V789" s="147"/>
      <c r="W789" s="184"/>
      <c r="X789" s="146"/>
      <c r="Y789" s="124"/>
      <c r="Z789" s="124"/>
      <c r="AA789" s="89"/>
      <c r="AB789" s="89"/>
      <c r="AC789" s="89"/>
      <c r="AD789" s="89"/>
      <c r="AE789" s="89"/>
      <c r="AF789" s="89"/>
      <c r="AG789" s="89"/>
      <c r="AH789" s="89"/>
      <c r="AI789" s="89"/>
      <c r="AJ789" s="89"/>
      <c r="AK789" s="89"/>
      <c r="AL789" s="89"/>
      <c r="AM789" s="89"/>
      <c r="AN789" s="89"/>
    </row>
    <row r="790" spans="3:40" ht="24">
      <c r="C790" s="162"/>
      <c r="D790" s="493">
        <v>45565</v>
      </c>
      <c r="E790" s="98">
        <v>5.0000000000000001E-3</v>
      </c>
      <c r="F790" s="98" t="s">
        <v>449</v>
      </c>
      <c r="G790" s="98">
        <v>7.0000000000000001E-3</v>
      </c>
      <c r="H790" s="850">
        <v>0.25</v>
      </c>
      <c r="I790" s="1440"/>
      <c r="J790" s="1246"/>
      <c r="K790" s="1441"/>
      <c r="L790" s="857">
        <v>4.1666666666666664E-2</v>
      </c>
      <c r="M790" s="471"/>
      <c r="N790" s="162"/>
      <c r="O790" s="148"/>
      <c r="P790" s="124"/>
      <c r="Q790" s="148"/>
      <c r="R790" s="148"/>
      <c r="S790" s="183"/>
      <c r="T790" s="148"/>
      <c r="U790" s="148"/>
      <c r="V790" s="148"/>
      <c r="W790" s="186"/>
      <c r="X790" s="148"/>
      <c r="Y790" s="124"/>
      <c r="Z790" s="124"/>
      <c r="AA790" s="89"/>
      <c r="AB790" s="214">
        <v>8.3333333333333329E-2</v>
      </c>
      <c r="AC790" s="89"/>
      <c r="AD790" s="89"/>
      <c r="AE790" s="89"/>
      <c r="AF790" s="89"/>
      <c r="AG790" s="89"/>
      <c r="AH790" s="89"/>
      <c r="AI790" s="89"/>
      <c r="AJ790" s="89"/>
      <c r="AK790" s="89"/>
      <c r="AL790" s="89"/>
      <c r="AM790" s="89"/>
      <c r="AN790" s="89"/>
    </row>
    <row r="791" spans="3:40" ht="24">
      <c r="C791" s="162"/>
      <c r="D791" s="493">
        <v>45519</v>
      </c>
      <c r="E791" s="98">
        <v>6.0000000000000001E-3</v>
      </c>
      <c r="F791" s="98" t="s">
        <v>449</v>
      </c>
      <c r="G791" s="98">
        <v>7.0000000000000001E-3</v>
      </c>
      <c r="H791" s="850">
        <v>0.25</v>
      </c>
      <c r="I791" s="1440"/>
      <c r="J791" s="1246"/>
      <c r="K791" s="1441"/>
      <c r="L791" s="857">
        <v>4.1666666666666664E-2</v>
      </c>
      <c r="M791" s="472"/>
      <c r="N791" s="162"/>
      <c r="O791" s="115" t="s">
        <v>813</v>
      </c>
      <c r="P791" s="191">
        <v>0.1</v>
      </c>
      <c r="Q791" s="149">
        <v>0.03</v>
      </c>
      <c r="R791" s="150">
        <v>1.4E-2</v>
      </c>
      <c r="S791" s="187">
        <v>1</v>
      </c>
      <c r="T791" s="188">
        <v>0.19239999999999999</v>
      </c>
      <c r="U791" s="151">
        <v>-36.709238938058853</v>
      </c>
      <c r="V791" s="152">
        <v>60.5</v>
      </c>
      <c r="W791" s="189">
        <v>3</v>
      </c>
      <c r="X791" s="153">
        <v>110.12771681417655</v>
      </c>
      <c r="Y791" s="154" t="s">
        <v>814</v>
      </c>
      <c r="Z791" s="154"/>
      <c r="AA791" s="89"/>
      <c r="AB791" s="214">
        <v>0.33333333333333331</v>
      </c>
      <c r="AC791" s="89"/>
      <c r="AD791" s="89"/>
      <c r="AE791" s="89"/>
      <c r="AF791" s="89"/>
      <c r="AG791" s="89"/>
      <c r="AH791" s="89"/>
      <c r="AI791" s="89"/>
      <c r="AJ791" s="89"/>
      <c r="AK791" s="89"/>
      <c r="AL791" s="89"/>
      <c r="AM791" s="89"/>
      <c r="AN791" s="89"/>
    </row>
    <row r="792" spans="3:40" ht="24">
      <c r="C792" s="162"/>
      <c r="D792" s="493">
        <v>45471</v>
      </c>
      <c r="E792" s="98">
        <v>7.0000000000000001E-3</v>
      </c>
      <c r="F792" s="98" t="s">
        <v>449</v>
      </c>
      <c r="G792" s="98">
        <v>-3.0000000000000001E-3</v>
      </c>
      <c r="H792" s="850">
        <v>0.25</v>
      </c>
      <c r="I792" s="1440"/>
      <c r="J792" s="1246"/>
      <c r="K792" s="1441"/>
      <c r="L792" s="857">
        <v>4.1666666666666664E-2</v>
      </c>
      <c r="M792" s="466"/>
      <c r="N792" s="162"/>
      <c r="O792" s="115" t="s">
        <v>813</v>
      </c>
      <c r="P792" s="191">
        <v>-0.1</v>
      </c>
      <c r="Q792" s="149">
        <v>0.03</v>
      </c>
      <c r="R792" s="150">
        <v>1.4E-2</v>
      </c>
      <c r="S792" s="187">
        <v>-1</v>
      </c>
      <c r="T792" s="188">
        <v>0.19239999999999999</v>
      </c>
      <c r="U792" s="151">
        <v>-36.709238938058853</v>
      </c>
      <c r="V792" s="152">
        <v>60.5</v>
      </c>
      <c r="W792" s="189">
        <v>3</v>
      </c>
      <c r="X792" s="153">
        <v>110.12771681417655</v>
      </c>
      <c r="Y792" s="154" t="s">
        <v>814</v>
      </c>
      <c r="Z792" s="154"/>
      <c r="AA792" s="89"/>
      <c r="AB792" s="214">
        <v>8.3333333333333329E-2</v>
      </c>
      <c r="AC792" s="89"/>
      <c r="AD792" s="89"/>
      <c r="AE792" s="89"/>
      <c r="AF792" s="89"/>
      <c r="AG792" s="89"/>
      <c r="AH792" s="89"/>
      <c r="AI792" s="89"/>
      <c r="AJ792" s="89"/>
      <c r="AK792" s="89"/>
      <c r="AL792" s="89"/>
      <c r="AM792" s="89"/>
      <c r="AN792" s="89"/>
    </row>
    <row r="793" spans="3:40" ht="24">
      <c r="C793" s="162"/>
      <c r="D793" s="493">
        <v>45422</v>
      </c>
      <c r="E793" s="98">
        <v>6.0000000000000001E-3</v>
      </c>
      <c r="F793" s="98" t="s">
        <v>452</v>
      </c>
      <c r="G793" s="98">
        <v>-3.0000000000000001E-3</v>
      </c>
      <c r="H793" s="850">
        <v>0.25</v>
      </c>
      <c r="I793" s="1440"/>
      <c r="J793" s="1246"/>
      <c r="K793" s="1441"/>
      <c r="L793" s="857">
        <v>4.1666666666666664E-2</v>
      </c>
      <c r="M793" s="466"/>
      <c r="N793" s="162"/>
      <c r="O793" s="115"/>
      <c r="P793" s="116"/>
      <c r="Q793" s="149"/>
      <c r="R793" s="150"/>
      <c r="S793" s="119"/>
      <c r="T793" s="116"/>
      <c r="U793" s="151"/>
      <c r="V793" s="152"/>
      <c r="W793" s="119"/>
      <c r="X793" s="153"/>
      <c r="Y793" s="154"/>
      <c r="Z793" s="154"/>
      <c r="AA793" s="89"/>
      <c r="AB793" s="214">
        <v>0.33333333333333331</v>
      </c>
      <c r="AC793" s="89"/>
      <c r="AD793" s="89"/>
      <c r="AE793" s="89"/>
      <c r="AF793" s="89"/>
      <c r="AG793" s="89"/>
      <c r="AH793" s="89"/>
      <c r="AI793" s="89"/>
      <c r="AJ793" s="89"/>
      <c r="AK793" s="89"/>
      <c r="AL793" s="89"/>
      <c r="AM793" s="89"/>
      <c r="AN793" s="89"/>
    </row>
    <row r="794" spans="3:40" ht="24">
      <c r="C794" s="162"/>
      <c r="D794" s="493">
        <v>45379</v>
      </c>
      <c r="E794" s="98">
        <v>-3.0000000000000001E-3</v>
      </c>
      <c r="F794" s="98" t="s">
        <v>454</v>
      </c>
      <c r="G794" s="98">
        <v>-1E-3</v>
      </c>
      <c r="H794" s="850">
        <v>0.29166666666666669</v>
      </c>
      <c r="I794" s="1440"/>
      <c r="J794" s="1246"/>
      <c r="K794" s="1441"/>
      <c r="L794" s="857">
        <v>8.3333333333333329E-2</v>
      </c>
      <c r="M794" s="466"/>
      <c r="N794" s="162"/>
      <c r="O794" s="89"/>
      <c r="P794" s="89"/>
      <c r="Q794" s="89"/>
      <c r="R794" s="89"/>
      <c r="S794" s="89"/>
      <c r="T794" s="89"/>
      <c r="U794" s="89"/>
      <c r="V794" s="89"/>
      <c r="W794" s="89"/>
      <c r="X794" s="89"/>
      <c r="Y794" s="89"/>
      <c r="Z794" s="89"/>
      <c r="AA794" s="89"/>
      <c r="AB794" s="214">
        <v>8.3333333333333329E-2</v>
      </c>
      <c r="AC794" s="89"/>
      <c r="AD794" s="89"/>
      <c r="AE794" s="89"/>
      <c r="AF794" s="89"/>
      <c r="AG794" s="89"/>
      <c r="AH794" s="89"/>
      <c r="AI794" s="89"/>
      <c r="AJ794" s="89"/>
      <c r="AK794" s="89"/>
      <c r="AL794" s="89"/>
      <c r="AM794" s="89"/>
      <c r="AN794" s="89"/>
    </row>
    <row r="795" spans="3:40" ht="25" thickBot="1">
      <c r="C795" s="162"/>
      <c r="D795" s="495">
        <v>45337</v>
      </c>
      <c r="E795" s="213">
        <v>-3.0000000000000001E-3</v>
      </c>
      <c r="F795" s="213" t="s">
        <v>456</v>
      </c>
      <c r="G795" s="213">
        <v>-1E-3</v>
      </c>
      <c r="H795" s="858">
        <v>0.29166666666666669</v>
      </c>
      <c r="I795" s="1442"/>
      <c r="J795" s="1249"/>
      <c r="K795" s="1443"/>
      <c r="L795" s="859">
        <v>8.3333333333333329E-2</v>
      </c>
      <c r="M795" s="469"/>
      <c r="N795" s="162"/>
      <c r="O795" s="89"/>
      <c r="P795" s="89"/>
      <c r="Q795" s="89"/>
      <c r="R795" s="89"/>
      <c r="S795" s="89"/>
      <c r="T795" s="89"/>
      <c r="U795" s="89"/>
      <c r="V795" s="89"/>
      <c r="W795" s="89"/>
      <c r="X795" s="89"/>
      <c r="Y795" s="89"/>
      <c r="Z795" s="89"/>
      <c r="AA795" s="89"/>
      <c r="AB795" s="214">
        <v>0.33333333333333331</v>
      </c>
      <c r="AC795" s="89"/>
      <c r="AD795" s="89"/>
      <c r="AE795" s="89"/>
      <c r="AF795" s="89"/>
      <c r="AG795" s="89"/>
      <c r="AH795" s="89"/>
      <c r="AI795" s="89"/>
      <c r="AJ795" s="89"/>
      <c r="AK795" s="89"/>
      <c r="AL795" s="89"/>
      <c r="AM795" s="89"/>
      <c r="AN795" s="89"/>
    </row>
    <row r="796" spans="3:40" ht="49" thickBot="1">
      <c r="C796" s="90">
        <v>12</v>
      </c>
      <c r="D796" s="494" t="s">
        <v>30</v>
      </c>
      <c r="E796" s="1429" t="s">
        <v>967</v>
      </c>
      <c r="F796" s="1430"/>
      <c r="G796" s="1431"/>
      <c r="H796" s="844" t="s">
        <v>790</v>
      </c>
      <c r="I796" s="1432" t="s">
        <v>633</v>
      </c>
      <c r="J796" s="1433"/>
      <c r="K796" s="1434"/>
      <c r="L796" s="845" t="s">
        <v>430</v>
      </c>
      <c r="M796" s="465" t="s">
        <v>431</v>
      </c>
      <c r="N796" s="162" t="s">
        <v>105</v>
      </c>
      <c r="O796" s="114" t="s">
        <v>800</v>
      </c>
      <c r="P796" s="114" t="s">
        <v>801</v>
      </c>
      <c r="Q796" s="114" t="s">
        <v>802</v>
      </c>
      <c r="R796" s="114" t="s">
        <v>803</v>
      </c>
      <c r="S796" s="114" t="s">
        <v>804</v>
      </c>
      <c r="T796" s="114" t="s">
        <v>805</v>
      </c>
      <c r="U796" s="114" t="s">
        <v>806</v>
      </c>
      <c r="V796" s="114" t="s">
        <v>807</v>
      </c>
      <c r="W796" s="114" t="s">
        <v>808</v>
      </c>
      <c r="X796" s="114" t="s">
        <v>809</v>
      </c>
      <c r="Y796" s="114" t="s">
        <v>75</v>
      </c>
      <c r="Z796" s="114" t="s">
        <v>75</v>
      </c>
      <c r="AA796" s="89"/>
      <c r="AB796" s="89"/>
      <c r="AC796" s="89"/>
      <c r="AD796" s="89"/>
      <c r="AE796" s="89"/>
      <c r="AF796" s="89"/>
      <c r="AG796" s="89"/>
      <c r="AH796" s="89"/>
      <c r="AI796" s="89"/>
      <c r="AJ796" s="89"/>
      <c r="AK796" s="89"/>
      <c r="AL796" s="89"/>
      <c r="AM796" s="89"/>
      <c r="AN796" s="89"/>
    </row>
    <row r="797" spans="3:40" ht="24">
      <c r="C797" s="162"/>
      <c r="D797" s="489" t="s">
        <v>432</v>
      </c>
      <c r="E797" s="1435"/>
      <c r="F797" s="1436"/>
      <c r="G797" s="1437"/>
      <c r="H797" s="846" t="s">
        <v>794</v>
      </c>
      <c r="I797" s="1438" t="s">
        <v>691</v>
      </c>
      <c r="J797" s="1243"/>
      <c r="K797" s="1439"/>
      <c r="L797" s="835"/>
      <c r="M797" s="466"/>
      <c r="N797" s="162"/>
      <c r="O797" s="115" t="s">
        <v>810</v>
      </c>
      <c r="P797" s="116">
        <v>0.1</v>
      </c>
      <c r="Q797" s="117">
        <v>3.9E-2</v>
      </c>
      <c r="R797" s="118">
        <v>2.1000000000015007E-2</v>
      </c>
      <c r="S797" s="119"/>
      <c r="T797" s="115">
        <v>7.9500000000015003E-2</v>
      </c>
      <c r="U797" s="117">
        <v>-18.989999999999998</v>
      </c>
      <c r="V797" s="116">
        <v>91.8</v>
      </c>
      <c r="W797" s="119"/>
      <c r="X797" s="119"/>
      <c r="Y797" s="120"/>
      <c r="Z797" s="120"/>
      <c r="AA797" s="89"/>
      <c r="AB797" s="89"/>
      <c r="AC797" s="89"/>
      <c r="AD797" s="89"/>
      <c r="AE797" s="89"/>
      <c r="AF797" s="89"/>
      <c r="AG797" s="89"/>
      <c r="AH797" s="89"/>
      <c r="AI797" s="89"/>
      <c r="AJ797" s="89"/>
      <c r="AK797" s="89"/>
      <c r="AL797" s="89"/>
      <c r="AM797" s="89"/>
      <c r="AN797" s="89"/>
    </row>
    <row r="798" spans="3:40" ht="24">
      <c r="C798" s="162"/>
      <c r="D798" s="490" t="s">
        <v>433</v>
      </c>
      <c r="E798" s="1444">
        <v>2E-3</v>
      </c>
      <c r="F798" s="1445"/>
      <c r="G798" s="1446"/>
      <c r="H798" s="846" t="s">
        <v>795</v>
      </c>
      <c r="I798" s="1440"/>
      <c r="J798" s="1246"/>
      <c r="K798" s="1441"/>
      <c r="L798" s="835"/>
      <c r="M798" s="466"/>
      <c r="N798" s="162"/>
      <c r="O798" s="121"/>
      <c r="P798" s="121"/>
      <c r="Q798" s="121"/>
      <c r="R798" s="122"/>
      <c r="S798" s="123"/>
      <c r="T798" s="121"/>
      <c r="U798" s="121"/>
      <c r="V798" s="121"/>
      <c r="W798" s="123"/>
      <c r="X798" s="123"/>
      <c r="Y798" s="124"/>
      <c r="Z798" s="124"/>
      <c r="AA798" s="89"/>
      <c r="AB798" s="89"/>
      <c r="AC798" s="89"/>
      <c r="AD798" s="89"/>
      <c r="AE798" s="89"/>
      <c r="AF798" s="89"/>
      <c r="AG798" s="89"/>
      <c r="AH798" s="89"/>
      <c r="AI798" s="89"/>
      <c r="AJ798" s="89"/>
      <c r="AK798" s="89"/>
      <c r="AL798" s="89"/>
      <c r="AM798" s="89"/>
      <c r="AN798" s="89"/>
    </row>
    <row r="799" spans="3:40" ht="24">
      <c r="C799" s="162"/>
      <c r="D799" s="490" t="s">
        <v>434</v>
      </c>
      <c r="E799" s="1444">
        <v>5.0000000000000001E-3</v>
      </c>
      <c r="F799" s="1445"/>
      <c r="G799" s="1446"/>
      <c r="H799" s="847"/>
      <c r="I799" s="1440"/>
      <c r="J799" s="1246"/>
      <c r="K799" s="1441"/>
      <c r="L799" s="835"/>
      <c r="M799" s="466"/>
      <c r="N799" s="162"/>
      <c r="O799" s="125" t="s">
        <v>811</v>
      </c>
      <c r="P799" s="126">
        <v>0.1</v>
      </c>
      <c r="Q799" s="127">
        <v>7.22E-2</v>
      </c>
      <c r="R799" s="128">
        <v>1.4999999999999999E-2</v>
      </c>
      <c r="S799" s="129">
        <v>1</v>
      </c>
      <c r="T799" s="125">
        <v>0.12330000000000001</v>
      </c>
      <c r="U799" s="130">
        <v>-29.452415094334064</v>
      </c>
      <c r="V799" s="131">
        <v>60.5</v>
      </c>
      <c r="W799" s="132">
        <v>4.88</v>
      </c>
      <c r="X799" s="133">
        <v>143.72778566035024</v>
      </c>
      <c r="Y799" s="134"/>
      <c r="Z799" s="134">
        <v>4.4350000000000005</v>
      </c>
      <c r="AA799" s="89"/>
      <c r="AB799" s="89"/>
      <c r="AC799" s="89"/>
      <c r="AD799" s="89"/>
      <c r="AE799" s="89"/>
      <c r="AF799" s="89"/>
      <c r="AG799" s="89"/>
      <c r="AH799" s="89"/>
      <c r="AI799" s="89"/>
      <c r="AJ799" s="89"/>
      <c r="AK799" s="89"/>
      <c r="AL799" s="89"/>
      <c r="AM799" s="89"/>
      <c r="AN799" s="89"/>
    </row>
    <row r="800" spans="3:40" ht="25" thickBot="1">
      <c r="C800" s="162"/>
      <c r="D800" s="491" t="s">
        <v>435</v>
      </c>
      <c r="E800" s="1447">
        <v>0.5625</v>
      </c>
      <c r="F800" s="1448"/>
      <c r="G800" s="1449"/>
      <c r="H800" s="847"/>
      <c r="I800" s="1440"/>
      <c r="J800" s="1246"/>
      <c r="K800" s="1441"/>
      <c r="L800" s="836">
        <v>0.79166666666666663</v>
      </c>
      <c r="M800" s="467">
        <v>0.64583333333333326</v>
      </c>
      <c r="N800" s="162"/>
      <c r="O800" s="135" t="s">
        <v>812</v>
      </c>
      <c r="P800" s="136">
        <v>0.1</v>
      </c>
      <c r="Q800" s="137">
        <v>4.0533333333333338E-2</v>
      </c>
      <c r="R800" s="138">
        <v>1.4999999999999999E-2</v>
      </c>
      <c r="S800" s="139">
        <v>0.5</v>
      </c>
      <c r="T800" s="135">
        <v>7.5800000000000006E-2</v>
      </c>
      <c r="U800" s="140">
        <v>-9.0530943396209338</v>
      </c>
      <c r="V800" s="141">
        <v>60.5</v>
      </c>
      <c r="W800" s="142">
        <v>2.3650000000000002</v>
      </c>
      <c r="X800" s="143">
        <v>21.41056811320351</v>
      </c>
      <c r="Y800" s="144"/>
      <c r="Z800" s="144"/>
      <c r="AA800" s="89"/>
      <c r="AB800" s="89"/>
      <c r="AC800" s="89"/>
      <c r="AD800" s="89"/>
      <c r="AE800" s="89"/>
      <c r="AF800" s="89"/>
      <c r="AG800" s="89"/>
      <c r="AH800" s="89"/>
      <c r="AI800" s="89"/>
      <c r="AJ800" s="89"/>
      <c r="AK800" s="89"/>
      <c r="AL800" s="89"/>
      <c r="AM800" s="89"/>
      <c r="AN800" s="89"/>
    </row>
    <row r="801" spans="3:40" ht="25" thickBot="1">
      <c r="C801" s="162"/>
      <c r="D801" s="492" t="s">
        <v>436</v>
      </c>
      <c r="E801" s="92" t="s">
        <v>29</v>
      </c>
      <c r="F801" s="92" t="s">
        <v>28</v>
      </c>
      <c r="G801" s="93" t="s">
        <v>27</v>
      </c>
      <c r="H801" s="855" t="s">
        <v>793</v>
      </c>
      <c r="I801" s="1440"/>
      <c r="J801" s="1246"/>
      <c r="K801" s="1441"/>
      <c r="L801" s="856"/>
      <c r="M801" s="470"/>
      <c r="N801" s="162"/>
      <c r="O801" s="123"/>
      <c r="P801" s="145"/>
      <c r="Q801" s="123"/>
      <c r="R801" s="123"/>
      <c r="S801" s="123"/>
      <c r="T801" s="123"/>
      <c r="U801" s="146"/>
      <c r="V801" s="147"/>
      <c r="W801" s="123"/>
      <c r="X801" s="146"/>
      <c r="Y801" s="124"/>
      <c r="Z801" s="124"/>
      <c r="AA801" s="89"/>
      <c r="AB801" s="89"/>
      <c r="AC801" s="89"/>
      <c r="AD801" s="89"/>
      <c r="AE801" s="89"/>
      <c r="AF801" s="89"/>
      <c r="AG801" s="89"/>
      <c r="AH801" s="89"/>
      <c r="AI801" s="89"/>
      <c r="AJ801" s="89"/>
      <c r="AK801" s="89"/>
      <c r="AL801" s="89"/>
      <c r="AM801" s="89"/>
      <c r="AN801" s="89"/>
    </row>
    <row r="802" spans="3:40" ht="24">
      <c r="C802" s="162"/>
      <c r="D802" s="493">
        <v>45582</v>
      </c>
      <c r="E802" s="98">
        <v>5.0000000000000001E-3</v>
      </c>
      <c r="F802" s="98" t="s">
        <v>462</v>
      </c>
      <c r="G802" s="98">
        <v>2E-3</v>
      </c>
      <c r="H802" s="850">
        <v>0.52083333333333337</v>
      </c>
      <c r="I802" s="1440"/>
      <c r="J802" s="1246"/>
      <c r="K802" s="1441"/>
      <c r="L802" s="857">
        <v>0.3125</v>
      </c>
      <c r="M802" s="471"/>
      <c r="N802" s="162"/>
      <c r="O802" s="148"/>
      <c r="P802" s="124"/>
      <c r="Q802" s="148"/>
      <c r="R802" s="148"/>
      <c r="S802" s="148"/>
      <c r="T802" s="148"/>
      <c r="U802" s="148"/>
      <c r="V802" s="148"/>
      <c r="W802" s="148"/>
      <c r="X802" s="148"/>
      <c r="Y802" s="124"/>
      <c r="Z802" s="124"/>
      <c r="AA802" s="89"/>
      <c r="AB802" s="89"/>
      <c r="AC802" s="89"/>
      <c r="AD802" s="89"/>
      <c r="AE802" s="89"/>
      <c r="AF802" s="89"/>
      <c r="AG802" s="89"/>
      <c r="AH802" s="89"/>
      <c r="AI802" s="89"/>
      <c r="AJ802" s="89"/>
      <c r="AK802" s="89"/>
      <c r="AL802" s="89"/>
      <c r="AM802" s="89"/>
      <c r="AN802" s="89"/>
    </row>
    <row r="803" spans="3:40" ht="24">
      <c r="C803" s="162"/>
      <c r="D803" s="493">
        <v>45552</v>
      </c>
      <c r="E803" s="98">
        <v>1E-3</v>
      </c>
      <c r="F803" s="98" t="s">
        <v>460</v>
      </c>
      <c r="G803" s="98">
        <v>4.0000000000000001E-3</v>
      </c>
      <c r="H803" s="850">
        <v>0.52083333333333337</v>
      </c>
      <c r="I803" s="1440"/>
      <c r="J803" s="1246"/>
      <c r="K803" s="1441"/>
      <c r="L803" s="857">
        <v>0.3125</v>
      </c>
      <c r="M803" s="472"/>
      <c r="N803" s="162"/>
      <c r="O803" s="115" t="s">
        <v>813</v>
      </c>
      <c r="P803" s="116">
        <v>0.25</v>
      </c>
      <c r="Q803" s="149">
        <v>4.0533333333333338E-2</v>
      </c>
      <c r="R803" s="150">
        <v>1.4999999999999999E-2</v>
      </c>
      <c r="S803" s="119">
        <v>0.5</v>
      </c>
      <c r="T803" s="116">
        <v>7.5800000000000006E-2</v>
      </c>
      <c r="U803" s="151">
        <v>-22.632735849052334</v>
      </c>
      <c r="V803" s="152">
        <v>151.25</v>
      </c>
      <c r="W803" s="119">
        <v>2</v>
      </c>
      <c r="X803" s="153">
        <v>45.265471698104669</v>
      </c>
      <c r="Y803" s="154" t="s">
        <v>814</v>
      </c>
      <c r="Z803" s="154"/>
      <c r="AA803" s="89"/>
      <c r="AB803" s="89"/>
      <c r="AC803" s="89"/>
      <c r="AD803" s="89"/>
      <c r="AE803" s="89"/>
      <c r="AF803" s="89"/>
      <c r="AG803" s="89"/>
      <c r="AH803" s="89"/>
      <c r="AI803" s="89"/>
      <c r="AJ803" s="89"/>
      <c r="AK803" s="89"/>
      <c r="AL803" s="89"/>
      <c r="AM803" s="89"/>
      <c r="AN803" s="89"/>
    </row>
    <row r="804" spans="3:40" ht="24">
      <c r="C804" s="162"/>
      <c r="D804" s="493">
        <v>45519</v>
      </c>
      <c r="E804" s="98">
        <v>4.0000000000000001E-3</v>
      </c>
      <c r="F804" s="98" t="s">
        <v>462</v>
      </c>
      <c r="G804" s="98">
        <v>5.0000000000000001E-3</v>
      </c>
      <c r="H804" s="850">
        <v>0.52083333333333337</v>
      </c>
      <c r="I804" s="1440"/>
      <c r="J804" s="1246"/>
      <c r="K804" s="1441"/>
      <c r="L804" s="857">
        <v>0.3125</v>
      </c>
      <c r="M804" s="466"/>
      <c r="N804" s="162"/>
      <c r="O804" s="115" t="s">
        <v>813</v>
      </c>
      <c r="P804" s="116">
        <v>0.25</v>
      </c>
      <c r="Q804" s="149">
        <v>4.0533333333333338E-2</v>
      </c>
      <c r="R804" s="150">
        <v>1.4999999999999999E-2</v>
      </c>
      <c r="S804" s="119">
        <v>0.5</v>
      </c>
      <c r="T804" s="116">
        <v>7.5800000000000006E-2</v>
      </c>
      <c r="U804" s="151">
        <v>-22.009959016396646</v>
      </c>
      <c r="V804" s="152">
        <v>151.25</v>
      </c>
      <c r="W804" s="119">
        <v>2</v>
      </c>
      <c r="X804" s="153">
        <v>44.019918032793292</v>
      </c>
      <c r="Y804" s="154"/>
      <c r="Z804" s="154"/>
      <c r="AA804" s="89"/>
      <c r="AB804" s="89"/>
      <c r="AC804" s="89"/>
      <c r="AD804" s="89"/>
      <c r="AE804" s="89"/>
      <c r="AF804" s="89"/>
      <c r="AG804" s="89"/>
      <c r="AH804" s="89"/>
      <c r="AI804" s="89"/>
      <c r="AJ804" s="89"/>
      <c r="AK804" s="89"/>
      <c r="AL804" s="89"/>
      <c r="AM804" s="89"/>
      <c r="AN804" s="89"/>
    </row>
    <row r="805" spans="3:40" ht="24">
      <c r="C805" s="162"/>
      <c r="D805" s="493">
        <v>45489</v>
      </c>
      <c r="E805" s="98">
        <v>4.0000000000000001E-3</v>
      </c>
      <c r="F805" s="98" t="s">
        <v>462</v>
      </c>
      <c r="G805" s="98">
        <v>1E-3</v>
      </c>
      <c r="H805" s="850">
        <v>0.52083333333333337</v>
      </c>
      <c r="I805" s="1440"/>
      <c r="J805" s="1246"/>
      <c r="K805" s="1441"/>
      <c r="L805" s="857">
        <v>0.3125</v>
      </c>
      <c r="M805" s="466"/>
      <c r="N805" s="162"/>
      <c r="O805" s="115" t="s">
        <v>816</v>
      </c>
      <c r="P805" s="116"/>
      <c r="Q805" s="149"/>
      <c r="R805" s="150"/>
      <c r="S805" s="119"/>
      <c r="T805" s="116"/>
      <c r="U805" s="151">
        <v>-22.009959016396646</v>
      </c>
      <c r="V805" s="152"/>
      <c r="W805" s="119"/>
      <c r="X805" s="153">
        <v>44.019918032793292</v>
      </c>
      <c r="Y805" s="154"/>
      <c r="Z805" s="154"/>
      <c r="AA805" s="89"/>
      <c r="AB805" s="89"/>
      <c r="AC805" s="89"/>
      <c r="AD805" s="89"/>
      <c r="AE805" s="89"/>
      <c r="AF805" s="89"/>
      <c r="AG805" s="89"/>
      <c r="AH805" s="89"/>
      <c r="AI805" s="89"/>
      <c r="AJ805" s="89"/>
      <c r="AK805" s="89"/>
      <c r="AL805" s="89"/>
      <c r="AM805" s="89"/>
      <c r="AN805" s="89"/>
    </row>
    <row r="806" spans="3:40" ht="24">
      <c r="C806" s="162"/>
      <c r="D806" s="493">
        <v>45461</v>
      </c>
      <c r="E806" s="98">
        <v>-1E-3</v>
      </c>
      <c r="F806" s="98" t="s">
        <v>460</v>
      </c>
      <c r="G806" s="98">
        <v>-1E-3</v>
      </c>
      <c r="H806" s="850">
        <v>0.52083333333333337</v>
      </c>
      <c r="I806" s="1440"/>
      <c r="J806" s="1246"/>
      <c r="K806" s="1441"/>
      <c r="L806" s="857">
        <v>0.3125</v>
      </c>
      <c r="M806" s="466"/>
      <c r="N806" s="162"/>
      <c r="O806" s="89"/>
      <c r="P806" s="89"/>
      <c r="Q806" s="89"/>
      <c r="R806" s="89"/>
      <c r="S806" s="89"/>
      <c r="T806" s="89"/>
      <c r="U806" s="89"/>
      <c r="V806" s="89"/>
      <c r="W806" s="89"/>
      <c r="X806" s="89"/>
      <c r="Y806" s="89"/>
      <c r="Z806" s="89"/>
      <c r="AA806" s="89"/>
      <c r="AB806" s="89"/>
      <c r="AC806" s="89"/>
      <c r="AD806" s="89"/>
      <c r="AE806" s="89"/>
      <c r="AF806" s="89"/>
      <c r="AG806" s="89"/>
      <c r="AH806" s="89"/>
      <c r="AI806" s="89"/>
      <c r="AJ806" s="89"/>
      <c r="AK806" s="89"/>
      <c r="AL806" s="89"/>
      <c r="AM806" s="89"/>
      <c r="AN806" s="89"/>
    </row>
    <row r="807" spans="3:40" ht="25" thickBot="1">
      <c r="C807" s="162"/>
      <c r="D807" s="495">
        <v>45427</v>
      </c>
      <c r="E807" s="213">
        <v>2E-3</v>
      </c>
      <c r="F807" s="213" t="s">
        <v>460</v>
      </c>
      <c r="G807" s="213">
        <v>8.9999999999999993E-3</v>
      </c>
      <c r="H807" s="858">
        <v>0.52083333333333337</v>
      </c>
      <c r="I807" s="1442"/>
      <c r="J807" s="1249"/>
      <c r="K807" s="1443"/>
      <c r="L807" s="859">
        <v>0.3125</v>
      </c>
      <c r="M807" s="469"/>
      <c r="N807" s="162"/>
      <c r="O807" s="89"/>
      <c r="P807" s="89"/>
      <c r="Q807" s="89"/>
      <c r="R807" s="89"/>
      <c r="S807" s="89"/>
      <c r="T807" s="89"/>
      <c r="U807" s="89"/>
      <c r="V807" s="89"/>
      <c r="W807" s="89"/>
      <c r="X807" s="89"/>
      <c r="Y807" s="89"/>
      <c r="Z807" s="89"/>
      <c r="AA807" s="89"/>
      <c r="AB807" s="89"/>
      <c r="AC807" s="89"/>
      <c r="AD807" s="89"/>
      <c r="AE807" s="89"/>
      <c r="AF807" s="89"/>
      <c r="AG807" s="89"/>
      <c r="AH807" s="89"/>
      <c r="AI807" s="89"/>
      <c r="AJ807" s="89"/>
      <c r="AK807" s="89"/>
      <c r="AL807" s="89"/>
      <c r="AM807" s="89"/>
      <c r="AN807" s="89"/>
    </row>
    <row r="808" spans="3:40" ht="49" thickBot="1">
      <c r="C808" s="90">
        <v>13</v>
      </c>
      <c r="D808" s="494" t="s">
        <v>30</v>
      </c>
      <c r="E808" s="1429" t="s">
        <v>968</v>
      </c>
      <c r="F808" s="1430"/>
      <c r="G808" s="1431"/>
      <c r="H808" s="844" t="s">
        <v>790</v>
      </c>
      <c r="I808" s="1432" t="s">
        <v>633</v>
      </c>
      <c r="J808" s="1433"/>
      <c r="K808" s="1434"/>
      <c r="L808" s="845" t="s">
        <v>430</v>
      </c>
      <c r="M808" s="465" t="s">
        <v>431</v>
      </c>
      <c r="N808" s="162" t="s">
        <v>105</v>
      </c>
      <c r="O808" s="114" t="s">
        <v>800</v>
      </c>
      <c r="P808" s="114" t="s">
        <v>801</v>
      </c>
      <c r="Q808" s="114" t="s">
        <v>802</v>
      </c>
      <c r="R808" s="114" t="s">
        <v>803</v>
      </c>
      <c r="S808" s="114" t="s">
        <v>804</v>
      </c>
      <c r="T808" s="114" t="s">
        <v>805</v>
      </c>
      <c r="U808" s="114" t="s">
        <v>806</v>
      </c>
      <c r="V808" s="114" t="s">
        <v>807</v>
      </c>
      <c r="W808" s="114" t="s">
        <v>808</v>
      </c>
      <c r="X808" s="114" t="s">
        <v>809</v>
      </c>
      <c r="Y808" s="114" t="s">
        <v>75</v>
      </c>
      <c r="Z808" s="114" t="s">
        <v>75</v>
      </c>
      <c r="AA808" s="89"/>
      <c r="AB808" s="89"/>
      <c r="AC808" s="89"/>
      <c r="AD808" s="89"/>
      <c r="AE808" s="89"/>
      <c r="AF808" s="89"/>
      <c r="AG808" s="89"/>
      <c r="AH808" s="89"/>
      <c r="AI808" s="89"/>
      <c r="AJ808" s="89"/>
      <c r="AK808" s="89"/>
      <c r="AL808" s="89"/>
      <c r="AM808" s="89"/>
      <c r="AN808" s="89"/>
    </row>
    <row r="809" spans="3:40" ht="24">
      <c r="C809" s="162"/>
      <c r="D809" s="489" t="s">
        <v>432</v>
      </c>
      <c r="E809" s="1435"/>
      <c r="F809" s="1436"/>
      <c r="G809" s="1437"/>
      <c r="H809" s="846" t="s">
        <v>794</v>
      </c>
      <c r="I809" s="1438" t="s">
        <v>969</v>
      </c>
      <c r="J809" s="1243"/>
      <c r="K809" s="1439"/>
      <c r="L809" s="835"/>
      <c r="M809" s="466"/>
      <c r="N809" s="162"/>
      <c r="O809" s="115" t="s">
        <v>810</v>
      </c>
      <c r="P809" s="163">
        <v>0.1</v>
      </c>
      <c r="Q809" s="164">
        <v>2.7E-2</v>
      </c>
      <c r="R809" s="165">
        <v>1.5999999999991132E-2</v>
      </c>
      <c r="S809" s="119"/>
      <c r="T809" s="115">
        <v>5.6499999999991134E-2</v>
      </c>
      <c r="U809" s="164">
        <v>-13.31</v>
      </c>
      <c r="V809" s="163">
        <v>91.8</v>
      </c>
      <c r="W809" s="166">
        <v>2</v>
      </c>
      <c r="X809" s="153">
        <v>26.62</v>
      </c>
      <c r="Y809" s="120"/>
      <c r="Z809" s="120"/>
      <c r="AA809" s="89"/>
      <c r="AB809" s="89"/>
      <c r="AC809" s="89"/>
      <c r="AD809" s="89"/>
      <c r="AE809" s="89"/>
      <c r="AF809" s="89"/>
      <c r="AG809" s="89"/>
      <c r="AH809" s="89"/>
      <c r="AI809" s="89"/>
      <c r="AJ809" s="89"/>
      <c r="AK809" s="89"/>
      <c r="AL809" s="89"/>
      <c r="AM809" s="89"/>
      <c r="AN809" s="89"/>
    </row>
    <row r="810" spans="3:40" ht="24">
      <c r="C810" s="162"/>
      <c r="D810" s="490" t="s">
        <v>433</v>
      </c>
      <c r="E810" s="1444">
        <v>3.0000000000000001E-3</v>
      </c>
      <c r="F810" s="1445"/>
      <c r="G810" s="1446"/>
      <c r="H810" s="846" t="s">
        <v>795</v>
      </c>
      <c r="I810" s="1440"/>
      <c r="J810" s="1246"/>
      <c r="K810" s="1441"/>
      <c r="L810" s="835"/>
      <c r="M810" s="466"/>
      <c r="N810" s="162"/>
      <c r="O810" s="121"/>
      <c r="P810" s="121"/>
      <c r="Q810" s="121"/>
      <c r="R810" s="122"/>
      <c r="S810" s="123"/>
      <c r="T810" s="121"/>
      <c r="U810" s="121"/>
      <c r="V810" s="121"/>
      <c r="W810" s="123"/>
      <c r="X810" s="123"/>
      <c r="Y810" s="124"/>
      <c r="Z810" s="124"/>
      <c r="AA810" s="89"/>
      <c r="AB810" s="89"/>
      <c r="AC810" s="89"/>
      <c r="AD810" s="89"/>
      <c r="AE810" s="89"/>
      <c r="AF810" s="89"/>
      <c r="AG810" s="89"/>
      <c r="AH810" s="89"/>
      <c r="AI810" s="89"/>
      <c r="AJ810" s="89"/>
      <c r="AK810" s="89"/>
      <c r="AL810" s="89"/>
      <c r="AM810" s="89"/>
      <c r="AN810" s="89"/>
    </row>
    <row r="811" spans="3:40" ht="24">
      <c r="C811" s="162"/>
      <c r="D811" s="490" t="s">
        <v>434</v>
      </c>
      <c r="E811" s="1444">
        <v>4.0000000000000001E-3</v>
      </c>
      <c r="F811" s="1445"/>
      <c r="G811" s="1446"/>
      <c r="H811" s="847"/>
      <c r="I811" s="1440"/>
      <c r="J811" s="1246"/>
      <c r="K811" s="1441"/>
      <c r="L811" s="835"/>
      <c r="M811" s="466"/>
      <c r="N811" s="162"/>
      <c r="O811" s="125" t="s">
        <v>811</v>
      </c>
      <c r="P811" s="167">
        <v>0.1</v>
      </c>
      <c r="Q811" s="168">
        <v>7.6399999999999996E-2</v>
      </c>
      <c r="R811" s="169">
        <v>1.7000000000000001E-2</v>
      </c>
      <c r="S811" s="129">
        <v>1</v>
      </c>
      <c r="T811" s="125">
        <v>0.13159999999999999</v>
      </c>
      <c r="U811" s="130">
        <v>-31.00169911504911</v>
      </c>
      <c r="V811" s="131">
        <v>60.5</v>
      </c>
      <c r="W811" s="215">
        <v>4.3600000000000003</v>
      </c>
      <c r="X811" s="133">
        <v>135.16740814161412</v>
      </c>
      <c r="Y811" s="134"/>
      <c r="Z811" s="134">
        <v>4.4350000000000005</v>
      </c>
      <c r="AA811" s="89"/>
      <c r="AB811" s="89"/>
      <c r="AC811" s="89"/>
      <c r="AD811" s="89"/>
      <c r="AE811" s="89"/>
      <c r="AF811" s="89"/>
      <c r="AG811" s="89"/>
      <c r="AH811" s="89"/>
      <c r="AI811" s="89"/>
      <c r="AJ811" s="89"/>
      <c r="AK811" s="89"/>
      <c r="AL811" s="89"/>
      <c r="AM811" s="89"/>
      <c r="AN811" s="89"/>
    </row>
    <row r="812" spans="3:40" ht="25" thickBot="1">
      <c r="C812" s="162"/>
      <c r="D812" s="491" t="s">
        <v>435</v>
      </c>
      <c r="E812" s="1447">
        <v>0.5625</v>
      </c>
      <c r="F812" s="1448"/>
      <c r="G812" s="1449"/>
      <c r="H812" s="847"/>
      <c r="I812" s="1440"/>
      <c r="J812" s="1246"/>
      <c r="K812" s="1441"/>
      <c r="L812" s="836">
        <v>0.79166666666666663</v>
      </c>
      <c r="M812" s="467">
        <v>0.64583333333333326</v>
      </c>
      <c r="N812" s="162"/>
      <c r="O812" s="135" t="s">
        <v>812</v>
      </c>
      <c r="P812" s="171">
        <v>0.1</v>
      </c>
      <c r="Q812" s="156">
        <v>6.6799999999999998E-2</v>
      </c>
      <c r="R812" s="172">
        <v>1.7000000000000001E-2</v>
      </c>
      <c r="S812" s="139">
        <v>1.5</v>
      </c>
      <c r="T812" s="173">
        <v>0.1172</v>
      </c>
      <c r="U812" s="140">
        <v>-41.414123893811812</v>
      </c>
      <c r="V812" s="141">
        <v>60.5</v>
      </c>
      <c r="W812" s="210">
        <v>5.9039999999999999</v>
      </c>
      <c r="X812" s="143">
        <v>244.50898746906495</v>
      </c>
      <c r="Y812" s="144"/>
      <c r="Z812" s="144"/>
      <c r="AA812" s="89"/>
      <c r="AB812" s="89"/>
      <c r="AC812" s="89"/>
      <c r="AD812" s="89"/>
      <c r="AE812" s="89"/>
      <c r="AF812" s="89"/>
      <c r="AG812" s="89"/>
      <c r="AH812" s="89"/>
      <c r="AI812" s="89"/>
      <c r="AJ812" s="89"/>
      <c r="AK812" s="89"/>
      <c r="AL812" s="89"/>
      <c r="AM812" s="89"/>
      <c r="AN812" s="89"/>
    </row>
    <row r="813" spans="3:40" ht="25" thickBot="1">
      <c r="C813" s="162"/>
      <c r="D813" s="492" t="s">
        <v>436</v>
      </c>
      <c r="E813" s="92" t="s">
        <v>29</v>
      </c>
      <c r="F813" s="92" t="s">
        <v>28</v>
      </c>
      <c r="G813" s="93" t="s">
        <v>27</v>
      </c>
      <c r="H813" s="855" t="s">
        <v>793</v>
      </c>
      <c r="I813" s="1440"/>
      <c r="J813" s="1246"/>
      <c r="K813" s="1441"/>
      <c r="L813" s="856"/>
      <c r="M813" s="470"/>
      <c r="N813" s="162"/>
      <c r="O813" s="123"/>
      <c r="P813" s="145"/>
      <c r="Q813" s="123"/>
      <c r="R813" s="123"/>
      <c r="S813" s="123"/>
      <c r="T813" s="123"/>
      <c r="U813" s="146"/>
      <c r="V813" s="147"/>
      <c r="W813" s="123"/>
      <c r="X813" s="146"/>
      <c r="Y813" s="124"/>
      <c r="Z813" s="124"/>
      <c r="AA813" s="89"/>
      <c r="AB813" s="89"/>
      <c r="AC813" s="89"/>
      <c r="AD813" s="89"/>
      <c r="AE813" s="89"/>
      <c r="AF813" s="89"/>
      <c r="AG813" s="89"/>
      <c r="AH813" s="89"/>
      <c r="AI813" s="89"/>
      <c r="AJ813" s="89"/>
      <c r="AK813" s="89"/>
      <c r="AL813" s="89"/>
      <c r="AM813" s="89"/>
      <c r="AN813" s="89"/>
    </row>
    <row r="814" spans="3:40" ht="24">
      <c r="C814" s="162"/>
      <c r="D814" s="493">
        <v>45582</v>
      </c>
      <c r="E814" s="98">
        <v>4.0000000000000001E-3</v>
      </c>
      <c r="F814" s="98" t="s">
        <v>467</v>
      </c>
      <c r="G814" s="98">
        <v>1E-3</v>
      </c>
      <c r="H814" s="850">
        <v>0.52083333333333337</v>
      </c>
      <c r="I814" s="1440"/>
      <c r="J814" s="1246"/>
      <c r="K814" s="1441"/>
      <c r="L814" s="857">
        <v>0.3125</v>
      </c>
      <c r="M814" s="471"/>
      <c r="N814" s="162"/>
      <c r="O814" s="148"/>
      <c r="P814" s="124"/>
      <c r="Q814" s="148"/>
      <c r="R814" s="148"/>
      <c r="S814" s="148"/>
      <c r="T814" s="148"/>
      <c r="U814" s="148"/>
      <c r="V814" s="148"/>
      <c r="W814" s="148"/>
      <c r="X814" s="148"/>
      <c r="Y814" s="124"/>
      <c r="Z814" s="124"/>
      <c r="AA814" s="89"/>
      <c r="AB814" s="89"/>
      <c r="AC814" s="89"/>
      <c r="AD814" s="89"/>
      <c r="AE814" s="89"/>
      <c r="AF814" s="89"/>
      <c r="AG814" s="89"/>
      <c r="AH814" s="89"/>
      <c r="AI814" s="89"/>
      <c r="AJ814" s="89"/>
      <c r="AK814" s="89"/>
      <c r="AL814" s="89"/>
      <c r="AM814" s="89"/>
      <c r="AN814" s="89"/>
    </row>
    <row r="815" spans="3:40" ht="24">
      <c r="C815" s="162"/>
      <c r="D815" s="493">
        <v>45552</v>
      </c>
      <c r="E815" s="98">
        <v>1E-3</v>
      </c>
      <c r="F815" s="98" t="s">
        <v>461</v>
      </c>
      <c r="G815" s="98">
        <v>1.0999999999999999E-2</v>
      </c>
      <c r="H815" s="850">
        <v>0.52083333333333337</v>
      </c>
      <c r="I815" s="1440"/>
      <c r="J815" s="1246"/>
      <c r="K815" s="1441"/>
      <c r="L815" s="857">
        <v>0.3125</v>
      </c>
      <c r="M815" s="472"/>
      <c r="N815" s="162"/>
      <c r="O815" s="115" t="s">
        <v>813</v>
      </c>
      <c r="P815" s="163">
        <v>0.06</v>
      </c>
      <c r="Q815" s="149">
        <v>7.1599999999999997E-2</v>
      </c>
      <c r="R815" s="150">
        <v>1.7000000000000001E-2</v>
      </c>
      <c r="S815" s="119">
        <v>2</v>
      </c>
      <c r="T815" s="125">
        <v>0.1244</v>
      </c>
      <c r="U815" s="151">
        <v>-35.166669026554196</v>
      </c>
      <c r="V815" s="152">
        <v>36.299999999999997</v>
      </c>
      <c r="W815" s="216">
        <v>4</v>
      </c>
      <c r="X815" s="153">
        <v>140.66667610621678</v>
      </c>
      <c r="Y815" s="154"/>
      <c r="Z815" s="154"/>
      <c r="AA815" s="89"/>
      <c r="AB815" s="89"/>
      <c r="AC815" s="89"/>
      <c r="AD815" s="89"/>
      <c r="AE815" s="89"/>
      <c r="AF815" s="89"/>
      <c r="AG815" s="89"/>
      <c r="AH815" s="89"/>
      <c r="AI815" s="89"/>
      <c r="AJ815" s="89"/>
      <c r="AK815" s="89"/>
      <c r="AL815" s="89"/>
      <c r="AM815" s="89"/>
      <c r="AN815" s="89"/>
    </row>
    <row r="816" spans="3:40" ht="24">
      <c r="C816" s="162"/>
      <c r="D816" s="493">
        <v>45519</v>
      </c>
      <c r="E816" s="98">
        <v>0.01</v>
      </c>
      <c r="F816" s="98" t="s">
        <v>452</v>
      </c>
      <c r="G816" s="98">
        <v>-2E-3</v>
      </c>
      <c r="H816" s="850">
        <v>0.52083333333333337</v>
      </c>
      <c r="I816" s="1440"/>
      <c r="J816" s="1246"/>
      <c r="K816" s="1441"/>
      <c r="L816" s="857">
        <v>0.3125</v>
      </c>
      <c r="M816" s="466"/>
      <c r="N816" s="162"/>
      <c r="O816" s="115" t="s">
        <v>813</v>
      </c>
      <c r="P816" s="163">
        <v>0.06</v>
      </c>
      <c r="Q816" s="149">
        <v>7.1599999999999997E-2</v>
      </c>
      <c r="R816" s="150">
        <v>1.7000000000000001E-2</v>
      </c>
      <c r="S816" s="119">
        <v>2</v>
      </c>
      <c r="T816" s="125">
        <v>0.1244</v>
      </c>
      <c r="U816" s="151">
        <v>-35.166669026554196</v>
      </c>
      <c r="V816" s="152">
        <v>36.299999999999997</v>
      </c>
      <c r="W816" s="216">
        <v>4</v>
      </c>
      <c r="X816" s="153">
        <v>140.66667610621678</v>
      </c>
      <c r="Y816" s="154"/>
      <c r="Z816" s="154"/>
      <c r="AA816" s="89"/>
      <c r="AB816" s="89"/>
      <c r="AC816" s="89"/>
      <c r="AD816" s="89"/>
      <c r="AE816" s="89"/>
      <c r="AF816" s="89"/>
      <c r="AG816" s="89"/>
      <c r="AH816" s="89"/>
      <c r="AI816" s="89"/>
      <c r="AJ816" s="89"/>
      <c r="AK816" s="89"/>
      <c r="AL816" s="89"/>
      <c r="AM816" s="89"/>
      <c r="AN816" s="89"/>
    </row>
    <row r="817" spans="2:40" ht="24">
      <c r="C817" s="162"/>
      <c r="D817" s="493">
        <v>45489</v>
      </c>
      <c r="E817" s="98">
        <v>0</v>
      </c>
      <c r="F817" s="98" t="s">
        <v>454</v>
      </c>
      <c r="G817" s="98">
        <v>3.0000000000000001E-3</v>
      </c>
      <c r="H817" s="850">
        <v>0.52083333333333337</v>
      </c>
      <c r="I817" s="1440"/>
      <c r="J817" s="1246"/>
      <c r="K817" s="1441"/>
      <c r="L817" s="857">
        <v>0.3125</v>
      </c>
      <c r="M817" s="466"/>
      <c r="N817" s="162"/>
      <c r="O817" s="115" t="s">
        <v>816</v>
      </c>
      <c r="P817" s="116"/>
      <c r="Q817" s="149"/>
      <c r="R817" s="150"/>
      <c r="S817" s="119"/>
      <c r="T817" s="116"/>
      <c r="U817" s="151"/>
      <c r="V817" s="152"/>
      <c r="W817" s="119"/>
      <c r="X817" s="153"/>
      <c r="Y817" s="154"/>
      <c r="Z817" s="154"/>
      <c r="AA817" s="89"/>
      <c r="AB817" s="89"/>
      <c r="AC817" s="89"/>
      <c r="AD817" s="89"/>
      <c r="AE817" s="89"/>
      <c r="AF817" s="89"/>
      <c r="AG817" s="89"/>
      <c r="AH817" s="89"/>
      <c r="AI817" s="89"/>
      <c r="AJ817" s="89"/>
      <c r="AK817" s="89"/>
      <c r="AL817" s="89"/>
      <c r="AM817" s="89"/>
      <c r="AN817" s="89"/>
    </row>
    <row r="818" spans="2:40" ht="24">
      <c r="C818" s="162"/>
      <c r="D818" s="493">
        <v>45461</v>
      </c>
      <c r="E818" s="98">
        <v>1E-3</v>
      </c>
      <c r="F818" s="98" t="s">
        <v>467</v>
      </c>
      <c r="G818" s="98">
        <v>-2E-3</v>
      </c>
      <c r="H818" s="850">
        <v>0.52083333333333337</v>
      </c>
      <c r="I818" s="1440"/>
      <c r="J818" s="1246"/>
      <c r="K818" s="1441"/>
      <c r="L818" s="857">
        <v>0.3125</v>
      </c>
      <c r="M818" s="466"/>
      <c r="N818" s="162"/>
      <c r="O818" s="89"/>
      <c r="P818" s="89"/>
      <c r="Q818" s="89"/>
      <c r="R818" s="89"/>
      <c r="S818" s="89"/>
      <c r="T818" s="89"/>
      <c r="U818" s="89"/>
      <c r="V818" s="89"/>
      <c r="W818" s="89"/>
      <c r="X818" s="89"/>
      <c r="Y818" s="89"/>
      <c r="Z818" s="89"/>
      <c r="AA818" s="89"/>
      <c r="AB818" s="89"/>
      <c r="AC818" s="89"/>
      <c r="AD818" s="89"/>
      <c r="AE818" s="89"/>
      <c r="AF818" s="89"/>
      <c r="AG818" s="89"/>
      <c r="AH818" s="89"/>
      <c r="AI818" s="89"/>
      <c r="AJ818" s="89"/>
      <c r="AK818" s="89"/>
      <c r="AL818" s="89"/>
      <c r="AM818" s="89"/>
      <c r="AN818" s="89"/>
    </row>
    <row r="819" spans="2:40" ht="25" thickBot="1">
      <c r="C819" s="162"/>
      <c r="D819" s="495">
        <v>45427</v>
      </c>
      <c r="E819" s="213">
        <v>0</v>
      </c>
      <c r="F819" s="213" t="s">
        <v>452</v>
      </c>
      <c r="G819" s="213">
        <v>6.0000000000000001E-3</v>
      </c>
      <c r="H819" s="858">
        <v>0.52083333333333337</v>
      </c>
      <c r="I819" s="1442"/>
      <c r="J819" s="1249"/>
      <c r="K819" s="1443"/>
      <c r="L819" s="859">
        <v>0.3125</v>
      </c>
      <c r="M819" s="469"/>
      <c r="N819" s="162"/>
      <c r="O819" s="89"/>
      <c r="P819" s="89"/>
      <c r="Q819" s="89"/>
      <c r="R819" s="89"/>
      <c r="S819" s="89"/>
      <c r="T819" s="89"/>
      <c r="U819" s="89"/>
      <c r="V819" s="89"/>
      <c r="W819" s="89"/>
      <c r="X819" s="89"/>
      <c r="Y819" s="89"/>
      <c r="Z819" s="89"/>
      <c r="AA819" s="89"/>
      <c r="AB819" s="89"/>
      <c r="AC819" s="89"/>
      <c r="AD819" s="89"/>
      <c r="AE819" s="89"/>
      <c r="AF819" s="89"/>
      <c r="AG819" s="89"/>
      <c r="AH819" s="89"/>
      <c r="AI819" s="89"/>
      <c r="AJ819" s="89"/>
      <c r="AK819" s="89"/>
      <c r="AL819" s="89"/>
      <c r="AM819" s="89"/>
      <c r="AN819" s="89"/>
    </row>
    <row r="820" spans="2:40" ht="49" thickBot="1">
      <c r="B820" s="90" t="s">
        <v>105</v>
      </c>
      <c r="C820" s="90">
        <v>1</v>
      </c>
      <c r="D820" s="494" t="s">
        <v>30</v>
      </c>
      <c r="E820" s="1429" t="s">
        <v>1005</v>
      </c>
      <c r="F820" s="1430"/>
      <c r="G820" s="1431"/>
      <c r="H820" s="844" t="s">
        <v>790</v>
      </c>
      <c r="I820" s="1432" t="s">
        <v>633</v>
      </c>
      <c r="J820" s="1433"/>
      <c r="K820" s="1434"/>
      <c r="L820" s="845" t="s">
        <v>430</v>
      </c>
      <c r="M820" s="465" t="s">
        <v>431</v>
      </c>
      <c r="N820" s="162" t="s">
        <v>105</v>
      </c>
      <c r="O820" s="114" t="s">
        <v>800</v>
      </c>
      <c r="P820" s="114" t="s">
        <v>801</v>
      </c>
      <c r="Q820" s="114" t="s">
        <v>802</v>
      </c>
      <c r="R820" s="114" t="s">
        <v>803</v>
      </c>
      <c r="S820" s="114" t="s">
        <v>804</v>
      </c>
      <c r="T820" s="114" t="s">
        <v>805</v>
      </c>
      <c r="U820" s="114" t="s">
        <v>806</v>
      </c>
      <c r="V820" s="114" t="s">
        <v>807</v>
      </c>
      <c r="W820" s="114" t="s">
        <v>808</v>
      </c>
      <c r="X820" s="114" t="s">
        <v>809</v>
      </c>
      <c r="Y820" s="114" t="s">
        <v>75</v>
      </c>
      <c r="Z820" s="114" t="s">
        <v>75</v>
      </c>
    </row>
    <row r="821" spans="2:40" ht="24">
      <c r="C821" s="90"/>
      <c r="D821" s="489" t="s">
        <v>432</v>
      </c>
      <c r="E821" s="1435"/>
      <c r="F821" s="1436"/>
      <c r="G821" s="1437"/>
      <c r="H821" s="846" t="s">
        <v>906</v>
      </c>
      <c r="I821" s="1438" t="s">
        <v>1006</v>
      </c>
      <c r="J821" s="1243"/>
      <c r="K821" s="1439"/>
      <c r="L821" s="835"/>
      <c r="M821" s="466"/>
      <c r="N821" s="162"/>
      <c r="O821" s="115" t="s">
        <v>810</v>
      </c>
      <c r="P821" s="163">
        <v>0.1</v>
      </c>
      <c r="Q821" s="164">
        <v>2.1000000000000001E-4</v>
      </c>
      <c r="R821" s="165">
        <v>1.4000000000002899E-4</v>
      </c>
      <c r="S821" s="119"/>
      <c r="T821" s="115">
        <v>4.55000000000029E-4</v>
      </c>
      <c r="U821" s="164">
        <v>-16.510000000000002</v>
      </c>
      <c r="V821" s="163">
        <v>60.5</v>
      </c>
      <c r="W821" s="166">
        <v>2</v>
      </c>
      <c r="X821" s="153">
        <v>33.020000000000003</v>
      </c>
      <c r="Y821" s="120"/>
      <c r="Z821" s="120"/>
    </row>
    <row r="822" spans="2:40" ht="24">
      <c r="C822" s="90"/>
      <c r="D822" s="490" t="s">
        <v>433</v>
      </c>
      <c r="E822" s="1444">
        <v>0.02</v>
      </c>
      <c r="F822" s="1445"/>
      <c r="G822" s="1446"/>
      <c r="H822" s="846" t="s">
        <v>907</v>
      </c>
      <c r="I822" s="1440"/>
      <c r="J822" s="1246"/>
      <c r="K822" s="1441"/>
      <c r="L822" s="835"/>
      <c r="M822" s="466"/>
      <c r="N822" s="162"/>
      <c r="O822" s="121"/>
      <c r="P822" s="121"/>
      <c r="Q822" s="121"/>
      <c r="R822" s="122"/>
      <c r="S822" s="123"/>
      <c r="T822" s="121"/>
      <c r="U822" s="121"/>
      <c r="V822" s="121"/>
      <c r="W822" s="123"/>
      <c r="X822" s="123"/>
      <c r="Y822" s="124"/>
      <c r="Z822" s="124"/>
    </row>
    <row r="823" spans="2:40" ht="24">
      <c r="C823" s="90"/>
      <c r="D823" s="490" t="s">
        <v>434</v>
      </c>
      <c r="E823" s="1444">
        <v>0.02</v>
      </c>
      <c r="F823" s="1445"/>
      <c r="G823" s="1446"/>
      <c r="H823" s="847"/>
      <c r="I823" s="1440"/>
      <c r="J823" s="1246"/>
      <c r="K823" s="1441"/>
      <c r="L823" s="835"/>
      <c r="M823" s="466"/>
      <c r="N823" s="162"/>
      <c r="O823" s="125" t="s">
        <v>811</v>
      </c>
      <c r="P823" s="167">
        <v>0.1</v>
      </c>
      <c r="Q823" s="168">
        <v>2.9999999999999997E-4</v>
      </c>
      <c r="R823" s="169">
        <v>2.0000000000000001E-4</v>
      </c>
      <c r="S823" s="129">
        <v>1</v>
      </c>
      <c r="T823" s="125">
        <v>6.4999999999999997E-4</v>
      </c>
      <c r="U823" s="130">
        <v>-23.585714285712783</v>
      </c>
      <c r="V823" s="131">
        <v>60.5</v>
      </c>
      <c r="W823" s="170">
        <v>1.48</v>
      </c>
      <c r="X823" s="133">
        <v>34.906857142854918</v>
      </c>
      <c r="Y823" s="134"/>
      <c r="Z823" s="134"/>
    </row>
    <row r="824" spans="2:40" ht="25" thickBot="1">
      <c r="C824" s="90"/>
      <c r="D824" s="491" t="s">
        <v>435</v>
      </c>
      <c r="E824" s="1447">
        <v>0.41666666666666674</v>
      </c>
      <c r="F824" s="1448"/>
      <c r="G824" s="1449"/>
      <c r="H824" s="860">
        <v>0.2083333333333334</v>
      </c>
      <c r="I824" s="1440"/>
      <c r="J824" s="1246"/>
      <c r="K824" s="1441"/>
      <c r="L824" s="836">
        <v>0.64583333333333337</v>
      </c>
      <c r="M824" s="467">
        <v>0.5</v>
      </c>
      <c r="N824" s="162"/>
      <c r="O824" s="135" t="s">
        <v>812</v>
      </c>
      <c r="P824" s="171">
        <v>0.1</v>
      </c>
      <c r="Q824" s="156">
        <v>2.6666666666666663E-4</v>
      </c>
      <c r="R824" s="172">
        <v>2.0000000000000001E-4</v>
      </c>
      <c r="S824" s="139">
        <v>1</v>
      </c>
      <c r="T824" s="173">
        <v>5.9999999999999995E-4</v>
      </c>
      <c r="U824" s="140">
        <v>-21.771428571427183</v>
      </c>
      <c r="V824" s="141">
        <v>60.5</v>
      </c>
      <c r="W824" s="174">
        <v>1.75</v>
      </c>
      <c r="X824" s="143">
        <v>38.099999999997571</v>
      </c>
      <c r="Y824" s="144"/>
      <c r="Z824" s="144"/>
    </row>
    <row r="825" spans="2:40" ht="25" thickBot="1">
      <c r="C825" s="90"/>
      <c r="D825" s="492" t="s">
        <v>436</v>
      </c>
      <c r="E825" s="92" t="s">
        <v>29</v>
      </c>
      <c r="F825" s="92" t="s">
        <v>28</v>
      </c>
      <c r="G825" s="93" t="s">
        <v>27</v>
      </c>
      <c r="H825" s="855" t="s">
        <v>793</v>
      </c>
      <c r="I825" s="1440"/>
      <c r="J825" s="1246"/>
      <c r="K825" s="1441"/>
      <c r="L825" s="856" t="s">
        <v>1002</v>
      </c>
      <c r="M825" s="470"/>
      <c r="N825" s="162"/>
      <c r="O825" s="123"/>
      <c r="P825" s="145"/>
      <c r="Q825" s="123"/>
      <c r="R825" s="123"/>
      <c r="S825" s="123"/>
      <c r="T825" s="123"/>
      <c r="U825" s="146"/>
      <c r="V825" s="147"/>
      <c r="W825" s="123"/>
      <c r="X825" s="146"/>
      <c r="Y825" s="124"/>
      <c r="Z825" s="124"/>
    </row>
    <row r="826" spans="2:40" ht="24">
      <c r="C826" s="90"/>
      <c r="D826" s="493">
        <v>45596</v>
      </c>
      <c r="E826" s="98">
        <v>0.02</v>
      </c>
      <c r="F826" s="98" t="s">
        <v>789</v>
      </c>
      <c r="G826" s="98">
        <v>1.7000000000000001E-2</v>
      </c>
      <c r="H826" s="850">
        <v>0.41666666666666674</v>
      </c>
      <c r="I826" s="1440"/>
      <c r="J826" s="1246"/>
      <c r="K826" s="1441"/>
      <c r="L826" s="857">
        <v>0.2083333333333334</v>
      </c>
      <c r="M826" s="471"/>
      <c r="N826" s="162"/>
      <c r="O826" s="148"/>
      <c r="P826" s="124"/>
      <c r="Q826" s="148"/>
      <c r="R826" s="148"/>
      <c r="S826" s="148"/>
      <c r="T826" s="148"/>
      <c r="U826" s="148"/>
      <c r="V826" s="148"/>
      <c r="W826" s="148"/>
      <c r="X826" s="148"/>
      <c r="Y826" s="124"/>
      <c r="Z826" s="124"/>
    </row>
    <row r="827" spans="2:40" ht="24">
      <c r="C827" s="90"/>
      <c r="D827" s="493">
        <v>45582</v>
      </c>
      <c r="E827" s="98">
        <v>1.7000000000000001E-2</v>
      </c>
      <c r="F827" s="98" t="s">
        <v>895</v>
      </c>
      <c r="G827" s="98">
        <v>2.1999999999999999E-2</v>
      </c>
      <c r="H827" s="850">
        <v>0.375</v>
      </c>
      <c r="I827" s="1440"/>
      <c r="J827" s="1246"/>
      <c r="K827" s="1441"/>
      <c r="L827" s="857">
        <v>0.16666666666666666</v>
      </c>
      <c r="M827" s="472"/>
      <c r="N827" s="162"/>
      <c r="O827" s="115" t="s">
        <v>813</v>
      </c>
      <c r="P827" s="163">
        <v>-0.05</v>
      </c>
      <c r="Q827" s="149">
        <v>2.833333333333333E-4</v>
      </c>
      <c r="R827" s="150">
        <v>2.0000000000000001E-4</v>
      </c>
      <c r="S827" s="119">
        <v>-1</v>
      </c>
      <c r="T827" s="125">
        <v>6.249999999999999E-4</v>
      </c>
      <c r="U827" s="151">
        <v>-11.339285714284991</v>
      </c>
      <c r="V827" s="152">
        <v>-30.25</v>
      </c>
      <c r="W827" s="119">
        <v>1.5</v>
      </c>
      <c r="X827" s="153">
        <v>17.008928571427486</v>
      </c>
      <c r="Y827" s="154"/>
      <c r="Z827" s="154" t="s">
        <v>1055</v>
      </c>
    </row>
    <row r="828" spans="2:40" ht="24">
      <c r="C828" s="90"/>
      <c r="D828" s="493">
        <v>45566</v>
      </c>
      <c r="E828" s="98">
        <v>1.7999999999999999E-2</v>
      </c>
      <c r="F828" s="98" t="s">
        <v>895</v>
      </c>
      <c r="G828" s="98">
        <v>2.1999999999999999E-2</v>
      </c>
      <c r="H828" s="850">
        <v>0.375</v>
      </c>
      <c r="I828" s="1440"/>
      <c r="J828" s="1246"/>
      <c r="K828" s="1441"/>
      <c r="L828" s="857">
        <v>0.16666666666666666</v>
      </c>
      <c r="M828" s="466"/>
      <c r="N828" s="162"/>
      <c r="O828" s="115"/>
      <c r="P828" s="163"/>
      <c r="Q828" s="149"/>
      <c r="R828" s="150"/>
      <c r="S828" s="119"/>
      <c r="T828" s="125"/>
      <c r="U828" s="151"/>
      <c r="V828" s="152"/>
      <c r="W828" s="119"/>
      <c r="X828" s="153"/>
      <c r="Y828" s="154"/>
      <c r="Z828" s="154"/>
    </row>
    <row r="829" spans="2:40" ht="24">
      <c r="C829" s="90"/>
      <c r="D829" s="493">
        <v>45553</v>
      </c>
      <c r="E829" s="98">
        <v>2.1999999999999999E-2</v>
      </c>
      <c r="F829" s="98" t="s">
        <v>490</v>
      </c>
      <c r="G829" s="98">
        <v>2.5999999999999999E-2</v>
      </c>
      <c r="H829" s="850">
        <v>0.375</v>
      </c>
      <c r="I829" s="1440"/>
      <c r="J829" s="1246"/>
      <c r="K829" s="1441"/>
      <c r="L829" s="857">
        <v>0.16666666666666666</v>
      </c>
      <c r="M829" s="466"/>
      <c r="N829" s="162"/>
      <c r="O829" s="115"/>
      <c r="P829" s="116"/>
      <c r="Q829" s="149"/>
      <c r="R829" s="150"/>
      <c r="S829" s="119"/>
      <c r="T829" s="116"/>
      <c r="U829" s="151"/>
      <c r="V829" s="152"/>
      <c r="W829" s="119"/>
      <c r="X829" s="153"/>
      <c r="Y829" s="154"/>
      <c r="Z829" s="154"/>
    </row>
    <row r="830" spans="2:40" ht="24">
      <c r="C830" s="90"/>
      <c r="D830" s="493">
        <v>45534</v>
      </c>
      <c r="E830" s="98">
        <v>2.1999999999999999E-2</v>
      </c>
      <c r="F830" s="98" t="s">
        <v>490</v>
      </c>
      <c r="G830" s="98">
        <v>2.5999999999999999E-2</v>
      </c>
      <c r="H830" s="850">
        <v>0.375</v>
      </c>
      <c r="I830" s="1440"/>
      <c r="J830" s="1246"/>
      <c r="K830" s="1441"/>
      <c r="L830" s="857">
        <v>0.16666666666666666</v>
      </c>
      <c r="M830" s="466"/>
      <c r="N830" s="162"/>
      <c r="O830" s="89"/>
      <c r="P830" s="89"/>
      <c r="Q830" s="89"/>
      <c r="R830" s="89"/>
      <c r="S830" s="89"/>
      <c r="T830" s="89"/>
      <c r="U830" s="89"/>
      <c r="V830" s="89"/>
      <c r="W830" s="89"/>
      <c r="X830" s="89"/>
      <c r="Y830" s="89"/>
      <c r="Z830" s="89"/>
    </row>
    <row r="831" spans="2:40" ht="25" thickBot="1">
      <c r="C831" s="90"/>
      <c r="D831" s="493">
        <v>45524</v>
      </c>
      <c r="E831" s="98">
        <v>2.5999999999999999E-2</v>
      </c>
      <c r="F831" s="98" t="s">
        <v>493</v>
      </c>
      <c r="G831" s="98">
        <v>2.5000000000000001E-2</v>
      </c>
      <c r="H831" s="858">
        <v>0.375</v>
      </c>
      <c r="I831" s="1442"/>
      <c r="J831" s="1249"/>
      <c r="K831" s="1443"/>
      <c r="L831" s="857">
        <v>0.16666666666666666</v>
      </c>
      <c r="M831" s="469"/>
      <c r="N831" s="162"/>
      <c r="O831" s="89"/>
      <c r="P831" s="89"/>
      <c r="Q831" s="89"/>
      <c r="R831" s="89"/>
      <c r="S831" s="89"/>
      <c r="T831" s="89"/>
      <c r="U831" s="89"/>
      <c r="V831" s="89"/>
      <c r="W831" s="89"/>
      <c r="X831" s="89"/>
      <c r="Y831" s="89"/>
      <c r="Z831" s="89"/>
    </row>
    <row r="832" spans="2:40" ht="49" thickBot="1">
      <c r="C832" s="90">
        <v>2</v>
      </c>
      <c r="D832" s="494" t="s">
        <v>30</v>
      </c>
      <c r="E832" s="1429" t="s">
        <v>1007</v>
      </c>
      <c r="F832" s="1430"/>
      <c r="G832" s="1431"/>
      <c r="H832" s="844" t="s">
        <v>790</v>
      </c>
      <c r="I832" s="1432" t="s">
        <v>633</v>
      </c>
      <c r="J832" s="1433"/>
      <c r="K832" s="1434"/>
      <c r="L832" s="845" t="s">
        <v>430</v>
      </c>
      <c r="M832" s="465" t="s">
        <v>431</v>
      </c>
      <c r="N832" s="162" t="s">
        <v>105</v>
      </c>
      <c r="O832" s="114" t="s">
        <v>800</v>
      </c>
      <c r="P832" s="114" t="s">
        <v>801</v>
      </c>
      <c r="Q832" s="114" t="s">
        <v>802</v>
      </c>
      <c r="R832" s="114" t="s">
        <v>803</v>
      </c>
      <c r="S832" s="114" t="s">
        <v>804</v>
      </c>
      <c r="T832" s="114" t="s">
        <v>805</v>
      </c>
      <c r="U832" s="114" t="s">
        <v>806</v>
      </c>
      <c r="V832" s="114" t="s">
        <v>807</v>
      </c>
      <c r="W832" s="114" t="s">
        <v>808</v>
      </c>
      <c r="X832" s="114" t="s">
        <v>809</v>
      </c>
      <c r="Y832" s="114" t="s">
        <v>75</v>
      </c>
      <c r="Z832" s="114" t="s">
        <v>75</v>
      </c>
    </row>
    <row r="833" spans="3:26" ht="24">
      <c r="C833" s="90"/>
      <c r="D833" s="489" t="s">
        <v>432</v>
      </c>
      <c r="E833" s="1435"/>
      <c r="F833" s="1436"/>
      <c r="G833" s="1437"/>
      <c r="H833" s="846" t="s">
        <v>1056</v>
      </c>
      <c r="I833" s="1438" t="s">
        <v>1008</v>
      </c>
      <c r="J833" s="1243"/>
      <c r="K833" s="1439"/>
      <c r="L833" s="835"/>
      <c r="M833" s="466"/>
      <c r="N833" s="162"/>
      <c r="O833" s="115" t="s">
        <v>810</v>
      </c>
      <c r="P833" s="163">
        <v>0.1</v>
      </c>
      <c r="Q833" s="164">
        <v>2.0000000000000001E-4</v>
      </c>
      <c r="R833" s="165">
        <v>1.7000000000000348E-4</v>
      </c>
      <c r="S833" s="119"/>
      <c r="T833" s="115">
        <v>4.7000000000000351E-4</v>
      </c>
      <c r="U833" s="164">
        <v>-12.97</v>
      </c>
      <c r="V833" s="163">
        <v>60.5</v>
      </c>
      <c r="W833" s="166">
        <v>2</v>
      </c>
      <c r="X833" s="153">
        <v>25.94</v>
      </c>
      <c r="Y833" s="120"/>
      <c r="Z833" s="120"/>
    </row>
    <row r="834" spans="3:26" ht="24">
      <c r="C834" s="90"/>
      <c r="D834" s="490" t="s">
        <v>433</v>
      </c>
      <c r="E834" s="1444">
        <v>0</v>
      </c>
      <c r="F834" s="1445"/>
      <c r="G834" s="1446"/>
      <c r="H834" s="846" t="s">
        <v>1057</v>
      </c>
      <c r="I834" s="1440"/>
      <c r="J834" s="1246"/>
      <c r="K834" s="1441"/>
      <c r="L834" s="835"/>
      <c r="M834" s="466"/>
      <c r="N834" s="162"/>
      <c r="O834" s="121"/>
      <c r="P834" s="121"/>
      <c r="Q834" s="121"/>
      <c r="R834" s="122"/>
      <c r="S834" s="123"/>
      <c r="T834" s="121"/>
      <c r="U834" s="121"/>
      <c r="V834" s="121"/>
      <c r="W834" s="123"/>
      <c r="X834" s="123"/>
      <c r="Y834" s="124"/>
      <c r="Z834" s="124"/>
    </row>
    <row r="835" spans="3:26" ht="24">
      <c r="C835" s="90"/>
      <c r="D835" s="490" t="s">
        <v>434</v>
      </c>
      <c r="E835" s="1444">
        <v>1.6E-2</v>
      </c>
      <c r="F835" s="1445"/>
      <c r="G835" s="1446"/>
      <c r="H835" s="847"/>
      <c r="I835" s="1440"/>
      <c r="J835" s="1246"/>
      <c r="K835" s="1441"/>
      <c r="L835" s="835"/>
      <c r="M835" s="466"/>
      <c r="N835" s="162"/>
      <c r="O835" s="125" t="s">
        <v>811</v>
      </c>
      <c r="P835" s="167">
        <v>0.1</v>
      </c>
      <c r="Q835" s="168">
        <v>5.9999999999999995E-4</v>
      </c>
      <c r="R835" s="169">
        <v>2.5000000000000001E-4</v>
      </c>
      <c r="S835" s="129">
        <v>1</v>
      </c>
      <c r="T835" s="125">
        <v>1.15E-3</v>
      </c>
      <c r="U835" s="130">
        <v>-31.735106382978486</v>
      </c>
      <c r="V835" s="131">
        <v>60.5</v>
      </c>
      <c r="W835" s="170">
        <v>3.28</v>
      </c>
      <c r="X835" s="133">
        <v>104.09114893616943</v>
      </c>
      <c r="Y835" s="134"/>
      <c r="Z835" s="134"/>
    </row>
    <row r="836" spans="3:26" ht="25" thickBot="1">
      <c r="C836" s="90"/>
      <c r="D836" s="491" t="s">
        <v>435</v>
      </c>
      <c r="E836" s="1447">
        <v>0.5625</v>
      </c>
      <c r="F836" s="1448"/>
      <c r="G836" s="1449"/>
      <c r="H836" s="860">
        <v>0.35416666666666663</v>
      </c>
      <c r="I836" s="1440"/>
      <c r="J836" s="1246"/>
      <c r="K836" s="1441"/>
      <c r="L836" s="836">
        <v>0.79166666666666663</v>
      </c>
      <c r="M836" s="467">
        <v>0.64583333333333326</v>
      </c>
      <c r="N836" s="162"/>
      <c r="O836" s="135" t="s">
        <v>812</v>
      </c>
      <c r="P836" s="171">
        <v>0.1</v>
      </c>
      <c r="Q836" s="156">
        <v>6.333333333333333E-4</v>
      </c>
      <c r="R836" s="172">
        <v>2.5000000000000001E-4</v>
      </c>
      <c r="S836" s="139">
        <v>1</v>
      </c>
      <c r="T836" s="173">
        <v>1.1999999999999999E-3</v>
      </c>
      <c r="U836" s="140">
        <v>-33.114893617021025</v>
      </c>
      <c r="V836" s="141">
        <v>60.5</v>
      </c>
      <c r="W836" s="174">
        <v>2.97</v>
      </c>
      <c r="X836" s="143">
        <v>98.351234042552448</v>
      </c>
      <c r="Y836" s="144"/>
      <c r="Z836" s="144"/>
    </row>
    <row r="837" spans="3:26" ht="25" thickBot="1">
      <c r="C837" s="90"/>
      <c r="D837" s="492" t="s">
        <v>436</v>
      </c>
      <c r="E837" s="92" t="s">
        <v>29</v>
      </c>
      <c r="F837" s="92" t="s">
        <v>28</v>
      </c>
      <c r="G837" s="93" t="s">
        <v>27</v>
      </c>
      <c r="H837" s="855" t="s">
        <v>793</v>
      </c>
      <c r="I837" s="1440"/>
      <c r="J837" s="1246"/>
      <c r="K837" s="1441"/>
      <c r="L837" s="856" t="s">
        <v>1002</v>
      </c>
      <c r="M837" s="470"/>
      <c r="N837" s="162"/>
      <c r="O837" s="123"/>
      <c r="P837" s="145"/>
      <c r="Q837" s="123"/>
      <c r="R837" s="123"/>
      <c r="S837" s="123"/>
      <c r="T837" s="123"/>
      <c r="U837" s="146"/>
      <c r="V837" s="147"/>
      <c r="W837" s="123"/>
      <c r="X837" s="146"/>
      <c r="Y837" s="124"/>
      <c r="Z837" s="124"/>
    </row>
    <row r="838" spans="3:26" ht="24">
      <c r="C838" s="90"/>
      <c r="D838" s="493">
        <v>45580</v>
      </c>
      <c r="E838" s="98">
        <v>1.6E-2</v>
      </c>
      <c r="F838" s="98" t="s">
        <v>895</v>
      </c>
      <c r="G838" s="98">
        <v>0.02</v>
      </c>
      <c r="H838" s="850">
        <v>0.52083333333333337</v>
      </c>
      <c r="I838" s="1440"/>
      <c r="J838" s="1246"/>
      <c r="K838" s="1441"/>
      <c r="L838" s="857">
        <v>0.3125</v>
      </c>
      <c r="M838" s="471"/>
      <c r="N838" s="162"/>
      <c r="O838" s="148"/>
      <c r="P838" s="124"/>
      <c r="Q838" s="148"/>
      <c r="R838" s="148"/>
      <c r="S838" s="148"/>
      <c r="T838" s="148"/>
      <c r="U838" s="148"/>
      <c r="V838" s="148"/>
      <c r="W838" s="148"/>
      <c r="X838" s="148"/>
      <c r="Y838" s="124"/>
      <c r="Z838" s="124"/>
    </row>
    <row r="839" spans="3:26" ht="24">
      <c r="C839" s="90"/>
      <c r="D839" s="493">
        <v>45552</v>
      </c>
      <c r="E839" s="98">
        <v>0.02</v>
      </c>
      <c r="F839" s="98" t="s">
        <v>754</v>
      </c>
      <c r="G839" s="98">
        <v>2.5000000000000001E-2</v>
      </c>
      <c r="H839" s="850">
        <v>0.52083333333333337</v>
      </c>
      <c r="I839" s="1440"/>
      <c r="J839" s="1246"/>
      <c r="K839" s="1441"/>
      <c r="L839" s="857">
        <v>0.3125</v>
      </c>
      <c r="M839" s="472"/>
      <c r="N839" s="162"/>
      <c r="O839" s="115" t="s">
        <v>813</v>
      </c>
      <c r="P839" s="163">
        <v>0.05</v>
      </c>
      <c r="Q839" s="149">
        <v>6.1666666666666662E-4</v>
      </c>
      <c r="R839" s="150">
        <v>2.5000000000000001E-4</v>
      </c>
      <c r="S839" s="119">
        <v>1</v>
      </c>
      <c r="T839" s="125">
        <v>1.1749999999999998E-3</v>
      </c>
      <c r="U839" s="151">
        <v>-16.212499999999878</v>
      </c>
      <c r="V839" s="152">
        <v>30.25</v>
      </c>
      <c r="W839" s="119">
        <v>2</v>
      </c>
      <c r="X839" s="153">
        <v>32.424999999999756</v>
      </c>
      <c r="Y839" s="154"/>
      <c r="Z839" s="154"/>
    </row>
    <row r="840" spans="3:26" ht="24">
      <c r="C840" s="90"/>
      <c r="D840" s="493">
        <v>45524</v>
      </c>
      <c r="E840" s="98">
        <v>2.5000000000000001E-2</v>
      </c>
      <c r="F840" s="98" t="s">
        <v>495</v>
      </c>
      <c r="G840" s="98">
        <v>2.7E-2</v>
      </c>
      <c r="H840" s="850">
        <v>0.52083333333333337</v>
      </c>
      <c r="I840" s="1440"/>
      <c r="J840" s="1246"/>
      <c r="K840" s="1441"/>
      <c r="L840" s="857">
        <v>0.3125</v>
      </c>
      <c r="M840" s="466"/>
      <c r="N840" s="162"/>
      <c r="O840" s="115" t="s">
        <v>813</v>
      </c>
      <c r="P840" s="163">
        <v>0.05</v>
      </c>
      <c r="Q840" s="149">
        <v>6.1666666666666662E-4</v>
      </c>
      <c r="R840" s="150">
        <v>2.5000000000000001E-4</v>
      </c>
      <c r="S840" s="119">
        <v>1</v>
      </c>
      <c r="T840" s="125">
        <v>1.1749999999999998E-3</v>
      </c>
      <c r="U840" s="151">
        <v>-16.212499999999878</v>
      </c>
      <c r="V840" s="152">
        <v>30.25</v>
      </c>
      <c r="W840" s="119">
        <v>2</v>
      </c>
      <c r="X840" s="153">
        <v>32.424999999999756</v>
      </c>
      <c r="Y840" s="154"/>
      <c r="Z840" s="154"/>
    </row>
    <row r="841" spans="3:26" ht="24">
      <c r="C841" s="90"/>
      <c r="D841" s="493">
        <v>45489</v>
      </c>
      <c r="E841" s="98">
        <v>2.7E-2</v>
      </c>
      <c r="F841" s="98" t="s">
        <v>754</v>
      </c>
      <c r="G841" s="98">
        <v>2.9000000000000001E-2</v>
      </c>
      <c r="H841" s="850">
        <v>0.52083333333333337</v>
      </c>
      <c r="I841" s="1440"/>
      <c r="J841" s="1246"/>
      <c r="K841" s="1441"/>
      <c r="L841" s="857">
        <v>0.3125</v>
      </c>
      <c r="M841" s="466"/>
      <c r="N841" s="162"/>
      <c r="O841" s="115"/>
      <c r="P841" s="116"/>
      <c r="Q841" s="149"/>
      <c r="R841" s="150"/>
      <c r="S841" s="119"/>
      <c r="T841" s="116"/>
      <c r="U841" s="151"/>
      <c r="V841" s="152"/>
      <c r="W841" s="119"/>
      <c r="X841" s="153"/>
      <c r="Y841" s="154"/>
      <c r="Z841" s="154"/>
    </row>
    <row r="842" spans="3:26" ht="24">
      <c r="C842" s="90"/>
      <c r="D842" s="493">
        <v>45468</v>
      </c>
      <c r="E842" s="98">
        <v>2.9000000000000001E-2</v>
      </c>
      <c r="F842" s="98" t="s">
        <v>493</v>
      </c>
      <c r="G842" s="98">
        <v>2.7E-2</v>
      </c>
      <c r="H842" s="850">
        <v>0.52083333333333337</v>
      </c>
      <c r="I842" s="1440"/>
      <c r="J842" s="1246"/>
      <c r="K842" s="1441"/>
      <c r="L842" s="857">
        <v>0.3125</v>
      </c>
      <c r="M842" s="466"/>
      <c r="N842" s="162"/>
      <c r="O842" s="89"/>
      <c r="P842" s="89"/>
      <c r="Q842" s="89"/>
      <c r="R842" s="89"/>
      <c r="S842" s="89"/>
      <c r="T842" s="89"/>
      <c r="U842" s="89"/>
      <c r="V842" s="89"/>
      <c r="W842" s="89"/>
      <c r="X842" s="89"/>
      <c r="Y842" s="89"/>
      <c r="Z842" s="89"/>
    </row>
    <row r="843" spans="3:26" ht="25" thickBot="1">
      <c r="C843" s="90"/>
      <c r="D843" s="493">
        <v>45433</v>
      </c>
      <c r="E843" s="98">
        <v>2.7E-2</v>
      </c>
      <c r="F843" s="98" t="s">
        <v>665</v>
      </c>
      <c r="G843" s="98">
        <v>2.9000000000000001E-2</v>
      </c>
      <c r="H843" s="858">
        <v>0.52083333333333337</v>
      </c>
      <c r="I843" s="1442"/>
      <c r="J843" s="1249"/>
      <c r="K843" s="1443"/>
      <c r="L843" s="857">
        <v>0.3125</v>
      </c>
      <c r="M843" s="469"/>
      <c r="N843" s="162"/>
      <c r="O843" s="89"/>
      <c r="P843" s="89"/>
      <c r="Q843" s="89"/>
      <c r="R843" s="89"/>
      <c r="S843" s="89"/>
      <c r="T843" s="89"/>
      <c r="U843" s="89"/>
      <c r="V843" s="89"/>
      <c r="W843" s="89"/>
      <c r="X843" s="89"/>
      <c r="Y843" s="89"/>
      <c r="Z843" s="89"/>
    </row>
    <row r="844" spans="3:26" ht="49" thickBot="1">
      <c r="C844" s="90">
        <v>3</v>
      </c>
      <c r="D844" s="494" t="s">
        <v>30</v>
      </c>
      <c r="E844" s="1429" t="s">
        <v>1009</v>
      </c>
      <c r="F844" s="1430"/>
      <c r="G844" s="1431"/>
      <c r="H844" s="844" t="s">
        <v>790</v>
      </c>
      <c r="I844" s="1432" t="s">
        <v>633</v>
      </c>
      <c r="J844" s="1433"/>
      <c r="K844" s="1434"/>
      <c r="L844" s="845" t="s">
        <v>430</v>
      </c>
      <c r="M844" s="465" t="s">
        <v>431</v>
      </c>
      <c r="N844" s="162" t="s">
        <v>105</v>
      </c>
      <c r="O844" s="114" t="s">
        <v>800</v>
      </c>
      <c r="P844" s="114" t="s">
        <v>801</v>
      </c>
      <c r="Q844" s="114" t="s">
        <v>802</v>
      </c>
      <c r="R844" s="114" t="s">
        <v>803</v>
      </c>
      <c r="S844" s="114" t="s">
        <v>804</v>
      </c>
      <c r="T844" s="114" t="s">
        <v>805</v>
      </c>
      <c r="U844" s="114" t="s">
        <v>806</v>
      </c>
      <c r="V844" s="114" t="s">
        <v>807</v>
      </c>
      <c r="W844" s="114" t="s">
        <v>808</v>
      </c>
      <c r="X844" s="114" t="s">
        <v>809</v>
      </c>
      <c r="Y844" s="114" t="s">
        <v>75</v>
      </c>
      <c r="Z844" s="114" t="s">
        <v>75</v>
      </c>
    </row>
    <row r="845" spans="3:26" ht="24">
      <c r="C845" s="90"/>
      <c r="D845" s="489" t="s">
        <v>432</v>
      </c>
      <c r="E845" s="1435"/>
      <c r="F845" s="1436"/>
      <c r="G845" s="1437"/>
      <c r="H845" s="846" t="s">
        <v>1058</v>
      </c>
      <c r="I845" s="1438" t="s">
        <v>1010</v>
      </c>
      <c r="J845" s="1243"/>
      <c r="K845" s="1439"/>
      <c r="L845" s="835"/>
      <c r="M845" s="466"/>
      <c r="N845" s="162"/>
      <c r="O845" s="115" t="s">
        <v>810</v>
      </c>
      <c r="P845" s="163">
        <v>0.1</v>
      </c>
      <c r="Q845" s="164">
        <v>1.07</v>
      </c>
      <c r="R845" s="165">
        <v>2.6999999999998181</v>
      </c>
      <c r="S845" s="119"/>
      <c r="T845" s="115">
        <v>4.3049999999998185</v>
      </c>
      <c r="U845" s="164">
        <v>-2</v>
      </c>
      <c r="V845" s="163">
        <v>91.8</v>
      </c>
      <c r="W845" s="166">
        <v>2</v>
      </c>
      <c r="X845" s="153">
        <v>4</v>
      </c>
      <c r="Y845" s="120"/>
      <c r="Z845" s="120"/>
    </row>
    <row r="846" spans="3:26" ht="24">
      <c r="C846" s="90"/>
      <c r="D846" s="490" t="s">
        <v>433</v>
      </c>
      <c r="E846" s="1444"/>
      <c r="F846" s="1445"/>
      <c r="G846" s="1446"/>
      <c r="H846" s="846" t="s">
        <v>1058</v>
      </c>
      <c r="I846" s="1440"/>
      <c r="J846" s="1246"/>
      <c r="K846" s="1441"/>
      <c r="L846" s="835"/>
      <c r="M846" s="466"/>
      <c r="N846" s="162"/>
      <c r="O846" s="121"/>
      <c r="P846" s="121"/>
      <c r="Q846" s="121"/>
      <c r="R846" s="122"/>
      <c r="S846" s="123"/>
      <c r="T846" s="121"/>
      <c r="U846" s="121"/>
      <c r="V846" s="121"/>
      <c r="W846" s="123"/>
      <c r="X846" s="123"/>
      <c r="Y846" s="124"/>
      <c r="Z846" s="124"/>
    </row>
    <row r="847" spans="3:26" ht="24">
      <c r="C847" s="90"/>
      <c r="D847" s="490" t="s">
        <v>434</v>
      </c>
      <c r="E847" s="1444">
        <v>1.7000000000000001E-2</v>
      </c>
      <c r="F847" s="1445"/>
      <c r="G847" s="1446"/>
      <c r="H847" s="847"/>
      <c r="I847" s="1440"/>
      <c r="J847" s="1246"/>
      <c r="K847" s="1441"/>
      <c r="L847" s="835"/>
      <c r="M847" s="466"/>
      <c r="N847" s="162"/>
      <c r="O847" s="125" t="s">
        <v>811</v>
      </c>
      <c r="P847" s="167">
        <v>0.65</v>
      </c>
      <c r="Q847" s="168">
        <v>5.5713999999999997</v>
      </c>
      <c r="R847" s="169">
        <v>2.7</v>
      </c>
      <c r="S847" s="129">
        <v>1</v>
      </c>
      <c r="T847" s="125">
        <v>11.057099999999998</v>
      </c>
      <c r="U847" s="130">
        <v>-33.38961672474008</v>
      </c>
      <c r="V847" s="131">
        <v>393.25</v>
      </c>
      <c r="W847" s="170">
        <v>5.31</v>
      </c>
      <c r="X847" s="133">
        <v>177.29886480836981</v>
      </c>
      <c r="Y847" s="134"/>
      <c r="Z847" s="134"/>
    </row>
    <row r="848" spans="3:26" ht="25" thickBot="1">
      <c r="C848" s="90"/>
      <c r="D848" s="491" t="s">
        <v>435</v>
      </c>
      <c r="E848" s="1447">
        <v>0.29166666666666674</v>
      </c>
      <c r="F848" s="1448"/>
      <c r="G848" s="1449"/>
      <c r="H848" s="860">
        <v>8.3333333333333398E-2</v>
      </c>
      <c r="I848" s="1440"/>
      <c r="J848" s="1246"/>
      <c r="K848" s="1441"/>
      <c r="L848" s="836">
        <v>0.52083333333333337</v>
      </c>
      <c r="M848" s="467">
        <v>0.375</v>
      </c>
      <c r="N848" s="162"/>
      <c r="O848" s="135" t="s">
        <v>812</v>
      </c>
      <c r="P848" s="171">
        <v>0.65</v>
      </c>
      <c r="Q848" s="156">
        <v>4.056</v>
      </c>
      <c r="R848" s="172">
        <v>2.7</v>
      </c>
      <c r="S848" s="139">
        <v>1</v>
      </c>
      <c r="T848" s="173">
        <v>8.7840000000000007</v>
      </c>
      <c r="U848" s="140">
        <v>-26.525435540070806</v>
      </c>
      <c r="V848" s="141">
        <v>393.25</v>
      </c>
      <c r="W848" s="174">
        <v>4.0679999999999996</v>
      </c>
      <c r="X848" s="143">
        <v>107.90547177700803</v>
      </c>
      <c r="Y848" s="144"/>
      <c r="Z848" s="144"/>
    </row>
    <row r="849" spans="3:26" ht="25" thickBot="1">
      <c r="C849" s="90"/>
      <c r="D849" s="492" t="s">
        <v>436</v>
      </c>
      <c r="E849" s="92" t="s">
        <v>29</v>
      </c>
      <c r="F849" s="92" t="s">
        <v>28</v>
      </c>
      <c r="G849" s="93" t="s">
        <v>27</v>
      </c>
      <c r="H849" s="855" t="s">
        <v>793</v>
      </c>
      <c r="I849" s="1440"/>
      <c r="J849" s="1246"/>
      <c r="K849" s="1441"/>
      <c r="L849" s="856" t="s">
        <v>1002</v>
      </c>
      <c r="M849" s="470"/>
      <c r="N849" s="162"/>
      <c r="O849" s="123"/>
      <c r="P849" s="145"/>
      <c r="Q849" s="123"/>
      <c r="R849" s="123"/>
      <c r="S849" s="123"/>
      <c r="T849" s="123"/>
      <c r="U849" s="146"/>
      <c r="V849" s="147"/>
      <c r="W849" s="123"/>
      <c r="X849" s="146"/>
      <c r="Y849" s="124"/>
      <c r="Z849" s="124"/>
    </row>
    <row r="850" spans="3:26" ht="24">
      <c r="C850" s="90"/>
      <c r="D850" s="493">
        <v>45581</v>
      </c>
      <c r="E850" s="98">
        <v>1.7000000000000001E-2</v>
      </c>
      <c r="F850" s="98" t="s">
        <v>789</v>
      </c>
      <c r="G850" s="98">
        <v>2.1999999999999999E-2</v>
      </c>
      <c r="H850" s="850">
        <v>0.25</v>
      </c>
      <c r="I850" s="1440"/>
      <c r="J850" s="1246"/>
      <c r="K850" s="1441"/>
      <c r="L850" s="857">
        <v>4.1666666666666664E-2</v>
      </c>
      <c r="M850" s="471"/>
      <c r="N850" s="162"/>
      <c r="O850" s="148"/>
      <c r="P850" s="124"/>
      <c r="Q850" s="148"/>
      <c r="R850" s="148"/>
      <c r="S850" s="148"/>
      <c r="T850" s="148"/>
      <c r="U850" s="148"/>
      <c r="V850" s="148"/>
      <c r="W850" s="148"/>
      <c r="X850" s="148"/>
      <c r="Y850" s="124"/>
      <c r="Z850" s="124"/>
    </row>
    <row r="851" spans="3:26" ht="24">
      <c r="C851" s="90"/>
      <c r="D851" s="493">
        <v>45553</v>
      </c>
      <c r="E851" s="98">
        <v>2.1999999999999999E-2</v>
      </c>
      <c r="F851" s="98" t="s">
        <v>490</v>
      </c>
      <c r="G851" s="98">
        <v>2.1999999999999999E-2</v>
      </c>
      <c r="H851" s="850">
        <v>0.25</v>
      </c>
      <c r="I851" s="1440"/>
      <c r="J851" s="1246"/>
      <c r="K851" s="1441"/>
      <c r="L851" s="857">
        <v>4.1666666666666664E-2</v>
      </c>
      <c r="M851" s="472"/>
      <c r="N851" s="162"/>
      <c r="O851" s="115" t="s">
        <v>813</v>
      </c>
      <c r="P851" s="163">
        <v>0.65</v>
      </c>
      <c r="Q851" s="149">
        <v>4.8136999999999999</v>
      </c>
      <c r="R851" s="150">
        <v>2.7</v>
      </c>
      <c r="S851" s="119">
        <v>1</v>
      </c>
      <c r="T851" s="125">
        <v>9.9205499999999986</v>
      </c>
      <c r="U851" s="151">
        <v>-29.957526132405437</v>
      </c>
      <c r="V851" s="152">
        <v>393.25</v>
      </c>
      <c r="W851" s="119">
        <v>4</v>
      </c>
      <c r="X851" s="153">
        <v>119.83010452962175</v>
      </c>
      <c r="Y851" s="154"/>
      <c r="Z851" s="154"/>
    </row>
    <row r="852" spans="3:26" ht="24">
      <c r="C852" s="90"/>
      <c r="D852" s="493">
        <v>45518</v>
      </c>
      <c r="E852" s="98">
        <v>2.1999999999999999E-2</v>
      </c>
      <c r="F852" s="98" t="s">
        <v>971</v>
      </c>
      <c r="G852" s="98">
        <v>0.02</v>
      </c>
      <c r="H852" s="850">
        <v>0.25</v>
      </c>
      <c r="I852" s="1440"/>
      <c r="J852" s="1246"/>
      <c r="K852" s="1441"/>
      <c r="L852" s="857">
        <v>4.1666666666666664E-2</v>
      </c>
      <c r="M852" s="466"/>
      <c r="N852" s="162"/>
      <c r="O852" s="115" t="s">
        <v>813</v>
      </c>
      <c r="P852" s="163">
        <v>0.65</v>
      </c>
      <c r="Q852" s="149">
        <v>4.8136999999999999</v>
      </c>
      <c r="R852" s="150">
        <v>2.7</v>
      </c>
      <c r="S852" s="119">
        <v>1</v>
      </c>
      <c r="T852" s="125">
        <v>9.9205499999999986</v>
      </c>
      <c r="U852" s="151">
        <v>-29.957526132405437</v>
      </c>
      <c r="V852" s="152">
        <v>393.25</v>
      </c>
      <c r="W852" s="119">
        <v>4</v>
      </c>
      <c r="X852" s="153">
        <v>119.83010452962175</v>
      </c>
      <c r="Y852" s="154"/>
      <c r="Z852" s="154"/>
    </row>
    <row r="853" spans="3:26" ht="24">
      <c r="C853" s="90"/>
      <c r="D853" s="493">
        <v>45490</v>
      </c>
      <c r="E853" s="98">
        <v>0.02</v>
      </c>
      <c r="F853" s="98" t="s">
        <v>789</v>
      </c>
      <c r="G853" s="98">
        <v>0.02</v>
      </c>
      <c r="H853" s="850">
        <v>0.25</v>
      </c>
      <c r="I853" s="1440"/>
      <c r="J853" s="1246"/>
      <c r="K853" s="1441"/>
      <c r="L853" s="857">
        <v>4.1666666666666664E-2</v>
      </c>
      <c r="M853" s="466"/>
      <c r="N853" s="162"/>
      <c r="O853" s="115"/>
      <c r="P853" s="116"/>
      <c r="Q853" s="149"/>
      <c r="R853" s="150"/>
      <c r="S853" s="119"/>
      <c r="T853" s="116"/>
      <c r="U853" s="151"/>
      <c r="V853" s="152"/>
      <c r="W853" s="119"/>
      <c r="X853" s="153"/>
      <c r="Y853" s="154"/>
      <c r="Z853" s="154"/>
    </row>
    <row r="854" spans="3:26" ht="24">
      <c r="C854" s="90"/>
      <c r="D854" s="493">
        <v>45462</v>
      </c>
      <c r="E854" s="98">
        <v>0.02</v>
      </c>
      <c r="F854" s="98" t="s">
        <v>788</v>
      </c>
      <c r="G854" s="98">
        <v>2.3E-2</v>
      </c>
      <c r="H854" s="850">
        <v>0.25</v>
      </c>
      <c r="I854" s="1440"/>
      <c r="J854" s="1246"/>
      <c r="K854" s="1441"/>
      <c r="L854" s="857">
        <v>4.1666666666666664E-2</v>
      </c>
      <c r="M854" s="466"/>
      <c r="N854" s="162"/>
      <c r="O854" s="89"/>
      <c r="P854" s="89"/>
      <c r="Q854" s="89"/>
      <c r="R854" s="89"/>
      <c r="S854" s="89"/>
      <c r="T854" s="89"/>
      <c r="U854" s="89"/>
      <c r="V854" s="89"/>
      <c r="W854" s="89"/>
      <c r="X854" s="89"/>
      <c r="Y854" s="89"/>
      <c r="Z854" s="89"/>
    </row>
    <row r="855" spans="3:26" ht="25" thickBot="1">
      <c r="C855" s="90"/>
      <c r="D855" s="493">
        <v>45434</v>
      </c>
      <c r="E855" s="98">
        <v>2.3E-2</v>
      </c>
      <c r="F855" s="98" t="s">
        <v>1028</v>
      </c>
      <c r="G855" s="98">
        <v>3.2000000000000001E-2</v>
      </c>
      <c r="H855" s="858">
        <v>0.25</v>
      </c>
      <c r="I855" s="1442"/>
      <c r="J855" s="1249"/>
      <c r="K855" s="1443"/>
      <c r="L855" s="857">
        <v>4.1666666666666664E-2</v>
      </c>
      <c r="M855" s="469"/>
      <c r="N855" s="162"/>
      <c r="O855" s="89"/>
      <c r="P855" s="89"/>
      <c r="Q855" s="89"/>
      <c r="R855" s="89"/>
      <c r="S855" s="89"/>
      <c r="T855" s="89"/>
      <c r="U855" s="89"/>
      <c r="V855" s="89"/>
      <c r="W855" s="89"/>
      <c r="X855" s="89"/>
      <c r="Y855" s="89"/>
      <c r="Z855" s="89"/>
    </row>
    <row r="856" spans="3:26" ht="49" thickBot="1">
      <c r="C856" s="90">
        <v>4</v>
      </c>
      <c r="D856" s="494" t="s">
        <v>30</v>
      </c>
      <c r="E856" s="1429" t="s">
        <v>9</v>
      </c>
      <c r="F856" s="1430"/>
      <c r="G856" s="1431"/>
      <c r="H856" s="844" t="s">
        <v>790</v>
      </c>
      <c r="I856" s="1432" t="s">
        <v>633</v>
      </c>
      <c r="J856" s="1433"/>
      <c r="K856" s="1434"/>
      <c r="L856" s="845" t="s">
        <v>430</v>
      </c>
      <c r="M856" s="465" t="s">
        <v>431</v>
      </c>
      <c r="N856" s="162" t="s">
        <v>105</v>
      </c>
      <c r="O856" s="114" t="s">
        <v>800</v>
      </c>
      <c r="P856" s="114" t="s">
        <v>801</v>
      </c>
      <c r="Q856" s="114" t="s">
        <v>802</v>
      </c>
      <c r="R856" s="114" t="s">
        <v>803</v>
      </c>
      <c r="S856" s="114" t="s">
        <v>804</v>
      </c>
      <c r="T856" s="114" t="s">
        <v>805</v>
      </c>
      <c r="U856" s="114" t="s">
        <v>806</v>
      </c>
      <c r="V856" s="114" t="s">
        <v>807</v>
      </c>
      <c r="W856" s="114" t="s">
        <v>808</v>
      </c>
      <c r="X856" s="114" t="s">
        <v>809</v>
      </c>
      <c r="Y856" s="114" t="s">
        <v>75</v>
      </c>
      <c r="Z856" s="114" t="s">
        <v>75</v>
      </c>
    </row>
    <row r="857" spans="3:26" ht="24">
      <c r="C857" s="90"/>
      <c r="D857" s="489" t="s">
        <v>432</v>
      </c>
      <c r="E857" s="1450"/>
      <c r="F857" s="1451"/>
      <c r="G857" s="1452"/>
      <c r="H857" s="846" t="s">
        <v>796</v>
      </c>
      <c r="I857" s="1438" t="s">
        <v>926</v>
      </c>
      <c r="J857" s="1243"/>
      <c r="K857" s="1439"/>
      <c r="L857" s="835"/>
      <c r="M857" s="466"/>
      <c r="N857" s="162"/>
      <c r="O857" s="115" t="s">
        <v>810</v>
      </c>
      <c r="P857" s="163">
        <v>0.1</v>
      </c>
      <c r="Q857" s="164">
        <v>2.7E-2</v>
      </c>
      <c r="R857" s="165">
        <v>1.5999999999991132E-2</v>
      </c>
      <c r="S857" s="119"/>
      <c r="T857" s="115">
        <v>5.6499999999991134E-2</v>
      </c>
      <c r="U857" s="164">
        <v>-13.31</v>
      </c>
      <c r="V857" s="163">
        <v>91.8</v>
      </c>
      <c r="W857" s="166">
        <v>2</v>
      </c>
      <c r="X857" s="153">
        <v>26.62</v>
      </c>
      <c r="Y857" s="120"/>
      <c r="Z857" s="120"/>
    </row>
    <row r="858" spans="3:26" ht="24">
      <c r="C858" s="90"/>
      <c r="D858" s="490" t="s">
        <v>433</v>
      </c>
      <c r="E858" s="1444"/>
      <c r="F858" s="1445"/>
      <c r="G858" s="1446"/>
      <c r="H858" s="846" t="s">
        <v>796</v>
      </c>
      <c r="I858" s="1440"/>
      <c r="J858" s="1246"/>
      <c r="K858" s="1441"/>
      <c r="L858" s="835"/>
      <c r="M858" s="466"/>
      <c r="N858" s="162"/>
      <c r="O858" s="121"/>
      <c r="P858" s="121"/>
      <c r="Q858" s="121"/>
      <c r="R858" s="122"/>
      <c r="S858" s="123"/>
      <c r="T858" s="121"/>
      <c r="U858" s="121"/>
      <c r="V858" s="121"/>
      <c r="W858" s="123"/>
      <c r="X858" s="123"/>
      <c r="Y858" s="124"/>
      <c r="Z858" s="124"/>
    </row>
    <row r="859" spans="3:26" ht="24">
      <c r="C859" s="90"/>
      <c r="D859" s="490" t="s">
        <v>434</v>
      </c>
      <c r="E859" s="1444" t="s">
        <v>1011</v>
      </c>
      <c r="F859" s="1445"/>
      <c r="G859" s="1446"/>
      <c r="H859" s="847"/>
      <c r="I859" s="1440"/>
      <c r="J859" s="1246"/>
      <c r="K859" s="1441"/>
      <c r="L859" s="835"/>
      <c r="M859" s="466"/>
      <c r="N859" s="162"/>
      <c r="O859" s="125" t="s">
        <v>811</v>
      </c>
      <c r="P859" s="167">
        <v>0.1</v>
      </c>
      <c r="Q859" s="168">
        <v>8.3099999999999993E-2</v>
      </c>
      <c r="R859" s="169">
        <v>1.7000000000000001E-2</v>
      </c>
      <c r="S859" s="129">
        <v>1</v>
      </c>
      <c r="T859" s="125">
        <v>0.14165</v>
      </c>
      <c r="U859" s="130">
        <v>-33.369230088500814</v>
      </c>
      <c r="V859" s="131">
        <v>60.5</v>
      </c>
      <c r="W859" s="170">
        <v>5.49</v>
      </c>
      <c r="X859" s="133">
        <v>183.19707318586947</v>
      </c>
      <c r="Y859" s="134"/>
      <c r="Z859" s="134">
        <v>4.4350000000000005</v>
      </c>
    </row>
    <row r="860" spans="3:26" ht="25" thickBot="1">
      <c r="C860" s="90"/>
      <c r="D860" s="491" t="s">
        <v>435</v>
      </c>
      <c r="E860" s="1447">
        <v>0.64583333333333337</v>
      </c>
      <c r="F860" s="1448"/>
      <c r="G860" s="1449"/>
      <c r="H860" s="860">
        <v>0.4375</v>
      </c>
      <c r="I860" s="1440"/>
      <c r="J860" s="1246"/>
      <c r="K860" s="1441"/>
      <c r="L860" s="836">
        <v>0.875</v>
      </c>
      <c r="M860" s="467">
        <v>0.72916666666666663</v>
      </c>
      <c r="N860" s="162"/>
      <c r="O860" s="135" t="s">
        <v>812</v>
      </c>
      <c r="P860" s="171">
        <v>0.1</v>
      </c>
      <c r="Q860" s="156">
        <v>9.1333333333333336E-2</v>
      </c>
      <c r="R860" s="172">
        <v>1.7000000000000001E-2</v>
      </c>
      <c r="S860" s="139">
        <v>1</v>
      </c>
      <c r="T860" s="173">
        <v>0.154</v>
      </c>
      <c r="U860" s="140">
        <v>-36.278584070802154</v>
      </c>
      <c r="V860" s="141">
        <v>60.5</v>
      </c>
      <c r="W860" s="174">
        <v>4.0600000000000005</v>
      </c>
      <c r="X860" s="143">
        <v>147.29105132745676</v>
      </c>
      <c r="Y860" s="144"/>
      <c r="Z860" s="144"/>
    </row>
    <row r="861" spans="3:26" ht="25" thickBot="1">
      <c r="C861" s="90"/>
      <c r="D861" s="492" t="s">
        <v>436</v>
      </c>
      <c r="E861" s="92" t="s">
        <v>29</v>
      </c>
      <c r="F861" s="92" t="s">
        <v>28</v>
      </c>
      <c r="G861" s="93" t="s">
        <v>27</v>
      </c>
      <c r="H861" s="855" t="s">
        <v>793</v>
      </c>
      <c r="I861" s="1440"/>
      <c r="J861" s="1246"/>
      <c r="K861" s="1441"/>
      <c r="L861" s="856" t="s">
        <v>1002</v>
      </c>
      <c r="M861" s="470"/>
      <c r="N861" s="162"/>
      <c r="O861" s="123"/>
      <c r="P861" s="145"/>
      <c r="Q861" s="123"/>
      <c r="R861" s="123"/>
      <c r="S861" s="123"/>
      <c r="T861" s="123"/>
      <c r="U861" s="146"/>
      <c r="V861" s="147"/>
      <c r="W861" s="123"/>
      <c r="X861" s="146"/>
      <c r="Y861" s="124"/>
      <c r="Z861" s="124"/>
    </row>
    <row r="862" spans="3:26" ht="24">
      <c r="C862" s="90"/>
      <c r="D862" s="493">
        <v>45610</v>
      </c>
      <c r="E862" s="98" t="s">
        <v>1029</v>
      </c>
      <c r="F862" s="98" t="s">
        <v>1030</v>
      </c>
      <c r="G862" s="98" t="s">
        <v>988</v>
      </c>
      <c r="H862" s="850">
        <v>0.66666666666666663</v>
      </c>
      <c r="I862" s="1440"/>
      <c r="J862" s="1246"/>
      <c r="K862" s="1441"/>
      <c r="L862" s="857">
        <v>0.45833333333333331</v>
      </c>
      <c r="M862" s="471"/>
      <c r="N862" s="162"/>
      <c r="O862" s="148"/>
      <c r="P862" s="124"/>
      <c r="Q862" s="148"/>
      <c r="R862" s="148"/>
      <c r="S862" s="148"/>
      <c r="T862" s="148"/>
      <c r="U862" s="148"/>
      <c r="V862" s="148"/>
      <c r="W862" s="148"/>
      <c r="X862" s="148"/>
      <c r="Y862" s="124"/>
      <c r="Z862" s="124"/>
    </row>
    <row r="863" spans="3:26" ht="24">
      <c r="C863" s="90"/>
      <c r="D863" s="493">
        <v>45602</v>
      </c>
      <c r="E863" s="98" t="s">
        <v>988</v>
      </c>
      <c r="F863" s="98" t="s">
        <v>989</v>
      </c>
      <c r="G863" s="98" t="s">
        <v>990</v>
      </c>
      <c r="H863" s="850">
        <v>0.64583333333333337</v>
      </c>
      <c r="I863" s="1440"/>
      <c r="J863" s="1246"/>
      <c r="K863" s="1441"/>
      <c r="L863" s="857">
        <v>0.4375</v>
      </c>
      <c r="M863" s="472"/>
      <c r="N863" s="162"/>
      <c r="O863" s="115" t="s">
        <v>813</v>
      </c>
      <c r="P863" s="163">
        <v>0.1</v>
      </c>
      <c r="Q863" s="149">
        <v>8.7216666666666665E-2</v>
      </c>
      <c r="R863" s="150">
        <v>1.7000000000000001E-2</v>
      </c>
      <c r="S863" s="119">
        <v>1</v>
      </c>
      <c r="T863" s="125">
        <v>0.14782499999999998</v>
      </c>
      <c r="U863" s="151">
        <v>-34.823907079651477</v>
      </c>
      <c r="V863" s="152">
        <v>60.5</v>
      </c>
      <c r="W863" s="119">
        <v>2</v>
      </c>
      <c r="X863" s="153">
        <v>69.647814159302953</v>
      </c>
      <c r="Y863" s="154"/>
      <c r="Z863" s="154"/>
    </row>
    <row r="864" spans="3:26" ht="24">
      <c r="C864" s="90"/>
      <c r="D864" s="493">
        <v>45595</v>
      </c>
      <c r="E864" s="98" t="s">
        <v>990</v>
      </c>
      <c r="F864" s="98" t="s">
        <v>991</v>
      </c>
      <c r="G864" s="98" t="s">
        <v>992</v>
      </c>
      <c r="H864" s="850">
        <v>0.60416666666666663</v>
      </c>
      <c r="I864" s="1440"/>
      <c r="J864" s="1246"/>
      <c r="K864" s="1441"/>
      <c r="L864" s="857">
        <v>0.39583333333333331</v>
      </c>
      <c r="M864" s="466"/>
      <c r="N864" s="162"/>
      <c r="O864" s="115"/>
      <c r="P864" s="115"/>
      <c r="Q864" s="149"/>
      <c r="R864" s="150"/>
      <c r="S864" s="119"/>
      <c r="T864" s="163"/>
      <c r="U864" s="151"/>
      <c r="V864" s="152"/>
      <c r="W864" s="119"/>
      <c r="X864" s="153"/>
      <c r="Y864" s="154"/>
      <c r="Z864" s="154"/>
    </row>
    <row r="865" spans="3:26" ht="24">
      <c r="C865" s="90"/>
      <c r="D865" s="493">
        <v>45588</v>
      </c>
      <c r="E865" s="98" t="s">
        <v>992</v>
      </c>
      <c r="F865" s="98" t="s">
        <v>993</v>
      </c>
      <c r="G865" s="98" t="s">
        <v>994</v>
      </c>
      <c r="H865" s="850">
        <v>0.60416666666666663</v>
      </c>
      <c r="I865" s="1440"/>
      <c r="J865" s="1246"/>
      <c r="K865" s="1441"/>
      <c r="L865" s="857">
        <v>0.39583333333333331</v>
      </c>
      <c r="M865" s="466"/>
      <c r="N865" s="162"/>
      <c r="O865" s="115" t="s">
        <v>816</v>
      </c>
      <c r="P865" s="116"/>
      <c r="Q865" s="149"/>
      <c r="R865" s="150"/>
      <c r="S865" s="119"/>
      <c r="T865" s="116"/>
      <c r="U865" s="151">
        <v>0</v>
      </c>
      <c r="V865" s="152"/>
      <c r="W865" s="119"/>
      <c r="X865" s="153">
        <v>0</v>
      </c>
      <c r="Y865" s="154"/>
      <c r="Z865" s="154"/>
    </row>
    <row r="866" spans="3:26" ht="24">
      <c r="C866" s="90"/>
      <c r="D866" s="493">
        <v>45582</v>
      </c>
      <c r="E866" s="98" t="s">
        <v>994</v>
      </c>
      <c r="F866" s="98" t="s">
        <v>995</v>
      </c>
      <c r="G866" s="98" t="s">
        <v>996</v>
      </c>
      <c r="H866" s="850">
        <v>0.625</v>
      </c>
      <c r="I866" s="1440"/>
      <c r="J866" s="1246"/>
      <c r="K866" s="1441"/>
      <c r="L866" s="857">
        <v>0.41666666666666669</v>
      </c>
      <c r="M866" s="466"/>
      <c r="N866" s="162"/>
      <c r="O866" s="89"/>
      <c r="P866" s="89"/>
      <c r="Q866" s="89"/>
      <c r="R866" s="89"/>
      <c r="S866" s="89"/>
      <c r="T866" s="89"/>
      <c r="U866" s="89"/>
      <c r="V866" s="89"/>
      <c r="W866" s="89"/>
      <c r="X866" s="89"/>
      <c r="Y866" s="89"/>
      <c r="Z866" s="89"/>
    </row>
    <row r="867" spans="3:26" ht="25" thickBot="1">
      <c r="C867" s="90"/>
      <c r="D867" s="493">
        <v>45574</v>
      </c>
      <c r="E867" s="98" t="s">
        <v>996</v>
      </c>
      <c r="F867" s="98" t="s">
        <v>997</v>
      </c>
      <c r="G867" s="98" t="s">
        <v>998</v>
      </c>
      <c r="H867" s="858">
        <v>0.60416666666666663</v>
      </c>
      <c r="I867" s="1442"/>
      <c r="J867" s="1249"/>
      <c r="K867" s="1443"/>
      <c r="L867" s="857">
        <v>0.39583333333333331</v>
      </c>
      <c r="M867" s="469"/>
      <c r="N867" s="162"/>
      <c r="O867" s="89"/>
      <c r="P867" s="89"/>
      <c r="Q867" s="89"/>
      <c r="R867" s="89"/>
      <c r="S867" s="89"/>
      <c r="T867" s="89"/>
      <c r="U867" s="89"/>
      <c r="V867" s="89"/>
      <c r="W867" s="89"/>
      <c r="X867" s="89"/>
      <c r="Y867" s="89"/>
      <c r="Z867" s="89"/>
    </row>
    <row r="868" spans="3:26" ht="49" thickBot="1">
      <c r="C868" s="90">
        <v>5</v>
      </c>
      <c r="D868" s="494" t="s">
        <v>30</v>
      </c>
      <c r="E868" s="1429" t="s">
        <v>1012</v>
      </c>
      <c r="F868" s="1430"/>
      <c r="G868" s="1431"/>
      <c r="H868" s="844" t="s">
        <v>790</v>
      </c>
      <c r="I868" s="1432" t="s">
        <v>633</v>
      </c>
      <c r="J868" s="1433"/>
      <c r="K868" s="1434"/>
      <c r="L868" s="845" t="s">
        <v>430</v>
      </c>
      <c r="M868" s="465" t="s">
        <v>431</v>
      </c>
      <c r="N868" s="162" t="s">
        <v>105</v>
      </c>
      <c r="O868" s="114" t="s">
        <v>800</v>
      </c>
      <c r="P868" s="114" t="s">
        <v>801</v>
      </c>
      <c r="Q868" s="114" t="s">
        <v>802</v>
      </c>
      <c r="R868" s="114" t="s">
        <v>803</v>
      </c>
      <c r="S868" s="114" t="s">
        <v>804</v>
      </c>
      <c r="T868" s="114" t="s">
        <v>805</v>
      </c>
      <c r="U868" s="114" t="s">
        <v>806</v>
      </c>
      <c r="V868" s="114" t="s">
        <v>807</v>
      </c>
      <c r="W868" s="114" t="s">
        <v>808</v>
      </c>
      <c r="X868" s="114" t="s">
        <v>809</v>
      </c>
      <c r="Y868" s="114" t="s">
        <v>75</v>
      </c>
      <c r="Z868" s="114" t="s">
        <v>75</v>
      </c>
    </row>
    <row r="869" spans="3:26" ht="24">
      <c r="C869" s="90"/>
      <c r="D869" s="489" t="s">
        <v>432</v>
      </c>
      <c r="E869" s="1450"/>
      <c r="F869" s="1451"/>
      <c r="G869" s="1452"/>
      <c r="H869" s="846" t="s">
        <v>1059</v>
      </c>
      <c r="I869" s="1438" t="s">
        <v>1013</v>
      </c>
      <c r="J869" s="1243"/>
      <c r="K869" s="1439"/>
      <c r="L869" s="835"/>
      <c r="M869" s="466"/>
      <c r="N869" s="162"/>
      <c r="O869" s="115" t="s">
        <v>810</v>
      </c>
      <c r="P869" s="163">
        <v>0.1</v>
      </c>
      <c r="Q869" s="164">
        <v>1.82</v>
      </c>
      <c r="R869" s="165">
        <v>3</v>
      </c>
      <c r="S869" s="119"/>
      <c r="T869" s="115">
        <v>5.73</v>
      </c>
      <c r="U869" s="164">
        <v>-2.16</v>
      </c>
      <c r="V869" s="163">
        <v>91.8</v>
      </c>
      <c r="W869" s="166">
        <v>2</v>
      </c>
      <c r="X869" s="153">
        <v>4.32</v>
      </c>
      <c r="Y869" s="120"/>
      <c r="Z869" s="120"/>
    </row>
    <row r="870" spans="3:26" ht="24">
      <c r="C870" s="90"/>
      <c r="D870" s="490" t="s">
        <v>433</v>
      </c>
      <c r="E870" s="1492">
        <v>32.97</v>
      </c>
      <c r="F870" s="1493"/>
      <c r="G870" s="1494"/>
      <c r="H870" s="846" t="s">
        <v>1059</v>
      </c>
      <c r="I870" s="1440"/>
      <c r="J870" s="1246"/>
      <c r="K870" s="1441"/>
      <c r="L870" s="835"/>
      <c r="M870" s="466"/>
      <c r="N870" s="162"/>
      <c r="O870" s="121"/>
      <c r="P870" s="121"/>
      <c r="Q870" s="121"/>
      <c r="R870" s="122"/>
      <c r="S870" s="123"/>
      <c r="T870" s="121"/>
      <c r="U870" s="121"/>
      <c r="V870" s="121"/>
      <c r="W870" s="123"/>
      <c r="X870" s="123"/>
      <c r="Y870" s="124"/>
      <c r="Z870" s="124"/>
    </row>
    <row r="871" spans="3:26" ht="24">
      <c r="C871" s="90"/>
      <c r="D871" s="490" t="s">
        <v>434</v>
      </c>
      <c r="E871" s="1444"/>
      <c r="F871" s="1445"/>
      <c r="G871" s="1446"/>
      <c r="H871" s="847"/>
      <c r="I871" s="1440"/>
      <c r="J871" s="1246"/>
      <c r="K871" s="1441"/>
      <c r="L871" s="835"/>
      <c r="M871" s="466"/>
      <c r="N871" s="162"/>
      <c r="O871" s="125" t="s">
        <v>811</v>
      </c>
      <c r="P871" s="167">
        <v>0.15</v>
      </c>
      <c r="Q871" s="168">
        <v>20.9971</v>
      </c>
      <c r="R871" s="169">
        <v>3</v>
      </c>
      <c r="S871" s="129">
        <v>1</v>
      </c>
      <c r="T871" s="125">
        <v>34.495649999999998</v>
      </c>
      <c r="U871" s="130">
        <v>-19.505393717277485</v>
      </c>
      <c r="V871" s="131">
        <v>90.749999999999986</v>
      </c>
      <c r="W871" s="170">
        <v>8.0299999999999994</v>
      </c>
      <c r="X871" s="133">
        <v>156.62831154973819</v>
      </c>
      <c r="Y871" s="134"/>
      <c r="Z871" s="134"/>
    </row>
    <row r="872" spans="3:26" ht="25" thickBot="1">
      <c r="C872" s="90"/>
      <c r="D872" s="491" t="s">
        <v>435</v>
      </c>
      <c r="E872" s="1447">
        <v>1</v>
      </c>
      <c r="F872" s="1448"/>
      <c r="G872" s="1449"/>
      <c r="H872" s="860"/>
      <c r="I872" s="1440"/>
      <c r="J872" s="1246"/>
      <c r="K872" s="1441"/>
      <c r="L872" s="836">
        <v>0.10416666666666667</v>
      </c>
      <c r="M872" s="467">
        <v>1</v>
      </c>
      <c r="N872" s="162"/>
      <c r="O872" s="135" t="s">
        <v>812</v>
      </c>
      <c r="P872" s="171">
        <v>0.25</v>
      </c>
      <c r="Q872" s="156">
        <v>13.426666666666668</v>
      </c>
      <c r="R872" s="172">
        <v>3</v>
      </c>
      <c r="S872" s="139">
        <v>1</v>
      </c>
      <c r="T872" s="173">
        <v>23.14</v>
      </c>
      <c r="U872" s="140">
        <v>-21.807329842931939</v>
      </c>
      <c r="V872" s="141">
        <v>151.25</v>
      </c>
      <c r="W872" s="174">
        <v>4.75</v>
      </c>
      <c r="X872" s="143">
        <v>103.5848167539267</v>
      </c>
      <c r="Y872" s="144"/>
      <c r="Z872" s="144"/>
    </row>
    <row r="873" spans="3:26" ht="25" thickBot="1">
      <c r="C873" s="90"/>
      <c r="D873" s="492" t="s">
        <v>436</v>
      </c>
      <c r="E873" s="92" t="s">
        <v>29</v>
      </c>
      <c r="F873" s="92" t="s">
        <v>28</v>
      </c>
      <c r="G873" s="93" t="s">
        <v>27</v>
      </c>
      <c r="H873" s="855" t="s">
        <v>793</v>
      </c>
      <c r="I873" s="1440"/>
      <c r="J873" s="1246"/>
      <c r="K873" s="1441"/>
      <c r="L873" s="856" t="s">
        <v>1002</v>
      </c>
      <c r="M873" s="470"/>
      <c r="N873" s="162"/>
      <c r="O873" s="123"/>
      <c r="P873" s="145"/>
      <c r="Q873" s="123"/>
      <c r="R873" s="123"/>
      <c r="S873" s="123"/>
      <c r="T873" s="123"/>
      <c r="U873" s="146"/>
      <c r="V873" s="147"/>
      <c r="W873" s="123"/>
      <c r="X873" s="146"/>
      <c r="Y873" s="124"/>
      <c r="Z873" s="124"/>
    </row>
    <row r="874" spans="3:26" ht="23">
      <c r="C874" s="90"/>
      <c r="D874" s="493">
        <v>45532</v>
      </c>
      <c r="E874" s="94">
        <v>0.68</v>
      </c>
      <c r="F874" s="94">
        <v>0.64</v>
      </c>
      <c r="G874" s="98"/>
      <c r="H874" s="850">
        <v>0.95833333333333337</v>
      </c>
      <c r="I874" s="1440"/>
      <c r="J874" s="1246"/>
      <c r="K874" s="1441"/>
      <c r="L874" s="857">
        <v>0</v>
      </c>
      <c r="M874" s="471"/>
      <c r="N874" s="162"/>
      <c r="O874" s="148"/>
      <c r="P874" s="124"/>
      <c r="Q874" s="148"/>
      <c r="R874" s="148"/>
      <c r="S874" s="148"/>
      <c r="T874" s="148"/>
      <c r="U874" s="148"/>
      <c r="V874" s="148"/>
      <c r="W874" s="148"/>
      <c r="X874" s="148"/>
      <c r="Y874" s="124"/>
      <c r="Z874" s="124"/>
    </row>
    <row r="875" spans="3:26" ht="23">
      <c r="C875" s="90"/>
      <c r="D875" s="493">
        <v>45434</v>
      </c>
      <c r="E875" s="94">
        <v>0.61</v>
      </c>
      <c r="F875" s="94">
        <v>0.55000000000000004</v>
      </c>
      <c r="G875" s="98"/>
      <c r="H875" s="850">
        <v>0.95833333333333337</v>
      </c>
      <c r="I875" s="1440"/>
      <c r="J875" s="1246"/>
      <c r="K875" s="1441"/>
      <c r="L875" s="857">
        <v>0</v>
      </c>
      <c r="M875" s="472"/>
      <c r="N875" s="162"/>
      <c r="O875" s="115" t="s">
        <v>813</v>
      </c>
      <c r="P875" s="163">
        <v>0.1</v>
      </c>
      <c r="Q875" s="149">
        <v>17.211883333333333</v>
      </c>
      <c r="R875" s="150">
        <v>3</v>
      </c>
      <c r="S875" s="119">
        <v>1.5</v>
      </c>
      <c r="T875" s="125">
        <v>28.817824999999999</v>
      </c>
      <c r="U875" s="151">
        <v>-16.294895811518327</v>
      </c>
      <c r="V875" s="152">
        <v>60.5</v>
      </c>
      <c r="W875" s="119">
        <v>2</v>
      </c>
      <c r="X875" s="153">
        <v>32.589791623036653</v>
      </c>
      <c r="Y875" s="154"/>
      <c r="Z875" s="154"/>
    </row>
    <row r="876" spans="3:26" ht="23">
      <c r="C876" s="90"/>
      <c r="D876" s="493">
        <v>45343</v>
      </c>
      <c r="E876" s="94">
        <v>0.52</v>
      </c>
      <c r="F876" s="94">
        <v>0.46</v>
      </c>
      <c r="G876" s="98"/>
      <c r="H876" s="850">
        <v>0</v>
      </c>
      <c r="I876" s="1440"/>
      <c r="J876" s="1246"/>
      <c r="K876" s="1441"/>
      <c r="L876" s="857">
        <v>0</v>
      </c>
      <c r="M876" s="466"/>
      <c r="N876" s="162"/>
      <c r="O876" s="115" t="s">
        <v>813</v>
      </c>
      <c r="P876" s="163">
        <v>0.1</v>
      </c>
      <c r="Q876" s="149">
        <v>17.211883333333333</v>
      </c>
      <c r="R876" s="150">
        <v>3</v>
      </c>
      <c r="S876" s="119">
        <v>1.5</v>
      </c>
      <c r="T876" s="125">
        <v>28.817824999999999</v>
      </c>
      <c r="U876" s="151">
        <v>-16.294895811518327</v>
      </c>
      <c r="V876" s="152">
        <v>60.5</v>
      </c>
      <c r="W876" s="119">
        <v>2</v>
      </c>
      <c r="X876" s="153">
        <v>32.589791623036653</v>
      </c>
      <c r="Y876" s="154"/>
      <c r="Z876" s="154"/>
    </row>
    <row r="877" spans="3:26" ht="23">
      <c r="C877" s="90"/>
      <c r="D877" s="493">
        <v>45251</v>
      </c>
      <c r="E877" s="94">
        <v>0.4</v>
      </c>
      <c r="F877" s="94">
        <v>0.34</v>
      </c>
      <c r="G877" s="98"/>
      <c r="H877" s="850">
        <v>0</v>
      </c>
      <c r="I877" s="1440"/>
      <c r="J877" s="1246"/>
      <c r="K877" s="1441"/>
      <c r="L877" s="857">
        <v>0</v>
      </c>
      <c r="M877" s="466"/>
      <c r="N877" s="162"/>
      <c r="O877" s="115"/>
      <c r="P877" s="116"/>
      <c r="Q877" s="149"/>
      <c r="R877" s="150"/>
      <c r="S877" s="119"/>
      <c r="T877" s="116"/>
      <c r="U877" s="151"/>
      <c r="V877" s="152"/>
      <c r="W877" s="119"/>
      <c r="X877" s="153"/>
      <c r="Y877" s="154"/>
      <c r="Z877" s="154"/>
    </row>
    <row r="878" spans="3:26" ht="23">
      <c r="C878" s="90"/>
      <c r="D878" s="493">
        <v>45161</v>
      </c>
      <c r="E878" s="94">
        <v>0.27</v>
      </c>
      <c r="F878" s="94">
        <v>0.21</v>
      </c>
      <c r="G878" s="98"/>
      <c r="H878" s="850">
        <v>0.95833333333333337</v>
      </c>
      <c r="I878" s="1440"/>
      <c r="J878" s="1246"/>
      <c r="K878" s="1441"/>
      <c r="L878" s="857">
        <v>0</v>
      </c>
      <c r="M878" s="466"/>
      <c r="N878" s="162"/>
      <c r="O878" s="89"/>
      <c r="P878" s="89"/>
      <c r="Q878" s="89"/>
      <c r="R878" s="89"/>
      <c r="S878" s="89"/>
      <c r="T878" s="89"/>
      <c r="U878" s="89"/>
      <c r="V878" s="89"/>
      <c r="W878" s="89"/>
      <c r="X878" s="89"/>
      <c r="Y878" s="89"/>
      <c r="Z878" s="89"/>
    </row>
    <row r="879" spans="3:26" ht="24" thickBot="1">
      <c r="C879" s="90"/>
      <c r="D879" s="493">
        <v>45070</v>
      </c>
      <c r="E879" s="94">
        <v>0.11</v>
      </c>
      <c r="F879" s="94">
        <v>0.09</v>
      </c>
      <c r="G879" s="98"/>
      <c r="H879" s="850">
        <v>0.95833333333333337</v>
      </c>
      <c r="I879" s="1442"/>
      <c r="J879" s="1249"/>
      <c r="K879" s="1443"/>
      <c r="L879" s="857">
        <v>0</v>
      </c>
      <c r="M879" s="469"/>
      <c r="N879" s="162"/>
      <c r="O879" s="89"/>
      <c r="P879" s="89"/>
      <c r="Q879" s="89"/>
      <c r="R879" s="89"/>
      <c r="S879" s="89"/>
      <c r="T879" s="89"/>
      <c r="U879" s="89"/>
      <c r="V879" s="89"/>
      <c r="W879" s="89"/>
      <c r="X879" s="89"/>
      <c r="Y879" s="89"/>
      <c r="Z879" s="89"/>
    </row>
    <row r="880" spans="3:26" ht="49" thickBot="1">
      <c r="C880" s="90">
        <v>6</v>
      </c>
      <c r="D880" s="494" t="s">
        <v>30</v>
      </c>
      <c r="E880" s="1429" t="s">
        <v>14</v>
      </c>
      <c r="F880" s="1430"/>
      <c r="G880" s="1431"/>
      <c r="H880" s="844" t="s">
        <v>790</v>
      </c>
      <c r="I880" s="1432" t="s">
        <v>633</v>
      </c>
      <c r="J880" s="1433"/>
      <c r="K880" s="1434"/>
      <c r="L880" s="845" t="s">
        <v>430</v>
      </c>
      <c r="M880" s="465" t="s">
        <v>431</v>
      </c>
      <c r="N880" s="162" t="s">
        <v>105</v>
      </c>
      <c r="O880" s="114" t="s">
        <v>800</v>
      </c>
      <c r="P880" s="114" t="s">
        <v>801</v>
      </c>
      <c r="Q880" s="114" t="s">
        <v>802</v>
      </c>
      <c r="R880" s="114" t="s">
        <v>803</v>
      </c>
      <c r="S880" s="114" t="s">
        <v>804</v>
      </c>
      <c r="T880" s="114" t="s">
        <v>805</v>
      </c>
      <c r="U880" s="114" t="s">
        <v>806</v>
      </c>
      <c r="V880" s="114" t="s">
        <v>807</v>
      </c>
      <c r="W880" s="114" t="s">
        <v>808</v>
      </c>
      <c r="X880" s="114" t="s">
        <v>809</v>
      </c>
      <c r="Y880" s="114" t="s">
        <v>75</v>
      </c>
      <c r="Z880" s="114" t="s">
        <v>75</v>
      </c>
    </row>
    <row r="881" spans="3:26" ht="24">
      <c r="C881" s="90"/>
      <c r="D881" s="489" t="s">
        <v>432</v>
      </c>
      <c r="E881" s="1435"/>
      <c r="F881" s="1436"/>
      <c r="G881" s="1437"/>
      <c r="H881" s="846" t="s">
        <v>906</v>
      </c>
      <c r="I881" s="1438" t="s">
        <v>955</v>
      </c>
      <c r="J881" s="1243"/>
      <c r="K881" s="1439"/>
      <c r="L881" s="835"/>
      <c r="M881" s="466"/>
      <c r="N881" s="162"/>
      <c r="O881" s="115" t="s">
        <v>810</v>
      </c>
      <c r="P881" s="163">
        <v>0.1</v>
      </c>
      <c r="Q881" s="164">
        <v>0.03</v>
      </c>
      <c r="R881" s="165">
        <v>1.5999999999991132E-2</v>
      </c>
      <c r="S881" s="119"/>
      <c r="T881" s="115">
        <v>6.0999999999991131E-2</v>
      </c>
      <c r="U881" s="164">
        <v>-14.17</v>
      </c>
      <c r="V881" s="163">
        <v>91.8</v>
      </c>
      <c r="W881" s="166">
        <v>2</v>
      </c>
      <c r="X881" s="153">
        <v>28.34</v>
      </c>
      <c r="Y881" s="120"/>
      <c r="Z881" s="120"/>
    </row>
    <row r="882" spans="3:26" ht="24">
      <c r="C882" s="90"/>
      <c r="D882" s="490" t="s">
        <v>433</v>
      </c>
      <c r="E882" s="1444" t="s">
        <v>1014</v>
      </c>
      <c r="F882" s="1445"/>
      <c r="G882" s="1446"/>
      <c r="H882" s="846" t="s">
        <v>907</v>
      </c>
      <c r="I882" s="1440"/>
      <c r="J882" s="1246"/>
      <c r="K882" s="1441"/>
      <c r="L882" s="835"/>
      <c r="M882" s="466"/>
      <c r="N882" s="162"/>
      <c r="O882" s="121"/>
      <c r="P882" s="121"/>
      <c r="Q882" s="121"/>
      <c r="R882" s="122"/>
      <c r="S882" s="123"/>
      <c r="T882" s="121"/>
      <c r="U882" s="121"/>
      <c r="V882" s="121"/>
      <c r="W882" s="123"/>
      <c r="X882" s="123"/>
      <c r="Y882" s="124"/>
      <c r="Z882" s="124"/>
    </row>
    <row r="883" spans="3:26" ht="24">
      <c r="C883" s="90"/>
      <c r="D883" s="490" t="s">
        <v>434</v>
      </c>
      <c r="E883" s="1444" t="s">
        <v>1015</v>
      </c>
      <c r="F883" s="1445"/>
      <c r="G883" s="1446"/>
      <c r="H883" s="847"/>
      <c r="I883" s="1440"/>
      <c r="J883" s="1246"/>
      <c r="K883" s="1441"/>
      <c r="L883" s="835"/>
      <c r="M883" s="466"/>
      <c r="N883" s="162"/>
      <c r="O883" s="125" t="s">
        <v>811</v>
      </c>
      <c r="P883" s="167">
        <v>0.05</v>
      </c>
      <c r="Q883" s="168">
        <v>7.51E-2</v>
      </c>
      <c r="R883" s="169">
        <v>7.0000000000000007E-2</v>
      </c>
      <c r="S883" s="129">
        <v>1</v>
      </c>
      <c r="T883" s="125">
        <v>0.18265000000000001</v>
      </c>
      <c r="U883" s="130">
        <v>-21.214348360658821</v>
      </c>
      <c r="V883" s="131">
        <v>30.25</v>
      </c>
      <c r="W883" s="170">
        <v>2.94</v>
      </c>
      <c r="X883" s="133">
        <v>62.370184180336935</v>
      </c>
      <c r="Y883" s="134"/>
      <c r="Z883" s="134">
        <v>4.4350000000000005</v>
      </c>
    </row>
    <row r="884" spans="3:26" ht="25" thickBot="1">
      <c r="C884" s="90"/>
      <c r="D884" s="491" t="s">
        <v>435</v>
      </c>
      <c r="E884" s="1447">
        <v>0.5625</v>
      </c>
      <c r="F884" s="1448"/>
      <c r="G884" s="1449"/>
      <c r="H884" s="860">
        <v>0.35416666666666663</v>
      </c>
      <c r="I884" s="1440"/>
      <c r="J884" s="1246"/>
      <c r="K884" s="1441"/>
      <c r="L884" s="836">
        <v>0.79166666666666663</v>
      </c>
      <c r="M884" s="467">
        <v>0.64583333333333326</v>
      </c>
      <c r="N884" s="162"/>
      <c r="O884" s="135" t="s">
        <v>812</v>
      </c>
      <c r="P884" s="171">
        <v>0.05</v>
      </c>
      <c r="Q884" s="156">
        <v>0.10166666666666667</v>
      </c>
      <c r="R884" s="172">
        <v>7.0000000000000007E-2</v>
      </c>
      <c r="S884" s="139">
        <v>1</v>
      </c>
      <c r="T884" s="173">
        <v>0.2225</v>
      </c>
      <c r="U884" s="140">
        <v>-25.842827868856215</v>
      </c>
      <c r="V884" s="141">
        <v>30.25</v>
      </c>
      <c r="W884" s="174">
        <v>3.19</v>
      </c>
      <c r="X884" s="143">
        <v>82.438620901651319</v>
      </c>
      <c r="Y884" s="144"/>
      <c r="Z884" s="144"/>
    </row>
    <row r="885" spans="3:26" ht="25" thickBot="1">
      <c r="C885" s="90"/>
      <c r="D885" s="492" t="s">
        <v>436</v>
      </c>
      <c r="E885" s="92" t="s">
        <v>29</v>
      </c>
      <c r="F885" s="92" t="s">
        <v>28</v>
      </c>
      <c r="G885" s="93" t="s">
        <v>27</v>
      </c>
      <c r="H885" s="855" t="s">
        <v>793</v>
      </c>
      <c r="I885" s="1440"/>
      <c r="J885" s="1246"/>
      <c r="K885" s="1441"/>
      <c r="L885" s="856" t="s">
        <v>1002</v>
      </c>
      <c r="M885" s="470"/>
      <c r="N885" s="162"/>
      <c r="O885" s="123"/>
      <c r="P885" s="145"/>
      <c r="Q885" s="123"/>
      <c r="R885" s="123"/>
      <c r="S885" s="123"/>
      <c r="T885" s="123"/>
      <c r="U885" s="146"/>
      <c r="V885" s="147"/>
      <c r="W885" s="123"/>
      <c r="X885" s="146"/>
      <c r="Y885" s="124"/>
      <c r="Z885" s="124"/>
    </row>
    <row r="886" spans="3:26" ht="24">
      <c r="C886" s="90"/>
      <c r="D886" s="493">
        <v>45610</v>
      </c>
      <c r="E886" s="98" t="s">
        <v>1031</v>
      </c>
      <c r="F886" s="98" t="s">
        <v>1032</v>
      </c>
      <c r="G886" s="98" t="s">
        <v>972</v>
      </c>
      <c r="H886" s="850">
        <v>0.5625</v>
      </c>
      <c r="I886" s="1440"/>
      <c r="J886" s="1246"/>
      <c r="K886" s="1441"/>
      <c r="L886" s="857">
        <v>0.35416666666666663</v>
      </c>
      <c r="M886" s="471"/>
      <c r="N886" s="162"/>
      <c r="O886" s="148"/>
      <c r="P886" s="124"/>
      <c r="Q886" s="148"/>
      <c r="R886" s="148"/>
      <c r="S886" s="148"/>
      <c r="T886" s="148"/>
      <c r="U886" s="148"/>
      <c r="V886" s="148"/>
      <c r="W886" s="148"/>
      <c r="X886" s="148"/>
      <c r="Y886" s="124"/>
      <c r="Z886" s="124"/>
    </row>
    <row r="887" spans="3:26" ht="24">
      <c r="C887" s="90"/>
      <c r="D887" s="493">
        <v>45603</v>
      </c>
      <c r="E887" s="98" t="s">
        <v>972</v>
      </c>
      <c r="F887" s="98" t="s">
        <v>973</v>
      </c>
      <c r="G887" s="98" t="s">
        <v>974</v>
      </c>
      <c r="H887" s="850">
        <v>0.5625</v>
      </c>
      <c r="I887" s="1440"/>
      <c r="J887" s="1246"/>
      <c r="K887" s="1441"/>
      <c r="L887" s="857">
        <v>0.35416666666666663</v>
      </c>
      <c r="M887" s="472"/>
      <c r="N887" s="162"/>
      <c r="O887" s="115" t="s">
        <v>813</v>
      </c>
      <c r="P887" s="163">
        <v>-0.05</v>
      </c>
      <c r="Q887" s="149">
        <v>8.8383333333333342E-2</v>
      </c>
      <c r="R887" s="150">
        <v>7.0000000000000007E-2</v>
      </c>
      <c r="S887" s="119">
        <v>-1</v>
      </c>
      <c r="T887" s="125">
        <v>0.20257500000000001</v>
      </c>
      <c r="U887" s="151">
        <v>-23.528588114757518</v>
      </c>
      <c r="V887" s="152">
        <v>-30.25</v>
      </c>
      <c r="W887" s="119">
        <v>2.5</v>
      </c>
      <c r="X887" s="153">
        <v>58.821470286893799</v>
      </c>
      <c r="Y887" s="154"/>
      <c r="Z887" s="154"/>
    </row>
    <row r="888" spans="3:26" ht="24">
      <c r="C888" s="90"/>
      <c r="D888" s="493">
        <v>45596</v>
      </c>
      <c r="E888" s="98" t="s">
        <v>975</v>
      </c>
      <c r="F888" s="98" t="s">
        <v>976</v>
      </c>
      <c r="G888" s="98" t="s">
        <v>977</v>
      </c>
      <c r="H888" s="850">
        <v>0.52083333333333337</v>
      </c>
      <c r="I888" s="1440"/>
      <c r="J888" s="1246"/>
      <c r="K888" s="1441"/>
      <c r="L888" s="857">
        <v>0.3125</v>
      </c>
      <c r="M888" s="466"/>
      <c r="N888" s="162"/>
      <c r="O888" s="115" t="s">
        <v>813</v>
      </c>
      <c r="P888" s="163">
        <v>0.05</v>
      </c>
      <c r="Q888" s="149">
        <v>8.8383333333333342E-2</v>
      </c>
      <c r="R888" s="150">
        <v>7.0000000000000007E-2</v>
      </c>
      <c r="S888" s="119">
        <v>1</v>
      </c>
      <c r="T888" s="125">
        <v>0.20257500000000001</v>
      </c>
      <c r="U888" s="151">
        <v>-23.528588114757518</v>
      </c>
      <c r="V888" s="152">
        <v>30.25</v>
      </c>
      <c r="W888" s="119">
        <v>2.5</v>
      </c>
      <c r="X888" s="153">
        <v>58.821470286893799</v>
      </c>
      <c r="Y888" s="154"/>
      <c r="Z888" s="154"/>
    </row>
    <row r="889" spans="3:26" ht="24">
      <c r="C889" s="90"/>
      <c r="D889" s="493">
        <v>45589</v>
      </c>
      <c r="E889" s="98" t="s">
        <v>978</v>
      </c>
      <c r="F889" s="98" t="s">
        <v>979</v>
      </c>
      <c r="G889" s="98" t="s">
        <v>980</v>
      </c>
      <c r="H889" s="850">
        <v>0.52083333333333337</v>
      </c>
      <c r="I889" s="1440"/>
      <c r="J889" s="1246"/>
      <c r="K889" s="1441"/>
      <c r="L889" s="857">
        <v>0.3125</v>
      </c>
      <c r="M889" s="466"/>
      <c r="N889" s="162"/>
      <c r="O889" s="115" t="s">
        <v>816</v>
      </c>
      <c r="P889" s="116"/>
      <c r="Q889" s="149"/>
      <c r="R889" s="150"/>
      <c r="S889" s="119"/>
      <c r="T889" s="116"/>
      <c r="U889" s="151"/>
      <c r="V889" s="152"/>
      <c r="W889" s="119"/>
      <c r="X889" s="153"/>
      <c r="Y889" s="154"/>
      <c r="Z889" s="154"/>
    </row>
    <row r="890" spans="3:26" ht="24">
      <c r="C890" s="90"/>
      <c r="D890" s="493">
        <v>45582</v>
      </c>
      <c r="E890" s="98" t="s">
        <v>981</v>
      </c>
      <c r="F890" s="98" t="s">
        <v>981</v>
      </c>
      <c r="G890" s="98" t="s">
        <v>982</v>
      </c>
      <c r="H890" s="850">
        <v>0.52083333333333337</v>
      </c>
      <c r="I890" s="1440"/>
      <c r="J890" s="1246"/>
      <c r="K890" s="1441"/>
      <c r="L890" s="857">
        <v>0.3125</v>
      </c>
      <c r="M890" s="466"/>
      <c r="N890" s="162"/>
      <c r="O890" s="89"/>
      <c r="P890" s="89"/>
      <c r="Q890" s="89"/>
      <c r="R890" s="89"/>
      <c r="S890" s="89"/>
      <c r="T890" s="89"/>
      <c r="U890" s="89"/>
      <c r="V890" s="89"/>
      <c r="W890" s="89"/>
      <c r="X890" s="89"/>
      <c r="Y890" s="89"/>
      <c r="Z890" s="89"/>
    </row>
    <row r="891" spans="3:26" ht="25" thickBot="1">
      <c r="C891" s="90"/>
      <c r="D891" s="493">
        <v>45575</v>
      </c>
      <c r="E891" s="98" t="s">
        <v>983</v>
      </c>
      <c r="F891" s="98" t="s">
        <v>984</v>
      </c>
      <c r="G891" s="98" t="s">
        <v>985</v>
      </c>
      <c r="H891" s="858">
        <v>0.52083333333333337</v>
      </c>
      <c r="I891" s="1442"/>
      <c r="J891" s="1249"/>
      <c r="K891" s="1443"/>
      <c r="L891" s="859">
        <v>0.3125</v>
      </c>
      <c r="M891" s="469"/>
      <c r="N891" s="162"/>
      <c r="O891" s="89"/>
      <c r="P891" s="89"/>
      <c r="Q891" s="89"/>
      <c r="R891" s="89"/>
      <c r="S891" s="89"/>
      <c r="T891" s="89"/>
      <c r="U891" s="89"/>
      <c r="V891" s="89"/>
      <c r="W891" s="89"/>
      <c r="X891" s="89"/>
      <c r="Y891" s="89"/>
      <c r="Z891" s="89"/>
    </row>
    <row r="892" spans="3:26" ht="49" thickBot="1">
      <c r="C892" s="90">
        <v>7</v>
      </c>
      <c r="D892" s="494" t="s">
        <v>30</v>
      </c>
      <c r="E892" s="1429" t="s">
        <v>1016</v>
      </c>
      <c r="F892" s="1430"/>
      <c r="G892" s="1431"/>
      <c r="H892" s="844" t="s">
        <v>790</v>
      </c>
      <c r="I892" s="1432" t="s">
        <v>633</v>
      </c>
      <c r="J892" s="1433"/>
      <c r="K892" s="1434"/>
      <c r="L892" s="845" t="s">
        <v>430</v>
      </c>
      <c r="M892" s="465" t="s">
        <v>431</v>
      </c>
      <c r="N892" s="162" t="s">
        <v>105</v>
      </c>
      <c r="O892" s="114" t="s">
        <v>800</v>
      </c>
      <c r="P892" s="114" t="s">
        <v>801</v>
      </c>
      <c r="Q892" s="114" t="s">
        <v>802</v>
      </c>
      <c r="R892" s="114" t="s">
        <v>803</v>
      </c>
      <c r="S892" s="114" t="s">
        <v>804</v>
      </c>
      <c r="T892" s="114" t="s">
        <v>805</v>
      </c>
      <c r="U892" s="114" t="s">
        <v>806</v>
      </c>
      <c r="V892" s="114" t="s">
        <v>807</v>
      </c>
      <c r="W892" s="114" t="s">
        <v>808</v>
      </c>
      <c r="X892" s="114" t="s">
        <v>809</v>
      </c>
      <c r="Y892" s="114" t="s">
        <v>75</v>
      </c>
      <c r="Z892" s="114" t="s">
        <v>75</v>
      </c>
    </row>
    <row r="893" spans="3:26" ht="24">
      <c r="C893" s="90"/>
      <c r="D893" s="489" t="s">
        <v>432</v>
      </c>
      <c r="E893" s="1435"/>
      <c r="F893" s="1436"/>
      <c r="G893" s="1437"/>
      <c r="H893" s="846" t="s">
        <v>906</v>
      </c>
      <c r="I893" s="1438" t="s">
        <v>1017</v>
      </c>
      <c r="J893" s="1243"/>
      <c r="K893" s="1439"/>
      <c r="L893" s="835"/>
      <c r="M893" s="466"/>
      <c r="N893" s="162"/>
      <c r="O893" s="115" t="s">
        <v>810</v>
      </c>
      <c r="P893" s="163">
        <v>0.1</v>
      </c>
      <c r="Q893" s="164">
        <v>3.9E-2</v>
      </c>
      <c r="R893" s="165">
        <v>1.7000000000024329E-2</v>
      </c>
      <c r="S893" s="119"/>
      <c r="T893" s="115">
        <v>7.5500000000024325E-2</v>
      </c>
      <c r="U893" s="164">
        <v>-17.670000000000002</v>
      </c>
      <c r="V893" s="163">
        <v>60.23</v>
      </c>
      <c r="W893" s="163"/>
      <c r="X893" s="153"/>
      <c r="Y893" s="120"/>
      <c r="Z893" s="120"/>
    </row>
    <row r="894" spans="3:26" ht="24">
      <c r="C894" s="90"/>
      <c r="D894" s="490" t="s">
        <v>433</v>
      </c>
      <c r="E894" s="1444"/>
      <c r="F894" s="1445"/>
      <c r="G894" s="1446"/>
      <c r="H894" s="846" t="s">
        <v>907</v>
      </c>
      <c r="I894" s="1440"/>
      <c r="J894" s="1246"/>
      <c r="K894" s="1441"/>
      <c r="L894" s="835"/>
      <c r="M894" s="466"/>
      <c r="N894" s="162"/>
      <c r="O894" s="121"/>
      <c r="P894" s="121"/>
      <c r="Q894" s="121"/>
      <c r="R894" s="122"/>
      <c r="S894" s="123"/>
      <c r="T894" s="121"/>
      <c r="U894" s="121"/>
      <c r="V894" s="121"/>
      <c r="W894" s="121"/>
      <c r="X894" s="123"/>
      <c r="Y894" s="124"/>
      <c r="Z894" s="124"/>
    </row>
    <row r="895" spans="3:26" ht="24">
      <c r="C895" s="90"/>
      <c r="D895" s="490" t="s">
        <v>434</v>
      </c>
      <c r="E895" s="1492">
        <v>10.3</v>
      </c>
      <c r="F895" s="1493"/>
      <c r="G895" s="1494"/>
      <c r="H895" s="847"/>
      <c r="I895" s="1440"/>
      <c r="J895" s="1246"/>
      <c r="K895" s="1441"/>
      <c r="L895" s="835"/>
      <c r="M895" s="466"/>
      <c r="N895" s="162"/>
      <c r="O895" s="125" t="s">
        <v>811</v>
      </c>
      <c r="P895" s="167">
        <v>0.1</v>
      </c>
      <c r="Q895" s="168">
        <v>7.6399999999999996E-2</v>
      </c>
      <c r="R895" s="169">
        <v>1.7000000000000001E-2</v>
      </c>
      <c r="S895" s="179">
        <v>1</v>
      </c>
      <c r="T895" s="125">
        <v>0.13159999999999999</v>
      </c>
      <c r="U895" s="130">
        <v>-30.799629139062926</v>
      </c>
      <c r="V895" s="131">
        <v>60.5</v>
      </c>
      <c r="W895" s="180">
        <v>4.29</v>
      </c>
      <c r="X895" s="133">
        <v>132.13040900657995</v>
      </c>
      <c r="Y895" s="134"/>
      <c r="Z895" s="134"/>
    </row>
    <row r="896" spans="3:26" ht="25" thickBot="1">
      <c r="C896" s="90"/>
      <c r="D896" s="491" t="s">
        <v>435</v>
      </c>
      <c r="E896" s="1447">
        <v>0.5625</v>
      </c>
      <c r="F896" s="1448"/>
      <c r="G896" s="1449"/>
      <c r="H896" s="860">
        <v>0.35416666666666663</v>
      </c>
      <c r="I896" s="1440"/>
      <c r="J896" s="1246"/>
      <c r="K896" s="1441"/>
      <c r="L896" s="836">
        <v>0.79166666666666663</v>
      </c>
      <c r="M896" s="467">
        <v>0.64583333333333326</v>
      </c>
      <c r="N896" s="162"/>
      <c r="O896" s="135" t="s">
        <v>812</v>
      </c>
      <c r="P896" s="171">
        <v>0.1</v>
      </c>
      <c r="Q896" s="156">
        <v>6.5266666666666667E-2</v>
      </c>
      <c r="R896" s="172">
        <v>1.7000000000000001E-2</v>
      </c>
      <c r="S896" s="181">
        <v>1</v>
      </c>
      <c r="T896" s="173">
        <v>0.1149</v>
      </c>
      <c r="U896" s="140">
        <v>-26.891165562905247</v>
      </c>
      <c r="V896" s="141">
        <v>60.5</v>
      </c>
      <c r="W896" s="182">
        <v>4.9249999999999998</v>
      </c>
      <c r="X896" s="143">
        <v>132.43899039730834</v>
      </c>
      <c r="Y896" s="144"/>
      <c r="Z896" s="144"/>
    </row>
    <row r="897" spans="3:26" ht="25" thickBot="1">
      <c r="C897" s="90"/>
      <c r="D897" s="492" t="s">
        <v>436</v>
      </c>
      <c r="E897" s="200" t="s">
        <v>29</v>
      </c>
      <c r="F897" s="200" t="s">
        <v>28</v>
      </c>
      <c r="G897" s="201" t="s">
        <v>27</v>
      </c>
      <c r="H897" s="855" t="s">
        <v>793</v>
      </c>
      <c r="I897" s="1440"/>
      <c r="J897" s="1246"/>
      <c r="K897" s="1441"/>
      <c r="L897" s="856" t="s">
        <v>1002</v>
      </c>
      <c r="M897" s="470"/>
      <c r="N897" s="162"/>
      <c r="O897" s="123"/>
      <c r="P897" s="145"/>
      <c r="Q897" s="123"/>
      <c r="R897" s="123"/>
      <c r="S897" s="183"/>
      <c r="T897" s="123"/>
      <c r="U897" s="146"/>
      <c r="V897" s="147"/>
      <c r="W897" s="184"/>
      <c r="X897" s="146"/>
      <c r="Y897" s="124"/>
      <c r="Z897" s="124"/>
    </row>
    <row r="898" spans="3:26" ht="24">
      <c r="C898" s="90"/>
      <c r="D898" s="493">
        <v>45582</v>
      </c>
      <c r="E898" s="204">
        <v>10.3</v>
      </c>
      <c r="F898" s="204" t="s">
        <v>1033</v>
      </c>
      <c r="G898" s="204">
        <v>1.7</v>
      </c>
      <c r="H898" s="850">
        <v>0.52083333333333337</v>
      </c>
      <c r="I898" s="1440"/>
      <c r="J898" s="1246"/>
      <c r="K898" s="1441"/>
      <c r="L898" s="857">
        <v>0.3125</v>
      </c>
      <c r="M898" s="471"/>
      <c r="N898" s="162"/>
      <c r="O898" s="148"/>
      <c r="P898" s="124"/>
      <c r="Q898" s="148"/>
      <c r="R898" s="148"/>
      <c r="S898" s="183"/>
      <c r="T898" s="148"/>
      <c r="U898" s="148"/>
      <c r="V898" s="148"/>
      <c r="W898" s="186"/>
      <c r="X898" s="148"/>
      <c r="Y898" s="124"/>
      <c r="Z898" s="124"/>
    </row>
    <row r="899" spans="3:26" ht="24">
      <c r="C899" s="90"/>
      <c r="D899" s="493">
        <v>45554</v>
      </c>
      <c r="E899" s="204">
        <v>1.7</v>
      </c>
      <c r="F899" s="204" t="s">
        <v>1034</v>
      </c>
      <c r="G899" s="204">
        <v>-7</v>
      </c>
      <c r="H899" s="850">
        <v>0.52083333333333337</v>
      </c>
      <c r="I899" s="1440"/>
      <c r="J899" s="1246"/>
      <c r="K899" s="1441"/>
      <c r="L899" s="857">
        <v>0.3125</v>
      </c>
      <c r="M899" s="472"/>
      <c r="N899" s="162"/>
      <c r="O899" s="115" t="s">
        <v>813</v>
      </c>
      <c r="P899" s="187">
        <v>0.1</v>
      </c>
      <c r="Q899" s="149">
        <v>6.5266666666666667E-2</v>
      </c>
      <c r="R899" s="150">
        <v>1.7000000000000001E-2</v>
      </c>
      <c r="S899" s="187">
        <v>1</v>
      </c>
      <c r="T899" s="188">
        <v>0.1149</v>
      </c>
      <c r="U899" s="151">
        <v>-26.891165562905247</v>
      </c>
      <c r="V899" s="152">
        <v>60.5</v>
      </c>
      <c r="W899" s="189">
        <v>3</v>
      </c>
      <c r="X899" s="153">
        <v>80.673496688715744</v>
      </c>
      <c r="Y899" s="154"/>
      <c r="Z899" s="154"/>
    </row>
    <row r="900" spans="3:26" ht="24">
      <c r="C900" s="90"/>
      <c r="D900" s="493">
        <v>45519</v>
      </c>
      <c r="E900" s="204">
        <v>-7</v>
      </c>
      <c r="F900" s="204" t="s">
        <v>1035</v>
      </c>
      <c r="G900" s="204">
        <v>13.9</v>
      </c>
      <c r="H900" s="850">
        <v>0.52083333333333337</v>
      </c>
      <c r="I900" s="1440"/>
      <c r="J900" s="1246"/>
      <c r="K900" s="1441"/>
      <c r="L900" s="857">
        <v>0.3125</v>
      </c>
      <c r="M900" s="466"/>
      <c r="N900" s="162"/>
      <c r="O900" s="115" t="s">
        <v>813</v>
      </c>
      <c r="P900" s="187">
        <v>0.1</v>
      </c>
      <c r="Q900" s="149">
        <v>6.5266666666666667E-2</v>
      </c>
      <c r="R900" s="150">
        <v>1.7000000000000001E-2</v>
      </c>
      <c r="S900" s="187">
        <v>1</v>
      </c>
      <c r="T900" s="188">
        <v>0.1149</v>
      </c>
      <c r="U900" s="151">
        <v>-26.891165562905247</v>
      </c>
      <c r="V900" s="152">
        <v>60.5</v>
      </c>
      <c r="W900" s="189">
        <v>3</v>
      </c>
      <c r="X900" s="153">
        <v>80.673496688715744</v>
      </c>
      <c r="Y900" s="154"/>
      <c r="Z900" s="154"/>
    </row>
    <row r="901" spans="3:26" ht="24">
      <c r="C901" s="90"/>
      <c r="D901" s="493">
        <v>45491</v>
      </c>
      <c r="E901" s="204">
        <v>13.9</v>
      </c>
      <c r="F901" s="204" t="s">
        <v>1036</v>
      </c>
      <c r="G901" s="204">
        <v>1.3</v>
      </c>
      <c r="H901" s="850">
        <v>0.52083333333333337</v>
      </c>
      <c r="I901" s="1440"/>
      <c r="J901" s="1246"/>
      <c r="K901" s="1441"/>
      <c r="L901" s="857">
        <v>0.3125</v>
      </c>
      <c r="M901" s="466"/>
      <c r="N901" s="162"/>
      <c r="O901" s="115"/>
      <c r="P901" s="116"/>
      <c r="Q901" s="149"/>
      <c r="R901" s="150"/>
      <c r="S901" s="119"/>
      <c r="T901" s="116"/>
      <c r="U901" s="151"/>
      <c r="V901" s="152"/>
      <c r="W901" s="119"/>
      <c r="X901" s="153"/>
      <c r="Y901" s="154"/>
      <c r="Z901" s="154"/>
    </row>
    <row r="902" spans="3:26" ht="24">
      <c r="C902" s="90"/>
      <c r="D902" s="493">
        <v>45463</v>
      </c>
      <c r="E902" s="204">
        <v>1.3</v>
      </c>
      <c r="F902" s="204" t="s">
        <v>1037</v>
      </c>
      <c r="G902" s="204">
        <v>4.5</v>
      </c>
      <c r="H902" s="850">
        <v>0.52083333333333337</v>
      </c>
      <c r="I902" s="1440"/>
      <c r="J902" s="1246"/>
      <c r="K902" s="1441"/>
      <c r="L902" s="857">
        <v>0.3125</v>
      </c>
      <c r="M902" s="466"/>
      <c r="N902" s="162"/>
      <c r="O902" s="89"/>
      <c r="P902" s="89"/>
      <c r="Q902" s="89"/>
      <c r="R902" s="89"/>
      <c r="S902" s="89"/>
      <c r="T902" s="89"/>
      <c r="U902" s="89"/>
      <c r="V902" s="89"/>
      <c r="W902" s="89"/>
      <c r="X902" s="89"/>
      <c r="Y902" s="89"/>
      <c r="Z902" s="89"/>
    </row>
    <row r="903" spans="3:26" ht="25" thickBot="1">
      <c r="C903" s="90"/>
      <c r="D903" s="493">
        <v>45428</v>
      </c>
      <c r="E903" s="204">
        <v>4.5</v>
      </c>
      <c r="F903" s="204" t="s">
        <v>1038</v>
      </c>
      <c r="G903" s="204">
        <v>15.5</v>
      </c>
      <c r="H903" s="858">
        <v>0.52083333333333337</v>
      </c>
      <c r="I903" s="1442"/>
      <c r="J903" s="1249"/>
      <c r="K903" s="1443"/>
      <c r="L903" s="859">
        <v>0.3125</v>
      </c>
      <c r="M903" s="469"/>
      <c r="N903" s="162"/>
      <c r="O903" s="89"/>
      <c r="P903" s="89"/>
      <c r="Q903" s="89"/>
      <c r="R903" s="89"/>
      <c r="S903" s="89"/>
      <c r="T903" s="89"/>
      <c r="U903" s="89"/>
      <c r="V903" s="89"/>
      <c r="W903" s="89"/>
      <c r="X903" s="89"/>
      <c r="Y903" s="89"/>
      <c r="Z903" s="89"/>
    </row>
    <row r="904" spans="3:26" ht="49" thickBot="1">
      <c r="C904" s="90">
        <v>8</v>
      </c>
      <c r="D904" s="494" t="s">
        <v>30</v>
      </c>
      <c r="E904" s="1429" t="s">
        <v>1018</v>
      </c>
      <c r="F904" s="1430"/>
      <c r="G904" s="1431"/>
      <c r="H904" s="844" t="s">
        <v>790</v>
      </c>
      <c r="I904" s="1432" t="s">
        <v>633</v>
      </c>
      <c r="J904" s="1433"/>
      <c r="K904" s="1434"/>
      <c r="L904" s="845" t="s">
        <v>430</v>
      </c>
      <c r="M904" s="465" t="s">
        <v>431</v>
      </c>
      <c r="N904" s="162" t="s">
        <v>105</v>
      </c>
      <c r="O904" s="114" t="s">
        <v>800</v>
      </c>
      <c r="P904" s="114" t="s">
        <v>801</v>
      </c>
      <c r="Q904" s="114" t="s">
        <v>802</v>
      </c>
      <c r="R904" s="114" t="s">
        <v>803</v>
      </c>
      <c r="S904" s="114" t="s">
        <v>804</v>
      </c>
      <c r="T904" s="114" t="s">
        <v>805</v>
      </c>
      <c r="U904" s="114" t="s">
        <v>806</v>
      </c>
      <c r="V904" s="114" t="s">
        <v>807</v>
      </c>
      <c r="W904" s="114" t="s">
        <v>808</v>
      </c>
      <c r="X904" s="114" t="s">
        <v>809</v>
      </c>
      <c r="Y904" s="114" t="s">
        <v>75</v>
      </c>
      <c r="Z904" s="114" t="s">
        <v>75</v>
      </c>
    </row>
    <row r="905" spans="3:26" ht="24">
      <c r="C905" s="162"/>
      <c r="D905" s="489" t="s">
        <v>432</v>
      </c>
      <c r="E905" s="1435"/>
      <c r="F905" s="1436"/>
      <c r="G905" s="1437"/>
      <c r="H905" s="846" t="s">
        <v>906</v>
      </c>
      <c r="I905" s="1438" t="s">
        <v>1020</v>
      </c>
      <c r="J905" s="1243"/>
      <c r="K905" s="1439"/>
      <c r="L905" s="835"/>
      <c r="M905" s="466"/>
      <c r="N905" s="162"/>
      <c r="O905" s="115" t="s">
        <v>810</v>
      </c>
      <c r="P905" s="163">
        <v>0.1</v>
      </c>
      <c r="Q905" s="164">
        <v>3.9E-2</v>
      </c>
      <c r="R905" s="165">
        <v>1.7000000000024329E-2</v>
      </c>
      <c r="S905" s="119"/>
      <c r="T905" s="115">
        <v>7.5500000000024325E-2</v>
      </c>
      <c r="U905" s="164">
        <v>-17.670000000000002</v>
      </c>
      <c r="V905" s="163">
        <v>60.23</v>
      </c>
      <c r="W905" s="163"/>
      <c r="X905" s="153"/>
      <c r="Y905" s="120"/>
      <c r="Z905" s="120"/>
    </row>
    <row r="906" spans="3:26" ht="24">
      <c r="C906" s="162"/>
      <c r="D906" s="490" t="s">
        <v>433</v>
      </c>
      <c r="E906" s="1444" t="s">
        <v>707</v>
      </c>
      <c r="F906" s="1445"/>
      <c r="G906" s="1446"/>
      <c r="H906" s="846" t="s">
        <v>907</v>
      </c>
      <c r="I906" s="1440"/>
      <c r="J906" s="1246"/>
      <c r="K906" s="1441"/>
      <c r="L906" s="835"/>
      <c r="M906" s="466"/>
      <c r="N906" s="162"/>
      <c r="O906" s="121"/>
      <c r="P906" s="121"/>
      <c r="Q906" s="121"/>
      <c r="R906" s="122"/>
      <c r="S906" s="123"/>
      <c r="T906" s="121"/>
      <c r="U906" s="121"/>
      <c r="V906" s="121"/>
      <c r="W906" s="121"/>
      <c r="X906" s="123"/>
      <c r="Y906" s="124"/>
      <c r="Z906" s="124"/>
    </row>
    <row r="907" spans="3:26" ht="24">
      <c r="C907" s="162"/>
      <c r="D907" s="490" t="s">
        <v>434</v>
      </c>
      <c r="E907" s="1444" t="s">
        <v>1019</v>
      </c>
      <c r="F907" s="1445"/>
      <c r="G907" s="1446"/>
      <c r="H907" s="847"/>
      <c r="I907" s="1440"/>
      <c r="J907" s="1246"/>
      <c r="K907" s="1441"/>
      <c r="L907" s="835"/>
      <c r="M907" s="466"/>
      <c r="N907" s="162"/>
      <c r="O907" s="125" t="s">
        <v>811</v>
      </c>
      <c r="P907" s="167">
        <v>0.1</v>
      </c>
      <c r="Q907" s="168">
        <v>3.9100000000000003E-2</v>
      </c>
      <c r="R907" s="169">
        <v>1.4E-2</v>
      </c>
      <c r="S907" s="179">
        <v>1</v>
      </c>
      <c r="T907" s="125">
        <v>7.2650000000000006E-2</v>
      </c>
      <c r="U907" s="130">
        <v>-17.002986754961412</v>
      </c>
      <c r="V907" s="131">
        <v>60.5</v>
      </c>
      <c r="W907" s="180">
        <v>4.29</v>
      </c>
      <c r="X907" s="133">
        <v>72.942813178784462</v>
      </c>
      <c r="Y907" s="134"/>
      <c r="Z907" s="134"/>
    </row>
    <row r="908" spans="3:26" ht="25" thickBot="1">
      <c r="C908" s="162"/>
      <c r="D908" s="491" t="s">
        <v>435</v>
      </c>
      <c r="E908" s="1447">
        <v>0.625</v>
      </c>
      <c r="F908" s="1448"/>
      <c r="G908" s="1449"/>
      <c r="H908" s="860">
        <v>0.41666666666666663</v>
      </c>
      <c r="I908" s="1440"/>
      <c r="J908" s="1246"/>
      <c r="K908" s="1441"/>
      <c r="L908" s="836">
        <v>0.85416666666666663</v>
      </c>
      <c r="M908" s="467">
        <v>0.70833333333333326</v>
      </c>
      <c r="N908" s="162"/>
      <c r="O908" s="135" t="s">
        <v>812</v>
      </c>
      <c r="P908" s="171">
        <v>0.1</v>
      </c>
      <c r="Q908" s="156">
        <v>4.9933333333333337E-2</v>
      </c>
      <c r="R908" s="172">
        <v>1.4E-2</v>
      </c>
      <c r="S908" s="181">
        <v>1</v>
      </c>
      <c r="T908" s="173">
        <v>8.8900000000000007E-2</v>
      </c>
      <c r="U908" s="140">
        <v>-20.806132450324426</v>
      </c>
      <c r="V908" s="141">
        <v>60.5</v>
      </c>
      <c r="W908" s="182">
        <v>4.9249999999999998</v>
      </c>
      <c r="X908" s="143">
        <v>102.47020231784779</v>
      </c>
      <c r="Y908" s="144"/>
      <c r="Z908" s="144"/>
    </row>
    <row r="909" spans="3:26" ht="25" thickBot="1">
      <c r="C909" s="162"/>
      <c r="D909" s="492" t="s">
        <v>436</v>
      </c>
      <c r="E909" s="92" t="s">
        <v>29</v>
      </c>
      <c r="F909" s="92" t="s">
        <v>28</v>
      </c>
      <c r="G909" s="93" t="s">
        <v>27</v>
      </c>
      <c r="H909" s="855" t="s">
        <v>793</v>
      </c>
      <c r="I909" s="1440"/>
      <c r="J909" s="1246"/>
      <c r="K909" s="1441"/>
      <c r="L909" s="856" t="s">
        <v>1002</v>
      </c>
      <c r="M909" s="470"/>
      <c r="N909" s="162"/>
      <c r="O909" s="123"/>
      <c r="P909" s="145"/>
      <c r="Q909" s="123"/>
      <c r="R909" s="123"/>
      <c r="S909" s="183"/>
      <c r="T909" s="123"/>
      <c r="U909" s="146"/>
      <c r="V909" s="147"/>
      <c r="W909" s="184"/>
      <c r="X909" s="146"/>
      <c r="Y909" s="124"/>
      <c r="Z909" s="124"/>
    </row>
    <row r="910" spans="3:26" ht="24">
      <c r="C910" s="162"/>
      <c r="D910" s="493">
        <v>45588</v>
      </c>
      <c r="E910" s="98" t="s">
        <v>1039</v>
      </c>
      <c r="F910" s="98" t="s">
        <v>1040</v>
      </c>
      <c r="G910" s="98" t="s">
        <v>1040</v>
      </c>
      <c r="H910" s="850">
        <v>0.58333333333333337</v>
      </c>
      <c r="I910" s="1440"/>
      <c r="J910" s="1246"/>
      <c r="K910" s="1441"/>
      <c r="L910" s="857">
        <v>0.375</v>
      </c>
      <c r="M910" s="471"/>
      <c r="N910" s="162"/>
      <c r="O910" s="148"/>
      <c r="P910" s="124"/>
      <c r="Q910" s="148"/>
      <c r="R910" s="148"/>
      <c r="S910" s="183"/>
      <c r="T910" s="148"/>
      <c r="U910" s="148"/>
      <c r="V910" s="148"/>
      <c r="W910" s="186"/>
      <c r="X910" s="148"/>
      <c r="Y910" s="124"/>
      <c r="Z910" s="124"/>
    </row>
    <row r="911" spans="3:26" ht="24">
      <c r="C911" s="162"/>
      <c r="D911" s="493">
        <v>45554</v>
      </c>
      <c r="E911" s="98" t="s">
        <v>1041</v>
      </c>
      <c r="F911" s="98" t="s">
        <v>1042</v>
      </c>
      <c r="G911" s="98" t="s">
        <v>1043</v>
      </c>
      <c r="H911" s="850">
        <v>0.58333333333333337</v>
      </c>
      <c r="I911" s="1440"/>
      <c r="J911" s="1246"/>
      <c r="K911" s="1441"/>
      <c r="L911" s="857">
        <v>0.375</v>
      </c>
      <c r="M911" s="472"/>
      <c r="N911" s="162"/>
      <c r="O911" s="115" t="s">
        <v>813</v>
      </c>
      <c r="P911" s="187">
        <v>0.1</v>
      </c>
      <c r="Q911" s="149">
        <v>4.9933333333333337E-2</v>
      </c>
      <c r="R911" s="150">
        <v>1.4E-2</v>
      </c>
      <c r="S911" s="187">
        <v>1</v>
      </c>
      <c r="T911" s="188">
        <v>8.8900000000000007E-2</v>
      </c>
      <c r="U911" s="151">
        <v>-20.806132450324426</v>
      </c>
      <c r="V911" s="152">
        <v>60.5</v>
      </c>
      <c r="W911" s="189">
        <v>2</v>
      </c>
      <c r="X911" s="153">
        <v>41.612264900648853</v>
      </c>
      <c r="Y911" s="154"/>
      <c r="Z911" s="154"/>
    </row>
    <row r="912" spans="3:26" ht="24">
      <c r="C912" s="162"/>
      <c r="D912" s="493">
        <v>45526</v>
      </c>
      <c r="E912" s="98" t="s">
        <v>1044</v>
      </c>
      <c r="F912" s="98" t="s">
        <v>1045</v>
      </c>
      <c r="G912" s="98" t="s">
        <v>1046</v>
      </c>
      <c r="H912" s="850">
        <v>0.58333333333333337</v>
      </c>
      <c r="I912" s="1440"/>
      <c r="J912" s="1246"/>
      <c r="K912" s="1441"/>
      <c r="L912" s="857">
        <v>0.375</v>
      </c>
      <c r="M912" s="466"/>
      <c r="N912" s="162"/>
      <c r="O912" s="115" t="s">
        <v>813</v>
      </c>
      <c r="P912" s="187">
        <v>0.1</v>
      </c>
      <c r="Q912" s="149">
        <v>4.9933333333333337E-2</v>
      </c>
      <c r="R912" s="150">
        <v>1.4E-2</v>
      </c>
      <c r="S912" s="187">
        <v>1</v>
      </c>
      <c r="T912" s="188">
        <v>8.8900000000000007E-2</v>
      </c>
      <c r="U912" s="151">
        <v>-20.806132450324426</v>
      </c>
      <c r="V912" s="152">
        <v>60.5</v>
      </c>
      <c r="W912" s="189">
        <v>2</v>
      </c>
      <c r="X912" s="153">
        <v>41.612264900648853</v>
      </c>
      <c r="Y912" s="154"/>
      <c r="Z912" s="154"/>
    </row>
    <row r="913" spans="3:26" ht="24">
      <c r="C913" s="162"/>
      <c r="D913" s="493">
        <v>45496</v>
      </c>
      <c r="E913" s="98" t="s">
        <v>1047</v>
      </c>
      <c r="F913" s="98" t="s">
        <v>1048</v>
      </c>
      <c r="G913" s="98" t="s">
        <v>1049</v>
      </c>
      <c r="H913" s="850">
        <v>0.58333333333333337</v>
      </c>
      <c r="I913" s="1440"/>
      <c r="J913" s="1246"/>
      <c r="K913" s="1441"/>
      <c r="L913" s="857">
        <v>0.375</v>
      </c>
      <c r="M913" s="466"/>
      <c r="N913" s="162"/>
      <c r="O913" s="115"/>
      <c r="P913" s="116"/>
      <c r="Q913" s="149"/>
      <c r="R913" s="150"/>
      <c r="S913" s="119"/>
      <c r="T913" s="116"/>
      <c r="U913" s="151"/>
      <c r="V913" s="152"/>
      <c r="W913" s="119"/>
      <c r="X913" s="153"/>
      <c r="Y913" s="154"/>
      <c r="Z913" s="154"/>
    </row>
    <row r="914" spans="3:26" ht="24">
      <c r="C914" s="162"/>
      <c r="D914" s="493">
        <v>45464</v>
      </c>
      <c r="E914" s="98" t="s">
        <v>1049</v>
      </c>
      <c r="F914" s="98" t="s">
        <v>1050</v>
      </c>
      <c r="G914" s="98" t="s">
        <v>1051</v>
      </c>
      <c r="H914" s="850">
        <v>0.58333333333333337</v>
      </c>
      <c r="I914" s="1440"/>
      <c r="J914" s="1246"/>
      <c r="K914" s="1441"/>
      <c r="L914" s="857">
        <v>0.375</v>
      </c>
      <c r="M914" s="466"/>
      <c r="N914" s="162"/>
      <c r="O914" s="89"/>
      <c r="P914" s="89"/>
      <c r="Q914" s="89"/>
      <c r="R914" s="89"/>
      <c r="S914" s="89"/>
      <c r="T914" s="89"/>
      <c r="U914" s="89"/>
      <c r="V914" s="89"/>
      <c r="W914" s="89"/>
      <c r="X914" s="89"/>
      <c r="Y914" s="89"/>
      <c r="Z914" s="89"/>
    </row>
    <row r="915" spans="3:26" ht="25" thickBot="1">
      <c r="C915" s="162"/>
      <c r="D915" s="493">
        <v>45434</v>
      </c>
      <c r="E915" s="98" t="s">
        <v>1051</v>
      </c>
      <c r="F915" s="98" t="s">
        <v>1052</v>
      </c>
      <c r="G915" s="98" t="s">
        <v>1053</v>
      </c>
      <c r="H915" s="858">
        <v>0.58333333333333337</v>
      </c>
      <c r="I915" s="1442"/>
      <c r="J915" s="1249"/>
      <c r="K915" s="1443"/>
      <c r="L915" s="857">
        <v>0.375</v>
      </c>
      <c r="M915" s="469"/>
      <c r="N915" s="162"/>
      <c r="O915" s="89"/>
      <c r="P915" s="89"/>
      <c r="Q915" s="89"/>
      <c r="R915" s="89"/>
      <c r="S915" s="89"/>
      <c r="T915" s="89"/>
      <c r="U915" s="89"/>
      <c r="V915" s="89"/>
      <c r="W915" s="89"/>
      <c r="X915" s="89"/>
      <c r="Y915" s="89"/>
      <c r="Z915" s="89"/>
    </row>
    <row r="916" spans="3:26" ht="49" thickBot="1">
      <c r="C916" s="90">
        <v>9</v>
      </c>
      <c r="D916" s="494" t="s">
        <v>30</v>
      </c>
      <c r="E916" s="1429" t="s">
        <v>1021</v>
      </c>
      <c r="F916" s="1430"/>
      <c r="G916" s="1431"/>
      <c r="H916" s="844" t="s">
        <v>790</v>
      </c>
      <c r="I916" s="1432" t="s">
        <v>633</v>
      </c>
      <c r="J916" s="1433"/>
      <c r="K916" s="1434"/>
      <c r="L916" s="845" t="s">
        <v>430</v>
      </c>
      <c r="M916" s="465" t="s">
        <v>431</v>
      </c>
      <c r="N916" s="162" t="s">
        <v>105</v>
      </c>
      <c r="O916" s="114" t="s">
        <v>800</v>
      </c>
      <c r="P916" s="114" t="s">
        <v>801</v>
      </c>
      <c r="Q916" s="114" t="s">
        <v>802</v>
      </c>
      <c r="R916" s="114" t="s">
        <v>803</v>
      </c>
      <c r="S916" s="114" t="s">
        <v>804</v>
      </c>
      <c r="T916" s="114" t="s">
        <v>805</v>
      </c>
      <c r="U916" s="114" t="s">
        <v>806</v>
      </c>
      <c r="V916" s="114" t="s">
        <v>807</v>
      </c>
      <c r="W916" s="114" t="s">
        <v>808</v>
      </c>
      <c r="X916" s="114" t="s">
        <v>809</v>
      </c>
      <c r="Y916" s="114" t="s">
        <v>75</v>
      </c>
      <c r="Z916" s="114" t="s">
        <v>75</v>
      </c>
    </row>
    <row r="917" spans="3:26" ht="24">
      <c r="C917" s="162"/>
      <c r="D917" s="489" t="s">
        <v>432</v>
      </c>
      <c r="E917" s="1435"/>
      <c r="F917" s="1436"/>
      <c r="G917" s="1437"/>
      <c r="H917" s="846" t="s">
        <v>906</v>
      </c>
      <c r="I917" s="1438" t="s">
        <v>1022</v>
      </c>
      <c r="J917" s="1243"/>
      <c r="K917" s="1439"/>
      <c r="L917" s="835"/>
      <c r="M917" s="466"/>
      <c r="N917" s="162"/>
      <c r="O917" s="115" t="s">
        <v>810</v>
      </c>
      <c r="P917" s="163">
        <v>0.1</v>
      </c>
      <c r="Q917" s="164">
        <v>2.1999999999999999E-2</v>
      </c>
      <c r="R917" s="165">
        <v>3.0000000000001137E-2</v>
      </c>
      <c r="S917" s="119"/>
      <c r="T917" s="115">
        <v>6.3000000000001138E-2</v>
      </c>
      <c r="U917" s="164">
        <v>-15.02</v>
      </c>
      <c r="V917" s="163">
        <v>99.37</v>
      </c>
      <c r="W917" s="163"/>
      <c r="X917" s="153"/>
      <c r="Y917" s="120"/>
      <c r="Z917" s="120"/>
    </row>
    <row r="918" spans="3:26" ht="24">
      <c r="C918" s="162"/>
      <c r="D918" s="490" t="s">
        <v>433</v>
      </c>
      <c r="E918" s="1444"/>
      <c r="F918" s="1445"/>
      <c r="G918" s="1446"/>
      <c r="H918" s="846" t="s">
        <v>907</v>
      </c>
      <c r="I918" s="1440"/>
      <c r="J918" s="1246"/>
      <c r="K918" s="1441"/>
      <c r="L918" s="835"/>
      <c r="M918" s="466"/>
      <c r="N918" s="162"/>
      <c r="O918" s="121"/>
      <c r="P918" s="121"/>
      <c r="Q918" s="121"/>
      <c r="R918" s="122"/>
      <c r="S918" s="123"/>
      <c r="T918" s="121"/>
      <c r="U918" s="121"/>
      <c r="V918" s="121"/>
      <c r="W918" s="121"/>
      <c r="X918" s="123"/>
      <c r="Y918" s="124"/>
      <c r="Z918" s="124"/>
    </row>
    <row r="919" spans="3:26" ht="24">
      <c r="C919" s="162"/>
      <c r="D919" s="490" t="s">
        <v>434</v>
      </c>
      <c r="E919" s="1444">
        <v>2E-3</v>
      </c>
      <c r="F919" s="1445"/>
      <c r="G919" s="1446"/>
      <c r="H919" s="847"/>
      <c r="I919" s="1440"/>
      <c r="J919" s="1246"/>
      <c r="K919" s="1441"/>
      <c r="L919" s="835"/>
      <c r="M919" s="466"/>
      <c r="N919" s="162"/>
      <c r="O919" s="125" t="s">
        <v>811</v>
      </c>
      <c r="P919" s="167">
        <v>0.1</v>
      </c>
      <c r="Q919" s="168">
        <v>6.4100000000000004E-2</v>
      </c>
      <c r="R919" s="169">
        <v>3.0000000000001137E-2</v>
      </c>
      <c r="S919" s="179">
        <v>1</v>
      </c>
      <c r="T919" s="125">
        <v>0.12615000000000115</v>
      </c>
      <c r="U919" s="130">
        <v>-30.075761904761638</v>
      </c>
      <c r="V919" s="131">
        <v>60.5</v>
      </c>
      <c r="W919" s="180">
        <v>2.39</v>
      </c>
      <c r="X919" s="133">
        <v>71.881070952380313</v>
      </c>
      <c r="Y919" s="134"/>
      <c r="Z919" s="134"/>
    </row>
    <row r="920" spans="3:26" ht="25" thickBot="1">
      <c r="C920" s="162"/>
      <c r="D920" s="491" t="s">
        <v>435</v>
      </c>
      <c r="E920" s="1447">
        <v>0.29166666666666674</v>
      </c>
      <c r="F920" s="1448"/>
      <c r="G920" s="1449"/>
      <c r="H920" s="860">
        <v>8.3333333333333398E-2</v>
      </c>
      <c r="I920" s="1440"/>
      <c r="J920" s="1246"/>
      <c r="K920" s="1441"/>
      <c r="L920" s="836">
        <v>0.52083333333333337</v>
      </c>
      <c r="M920" s="467">
        <v>0.375</v>
      </c>
      <c r="N920" s="162"/>
      <c r="O920" s="135" t="s">
        <v>812</v>
      </c>
      <c r="P920" s="171">
        <v>0.1</v>
      </c>
      <c r="Q920" s="156">
        <v>7.6066666666665908E-2</v>
      </c>
      <c r="R920" s="172">
        <v>3.0000000000001137E-2</v>
      </c>
      <c r="S920" s="181">
        <v>1</v>
      </c>
      <c r="T920" s="173">
        <v>0.14410000000000001</v>
      </c>
      <c r="U920" s="140">
        <v>-34.355269841269219</v>
      </c>
      <c r="V920" s="141">
        <v>60.5</v>
      </c>
      <c r="W920" s="182">
        <v>2.08</v>
      </c>
      <c r="X920" s="143">
        <v>71.458961269839975</v>
      </c>
      <c r="Y920" s="144"/>
      <c r="Z920" s="144"/>
    </row>
    <row r="921" spans="3:26" ht="25" thickBot="1">
      <c r="C921" s="162"/>
      <c r="D921" s="492" t="s">
        <v>436</v>
      </c>
      <c r="E921" s="92" t="s">
        <v>29</v>
      </c>
      <c r="F921" s="92" t="s">
        <v>28</v>
      </c>
      <c r="G921" s="93" t="s">
        <v>27</v>
      </c>
      <c r="H921" s="855" t="s">
        <v>793</v>
      </c>
      <c r="I921" s="1440"/>
      <c r="J921" s="1246"/>
      <c r="K921" s="1441"/>
      <c r="L921" s="856" t="s">
        <v>1002</v>
      </c>
      <c r="M921" s="470" t="s">
        <v>1003</v>
      </c>
      <c r="N921" s="162"/>
      <c r="O921" s="123"/>
      <c r="P921" s="145"/>
      <c r="Q921" s="123"/>
      <c r="R921" s="123"/>
      <c r="S921" s="183"/>
      <c r="T921" s="123"/>
      <c r="U921" s="146"/>
      <c r="V921" s="147"/>
      <c r="W921" s="184"/>
      <c r="X921" s="146"/>
      <c r="Y921" s="124"/>
      <c r="Z921" s="124"/>
    </row>
    <row r="922" spans="3:26" ht="24">
      <c r="C922" s="162"/>
      <c r="D922" s="493">
        <v>45595</v>
      </c>
      <c r="E922" s="98">
        <v>2E-3</v>
      </c>
      <c r="F922" s="98" t="s">
        <v>456</v>
      </c>
      <c r="G922" s="98">
        <v>-3.0000000000000001E-3</v>
      </c>
      <c r="H922" s="850">
        <v>0.45833333333333337</v>
      </c>
      <c r="I922" s="1440"/>
      <c r="J922" s="1246"/>
      <c r="K922" s="1441"/>
      <c r="L922" s="857">
        <v>0.16666666666666666</v>
      </c>
      <c r="M922" s="473">
        <v>0.37500000000000006</v>
      </c>
      <c r="N922" s="162"/>
      <c r="O922" s="148"/>
      <c r="P922" s="124"/>
      <c r="Q922" s="148"/>
      <c r="R922" s="148"/>
      <c r="S922" s="183"/>
      <c r="T922" s="148"/>
      <c r="U922" s="148"/>
      <c r="V922" s="148"/>
      <c r="W922" s="186"/>
      <c r="X922" s="148"/>
      <c r="Y922" s="124"/>
      <c r="Z922" s="124"/>
    </row>
    <row r="923" spans="3:26" ht="24">
      <c r="C923" s="162"/>
      <c r="D923" s="493">
        <v>45531</v>
      </c>
      <c r="E923" s="98">
        <v>-1E-3</v>
      </c>
      <c r="F923" s="98" t="s">
        <v>456</v>
      </c>
      <c r="G923" s="98">
        <v>2E-3</v>
      </c>
      <c r="H923" s="850">
        <v>0.33333333333333337</v>
      </c>
      <c r="I923" s="1440"/>
      <c r="J923" s="1246"/>
      <c r="K923" s="1441"/>
      <c r="L923" s="857">
        <v>4.1666666666666664E-2</v>
      </c>
      <c r="M923" s="473">
        <v>0.25000000000000006</v>
      </c>
      <c r="N923" s="162"/>
      <c r="O923" s="115" t="s">
        <v>813</v>
      </c>
      <c r="P923" s="187">
        <v>0.1</v>
      </c>
      <c r="Q923" s="149">
        <v>7.6066666666665908E-2</v>
      </c>
      <c r="R923" s="150">
        <v>3.0000000000001137E-2</v>
      </c>
      <c r="S923" s="187">
        <v>1</v>
      </c>
      <c r="T923" s="188">
        <v>0.14410000000000001</v>
      </c>
      <c r="U923" s="151">
        <v>-34.355269841269219</v>
      </c>
      <c r="V923" s="152">
        <v>60.5</v>
      </c>
      <c r="W923" s="189">
        <v>2.08</v>
      </c>
      <c r="X923" s="153">
        <v>71.458961269839975</v>
      </c>
      <c r="Y923" s="154"/>
      <c r="Z923" s="154"/>
    </row>
    <row r="924" spans="3:26" ht="24">
      <c r="C924" s="162"/>
      <c r="D924" s="493">
        <v>45503</v>
      </c>
      <c r="E924" s="98">
        <v>-1E-3</v>
      </c>
      <c r="F924" s="98" t="s">
        <v>462</v>
      </c>
      <c r="G924" s="98">
        <v>2E-3</v>
      </c>
      <c r="H924" s="850">
        <v>0.41666666666666669</v>
      </c>
      <c r="I924" s="1440"/>
      <c r="J924" s="1246"/>
      <c r="K924" s="1441"/>
      <c r="L924" s="857">
        <v>0.125</v>
      </c>
      <c r="M924" s="473">
        <v>0.33333333333333337</v>
      </c>
      <c r="N924" s="162"/>
      <c r="O924" s="115"/>
      <c r="P924" s="116"/>
      <c r="Q924" s="149"/>
      <c r="R924" s="150"/>
      <c r="S924" s="119"/>
      <c r="T924" s="116"/>
      <c r="U924" s="151"/>
      <c r="V924" s="152"/>
      <c r="W924" s="119"/>
      <c r="X924" s="153"/>
      <c r="Y924" s="154"/>
      <c r="Z924" s="154"/>
    </row>
    <row r="925" spans="3:26" ht="24">
      <c r="C925" s="162"/>
      <c r="D925" s="493">
        <v>45436</v>
      </c>
      <c r="E925" s="98">
        <v>2E-3</v>
      </c>
      <c r="F925" s="98" t="s">
        <v>460</v>
      </c>
      <c r="G925" s="98">
        <v>-3.0000000000000001E-3</v>
      </c>
      <c r="H925" s="850">
        <v>0.33333333333333337</v>
      </c>
      <c r="I925" s="1440"/>
      <c r="J925" s="1246"/>
      <c r="K925" s="1441"/>
      <c r="L925" s="857">
        <v>4.1666666666666664E-2</v>
      </c>
      <c r="M925" s="473">
        <v>0.25000000000000006</v>
      </c>
      <c r="N925" s="162"/>
      <c r="O925" s="115"/>
      <c r="P925" s="116"/>
      <c r="Q925" s="149"/>
      <c r="R925" s="150"/>
      <c r="S925" s="119"/>
      <c r="T925" s="116"/>
      <c r="U925" s="151"/>
      <c r="V925" s="152"/>
      <c r="W925" s="119"/>
      <c r="X925" s="153"/>
      <c r="Y925" s="154"/>
      <c r="Z925" s="154"/>
    </row>
    <row r="926" spans="3:26" ht="24">
      <c r="C926" s="162"/>
      <c r="D926" s="493">
        <v>45412</v>
      </c>
      <c r="E926" s="98">
        <v>2E-3</v>
      </c>
      <c r="F926" s="98" t="s">
        <v>462</v>
      </c>
      <c r="G926" s="98">
        <v>-5.0000000000000001E-3</v>
      </c>
      <c r="H926" s="850">
        <v>0.41666666666666669</v>
      </c>
      <c r="I926" s="1440"/>
      <c r="J926" s="1246"/>
      <c r="K926" s="1441"/>
      <c r="L926" s="857">
        <v>0.125</v>
      </c>
      <c r="M926" s="473">
        <v>0.33333333333333337</v>
      </c>
      <c r="N926" s="162"/>
      <c r="O926" s="89"/>
      <c r="P926" s="89"/>
      <c r="Q926" s="89"/>
      <c r="R926" s="89"/>
      <c r="S926" s="89"/>
      <c r="T926" s="89"/>
      <c r="U926" s="89"/>
      <c r="V926" s="89"/>
      <c r="W926" s="89"/>
      <c r="X926" s="89"/>
      <c r="Y926" s="89"/>
      <c r="Z926" s="89"/>
    </row>
    <row r="927" spans="3:26" ht="25" thickBot="1">
      <c r="C927" s="162"/>
      <c r="D927" s="493">
        <v>45345</v>
      </c>
      <c r="E927" s="98">
        <v>-3.0000000000000001E-3</v>
      </c>
      <c r="F927" s="98" t="s">
        <v>454</v>
      </c>
      <c r="G927" s="98">
        <v>-1E-3</v>
      </c>
      <c r="H927" s="850">
        <v>0.375</v>
      </c>
      <c r="I927" s="1442"/>
      <c r="J927" s="1249"/>
      <c r="K927" s="1443"/>
      <c r="L927" s="859">
        <v>8.3333333333333329E-2</v>
      </c>
      <c r="M927" s="473">
        <v>0.29166666666666669</v>
      </c>
      <c r="N927" s="162"/>
      <c r="O927" s="89"/>
      <c r="P927" s="89"/>
      <c r="Q927" s="89"/>
      <c r="R927" s="89"/>
      <c r="S927" s="89"/>
      <c r="T927" s="89"/>
      <c r="U927" s="89"/>
      <c r="V927" s="89"/>
      <c r="W927" s="89"/>
      <c r="X927" s="89"/>
      <c r="Y927" s="89"/>
      <c r="Z927" s="89"/>
    </row>
    <row r="928" spans="3:26" ht="49" thickBot="1">
      <c r="C928" s="90">
        <v>10</v>
      </c>
      <c r="D928" s="494" t="s">
        <v>30</v>
      </c>
      <c r="E928" s="1429" t="s">
        <v>1023</v>
      </c>
      <c r="F928" s="1430"/>
      <c r="G928" s="1431"/>
      <c r="H928" s="844" t="s">
        <v>790</v>
      </c>
      <c r="I928" s="1432" t="s">
        <v>633</v>
      </c>
      <c r="J928" s="1433"/>
      <c r="K928" s="1434"/>
      <c r="L928" s="845" t="s">
        <v>430</v>
      </c>
      <c r="M928" s="465" t="s">
        <v>431</v>
      </c>
      <c r="N928" s="162" t="s">
        <v>105</v>
      </c>
      <c r="O928" s="114" t="s">
        <v>800</v>
      </c>
      <c r="P928" s="114" t="s">
        <v>801</v>
      </c>
      <c r="Q928" s="114" t="s">
        <v>802</v>
      </c>
      <c r="R928" s="114" t="s">
        <v>803</v>
      </c>
      <c r="S928" s="114" t="s">
        <v>804</v>
      </c>
      <c r="T928" s="114" t="s">
        <v>805</v>
      </c>
      <c r="U928" s="114" t="s">
        <v>806</v>
      </c>
      <c r="V928" s="114" t="s">
        <v>807</v>
      </c>
      <c r="W928" s="114" t="s">
        <v>808</v>
      </c>
      <c r="X928" s="114" t="s">
        <v>809</v>
      </c>
      <c r="Y928" s="114" t="s">
        <v>75</v>
      </c>
      <c r="Z928" s="114" t="s">
        <v>75</v>
      </c>
    </row>
    <row r="929" spans="3:26" ht="24">
      <c r="C929" s="162"/>
      <c r="D929" s="489" t="s">
        <v>432</v>
      </c>
      <c r="E929" s="1435"/>
      <c r="F929" s="1436"/>
      <c r="G929" s="1437"/>
      <c r="H929" s="846" t="s">
        <v>906</v>
      </c>
      <c r="I929" s="1438" t="s">
        <v>1024</v>
      </c>
      <c r="J929" s="1243"/>
      <c r="K929" s="1439"/>
      <c r="L929" s="835"/>
      <c r="M929" s="466"/>
      <c r="N929" s="162"/>
      <c r="O929" s="115" t="s">
        <v>810</v>
      </c>
      <c r="P929" s="163">
        <v>0.1</v>
      </c>
      <c r="Q929" s="164">
        <v>2.7E-2</v>
      </c>
      <c r="R929" s="165">
        <v>1.5999999999991132E-2</v>
      </c>
      <c r="S929" s="119"/>
      <c r="T929" s="115">
        <v>5.6499999999991134E-2</v>
      </c>
      <c r="U929" s="164">
        <v>-13.31</v>
      </c>
      <c r="V929" s="163">
        <v>91.8</v>
      </c>
      <c r="W929" s="166">
        <v>2</v>
      </c>
      <c r="X929" s="153">
        <v>26.62</v>
      </c>
      <c r="Y929" s="120"/>
      <c r="Z929" s="120"/>
    </row>
    <row r="930" spans="3:26" ht="24">
      <c r="C930" s="162"/>
      <c r="D930" s="490" t="s">
        <v>433</v>
      </c>
      <c r="E930" s="1444"/>
      <c r="F930" s="1445"/>
      <c r="G930" s="1446"/>
      <c r="H930" s="846" t="s">
        <v>907</v>
      </c>
      <c r="I930" s="1440"/>
      <c r="J930" s="1246"/>
      <c r="K930" s="1441"/>
      <c r="L930" s="835"/>
      <c r="M930" s="466"/>
      <c r="N930" s="162"/>
      <c r="O930" s="121"/>
      <c r="P930" s="121"/>
      <c r="Q930" s="121"/>
      <c r="R930" s="122"/>
      <c r="S930" s="123"/>
      <c r="T930" s="121"/>
      <c r="U930" s="121"/>
      <c r="V930" s="121"/>
      <c r="W930" s="123"/>
      <c r="X930" s="123"/>
      <c r="Y930" s="124"/>
      <c r="Z930" s="124"/>
    </row>
    <row r="931" spans="3:26" ht="24">
      <c r="C931" s="162"/>
      <c r="D931" s="490" t="s">
        <v>434</v>
      </c>
      <c r="E931" s="1492">
        <v>48.5</v>
      </c>
      <c r="F931" s="1493"/>
      <c r="G931" s="1494"/>
      <c r="H931" s="847"/>
      <c r="I931" s="1440"/>
      <c r="J931" s="1246"/>
      <c r="K931" s="1441"/>
      <c r="L931" s="835"/>
      <c r="M931" s="466"/>
      <c r="N931" s="162"/>
      <c r="O931" s="125" t="s">
        <v>811</v>
      </c>
      <c r="P931" s="167">
        <v>0.1</v>
      </c>
      <c r="Q931" s="168">
        <v>4.0500000000000001E-2</v>
      </c>
      <c r="R931" s="169">
        <v>1.7000000000000001E-2</v>
      </c>
      <c r="S931" s="129">
        <v>1</v>
      </c>
      <c r="T931" s="125">
        <v>7.775E-2</v>
      </c>
      <c r="U931" s="130">
        <v>-18.315973451330308</v>
      </c>
      <c r="V931" s="131">
        <v>60.5</v>
      </c>
      <c r="W931" s="170">
        <v>3.27</v>
      </c>
      <c r="X931" s="133">
        <v>59.893233185850107</v>
      </c>
      <c r="Y931" s="134"/>
      <c r="Z931" s="134">
        <v>4.4350000000000005</v>
      </c>
    </row>
    <row r="932" spans="3:26" ht="25" thickBot="1">
      <c r="C932" s="162"/>
      <c r="D932" s="491" t="s">
        <v>435</v>
      </c>
      <c r="E932" s="1447">
        <v>0.61458333333333337</v>
      </c>
      <c r="F932" s="1448"/>
      <c r="G932" s="1449"/>
      <c r="H932" s="860">
        <v>0.40625</v>
      </c>
      <c r="I932" s="1440"/>
      <c r="J932" s="1246"/>
      <c r="K932" s="1441"/>
      <c r="L932" s="836">
        <v>0.84375</v>
      </c>
      <c r="M932" s="467">
        <v>0.69791666666666663</v>
      </c>
      <c r="N932" s="162"/>
      <c r="O932" s="135" t="s">
        <v>812</v>
      </c>
      <c r="P932" s="171">
        <v>0.1</v>
      </c>
      <c r="Q932" s="156">
        <v>2.5266666666666663E-2</v>
      </c>
      <c r="R932" s="172">
        <v>1.7000000000000001E-2</v>
      </c>
      <c r="S932" s="139">
        <v>1</v>
      </c>
      <c r="T932" s="173">
        <v>5.4899999999999997E-2</v>
      </c>
      <c r="U932" s="140">
        <v>-12.933079646019728</v>
      </c>
      <c r="V932" s="141">
        <v>60.5</v>
      </c>
      <c r="W932" s="210">
        <v>2.2200000000000002</v>
      </c>
      <c r="X932" s="143">
        <v>28.711436814163797</v>
      </c>
      <c r="Y932" s="144"/>
      <c r="Z932" s="144"/>
    </row>
    <row r="933" spans="3:26" ht="25" thickBot="1">
      <c r="C933" s="162"/>
      <c r="D933" s="492" t="s">
        <v>436</v>
      </c>
      <c r="E933" s="92" t="s">
        <v>29</v>
      </c>
      <c r="F933" s="92" t="s">
        <v>28</v>
      </c>
      <c r="G933" s="93" t="s">
        <v>27</v>
      </c>
      <c r="H933" s="855" t="s">
        <v>793</v>
      </c>
      <c r="I933" s="1440"/>
      <c r="J933" s="1246"/>
      <c r="K933" s="1441"/>
      <c r="L933" s="856" t="s">
        <v>1002</v>
      </c>
      <c r="M933" s="470"/>
      <c r="N933" s="162"/>
      <c r="O933" s="123"/>
      <c r="P933" s="145"/>
      <c r="Q933" s="123"/>
      <c r="R933" s="123"/>
      <c r="S933" s="123"/>
      <c r="T933" s="123"/>
      <c r="U933" s="146"/>
      <c r="V933" s="147"/>
      <c r="W933" s="123"/>
      <c r="X933" s="146"/>
      <c r="Y933" s="124"/>
      <c r="Z933" s="124"/>
    </row>
    <row r="934" spans="3:26" ht="24">
      <c r="C934" s="162"/>
      <c r="D934" s="493">
        <v>45597</v>
      </c>
      <c r="E934" s="96">
        <v>48.5</v>
      </c>
      <c r="F934" s="96" t="s">
        <v>1054</v>
      </c>
      <c r="G934" s="96">
        <v>47.8</v>
      </c>
      <c r="H934" s="850">
        <v>0.57291666666666663</v>
      </c>
      <c r="I934" s="1440"/>
      <c r="J934" s="1246"/>
      <c r="K934" s="1441"/>
      <c r="L934" s="857">
        <v>0.36458333333333331</v>
      </c>
      <c r="M934" s="471"/>
      <c r="N934" s="162"/>
      <c r="O934" s="148"/>
      <c r="P934" s="124"/>
      <c r="Q934" s="148"/>
      <c r="R934" s="148"/>
      <c r="S934" s="148"/>
      <c r="T934" s="148"/>
      <c r="U934" s="148"/>
      <c r="V934" s="148"/>
      <c r="W934" s="148"/>
      <c r="X934" s="148"/>
      <c r="Y934" s="124"/>
      <c r="Z934" s="124"/>
    </row>
    <row r="935" spans="3:26" ht="24">
      <c r="C935" s="162"/>
      <c r="D935" s="493">
        <v>45589</v>
      </c>
      <c r="E935" s="96">
        <v>47.8</v>
      </c>
      <c r="F935" s="96" t="s">
        <v>509</v>
      </c>
      <c r="G935" s="96">
        <v>47.3</v>
      </c>
      <c r="H935" s="850">
        <v>0.57291666666666663</v>
      </c>
      <c r="I935" s="1440"/>
      <c r="J935" s="1246"/>
      <c r="K935" s="1441"/>
      <c r="L935" s="857">
        <v>0.36458333333333331</v>
      </c>
      <c r="M935" s="472"/>
      <c r="N935" s="162"/>
      <c r="O935" s="115" t="s">
        <v>813</v>
      </c>
      <c r="P935" s="163">
        <v>0.1</v>
      </c>
      <c r="Q935" s="149">
        <v>3.2883333333333334E-2</v>
      </c>
      <c r="R935" s="150">
        <v>1.7000000000000001E-2</v>
      </c>
      <c r="S935" s="119">
        <v>1</v>
      </c>
      <c r="T935" s="125">
        <v>6.6324999999999995E-2</v>
      </c>
      <c r="U935" s="151">
        <v>-15.624526548675018</v>
      </c>
      <c r="V935" s="152">
        <v>60.5</v>
      </c>
      <c r="W935" s="119">
        <v>2</v>
      </c>
      <c r="X935" s="153">
        <v>31.249053097350036</v>
      </c>
      <c r="Y935" s="154"/>
      <c r="Z935" s="154"/>
    </row>
    <row r="936" spans="3:26" ht="24">
      <c r="C936" s="162"/>
      <c r="D936" s="493">
        <v>45566</v>
      </c>
      <c r="E936" s="96">
        <v>47.3</v>
      </c>
      <c r="F936" s="96" t="s">
        <v>758</v>
      </c>
      <c r="G936" s="96">
        <v>47.9</v>
      </c>
      <c r="H936" s="850">
        <v>0.57291666666666663</v>
      </c>
      <c r="I936" s="1440"/>
      <c r="J936" s="1246"/>
      <c r="K936" s="1441"/>
      <c r="L936" s="857">
        <v>0.36458333333333331</v>
      </c>
      <c r="M936" s="466"/>
      <c r="N936" s="162"/>
      <c r="O936" s="115"/>
      <c r="P936" s="163"/>
      <c r="Q936" s="149"/>
      <c r="R936" s="150"/>
      <c r="S936" s="119"/>
      <c r="T936" s="125"/>
      <c r="U936" s="151"/>
      <c r="V936" s="152"/>
      <c r="W936" s="119"/>
      <c r="X936" s="153"/>
      <c r="Y936" s="154"/>
      <c r="Z936" s="154"/>
    </row>
    <row r="937" spans="3:26" ht="24">
      <c r="C937" s="162"/>
      <c r="D937" s="493">
        <v>45558</v>
      </c>
      <c r="E937" s="96">
        <v>47</v>
      </c>
      <c r="F937" s="96" t="s">
        <v>500</v>
      </c>
      <c r="G937" s="96">
        <v>47.9</v>
      </c>
      <c r="H937" s="850">
        <v>0.57291666666666663</v>
      </c>
      <c r="I937" s="1440"/>
      <c r="J937" s="1246"/>
      <c r="K937" s="1441"/>
      <c r="L937" s="857">
        <v>0.36458333333333331</v>
      </c>
      <c r="M937" s="466"/>
      <c r="N937" s="162"/>
      <c r="O937" s="115"/>
      <c r="P937" s="116"/>
      <c r="Q937" s="149"/>
      <c r="R937" s="150"/>
      <c r="S937" s="119"/>
      <c r="T937" s="116"/>
      <c r="U937" s="151"/>
      <c r="V937" s="152"/>
      <c r="W937" s="119"/>
      <c r="X937" s="153"/>
      <c r="Y937" s="154"/>
      <c r="Z937" s="154"/>
    </row>
    <row r="938" spans="3:26" ht="24">
      <c r="C938" s="162"/>
      <c r="D938" s="493">
        <v>45538</v>
      </c>
      <c r="E938" s="96">
        <v>47.9</v>
      </c>
      <c r="F938" s="96" t="s">
        <v>502</v>
      </c>
      <c r="G938" s="96">
        <v>49.6</v>
      </c>
      <c r="H938" s="850">
        <v>0.57291666666666663</v>
      </c>
      <c r="I938" s="1440"/>
      <c r="J938" s="1246"/>
      <c r="K938" s="1441"/>
      <c r="L938" s="857">
        <v>0.36458333333333331</v>
      </c>
      <c r="M938" s="466"/>
      <c r="N938" s="162"/>
      <c r="O938" s="89"/>
      <c r="P938" s="89"/>
      <c r="Q938" s="89"/>
      <c r="R938" s="89"/>
      <c r="S938" s="89"/>
      <c r="T938" s="89"/>
      <c r="U938" s="89"/>
      <c r="V938" s="89"/>
      <c r="W938" s="89"/>
      <c r="X938" s="89"/>
      <c r="Y938" s="89"/>
      <c r="Z938" s="89"/>
    </row>
    <row r="939" spans="3:26" ht="25" thickBot="1">
      <c r="C939" s="162"/>
      <c r="D939" s="493">
        <v>45526</v>
      </c>
      <c r="E939" s="96">
        <v>48</v>
      </c>
      <c r="F939" s="96" t="s">
        <v>438</v>
      </c>
      <c r="G939" s="96">
        <v>49.6</v>
      </c>
      <c r="H939" s="850">
        <v>0.57291666666666663</v>
      </c>
      <c r="I939" s="1442"/>
      <c r="J939" s="1249"/>
      <c r="K939" s="1443"/>
      <c r="L939" s="857">
        <v>0.36458333333333331</v>
      </c>
      <c r="M939" s="469"/>
      <c r="N939" s="162"/>
      <c r="O939" s="89"/>
      <c r="P939" s="89"/>
      <c r="Q939" s="89"/>
      <c r="R939" s="89"/>
      <c r="S939" s="89"/>
      <c r="T939" s="89"/>
      <c r="U939" s="89"/>
      <c r="V939" s="89"/>
      <c r="W939" s="89"/>
      <c r="X939" s="89"/>
      <c r="Y939" s="89"/>
      <c r="Z939" s="89"/>
    </row>
    <row r="940" spans="3:26" ht="49" thickBot="1">
      <c r="C940" s="90">
        <v>11</v>
      </c>
      <c r="D940" s="494" t="s">
        <v>30</v>
      </c>
      <c r="E940" s="1429" t="s">
        <v>1025</v>
      </c>
      <c r="F940" s="1430"/>
      <c r="G940" s="1431"/>
      <c r="H940" s="844" t="s">
        <v>790</v>
      </c>
      <c r="I940" s="1432" t="s">
        <v>633</v>
      </c>
      <c r="J940" s="1433"/>
      <c r="K940" s="1434"/>
      <c r="L940" s="845" t="s">
        <v>430</v>
      </c>
      <c r="M940" s="465" t="s">
        <v>431</v>
      </c>
      <c r="N940" s="162" t="s">
        <v>105</v>
      </c>
      <c r="O940" s="114" t="s">
        <v>800</v>
      </c>
      <c r="P940" s="114" t="s">
        <v>801</v>
      </c>
      <c r="Q940" s="114" t="s">
        <v>802</v>
      </c>
      <c r="R940" s="114" t="s">
        <v>803</v>
      </c>
      <c r="S940" s="114" t="s">
        <v>804</v>
      </c>
      <c r="T940" s="114" t="s">
        <v>805</v>
      </c>
      <c r="U940" s="114" t="s">
        <v>806</v>
      </c>
      <c r="V940" s="114" t="s">
        <v>807</v>
      </c>
      <c r="W940" s="114" t="s">
        <v>808</v>
      </c>
      <c r="X940" s="114" t="s">
        <v>809</v>
      </c>
      <c r="Y940" s="114" t="s">
        <v>75</v>
      </c>
      <c r="Z940" s="114" t="s">
        <v>75</v>
      </c>
    </row>
    <row r="941" spans="3:26" ht="24">
      <c r="C941" s="162"/>
      <c r="D941" s="489" t="s">
        <v>432</v>
      </c>
      <c r="E941" s="1435"/>
      <c r="F941" s="1436"/>
      <c r="G941" s="1437"/>
      <c r="H941" s="846" t="s">
        <v>906</v>
      </c>
      <c r="I941" s="1438" t="s">
        <v>1026</v>
      </c>
      <c r="J941" s="1243"/>
      <c r="K941" s="1439"/>
      <c r="L941" s="835"/>
      <c r="M941" s="466"/>
      <c r="N941" s="162"/>
      <c r="O941" s="115" t="s">
        <v>810</v>
      </c>
      <c r="P941" s="163">
        <v>0.1</v>
      </c>
      <c r="Q941" s="164">
        <v>3.3E-4</v>
      </c>
      <c r="R941" s="165">
        <v>1.500000000000945E-4</v>
      </c>
      <c r="S941" s="119">
        <v>1</v>
      </c>
      <c r="T941" s="115">
        <v>4.55000000000029E-4</v>
      </c>
      <c r="U941" s="164">
        <v>-22.85</v>
      </c>
      <c r="V941" s="163">
        <v>60.5</v>
      </c>
      <c r="W941" s="166">
        <v>2</v>
      </c>
      <c r="X941" s="153"/>
      <c r="Y941" s="120"/>
      <c r="Z941" s="120"/>
    </row>
    <row r="942" spans="3:26" ht="24">
      <c r="C942" s="162"/>
      <c r="D942" s="490" t="s">
        <v>433</v>
      </c>
      <c r="E942" s="1444"/>
      <c r="F942" s="1445"/>
      <c r="G942" s="1446"/>
      <c r="H942" s="846" t="s">
        <v>907</v>
      </c>
      <c r="I942" s="1440"/>
      <c r="J942" s="1246"/>
      <c r="K942" s="1441"/>
      <c r="L942" s="835"/>
      <c r="M942" s="466"/>
      <c r="N942" s="162"/>
      <c r="O942" s="121"/>
      <c r="P942" s="121"/>
      <c r="Q942" s="121"/>
      <c r="R942" s="122"/>
      <c r="S942" s="123"/>
      <c r="T942" s="121"/>
      <c r="U942" s="121"/>
      <c r="V942" s="121"/>
      <c r="W942" s="121"/>
      <c r="X942" s="123"/>
      <c r="Y942" s="124"/>
      <c r="Z942" s="124"/>
    </row>
    <row r="943" spans="3:26" ht="24">
      <c r="C943" s="162"/>
      <c r="D943" s="490" t="s">
        <v>434</v>
      </c>
      <c r="E943" s="1492">
        <v>55</v>
      </c>
      <c r="F943" s="1493"/>
      <c r="G943" s="1494"/>
      <c r="H943" s="847"/>
      <c r="I943" s="1440"/>
      <c r="J943" s="1246"/>
      <c r="K943" s="1441"/>
      <c r="L943" s="835"/>
      <c r="M943" s="466"/>
      <c r="N943" s="162"/>
      <c r="O943" s="125" t="s">
        <v>811</v>
      </c>
      <c r="P943" s="167">
        <v>0.1</v>
      </c>
      <c r="Q943" s="168">
        <v>2.9999999999999997E-4</v>
      </c>
      <c r="R943" s="169">
        <v>2.0000000000000001E-4</v>
      </c>
      <c r="S943" s="179">
        <v>1</v>
      </c>
      <c r="T943" s="125">
        <v>6.4999999999999997E-4</v>
      </c>
      <c r="U943" s="130">
        <v>-32.642857142855057</v>
      </c>
      <c r="V943" s="131">
        <v>60.5</v>
      </c>
      <c r="W943" s="180">
        <v>2.81</v>
      </c>
      <c r="X943" s="133">
        <v>91.726428571422716</v>
      </c>
      <c r="Y943" s="134"/>
      <c r="Z943" s="134"/>
    </row>
    <row r="944" spans="3:26" ht="25" thickBot="1">
      <c r="C944" s="162"/>
      <c r="D944" s="491" t="s">
        <v>435</v>
      </c>
      <c r="E944" s="1447">
        <v>0.61458333333333337</v>
      </c>
      <c r="F944" s="1448"/>
      <c r="G944" s="1449"/>
      <c r="H944" s="860">
        <v>0.40625</v>
      </c>
      <c r="I944" s="1440"/>
      <c r="J944" s="1246"/>
      <c r="K944" s="1441"/>
      <c r="L944" s="836">
        <v>0.84375</v>
      </c>
      <c r="M944" s="467">
        <v>0.69791666666666663</v>
      </c>
      <c r="N944" s="162"/>
      <c r="O944" s="135" t="s">
        <v>812</v>
      </c>
      <c r="P944" s="171">
        <v>0.1</v>
      </c>
      <c r="Q944" s="156">
        <v>4.0000000000000002E-4</v>
      </c>
      <c r="R944" s="172">
        <v>2.0000000000000001E-4</v>
      </c>
      <c r="S944" s="181">
        <v>1</v>
      </c>
      <c r="T944" s="173">
        <v>8.0000000000000004E-4</v>
      </c>
      <c r="U944" s="140">
        <v>-40.175824175821617</v>
      </c>
      <c r="V944" s="141">
        <v>60.5</v>
      </c>
      <c r="W944" s="182">
        <v>2.48</v>
      </c>
      <c r="X944" s="143">
        <v>99.636043956037611</v>
      </c>
      <c r="Y944" s="144"/>
      <c r="Z944" s="144"/>
    </row>
    <row r="945" spans="2:26" ht="25" thickBot="1">
      <c r="C945" s="162"/>
      <c r="D945" s="492" t="s">
        <v>436</v>
      </c>
      <c r="E945" s="92" t="s">
        <v>29</v>
      </c>
      <c r="F945" s="92" t="s">
        <v>28</v>
      </c>
      <c r="G945" s="93" t="s">
        <v>27</v>
      </c>
      <c r="H945" s="855" t="s">
        <v>793</v>
      </c>
      <c r="I945" s="1440"/>
      <c r="J945" s="1246"/>
      <c r="K945" s="1441"/>
      <c r="L945" s="856" t="s">
        <v>1002</v>
      </c>
      <c r="M945" s="470"/>
      <c r="N945" s="162"/>
      <c r="O945" s="123"/>
      <c r="P945" s="145"/>
      <c r="Q945" s="123"/>
      <c r="R945" s="123"/>
      <c r="S945" s="183"/>
      <c r="T945" s="123"/>
      <c r="U945" s="146"/>
      <c r="V945" s="147"/>
      <c r="W945" s="184"/>
      <c r="X945" s="146"/>
      <c r="Y945" s="124"/>
      <c r="Z945" s="124"/>
    </row>
    <row r="946" spans="2:26" ht="24">
      <c r="C946" s="162"/>
      <c r="D946" s="493">
        <v>45601</v>
      </c>
      <c r="E946" s="94">
        <v>55</v>
      </c>
      <c r="F946" s="94" t="s">
        <v>585</v>
      </c>
      <c r="G946" s="94">
        <v>55.2</v>
      </c>
      <c r="H946" s="850">
        <v>0.61458333333333337</v>
      </c>
      <c r="I946" s="1440"/>
      <c r="J946" s="1246"/>
      <c r="K946" s="1441"/>
      <c r="L946" s="857">
        <v>0.40625</v>
      </c>
      <c r="M946" s="471"/>
      <c r="N946" s="162"/>
      <c r="O946" s="148"/>
      <c r="P946" s="124"/>
      <c r="Q946" s="148"/>
      <c r="R946" s="148"/>
      <c r="S946" s="183"/>
      <c r="T946" s="148"/>
      <c r="U946" s="148"/>
      <c r="V946" s="148"/>
      <c r="W946" s="186"/>
      <c r="X946" s="148"/>
      <c r="Y946" s="124"/>
      <c r="Z946" s="124"/>
    </row>
    <row r="947" spans="2:26" ht="24">
      <c r="C947" s="162"/>
      <c r="D947" s="493">
        <v>45589</v>
      </c>
      <c r="E947" s="94">
        <v>55.3</v>
      </c>
      <c r="F947" s="94" t="s">
        <v>604</v>
      </c>
      <c r="G947" s="94">
        <v>55.2</v>
      </c>
      <c r="H947" s="850">
        <v>0.57291666666666663</v>
      </c>
      <c r="I947" s="1440"/>
      <c r="J947" s="1246"/>
      <c r="K947" s="1441"/>
      <c r="L947" s="857">
        <v>0.36458333333333331</v>
      </c>
      <c r="M947" s="472"/>
      <c r="N947" s="162"/>
      <c r="O947" s="115" t="s">
        <v>813</v>
      </c>
      <c r="P947" s="191">
        <v>-0.1</v>
      </c>
      <c r="Q947" s="149">
        <v>3.4333333333333329E-4</v>
      </c>
      <c r="R947" s="150">
        <v>2.0000000000000001E-4</v>
      </c>
      <c r="S947" s="187">
        <v>-1</v>
      </c>
      <c r="T947" s="125">
        <v>7.1499999999999992E-4</v>
      </c>
      <c r="U947" s="151">
        <v>-35.907142857140563</v>
      </c>
      <c r="V947" s="152">
        <v>60.5</v>
      </c>
      <c r="W947" s="189">
        <v>2</v>
      </c>
      <c r="X947" s="153">
        <v>71.814285714281127</v>
      </c>
      <c r="Y947" s="154" t="s">
        <v>814</v>
      </c>
      <c r="Z947" s="154"/>
    </row>
    <row r="948" spans="2:26" ht="24">
      <c r="C948" s="162"/>
      <c r="D948" s="493">
        <v>45568</v>
      </c>
      <c r="E948" s="94">
        <v>55.2</v>
      </c>
      <c r="F948" s="94" t="s">
        <v>759</v>
      </c>
      <c r="G948" s="94">
        <v>55.7</v>
      </c>
      <c r="H948" s="850">
        <v>0.57291666666666663</v>
      </c>
      <c r="I948" s="1440"/>
      <c r="J948" s="1246"/>
      <c r="K948" s="1441"/>
      <c r="L948" s="857">
        <v>0.36458333333333331</v>
      </c>
      <c r="M948" s="466"/>
      <c r="N948" s="162"/>
      <c r="O948" s="115" t="s">
        <v>813</v>
      </c>
      <c r="P948" s="191">
        <v>0.1</v>
      </c>
      <c r="Q948" s="149">
        <v>3.4333333333333329E-4</v>
      </c>
      <c r="R948" s="150">
        <v>0</v>
      </c>
      <c r="S948" s="187">
        <v>1</v>
      </c>
      <c r="T948" s="125">
        <v>7.1499999999999992E-4</v>
      </c>
      <c r="U948" s="151">
        <v>-35.907142857140563</v>
      </c>
      <c r="V948" s="152">
        <v>60.5</v>
      </c>
      <c r="W948" s="189">
        <v>2</v>
      </c>
      <c r="X948" s="153">
        <v>71.814285714281127</v>
      </c>
      <c r="Y948" s="154" t="s">
        <v>814</v>
      </c>
      <c r="Z948" s="154"/>
    </row>
    <row r="949" spans="2:26" ht="24">
      <c r="C949" s="162"/>
      <c r="D949" s="493">
        <v>45558</v>
      </c>
      <c r="E949" s="94">
        <v>55.4</v>
      </c>
      <c r="F949" s="94" t="s">
        <v>585</v>
      </c>
      <c r="G949" s="94">
        <v>55.7</v>
      </c>
      <c r="H949" s="850">
        <v>0.57291666666666663</v>
      </c>
      <c r="I949" s="1440"/>
      <c r="J949" s="1246"/>
      <c r="K949" s="1441"/>
      <c r="L949" s="857">
        <v>0.36458333333333331</v>
      </c>
      <c r="M949" s="466"/>
      <c r="N949" s="162"/>
      <c r="O949" s="115"/>
      <c r="P949" s="116"/>
      <c r="Q949" s="149"/>
      <c r="R949" s="150"/>
      <c r="S949" s="119"/>
      <c r="T949" s="116"/>
      <c r="U949" s="151"/>
      <c r="V949" s="152"/>
      <c r="W949" s="119"/>
      <c r="X949" s="153"/>
      <c r="Y949" s="154"/>
      <c r="Z949" s="154"/>
    </row>
    <row r="950" spans="2:26" ht="24">
      <c r="C950" s="162"/>
      <c r="D950" s="493">
        <v>45540</v>
      </c>
      <c r="E950" s="94">
        <v>55.7</v>
      </c>
      <c r="F950" s="94" t="s">
        <v>586</v>
      </c>
      <c r="G950" s="94">
        <v>55</v>
      </c>
      <c r="H950" s="850">
        <v>0.57291666666666663</v>
      </c>
      <c r="I950" s="1440"/>
      <c r="J950" s="1246"/>
      <c r="K950" s="1441"/>
      <c r="L950" s="857">
        <v>0.36458333333333331</v>
      </c>
      <c r="M950" s="466"/>
      <c r="N950" s="162"/>
      <c r="O950" s="89"/>
      <c r="P950" s="89"/>
      <c r="Q950" s="89"/>
      <c r="R950" s="89"/>
      <c r="S950" s="89"/>
      <c r="T950" s="89"/>
      <c r="U950" s="89"/>
      <c r="V950" s="89"/>
      <c r="W950" s="89"/>
      <c r="X950" s="89"/>
      <c r="Y950" s="89"/>
      <c r="Z950" s="89"/>
    </row>
    <row r="951" spans="2:26" ht="25" thickBot="1">
      <c r="C951" s="162"/>
      <c r="D951" s="495">
        <v>45526</v>
      </c>
      <c r="E951" s="161">
        <v>55.2</v>
      </c>
      <c r="F951" s="161" t="s">
        <v>587</v>
      </c>
      <c r="G951" s="161">
        <v>55</v>
      </c>
      <c r="H951" s="858">
        <v>0.57291666666666663</v>
      </c>
      <c r="I951" s="1442"/>
      <c r="J951" s="1249"/>
      <c r="K951" s="1443"/>
      <c r="L951" s="859">
        <v>0.36458333333333331</v>
      </c>
      <c r="M951" s="469"/>
      <c r="N951" s="162"/>
      <c r="O951" s="89"/>
      <c r="P951" s="89"/>
      <c r="Q951" s="89"/>
      <c r="R951" s="89"/>
      <c r="S951" s="89"/>
      <c r="T951" s="89"/>
      <c r="U951" s="89"/>
      <c r="V951" s="89"/>
      <c r="W951" s="89"/>
      <c r="X951" s="89"/>
      <c r="Y951" s="89"/>
      <c r="Z951" s="89"/>
    </row>
    <row r="952" spans="2:26" ht="20" thickBot="1">
      <c r="B952" s="90" t="s">
        <v>105</v>
      </c>
      <c r="C952" s="218">
        <v>1</v>
      </c>
      <c r="D952" s="498" t="s">
        <v>30</v>
      </c>
      <c r="E952" s="1147" t="s">
        <v>1060</v>
      </c>
      <c r="F952" s="1148"/>
      <c r="G952" s="1149"/>
      <c r="H952" s="861" t="s">
        <v>790</v>
      </c>
      <c r="I952" s="1404" t="s">
        <v>633</v>
      </c>
      <c r="J952" s="1404"/>
      <c r="K952" s="1405"/>
      <c r="L952" s="862" t="s">
        <v>430</v>
      </c>
      <c r="M952" s="332" t="s">
        <v>431</v>
      </c>
      <c r="N952" s="219" t="s">
        <v>105</v>
      </c>
      <c r="O952" s="220" t="s">
        <v>800</v>
      </c>
      <c r="P952" s="220" t="s">
        <v>801</v>
      </c>
      <c r="Q952" s="220" t="s">
        <v>802</v>
      </c>
      <c r="R952" s="220" t="s">
        <v>803</v>
      </c>
      <c r="S952" s="220" t="s">
        <v>804</v>
      </c>
      <c r="T952" s="220" t="s">
        <v>805</v>
      </c>
      <c r="U952" s="220" t="s">
        <v>806</v>
      </c>
      <c r="V952" s="220" t="s">
        <v>807</v>
      </c>
      <c r="W952" s="220" t="s">
        <v>808</v>
      </c>
      <c r="X952" s="220" t="s">
        <v>809</v>
      </c>
      <c r="Y952" s="220" t="s">
        <v>75</v>
      </c>
      <c r="Z952" s="220" t="s">
        <v>75</v>
      </c>
    </row>
    <row r="953" spans="2:26" ht="19">
      <c r="C953" s="218"/>
      <c r="D953" s="499" t="s">
        <v>432</v>
      </c>
      <c r="E953" s="1105"/>
      <c r="F953" s="1106"/>
      <c r="G953" s="1107"/>
      <c r="H953" s="863" t="s">
        <v>906</v>
      </c>
      <c r="I953" s="1390" t="s">
        <v>1061</v>
      </c>
      <c r="J953" s="1390"/>
      <c r="K953" s="1391"/>
      <c r="L953" s="864"/>
      <c r="M953" s="474" t="s">
        <v>1060</v>
      </c>
      <c r="N953" s="219"/>
      <c r="O953" s="221" t="s">
        <v>810</v>
      </c>
      <c r="P953" s="222">
        <v>0.1</v>
      </c>
      <c r="Q953" s="223">
        <v>2.1000000000000001E-4</v>
      </c>
      <c r="R953" s="224">
        <v>1.4000000000002899E-4</v>
      </c>
      <c r="S953" s="225"/>
      <c r="T953" s="221">
        <v>4.55000000000029E-4</v>
      </c>
      <c r="U953" s="223">
        <v>-16.510000000000002</v>
      </c>
      <c r="V953" s="222">
        <v>60.5</v>
      </c>
      <c r="W953" s="226">
        <v>2</v>
      </c>
      <c r="X953" s="227">
        <v>33.020000000000003</v>
      </c>
      <c r="Y953" s="225"/>
      <c r="Z953" s="225"/>
    </row>
    <row r="954" spans="2:26" ht="19">
      <c r="C954" s="218"/>
      <c r="D954" s="500" t="s">
        <v>433</v>
      </c>
      <c r="E954" s="1117" t="s">
        <v>1090</v>
      </c>
      <c r="F954" s="1109"/>
      <c r="G954" s="1110"/>
      <c r="H954" s="863" t="s">
        <v>907</v>
      </c>
      <c r="I954" s="1392"/>
      <c r="J954" s="1392"/>
      <c r="K954" s="1393"/>
      <c r="L954" s="864"/>
      <c r="M954" s="334"/>
      <c r="N954" s="219"/>
      <c r="O954" s="219"/>
      <c r="P954" s="219"/>
      <c r="Q954" s="219"/>
      <c r="R954" s="228"/>
      <c r="S954" s="229"/>
      <c r="T954" s="219"/>
      <c r="U954" s="219"/>
      <c r="V954" s="219"/>
      <c r="W954" s="229"/>
      <c r="X954" s="229"/>
      <c r="Y954" s="230"/>
      <c r="Z954" s="230"/>
    </row>
    <row r="955" spans="2:26" ht="19">
      <c r="C955" s="218"/>
      <c r="D955" s="500" t="s">
        <v>434</v>
      </c>
      <c r="E955" s="1117">
        <v>108.7</v>
      </c>
      <c r="F955" s="1109"/>
      <c r="G955" s="1110"/>
      <c r="H955" s="863"/>
      <c r="I955" s="1392"/>
      <c r="J955" s="1392"/>
      <c r="K955" s="1393"/>
      <c r="L955" s="864"/>
      <c r="M955" s="334"/>
      <c r="N955" s="219"/>
      <c r="O955" s="231" t="s">
        <v>811</v>
      </c>
      <c r="P955" s="232">
        <v>0.1</v>
      </c>
      <c r="Q955" s="233">
        <v>2.9999999999999997E-4</v>
      </c>
      <c r="R955" s="234">
        <v>2.0000000000000001E-4</v>
      </c>
      <c r="S955" s="235">
        <v>1</v>
      </c>
      <c r="T955" s="231">
        <v>6.4999999999999997E-4</v>
      </c>
      <c r="U955" s="236">
        <v>-23.585714285712783</v>
      </c>
      <c r="V955" s="237">
        <v>60.5</v>
      </c>
      <c r="W955" s="238">
        <v>1.48</v>
      </c>
      <c r="X955" s="239">
        <v>34.906857142854918</v>
      </c>
      <c r="Y955" s="240"/>
      <c r="Z955" s="240"/>
    </row>
    <row r="956" spans="2:26" ht="20" thickBot="1">
      <c r="C956" s="218"/>
      <c r="D956" s="501" t="s">
        <v>435</v>
      </c>
      <c r="E956" s="1114">
        <v>0.625</v>
      </c>
      <c r="F956" s="1115"/>
      <c r="G956" s="1116"/>
      <c r="H956" s="865">
        <v>0.41666666666666663</v>
      </c>
      <c r="I956" s="1392"/>
      <c r="J956" s="1392"/>
      <c r="K956" s="1393"/>
      <c r="L956" s="866">
        <v>0.85416666666666663</v>
      </c>
      <c r="M956" s="337">
        <v>0.70833333333333326</v>
      </c>
      <c r="N956" s="219"/>
      <c r="O956" s="241" t="s">
        <v>812</v>
      </c>
      <c r="P956" s="242">
        <v>0.1</v>
      </c>
      <c r="Q956" s="243">
        <v>2.6666666666666663E-4</v>
      </c>
      <c r="R956" s="244">
        <v>2.0000000000000001E-4</v>
      </c>
      <c r="S956" s="245">
        <v>1</v>
      </c>
      <c r="T956" s="246">
        <v>5.9999999999999995E-4</v>
      </c>
      <c r="U956" s="247">
        <v>-21.771428571427183</v>
      </c>
      <c r="V956" s="248">
        <v>60.5</v>
      </c>
      <c r="W956" s="249">
        <v>1.75</v>
      </c>
      <c r="X956" s="250">
        <v>38.099999999997571</v>
      </c>
      <c r="Y956" s="251"/>
      <c r="Z956" s="251"/>
    </row>
    <row r="957" spans="2:26" ht="20" thickBot="1">
      <c r="C957" s="218"/>
      <c r="D957" s="502" t="s">
        <v>436</v>
      </c>
      <c r="E957" s="252" t="s">
        <v>29</v>
      </c>
      <c r="F957" s="252" t="s">
        <v>28</v>
      </c>
      <c r="G957" s="253" t="s">
        <v>27</v>
      </c>
      <c r="H957" s="867" t="s">
        <v>793</v>
      </c>
      <c r="I957" s="1392"/>
      <c r="J957" s="1392"/>
      <c r="K957" s="1393"/>
      <c r="L957" s="868" t="s">
        <v>1002</v>
      </c>
      <c r="M957" s="339"/>
      <c r="N957" s="219"/>
      <c r="O957" s="229"/>
      <c r="P957" s="230"/>
      <c r="Q957" s="229"/>
      <c r="R957" s="229"/>
      <c r="S957" s="229"/>
      <c r="T957" s="229"/>
      <c r="U957" s="254"/>
      <c r="V957" s="255"/>
      <c r="W957" s="229"/>
      <c r="X957" s="254"/>
      <c r="Y957" s="230"/>
      <c r="Z957" s="230"/>
    </row>
    <row r="958" spans="2:26" ht="19">
      <c r="C958" s="218"/>
      <c r="D958" s="503">
        <v>45594</v>
      </c>
      <c r="E958" s="256">
        <v>108.7</v>
      </c>
      <c r="F958" s="256" t="s">
        <v>1091</v>
      </c>
      <c r="G958" s="256">
        <v>99.2</v>
      </c>
      <c r="H958" s="869">
        <v>0.58333333333333337</v>
      </c>
      <c r="I958" s="1392"/>
      <c r="J958" s="1392"/>
      <c r="K958" s="1393"/>
      <c r="L958" s="870">
        <v>0.375</v>
      </c>
      <c r="M958" s="475"/>
      <c r="N958" s="219"/>
      <c r="O958" s="229"/>
      <c r="P958" s="230"/>
      <c r="Q958" s="229"/>
      <c r="R958" s="229"/>
      <c r="S958" s="229"/>
      <c r="T958" s="229"/>
      <c r="U958" s="229"/>
      <c r="V958" s="229"/>
      <c r="W958" s="229"/>
      <c r="X958" s="229"/>
      <c r="Y958" s="230"/>
      <c r="Z958" s="230"/>
    </row>
    <row r="959" spans="2:26" ht="19">
      <c r="C959" s="218"/>
      <c r="D959" s="503">
        <v>45559</v>
      </c>
      <c r="E959" s="256">
        <v>98.7</v>
      </c>
      <c r="F959" s="256" t="s">
        <v>874</v>
      </c>
      <c r="G959" s="256">
        <v>105.6</v>
      </c>
      <c r="H959" s="869">
        <v>0.58333333333333337</v>
      </c>
      <c r="I959" s="1392"/>
      <c r="J959" s="1392"/>
      <c r="K959" s="1393"/>
      <c r="L959" s="870">
        <v>0.375</v>
      </c>
      <c r="M959" s="476"/>
      <c r="N959" s="219"/>
      <c r="O959" s="221" t="s">
        <v>813</v>
      </c>
      <c r="P959" s="222">
        <v>-0.05</v>
      </c>
      <c r="Q959" s="257">
        <v>2.833333333333333E-4</v>
      </c>
      <c r="R959" s="258">
        <v>2.0000000000000001E-4</v>
      </c>
      <c r="S959" s="225">
        <v>-1</v>
      </c>
      <c r="T959" s="231">
        <v>6.249999999999999E-4</v>
      </c>
      <c r="U959" s="259">
        <v>-11.339285714284991</v>
      </c>
      <c r="V959" s="260">
        <v>-30.25</v>
      </c>
      <c r="W959" s="225">
        <v>1.5</v>
      </c>
      <c r="X959" s="227">
        <v>17.008928571427486</v>
      </c>
      <c r="Y959" s="261"/>
      <c r="Z959" s="261" t="s">
        <v>1055</v>
      </c>
    </row>
    <row r="960" spans="2:26" ht="19">
      <c r="C960" s="218"/>
      <c r="D960" s="503">
        <v>45531</v>
      </c>
      <c r="E960" s="256">
        <v>103.3</v>
      </c>
      <c r="F960" s="256" t="s">
        <v>875</v>
      </c>
      <c r="G960" s="256">
        <v>101.9</v>
      </c>
      <c r="H960" s="869">
        <v>0.58333333333333337</v>
      </c>
      <c r="I960" s="1392"/>
      <c r="J960" s="1392"/>
      <c r="K960" s="1393"/>
      <c r="L960" s="870">
        <v>0.375</v>
      </c>
      <c r="M960" s="334"/>
      <c r="N960" s="219"/>
      <c r="O960" s="221"/>
      <c r="P960" s="222"/>
      <c r="Q960" s="257"/>
      <c r="R960" s="258"/>
      <c r="S960" s="225"/>
      <c r="T960" s="231"/>
      <c r="U960" s="259"/>
      <c r="V960" s="260"/>
      <c r="W960" s="225"/>
      <c r="X960" s="227"/>
      <c r="Y960" s="261"/>
      <c r="Z960" s="261"/>
    </row>
    <row r="961" spans="3:26" ht="19">
      <c r="C961" s="218"/>
      <c r="D961" s="503">
        <v>45503</v>
      </c>
      <c r="E961" s="256">
        <v>100.3</v>
      </c>
      <c r="F961" s="256" t="s">
        <v>876</v>
      </c>
      <c r="G961" s="256">
        <v>97.8</v>
      </c>
      <c r="H961" s="869">
        <v>0.58333333333333337</v>
      </c>
      <c r="I961" s="1392"/>
      <c r="J961" s="1392"/>
      <c r="K961" s="1393"/>
      <c r="L961" s="870">
        <v>0.375</v>
      </c>
      <c r="M961" s="334"/>
      <c r="N961" s="219"/>
      <c r="O961" s="221"/>
      <c r="P961" s="262"/>
      <c r="Q961" s="257"/>
      <c r="R961" s="258"/>
      <c r="S961" s="225"/>
      <c r="T961" s="262"/>
      <c r="U961" s="259"/>
      <c r="V961" s="260"/>
      <c r="W961" s="225"/>
      <c r="X961" s="227"/>
      <c r="Y961" s="261"/>
      <c r="Z961" s="261"/>
    </row>
    <row r="962" spans="3:26" ht="19">
      <c r="C962" s="218"/>
      <c r="D962" s="503">
        <v>45468</v>
      </c>
      <c r="E962" s="256">
        <v>100.4</v>
      </c>
      <c r="F962" s="256" t="s">
        <v>877</v>
      </c>
      <c r="G962" s="256">
        <v>101.3</v>
      </c>
      <c r="H962" s="869">
        <v>0.58333333333333337</v>
      </c>
      <c r="I962" s="1392"/>
      <c r="J962" s="1392"/>
      <c r="K962" s="1393"/>
      <c r="L962" s="870">
        <v>0.375</v>
      </c>
      <c r="M962" s="334"/>
      <c r="N962" s="219"/>
      <c r="O962" s="263"/>
      <c r="P962" s="263"/>
      <c r="Q962" s="263"/>
      <c r="R962" s="263"/>
      <c r="S962" s="263"/>
      <c r="T962" s="263"/>
      <c r="U962" s="263"/>
      <c r="V962" s="263"/>
      <c r="W962" s="263"/>
      <c r="X962" s="263"/>
      <c r="Y962" s="263"/>
      <c r="Z962" s="263"/>
    </row>
    <row r="963" spans="3:26" ht="20" thickBot="1">
      <c r="C963" s="218"/>
      <c r="D963" s="503">
        <v>45440</v>
      </c>
      <c r="E963" s="256">
        <v>102</v>
      </c>
      <c r="F963" s="256" t="s">
        <v>878</v>
      </c>
      <c r="G963" s="256">
        <v>97.5</v>
      </c>
      <c r="H963" s="869">
        <v>0.58333333333333337</v>
      </c>
      <c r="I963" s="1394"/>
      <c r="J963" s="1394"/>
      <c r="K963" s="1395"/>
      <c r="L963" s="871">
        <v>0.375</v>
      </c>
      <c r="M963" s="477"/>
      <c r="N963" s="219"/>
      <c r="O963" s="263"/>
      <c r="P963" s="263"/>
      <c r="Q963" s="263"/>
      <c r="R963" s="263"/>
      <c r="S963" s="263"/>
      <c r="T963" s="263"/>
      <c r="U963" s="263"/>
      <c r="V963" s="263"/>
      <c r="W963" s="263"/>
      <c r="X963" s="263"/>
      <c r="Y963" s="263"/>
      <c r="Z963" s="263"/>
    </row>
    <row r="964" spans="3:26" ht="20" thickBot="1">
      <c r="C964" s="218">
        <v>2</v>
      </c>
      <c r="D964" s="498" t="s">
        <v>30</v>
      </c>
      <c r="E964" s="1147" t="s">
        <v>1062</v>
      </c>
      <c r="F964" s="1148"/>
      <c r="G964" s="1149"/>
      <c r="H964" s="861" t="s">
        <v>790</v>
      </c>
      <c r="I964" s="1404" t="s">
        <v>633</v>
      </c>
      <c r="J964" s="1404"/>
      <c r="K964" s="1405"/>
      <c r="L964" s="862" t="s">
        <v>430</v>
      </c>
      <c r="M964" s="332" t="s">
        <v>431</v>
      </c>
      <c r="N964" s="219" t="s">
        <v>105</v>
      </c>
      <c r="O964" s="220" t="s">
        <v>800</v>
      </c>
      <c r="P964" s="220" t="s">
        <v>801</v>
      </c>
      <c r="Q964" s="220" t="s">
        <v>802</v>
      </c>
      <c r="R964" s="220" t="s">
        <v>803</v>
      </c>
      <c r="S964" s="220" t="s">
        <v>804</v>
      </c>
      <c r="T964" s="220" t="s">
        <v>805</v>
      </c>
      <c r="U964" s="220" t="s">
        <v>806</v>
      </c>
      <c r="V964" s="220" t="s">
        <v>807</v>
      </c>
      <c r="W964" s="220" t="s">
        <v>808</v>
      </c>
      <c r="X964" s="220" t="s">
        <v>809</v>
      </c>
      <c r="Y964" s="220" t="s">
        <v>75</v>
      </c>
      <c r="Z964" s="220" t="s">
        <v>75</v>
      </c>
    </row>
    <row r="965" spans="3:26" ht="19">
      <c r="C965" s="218"/>
      <c r="D965" s="504" t="s">
        <v>432</v>
      </c>
      <c r="E965" s="1150"/>
      <c r="F965" s="1151"/>
      <c r="G965" s="1152"/>
      <c r="H965" s="863" t="s">
        <v>906</v>
      </c>
      <c r="I965" s="1390" t="s">
        <v>1064</v>
      </c>
      <c r="J965" s="1390"/>
      <c r="K965" s="1391"/>
      <c r="L965" s="864"/>
      <c r="M965" s="474" t="s">
        <v>1062</v>
      </c>
      <c r="N965" s="219"/>
      <c r="O965" s="221" t="s">
        <v>810</v>
      </c>
      <c r="P965" s="222">
        <v>0.1</v>
      </c>
      <c r="Q965" s="223">
        <v>0.03</v>
      </c>
      <c r="R965" s="224">
        <v>1.4000000000010004E-2</v>
      </c>
      <c r="S965" s="225"/>
      <c r="T965" s="221">
        <v>5.9000000000010003E-2</v>
      </c>
      <c r="U965" s="223">
        <v>-14.72</v>
      </c>
      <c r="V965" s="222">
        <v>60.5</v>
      </c>
      <c r="W965" s="226">
        <v>2</v>
      </c>
      <c r="X965" s="227">
        <v>29.44</v>
      </c>
      <c r="Y965" s="225"/>
      <c r="Z965" s="225"/>
    </row>
    <row r="966" spans="3:26" ht="19">
      <c r="C966" s="218"/>
      <c r="D966" s="505" t="s">
        <v>433</v>
      </c>
      <c r="E966" s="1163"/>
      <c r="F966" s="1164"/>
      <c r="G966" s="1165"/>
      <c r="H966" s="863" t="s">
        <v>907</v>
      </c>
      <c r="I966" s="1392"/>
      <c r="J966" s="1392"/>
      <c r="K966" s="1393"/>
      <c r="L966" s="864"/>
      <c r="M966" s="334"/>
      <c r="N966" s="219"/>
      <c r="O966" s="219"/>
      <c r="P966" s="219"/>
      <c r="Q966" s="219"/>
      <c r="R966" s="228"/>
      <c r="S966" s="229"/>
      <c r="T966" s="219"/>
      <c r="U966" s="219"/>
      <c r="V966" s="219"/>
      <c r="W966" s="229"/>
      <c r="X966" s="229"/>
      <c r="Y966" s="230"/>
      <c r="Z966" s="230"/>
    </row>
    <row r="967" spans="3:26" ht="19">
      <c r="C967" s="218"/>
      <c r="D967" s="505" t="s">
        <v>434</v>
      </c>
      <c r="E967" s="1163" t="s">
        <v>1063</v>
      </c>
      <c r="F967" s="1164"/>
      <c r="G967" s="1165"/>
      <c r="H967" s="863"/>
      <c r="I967" s="1392"/>
      <c r="J967" s="1392"/>
      <c r="K967" s="1393"/>
      <c r="L967" s="864"/>
      <c r="M967" s="334"/>
      <c r="N967" s="219"/>
      <c r="O967" s="231" t="s">
        <v>811</v>
      </c>
      <c r="P967" s="232">
        <v>0.1</v>
      </c>
      <c r="Q967" s="233">
        <v>5.7000000000000002E-2</v>
      </c>
      <c r="R967" s="234">
        <v>1.7999999999999999E-2</v>
      </c>
      <c r="S967" s="235">
        <v>1</v>
      </c>
      <c r="T967" s="231">
        <v>0.10350000000000001</v>
      </c>
      <c r="U967" s="236">
        <v>-25.822372881351555</v>
      </c>
      <c r="V967" s="237">
        <v>60.5</v>
      </c>
      <c r="W967" s="238">
        <v>4.12</v>
      </c>
      <c r="X967" s="239">
        <v>106.3881762711684</v>
      </c>
      <c r="Y967" s="240"/>
      <c r="Z967" s="240"/>
    </row>
    <row r="968" spans="3:26" ht="20" thickBot="1">
      <c r="C968" s="218"/>
      <c r="D968" s="506" t="s">
        <v>435</v>
      </c>
      <c r="E968" s="1160">
        <v>0.625</v>
      </c>
      <c r="F968" s="1161"/>
      <c r="G968" s="1162"/>
      <c r="H968" s="865">
        <v>0.41666666666666663</v>
      </c>
      <c r="I968" s="1392"/>
      <c r="J968" s="1392"/>
      <c r="K968" s="1393"/>
      <c r="L968" s="866">
        <v>0.85416666666666663</v>
      </c>
      <c r="M968" s="337">
        <v>0.70833333333333326</v>
      </c>
      <c r="N968" s="219"/>
      <c r="O968" s="241" t="s">
        <v>812</v>
      </c>
      <c r="P968" s="242">
        <v>0.1</v>
      </c>
      <c r="Q968" s="243">
        <v>6.3266666666666665E-2</v>
      </c>
      <c r="R968" s="244">
        <v>1.7999999999999999E-2</v>
      </c>
      <c r="S968" s="245">
        <v>1</v>
      </c>
      <c r="T968" s="246">
        <v>0.1129</v>
      </c>
      <c r="U968" s="247">
        <v>-28.167593220334208</v>
      </c>
      <c r="V968" s="248">
        <v>60.5</v>
      </c>
      <c r="W968" s="249">
        <v>2.46</v>
      </c>
      <c r="X968" s="250">
        <v>69.292279322022154</v>
      </c>
      <c r="Y968" s="251"/>
      <c r="Z968" s="251"/>
    </row>
    <row r="969" spans="3:26" ht="20" thickBot="1">
      <c r="C969" s="218"/>
      <c r="D969" s="507" t="s">
        <v>436</v>
      </c>
      <c r="E969" s="264" t="s">
        <v>29</v>
      </c>
      <c r="F969" s="264" t="s">
        <v>28</v>
      </c>
      <c r="G969" s="265" t="s">
        <v>27</v>
      </c>
      <c r="H969" s="867" t="s">
        <v>793</v>
      </c>
      <c r="I969" s="1392"/>
      <c r="J969" s="1392"/>
      <c r="K969" s="1393"/>
      <c r="L969" s="868" t="s">
        <v>1002</v>
      </c>
      <c r="M969" s="339"/>
      <c r="N969" s="219"/>
      <c r="O969" s="229"/>
      <c r="P969" s="230"/>
      <c r="Q969" s="229"/>
      <c r="R969" s="229"/>
      <c r="S969" s="229"/>
      <c r="T969" s="229"/>
      <c r="U969" s="254"/>
      <c r="V969" s="255"/>
      <c r="W969" s="229"/>
      <c r="X969" s="254"/>
      <c r="Y969" s="230"/>
      <c r="Z969" s="230"/>
    </row>
    <row r="970" spans="3:26" ht="19">
      <c r="C970" s="218"/>
      <c r="D970" s="508">
        <v>45589</v>
      </c>
      <c r="E970" s="266" t="s">
        <v>1092</v>
      </c>
      <c r="F970" s="266" t="s">
        <v>1093</v>
      </c>
      <c r="G970" s="266" t="s">
        <v>1094</v>
      </c>
      <c r="H970" s="869">
        <v>0.58333333333333337</v>
      </c>
      <c r="I970" s="1392"/>
      <c r="J970" s="1392"/>
      <c r="K970" s="1393"/>
      <c r="L970" s="870">
        <v>0.375</v>
      </c>
      <c r="M970" s="475"/>
      <c r="N970" s="219"/>
      <c r="O970" s="229"/>
      <c r="P970" s="230"/>
      <c r="Q970" s="229"/>
      <c r="R970" s="229"/>
      <c r="S970" s="229"/>
      <c r="T970" s="229"/>
      <c r="U970" s="229"/>
      <c r="V970" s="229"/>
      <c r="W970" s="229"/>
      <c r="X970" s="229"/>
      <c r="Y970" s="230"/>
      <c r="Z970" s="230"/>
    </row>
    <row r="971" spans="3:26" ht="19">
      <c r="C971" s="218"/>
      <c r="D971" s="508">
        <v>45560</v>
      </c>
      <c r="E971" s="266" t="s">
        <v>1095</v>
      </c>
      <c r="F971" s="266" t="s">
        <v>1096</v>
      </c>
      <c r="G971" s="266" t="s">
        <v>1097</v>
      </c>
      <c r="H971" s="869">
        <v>0.58333333333333337</v>
      </c>
      <c r="I971" s="1392"/>
      <c r="J971" s="1392"/>
      <c r="K971" s="1393"/>
      <c r="L971" s="870">
        <v>0.375</v>
      </c>
      <c r="M971" s="476"/>
      <c r="N971" s="219"/>
      <c r="O971" s="221" t="s">
        <v>813</v>
      </c>
      <c r="P971" s="222">
        <v>0.1</v>
      </c>
      <c r="Q971" s="257">
        <v>6.013333333333333E-2</v>
      </c>
      <c r="R971" s="258">
        <v>1.7999999999999999E-2</v>
      </c>
      <c r="S971" s="225">
        <v>1</v>
      </c>
      <c r="T971" s="231">
        <v>0.1082</v>
      </c>
      <c r="U971" s="259">
        <v>-26.994983050842883</v>
      </c>
      <c r="V971" s="260">
        <v>60.5</v>
      </c>
      <c r="W971" s="225">
        <v>2</v>
      </c>
      <c r="X971" s="227">
        <v>53.989966101685766</v>
      </c>
      <c r="Y971" s="261"/>
      <c r="Z971" s="261"/>
    </row>
    <row r="972" spans="3:26" ht="19">
      <c r="C972" s="218"/>
      <c r="D972" s="508">
        <v>45527</v>
      </c>
      <c r="E972" s="266" t="s">
        <v>1098</v>
      </c>
      <c r="F972" s="266" t="s">
        <v>1099</v>
      </c>
      <c r="G972" s="266" t="s">
        <v>1100</v>
      </c>
      <c r="H972" s="869">
        <v>0.58333333333333337</v>
      </c>
      <c r="I972" s="1392"/>
      <c r="J972" s="1392"/>
      <c r="K972" s="1393"/>
      <c r="L972" s="870">
        <v>0.375</v>
      </c>
      <c r="M972" s="334"/>
      <c r="N972" s="219"/>
      <c r="O972" s="221" t="s">
        <v>813</v>
      </c>
      <c r="P972" s="222">
        <v>0.1</v>
      </c>
      <c r="Q972" s="257">
        <v>6.013333333333333E-2</v>
      </c>
      <c r="R972" s="258">
        <v>1.7999999999999999E-2</v>
      </c>
      <c r="S972" s="225">
        <v>1</v>
      </c>
      <c r="T972" s="231">
        <v>0.1082</v>
      </c>
      <c r="U972" s="259">
        <v>-26.994983050842883</v>
      </c>
      <c r="V972" s="260">
        <v>60.5</v>
      </c>
      <c r="W972" s="225">
        <v>2</v>
      </c>
      <c r="X972" s="227">
        <v>53.989966101685766</v>
      </c>
      <c r="Y972" s="261"/>
      <c r="Z972" s="261"/>
    </row>
    <row r="973" spans="3:26" ht="19">
      <c r="C973" s="218"/>
      <c r="D973" s="508">
        <v>45497</v>
      </c>
      <c r="E973" s="266" t="s">
        <v>1101</v>
      </c>
      <c r="F973" s="266" t="s">
        <v>1102</v>
      </c>
      <c r="G973" s="266" t="s">
        <v>1103</v>
      </c>
      <c r="H973" s="869">
        <v>0.58333333333333337</v>
      </c>
      <c r="I973" s="1392"/>
      <c r="J973" s="1392"/>
      <c r="K973" s="1393"/>
      <c r="L973" s="870">
        <v>0.375</v>
      </c>
      <c r="M973" s="334"/>
      <c r="N973" s="219"/>
      <c r="O973" s="221"/>
      <c r="P973" s="262"/>
      <c r="Q973" s="257"/>
      <c r="R973" s="258"/>
      <c r="S973" s="225"/>
      <c r="T973" s="262"/>
      <c r="U973" s="259"/>
      <c r="V973" s="260"/>
      <c r="W973" s="225"/>
      <c r="X973" s="227"/>
      <c r="Y973" s="261"/>
      <c r="Z973" s="261"/>
    </row>
    <row r="974" spans="3:26" ht="19">
      <c r="C974" s="218"/>
      <c r="D974" s="508">
        <v>45469</v>
      </c>
      <c r="E974" s="266" t="s">
        <v>1104</v>
      </c>
      <c r="F974" s="266" t="s">
        <v>1105</v>
      </c>
      <c r="G974" s="266" t="s">
        <v>1106</v>
      </c>
      <c r="H974" s="869">
        <v>0.58333333333333337</v>
      </c>
      <c r="I974" s="1392"/>
      <c r="J974" s="1392"/>
      <c r="K974" s="1393"/>
      <c r="L974" s="870">
        <v>0.375</v>
      </c>
      <c r="M974" s="334"/>
      <c r="N974" s="219"/>
      <c r="O974" s="263"/>
      <c r="P974" s="263"/>
      <c r="Q974" s="263"/>
      <c r="R974" s="263"/>
      <c r="S974" s="263"/>
      <c r="T974" s="263"/>
      <c r="U974" s="263"/>
      <c r="V974" s="263"/>
      <c r="W974" s="263"/>
      <c r="X974" s="263"/>
      <c r="Y974" s="263"/>
      <c r="Z974" s="263"/>
    </row>
    <row r="975" spans="3:26" ht="20" thickBot="1">
      <c r="C975" s="218"/>
      <c r="D975" s="508">
        <v>45435</v>
      </c>
      <c r="E975" s="266" t="s">
        <v>1107</v>
      </c>
      <c r="F975" s="266" t="s">
        <v>1108</v>
      </c>
      <c r="G975" s="266" t="s">
        <v>1109</v>
      </c>
      <c r="H975" s="869">
        <v>0.58333333333333337</v>
      </c>
      <c r="I975" s="1394"/>
      <c r="J975" s="1394"/>
      <c r="K975" s="1395"/>
      <c r="L975" s="871">
        <v>0.375</v>
      </c>
      <c r="M975" s="477"/>
      <c r="N975" s="219"/>
      <c r="O975" s="263"/>
      <c r="P975" s="267"/>
      <c r="Q975" s="263"/>
      <c r="R975" s="263"/>
      <c r="S975" s="263"/>
      <c r="T975" s="263"/>
      <c r="U975" s="263"/>
      <c r="V975" s="263"/>
      <c r="W975" s="263"/>
      <c r="X975" s="263"/>
      <c r="Y975" s="263"/>
      <c r="Z975" s="263"/>
    </row>
    <row r="976" spans="3:26" ht="20" thickBot="1">
      <c r="C976" s="218">
        <v>3</v>
      </c>
      <c r="D976" s="509" t="s">
        <v>30</v>
      </c>
      <c r="E976" s="1374" t="s">
        <v>7</v>
      </c>
      <c r="F976" s="1375"/>
      <c r="G976" s="1376"/>
      <c r="H976" s="872" t="s">
        <v>790</v>
      </c>
      <c r="I976" s="1396" t="s">
        <v>633</v>
      </c>
      <c r="J976" s="1396"/>
      <c r="K976" s="1397"/>
      <c r="L976" s="873" t="s">
        <v>430</v>
      </c>
      <c r="M976" s="478" t="s">
        <v>431</v>
      </c>
      <c r="N976" s="219" t="s">
        <v>105</v>
      </c>
      <c r="O976" s="220" t="s">
        <v>800</v>
      </c>
      <c r="P976" s="220" t="s">
        <v>801</v>
      </c>
      <c r="Q976" s="220" t="s">
        <v>802</v>
      </c>
      <c r="R976" s="220" t="s">
        <v>803</v>
      </c>
      <c r="S976" s="220" t="s">
        <v>804</v>
      </c>
      <c r="T976" s="220" t="s">
        <v>805</v>
      </c>
      <c r="U976" s="220" t="s">
        <v>806</v>
      </c>
      <c r="V976" s="220" t="s">
        <v>807</v>
      </c>
      <c r="W976" s="220" t="s">
        <v>808</v>
      </c>
      <c r="X976" s="220" t="s">
        <v>809</v>
      </c>
      <c r="Y976" s="220" t="s">
        <v>75</v>
      </c>
      <c r="Z976" s="220" t="s">
        <v>75</v>
      </c>
    </row>
    <row r="977" spans="3:26" ht="19">
      <c r="C977" s="218"/>
      <c r="D977" s="504" t="s">
        <v>432</v>
      </c>
      <c r="E977" s="1150"/>
      <c r="F977" s="1151"/>
      <c r="G977" s="1152"/>
      <c r="H977" s="863" t="s">
        <v>794</v>
      </c>
      <c r="I977" s="1390" t="s">
        <v>1065</v>
      </c>
      <c r="J977" s="1390"/>
      <c r="K977" s="1391"/>
      <c r="L977" s="864"/>
      <c r="M977" s="474" t="s">
        <v>7</v>
      </c>
      <c r="N977" s="219"/>
      <c r="O977" s="221" t="s">
        <v>810</v>
      </c>
      <c r="P977" s="222">
        <v>0.1</v>
      </c>
      <c r="Q977" s="223">
        <v>0.03</v>
      </c>
      <c r="R977" s="224">
        <v>1.4000000000010004E-2</v>
      </c>
      <c r="S977" s="225"/>
      <c r="T977" s="221">
        <v>5.9000000000010003E-2</v>
      </c>
      <c r="U977" s="223">
        <v>-14.72</v>
      </c>
      <c r="V977" s="222">
        <v>60.5</v>
      </c>
      <c r="W977" s="226">
        <v>2</v>
      </c>
      <c r="X977" s="227">
        <v>29.44</v>
      </c>
      <c r="Y977" s="225"/>
      <c r="Z977" s="225"/>
    </row>
    <row r="978" spans="3:26" ht="19">
      <c r="C978" s="218"/>
      <c r="D978" s="505" t="s">
        <v>433</v>
      </c>
      <c r="E978" s="1163"/>
      <c r="F978" s="1164"/>
      <c r="G978" s="1165"/>
      <c r="H978" s="863" t="s">
        <v>795</v>
      </c>
      <c r="I978" s="1392"/>
      <c r="J978" s="1392"/>
      <c r="K978" s="1393"/>
      <c r="L978" s="864"/>
      <c r="M978" s="334"/>
      <c r="N978" s="219"/>
      <c r="O978" s="219"/>
      <c r="P978" s="219"/>
      <c r="Q978" s="219"/>
      <c r="R978" s="228"/>
      <c r="S978" s="229"/>
      <c r="T978" s="219"/>
      <c r="U978" s="219"/>
      <c r="V978" s="219"/>
      <c r="W978" s="229"/>
      <c r="X978" s="229"/>
      <c r="Y978" s="230"/>
      <c r="Z978" s="230"/>
    </row>
    <row r="979" spans="3:26" ht="19">
      <c r="C979" s="218"/>
      <c r="D979" s="505" t="s">
        <v>434</v>
      </c>
      <c r="E979" s="1178"/>
      <c r="F979" s="1179"/>
      <c r="G979" s="1180"/>
      <c r="H979" s="863"/>
      <c r="I979" s="1392"/>
      <c r="J979" s="1392"/>
      <c r="K979" s="1393"/>
      <c r="L979" s="864"/>
      <c r="M979" s="334"/>
      <c r="N979" s="219"/>
      <c r="O979" s="231" t="s">
        <v>811</v>
      </c>
      <c r="P979" s="232">
        <v>0.1</v>
      </c>
      <c r="Q979" s="233">
        <v>2.7400000000000001E-2</v>
      </c>
      <c r="R979" s="234">
        <v>1.7000000000000001E-2</v>
      </c>
      <c r="S979" s="235">
        <v>1</v>
      </c>
      <c r="T979" s="231">
        <v>5.8099999999999999E-2</v>
      </c>
      <c r="U979" s="236">
        <v>-14.495457627116187</v>
      </c>
      <c r="V979" s="237">
        <v>60.5</v>
      </c>
      <c r="W979" s="238">
        <v>2.95</v>
      </c>
      <c r="X979" s="239">
        <v>42.761599999992754</v>
      </c>
      <c r="Y979" s="240"/>
      <c r="Z979" s="240"/>
    </row>
    <row r="980" spans="3:26" ht="20" thickBot="1">
      <c r="C980" s="218"/>
      <c r="D980" s="506" t="s">
        <v>435</v>
      </c>
      <c r="E980" s="1160">
        <v>0.79166666666666663</v>
      </c>
      <c r="F980" s="1161"/>
      <c r="G980" s="1162"/>
      <c r="H980" s="865">
        <v>0.58333333333333326</v>
      </c>
      <c r="I980" s="1392"/>
      <c r="J980" s="1392"/>
      <c r="K980" s="1393"/>
      <c r="L980" s="866">
        <v>2.0833333333333332E-2</v>
      </c>
      <c r="M980" s="337">
        <v>0.875</v>
      </c>
      <c r="N980" s="219"/>
      <c r="O980" s="241" t="s">
        <v>812</v>
      </c>
      <c r="P980" s="242">
        <v>0.1</v>
      </c>
      <c r="Q980" s="243">
        <v>2.9466666666666665E-2</v>
      </c>
      <c r="R980" s="244">
        <v>1.7000000000000001E-2</v>
      </c>
      <c r="S980" s="245">
        <v>1</v>
      </c>
      <c r="T980" s="246">
        <v>6.1199999999999997E-2</v>
      </c>
      <c r="U980" s="247">
        <v>-15.268881355929613</v>
      </c>
      <c r="V980" s="248">
        <v>60.5</v>
      </c>
      <c r="W980" s="249">
        <v>3.35</v>
      </c>
      <c r="X980" s="250">
        <v>51.150752542364209</v>
      </c>
      <c r="Y980" s="251"/>
      <c r="Z980" s="251"/>
    </row>
    <row r="981" spans="3:26" ht="20" thickBot="1">
      <c r="C981" s="218"/>
      <c r="D981" s="507" t="s">
        <v>436</v>
      </c>
      <c r="E981" s="264" t="s">
        <v>29</v>
      </c>
      <c r="F981" s="264" t="s">
        <v>28</v>
      </c>
      <c r="G981" s="265" t="s">
        <v>27</v>
      </c>
      <c r="H981" s="867" t="s">
        <v>793</v>
      </c>
      <c r="I981" s="1392"/>
      <c r="J981" s="1392"/>
      <c r="K981" s="1393"/>
      <c r="L981" s="868" t="s">
        <v>1002</v>
      </c>
      <c r="M981" s="339"/>
      <c r="N981" s="219"/>
      <c r="O981" s="229"/>
      <c r="P981" s="230"/>
      <c r="Q981" s="229"/>
      <c r="R981" s="229"/>
      <c r="S981" s="229"/>
      <c r="T981" s="229"/>
      <c r="U981" s="254"/>
      <c r="V981" s="255"/>
      <c r="W981" s="229"/>
      <c r="X981" s="254"/>
      <c r="Y981" s="230"/>
      <c r="Z981" s="230"/>
    </row>
    <row r="982" spans="3:26" ht="19">
      <c r="C982" s="218"/>
      <c r="D982" s="508">
        <v>45574</v>
      </c>
      <c r="E982" s="266"/>
      <c r="F982" s="266"/>
      <c r="G982" s="266"/>
      <c r="H982" s="869">
        <v>0.75</v>
      </c>
      <c r="I982" s="1392"/>
      <c r="J982" s="1392"/>
      <c r="K982" s="1393"/>
      <c r="L982" s="870">
        <v>0.54166666666666663</v>
      </c>
      <c r="M982" s="475"/>
      <c r="N982" s="219"/>
      <c r="O982" s="229"/>
      <c r="P982" s="230"/>
      <c r="Q982" s="229"/>
      <c r="R982" s="229"/>
      <c r="S982" s="229"/>
      <c r="T982" s="229"/>
      <c r="U982" s="229"/>
      <c r="V982" s="229"/>
      <c r="W982" s="229"/>
      <c r="X982" s="229"/>
      <c r="Y982" s="230"/>
      <c r="Z982" s="230"/>
    </row>
    <row r="983" spans="3:26" ht="19">
      <c r="C983" s="218"/>
      <c r="D983" s="508">
        <v>45525</v>
      </c>
      <c r="E983" s="266"/>
      <c r="F983" s="266"/>
      <c r="G983" s="266"/>
      <c r="H983" s="869">
        <v>0.75</v>
      </c>
      <c r="I983" s="1392"/>
      <c r="J983" s="1392"/>
      <c r="K983" s="1393"/>
      <c r="L983" s="870">
        <v>0.54166666666666663</v>
      </c>
      <c r="M983" s="476"/>
      <c r="N983" s="219"/>
      <c r="O983" s="221" t="s">
        <v>813</v>
      </c>
      <c r="P983" s="222">
        <v>0.2</v>
      </c>
      <c r="Q983" s="257">
        <v>2.8433333333333331E-2</v>
      </c>
      <c r="R983" s="258">
        <v>1.7000000000000001E-2</v>
      </c>
      <c r="S983" s="225">
        <v>1</v>
      </c>
      <c r="T983" s="231">
        <v>5.9649999999999995E-2</v>
      </c>
      <c r="U983" s="259">
        <v>-29.7643389830458</v>
      </c>
      <c r="V983" s="260">
        <v>121</v>
      </c>
      <c r="W983" s="225">
        <v>2</v>
      </c>
      <c r="X983" s="227">
        <v>59.5286779660916</v>
      </c>
      <c r="Y983" s="261"/>
      <c r="Z983" s="261"/>
    </row>
    <row r="984" spans="3:26" ht="19">
      <c r="C984" s="218"/>
      <c r="D984" s="508">
        <v>45476</v>
      </c>
      <c r="E984" s="266"/>
      <c r="F984" s="266"/>
      <c r="G984" s="266"/>
      <c r="H984" s="869">
        <v>0.75</v>
      </c>
      <c r="I984" s="1392"/>
      <c r="J984" s="1392"/>
      <c r="K984" s="1393"/>
      <c r="L984" s="870">
        <v>0.54166666666666663</v>
      </c>
      <c r="M984" s="334"/>
      <c r="N984" s="219"/>
      <c r="O984" s="221" t="s">
        <v>813</v>
      </c>
      <c r="P984" s="222">
        <v>0.2</v>
      </c>
      <c r="Q984" s="257">
        <v>2.8433333333333331E-2</v>
      </c>
      <c r="R984" s="258">
        <v>1.7000000000000001E-2</v>
      </c>
      <c r="S984" s="225">
        <v>1</v>
      </c>
      <c r="T984" s="231">
        <v>5.9649999999999995E-2</v>
      </c>
      <c r="U984" s="259">
        <v>-29.7643389830458</v>
      </c>
      <c r="V984" s="260">
        <v>121</v>
      </c>
      <c r="W984" s="225">
        <v>2</v>
      </c>
      <c r="X984" s="227">
        <v>59.5286779660916</v>
      </c>
      <c r="Y984" s="261"/>
      <c r="Z984" s="261"/>
    </row>
    <row r="985" spans="3:26" ht="19">
      <c r="C985" s="218"/>
      <c r="D985" s="508">
        <v>45434</v>
      </c>
      <c r="E985" s="266"/>
      <c r="F985" s="266"/>
      <c r="G985" s="266"/>
      <c r="H985" s="869">
        <v>0.75</v>
      </c>
      <c r="I985" s="1392"/>
      <c r="J985" s="1392"/>
      <c r="K985" s="1393"/>
      <c r="L985" s="870">
        <v>0.54166666666666663</v>
      </c>
      <c r="M985" s="334"/>
      <c r="N985" s="219"/>
      <c r="O985" s="221"/>
      <c r="P985" s="262"/>
      <c r="Q985" s="257"/>
      <c r="R985" s="258"/>
      <c r="S985" s="225"/>
      <c r="T985" s="262"/>
      <c r="U985" s="259"/>
      <c r="V985" s="260"/>
      <c r="W985" s="225"/>
      <c r="X985" s="227"/>
      <c r="Y985" s="261"/>
      <c r="Z985" s="261"/>
    </row>
    <row r="986" spans="3:26" ht="19">
      <c r="C986" s="218"/>
      <c r="D986" s="508">
        <v>45392</v>
      </c>
      <c r="E986" s="266"/>
      <c r="F986" s="266"/>
      <c r="G986" s="266"/>
      <c r="H986" s="869">
        <v>0.75</v>
      </c>
      <c r="I986" s="1392"/>
      <c r="J986" s="1392"/>
      <c r="K986" s="1393"/>
      <c r="L986" s="870">
        <v>0.54166666666666663</v>
      </c>
      <c r="M986" s="334"/>
      <c r="N986" s="219"/>
      <c r="O986" s="263"/>
      <c r="P986" s="263"/>
      <c r="Q986" s="263"/>
      <c r="R986" s="263"/>
      <c r="S986" s="263"/>
      <c r="T986" s="263"/>
      <c r="U986" s="263"/>
      <c r="V986" s="263"/>
      <c r="W986" s="263"/>
      <c r="X986" s="263"/>
      <c r="Y986" s="263"/>
      <c r="Z986" s="263"/>
    </row>
    <row r="987" spans="3:26" ht="20" thickBot="1">
      <c r="C987" s="218"/>
      <c r="D987" s="508">
        <v>45343</v>
      </c>
      <c r="E987" s="266"/>
      <c r="F987" s="266"/>
      <c r="G987" s="266"/>
      <c r="H987" s="869">
        <v>0.79166666666666663</v>
      </c>
      <c r="I987" s="1394"/>
      <c r="J987" s="1394"/>
      <c r="K987" s="1395"/>
      <c r="L987" s="870">
        <v>0.58333333333333337</v>
      </c>
      <c r="M987" s="477"/>
      <c r="N987" s="219"/>
      <c r="O987" s="263"/>
      <c r="P987" s="263"/>
      <c r="Q987" s="263"/>
      <c r="R987" s="263"/>
      <c r="S987" s="263"/>
      <c r="T987" s="263"/>
      <c r="U987" s="263"/>
      <c r="V987" s="263"/>
      <c r="W987" s="263"/>
      <c r="X987" s="263"/>
      <c r="Y987" s="263"/>
      <c r="Z987" s="263"/>
    </row>
    <row r="988" spans="3:26" ht="20" thickBot="1">
      <c r="C988" s="218">
        <v>4</v>
      </c>
      <c r="D988" s="498" t="s">
        <v>30</v>
      </c>
      <c r="E988" s="1147" t="s">
        <v>50</v>
      </c>
      <c r="F988" s="1148"/>
      <c r="G988" s="1149"/>
      <c r="H988" s="861" t="s">
        <v>790</v>
      </c>
      <c r="I988" s="1404" t="s">
        <v>633</v>
      </c>
      <c r="J988" s="1404"/>
      <c r="K988" s="1405"/>
      <c r="L988" s="862" t="s">
        <v>430</v>
      </c>
      <c r="M988" s="332" t="s">
        <v>431</v>
      </c>
      <c r="N988" s="219" t="s">
        <v>105</v>
      </c>
      <c r="O988" s="220" t="s">
        <v>800</v>
      </c>
      <c r="P988" s="220" t="s">
        <v>801</v>
      </c>
      <c r="Q988" s="220" t="s">
        <v>802</v>
      </c>
      <c r="R988" s="220" t="s">
        <v>803</v>
      </c>
      <c r="S988" s="220" t="s">
        <v>804</v>
      </c>
      <c r="T988" s="220" t="s">
        <v>805</v>
      </c>
      <c r="U988" s="220" t="s">
        <v>806</v>
      </c>
      <c r="V988" s="220" t="s">
        <v>807</v>
      </c>
      <c r="W988" s="220" t="s">
        <v>808</v>
      </c>
      <c r="X988" s="220" t="s">
        <v>809</v>
      </c>
      <c r="Y988" s="220" t="s">
        <v>75</v>
      </c>
      <c r="Z988" s="220" t="s">
        <v>75</v>
      </c>
    </row>
    <row r="989" spans="3:26" ht="19">
      <c r="C989" s="218"/>
      <c r="D989" s="504" t="s">
        <v>432</v>
      </c>
      <c r="E989" s="1181"/>
      <c r="F989" s="1182"/>
      <c r="G989" s="1183"/>
      <c r="H989" s="863" t="s">
        <v>1127</v>
      </c>
      <c r="I989" s="1390" t="s">
        <v>1066</v>
      </c>
      <c r="J989" s="1390"/>
      <c r="K989" s="1391"/>
      <c r="L989" s="864"/>
      <c r="M989" s="474" t="s">
        <v>50</v>
      </c>
      <c r="N989" s="219"/>
      <c r="O989" s="221" t="s">
        <v>810</v>
      </c>
      <c r="P989" s="222">
        <v>0.1</v>
      </c>
      <c r="Q989" s="223">
        <v>1.6E-2</v>
      </c>
      <c r="R989" s="224">
        <v>2.4000000000000909E-2</v>
      </c>
      <c r="S989" s="225"/>
      <c r="T989" s="221">
        <v>4.800000000000091E-2</v>
      </c>
      <c r="U989" s="223">
        <v>-10.88</v>
      </c>
      <c r="V989" s="222">
        <v>91.8</v>
      </c>
      <c r="W989" s="226">
        <v>2</v>
      </c>
      <c r="X989" s="227">
        <v>21.76</v>
      </c>
      <c r="Y989" s="225"/>
      <c r="Z989" s="225"/>
    </row>
    <row r="990" spans="3:26" ht="19">
      <c r="C990" s="218"/>
      <c r="D990" s="505" t="s">
        <v>433</v>
      </c>
      <c r="E990" s="1163"/>
      <c r="F990" s="1164"/>
      <c r="G990" s="1165"/>
      <c r="H990" s="863" t="s">
        <v>1128</v>
      </c>
      <c r="I990" s="1392"/>
      <c r="J990" s="1392"/>
      <c r="K990" s="1393"/>
      <c r="L990" s="864"/>
      <c r="M990" s="334"/>
      <c r="N990" s="219"/>
      <c r="O990" s="219"/>
      <c r="P990" s="219"/>
      <c r="Q990" s="219"/>
      <c r="R990" s="228"/>
      <c r="S990" s="229"/>
      <c r="T990" s="219"/>
      <c r="U990" s="219"/>
      <c r="V990" s="219"/>
      <c r="W990" s="229"/>
      <c r="X990" s="229"/>
      <c r="Y990" s="230"/>
      <c r="Z990" s="230"/>
    </row>
    <row r="991" spans="3:26" ht="19">
      <c r="C991" s="218"/>
      <c r="D991" s="505" t="s">
        <v>434</v>
      </c>
      <c r="E991" s="1163">
        <v>4.7500000000000001E-2</v>
      </c>
      <c r="F991" s="1164"/>
      <c r="G991" s="1165"/>
      <c r="H991" s="863"/>
      <c r="I991" s="1392"/>
      <c r="J991" s="1392"/>
      <c r="K991" s="1393"/>
      <c r="L991" s="864"/>
      <c r="M991" s="334"/>
      <c r="N991" s="219"/>
      <c r="O991" s="231" t="s">
        <v>811</v>
      </c>
      <c r="P991" s="232">
        <v>0.15</v>
      </c>
      <c r="Q991" s="233">
        <v>9.2399999999999996E-2</v>
      </c>
      <c r="R991" s="234">
        <v>2.1999999999999999E-2</v>
      </c>
      <c r="S991" s="235">
        <v>1</v>
      </c>
      <c r="T991" s="231">
        <v>0.16059999999999999</v>
      </c>
      <c r="U991" s="236">
        <v>-54.603999999998962</v>
      </c>
      <c r="V991" s="237">
        <v>90.749999999999986</v>
      </c>
      <c r="W991" s="238">
        <v>3.43</v>
      </c>
      <c r="X991" s="239">
        <v>187.29171999999645</v>
      </c>
      <c r="Y991" s="240"/>
      <c r="Z991" s="240">
        <v>4.4350000000000005</v>
      </c>
    </row>
    <row r="992" spans="3:26" ht="20" thickBot="1">
      <c r="C992" s="218"/>
      <c r="D992" s="506" t="s">
        <v>435</v>
      </c>
      <c r="E992" s="1160">
        <v>4.1666666666666657E-2</v>
      </c>
      <c r="F992" s="1161"/>
      <c r="G992" s="1162"/>
      <c r="H992" s="865">
        <v>0.83333333333333337</v>
      </c>
      <c r="I992" s="1392"/>
      <c r="J992" s="1392"/>
      <c r="K992" s="1393"/>
      <c r="L992" s="866">
        <v>0.27083333333333331</v>
      </c>
      <c r="M992" s="337">
        <v>0.12499999999999997</v>
      </c>
      <c r="N992" s="219"/>
      <c r="O992" s="241" t="s">
        <v>812</v>
      </c>
      <c r="P992" s="242">
        <v>0.15</v>
      </c>
      <c r="Q992" s="243">
        <v>0.10386666666666668</v>
      </c>
      <c r="R992" s="244">
        <v>2.1999999999999999E-2</v>
      </c>
      <c r="S992" s="245">
        <v>1</v>
      </c>
      <c r="T992" s="246">
        <v>0.17780000000000001</v>
      </c>
      <c r="U992" s="247">
        <v>-60.451999999998861</v>
      </c>
      <c r="V992" s="248">
        <v>90.749999999999986</v>
      </c>
      <c r="W992" s="249">
        <v>3.55</v>
      </c>
      <c r="X992" s="250">
        <v>214.60459999999594</v>
      </c>
      <c r="Y992" s="251"/>
      <c r="Z992" s="251"/>
    </row>
    <row r="993" spans="3:26" ht="20" thickBot="1">
      <c r="C993" s="218"/>
      <c r="D993" s="507" t="s">
        <v>436</v>
      </c>
      <c r="E993" s="264" t="s">
        <v>29</v>
      </c>
      <c r="F993" s="264" t="s">
        <v>28</v>
      </c>
      <c r="G993" s="265" t="s">
        <v>27</v>
      </c>
      <c r="H993" s="867" t="s">
        <v>793</v>
      </c>
      <c r="I993" s="1392"/>
      <c r="J993" s="1392"/>
      <c r="K993" s="1393"/>
      <c r="L993" s="868" t="s">
        <v>1002</v>
      </c>
      <c r="M993" s="339"/>
      <c r="N993" s="219"/>
      <c r="O993" s="229"/>
      <c r="P993" s="230"/>
      <c r="Q993" s="229"/>
      <c r="R993" s="229"/>
      <c r="S993" s="229"/>
      <c r="T993" s="229"/>
      <c r="U993" s="254"/>
      <c r="V993" s="255"/>
      <c r="W993" s="229"/>
      <c r="X993" s="254"/>
      <c r="Y993" s="230"/>
      <c r="Z993" s="230"/>
    </row>
    <row r="994" spans="3:26" ht="19">
      <c r="C994" s="218"/>
      <c r="D994" s="510">
        <v>45574</v>
      </c>
      <c r="E994" s="266">
        <v>4.7500000000000001E-2</v>
      </c>
      <c r="F994" s="266" t="s">
        <v>726</v>
      </c>
      <c r="G994" s="266">
        <v>5.2499999999999998E-2</v>
      </c>
      <c r="H994" s="869">
        <v>4.1666666666666657E-2</v>
      </c>
      <c r="I994" s="1392"/>
      <c r="J994" s="1392"/>
      <c r="K994" s="1393"/>
      <c r="L994" s="870">
        <v>0.83333333333333337</v>
      </c>
      <c r="M994" s="475"/>
      <c r="N994" s="219"/>
      <c r="O994" s="229"/>
      <c r="P994" s="230"/>
      <c r="Q994" s="229"/>
      <c r="R994" s="229"/>
      <c r="S994" s="229"/>
      <c r="T994" s="229"/>
      <c r="U994" s="229"/>
      <c r="V994" s="229"/>
      <c r="W994" s="229"/>
      <c r="X994" s="229"/>
      <c r="Y994" s="230"/>
      <c r="Z994" s="230"/>
    </row>
    <row r="995" spans="3:26" ht="19">
      <c r="C995" s="218"/>
      <c r="D995" s="510">
        <v>45518</v>
      </c>
      <c r="E995" s="266">
        <v>5.2499999999999998E-2</v>
      </c>
      <c r="F995" s="266" t="s">
        <v>942</v>
      </c>
      <c r="G995" s="266">
        <v>5.5E-2</v>
      </c>
      <c r="H995" s="869">
        <v>8.3333333333333329E-2</v>
      </c>
      <c r="I995" s="1392"/>
      <c r="J995" s="1392"/>
      <c r="K995" s="1393"/>
      <c r="L995" s="870">
        <v>0.875</v>
      </c>
      <c r="M995" s="476"/>
      <c r="N995" s="219"/>
      <c r="O995" s="221" t="s">
        <v>813</v>
      </c>
      <c r="P995" s="222">
        <v>0.15</v>
      </c>
      <c r="Q995" s="257">
        <v>9.8133333333333336E-2</v>
      </c>
      <c r="R995" s="258">
        <v>2.1999999999999999E-2</v>
      </c>
      <c r="S995" s="225">
        <v>1</v>
      </c>
      <c r="T995" s="231">
        <v>0.16919999999999999</v>
      </c>
      <c r="U995" s="259">
        <v>-57.527999999998897</v>
      </c>
      <c r="V995" s="260">
        <v>90.749999999999986</v>
      </c>
      <c r="W995" s="225">
        <v>2.5</v>
      </c>
      <c r="X995" s="227">
        <v>143.81999999999724</v>
      </c>
      <c r="Y995" s="261"/>
      <c r="Z995" s="261"/>
    </row>
    <row r="996" spans="3:26" ht="19">
      <c r="C996" s="218"/>
      <c r="D996" s="510">
        <v>45483</v>
      </c>
      <c r="E996" s="266">
        <v>5.5E-2</v>
      </c>
      <c r="F996" s="266" t="s">
        <v>942</v>
      </c>
      <c r="G996" s="266">
        <v>5.5E-2</v>
      </c>
      <c r="H996" s="869">
        <v>8.3333333333333329E-2</v>
      </c>
      <c r="I996" s="1392"/>
      <c r="J996" s="1392"/>
      <c r="K996" s="1393"/>
      <c r="L996" s="870">
        <v>0.875</v>
      </c>
      <c r="M996" s="334"/>
      <c r="N996" s="219"/>
      <c r="O996" s="221"/>
      <c r="P996" s="221"/>
      <c r="Q996" s="257"/>
      <c r="R996" s="258"/>
      <c r="S996" s="225"/>
      <c r="T996" s="222"/>
      <c r="U996" s="259"/>
      <c r="V996" s="260"/>
      <c r="W996" s="225"/>
      <c r="X996" s="227"/>
      <c r="Y996" s="261"/>
      <c r="Z996" s="261"/>
    </row>
    <row r="997" spans="3:26" ht="19">
      <c r="C997" s="218"/>
      <c r="D997" s="510">
        <v>45434</v>
      </c>
      <c r="E997" s="266">
        <v>5.5E-2</v>
      </c>
      <c r="F997" s="266" t="s">
        <v>942</v>
      </c>
      <c r="G997" s="266">
        <v>5.5E-2</v>
      </c>
      <c r="H997" s="869">
        <v>8.3333333333333329E-2</v>
      </c>
      <c r="I997" s="1392"/>
      <c r="J997" s="1392"/>
      <c r="K997" s="1393"/>
      <c r="L997" s="870">
        <v>0.875</v>
      </c>
      <c r="M997" s="334"/>
      <c r="N997" s="219"/>
      <c r="O997" s="221" t="s">
        <v>816</v>
      </c>
      <c r="P997" s="262"/>
      <c r="Q997" s="257"/>
      <c r="R997" s="258"/>
      <c r="S997" s="225"/>
      <c r="T997" s="262"/>
      <c r="U997" s="259">
        <v>0</v>
      </c>
      <c r="V997" s="260"/>
      <c r="W997" s="225"/>
      <c r="X997" s="227">
        <v>0</v>
      </c>
      <c r="Y997" s="261"/>
      <c r="Z997" s="261"/>
    </row>
    <row r="998" spans="3:26" ht="19">
      <c r="C998" s="218"/>
      <c r="D998" s="510">
        <v>45392</v>
      </c>
      <c r="E998" s="266">
        <v>5.5E-2</v>
      </c>
      <c r="F998" s="266" t="s">
        <v>942</v>
      </c>
      <c r="G998" s="266">
        <v>5.5E-2</v>
      </c>
      <c r="H998" s="869">
        <v>8.3333333333333329E-2</v>
      </c>
      <c r="I998" s="1392"/>
      <c r="J998" s="1392"/>
      <c r="K998" s="1393"/>
      <c r="L998" s="870">
        <v>0.875</v>
      </c>
      <c r="M998" s="334"/>
      <c r="N998" s="219"/>
      <c r="O998" s="263"/>
      <c r="P998" s="263"/>
      <c r="Q998" s="263"/>
      <c r="R998" s="263"/>
      <c r="S998" s="263"/>
      <c r="T998" s="263"/>
      <c r="U998" s="263"/>
      <c r="V998" s="263"/>
      <c r="W998" s="263"/>
      <c r="X998" s="263"/>
      <c r="Y998" s="263"/>
      <c r="Z998" s="263"/>
    </row>
    <row r="999" spans="3:26" ht="20" thickBot="1">
      <c r="C999" s="218"/>
      <c r="D999" s="510">
        <v>45350</v>
      </c>
      <c r="E999" s="266">
        <v>5.5E-2</v>
      </c>
      <c r="F999" s="266" t="s">
        <v>942</v>
      </c>
      <c r="G999" s="266">
        <v>5.5E-2</v>
      </c>
      <c r="H999" s="869">
        <v>4.1666666666666657E-2</v>
      </c>
      <c r="I999" s="1394"/>
      <c r="J999" s="1394"/>
      <c r="K999" s="1395"/>
      <c r="L999" s="870">
        <v>0.83333333333333337</v>
      </c>
      <c r="M999" s="477"/>
      <c r="N999" s="219"/>
      <c r="O999" s="263"/>
      <c r="P999" s="263"/>
      <c r="Q999" s="263"/>
      <c r="R999" s="263"/>
      <c r="S999" s="263"/>
      <c r="T999" s="263"/>
      <c r="U999" s="263"/>
      <c r="V999" s="263"/>
      <c r="W999" s="263"/>
      <c r="X999" s="263"/>
      <c r="Y999" s="263"/>
      <c r="Z999" s="263"/>
    </row>
    <row r="1000" spans="3:26" ht="20" thickBot="1">
      <c r="C1000" s="218">
        <v>5</v>
      </c>
      <c r="D1000" s="498" t="s">
        <v>30</v>
      </c>
      <c r="E1000" s="1147" t="s">
        <v>1067</v>
      </c>
      <c r="F1000" s="1148"/>
      <c r="G1000" s="1149"/>
      <c r="H1000" s="861" t="s">
        <v>790</v>
      </c>
      <c r="I1000" s="1404" t="s">
        <v>633</v>
      </c>
      <c r="J1000" s="1404"/>
      <c r="K1000" s="1405"/>
      <c r="L1000" s="862" t="s">
        <v>430</v>
      </c>
      <c r="M1000" s="332" t="s">
        <v>431</v>
      </c>
      <c r="N1000" s="219" t="s">
        <v>105</v>
      </c>
      <c r="O1000" s="220" t="s">
        <v>800</v>
      </c>
      <c r="P1000" s="220" t="s">
        <v>801</v>
      </c>
      <c r="Q1000" s="220" t="s">
        <v>802</v>
      </c>
      <c r="R1000" s="220" t="s">
        <v>803</v>
      </c>
      <c r="S1000" s="220" t="s">
        <v>804</v>
      </c>
      <c r="T1000" s="220" t="s">
        <v>805</v>
      </c>
      <c r="U1000" s="220" t="s">
        <v>806</v>
      </c>
      <c r="V1000" s="220" t="s">
        <v>807</v>
      </c>
      <c r="W1000" s="220" t="s">
        <v>808</v>
      </c>
      <c r="X1000" s="220" t="s">
        <v>809</v>
      </c>
      <c r="Y1000" s="220" t="s">
        <v>75</v>
      </c>
      <c r="Z1000" s="220" t="s">
        <v>75</v>
      </c>
    </row>
    <row r="1001" spans="3:26" ht="19">
      <c r="C1001" s="218"/>
      <c r="D1001" s="504" t="s">
        <v>432</v>
      </c>
      <c r="E1001" s="1181"/>
      <c r="F1001" s="1182"/>
      <c r="G1001" s="1183"/>
      <c r="H1001" s="863" t="s">
        <v>906</v>
      </c>
      <c r="I1001" s="1390" t="s">
        <v>1068</v>
      </c>
      <c r="J1001" s="1390"/>
      <c r="K1001" s="1391"/>
      <c r="L1001" s="864"/>
      <c r="M1001" s="474" t="s">
        <v>1067</v>
      </c>
      <c r="N1001" s="219"/>
      <c r="O1001" s="221" t="s">
        <v>810</v>
      </c>
      <c r="P1001" s="222">
        <v>0.1</v>
      </c>
      <c r="Q1001" s="223">
        <v>0.03</v>
      </c>
      <c r="R1001" s="224">
        <v>1.4000000000010004E-2</v>
      </c>
      <c r="S1001" s="225"/>
      <c r="T1001" s="221">
        <v>5.9000000000010003E-2</v>
      </c>
      <c r="U1001" s="223">
        <v>-14.72</v>
      </c>
      <c r="V1001" s="222">
        <v>60.5</v>
      </c>
      <c r="W1001" s="226">
        <v>2</v>
      </c>
      <c r="X1001" s="227">
        <v>29.44</v>
      </c>
      <c r="Y1001" s="225"/>
      <c r="Z1001" s="225"/>
    </row>
    <row r="1002" spans="3:26" ht="19">
      <c r="C1002" s="218"/>
      <c r="D1002" s="505" t="s">
        <v>433</v>
      </c>
      <c r="E1002" s="1178"/>
      <c r="F1002" s="1179"/>
      <c r="G1002" s="1180"/>
      <c r="H1002" s="874" t="s">
        <v>907</v>
      </c>
      <c r="I1002" s="1392"/>
      <c r="J1002" s="1392"/>
      <c r="K1002" s="1393"/>
      <c r="L1002" s="864"/>
      <c r="M1002" s="334"/>
      <c r="N1002" s="219"/>
      <c r="O1002" s="219"/>
      <c r="P1002" s="219"/>
      <c r="Q1002" s="219"/>
      <c r="R1002" s="228"/>
      <c r="S1002" s="229"/>
      <c r="T1002" s="219"/>
      <c r="U1002" s="219"/>
      <c r="V1002" s="219"/>
      <c r="W1002" s="229"/>
      <c r="X1002" s="229"/>
      <c r="Y1002" s="230"/>
      <c r="Z1002" s="230"/>
    </row>
    <row r="1003" spans="3:26" ht="19">
      <c r="C1003" s="218"/>
      <c r="D1003" s="505" t="s">
        <v>434</v>
      </c>
      <c r="E1003" s="1178">
        <v>-6.9999999999999993E-3</v>
      </c>
      <c r="F1003" s="1179"/>
      <c r="G1003" s="1180"/>
      <c r="H1003" s="863"/>
      <c r="I1003" s="1392"/>
      <c r="J1003" s="1392"/>
      <c r="K1003" s="1393"/>
      <c r="L1003" s="864"/>
      <c r="M1003" s="334"/>
      <c r="N1003" s="219"/>
      <c r="O1003" s="231" t="s">
        <v>811</v>
      </c>
      <c r="P1003" s="232">
        <v>0.15</v>
      </c>
      <c r="Q1003" s="233">
        <v>20.9971</v>
      </c>
      <c r="R1003" s="234">
        <v>3</v>
      </c>
      <c r="S1003" s="235">
        <v>1</v>
      </c>
      <c r="T1003" s="231">
        <v>34.495649999999998</v>
      </c>
      <c r="U1003" s="236">
        <v>-12909.558508472384</v>
      </c>
      <c r="V1003" s="237">
        <v>90.749999999999986</v>
      </c>
      <c r="W1003" s="238">
        <v>8.0299999999999994</v>
      </c>
      <c r="X1003" s="239">
        <v>103663.75482303323</v>
      </c>
      <c r="Y1003" s="240"/>
      <c r="Z1003" s="240"/>
    </row>
    <row r="1004" spans="3:26" ht="20" thickBot="1">
      <c r="C1004" s="218"/>
      <c r="D1004" s="506" t="s">
        <v>435</v>
      </c>
      <c r="E1004" s="1160">
        <v>0.6875</v>
      </c>
      <c r="F1004" s="1161"/>
      <c r="G1004" s="1162"/>
      <c r="H1004" s="865">
        <v>0.35416666666666669</v>
      </c>
      <c r="I1004" s="1392"/>
      <c r="J1004" s="1392"/>
      <c r="K1004" s="1393"/>
      <c r="L1004" s="866">
        <v>0.79166666666666663</v>
      </c>
      <c r="M1004" s="337">
        <v>0.6875</v>
      </c>
      <c r="N1004" s="219"/>
      <c r="O1004" s="241" t="s">
        <v>812</v>
      </c>
      <c r="P1004" s="242">
        <v>0.25</v>
      </c>
      <c r="Q1004" s="243">
        <v>13.426666666666668</v>
      </c>
      <c r="R1004" s="244">
        <v>3</v>
      </c>
      <c r="S1004" s="245">
        <v>1</v>
      </c>
      <c r="T1004" s="246">
        <v>23.14</v>
      </c>
      <c r="U1004" s="247">
        <v>-14433.084745760265</v>
      </c>
      <c r="V1004" s="248">
        <v>151.25</v>
      </c>
      <c r="W1004" s="249">
        <v>4.75</v>
      </c>
      <c r="X1004" s="250">
        <v>68557.152542361262</v>
      </c>
      <c r="Y1004" s="251"/>
      <c r="Z1004" s="251"/>
    </row>
    <row r="1005" spans="3:26" ht="20" thickBot="1">
      <c r="C1005" s="218"/>
      <c r="D1005" s="507" t="s">
        <v>436</v>
      </c>
      <c r="E1005" s="264" t="s">
        <v>29</v>
      </c>
      <c r="F1005" s="264" t="s">
        <v>28</v>
      </c>
      <c r="G1005" s="265" t="s">
        <v>27</v>
      </c>
      <c r="H1005" s="867" t="s">
        <v>793</v>
      </c>
      <c r="I1005" s="1392"/>
      <c r="J1005" s="1392"/>
      <c r="K1005" s="1393"/>
      <c r="L1005" s="868" t="s">
        <v>1002</v>
      </c>
      <c r="M1005" s="339"/>
      <c r="N1005" s="219"/>
      <c r="O1005" s="229"/>
      <c r="P1005" s="230"/>
      <c r="Q1005" s="229"/>
      <c r="R1005" s="229"/>
      <c r="S1005" s="229"/>
      <c r="T1005" s="229"/>
      <c r="U1005" s="254"/>
      <c r="V1005" s="255"/>
      <c r="W1005" s="229"/>
      <c r="X1005" s="254"/>
      <c r="Y1005" s="230"/>
      <c r="Z1005" s="230"/>
    </row>
    <row r="1006" spans="3:26" ht="19">
      <c r="C1006" s="218"/>
      <c r="D1006" s="508">
        <v>45590</v>
      </c>
      <c r="E1006" s="266">
        <v>-8.0000000000000002E-3</v>
      </c>
      <c r="F1006" s="266" t="s">
        <v>1110</v>
      </c>
      <c r="G1006" s="266">
        <v>-8.0000000000000002E-3</v>
      </c>
      <c r="H1006" s="869">
        <v>0.64583333333333337</v>
      </c>
      <c r="I1006" s="1392"/>
      <c r="J1006" s="1392"/>
      <c r="K1006" s="1393"/>
      <c r="L1006" s="870">
        <v>0.3125</v>
      </c>
      <c r="M1006" s="475"/>
      <c r="N1006" s="219"/>
      <c r="O1006" s="229"/>
      <c r="P1006" s="230"/>
      <c r="Q1006" s="229"/>
      <c r="R1006" s="229"/>
      <c r="S1006" s="229"/>
      <c r="T1006" s="229"/>
      <c r="U1006" s="229"/>
      <c r="V1006" s="229"/>
      <c r="W1006" s="229"/>
      <c r="X1006" s="229"/>
      <c r="Y1006" s="230"/>
      <c r="Z1006" s="230"/>
    </row>
    <row r="1007" spans="3:26" ht="19">
      <c r="C1007" s="218"/>
      <c r="D1007" s="508">
        <v>45561</v>
      </c>
      <c r="E1007" s="266">
        <v>0</v>
      </c>
      <c r="F1007" s="266" t="s">
        <v>778</v>
      </c>
      <c r="G1007" s="266">
        <v>9.9000000000000005E-2</v>
      </c>
      <c r="H1007" s="869">
        <v>0.64583333333333337</v>
      </c>
      <c r="I1007" s="1392"/>
      <c r="J1007" s="1392"/>
      <c r="K1007" s="1393"/>
      <c r="L1007" s="870">
        <v>0.3125</v>
      </c>
      <c r="M1007" s="476"/>
      <c r="N1007" s="219"/>
      <c r="O1007" s="221" t="s">
        <v>813</v>
      </c>
      <c r="P1007" s="222">
        <v>0.1</v>
      </c>
      <c r="Q1007" s="257">
        <v>17.211883333333333</v>
      </c>
      <c r="R1007" s="258">
        <v>3</v>
      </c>
      <c r="S1007" s="225">
        <v>1.5</v>
      </c>
      <c r="T1007" s="231">
        <v>28.817824999999999</v>
      </c>
      <c r="U1007" s="259">
        <v>-10784.704677964273</v>
      </c>
      <c r="V1007" s="260">
        <v>60.5</v>
      </c>
      <c r="W1007" s="225">
        <v>2</v>
      </c>
      <c r="X1007" s="227">
        <v>21569.409355928547</v>
      </c>
      <c r="Y1007" s="261"/>
      <c r="Z1007" s="261"/>
    </row>
    <row r="1008" spans="3:26" ht="19">
      <c r="C1008" s="218"/>
      <c r="D1008" s="508">
        <v>45530</v>
      </c>
      <c r="E1008" s="266">
        <v>9.9000000000000005E-2</v>
      </c>
      <c r="F1008" s="266" t="s">
        <v>630</v>
      </c>
      <c r="G1008" s="266">
        <v>-6.9000000000000006E-2</v>
      </c>
      <c r="H1008" s="869">
        <v>0.64583333333333337</v>
      </c>
      <c r="I1008" s="1392"/>
      <c r="J1008" s="1392"/>
      <c r="K1008" s="1393"/>
      <c r="L1008" s="870">
        <v>0.3125</v>
      </c>
      <c r="M1008" s="334"/>
      <c r="N1008" s="219"/>
      <c r="O1008" s="221" t="s">
        <v>813</v>
      </c>
      <c r="P1008" s="222">
        <v>0.1</v>
      </c>
      <c r="Q1008" s="257">
        <v>17.211883333333333</v>
      </c>
      <c r="R1008" s="258">
        <v>3</v>
      </c>
      <c r="S1008" s="225">
        <v>1.5</v>
      </c>
      <c r="T1008" s="231">
        <v>28.817824999999999</v>
      </c>
      <c r="U1008" s="259">
        <v>-10784.704677964273</v>
      </c>
      <c r="V1008" s="260">
        <v>60.5</v>
      </c>
      <c r="W1008" s="225">
        <v>2</v>
      </c>
      <c r="X1008" s="227">
        <v>21569.409355928547</v>
      </c>
      <c r="Y1008" s="261"/>
      <c r="Z1008" s="261"/>
    </row>
    <row r="1009" spans="3:26" ht="19">
      <c r="C1009" s="218"/>
      <c r="D1009" s="508">
        <v>45498</v>
      </c>
      <c r="E1009" s="266">
        <v>-6.6000000000000003E-2</v>
      </c>
      <c r="F1009" s="266" t="s">
        <v>467</v>
      </c>
      <c r="G1009" s="266">
        <v>1E-3</v>
      </c>
      <c r="H1009" s="869">
        <v>0.64583333333333337</v>
      </c>
      <c r="I1009" s="1392"/>
      <c r="J1009" s="1392"/>
      <c r="K1009" s="1393"/>
      <c r="L1009" s="870">
        <v>0.3125</v>
      </c>
      <c r="M1009" s="334"/>
      <c r="N1009" s="219"/>
      <c r="O1009" s="221"/>
      <c r="P1009" s="262"/>
      <c r="Q1009" s="257"/>
      <c r="R1009" s="258"/>
      <c r="S1009" s="225"/>
      <c r="T1009" s="262"/>
      <c r="U1009" s="259"/>
      <c r="V1009" s="260"/>
      <c r="W1009" s="225"/>
      <c r="X1009" s="227"/>
      <c r="Y1009" s="261"/>
      <c r="Z1009" s="261"/>
    </row>
    <row r="1010" spans="3:26" ht="19">
      <c r="C1010" s="218"/>
      <c r="D1010" s="508">
        <v>45470</v>
      </c>
      <c r="E1010" s="266">
        <v>1E-3</v>
      </c>
      <c r="F1010" s="266" t="s">
        <v>782</v>
      </c>
      <c r="G1010" s="266">
        <v>2E-3</v>
      </c>
      <c r="H1010" s="869">
        <v>0.64583333333333337</v>
      </c>
      <c r="I1010" s="1392"/>
      <c r="J1010" s="1392"/>
      <c r="K1010" s="1393"/>
      <c r="L1010" s="870">
        <v>0.3125</v>
      </c>
      <c r="M1010" s="334"/>
      <c r="N1010" s="219"/>
      <c r="O1010" s="263"/>
      <c r="P1010" s="263"/>
      <c r="Q1010" s="263"/>
      <c r="R1010" s="263"/>
      <c r="S1010" s="263"/>
      <c r="T1010" s="263"/>
      <c r="U1010" s="263"/>
      <c r="V1010" s="263"/>
      <c r="W1010" s="263"/>
      <c r="X1010" s="263"/>
      <c r="Y1010" s="263"/>
      <c r="Z1010" s="263"/>
    </row>
    <row r="1011" spans="3:26" ht="20" thickBot="1">
      <c r="C1011" s="218"/>
      <c r="D1011" s="508">
        <v>45436</v>
      </c>
      <c r="E1011" s="266">
        <v>7.0000000000000001E-3</v>
      </c>
      <c r="F1011" s="266" t="s">
        <v>784</v>
      </c>
      <c r="G1011" s="266">
        <v>8.0000000000000002E-3</v>
      </c>
      <c r="H1011" s="869">
        <v>0.64583333333333337</v>
      </c>
      <c r="I1011" s="1394"/>
      <c r="J1011" s="1394"/>
      <c r="K1011" s="1395"/>
      <c r="L1011" s="870">
        <v>0.3125</v>
      </c>
      <c r="M1011" s="477"/>
      <c r="N1011" s="219"/>
      <c r="O1011" s="263"/>
      <c r="P1011" s="263"/>
      <c r="Q1011" s="263"/>
      <c r="R1011" s="263"/>
      <c r="S1011" s="263"/>
      <c r="T1011" s="263"/>
      <c r="U1011" s="263"/>
      <c r="V1011" s="263"/>
      <c r="W1011" s="263"/>
      <c r="X1011" s="263"/>
      <c r="Y1011" s="263"/>
      <c r="Z1011" s="263"/>
    </row>
    <row r="1012" spans="3:26" ht="20" thickBot="1">
      <c r="C1012" s="218">
        <v>6</v>
      </c>
      <c r="D1012" s="498" t="s">
        <v>30</v>
      </c>
      <c r="E1012" s="1147" t="s">
        <v>1069</v>
      </c>
      <c r="F1012" s="1148"/>
      <c r="G1012" s="1149"/>
      <c r="H1012" s="861" t="s">
        <v>790</v>
      </c>
      <c r="I1012" s="1404" t="s">
        <v>633</v>
      </c>
      <c r="J1012" s="1404"/>
      <c r="K1012" s="1405"/>
      <c r="L1012" s="862" t="s">
        <v>430</v>
      </c>
      <c r="M1012" s="332" t="s">
        <v>431</v>
      </c>
      <c r="N1012" s="219" t="s">
        <v>105</v>
      </c>
      <c r="O1012" s="220" t="s">
        <v>800</v>
      </c>
      <c r="P1012" s="220" t="s">
        <v>801</v>
      </c>
      <c r="Q1012" s="220" t="s">
        <v>802</v>
      </c>
      <c r="R1012" s="220" t="s">
        <v>803</v>
      </c>
      <c r="S1012" s="220" t="s">
        <v>804</v>
      </c>
      <c r="T1012" s="220" t="s">
        <v>805</v>
      </c>
      <c r="U1012" s="220" t="s">
        <v>806</v>
      </c>
      <c r="V1012" s="220" t="s">
        <v>807</v>
      </c>
      <c r="W1012" s="220" t="s">
        <v>808</v>
      </c>
      <c r="X1012" s="220" t="s">
        <v>809</v>
      </c>
      <c r="Y1012" s="220" t="s">
        <v>75</v>
      </c>
      <c r="Z1012" s="220" t="s">
        <v>75</v>
      </c>
    </row>
    <row r="1013" spans="3:26" ht="19">
      <c r="C1013" s="218"/>
      <c r="D1013" s="504" t="s">
        <v>432</v>
      </c>
      <c r="E1013" s="1150"/>
      <c r="F1013" s="1151"/>
      <c r="G1013" s="1152"/>
      <c r="H1013" s="863" t="s">
        <v>906</v>
      </c>
      <c r="I1013" s="1390" t="s">
        <v>1070</v>
      </c>
      <c r="J1013" s="1390"/>
      <c r="K1013" s="1391"/>
      <c r="L1013" s="864"/>
      <c r="M1013" s="474" t="s">
        <v>1069</v>
      </c>
      <c r="N1013" s="219"/>
      <c r="O1013" s="221" t="s">
        <v>810</v>
      </c>
      <c r="P1013" s="222">
        <v>0.1</v>
      </c>
      <c r="Q1013" s="223">
        <v>0.03</v>
      </c>
      <c r="R1013" s="224">
        <v>1.5999999999991132E-2</v>
      </c>
      <c r="S1013" s="225"/>
      <c r="T1013" s="221">
        <v>6.0999999999991131E-2</v>
      </c>
      <c r="U1013" s="223">
        <v>-14.17</v>
      </c>
      <c r="V1013" s="222">
        <v>91.8</v>
      </c>
      <c r="W1013" s="226">
        <v>2</v>
      </c>
      <c r="X1013" s="227">
        <v>28.34</v>
      </c>
      <c r="Y1013" s="225"/>
      <c r="Z1013" s="225"/>
    </row>
    <row r="1014" spans="3:26" ht="19">
      <c r="C1014" s="218"/>
      <c r="D1014" s="505" t="s">
        <v>433</v>
      </c>
      <c r="E1014" s="1163"/>
      <c r="F1014" s="1164"/>
      <c r="G1014" s="1165"/>
      <c r="H1014" s="874" t="s">
        <v>907</v>
      </c>
      <c r="I1014" s="1392"/>
      <c r="J1014" s="1392"/>
      <c r="K1014" s="1393"/>
      <c r="L1014" s="864"/>
      <c r="M1014" s="334"/>
      <c r="N1014" s="219"/>
      <c r="O1014" s="219"/>
      <c r="P1014" s="219"/>
      <c r="Q1014" s="219"/>
      <c r="R1014" s="228"/>
      <c r="S1014" s="229"/>
      <c r="T1014" s="219"/>
      <c r="U1014" s="219"/>
      <c r="V1014" s="219"/>
      <c r="W1014" s="229"/>
      <c r="X1014" s="229"/>
      <c r="Y1014" s="230"/>
      <c r="Z1014" s="230"/>
    </row>
    <row r="1015" spans="3:26" ht="19">
      <c r="C1015" s="218"/>
      <c r="D1015" s="505" t="s">
        <v>434</v>
      </c>
      <c r="E1015" s="1163">
        <v>2.8000000000000001E-2</v>
      </c>
      <c r="F1015" s="1164"/>
      <c r="G1015" s="1165"/>
      <c r="H1015" s="863"/>
      <c r="I1015" s="1392"/>
      <c r="J1015" s="1392"/>
      <c r="K1015" s="1393"/>
      <c r="L1015" s="864"/>
      <c r="M1015" s="334"/>
      <c r="N1015" s="219"/>
      <c r="O1015" s="231" t="s">
        <v>811</v>
      </c>
      <c r="P1015" s="232">
        <v>0.1</v>
      </c>
      <c r="Q1015" s="233">
        <v>7.9100000000000004E-2</v>
      </c>
      <c r="R1015" s="234">
        <v>1.6E-2</v>
      </c>
      <c r="S1015" s="235">
        <v>1</v>
      </c>
      <c r="T1015" s="231">
        <v>0.13464999999999999</v>
      </c>
      <c r="U1015" s="236">
        <v>-31.278532786889791</v>
      </c>
      <c r="V1015" s="237">
        <v>60.5</v>
      </c>
      <c r="W1015" s="238">
        <v>3.81</v>
      </c>
      <c r="X1015" s="239">
        <v>119.17120991805011</v>
      </c>
      <c r="Y1015" s="240"/>
      <c r="Z1015" s="240">
        <v>4.4350000000000005</v>
      </c>
    </row>
    <row r="1016" spans="3:26" ht="20" thickBot="1">
      <c r="C1016" s="218"/>
      <c r="D1016" s="506" t="s">
        <v>435</v>
      </c>
      <c r="E1016" s="1160">
        <v>0.5625</v>
      </c>
      <c r="F1016" s="1161"/>
      <c r="G1016" s="1162"/>
      <c r="H1016" s="865">
        <v>0.35416666666666663</v>
      </c>
      <c r="I1016" s="1392"/>
      <c r="J1016" s="1392"/>
      <c r="K1016" s="1393"/>
      <c r="L1016" s="866">
        <v>0.79166666666666663</v>
      </c>
      <c r="M1016" s="337">
        <v>0.64583333333333326</v>
      </c>
      <c r="N1016" s="219"/>
      <c r="O1016" s="241" t="s">
        <v>812</v>
      </c>
      <c r="P1016" s="242">
        <v>0.1</v>
      </c>
      <c r="Q1016" s="243">
        <v>6.3266666666666665E-2</v>
      </c>
      <c r="R1016" s="244">
        <v>1.6E-2</v>
      </c>
      <c r="S1016" s="245">
        <v>1</v>
      </c>
      <c r="T1016" s="246">
        <v>0.1109</v>
      </c>
      <c r="U1016" s="247">
        <v>-25.761524590167678</v>
      </c>
      <c r="V1016" s="248">
        <v>60.5</v>
      </c>
      <c r="W1016" s="249">
        <v>5.21</v>
      </c>
      <c r="X1016" s="250">
        <v>134.2175431147736</v>
      </c>
      <c r="Y1016" s="251"/>
      <c r="Z1016" s="251"/>
    </row>
    <row r="1017" spans="3:26" ht="20" thickBot="1">
      <c r="C1017" s="218"/>
      <c r="D1017" s="507" t="s">
        <v>436</v>
      </c>
      <c r="E1017" s="264" t="s">
        <v>29</v>
      </c>
      <c r="F1017" s="264" t="s">
        <v>28</v>
      </c>
      <c r="G1017" s="265" t="s">
        <v>27</v>
      </c>
      <c r="H1017" s="867" t="s">
        <v>793</v>
      </c>
      <c r="I1017" s="1392"/>
      <c r="J1017" s="1392"/>
      <c r="K1017" s="1393"/>
      <c r="L1017" s="868" t="s">
        <v>1002</v>
      </c>
      <c r="M1017" s="339"/>
      <c r="N1017" s="219"/>
      <c r="O1017" s="229"/>
      <c r="P1017" s="230"/>
      <c r="Q1017" s="229"/>
      <c r="R1017" s="229"/>
      <c r="S1017" s="229"/>
      <c r="T1017" s="229"/>
      <c r="U1017" s="254"/>
      <c r="V1017" s="255"/>
      <c r="W1017" s="229"/>
      <c r="X1017" s="254"/>
      <c r="Y1017" s="230"/>
      <c r="Z1017" s="230"/>
    </row>
    <row r="1018" spans="3:26" ht="19">
      <c r="C1018" s="218"/>
      <c r="D1018" s="508">
        <v>45595</v>
      </c>
      <c r="E1018" s="266">
        <v>2.8000000000000001E-2</v>
      </c>
      <c r="F1018" s="266" t="s">
        <v>669</v>
      </c>
      <c r="G1018" s="266">
        <v>0.03</v>
      </c>
      <c r="H1018" s="869">
        <v>0.52083333333333337</v>
      </c>
      <c r="I1018" s="1392"/>
      <c r="J1018" s="1392"/>
      <c r="K1018" s="1393"/>
      <c r="L1018" s="870">
        <v>0.3125</v>
      </c>
      <c r="M1018" s="475"/>
      <c r="N1018" s="219"/>
      <c r="O1018" s="229"/>
      <c r="P1018" s="230"/>
      <c r="Q1018" s="229"/>
      <c r="R1018" s="229"/>
      <c r="S1018" s="229"/>
      <c r="T1018" s="229"/>
      <c r="U1018" s="229"/>
      <c r="V1018" s="229"/>
      <c r="W1018" s="229"/>
      <c r="X1018" s="229"/>
      <c r="Y1018" s="230"/>
      <c r="Z1018" s="230"/>
    </row>
    <row r="1019" spans="3:26" ht="19">
      <c r="C1019" s="218"/>
      <c r="D1019" s="508">
        <v>45561</v>
      </c>
      <c r="E1019" s="266">
        <v>0.03</v>
      </c>
      <c r="F1019" s="266" t="s">
        <v>669</v>
      </c>
      <c r="G1019" s="266">
        <v>1.6E-2</v>
      </c>
      <c r="H1019" s="869">
        <v>0.52083333333333337</v>
      </c>
      <c r="I1019" s="1392"/>
      <c r="J1019" s="1392"/>
      <c r="K1019" s="1393"/>
      <c r="L1019" s="870">
        <v>0.3125</v>
      </c>
      <c r="M1019" s="476"/>
      <c r="N1019" s="219"/>
      <c r="O1019" s="221" t="s">
        <v>813</v>
      </c>
      <c r="P1019" s="222">
        <v>-0.06</v>
      </c>
      <c r="Q1019" s="257">
        <v>7.1183333333333335E-2</v>
      </c>
      <c r="R1019" s="258">
        <v>1.6E-2</v>
      </c>
      <c r="S1019" s="225">
        <v>-1.5</v>
      </c>
      <c r="T1019" s="231">
        <v>0.12277500000000001</v>
      </c>
      <c r="U1019" s="259">
        <v>-25.668025819675861</v>
      </c>
      <c r="V1019" s="260">
        <v>-36.299999999999997</v>
      </c>
      <c r="W1019" s="225">
        <v>2</v>
      </c>
      <c r="X1019" s="227">
        <v>51.336051639351723</v>
      </c>
      <c r="Y1019" s="261"/>
      <c r="Z1019" s="261"/>
    </row>
    <row r="1020" spans="3:26" ht="19">
      <c r="C1020" s="218"/>
      <c r="D1020" s="508">
        <v>45533</v>
      </c>
      <c r="E1020" s="266">
        <v>0.03</v>
      </c>
      <c r="F1020" s="266" t="s">
        <v>666</v>
      </c>
      <c r="G1020" s="266">
        <v>1.4E-2</v>
      </c>
      <c r="H1020" s="869">
        <v>0.52083333333333337</v>
      </c>
      <c r="I1020" s="1392"/>
      <c r="J1020" s="1392"/>
      <c r="K1020" s="1393"/>
      <c r="L1020" s="870">
        <v>0.3125</v>
      </c>
      <c r="M1020" s="334"/>
      <c r="N1020" s="219"/>
      <c r="O1020" s="221" t="s">
        <v>813</v>
      </c>
      <c r="P1020" s="222">
        <v>0.06</v>
      </c>
      <c r="Q1020" s="257">
        <v>7.1183333333333335E-2</v>
      </c>
      <c r="R1020" s="258">
        <v>1.6E-2</v>
      </c>
      <c r="S1020" s="225">
        <v>1.5</v>
      </c>
      <c r="T1020" s="231">
        <v>0.12277500000000001</v>
      </c>
      <c r="U1020" s="259">
        <v>-25.668025819675861</v>
      </c>
      <c r="V1020" s="260">
        <v>36.299999999999997</v>
      </c>
      <c r="W1020" s="225">
        <v>2</v>
      </c>
      <c r="X1020" s="227">
        <v>51.336051639351723</v>
      </c>
      <c r="Y1020" s="261"/>
      <c r="Z1020" s="261"/>
    </row>
    <row r="1021" spans="3:26" ht="19">
      <c r="C1021" s="218"/>
      <c r="D1021" s="508">
        <v>45498</v>
      </c>
      <c r="E1021" s="266">
        <v>2.8000000000000001E-2</v>
      </c>
      <c r="F1021" s="266" t="s">
        <v>788</v>
      </c>
      <c r="G1021" s="266">
        <v>1.4E-2</v>
      </c>
      <c r="H1021" s="869">
        <v>0.52083333333333337</v>
      </c>
      <c r="I1021" s="1392"/>
      <c r="J1021" s="1392"/>
      <c r="K1021" s="1393"/>
      <c r="L1021" s="870">
        <v>0.3125</v>
      </c>
      <c r="M1021" s="334"/>
      <c r="N1021" s="219"/>
      <c r="O1021" s="221" t="s">
        <v>816</v>
      </c>
      <c r="P1021" s="262"/>
      <c r="Q1021" s="257"/>
      <c r="R1021" s="258"/>
      <c r="S1021" s="225"/>
      <c r="T1021" s="262"/>
      <c r="U1021" s="259"/>
      <c r="V1021" s="260"/>
      <c r="W1021" s="225"/>
      <c r="X1021" s="227"/>
      <c r="Y1021" s="261"/>
      <c r="Z1021" s="261"/>
    </row>
    <row r="1022" spans="3:26" ht="19">
      <c r="C1022" s="218"/>
      <c r="D1022" s="508">
        <v>45470</v>
      </c>
      <c r="E1022" s="266">
        <v>1.4E-2</v>
      </c>
      <c r="F1022" s="266" t="s">
        <v>889</v>
      </c>
      <c r="G1022" s="266">
        <v>3.4000000000000002E-2</v>
      </c>
      <c r="H1022" s="869">
        <v>0.52083333333333337</v>
      </c>
      <c r="I1022" s="1392"/>
      <c r="J1022" s="1392"/>
      <c r="K1022" s="1393"/>
      <c r="L1022" s="870">
        <v>0.3125</v>
      </c>
      <c r="M1022" s="334"/>
      <c r="N1022" s="219"/>
      <c r="O1022" s="263"/>
      <c r="P1022" s="263"/>
      <c r="Q1022" s="263"/>
      <c r="R1022" s="263"/>
      <c r="S1022" s="263"/>
      <c r="T1022" s="263"/>
      <c r="U1022" s="263"/>
      <c r="V1022" s="263"/>
      <c r="W1022" s="263"/>
      <c r="X1022" s="263"/>
      <c r="Y1022" s="263"/>
      <c r="Z1022" s="263"/>
    </row>
    <row r="1023" spans="3:26" ht="20" thickBot="1">
      <c r="C1023" s="218"/>
      <c r="D1023" s="508">
        <v>45442</v>
      </c>
      <c r="E1023" s="266">
        <v>1.2999999999999999E-2</v>
      </c>
      <c r="F1023" s="266" t="s">
        <v>890</v>
      </c>
      <c r="G1023" s="266">
        <v>3.4000000000000002E-2</v>
      </c>
      <c r="H1023" s="869">
        <v>0.52083333333333337</v>
      </c>
      <c r="I1023" s="1394"/>
      <c r="J1023" s="1394"/>
      <c r="K1023" s="1395"/>
      <c r="L1023" s="870">
        <v>0.3125</v>
      </c>
      <c r="M1023" s="477"/>
      <c r="N1023" s="219"/>
      <c r="O1023" s="263"/>
      <c r="P1023" s="263"/>
      <c r="Q1023" s="263"/>
      <c r="R1023" s="263"/>
      <c r="S1023" s="263"/>
      <c r="T1023" s="263"/>
      <c r="U1023" s="263"/>
      <c r="V1023" s="263"/>
      <c r="W1023" s="263"/>
      <c r="X1023" s="263"/>
      <c r="Y1023" s="263"/>
      <c r="Z1023" s="263"/>
    </row>
    <row r="1024" spans="3:26" ht="20" thickBot="1">
      <c r="C1024" s="218">
        <v>7</v>
      </c>
      <c r="D1024" s="498" t="s">
        <v>30</v>
      </c>
      <c r="E1024" s="1147" t="s">
        <v>14</v>
      </c>
      <c r="F1024" s="1148"/>
      <c r="G1024" s="1149"/>
      <c r="H1024" s="861" t="s">
        <v>790</v>
      </c>
      <c r="I1024" s="1404" t="s">
        <v>633</v>
      </c>
      <c r="J1024" s="1404"/>
      <c r="K1024" s="1405"/>
      <c r="L1024" s="862" t="s">
        <v>430</v>
      </c>
      <c r="M1024" s="332" t="s">
        <v>431</v>
      </c>
      <c r="N1024" s="219" t="s">
        <v>105</v>
      </c>
      <c r="O1024" s="220" t="s">
        <v>800</v>
      </c>
      <c r="P1024" s="220" t="s">
        <v>801</v>
      </c>
      <c r="Q1024" s="220" t="s">
        <v>802</v>
      </c>
      <c r="R1024" s="220" t="s">
        <v>803</v>
      </c>
      <c r="S1024" s="220" t="s">
        <v>804</v>
      </c>
      <c r="T1024" s="220" t="s">
        <v>805</v>
      </c>
      <c r="U1024" s="220" t="s">
        <v>806</v>
      </c>
      <c r="V1024" s="220" t="s">
        <v>807</v>
      </c>
      <c r="W1024" s="220" t="s">
        <v>808</v>
      </c>
      <c r="X1024" s="220" t="s">
        <v>809</v>
      </c>
      <c r="Y1024" s="220" t="s">
        <v>75</v>
      </c>
      <c r="Z1024" s="220" t="s">
        <v>75</v>
      </c>
    </row>
    <row r="1025" spans="3:26" ht="19">
      <c r="C1025" s="218"/>
      <c r="D1025" s="504" t="s">
        <v>432</v>
      </c>
      <c r="E1025" s="1150"/>
      <c r="F1025" s="1151"/>
      <c r="G1025" s="1152"/>
      <c r="H1025" s="863" t="s">
        <v>906</v>
      </c>
      <c r="I1025" s="1390" t="s">
        <v>1072</v>
      </c>
      <c r="J1025" s="1390"/>
      <c r="K1025" s="1391"/>
      <c r="L1025" s="864"/>
      <c r="M1025" s="474" t="s">
        <v>14</v>
      </c>
      <c r="N1025" s="219"/>
      <c r="O1025" s="221" t="s">
        <v>810</v>
      </c>
      <c r="P1025" s="222">
        <v>0.1</v>
      </c>
      <c r="Q1025" s="223">
        <v>3.9E-2</v>
      </c>
      <c r="R1025" s="224">
        <v>1.7000000000024329E-2</v>
      </c>
      <c r="S1025" s="225"/>
      <c r="T1025" s="221">
        <v>7.5500000000024325E-2</v>
      </c>
      <c r="U1025" s="223">
        <v>-17.670000000000002</v>
      </c>
      <c r="V1025" s="222">
        <v>60.23</v>
      </c>
      <c r="W1025" s="222"/>
      <c r="X1025" s="227"/>
      <c r="Y1025" s="225"/>
      <c r="Z1025" s="225"/>
    </row>
    <row r="1026" spans="3:26" ht="19">
      <c r="C1026" s="218"/>
      <c r="D1026" s="505" t="s">
        <v>433</v>
      </c>
      <c r="E1026" s="1163"/>
      <c r="F1026" s="1164"/>
      <c r="G1026" s="1165"/>
      <c r="H1026" s="874" t="s">
        <v>907</v>
      </c>
      <c r="I1026" s="1392"/>
      <c r="J1026" s="1392"/>
      <c r="K1026" s="1393"/>
      <c r="L1026" s="864"/>
      <c r="M1026" s="334"/>
      <c r="N1026" s="219"/>
      <c r="O1026" s="219"/>
      <c r="P1026" s="219"/>
      <c r="Q1026" s="219"/>
      <c r="R1026" s="228"/>
      <c r="S1026" s="229"/>
      <c r="T1026" s="219"/>
      <c r="U1026" s="219"/>
      <c r="V1026" s="219"/>
      <c r="W1026" s="219"/>
      <c r="X1026" s="229"/>
      <c r="Y1026" s="230"/>
      <c r="Z1026" s="230"/>
    </row>
    <row r="1027" spans="3:26" ht="19">
      <c r="C1027" s="218"/>
      <c r="D1027" s="505" t="s">
        <v>434</v>
      </c>
      <c r="E1027" s="1153" t="s">
        <v>1071</v>
      </c>
      <c r="F1027" s="1154"/>
      <c r="G1027" s="1155"/>
      <c r="H1027" s="874"/>
      <c r="I1027" s="1392"/>
      <c r="J1027" s="1392"/>
      <c r="K1027" s="1393"/>
      <c r="L1027" s="864"/>
      <c r="M1027" s="334"/>
      <c r="N1027" s="219"/>
      <c r="O1027" s="231" t="s">
        <v>811</v>
      </c>
      <c r="P1027" s="232">
        <v>0.1</v>
      </c>
      <c r="Q1027" s="233">
        <v>7.6399999999999996E-2</v>
      </c>
      <c r="R1027" s="234">
        <v>1.7000000000000001E-2</v>
      </c>
      <c r="S1027" s="268">
        <v>1</v>
      </c>
      <c r="T1027" s="231">
        <v>0.13159999999999999</v>
      </c>
      <c r="U1027" s="236">
        <v>-30.799629139062926</v>
      </c>
      <c r="V1027" s="237">
        <v>60.5</v>
      </c>
      <c r="W1027" s="269">
        <v>4.29</v>
      </c>
      <c r="X1027" s="239">
        <v>132.13040900657995</v>
      </c>
      <c r="Y1027" s="240"/>
      <c r="Z1027" s="240"/>
    </row>
    <row r="1028" spans="3:26" ht="20" thickBot="1">
      <c r="C1028" s="218"/>
      <c r="D1028" s="506" t="s">
        <v>435</v>
      </c>
      <c r="E1028" s="1160">
        <v>0.5625</v>
      </c>
      <c r="F1028" s="1161"/>
      <c r="G1028" s="1162"/>
      <c r="H1028" s="865">
        <v>0.35416666666666663</v>
      </c>
      <c r="I1028" s="1392"/>
      <c r="J1028" s="1392"/>
      <c r="K1028" s="1393"/>
      <c r="L1028" s="866">
        <v>0.79166666666666663</v>
      </c>
      <c r="M1028" s="337">
        <v>0.64583333333333326</v>
      </c>
      <c r="N1028" s="219"/>
      <c r="O1028" s="241" t="s">
        <v>812</v>
      </c>
      <c r="P1028" s="242">
        <v>0.1</v>
      </c>
      <c r="Q1028" s="243">
        <v>6.5266666666666667E-2</v>
      </c>
      <c r="R1028" s="244">
        <v>1.7000000000000001E-2</v>
      </c>
      <c r="S1028" s="270">
        <v>1</v>
      </c>
      <c r="T1028" s="246">
        <v>0.1149</v>
      </c>
      <c r="U1028" s="247">
        <v>-26.891165562905247</v>
      </c>
      <c r="V1028" s="248">
        <v>60.5</v>
      </c>
      <c r="W1028" s="271">
        <v>4.9249999999999998</v>
      </c>
      <c r="X1028" s="250">
        <v>132.43899039730834</v>
      </c>
      <c r="Y1028" s="251"/>
      <c r="Z1028" s="251"/>
    </row>
    <row r="1029" spans="3:26" ht="20" thickBot="1">
      <c r="C1029" s="218"/>
      <c r="D1029" s="507" t="s">
        <v>436</v>
      </c>
      <c r="E1029" s="252" t="s">
        <v>29</v>
      </c>
      <c r="F1029" s="252" t="s">
        <v>28</v>
      </c>
      <c r="G1029" s="253" t="s">
        <v>27</v>
      </c>
      <c r="H1029" s="867" t="s">
        <v>793</v>
      </c>
      <c r="I1029" s="1392"/>
      <c r="J1029" s="1392"/>
      <c r="K1029" s="1393"/>
      <c r="L1029" s="868" t="s">
        <v>1002</v>
      </c>
      <c r="M1029" s="339"/>
      <c r="N1029" s="219"/>
      <c r="O1029" s="229"/>
      <c r="P1029" s="230"/>
      <c r="Q1029" s="229"/>
      <c r="R1029" s="229"/>
      <c r="S1029" s="272"/>
      <c r="T1029" s="229"/>
      <c r="U1029" s="254"/>
      <c r="V1029" s="255"/>
      <c r="W1029" s="273"/>
      <c r="X1029" s="254"/>
      <c r="Y1029" s="230"/>
      <c r="Z1029" s="230"/>
    </row>
    <row r="1030" spans="3:26" ht="19">
      <c r="C1030" s="218"/>
      <c r="D1030" s="508">
        <v>45617</v>
      </c>
      <c r="E1030" s="256" t="s">
        <v>1111</v>
      </c>
      <c r="F1030" s="256" t="s">
        <v>1112</v>
      </c>
      <c r="G1030" s="256" t="s">
        <v>987</v>
      </c>
      <c r="H1030" s="869">
        <v>0.5625</v>
      </c>
      <c r="I1030" s="1392"/>
      <c r="J1030" s="1392"/>
      <c r="K1030" s="1393"/>
      <c r="L1030" s="870">
        <v>0.35416666666666663</v>
      </c>
      <c r="M1030" s="475"/>
      <c r="N1030" s="219"/>
      <c r="O1030" s="229"/>
      <c r="P1030" s="230"/>
      <c r="Q1030" s="229"/>
      <c r="R1030" s="229"/>
      <c r="S1030" s="272"/>
      <c r="T1030" s="229"/>
      <c r="U1030" s="229"/>
      <c r="V1030" s="229"/>
      <c r="W1030" s="273"/>
      <c r="X1030" s="229"/>
      <c r="Y1030" s="230"/>
      <c r="Z1030" s="230"/>
    </row>
    <row r="1031" spans="3:26" ht="19">
      <c r="C1031" s="218"/>
      <c r="D1031" s="508">
        <v>45610</v>
      </c>
      <c r="E1031" s="256" t="s">
        <v>1031</v>
      </c>
      <c r="F1031" s="256" t="s">
        <v>1032</v>
      </c>
      <c r="G1031" s="256" t="s">
        <v>972</v>
      </c>
      <c r="H1031" s="869">
        <v>0.5625</v>
      </c>
      <c r="I1031" s="1392"/>
      <c r="J1031" s="1392"/>
      <c r="K1031" s="1393"/>
      <c r="L1031" s="870">
        <v>0.35416666666666663</v>
      </c>
      <c r="M1031" s="476"/>
      <c r="N1031" s="219"/>
      <c r="O1031" s="221" t="s">
        <v>813</v>
      </c>
      <c r="P1031" s="274">
        <v>0.1</v>
      </c>
      <c r="Q1031" s="257">
        <v>6.5266666666666667E-2</v>
      </c>
      <c r="R1031" s="258">
        <v>1.7000000000000001E-2</v>
      </c>
      <c r="S1031" s="274">
        <v>1</v>
      </c>
      <c r="T1031" s="275">
        <v>0.1149</v>
      </c>
      <c r="U1031" s="259">
        <v>-26.891165562905247</v>
      </c>
      <c r="V1031" s="260">
        <v>60.5</v>
      </c>
      <c r="W1031" s="276">
        <v>3</v>
      </c>
      <c r="X1031" s="227">
        <v>80.673496688715744</v>
      </c>
      <c r="Y1031" s="261"/>
      <c r="Z1031" s="261"/>
    </row>
    <row r="1032" spans="3:26" ht="19">
      <c r="C1032" s="218"/>
      <c r="D1032" s="508">
        <v>45603</v>
      </c>
      <c r="E1032" s="256" t="s">
        <v>972</v>
      </c>
      <c r="F1032" s="256" t="s">
        <v>973</v>
      </c>
      <c r="G1032" s="256" t="s">
        <v>974</v>
      </c>
      <c r="H1032" s="869">
        <v>0.5625</v>
      </c>
      <c r="I1032" s="1392"/>
      <c r="J1032" s="1392"/>
      <c r="K1032" s="1393"/>
      <c r="L1032" s="870">
        <v>0.35416666666666663</v>
      </c>
      <c r="M1032" s="334"/>
      <c r="N1032" s="219"/>
      <c r="O1032" s="221" t="s">
        <v>813</v>
      </c>
      <c r="P1032" s="274">
        <v>0.1</v>
      </c>
      <c r="Q1032" s="257">
        <v>6.5266666666666667E-2</v>
      </c>
      <c r="R1032" s="258">
        <v>1.7000000000000001E-2</v>
      </c>
      <c r="S1032" s="274">
        <v>1</v>
      </c>
      <c r="T1032" s="275">
        <v>0.1149</v>
      </c>
      <c r="U1032" s="259">
        <v>-26.891165562905247</v>
      </c>
      <c r="V1032" s="260">
        <v>60.5</v>
      </c>
      <c r="W1032" s="276">
        <v>3</v>
      </c>
      <c r="X1032" s="227">
        <v>80.673496688715744</v>
      </c>
      <c r="Y1032" s="261"/>
      <c r="Z1032" s="261"/>
    </row>
    <row r="1033" spans="3:26" ht="19">
      <c r="C1033" s="218"/>
      <c r="D1033" s="508">
        <v>45596</v>
      </c>
      <c r="E1033" s="256" t="s">
        <v>975</v>
      </c>
      <c r="F1033" s="256" t="s">
        <v>976</v>
      </c>
      <c r="G1033" s="256" t="s">
        <v>977</v>
      </c>
      <c r="H1033" s="869">
        <v>0.52083333333333337</v>
      </c>
      <c r="I1033" s="1392"/>
      <c r="J1033" s="1392"/>
      <c r="K1033" s="1393"/>
      <c r="L1033" s="870">
        <v>0.3125</v>
      </c>
      <c r="M1033" s="334"/>
      <c r="N1033" s="219"/>
      <c r="O1033" s="221"/>
      <c r="P1033" s="262"/>
      <c r="Q1033" s="257"/>
      <c r="R1033" s="258"/>
      <c r="S1033" s="225"/>
      <c r="T1033" s="262"/>
      <c r="U1033" s="259"/>
      <c r="V1033" s="260"/>
      <c r="W1033" s="225"/>
      <c r="X1033" s="227"/>
      <c r="Y1033" s="261"/>
      <c r="Z1033" s="261"/>
    </row>
    <row r="1034" spans="3:26" ht="19">
      <c r="C1034" s="218"/>
      <c r="D1034" s="508">
        <v>45589</v>
      </c>
      <c r="E1034" s="256" t="s">
        <v>978</v>
      </c>
      <c r="F1034" s="256" t="s">
        <v>979</v>
      </c>
      <c r="G1034" s="256" t="s">
        <v>980</v>
      </c>
      <c r="H1034" s="869">
        <v>0.52083333333333337</v>
      </c>
      <c r="I1034" s="1392"/>
      <c r="J1034" s="1392"/>
      <c r="K1034" s="1393"/>
      <c r="L1034" s="870">
        <v>0.3125</v>
      </c>
      <c r="M1034" s="334"/>
      <c r="N1034" s="219"/>
      <c r="O1034" s="263"/>
      <c r="P1034" s="263"/>
      <c r="Q1034" s="263"/>
      <c r="R1034" s="263"/>
      <c r="S1034" s="263"/>
      <c r="T1034" s="263"/>
      <c r="U1034" s="263"/>
      <c r="V1034" s="263"/>
      <c r="W1034" s="263"/>
      <c r="X1034" s="263"/>
      <c r="Y1034" s="263"/>
      <c r="Z1034" s="263"/>
    </row>
    <row r="1035" spans="3:26" ht="20" thickBot="1">
      <c r="C1035" s="218"/>
      <c r="D1035" s="508">
        <v>45582</v>
      </c>
      <c r="E1035" s="256" t="s">
        <v>981</v>
      </c>
      <c r="F1035" s="256" t="s">
        <v>981</v>
      </c>
      <c r="G1035" s="256" t="s">
        <v>982</v>
      </c>
      <c r="H1035" s="869">
        <v>0.52083333333333337</v>
      </c>
      <c r="I1035" s="1394"/>
      <c r="J1035" s="1394"/>
      <c r="K1035" s="1395"/>
      <c r="L1035" s="870">
        <v>0.3125</v>
      </c>
      <c r="M1035" s="477"/>
      <c r="N1035" s="219"/>
      <c r="O1035" s="263"/>
      <c r="P1035" s="263"/>
      <c r="Q1035" s="263"/>
      <c r="R1035" s="263"/>
      <c r="S1035" s="263"/>
      <c r="T1035" s="263"/>
      <c r="U1035" s="263"/>
      <c r="V1035" s="263"/>
      <c r="W1035" s="263"/>
      <c r="X1035" s="263"/>
      <c r="Y1035" s="263"/>
      <c r="Z1035" s="263"/>
    </row>
    <row r="1036" spans="3:26" ht="20" thickBot="1">
      <c r="C1036" s="218">
        <v>8</v>
      </c>
      <c r="D1036" s="498" t="s">
        <v>30</v>
      </c>
      <c r="E1036" s="1147" t="s">
        <v>1073</v>
      </c>
      <c r="F1036" s="1148"/>
      <c r="G1036" s="1149"/>
      <c r="H1036" s="861" t="s">
        <v>790</v>
      </c>
      <c r="I1036" s="1404" t="s">
        <v>633</v>
      </c>
      <c r="J1036" s="1404"/>
      <c r="K1036" s="1405"/>
      <c r="L1036" s="862" t="s">
        <v>430</v>
      </c>
      <c r="M1036" s="332" t="s">
        <v>431</v>
      </c>
      <c r="N1036" s="219" t="s">
        <v>105</v>
      </c>
      <c r="O1036" s="220" t="s">
        <v>800</v>
      </c>
      <c r="P1036" s="220" t="s">
        <v>801</v>
      </c>
      <c r="Q1036" s="220" t="s">
        <v>802</v>
      </c>
      <c r="R1036" s="220" t="s">
        <v>803</v>
      </c>
      <c r="S1036" s="220" t="s">
        <v>804</v>
      </c>
      <c r="T1036" s="220" t="s">
        <v>805</v>
      </c>
      <c r="U1036" s="220" t="s">
        <v>806</v>
      </c>
      <c r="V1036" s="220" t="s">
        <v>807</v>
      </c>
      <c r="W1036" s="220" t="s">
        <v>808</v>
      </c>
      <c r="X1036" s="220" t="s">
        <v>809</v>
      </c>
      <c r="Y1036" s="220" t="s">
        <v>75</v>
      </c>
      <c r="Z1036" s="220" t="s">
        <v>75</v>
      </c>
    </row>
    <row r="1037" spans="3:26" ht="19">
      <c r="C1037" s="219"/>
      <c r="D1037" s="504" t="s">
        <v>432</v>
      </c>
      <c r="E1037" s="1150"/>
      <c r="F1037" s="1151"/>
      <c r="G1037" s="1152"/>
      <c r="H1037" s="863" t="s">
        <v>794</v>
      </c>
      <c r="I1037" s="1390" t="s">
        <v>1074</v>
      </c>
      <c r="J1037" s="1390"/>
      <c r="K1037" s="1391"/>
      <c r="L1037" s="864"/>
      <c r="M1037" s="334"/>
      <c r="N1037" s="219"/>
      <c r="O1037" s="221" t="s">
        <v>810</v>
      </c>
      <c r="P1037" s="222">
        <v>0.1</v>
      </c>
      <c r="Q1037" s="223">
        <v>3.9E-2</v>
      </c>
      <c r="R1037" s="224">
        <v>1.7000000000024329E-2</v>
      </c>
      <c r="S1037" s="225"/>
      <c r="T1037" s="221">
        <v>7.5500000000024325E-2</v>
      </c>
      <c r="U1037" s="223">
        <v>-17.670000000000002</v>
      </c>
      <c r="V1037" s="222">
        <v>60.23</v>
      </c>
      <c r="W1037" s="222"/>
      <c r="X1037" s="227"/>
      <c r="Y1037" s="225"/>
      <c r="Z1037" s="225"/>
    </row>
    <row r="1038" spans="3:26" ht="19">
      <c r="C1038" s="219"/>
      <c r="D1038" s="505" t="s">
        <v>433</v>
      </c>
      <c r="E1038" s="1153">
        <v>44.9</v>
      </c>
      <c r="F1038" s="1154"/>
      <c r="G1038" s="1155"/>
      <c r="H1038" s="874" t="s">
        <v>795</v>
      </c>
      <c r="I1038" s="1392"/>
      <c r="J1038" s="1392"/>
      <c r="K1038" s="1393"/>
      <c r="L1038" s="864"/>
      <c r="M1038" s="334"/>
      <c r="N1038" s="219"/>
      <c r="O1038" s="219"/>
      <c r="P1038" s="219"/>
      <c r="Q1038" s="219"/>
      <c r="R1038" s="228"/>
      <c r="S1038" s="229"/>
      <c r="T1038" s="219"/>
      <c r="U1038" s="219"/>
      <c r="V1038" s="219"/>
      <c r="W1038" s="219"/>
      <c r="X1038" s="229"/>
      <c r="Y1038" s="230"/>
      <c r="Z1038" s="230"/>
    </row>
    <row r="1039" spans="3:26" ht="19">
      <c r="C1039" s="219"/>
      <c r="D1039" s="505" t="s">
        <v>434</v>
      </c>
      <c r="E1039" s="1153">
        <v>41.6</v>
      </c>
      <c r="F1039" s="1154"/>
      <c r="G1039" s="1155"/>
      <c r="H1039" s="863"/>
      <c r="I1039" s="1392"/>
      <c r="J1039" s="1392"/>
      <c r="K1039" s="1393"/>
      <c r="L1039" s="864"/>
      <c r="M1039" s="334"/>
      <c r="N1039" s="219"/>
      <c r="O1039" s="231" t="s">
        <v>811</v>
      </c>
      <c r="P1039" s="232">
        <v>0.1</v>
      </c>
      <c r="Q1039" s="233">
        <v>3.9100000000000003E-2</v>
      </c>
      <c r="R1039" s="234">
        <v>1.4E-2</v>
      </c>
      <c r="S1039" s="268">
        <v>1</v>
      </c>
      <c r="T1039" s="231">
        <v>7.2650000000000006E-2</v>
      </c>
      <c r="U1039" s="236">
        <v>-17.002986754961412</v>
      </c>
      <c r="V1039" s="237">
        <v>60.5</v>
      </c>
      <c r="W1039" s="269">
        <v>4.29</v>
      </c>
      <c r="X1039" s="239">
        <v>72.942813178784462</v>
      </c>
      <c r="Y1039" s="240"/>
      <c r="Z1039" s="240"/>
    </row>
    <row r="1040" spans="3:26" ht="20" thickBot="1">
      <c r="C1040" s="219"/>
      <c r="D1040" s="506" t="s">
        <v>435</v>
      </c>
      <c r="E1040" s="1160">
        <v>0.61458333333333337</v>
      </c>
      <c r="F1040" s="1161"/>
      <c r="G1040" s="1162"/>
      <c r="H1040" s="865">
        <v>0.40625</v>
      </c>
      <c r="I1040" s="1392"/>
      <c r="J1040" s="1392"/>
      <c r="K1040" s="1393"/>
      <c r="L1040" s="866">
        <v>0.84375</v>
      </c>
      <c r="M1040" s="337">
        <v>0.69791666666666663</v>
      </c>
      <c r="N1040" s="219"/>
      <c r="O1040" s="241" t="s">
        <v>812</v>
      </c>
      <c r="P1040" s="242">
        <v>0.1</v>
      </c>
      <c r="Q1040" s="243">
        <v>4.9933333333333337E-2</v>
      </c>
      <c r="R1040" s="244">
        <v>1.4E-2</v>
      </c>
      <c r="S1040" s="270">
        <v>1</v>
      </c>
      <c r="T1040" s="246">
        <v>8.8900000000000007E-2</v>
      </c>
      <c r="U1040" s="247">
        <v>-20.806132450324426</v>
      </c>
      <c r="V1040" s="248">
        <v>60.5</v>
      </c>
      <c r="W1040" s="271">
        <v>4.9249999999999998</v>
      </c>
      <c r="X1040" s="250">
        <v>102.47020231784779</v>
      </c>
      <c r="Y1040" s="251"/>
      <c r="Z1040" s="251"/>
    </row>
    <row r="1041" spans="3:26" ht="20" thickBot="1">
      <c r="C1041" s="219"/>
      <c r="D1041" s="507" t="s">
        <v>436</v>
      </c>
      <c r="E1041" s="264" t="s">
        <v>29</v>
      </c>
      <c r="F1041" s="264" t="s">
        <v>28</v>
      </c>
      <c r="G1041" s="265" t="s">
        <v>27</v>
      </c>
      <c r="H1041" s="867" t="s">
        <v>793</v>
      </c>
      <c r="I1041" s="1392"/>
      <c r="J1041" s="1392"/>
      <c r="K1041" s="1393"/>
      <c r="L1041" s="868" t="s">
        <v>1002</v>
      </c>
      <c r="M1041" s="339"/>
      <c r="N1041" s="219"/>
      <c r="O1041" s="229"/>
      <c r="P1041" s="230"/>
      <c r="Q1041" s="229"/>
      <c r="R1041" s="229"/>
      <c r="S1041" s="272"/>
      <c r="T1041" s="229"/>
      <c r="U1041" s="254"/>
      <c r="V1041" s="255"/>
      <c r="W1041" s="273"/>
      <c r="X1041" s="254"/>
      <c r="Y1041" s="230"/>
      <c r="Z1041" s="230"/>
    </row>
    <row r="1042" spans="3:26" ht="19">
      <c r="C1042" s="219"/>
      <c r="D1042" s="508">
        <v>45596</v>
      </c>
      <c r="E1042" s="266" t="s">
        <v>1113</v>
      </c>
      <c r="F1042" s="266" t="s">
        <v>1114</v>
      </c>
      <c r="G1042" s="266" t="s">
        <v>1115</v>
      </c>
      <c r="H1042" s="869">
        <v>0.57291666666666674</v>
      </c>
      <c r="I1042" s="1392"/>
      <c r="J1042" s="1392"/>
      <c r="K1042" s="1393"/>
      <c r="L1042" s="870">
        <v>0.36458333333333331</v>
      </c>
      <c r="M1042" s="475"/>
      <c r="N1042" s="219"/>
      <c r="O1042" s="229"/>
      <c r="P1042" s="230"/>
      <c r="Q1042" s="229"/>
      <c r="R1042" s="229"/>
      <c r="S1042" s="272"/>
      <c r="T1042" s="229"/>
      <c r="U1042" s="229"/>
      <c r="V1042" s="229"/>
      <c r="W1042" s="273"/>
      <c r="X1042" s="229"/>
      <c r="Y1042" s="230"/>
      <c r="Z1042" s="230"/>
    </row>
    <row r="1043" spans="3:26" ht="19">
      <c r="C1043" s="219"/>
      <c r="D1043" s="508">
        <v>45565</v>
      </c>
      <c r="E1043" s="266" t="s">
        <v>1115</v>
      </c>
      <c r="F1043" s="266" t="s">
        <v>1116</v>
      </c>
      <c r="G1043" s="266" t="s">
        <v>1116</v>
      </c>
      <c r="H1043" s="869">
        <v>0.57291666666666674</v>
      </c>
      <c r="I1043" s="1392"/>
      <c r="J1043" s="1392"/>
      <c r="K1043" s="1393"/>
      <c r="L1043" s="870">
        <v>0.36458333333333331</v>
      </c>
      <c r="M1043" s="476"/>
      <c r="N1043" s="219"/>
      <c r="O1043" s="221" t="s">
        <v>813</v>
      </c>
      <c r="P1043" s="274">
        <v>0.1</v>
      </c>
      <c r="Q1043" s="257">
        <v>4.9933333333333337E-2</v>
      </c>
      <c r="R1043" s="258">
        <v>1.4E-2</v>
      </c>
      <c r="S1043" s="274">
        <v>1</v>
      </c>
      <c r="T1043" s="275">
        <v>8.8900000000000007E-2</v>
      </c>
      <c r="U1043" s="259">
        <v>-20.806132450324426</v>
      </c>
      <c r="V1043" s="260">
        <v>60.5</v>
      </c>
      <c r="W1043" s="276">
        <v>2</v>
      </c>
      <c r="X1043" s="227">
        <v>41.612264900648853</v>
      </c>
      <c r="Y1043" s="261"/>
      <c r="Z1043" s="261"/>
    </row>
    <row r="1044" spans="3:26" ht="19">
      <c r="C1044" s="219"/>
      <c r="D1044" s="508">
        <v>45534</v>
      </c>
      <c r="E1044" s="266" t="s">
        <v>1116</v>
      </c>
      <c r="F1044" s="266" t="s">
        <v>1117</v>
      </c>
      <c r="G1044" s="266" t="s">
        <v>1118</v>
      </c>
      <c r="H1044" s="869">
        <v>0.57291666666666674</v>
      </c>
      <c r="I1044" s="1392"/>
      <c r="J1044" s="1392"/>
      <c r="K1044" s="1393"/>
      <c r="L1044" s="870">
        <v>0.36458333333333331</v>
      </c>
      <c r="M1044" s="334"/>
      <c r="N1044" s="219"/>
      <c r="O1044" s="221" t="s">
        <v>813</v>
      </c>
      <c r="P1044" s="274">
        <v>0.1</v>
      </c>
      <c r="Q1044" s="257">
        <v>4.9933333333333337E-2</v>
      </c>
      <c r="R1044" s="258">
        <v>1.4E-2</v>
      </c>
      <c r="S1044" s="274">
        <v>1</v>
      </c>
      <c r="T1044" s="275">
        <v>8.8900000000000007E-2</v>
      </c>
      <c r="U1044" s="259">
        <v>-20.806132450324426</v>
      </c>
      <c r="V1044" s="260">
        <v>60.5</v>
      </c>
      <c r="W1044" s="276">
        <v>2</v>
      </c>
      <c r="X1044" s="227">
        <v>41.612264900648853</v>
      </c>
      <c r="Y1044" s="261"/>
      <c r="Z1044" s="261"/>
    </row>
    <row r="1045" spans="3:26" ht="19">
      <c r="C1045" s="219"/>
      <c r="D1045" s="508">
        <v>45504</v>
      </c>
      <c r="E1045" s="266" t="s">
        <v>1118</v>
      </c>
      <c r="F1045" s="266" t="s">
        <v>1119</v>
      </c>
      <c r="G1045" s="266" t="s">
        <v>1120</v>
      </c>
      <c r="H1045" s="869">
        <v>0.57291666666666674</v>
      </c>
      <c r="I1045" s="1392"/>
      <c r="J1045" s="1392"/>
      <c r="K1045" s="1393"/>
      <c r="L1045" s="870">
        <v>0.36458333333333331</v>
      </c>
      <c r="M1045" s="334"/>
      <c r="N1045" s="219"/>
      <c r="O1045" s="221"/>
      <c r="P1045" s="262"/>
      <c r="Q1045" s="257"/>
      <c r="R1045" s="258"/>
      <c r="S1045" s="225"/>
      <c r="T1045" s="262"/>
      <c r="U1045" s="259"/>
      <c r="V1045" s="260"/>
      <c r="W1045" s="225"/>
      <c r="X1045" s="227"/>
      <c r="Y1045" s="261"/>
      <c r="Z1045" s="261"/>
    </row>
    <row r="1046" spans="3:26" ht="19">
      <c r="C1046" s="219"/>
      <c r="D1046" s="508">
        <v>45471</v>
      </c>
      <c r="E1046" s="266" t="s">
        <v>1120</v>
      </c>
      <c r="F1046" s="266" t="s">
        <v>1121</v>
      </c>
      <c r="G1046" s="266" t="s">
        <v>1122</v>
      </c>
      <c r="H1046" s="869">
        <v>0.57291666666666674</v>
      </c>
      <c r="I1046" s="1392"/>
      <c r="J1046" s="1392"/>
      <c r="K1046" s="1393"/>
      <c r="L1046" s="870">
        <v>0.36458333333333331</v>
      </c>
      <c r="M1046" s="334"/>
      <c r="N1046" s="219"/>
      <c r="O1046" s="263"/>
      <c r="P1046" s="263"/>
      <c r="Q1046" s="263"/>
      <c r="R1046" s="263"/>
      <c r="S1046" s="263"/>
      <c r="T1046" s="263"/>
      <c r="U1046" s="263"/>
      <c r="V1046" s="263"/>
      <c r="W1046" s="263"/>
      <c r="X1046" s="263"/>
      <c r="Y1046" s="263"/>
      <c r="Z1046" s="263"/>
    </row>
    <row r="1047" spans="3:26" ht="20" thickBot="1">
      <c r="C1047" s="219"/>
      <c r="D1047" s="508">
        <v>45443</v>
      </c>
      <c r="E1047" s="266" t="s">
        <v>1122</v>
      </c>
      <c r="F1047" s="266" t="s">
        <v>1123</v>
      </c>
      <c r="G1047" s="266" t="s">
        <v>1124</v>
      </c>
      <c r="H1047" s="869">
        <v>0.57291666666666674</v>
      </c>
      <c r="I1047" s="1394"/>
      <c r="J1047" s="1394"/>
      <c r="K1047" s="1395"/>
      <c r="L1047" s="870">
        <v>0.36458333333333331</v>
      </c>
      <c r="M1047" s="477"/>
      <c r="N1047" s="219"/>
      <c r="O1047" s="263"/>
      <c r="P1047" s="263"/>
      <c r="Q1047" s="263"/>
      <c r="R1047" s="263"/>
      <c r="S1047" s="263"/>
      <c r="T1047" s="263"/>
      <c r="U1047" s="263"/>
      <c r="V1047" s="263"/>
      <c r="W1047" s="263"/>
      <c r="X1047" s="263"/>
      <c r="Y1047" s="263"/>
      <c r="Z1047" s="263"/>
    </row>
    <row r="1048" spans="3:26" ht="20" thickBot="1">
      <c r="C1048" s="218">
        <v>9</v>
      </c>
      <c r="D1048" s="498" t="s">
        <v>30</v>
      </c>
      <c r="E1048" s="1147" t="s">
        <v>1075</v>
      </c>
      <c r="F1048" s="1148"/>
      <c r="G1048" s="1149"/>
      <c r="H1048" s="861" t="s">
        <v>790</v>
      </c>
      <c r="I1048" s="1404" t="s">
        <v>633</v>
      </c>
      <c r="J1048" s="1404"/>
      <c r="K1048" s="1405"/>
      <c r="L1048" s="862" t="s">
        <v>430</v>
      </c>
      <c r="M1048" s="332" t="s">
        <v>431</v>
      </c>
      <c r="N1048" s="219" t="s">
        <v>105</v>
      </c>
      <c r="O1048" s="220" t="s">
        <v>800</v>
      </c>
      <c r="P1048" s="220" t="s">
        <v>801</v>
      </c>
      <c r="Q1048" s="220" t="s">
        <v>802</v>
      </c>
      <c r="R1048" s="220" t="s">
        <v>803</v>
      </c>
      <c r="S1048" s="220" t="s">
        <v>804</v>
      </c>
      <c r="T1048" s="220" t="s">
        <v>805</v>
      </c>
      <c r="U1048" s="220" t="s">
        <v>806</v>
      </c>
      <c r="V1048" s="220" t="s">
        <v>807</v>
      </c>
      <c r="W1048" s="220" t="s">
        <v>808</v>
      </c>
      <c r="X1048" s="220" t="s">
        <v>809</v>
      </c>
      <c r="Y1048" s="220" t="s">
        <v>75</v>
      </c>
      <c r="Z1048" s="220" t="s">
        <v>75</v>
      </c>
    </row>
    <row r="1049" spans="3:26" ht="19">
      <c r="C1049" s="219"/>
      <c r="D1049" s="504" t="s">
        <v>432</v>
      </c>
      <c r="E1049" s="1150"/>
      <c r="F1049" s="1151"/>
      <c r="G1049" s="1152"/>
      <c r="H1049" s="863" t="s">
        <v>906</v>
      </c>
      <c r="I1049" s="1390" t="s">
        <v>1076</v>
      </c>
      <c r="J1049" s="1390"/>
      <c r="K1049" s="1391"/>
      <c r="L1049" s="864"/>
      <c r="M1049" s="474" t="s">
        <v>1075</v>
      </c>
      <c r="N1049" s="219"/>
      <c r="O1049" s="221" t="s">
        <v>810</v>
      </c>
      <c r="P1049" s="222">
        <v>0.1</v>
      </c>
      <c r="Q1049" s="223">
        <v>2.1999999999999999E-2</v>
      </c>
      <c r="R1049" s="224">
        <v>3.0000000000001137E-2</v>
      </c>
      <c r="S1049" s="225"/>
      <c r="T1049" s="221">
        <v>6.3000000000001138E-2</v>
      </c>
      <c r="U1049" s="223">
        <v>-15.02</v>
      </c>
      <c r="V1049" s="222">
        <v>99.37</v>
      </c>
      <c r="W1049" s="222"/>
      <c r="X1049" s="227"/>
      <c r="Y1049" s="225"/>
      <c r="Z1049" s="225"/>
    </row>
    <row r="1050" spans="3:26" ht="19">
      <c r="C1050" s="219"/>
      <c r="D1050" s="505" t="s">
        <v>433</v>
      </c>
      <c r="E1050" s="1163"/>
      <c r="F1050" s="1164"/>
      <c r="G1050" s="1165"/>
      <c r="H1050" s="874" t="s">
        <v>907</v>
      </c>
      <c r="I1050" s="1392"/>
      <c r="J1050" s="1392"/>
      <c r="K1050" s="1393"/>
      <c r="L1050" s="864"/>
      <c r="M1050" s="334"/>
      <c r="N1050" s="219"/>
      <c r="O1050" s="219"/>
      <c r="P1050" s="219"/>
      <c r="Q1050" s="219"/>
      <c r="R1050" s="228"/>
      <c r="S1050" s="229"/>
      <c r="T1050" s="219"/>
      <c r="U1050" s="219"/>
      <c r="V1050" s="219"/>
      <c r="W1050" s="219"/>
      <c r="X1050" s="229"/>
      <c r="Y1050" s="230"/>
      <c r="Z1050" s="230"/>
    </row>
    <row r="1051" spans="3:26" ht="19">
      <c r="C1051" s="219"/>
      <c r="D1051" s="505" t="s">
        <v>434</v>
      </c>
      <c r="E1051" s="1163">
        <v>2.7E-2</v>
      </c>
      <c r="F1051" s="1164"/>
      <c r="G1051" s="1165"/>
      <c r="H1051" s="863"/>
      <c r="I1051" s="1392"/>
      <c r="J1051" s="1392"/>
      <c r="K1051" s="1393"/>
      <c r="L1051" s="864"/>
      <c r="M1051" s="334"/>
      <c r="N1051" s="219"/>
      <c r="O1051" s="231" t="s">
        <v>811</v>
      </c>
      <c r="P1051" s="232">
        <v>0.1</v>
      </c>
      <c r="Q1051" s="233">
        <v>6.4100000000000004E-2</v>
      </c>
      <c r="R1051" s="234">
        <v>3.0000000000001137E-2</v>
      </c>
      <c r="S1051" s="268">
        <v>1</v>
      </c>
      <c r="T1051" s="231">
        <v>0.12615000000000115</v>
      </c>
      <c r="U1051" s="236">
        <v>-30.075761904761638</v>
      </c>
      <c r="V1051" s="237">
        <v>60.5</v>
      </c>
      <c r="W1051" s="269">
        <v>2.39</v>
      </c>
      <c r="X1051" s="239">
        <v>71.881070952380313</v>
      </c>
      <c r="Y1051" s="240"/>
      <c r="Z1051" s="240"/>
    </row>
    <row r="1052" spans="3:26" ht="20" thickBot="1">
      <c r="C1052" s="219"/>
      <c r="D1052" s="506" t="s">
        <v>435</v>
      </c>
      <c r="E1052" s="1160">
        <v>0.5625</v>
      </c>
      <c r="F1052" s="1161"/>
      <c r="G1052" s="1162"/>
      <c r="H1052" s="865">
        <v>0.35416666666666663</v>
      </c>
      <c r="I1052" s="1392"/>
      <c r="J1052" s="1392"/>
      <c r="K1052" s="1393"/>
      <c r="L1052" s="866">
        <v>0.79166666666666663</v>
      </c>
      <c r="M1052" s="337">
        <v>0.64583333333333326</v>
      </c>
      <c r="N1052" s="219"/>
      <c r="O1052" s="241" t="s">
        <v>812</v>
      </c>
      <c r="P1052" s="242">
        <v>0.1</v>
      </c>
      <c r="Q1052" s="243">
        <v>7.6066666666665908E-2</v>
      </c>
      <c r="R1052" s="244">
        <v>3.0000000000001137E-2</v>
      </c>
      <c r="S1052" s="270">
        <v>1</v>
      </c>
      <c r="T1052" s="246">
        <v>0.14410000000000001</v>
      </c>
      <c r="U1052" s="247">
        <v>-34.355269841269219</v>
      </c>
      <c r="V1052" s="248">
        <v>60.5</v>
      </c>
      <c r="W1052" s="271">
        <v>2.08</v>
      </c>
      <c r="X1052" s="250">
        <v>71.458961269839975</v>
      </c>
      <c r="Y1052" s="251"/>
      <c r="Z1052" s="251"/>
    </row>
    <row r="1053" spans="3:26" ht="20" thickBot="1">
      <c r="C1053" s="219"/>
      <c r="D1053" s="507" t="s">
        <v>436</v>
      </c>
      <c r="E1053" s="264" t="s">
        <v>29</v>
      </c>
      <c r="F1053" s="264" t="s">
        <v>28</v>
      </c>
      <c r="G1053" s="265" t="s">
        <v>27</v>
      </c>
      <c r="H1053" s="867" t="s">
        <v>793</v>
      </c>
      <c r="I1053" s="1392"/>
      <c r="J1053" s="1392"/>
      <c r="K1053" s="1393"/>
      <c r="L1053" s="868" t="s">
        <v>1002</v>
      </c>
      <c r="M1053" s="339"/>
      <c r="N1053" s="219"/>
      <c r="O1053" s="229"/>
      <c r="P1053" s="230"/>
      <c r="Q1053" s="229"/>
      <c r="R1053" s="229"/>
      <c r="S1053" s="272"/>
      <c r="T1053" s="229"/>
      <c r="U1053" s="254"/>
      <c r="V1053" s="255"/>
      <c r="W1053" s="273"/>
      <c r="X1053" s="254"/>
      <c r="Y1053" s="230"/>
      <c r="Z1053" s="230"/>
    </row>
    <row r="1054" spans="3:26" ht="19">
      <c r="C1054" s="219"/>
      <c r="D1054" s="508">
        <v>45596</v>
      </c>
      <c r="E1054" s="266">
        <v>2.7E-2</v>
      </c>
      <c r="F1054" s="266" t="s">
        <v>493</v>
      </c>
      <c r="G1054" s="266">
        <v>2.7E-2</v>
      </c>
      <c r="H1054" s="869">
        <v>0.52083333333333337</v>
      </c>
      <c r="I1054" s="1392"/>
      <c r="J1054" s="1392"/>
      <c r="K1054" s="1393"/>
      <c r="L1054" s="870">
        <v>0.3125</v>
      </c>
      <c r="M1054" s="479"/>
      <c r="N1054" s="219"/>
      <c r="O1054" s="229"/>
      <c r="P1054" s="230"/>
      <c r="Q1054" s="229"/>
      <c r="R1054" s="229"/>
      <c r="S1054" s="272"/>
      <c r="T1054" s="229"/>
      <c r="U1054" s="229"/>
      <c r="V1054" s="229"/>
      <c r="W1054" s="273"/>
      <c r="X1054" s="229"/>
      <c r="Y1054" s="230"/>
      <c r="Z1054" s="230"/>
    </row>
    <row r="1055" spans="3:26" ht="19">
      <c r="C1055" s="219"/>
      <c r="D1055" s="508">
        <v>45562</v>
      </c>
      <c r="E1055" s="266">
        <v>2.7E-2</v>
      </c>
      <c r="F1055" s="266" t="s">
        <v>665</v>
      </c>
      <c r="G1055" s="266">
        <v>2.5999999999999999E-2</v>
      </c>
      <c r="H1055" s="869">
        <v>0.52083333333333337</v>
      </c>
      <c r="I1055" s="1392"/>
      <c r="J1055" s="1392"/>
      <c r="K1055" s="1393"/>
      <c r="L1055" s="870">
        <v>0.3125</v>
      </c>
      <c r="M1055" s="479"/>
      <c r="N1055" s="219"/>
      <c r="O1055" s="221" t="s">
        <v>813</v>
      </c>
      <c r="P1055" s="274">
        <v>0.1</v>
      </c>
      <c r="Q1055" s="257">
        <v>7.6066666666665908E-2</v>
      </c>
      <c r="R1055" s="258">
        <v>3.0000000000001137E-2</v>
      </c>
      <c r="S1055" s="274">
        <v>1</v>
      </c>
      <c r="T1055" s="275">
        <v>0.14410000000000001</v>
      </c>
      <c r="U1055" s="259">
        <v>-34.355269841269219</v>
      </c>
      <c r="V1055" s="260">
        <v>60.5</v>
      </c>
      <c r="W1055" s="276">
        <v>2.08</v>
      </c>
      <c r="X1055" s="227">
        <v>71.458961269839975</v>
      </c>
      <c r="Y1055" s="261"/>
      <c r="Z1055" s="261"/>
    </row>
    <row r="1056" spans="3:26" ht="19">
      <c r="C1056" s="219"/>
      <c r="D1056" s="508">
        <v>45534</v>
      </c>
      <c r="E1056" s="266">
        <v>2.5999999999999999E-2</v>
      </c>
      <c r="F1056" s="266" t="s">
        <v>665</v>
      </c>
      <c r="G1056" s="266">
        <v>2.5999999999999999E-2</v>
      </c>
      <c r="H1056" s="869">
        <v>0.52083333333333337</v>
      </c>
      <c r="I1056" s="1392"/>
      <c r="J1056" s="1392"/>
      <c r="K1056" s="1393"/>
      <c r="L1056" s="870">
        <v>0.3125</v>
      </c>
      <c r="M1056" s="479"/>
      <c r="N1056" s="219"/>
      <c r="O1056" s="221"/>
      <c r="P1056" s="262"/>
      <c r="Q1056" s="257"/>
      <c r="R1056" s="258"/>
      <c r="S1056" s="225"/>
      <c r="T1056" s="262"/>
      <c r="U1056" s="259"/>
      <c r="V1056" s="260"/>
      <c r="W1056" s="225"/>
      <c r="X1056" s="227"/>
      <c r="Y1056" s="261"/>
      <c r="Z1056" s="261"/>
    </row>
    <row r="1057" spans="3:26" ht="19">
      <c r="C1057" s="219"/>
      <c r="D1057" s="508">
        <v>45499</v>
      </c>
      <c r="E1057" s="266">
        <v>2.5999999999999999E-2</v>
      </c>
      <c r="F1057" s="266" t="s">
        <v>495</v>
      </c>
      <c r="G1057" s="266">
        <v>2.5999999999999999E-2</v>
      </c>
      <c r="H1057" s="869">
        <v>0.52083333333333337</v>
      </c>
      <c r="I1057" s="1392"/>
      <c r="J1057" s="1392"/>
      <c r="K1057" s="1393"/>
      <c r="L1057" s="870">
        <v>0.3125</v>
      </c>
      <c r="M1057" s="479"/>
      <c r="N1057" s="219"/>
      <c r="O1057" s="221"/>
      <c r="P1057" s="262"/>
      <c r="Q1057" s="257"/>
      <c r="R1057" s="258"/>
      <c r="S1057" s="225"/>
      <c r="T1057" s="262"/>
      <c r="U1057" s="259"/>
      <c r="V1057" s="260"/>
      <c r="W1057" s="225"/>
      <c r="X1057" s="227"/>
      <c r="Y1057" s="261"/>
      <c r="Z1057" s="261"/>
    </row>
    <row r="1058" spans="3:26" ht="19">
      <c r="C1058" s="219"/>
      <c r="D1058" s="508">
        <v>45471</v>
      </c>
      <c r="E1058" s="266">
        <v>2.5999999999999999E-2</v>
      </c>
      <c r="F1058" s="266" t="s">
        <v>493</v>
      </c>
      <c r="G1058" s="266">
        <v>2.8000000000000001E-2</v>
      </c>
      <c r="H1058" s="869">
        <v>0.52083333333333337</v>
      </c>
      <c r="I1058" s="1392"/>
      <c r="J1058" s="1392"/>
      <c r="K1058" s="1393"/>
      <c r="L1058" s="870">
        <v>0.3125</v>
      </c>
      <c r="M1058" s="479"/>
      <c r="N1058" s="219"/>
      <c r="O1058" s="263"/>
      <c r="P1058" s="263"/>
      <c r="Q1058" s="263"/>
      <c r="R1058" s="263"/>
      <c r="S1058" s="263"/>
      <c r="T1058" s="263"/>
      <c r="U1058" s="263"/>
      <c r="V1058" s="263"/>
      <c r="W1058" s="263"/>
      <c r="X1058" s="263"/>
      <c r="Y1058" s="263"/>
      <c r="Z1058" s="263"/>
    </row>
    <row r="1059" spans="3:26" ht="20" thickBot="1">
      <c r="C1059" s="219"/>
      <c r="D1059" s="508">
        <v>45443</v>
      </c>
      <c r="E1059" s="266">
        <v>2.8000000000000001E-2</v>
      </c>
      <c r="F1059" s="266" t="s">
        <v>666</v>
      </c>
      <c r="G1059" s="266">
        <v>2.8000000000000001E-2</v>
      </c>
      <c r="H1059" s="869">
        <v>0.52083333333333337</v>
      </c>
      <c r="I1059" s="1394"/>
      <c r="J1059" s="1394"/>
      <c r="K1059" s="1395"/>
      <c r="L1059" s="870">
        <v>0.3125</v>
      </c>
      <c r="M1059" s="479"/>
      <c r="N1059" s="219"/>
      <c r="O1059" s="263"/>
      <c r="P1059" s="263"/>
      <c r="Q1059" s="263"/>
      <c r="R1059" s="263"/>
      <c r="S1059" s="263"/>
      <c r="T1059" s="263"/>
      <c r="U1059" s="263"/>
      <c r="V1059" s="263"/>
      <c r="W1059" s="263"/>
      <c r="X1059" s="263"/>
      <c r="Y1059" s="263"/>
      <c r="Z1059" s="263"/>
    </row>
    <row r="1060" spans="3:26" ht="20" thickBot="1">
      <c r="C1060" s="218">
        <v>10</v>
      </c>
      <c r="D1060" s="498" t="s">
        <v>30</v>
      </c>
      <c r="E1060" s="1147" t="s">
        <v>1077</v>
      </c>
      <c r="F1060" s="1148"/>
      <c r="G1060" s="1149"/>
      <c r="H1060" s="861" t="s">
        <v>790</v>
      </c>
      <c r="I1060" s="1404" t="s">
        <v>633</v>
      </c>
      <c r="J1060" s="1404"/>
      <c r="K1060" s="1405"/>
      <c r="L1060" s="862" t="s">
        <v>430</v>
      </c>
      <c r="M1060" s="332" t="s">
        <v>431</v>
      </c>
      <c r="N1060" s="219" t="s">
        <v>105</v>
      </c>
      <c r="O1060" s="220" t="s">
        <v>800</v>
      </c>
      <c r="P1060" s="220" t="s">
        <v>801</v>
      </c>
      <c r="Q1060" s="220" t="s">
        <v>802</v>
      </c>
      <c r="R1060" s="220" t="s">
        <v>803</v>
      </c>
      <c r="S1060" s="220" t="s">
        <v>804</v>
      </c>
      <c r="T1060" s="220" t="s">
        <v>805</v>
      </c>
      <c r="U1060" s="220" t="s">
        <v>806</v>
      </c>
      <c r="V1060" s="220" t="s">
        <v>807</v>
      </c>
      <c r="W1060" s="220" t="s">
        <v>808</v>
      </c>
      <c r="X1060" s="220" t="s">
        <v>809</v>
      </c>
      <c r="Y1060" s="220" t="s">
        <v>75</v>
      </c>
      <c r="Z1060" s="220" t="s">
        <v>75</v>
      </c>
    </row>
    <row r="1061" spans="3:26" ht="19">
      <c r="C1061" s="219"/>
      <c r="D1061" s="504" t="s">
        <v>432</v>
      </c>
      <c r="E1061" s="1150"/>
      <c r="F1061" s="1151"/>
      <c r="G1061" s="1152"/>
      <c r="H1061" s="863" t="s">
        <v>906</v>
      </c>
      <c r="I1061" s="1390" t="s">
        <v>1076</v>
      </c>
      <c r="J1061" s="1390"/>
      <c r="K1061" s="1391"/>
      <c r="L1061" s="864"/>
      <c r="M1061" s="474" t="s">
        <v>1077</v>
      </c>
      <c r="N1061" s="219"/>
      <c r="O1061" s="221" t="s">
        <v>810</v>
      </c>
      <c r="P1061" s="222">
        <v>0.1</v>
      </c>
      <c r="Q1061" s="223">
        <v>2.7E-2</v>
      </c>
      <c r="R1061" s="224">
        <v>1.5999999999991132E-2</v>
      </c>
      <c r="S1061" s="225"/>
      <c r="T1061" s="221">
        <v>5.6499999999991134E-2</v>
      </c>
      <c r="U1061" s="223">
        <v>-13.31</v>
      </c>
      <c r="V1061" s="222">
        <v>91.8</v>
      </c>
      <c r="W1061" s="226">
        <v>2</v>
      </c>
      <c r="X1061" s="227">
        <v>26.62</v>
      </c>
      <c r="Y1061" s="225"/>
      <c r="Z1061" s="225"/>
    </row>
    <row r="1062" spans="3:26" ht="19">
      <c r="C1062" s="219"/>
      <c r="D1062" s="505" t="s">
        <v>433</v>
      </c>
      <c r="E1062" s="1163"/>
      <c r="F1062" s="1164"/>
      <c r="G1062" s="1165"/>
      <c r="H1062" s="874" t="s">
        <v>907</v>
      </c>
      <c r="I1062" s="1392"/>
      <c r="J1062" s="1392"/>
      <c r="K1062" s="1393"/>
      <c r="L1062" s="864"/>
      <c r="M1062" s="334"/>
      <c r="N1062" s="219"/>
      <c r="O1062" s="219"/>
      <c r="P1062" s="219"/>
      <c r="Q1062" s="219"/>
      <c r="R1062" s="228"/>
      <c r="S1062" s="229"/>
      <c r="T1062" s="219"/>
      <c r="U1062" s="219"/>
      <c r="V1062" s="219"/>
      <c r="W1062" s="229"/>
      <c r="X1062" s="229"/>
      <c r="Y1062" s="230"/>
      <c r="Z1062" s="230"/>
    </row>
    <row r="1063" spans="3:26" ht="19">
      <c r="C1063" s="219"/>
      <c r="D1063" s="505" t="s">
        <v>434</v>
      </c>
      <c r="E1063" s="1178">
        <v>3.0000000000000001E-3</v>
      </c>
      <c r="F1063" s="1179"/>
      <c r="G1063" s="1180"/>
      <c r="H1063" s="863"/>
      <c r="I1063" s="1392"/>
      <c r="J1063" s="1392"/>
      <c r="K1063" s="1393"/>
      <c r="L1063" s="864"/>
      <c r="M1063" s="334"/>
      <c r="N1063" s="219"/>
      <c r="O1063" s="231" t="s">
        <v>811</v>
      </c>
      <c r="P1063" s="232">
        <v>0.1</v>
      </c>
      <c r="Q1063" s="233">
        <v>4.0500000000000001E-2</v>
      </c>
      <c r="R1063" s="234">
        <v>1.7000000000000001E-2</v>
      </c>
      <c r="S1063" s="235">
        <v>1</v>
      </c>
      <c r="T1063" s="231">
        <v>7.775E-2</v>
      </c>
      <c r="U1063" s="236">
        <v>-18.315973451330308</v>
      </c>
      <c r="V1063" s="237">
        <v>60.5</v>
      </c>
      <c r="W1063" s="238">
        <v>3.27</v>
      </c>
      <c r="X1063" s="239">
        <v>59.893233185850107</v>
      </c>
      <c r="Y1063" s="240"/>
      <c r="Z1063" s="240">
        <v>4.4350000000000005</v>
      </c>
    </row>
    <row r="1064" spans="3:26" ht="20" thickBot="1">
      <c r="C1064" s="219"/>
      <c r="D1064" s="506" t="s">
        <v>435</v>
      </c>
      <c r="E1064" s="1160">
        <v>0.5625</v>
      </c>
      <c r="F1064" s="1161"/>
      <c r="G1064" s="1162"/>
      <c r="H1064" s="865">
        <v>0.35416666666666663</v>
      </c>
      <c r="I1064" s="1392"/>
      <c r="J1064" s="1392"/>
      <c r="K1064" s="1393"/>
      <c r="L1064" s="866">
        <v>0.79166666666666663</v>
      </c>
      <c r="M1064" s="337">
        <v>0.64583333333333326</v>
      </c>
      <c r="N1064" s="219"/>
      <c r="O1064" s="241" t="s">
        <v>812</v>
      </c>
      <c r="P1064" s="242">
        <v>0.1</v>
      </c>
      <c r="Q1064" s="243">
        <v>2.5266666666666663E-2</v>
      </c>
      <c r="R1064" s="244">
        <v>1.7000000000000001E-2</v>
      </c>
      <c r="S1064" s="245">
        <v>1</v>
      </c>
      <c r="T1064" s="246">
        <v>5.4899999999999997E-2</v>
      </c>
      <c r="U1064" s="247">
        <v>-12.933079646019728</v>
      </c>
      <c r="V1064" s="248">
        <v>60.5</v>
      </c>
      <c r="W1064" s="277">
        <v>2.2200000000000002</v>
      </c>
      <c r="X1064" s="250">
        <v>28.711436814163797</v>
      </c>
      <c r="Y1064" s="251"/>
      <c r="Z1064" s="251"/>
    </row>
    <row r="1065" spans="3:26" ht="20" thickBot="1">
      <c r="C1065" s="219"/>
      <c r="D1065" s="507" t="s">
        <v>436</v>
      </c>
      <c r="E1065" s="264" t="s">
        <v>29</v>
      </c>
      <c r="F1065" s="264" t="s">
        <v>28</v>
      </c>
      <c r="G1065" s="265" t="s">
        <v>27</v>
      </c>
      <c r="H1065" s="867" t="s">
        <v>793</v>
      </c>
      <c r="I1065" s="1392"/>
      <c r="J1065" s="1392"/>
      <c r="K1065" s="1393"/>
      <c r="L1065" s="868" t="s">
        <v>1002</v>
      </c>
      <c r="M1065" s="339"/>
      <c r="N1065" s="219"/>
      <c r="O1065" s="229"/>
      <c r="P1065" s="230"/>
      <c r="Q1065" s="229"/>
      <c r="R1065" s="229"/>
      <c r="S1065" s="229"/>
      <c r="T1065" s="229"/>
      <c r="U1065" s="254"/>
      <c r="V1065" s="255"/>
      <c r="W1065" s="229"/>
      <c r="X1065" s="254"/>
      <c r="Y1065" s="230"/>
      <c r="Z1065" s="230"/>
    </row>
    <row r="1066" spans="3:26" ht="19">
      <c r="C1066" s="219"/>
      <c r="D1066" s="508">
        <v>45596</v>
      </c>
      <c r="E1066" s="266">
        <v>3.0000000000000001E-3</v>
      </c>
      <c r="F1066" s="266" t="s">
        <v>467</v>
      </c>
      <c r="G1066" s="266">
        <v>2E-3</v>
      </c>
      <c r="H1066" s="869">
        <v>0.52083333333333337</v>
      </c>
      <c r="I1066" s="1392"/>
      <c r="J1066" s="1392"/>
      <c r="K1066" s="1393"/>
      <c r="L1066" s="870">
        <v>0.3125</v>
      </c>
      <c r="M1066" s="475"/>
      <c r="N1066" s="219"/>
      <c r="O1066" s="229"/>
      <c r="P1066" s="230"/>
      <c r="Q1066" s="229"/>
      <c r="R1066" s="229"/>
      <c r="S1066" s="229"/>
      <c r="T1066" s="229"/>
      <c r="U1066" s="229"/>
      <c r="V1066" s="229"/>
      <c r="W1066" s="229"/>
      <c r="X1066" s="229"/>
      <c r="Y1066" s="230"/>
      <c r="Z1066" s="230"/>
    </row>
    <row r="1067" spans="3:26" ht="19">
      <c r="C1067" s="219"/>
      <c r="D1067" s="508">
        <v>45562</v>
      </c>
      <c r="E1067" s="266">
        <v>1E-3</v>
      </c>
      <c r="F1067" s="266" t="s">
        <v>460</v>
      </c>
      <c r="G1067" s="266">
        <v>2E-3</v>
      </c>
      <c r="H1067" s="869">
        <v>0.52083333333333337</v>
      </c>
      <c r="I1067" s="1392"/>
      <c r="J1067" s="1392"/>
      <c r="K1067" s="1393"/>
      <c r="L1067" s="870">
        <v>0.3125</v>
      </c>
      <c r="M1067" s="476"/>
      <c r="N1067" s="219"/>
      <c r="O1067" s="221" t="s">
        <v>813</v>
      </c>
      <c r="P1067" s="222">
        <v>0.1</v>
      </c>
      <c r="Q1067" s="257">
        <v>3.2883333333333334E-2</v>
      </c>
      <c r="R1067" s="258">
        <v>1.7000000000000001E-2</v>
      </c>
      <c r="S1067" s="225">
        <v>1</v>
      </c>
      <c r="T1067" s="231">
        <v>6.6324999999999995E-2</v>
      </c>
      <c r="U1067" s="259">
        <v>-15.624526548675018</v>
      </c>
      <c r="V1067" s="260">
        <v>60.5</v>
      </c>
      <c r="W1067" s="225">
        <v>2</v>
      </c>
      <c r="X1067" s="227">
        <v>31.249053097350036</v>
      </c>
      <c r="Y1067" s="261"/>
      <c r="Z1067" s="261"/>
    </row>
    <row r="1068" spans="3:26" ht="19">
      <c r="C1068" s="219"/>
      <c r="D1068" s="508">
        <v>45534</v>
      </c>
      <c r="E1068" s="266">
        <v>2E-3</v>
      </c>
      <c r="F1068" s="266" t="s">
        <v>460</v>
      </c>
      <c r="G1068" s="266">
        <v>2E-3</v>
      </c>
      <c r="H1068" s="869">
        <v>0.52083333333333337</v>
      </c>
      <c r="I1068" s="1392"/>
      <c r="J1068" s="1392"/>
      <c r="K1068" s="1393"/>
      <c r="L1068" s="870">
        <v>0.3125</v>
      </c>
      <c r="M1068" s="334"/>
      <c r="N1068" s="219"/>
      <c r="O1068" s="221"/>
      <c r="P1068" s="222"/>
      <c r="Q1068" s="257"/>
      <c r="R1068" s="258"/>
      <c r="S1068" s="225"/>
      <c r="T1068" s="231"/>
      <c r="U1068" s="259"/>
      <c r="V1068" s="260"/>
      <c r="W1068" s="225"/>
      <c r="X1068" s="227"/>
      <c r="Y1068" s="261"/>
      <c r="Z1068" s="261"/>
    </row>
    <row r="1069" spans="3:26" ht="19">
      <c r="C1069" s="219"/>
      <c r="D1069" s="508">
        <v>45499</v>
      </c>
      <c r="E1069" s="266">
        <v>2E-3</v>
      </c>
      <c r="F1069" s="266" t="s">
        <v>460</v>
      </c>
      <c r="G1069" s="266">
        <v>1E-3</v>
      </c>
      <c r="H1069" s="869">
        <v>0.52083333333333337</v>
      </c>
      <c r="I1069" s="1392"/>
      <c r="J1069" s="1392"/>
      <c r="K1069" s="1393"/>
      <c r="L1069" s="870">
        <v>0.3125</v>
      </c>
      <c r="M1069" s="334"/>
      <c r="N1069" s="219"/>
      <c r="O1069" s="221"/>
      <c r="P1069" s="262"/>
      <c r="Q1069" s="257"/>
      <c r="R1069" s="258"/>
      <c r="S1069" s="225"/>
      <c r="T1069" s="262"/>
      <c r="U1069" s="259"/>
      <c r="V1069" s="260"/>
      <c r="W1069" s="225"/>
      <c r="X1069" s="227"/>
      <c r="Y1069" s="261"/>
      <c r="Z1069" s="261"/>
    </row>
    <row r="1070" spans="3:26" ht="19">
      <c r="C1070" s="219"/>
      <c r="D1070" s="508">
        <v>45471</v>
      </c>
      <c r="E1070" s="266">
        <v>1E-3</v>
      </c>
      <c r="F1070" s="266" t="s">
        <v>462</v>
      </c>
      <c r="G1070" s="266">
        <v>3.0000000000000001E-3</v>
      </c>
      <c r="H1070" s="869">
        <v>0.52083333333333337</v>
      </c>
      <c r="I1070" s="1392"/>
      <c r="J1070" s="1392"/>
      <c r="K1070" s="1393"/>
      <c r="L1070" s="870">
        <v>0.3125</v>
      </c>
      <c r="M1070" s="334"/>
      <c r="N1070" s="219"/>
      <c r="O1070" s="263"/>
      <c r="P1070" s="263"/>
      <c r="Q1070" s="263"/>
      <c r="R1070" s="263"/>
      <c r="S1070" s="263"/>
      <c r="T1070" s="263"/>
      <c r="U1070" s="263"/>
      <c r="V1070" s="263"/>
      <c r="W1070" s="263"/>
      <c r="X1070" s="263"/>
      <c r="Y1070" s="263"/>
      <c r="Z1070" s="263"/>
    </row>
    <row r="1071" spans="3:26" ht="20" thickBot="1">
      <c r="C1071" s="219"/>
      <c r="D1071" s="508">
        <v>45443</v>
      </c>
      <c r="E1071" s="266">
        <v>2E-3</v>
      </c>
      <c r="F1071" s="266" t="s">
        <v>467</v>
      </c>
      <c r="G1071" s="266">
        <v>3.0000000000000001E-3</v>
      </c>
      <c r="H1071" s="869">
        <v>0.52083333333333337</v>
      </c>
      <c r="I1071" s="1394"/>
      <c r="J1071" s="1394"/>
      <c r="K1071" s="1395"/>
      <c r="L1071" s="870">
        <v>0.3125</v>
      </c>
      <c r="M1071" s="477"/>
      <c r="N1071" s="219"/>
      <c r="O1071" s="263"/>
      <c r="P1071" s="263"/>
      <c r="Q1071" s="263"/>
      <c r="R1071" s="263"/>
      <c r="S1071" s="263"/>
      <c r="T1071" s="263"/>
      <c r="U1071" s="263"/>
      <c r="V1071" s="263"/>
      <c r="W1071" s="263"/>
      <c r="X1071" s="263"/>
      <c r="Y1071" s="263"/>
      <c r="Z1071" s="263"/>
    </row>
    <row r="1072" spans="3:26" ht="20" thickBot="1">
      <c r="C1072" s="278">
        <v>11</v>
      </c>
      <c r="D1072" s="511" t="s">
        <v>30</v>
      </c>
      <c r="E1072" s="1406" t="s">
        <v>9</v>
      </c>
      <c r="F1072" s="1407"/>
      <c r="G1072" s="1408"/>
      <c r="H1072" s="875" t="s">
        <v>790</v>
      </c>
      <c r="I1072" s="1409" t="s">
        <v>633</v>
      </c>
      <c r="J1072" s="1409"/>
      <c r="K1072" s="1410"/>
      <c r="L1072" s="876" t="s">
        <v>430</v>
      </c>
      <c r="M1072" s="480" t="s">
        <v>431</v>
      </c>
      <c r="N1072" s="279" t="s">
        <v>105</v>
      </c>
      <c r="O1072" s="280" t="s">
        <v>800</v>
      </c>
      <c r="P1072" s="280" t="s">
        <v>801</v>
      </c>
      <c r="Q1072" s="280" t="s">
        <v>802</v>
      </c>
      <c r="R1072" s="280" t="s">
        <v>803</v>
      </c>
      <c r="S1072" s="280" t="s">
        <v>804</v>
      </c>
      <c r="T1072" s="280" t="s">
        <v>805</v>
      </c>
      <c r="U1072" s="280" t="s">
        <v>806</v>
      </c>
      <c r="V1072" s="280" t="s">
        <v>807</v>
      </c>
      <c r="W1072" s="280" t="s">
        <v>808</v>
      </c>
      <c r="X1072" s="280" t="s">
        <v>809</v>
      </c>
      <c r="Y1072" s="280" t="s">
        <v>75</v>
      </c>
      <c r="Z1072" s="280" t="s">
        <v>75</v>
      </c>
    </row>
    <row r="1073" spans="3:26" ht="19">
      <c r="C1073" s="279"/>
      <c r="D1073" s="512" t="s">
        <v>432</v>
      </c>
      <c r="E1073" s="1411"/>
      <c r="F1073" s="1412"/>
      <c r="G1073" s="1413"/>
      <c r="H1073" s="877" t="s">
        <v>796</v>
      </c>
      <c r="I1073" s="1414" t="s">
        <v>1079</v>
      </c>
      <c r="J1073" s="1414"/>
      <c r="K1073" s="1415"/>
      <c r="L1073" s="878"/>
      <c r="M1073" s="474" t="s">
        <v>9</v>
      </c>
      <c r="N1073" s="279"/>
      <c r="O1073" s="262" t="s">
        <v>810</v>
      </c>
      <c r="P1073" s="262">
        <v>0.1</v>
      </c>
      <c r="Q1073" s="281">
        <v>3.3E-4</v>
      </c>
      <c r="R1073" s="282">
        <v>1.500000000000945E-4</v>
      </c>
      <c r="S1073" s="261">
        <v>1</v>
      </c>
      <c r="T1073" s="262">
        <v>4.55000000000029E-4</v>
      </c>
      <c r="U1073" s="281">
        <v>-22.85</v>
      </c>
      <c r="V1073" s="262">
        <v>60.5</v>
      </c>
      <c r="W1073" s="261">
        <v>2</v>
      </c>
      <c r="X1073" s="283"/>
      <c r="Y1073" s="261"/>
      <c r="Z1073" s="261"/>
    </row>
    <row r="1074" spans="3:26" ht="19">
      <c r="C1074" s="279"/>
      <c r="D1074" s="513" t="s">
        <v>433</v>
      </c>
      <c r="E1074" s="1420"/>
      <c r="F1074" s="1421"/>
      <c r="G1074" s="1422"/>
      <c r="H1074" s="877" t="s">
        <v>796</v>
      </c>
      <c r="I1074" s="1416"/>
      <c r="J1074" s="1416"/>
      <c r="K1074" s="1417"/>
      <c r="L1074" s="878"/>
      <c r="M1074" s="481"/>
      <c r="N1074" s="279"/>
      <c r="O1074" s="279"/>
      <c r="P1074" s="279"/>
      <c r="Q1074" s="279"/>
      <c r="R1074" s="284"/>
      <c r="S1074" s="230"/>
      <c r="T1074" s="279"/>
      <c r="U1074" s="279"/>
      <c r="V1074" s="279"/>
      <c r="W1074" s="279"/>
      <c r="X1074" s="230"/>
      <c r="Y1074" s="230"/>
      <c r="Z1074" s="230"/>
    </row>
    <row r="1075" spans="3:26" ht="19">
      <c r="C1075" s="279"/>
      <c r="D1075" s="513" t="s">
        <v>434</v>
      </c>
      <c r="E1075" s="1423" t="s">
        <v>1078</v>
      </c>
      <c r="F1075" s="1424"/>
      <c r="G1075" s="1425"/>
      <c r="H1075" s="877"/>
      <c r="I1075" s="1416"/>
      <c r="J1075" s="1416"/>
      <c r="K1075" s="1417"/>
      <c r="L1075" s="878"/>
      <c r="M1075" s="481"/>
      <c r="N1075" s="279"/>
      <c r="O1075" s="285" t="s">
        <v>811</v>
      </c>
      <c r="P1075" s="285">
        <v>0.1</v>
      </c>
      <c r="Q1075" s="286">
        <v>2.9999999999999997E-4</v>
      </c>
      <c r="R1075" s="287">
        <v>2.0000000000000001E-4</v>
      </c>
      <c r="S1075" s="288">
        <v>1</v>
      </c>
      <c r="T1075" s="285">
        <v>6.4999999999999997E-4</v>
      </c>
      <c r="U1075" s="289">
        <v>-32.642857142855057</v>
      </c>
      <c r="V1075" s="290">
        <v>60.5</v>
      </c>
      <c r="W1075" s="291">
        <v>2.81</v>
      </c>
      <c r="X1075" s="292">
        <v>91.726428571422716</v>
      </c>
      <c r="Y1075" s="240"/>
      <c r="Z1075" s="240"/>
    </row>
    <row r="1076" spans="3:26" ht="20" thickBot="1">
      <c r="C1076" s="279"/>
      <c r="D1076" s="514" t="s">
        <v>435</v>
      </c>
      <c r="E1076" s="1426">
        <v>0.64583333333333337</v>
      </c>
      <c r="F1076" s="1427"/>
      <c r="G1076" s="1428"/>
      <c r="H1076" s="879">
        <v>0.4375</v>
      </c>
      <c r="I1076" s="1416"/>
      <c r="J1076" s="1416"/>
      <c r="K1076" s="1417"/>
      <c r="L1076" s="880">
        <v>0.875</v>
      </c>
      <c r="M1076" s="482">
        <v>0.72916666666666663</v>
      </c>
      <c r="N1076" s="279"/>
      <c r="O1076" s="293" t="s">
        <v>812</v>
      </c>
      <c r="P1076" s="293">
        <v>0.1</v>
      </c>
      <c r="Q1076" s="294">
        <v>4.0000000000000002E-4</v>
      </c>
      <c r="R1076" s="295">
        <v>2.0000000000000001E-4</v>
      </c>
      <c r="S1076" s="296">
        <v>1</v>
      </c>
      <c r="T1076" s="297">
        <v>8.0000000000000004E-4</v>
      </c>
      <c r="U1076" s="298">
        <v>-40.175824175821617</v>
      </c>
      <c r="V1076" s="299">
        <v>60.5</v>
      </c>
      <c r="W1076" s="300">
        <v>2.48</v>
      </c>
      <c r="X1076" s="301">
        <v>99.636043956037611</v>
      </c>
      <c r="Y1076" s="251"/>
      <c r="Z1076" s="251"/>
    </row>
    <row r="1077" spans="3:26" ht="20" thickBot="1">
      <c r="C1077" s="279"/>
      <c r="D1077" s="515" t="s">
        <v>436</v>
      </c>
      <c r="E1077" s="302" t="s">
        <v>29</v>
      </c>
      <c r="F1077" s="302" t="s">
        <v>28</v>
      </c>
      <c r="G1077" s="303" t="s">
        <v>27</v>
      </c>
      <c r="H1077" s="881" t="s">
        <v>793</v>
      </c>
      <c r="I1077" s="1416"/>
      <c r="J1077" s="1416"/>
      <c r="K1077" s="1417"/>
      <c r="L1077" s="882" t="s">
        <v>1002</v>
      </c>
      <c r="M1077" s="483"/>
      <c r="N1077" s="279"/>
      <c r="O1077" s="230"/>
      <c r="P1077" s="230"/>
      <c r="Q1077" s="230"/>
      <c r="R1077" s="230"/>
      <c r="S1077" s="272"/>
      <c r="T1077" s="230"/>
      <c r="U1077" s="304"/>
      <c r="V1077" s="305"/>
      <c r="W1077" s="306"/>
      <c r="X1077" s="304"/>
      <c r="Y1077" s="230"/>
      <c r="Z1077" s="230"/>
    </row>
    <row r="1078" spans="3:26" ht="19">
      <c r="C1078" s="279"/>
      <c r="D1078" s="510">
        <v>45616</v>
      </c>
      <c r="E1078" s="307" t="s">
        <v>1125</v>
      </c>
      <c r="F1078" s="307" t="s">
        <v>1030</v>
      </c>
      <c r="G1078" s="307" t="s">
        <v>1029</v>
      </c>
      <c r="H1078" s="869">
        <v>0.64583333333333337</v>
      </c>
      <c r="I1078" s="1416"/>
      <c r="J1078" s="1416"/>
      <c r="K1078" s="1417"/>
      <c r="L1078" s="883">
        <v>0.4375</v>
      </c>
      <c r="M1078" s="484"/>
      <c r="N1078" s="279"/>
      <c r="O1078" s="230"/>
      <c r="P1078" s="230"/>
      <c r="Q1078" s="230"/>
      <c r="R1078" s="230"/>
      <c r="S1078" s="272"/>
      <c r="T1078" s="230"/>
      <c r="U1078" s="230"/>
      <c r="V1078" s="230"/>
      <c r="W1078" s="306"/>
      <c r="X1078" s="230"/>
      <c r="Y1078" s="230"/>
      <c r="Z1078" s="230"/>
    </row>
    <row r="1079" spans="3:26" ht="19">
      <c r="C1079" s="279"/>
      <c r="D1079" s="510">
        <v>45610</v>
      </c>
      <c r="E1079" s="307" t="s">
        <v>1029</v>
      </c>
      <c r="F1079" s="307" t="s">
        <v>1030</v>
      </c>
      <c r="G1079" s="307" t="s">
        <v>988</v>
      </c>
      <c r="H1079" s="869">
        <v>0.66666666666666663</v>
      </c>
      <c r="I1079" s="1416"/>
      <c r="J1079" s="1416"/>
      <c r="K1079" s="1417"/>
      <c r="L1079" s="883">
        <v>0.45833333333333331</v>
      </c>
      <c r="M1079" s="485"/>
      <c r="N1079" s="279"/>
      <c r="O1079" s="262" t="s">
        <v>813</v>
      </c>
      <c r="P1079" s="308">
        <v>-0.1</v>
      </c>
      <c r="Q1079" s="309">
        <v>3.4333333333333329E-4</v>
      </c>
      <c r="R1079" s="282">
        <v>2.0000000000000001E-4</v>
      </c>
      <c r="S1079" s="310">
        <v>-1</v>
      </c>
      <c r="T1079" s="285">
        <v>7.1499999999999992E-4</v>
      </c>
      <c r="U1079" s="311">
        <v>-35.907142857140563</v>
      </c>
      <c r="V1079" s="312">
        <v>60.5</v>
      </c>
      <c r="W1079" s="313">
        <v>2</v>
      </c>
      <c r="X1079" s="283">
        <v>71.814285714281127</v>
      </c>
      <c r="Y1079" s="261" t="s">
        <v>814</v>
      </c>
      <c r="Z1079" s="261"/>
    </row>
    <row r="1080" spans="3:26" ht="19">
      <c r="C1080" s="279"/>
      <c r="D1080" s="510">
        <v>45602</v>
      </c>
      <c r="E1080" s="307" t="s">
        <v>988</v>
      </c>
      <c r="F1080" s="307" t="s">
        <v>989</v>
      </c>
      <c r="G1080" s="307" t="s">
        <v>990</v>
      </c>
      <c r="H1080" s="869">
        <v>0.64583333333333337</v>
      </c>
      <c r="I1080" s="1416"/>
      <c r="J1080" s="1416"/>
      <c r="K1080" s="1417"/>
      <c r="L1080" s="883">
        <v>0.4375</v>
      </c>
      <c r="M1080" s="481"/>
      <c r="N1080" s="279"/>
      <c r="O1080" s="262" t="s">
        <v>813</v>
      </c>
      <c r="P1080" s="308">
        <v>0.1</v>
      </c>
      <c r="Q1080" s="309">
        <v>3.4333333333333329E-4</v>
      </c>
      <c r="R1080" s="282">
        <v>0</v>
      </c>
      <c r="S1080" s="310">
        <v>1</v>
      </c>
      <c r="T1080" s="285">
        <v>7.1499999999999992E-4</v>
      </c>
      <c r="U1080" s="311">
        <v>-35.907142857140563</v>
      </c>
      <c r="V1080" s="312">
        <v>60.5</v>
      </c>
      <c r="W1080" s="313">
        <v>2</v>
      </c>
      <c r="X1080" s="283">
        <v>71.814285714281127</v>
      </c>
      <c r="Y1080" s="261" t="s">
        <v>814</v>
      </c>
      <c r="Z1080" s="261"/>
    </row>
    <row r="1081" spans="3:26" ht="19">
      <c r="C1081" s="279"/>
      <c r="D1081" s="510">
        <v>45595</v>
      </c>
      <c r="E1081" s="307" t="s">
        <v>990</v>
      </c>
      <c r="F1081" s="307" t="s">
        <v>991</v>
      </c>
      <c r="G1081" s="307" t="s">
        <v>992</v>
      </c>
      <c r="H1081" s="869">
        <v>0.60416666666666663</v>
      </c>
      <c r="I1081" s="1416"/>
      <c r="J1081" s="1416"/>
      <c r="K1081" s="1417"/>
      <c r="L1081" s="883">
        <v>0.39583333333333331</v>
      </c>
      <c r="M1081" s="481"/>
      <c r="N1081" s="279"/>
      <c r="O1081" s="262"/>
      <c r="P1081" s="262"/>
      <c r="Q1081" s="309"/>
      <c r="R1081" s="282"/>
      <c r="S1081" s="261"/>
      <c r="T1081" s="262"/>
      <c r="U1081" s="311"/>
      <c r="V1081" s="312"/>
      <c r="W1081" s="261"/>
      <c r="X1081" s="283"/>
      <c r="Y1081" s="261"/>
      <c r="Z1081" s="261"/>
    </row>
    <row r="1082" spans="3:26" ht="19">
      <c r="C1082" s="279"/>
      <c r="D1082" s="510">
        <v>45588</v>
      </c>
      <c r="E1082" s="307" t="s">
        <v>992</v>
      </c>
      <c r="F1082" s="307" t="s">
        <v>993</v>
      </c>
      <c r="G1082" s="307" t="s">
        <v>994</v>
      </c>
      <c r="H1082" s="869">
        <v>0.60416666666666663</v>
      </c>
      <c r="I1082" s="1416"/>
      <c r="J1082" s="1416"/>
      <c r="K1082" s="1417"/>
      <c r="L1082" s="883">
        <v>0.39583333333333331</v>
      </c>
      <c r="M1082" s="481"/>
      <c r="N1082" s="279"/>
      <c r="O1082" s="314"/>
      <c r="P1082" s="314"/>
      <c r="Q1082" s="314"/>
      <c r="R1082" s="314"/>
      <c r="S1082" s="314"/>
      <c r="T1082" s="314"/>
      <c r="U1082" s="314"/>
      <c r="V1082" s="314"/>
      <c r="W1082" s="314"/>
      <c r="X1082" s="314"/>
      <c r="Y1082" s="314"/>
      <c r="Z1082" s="314"/>
    </row>
    <row r="1083" spans="3:26" ht="20" thickBot="1">
      <c r="C1083" s="279"/>
      <c r="D1083" s="516">
        <v>45582</v>
      </c>
      <c r="E1083" s="315" t="s">
        <v>994</v>
      </c>
      <c r="F1083" s="315" t="s">
        <v>995</v>
      </c>
      <c r="G1083" s="315" t="s">
        <v>996</v>
      </c>
      <c r="H1083" s="869">
        <v>0.625</v>
      </c>
      <c r="I1083" s="1418"/>
      <c r="J1083" s="1418"/>
      <c r="K1083" s="1419"/>
      <c r="L1083" s="884">
        <v>0.41666666666666669</v>
      </c>
      <c r="M1083" s="486"/>
      <c r="N1083" s="279"/>
      <c r="O1083" s="314"/>
      <c r="P1083" s="314"/>
      <c r="Q1083" s="314"/>
      <c r="R1083" s="314"/>
      <c r="S1083" s="314"/>
      <c r="T1083" s="314"/>
      <c r="U1083" s="314"/>
      <c r="V1083" s="314"/>
      <c r="W1083" s="314"/>
      <c r="X1083" s="314"/>
      <c r="Y1083" s="314"/>
      <c r="Z1083" s="314"/>
    </row>
    <row r="1084" spans="3:26" ht="20" thickBot="1">
      <c r="C1084" s="218">
        <v>12</v>
      </c>
      <c r="D1084" s="498" t="s">
        <v>30</v>
      </c>
      <c r="E1084" s="1147" t="s">
        <v>7</v>
      </c>
      <c r="F1084" s="1148"/>
      <c r="G1084" s="1149"/>
      <c r="H1084" s="861" t="s">
        <v>790</v>
      </c>
      <c r="I1084" s="1404" t="s">
        <v>633</v>
      </c>
      <c r="J1084" s="1404"/>
      <c r="K1084" s="1405"/>
      <c r="L1084" s="862" t="s">
        <v>430</v>
      </c>
      <c r="M1084" s="332" t="s">
        <v>431</v>
      </c>
      <c r="N1084" s="219" t="s">
        <v>105</v>
      </c>
      <c r="O1084" s="220" t="s">
        <v>800</v>
      </c>
      <c r="P1084" s="220" t="s">
        <v>801</v>
      </c>
      <c r="Q1084" s="220" t="s">
        <v>802</v>
      </c>
      <c r="R1084" s="220" t="s">
        <v>803</v>
      </c>
      <c r="S1084" s="220" t="s">
        <v>804</v>
      </c>
      <c r="T1084" s="220" t="s">
        <v>805</v>
      </c>
      <c r="U1084" s="220" t="s">
        <v>806</v>
      </c>
      <c r="V1084" s="220" t="s">
        <v>807</v>
      </c>
      <c r="W1084" s="220" t="s">
        <v>808</v>
      </c>
      <c r="X1084" s="220" t="s">
        <v>809</v>
      </c>
      <c r="Y1084" s="220" t="s">
        <v>75</v>
      </c>
      <c r="Z1084" s="220" t="s">
        <v>75</v>
      </c>
    </row>
    <row r="1085" spans="3:26" ht="19">
      <c r="C1085" s="219"/>
      <c r="D1085" s="504" t="s">
        <v>432</v>
      </c>
      <c r="E1085" s="1150"/>
      <c r="F1085" s="1151"/>
      <c r="G1085" s="1152"/>
      <c r="H1085" s="863" t="s">
        <v>1129</v>
      </c>
      <c r="I1085" s="1390" t="s">
        <v>1065</v>
      </c>
      <c r="J1085" s="1390"/>
      <c r="K1085" s="1391"/>
      <c r="L1085" s="864"/>
      <c r="M1085" s="474" t="s">
        <v>7</v>
      </c>
      <c r="N1085" s="219"/>
      <c r="O1085" s="221" t="s">
        <v>810</v>
      </c>
      <c r="P1085" s="222">
        <v>0.1</v>
      </c>
      <c r="Q1085" s="223">
        <v>2.7E-2</v>
      </c>
      <c r="R1085" s="224">
        <v>1.5999999999991132E-2</v>
      </c>
      <c r="S1085" s="225"/>
      <c r="T1085" s="221">
        <v>5.6499999999991134E-2</v>
      </c>
      <c r="U1085" s="223">
        <v>-13.31</v>
      </c>
      <c r="V1085" s="222">
        <v>91.8</v>
      </c>
      <c r="W1085" s="226">
        <v>2</v>
      </c>
      <c r="X1085" s="227">
        <v>26.62</v>
      </c>
      <c r="Y1085" s="225"/>
      <c r="Z1085" s="225"/>
    </row>
    <row r="1086" spans="3:26" ht="19">
      <c r="C1086" s="219"/>
      <c r="D1086" s="505" t="s">
        <v>433</v>
      </c>
      <c r="E1086" s="1163"/>
      <c r="F1086" s="1164"/>
      <c r="G1086" s="1165"/>
      <c r="H1086" s="863" t="s">
        <v>1129</v>
      </c>
      <c r="I1086" s="1392"/>
      <c r="J1086" s="1392"/>
      <c r="K1086" s="1393"/>
      <c r="L1086" s="864"/>
      <c r="M1086" s="334"/>
      <c r="N1086" s="219"/>
      <c r="O1086" s="219"/>
      <c r="P1086" s="219"/>
      <c r="Q1086" s="219"/>
      <c r="R1086" s="228"/>
      <c r="S1086" s="229"/>
      <c r="T1086" s="219"/>
      <c r="U1086" s="219"/>
      <c r="V1086" s="219"/>
      <c r="W1086" s="229"/>
      <c r="X1086" s="229"/>
      <c r="Y1086" s="230"/>
      <c r="Z1086" s="230"/>
    </row>
    <row r="1087" spans="3:26" ht="19">
      <c r="C1087" s="219"/>
      <c r="D1087" s="505" t="s">
        <v>434</v>
      </c>
      <c r="E1087" s="1178"/>
      <c r="F1087" s="1179"/>
      <c r="G1087" s="1180"/>
      <c r="H1087" s="863"/>
      <c r="I1087" s="1392"/>
      <c r="J1087" s="1392"/>
      <c r="K1087" s="1393"/>
      <c r="L1087" s="864"/>
      <c r="M1087" s="334"/>
      <c r="N1087" s="219"/>
      <c r="O1087" s="231" t="s">
        <v>811</v>
      </c>
      <c r="P1087" s="232">
        <v>0.1</v>
      </c>
      <c r="Q1087" s="233">
        <v>4.0500000000000001E-2</v>
      </c>
      <c r="R1087" s="234">
        <v>1.7000000000000001E-2</v>
      </c>
      <c r="S1087" s="235">
        <v>1</v>
      </c>
      <c r="T1087" s="231">
        <v>7.775E-2</v>
      </c>
      <c r="U1087" s="236">
        <v>-18.315973451330308</v>
      </c>
      <c r="V1087" s="237">
        <v>60.5</v>
      </c>
      <c r="W1087" s="238">
        <v>3.27</v>
      </c>
      <c r="X1087" s="239">
        <v>59.893233185850107</v>
      </c>
      <c r="Y1087" s="240"/>
      <c r="Z1087" s="240">
        <v>4.4350000000000005</v>
      </c>
    </row>
    <row r="1088" spans="3:26" ht="20" thickBot="1">
      <c r="C1088" s="219"/>
      <c r="D1088" s="506" t="s">
        <v>435</v>
      </c>
      <c r="E1088" s="1160">
        <v>0.79166666666666663</v>
      </c>
      <c r="F1088" s="1161"/>
      <c r="G1088" s="1162"/>
      <c r="H1088" s="865">
        <v>0.58333333333333326</v>
      </c>
      <c r="I1088" s="1392"/>
      <c r="J1088" s="1392"/>
      <c r="K1088" s="1393"/>
      <c r="L1088" s="866">
        <v>2.0833333333333332E-2</v>
      </c>
      <c r="M1088" s="337">
        <v>0.875</v>
      </c>
      <c r="N1088" s="219"/>
      <c r="O1088" s="241" t="s">
        <v>812</v>
      </c>
      <c r="P1088" s="242">
        <v>0.1</v>
      </c>
      <c r="Q1088" s="243">
        <v>2.5266666666666663E-2</v>
      </c>
      <c r="R1088" s="244">
        <v>1.7000000000000001E-2</v>
      </c>
      <c r="S1088" s="245">
        <v>1</v>
      </c>
      <c r="T1088" s="246">
        <v>5.4899999999999997E-2</v>
      </c>
      <c r="U1088" s="247">
        <v>-12.933079646019728</v>
      </c>
      <c r="V1088" s="248">
        <v>60.5</v>
      </c>
      <c r="W1088" s="277">
        <v>2.2200000000000002</v>
      </c>
      <c r="X1088" s="250">
        <v>28.711436814163797</v>
      </c>
      <c r="Y1088" s="251"/>
      <c r="Z1088" s="251"/>
    </row>
    <row r="1089" spans="3:26" ht="20" thickBot="1">
      <c r="C1089" s="219"/>
      <c r="D1089" s="507" t="s">
        <v>436</v>
      </c>
      <c r="E1089" s="264" t="s">
        <v>29</v>
      </c>
      <c r="F1089" s="264" t="s">
        <v>28</v>
      </c>
      <c r="G1089" s="265" t="s">
        <v>27</v>
      </c>
      <c r="H1089" s="867" t="s">
        <v>793</v>
      </c>
      <c r="I1089" s="1392"/>
      <c r="J1089" s="1392"/>
      <c r="K1089" s="1393"/>
      <c r="L1089" s="868" t="s">
        <v>1002</v>
      </c>
      <c r="M1089" s="339"/>
      <c r="N1089" s="219"/>
      <c r="O1089" s="229"/>
      <c r="P1089" s="230"/>
      <c r="Q1089" s="229"/>
      <c r="R1089" s="229"/>
      <c r="S1089" s="229"/>
      <c r="T1089" s="229"/>
      <c r="U1089" s="254"/>
      <c r="V1089" s="255"/>
      <c r="W1089" s="229"/>
      <c r="X1089" s="254"/>
      <c r="Y1089" s="230"/>
      <c r="Z1089" s="230"/>
    </row>
    <row r="1090" spans="3:26" ht="19">
      <c r="C1090" s="219"/>
      <c r="D1090" s="508">
        <v>45574</v>
      </c>
      <c r="E1090" s="266" t="s">
        <v>1090</v>
      </c>
      <c r="F1090" s="266" t="s">
        <v>754</v>
      </c>
      <c r="G1090" s="266" t="s">
        <v>1090</v>
      </c>
      <c r="H1090" s="869">
        <v>0.54166666666666663</v>
      </c>
      <c r="I1090" s="1392"/>
      <c r="J1090" s="1392"/>
      <c r="K1090" s="1393"/>
      <c r="L1090" s="883"/>
      <c r="M1090" s="475"/>
      <c r="N1090" s="219"/>
      <c r="O1090" s="229"/>
      <c r="P1090" s="230"/>
      <c r="Q1090" s="229"/>
      <c r="R1090" s="229"/>
      <c r="S1090" s="229"/>
      <c r="T1090" s="229"/>
      <c r="U1090" s="229"/>
      <c r="V1090" s="229"/>
      <c r="W1090" s="229"/>
      <c r="X1090" s="229"/>
      <c r="Y1090" s="230"/>
      <c r="Z1090" s="230"/>
    </row>
    <row r="1091" spans="3:26" ht="19">
      <c r="C1091" s="219"/>
      <c r="D1091" s="508">
        <v>45525</v>
      </c>
      <c r="E1091" s="266" t="s">
        <v>1090</v>
      </c>
      <c r="F1091" s="266" t="s">
        <v>754</v>
      </c>
      <c r="G1091" s="266" t="s">
        <v>1090</v>
      </c>
      <c r="H1091" s="869">
        <v>0.54166666666666663</v>
      </c>
      <c r="I1091" s="1392"/>
      <c r="J1091" s="1392"/>
      <c r="K1091" s="1393"/>
      <c r="L1091" s="883"/>
      <c r="M1091" s="476"/>
      <c r="N1091" s="219"/>
      <c r="O1091" s="221" t="s">
        <v>813</v>
      </c>
      <c r="P1091" s="222">
        <v>0.1</v>
      </c>
      <c r="Q1091" s="257">
        <v>3.2883333333333334E-2</v>
      </c>
      <c r="R1091" s="258">
        <v>1.7000000000000001E-2</v>
      </c>
      <c r="S1091" s="225">
        <v>1</v>
      </c>
      <c r="T1091" s="231">
        <v>6.6324999999999995E-2</v>
      </c>
      <c r="U1091" s="259">
        <v>-15.624526548675018</v>
      </c>
      <c r="V1091" s="260">
        <v>60.5</v>
      </c>
      <c r="W1091" s="225">
        <v>2</v>
      </c>
      <c r="X1091" s="227">
        <v>31.249053097350036</v>
      </c>
      <c r="Y1091" s="261"/>
      <c r="Z1091" s="261"/>
    </row>
    <row r="1092" spans="3:26" ht="19">
      <c r="C1092" s="219"/>
      <c r="D1092" s="508">
        <v>45476</v>
      </c>
      <c r="E1092" s="266" t="s">
        <v>1090</v>
      </c>
      <c r="F1092" s="266" t="s">
        <v>754</v>
      </c>
      <c r="G1092" s="266" t="s">
        <v>1090</v>
      </c>
      <c r="H1092" s="869">
        <v>0.54166666666666663</v>
      </c>
      <c r="I1092" s="1392"/>
      <c r="J1092" s="1392"/>
      <c r="K1092" s="1393"/>
      <c r="L1092" s="883"/>
      <c r="M1092" s="334"/>
      <c r="N1092" s="219"/>
      <c r="O1092" s="221"/>
      <c r="P1092" s="222"/>
      <c r="Q1092" s="257"/>
      <c r="R1092" s="258"/>
      <c r="S1092" s="225"/>
      <c r="T1092" s="231"/>
      <c r="U1092" s="259"/>
      <c r="V1092" s="260"/>
      <c r="W1092" s="225"/>
      <c r="X1092" s="227"/>
      <c r="Y1092" s="261"/>
      <c r="Z1092" s="261"/>
    </row>
    <row r="1093" spans="3:26" ht="19">
      <c r="C1093" s="219"/>
      <c r="D1093" s="508">
        <v>45434</v>
      </c>
      <c r="E1093" s="266" t="s">
        <v>1090</v>
      </c>
      <c r="F1093" s="266" t="s">
        <v>754</v>
      </c>
      <c r="G1093" s="266" t="s">
        <v>1090</v>
      </c>
      <c r="H1093" s="869">
        <v>0.54166666666666663</v>
      </c>
      <c r="I1093" s="1392"/>
      <c r="J1093" s="1392"/>
      <c r="K1093" s="1393"/>
      <c r="L1093" s="883"/>
      <c r="M1093" s="334"/>
      <c r="N1093" s="219"/>
      <c r="O1093" s="221"/>
      <c r="P1093" s="262"/>
      <c r="Q1093" s="257"/>
      <c r="R1093" s="258"/>
      <c r="S1093" s="225"/>
      <c r="T1093" s="262"/>
      <c r="U1093" s="259"/>
      <c r="V1093" s="260"/>
      <c r="W1093" s="225"/>
      <c r="X1093" s="227"/>
      <c r="Y1093" s="261"/>
      <c r="Z1093" s="261"/>
    </row>
    <row r="1094" spans="3:26" ht="19">
      <c r="C1094" s="219"/>
      <c r="D1094" s="508">
        <v>45392</v>
      </c>
      <c r="E1094" s="266" t="s">
        <v>1090</v>
      </c>
      <c r="F1094" s="266" t="s">
        <v>754</v>
      </c>
      <c r="G1094" s="266" t="s">
        <v>1090</v>
      </c>
      <c r="H1094" s="869">
        <v>0.54166666666666663</v>
      </c>
      <c r="I1094" s="1392"/>
      <c r="J1094" s="1392"/>
      <c r="K1094" s="1393"/>
      <c r="L1094" s="883"/>
      <c r="M1094" s="334"/>
      <c r="N1094" s="219"/>
      <c r="O1094" s="263"/>
      <c r="P1094" s="263"/>
      <c r="Q1094" s="263"/>
      <c r="R1094" s="263"/>
      <c r="S1094" s="263"/>
      <c r="T1094" s="263"/>
      <c r="U1094" s="263"/>
      <c r="V1094" s="263"/>
      <c r="W1094" s="263"/>
      <c r="X1094" s="263"/>
      <c r="Y1094" s="263"/>
      <c r="Z1094" s="263"/>
    </row>
    <row r="1095" spans="3:26" ht="20" thickBot="1">
      <c r="C1095" s="219"/>
      <c r="D1095" s="508">
        <v>45343</v>
      </c>
      <c r="E1095" s="266" t="s">
        <v>1090</v>
      </c>
      <c r="F1095" s="266" t="s">
        <v>754</v>
      </c>
      <c r="G1095" s="266" t="s">
        <v>1090</v>
      </c>
      <c r="H1095" s="869">
        <v>0.58333333333333337</v>
      </c>
      <c r="I1095" s="1394"/>
      <c r="J1095" s="1394"/>
      <c r="K1095" s="1395"/>
      <c r="L1095" s="883"/>
      <c r="M1095" s="477"/>
      <c r="N1095" s="219"/>
      <c r="O1095" s="263"/>
      <c r="P1095" s="263"/>
      <c r="Q1095" s="263"/>
      <c r="R1095" s="263"/>
      <c r="S1095" s="263"/>
      <c r="T1095" s="263"/>
      <c r="U1095" s="263"/>
      <c r="V1095" s="263"/>
      <c r="W1095" s="263"/>
      <c r="X1095" s="263"/>
      <c r="Y1095" s="263"/>
      <c r="Z1095" s="263"/>
    </row>
    <row r="1096" spans="3:26" ht="20" thickBot="1">
      <c r="C1096" s="218">
        <v>12</v>
      </c>
      <c r="D1096" s="498" t="s">
        <v>30</v>
      </c>
      <c r="E1096" s="1147" t="s">
        <v>1080</v>
      </c>
      <c r="F1096" s="1148"/>
      <c r="G1096" s="1149"/>
      <c r="H1096" s="861" t="s">
        <v>790</v>
      </c>
      <c r="I1096" s="1404" t="s">
        <v>633</v>
      </c>
      <c r="J1096" s="1404"/>
      <c r="K1096" s="1405"/>
      <c r="L1096" s="862" t="s">
        <v>430</v>
      </c>
      <c r="M1096" s="332" t="s">
        <v>431</v>
      </c>
      <c r="N1096" s="219" t="s">
        <v>105</v>
      </c>
      <c r="O1096" s="220" t="s">
        <v>800</v>
      </c>
      <c r="P1096" s="220" t="s">
        <v>801</v>
      </c>
      <c r="Q1096" s="220" t="s">
        <v>802</v>
      </c>
      <c r="R1096" s="220" t="s">
        <v>803</v>
      </c>
      <c r="S1096" s="220" t="s">
        <v>804</v>
      </c>
      <c r="T1096" s="220" t="s">
        <v>805</v>
      </c>
      <c r="U1096" s="220" t="s">
        <v>806</v>
      </c>
      <c r="V1096" s="220" t="s">
        <v>807</v>
      </c>
      <c r="W1096" s="220" t="s">
        <v>808</v>
      </c>
      <c r="X1096" s="220" t="s">
        <v>809</v>
      </c>
      <c r="Y1096" s="220" t="s">
        <v>75</v>
      </c>
      <c r="Z1096" s="220" t="s">
        <v>75</v>
      </c>
    </row>
    <row r="1097" spans="3:26" ht="19">
      <c r="C1097" s="219"/>
      <c r="D1097" s="504" t="s">
        <v>432</v>
      </c>
      <c r="E1097" s="1150"/>
      <c r="F1097" s="1151"/>
      <c r="G1097" s="1152"/>
      <c r="H1097" s="863" t="s">
        <v>909</v>
      </c>
      <c r="I1097" s="1390" t="s">
        <v>1081</v>
      </c>
      <c r="J1097" s="1390"/>
      <c r="K1097" s="1391"/>
      <c r="L1097" s="864"/>
      <c r="M1097" s="474" t="s">
        <v>1080</v>
      </c>
      <c r="N1097" s="219"/>
      <c r="O1097" s="221" t="s">
        <v>810</v>
      </c>
      <c r="P1097" s="222">
        <v>0.1</v>
      </c>
      <c r="Q1097" s="223">
        <v>4.9000000000000002E-2</v>
      </c>
      <c r="R1097" s="224">
        <v>1.5000000000014779E-2</v>
      </c>
      <c r="S1097" s="225">
        <v>0</v>
      </c>
      <c r="T1097" s="221">
        <v>5.9000000000010003E-2</v>
      </c>
      <c r="U1097" s="223">
        <v>-21.14</v>
      </c>
      <c r="V1097" s="222">
        <v>60.5</v>
      </c>
      <c r="W1097" s="226">
        <v>2</v>
      </c>
      <c r="X1097" s="227"/>
      <c r="Y1097" s="225"/>
      <c r="Z1097" s="225"/>
    </row>
    <row r="1098" spans="3:26" ht="19">
      <c r="C1098" s="219"/>
      <c r="D1098" s="505" t="s">
        <v>433</v>
      </c>
      <c r="E1098" s="1163"/>
      <c r="F1098" s="1164"/>
      <c r="G1098" s="1165"/>
      <c r="H1098" s="874" t="s">
        <v>910</v>
      </c>
      <c r="I1098" s="1392"/>
      <c r="J1098" s="1392"/>
      <c r="K1098" s="1393"/>
      <c r="L1098" s="864"/>
      <c r="M1098" s="334"/>
      <c r="N1098" s="219"/>
      <c r="O1098" s="219"/>
      <c r="P1098" s="219"/>
      <c r="Q1098" s="219"/>
      <c r="R1098" s="228"/>
      <c r="S1098" s="229"/>
      <c r="T1098" s="219"/>
      <c r="U1098" s="219"/>
      <c r="V1098" s="219"/>
      <c r="W1098" s="219"/>
      <c r="X1098" s="229"/>
      <c r="Y1098" s="230"/>
      <c r="Z1098" s="230"/>
    </row>
    <row r="1099" spans="3:26" ht="19">
      <c r="C1099" s="219"/>
      <c r="D1099" s="505" t="s">
        <v>434</v>
      </c>
      <c r="E1099" s="1163">
        <v>4.0000000000000001E-3</v>
      </c>
      <c r="F1099" s="1164"/>
      <c r="G1099" s="1165"/>
      <c r="H1099" s="863"/>
      <c r="I1099" s="1392"/>
      <c r="J1099" s="1392"/>
      <c r="K1099" s="1393"/>
      <c r="L1099" s="864"/>
      <c r="M1099" s="334"/>
      <c r="N1099" s="219"/>
      <c r="O1099" s="231" t="s">
        <v>811</v>
      </c>
      <c r="P1099" s="232">
        <v>0.1</v>
      </c>
      <c r="Q1099" s="233">
        <v>9.1399999999999995E-2</v>
      </c>
      <c r="R1099" s="234">
        <v>0.02</v>
      </c>
      <c r="S1099" s="268">
        <v>1</v>
      </c>
      <c r="T1099" s="231">
        <v>0.15709999999999999</v>
      </c>
      <c r="U1099" s="236">
        <v>-56.289728813549779</v>
      </c>
      <c r="V1099" s="237">
        <v>60.5</v>
      </c>
      <c r="W1099" s="269">
        <v>7.02</v>
      </c>
      <c r="X1099" s="239">
        <v>395.15389627111944</v>
      </c>
      <c r="Y1099" s="240"/>
      <c r="Z1099" s="240"/>
    </row>
    <row r="1100" spans="3:26" ht="20" thickBot="1">
      <c r="C1100" s="219"/>
      <c r="D1100" s="506" t="s">
        <v>435</v>
      </c>
      <c r="E1100" s="1160">
        <v>0.54166666666666674</v>
      </c>
      <c r="F1100" s="1161"/>
      <c r="G1100" s="1162"/>
      <c r="H1100" s="865">
        <v>0.33333333333333337</v>
      </c>
      <c r="I1100" s="1392"/>
      <c r="J1100" s="1392"/>
      <c r="K1100" s="1393"/>
      <c r="L1100" s="866">
        <v>0.77083333333333337</v>
      </c>
      <c r="M1100" s="337">
        <v>0.625</v>
      </c>
      <c r="N1100" s="219"/>
      <c r="O1100" s="241" t="s">
        <v>812</v>
      </c>
      <c r="P1100" s="242">
        <v>0.1</v>
      </c>
      <c r="Q1100" s="243">
        <v>5.673333333333333E-2</v>
      </c>
      <c r="R1100" s="244">
        <v>0.02</v>
      </c>
      <c r="S1100" s="270">
        <v>1</v>
      </c>
      <c r="T1100" s="246">
        <v>0.1051</v>
      </c>
      <c r="U1100" s="247">
        <v>-37.657864406773278</v>
      </c>
      <c r="V1100" s="248">
        <v>60.5</v>
      </c>
      <c r="W1100" s="271">
        <v>2.31</v>
      </c>
      <c r="X1100" s="250">
        <v>86.989666779646271</v>
      </c>
      <c r="Y1100" s="251"/>
      <c r="Z1100" s="251"/>
    </row>
    <row r="1101" spans="3:26" ht="20" thickBot="1">
      <c r="C1101" s="219"/>
      <c r="D1101" s="507" t="s">
        <v>436</v>
      </c>
      <c r="E1101" s="264" t="s">
        <v>29</v>
      </c>
      <c r="F1101" s="264" t="s">
        <v>28</v>
      </c>
      <c r="G1101" s="265" t="s">
        <v>27</v>
      </c>
      <c r="H1101" s="867" t="s">
        <v>793</v>
      </c>
      <c r="I1101" s="1392"/>
      <c r="J1101" s="1392"/>
      <c r="K1101" s="1393"/>
      <c r="L1101" s="868" t="s">
        <v>1002</v>
      </c>
      <c r="M1101" s="339"/>
      <c r="N1101" s="219"/>
      <c r="O1101" s="229"/>
      <c r="P1101" s="230"/>
      <c r="Q1101" s="229"/>
      <c r="R1101" s="229"/>
      <c r="S1101" s="272"/>
      <c r="T1101" s="229"/>
      <c r="U1101" s="254"/>
      <c r="V1101" s="255"/>
      <c r="W1101" s="273"/>
      <c r="X1101" s="254"/>
      <c r="Y1101" s="230"/>
      <c r="Z1101" s="230"/>
    </row>
    <row r="1102" spans="3:26" ht="19">
      <c r="C1102" s="219"/>
      <c r="D1102" s="508">
        <v>45608</v>
      </c>
      <c r="E1102" s="316">
        <v>4.0000000000000001E-3</v>
      </c>
      <c r="F1102" s="316" t="s">
        <v>452</v>
      </c>
      <c r="G1102" s="316">
        <v>0</v>
      </c>
      <c r="H1102" s="885">
        <v>0.29166666666666674</v>
      </c>
      <c r="I1102" s="1392"/>
      <c r="J1102" s="1392"/>
      <c r="K1102" s="1393"/>
      <c r="L1102" s="883">
        <v>0.52083333333333337</v>
      </c>
      <c r="M1102" s="479">
        <v>0.29166666666666674</v>
      </c>
      <c r="N1102" s="219"/>
      <c r="O1102" s="229"/>
      <c r="P1102" s="230"/>
      <c r="Q1102" s="229"/>
      <c r="R1102" s="229"/>
      <c r="S1102" s="272"/>
      <c r="T1102" s="229"/>
      <c r="U1102" s="229"/>
      <c r="V1102" s="229"/>
      <c r="W1102" s="273"/>
      <c r="X1102" s="229"/>
      <c r="Y1102" s="230"/>
      <c r="Z1102" s="230"/>
    </row>
    <row r="1103" spans="3:26" ht="19">
      <c r="C1103" s="219"/>
      <c r="D1103" s="508">
        <v>45595</v>
      </c>
      <c r="E1103" s="316">
        <v>4.0000000000000001E-3</v>
      </c>
      <c r="F1103" s="316" t="s">
        <v>460</v>
      </c>
      <c r="G1103" s="316">
        <v>0</v>
      </c>
      <c r="H1103" s="885">
        <v>0.54166666666666674</v>
      </c>
      <c r="I1103" s="1392"/>
      <c r="J1103" s="1392"/>
      <c r="K1103" s="1393"/>
      <c r="L1103" s="883">
        <v>0.77083333333333337</v>
      </c>
      <c r="M1103" s="479">
        <v>0.54166666666666674</v>
      </c>
      <c r="N1103" s="219"/>
      <c r="O1103" s="221" t="s">
        <v>813</v>
      </c>
      <c r="P1103" s="317">
        <v>0.05</v>
      </c>
      <c r="Q1103" s="257">
        <v>6.5711111111111109E-2</v>
      </c>
      <c r="R1103" s="258">
        <v>0.02</v>
      </c>
      <c r="S1103" s="274">
        <v>1.5</v>
      </c>
      <c r="T1103" s="231">
        <v>0.11856666666666667</v>
      </c>
      <c r="U1103" s="259">
        <v>-31.862279661011549</v>
      </c>
      <c r="V1103" s="260">
        <v>30.25</v>
      </c>
      <c r="W1103" s="276">
        <v>2</v>
      </c>
      <c r="X1103" s="227">
        <v>63.724559322023097</v>
      </c>
      <c r="Y1103" s="261"/>
      <c r="Z1103" s="261"/>
    </row>
    <row r="1104" spans="3:26" ht="19">
      <c r="C1104" s="219"/>
      <c r="D1104" s="508">
        <v>45576</v>
      </c>
      <c r="E1104" s="316">
        <v>0</v>
      </c>
      <c r="F1104" s="316" t="s">
        <v>458</v>
      </c>
      <c r="G1104" s="316">
        <v>-1E-3</v>
      </c>
      <c r="H1104" s="885">
        <v>0.25</v>
      </c>
      <c r="I1104" s="1392"/>
      <c r="J1104" s="1392"/>
      <c r="K1104" s="1393"/>
      <c r="L1104" s="883">
        <v>0.47916666666666669</v>
      </c>
      <c r="M1104" s="479">
        <v>0.25</v>
      </c>
      <c r="N1104" s="219"/>
      <c r="O1104" s="221"/>
      <c r="P1104" s="317"/>
      <c r="Q1104" s="257"/>
      <c r="R1104" s="258"/>
      <c r="S1104" s="274"/>
      <c r="T1104" s="275"/>
      <c r="U1104" s="259"/>
      <c r="V1104" s="260"/>
      <c r="W1104" s="276"/>
      <c r="X1104" s="227"/>
      <c r="Y1104" s="261"/>
      <c r="Z1104" s="261"/>
    </row>
    <row r="1105" spans="3:26" ht="19">
      <c r="C1105" s="219"/>
      <c r="D1105" s="508">
        <v>45565</v>
      </c>
      <c r="E1105" s="316">
        <v>0</v>
      </c>
      <c r="F1105" s="316" t="s">
        <v>462</v>
      </c>
      <c r="G1105" s="316">
        <v>-1E-3</v>
      </c>
      <c r="H1105" s="885">
        <v>0.5</v>
      </c>
      <c r="I1105" s="1392"/>
      <c r="J1105" s="1392"/>
      <c r="K1105" s="1393"/>
      <c r="L1105" s="883">
        <v>0.72916666666666663</v>
      </c>
      <c r="M1105" s="479">
        <v>0.5</v>
      </c>
      <c r="N1105" s="219"/>
      <c r="O1105" s="221"/>
      <c r="P1105" s="262"/>
      <c r="Q1105" s="257"/>
      <c r="R1105" s="258"/>
      <c r="S1105" s="225"/>
      <c r="T1105" s="262"/>
      <c r="U1105" s="259"/>
      <c r="V1105" s="260"/>
      <c r="W1105" s="225"/>
      <c r="X1105" s="227"/>
      <c r="Y1105" s="261"/>
      <c r="Z1105" s="261"/>
    </row>
    <row r="1106" spans="3:26" ht="19">
      <c r="C1106" s="219"/>
      <c r="D1106" s="508">
        <v>45545</v>
      </c>
      <c r="E1106" s="316">
        <v>-1E-3</v>
      </c>
      <c r="F1106" s="316" t="s">
        <v>456</v>
      </c>
      <c r="G1106" s="316">
        <v>3.0000000000000001E-3</v>
      </c>
      <c r="H1106" s="885">
        <v>0.25</v>
      </c>
      <c r="I1106" s="1392"/>
      <c r="J1106" s="1392"/>
      <c r="K1106" s="1393"/>
      <c r="L1106" s="883">
        <v>0.47916666666666669</v>
      </c>
      <c r="M1106" s="479">
        <v>0.25</v>
      </c>
      <c r="N1106" s="219"/>
      <c r="O1106" s="263"/>
      <c r="P1106" s="263"/>
      <c r="Q1106" s="263"/>
      <c r="R1106" s="263"/>
      <c r="S1106" s="263"/>
      <c r="T1106" s="263"/>
      <c r="U1106" s="263"/>
      <c r="V1106" s="263"/>
      <c r="W1106" s="263"/>
      <c r="X1106" s="263"/>
      <c r="Y1106" s="263"/>
      <c r="Z1106" s="263"/>
    </row>
    <row r="1107" spans="3:26" ht="20" thickBot="1">
      <c r="C1107" s="219"/>
      <c r="D1107" s="517">
        <v>45533</v>
      </c>
      <c r="E1107" s="318">
        <v>-1E-3</v>
      </c>
      <c r="F1107" s="318" t="s">
        <v>458</v>
      </c>
      <c r="G1107" s="318">
        <v>3.0000000000000001E-3</v>
      </c>
      <c r="H1107" s="885">
        <v>0.5</v>
      </c>
      <c r="I1107" s="1394"/>
      <c r="J1107" s="1394"/>
      <c r="K1107" s="1395"/>
      <c r="L1107" s="884">
        <v>0.72916666666666663</v>
      </c>
      <c r="M1107" s="479">
        <v>0.5</v>
      </c>
      <c r="N1107" s="219"/>
      <c r="O1107" s="263"/>
      <c r="P1107" s="263"/>
      <c r="Q1107" s="263"/>
      <c r="R1107" s="263"/>
      <c r="S1107" s="263"/>
      <c r="T1107" s="263"/>
      <c r="U1107" s="263"/>
      <c r="V1107" s="263"/>
      <c r="W1107" s="263"/>
      <c r="X1107" s="263"/>
      <c r="Y1107" s="263"/>
      <c r="Z1107" s="263"/>
    </row>
    <row r="1108" spans="3:26" ht="20" thickBot="1">
      <c r="C1108" s="218">
        <v>13</v>
      </c>
      <c r="D1108" s="498" t="s">
        <v>30</v>
      </c>
      <c r="E1108" s="1147" t="s">
        <v>1082</v>
      </c>
      <c r="F1108" s="1148"/>
      <c r="G1108" s="1149"/>
      <c r="H1108" s="861" t="s">
        <v>790</v>
      </c>
      <c r="I1108" s="1404" t="s">
        <v>633</v>
      </c>
      <c r="J1108" s="1404"/>
      <c r="K1108" s="1405"/>
      <c r="L1108" s="862" t="s">
        <v>430</v>
      </c>
      <c r="M1108" s="332" t="s">
        <v>431</v>
      </c>
      <c r="N1108" s="219" t="s">
        <v>105</v>
      </c>
      <c r="O1108" s="220" t="s">
        <v>800</v>
      </c>
      <c r="P1108" s="220" t="s">
        <v>801</v>
      </c>
      <c r="Q1108" s="220" t="s">
        <v>802</v>
      </c>
      <c r="R1108" s="220" t="s">
        <v>803</v>
      </c>
      <c r="S1108" s="220" t="s">
        <v>804</v>
      </c>
      <c r="T1108" s="220" t="s">
        <v>805</v>
      </c>
      <c r="U1108" s="220" t="s">
        <v>806</v>
      </c>
      <c r="V1108" s="220" t="s">
        <v>807</v>
      </c>
      <c r="W1108" s="220" t="s">
        <v>808</v>
      </c>
      <c r="X1108" s="220" t="s">
        <v>809</v>
      </c>
      <c r="Y1108" s="220" t="s">
        <v>75</v>
      </c>
      <c r="Z1108" s="220" t="s">
        <v>75</v>
      </c>
    </row>
    <row r="1109" spans="3:26" ht="19">
      <c r="C1109" s="219"/>
      <c r="D1109" s="504" t="s">
        <v>432</v>
      </c>
      <c r="E1109" s="1150"/>
      <c r="F1109" s="1151"/>
      <c r="G1109" s="1152"/>
      <c r="H1109" s="863" t="s">
        <v>1130</v>
      </c>
      <c r="I1109" s="1390" t="s">
        <v>1083</v>
      </c>
      <c r="J1109" s="1390"/>
      <c r="K1109" s="1391"/>
      <c r="L1109" s="864"/>
      <c r="M1109" s="474" t="s">
        <v>1082</v>
      </c>
      <c r="N1109" s="219"/>
      <c r="O1109" s="221" t="s">
        <v>810</v>
      </c>
      <c r="P1109" s="222">
        <v>0.1</v>
      </c>
      <c r="Q1109" s="223">
        <v>4.9000000000000002E-2</v>
      </c>
      <c r="R1109" s="224">
        <v>2.8000000000020009E-2</v>
      </c>
      <c r="S1109" s="225">
        <v>0</v>
      </c>
      <c r="T1109" s="221">
        <v>4.800000000000091E-2</v>
      </c>
      <c r="U1109" s="223">
        <v>-26.23</v>
      </c>
      <c r="V1109" s="222">
        <v>91.8</v>
      </c>
      <c r="W1109" s="226">
        <v>2</v>
      </c>
      <c r="X1109" s="227"/>
      <c r="Y1109" s="225"/>
      <c r="Z1109" s="225"/>
    </row>
    <row r="1110" spans="3:26" ht="19">
      <c r="C1110" s="219"/>
      <c r="D1110" s="505" t="s">
        <v>433</v>
      </c>
      <c r="E1110" s="1163"/>
      <c r="F1110" s="1164"/>
      <c r="G1110" s="1165"/>
      <c r="H1110" s="863" t="s">
        <v>1131</v>
      </c>
      <c r="I1110" s="1392"/>
      <c r="J1110" s="1392"/>
      <c r="K1110" s="1393"/>
      <c r="L1110" s="864"/>
      <c r="M1110" s="334"/>
      <c r="N1110" s="219"/>
      <c r="O1110" s="219"/>
      <c r="P1110" s="219"/>
      <c r="Q1110" s="219"/>
      <c r="R1110" s="228"/>
      <c r="S1110" s="229"/>
      <c r="T1110" s="219"/>
      <c r="U1110" s="219"/>
      <c r="V1110" s="219"/>
      <c r="W1110" s="219"/>
      <c r="X1110" s="229"/>
      <c r="Y1110" s="230"/>
      <c r="Z1110" s="230"/>
    </row>
    <row r="1111" spans="3:26" ht="19">
      <c r="C1111" s="219"/>
      <c r="D1111" s="505" t="s">
        <v>434</v>
      </c>
      <c r="E1111" s="1163">
        <v>7.0000000000000001E-3</v>
      </c>
      <c r="F1111" s="1164"/>
      <c r="G1111" s="1165"/>
      <c r="H1111" s="863"/>
      <c r="I1111" s="1392"/>
      <c r="J1111" s="1392"/>
      <c r="K1111" s="1393"/>
      <c r="L1111" s="864"/>
      <c r="M1111" s="334"/>
      <c r="N1111" s="219"/>
      <c r="O1111" s="231" t="s">
        <v>811</v>
      </c>
      <c r="P1111" s="232">
        <v>0.02</v>
      </c>
      <c r="Q1111" s="233">
        <v>0.13020000000000001</v>
      </c>
      <c r="R1111" s="234">
        <v>2.9000000000000001E-2</v>
      </c>
      <c r="S1111" s="268">
        <v>1</v>
      </c>
      <c r="T1111" s="231">
        <v>0.22430000000000003</v>
      </c>
      <c r="U1111" s="236">
        <v>-24.514120833332871</v>
      </c>
      <c r="V1111" s="237">
        <v>12.1</v>
      </c>
      <c r="W1111" s="269">
        <v>3</v>
      </c>
      <c r="X1111" s="239">
        <v>73.542362499998617</v>
      </c>
      <c r="Y1111" s="240"/>
      <c r="Z1111" s="240"/>
    </row>
    <row r="1112" spans="3:26" ht="20" thickBot="1">
      <c r="C1112" s="219"/>
      <c r="D1112" s="506" t="s">
        <v>435</v>
      </c>
      <c r="E1112" s="1160">
        <v>0.33333333333333337</v>
      </c>
      <c r="F1112" s="1161"/>
      <c r="G1112" s="1162"/>
      <c r="H1112" s="865">
        <v>0.12500000000000003</v>
      </c>
      <c r="I1112" s="1392"/>
      <c r="J1112" s="1392"/>
      <c r="K1112" s="1393"/>
      <c r="L1112" s="866">
        <v>0.5625</v>
      </c>
      <c r="M1112" s="337">
        <v>0.41666666666666663</v>
      </c>
      <c r="N1112" s="219"/>
      <c r="O1112" s="241" t="s">
        <v>812</v>
      </c>
      <c r="P1112" s="242">
        <v>0.02</v>
      </c>
      <c r="Q1112" s="243">
        <v>9.746666666666666E-2</v>
      </c>
      <c r="R1112" s="244">
        <v>2.9000000000000001E-2</v>
      </c>
      <c r="S1112" s="270">
        <v>1</v>
      </c>
      <c r="T1112" s="246">
        <v>0.17519999999999999</v>
      </c>
      <c r="U1112" s="247">
        <v>-19.147899999999638</v>
      </c>
      <c r="V1112" s="248">
        <v>12.1</v>
      </c>
      <c r="W1112" s="271">
        <v>2.4500000000000002</v>
      </c>
      <c r="X1112" s="250">
        <v>46.912354999999117</v>
      </c>
      <c r="Y1112" s="251"/>
      <c r="Z1112" s="251"/>
    </row>
    <row r="1113" spans="3:26" ht="20" thickBot="1">
      <c r="C1113" s="219"/>
      <c r="D1113" s="507" t="s">
        <v>436</v>
      </c>
      <c r="E1113" s="264" t="s">
        <v>29</v>
      </c>
      <c r="F1113" s="264" t="s">
        <v>28</v>
      </c>
      <c r="G1113" s="265" t="s">
        <v>27</v>
      </c>
      <c r="H1113" s="867" t="s">
        <v>793</v>
      </c>
      <c r="I1113" s="1392"/>
      <c r="J1113" s="1392"/>
      <c r="K1113" s="1393"/>
      <c r="L1113" s="868" t="s">
        <v>1002</v>
      </c>
      <c r="M1113" s="339"/>
      <c r="N1113" s="219"/>
      <c r="O1113" s="229"/>
      <c r="P1113" s="230"/>
      <c r="Q1113" s="229"/>
      <c r="R1113" s="229"/>
      <c r="S1113" s="272"/>
      <c r="T1113" s="229"/>
      <c r="U1113" s="254"/>
      <c r="V1113" s="255"/>
      <c r="W1113" s="273"/>
      <c r="X1113" s="254"/>
      <c r="Y1113" s="230"/>
      <c r="Z1113" s="230"/>
    </row>
    <row r="1114" spans="3:26" ht="19">
      <c r="C1114" s="219"/>
      <c r="D1114" s="508">
        <v>45538</v>
      </c>
      <c r="E1114" s="316">
        <v>7.0000000000000001E-3</v>
      </c>
      <c r="F1114" s="316" t="s">
        <v>903</v>
      </c>
      <c r="G1114" s="316">
        <v>5.0000000000000001E-3</v>
      </c>
      <c r="H1114" s="869">
        <v>0.29166666666666669</v>
      </c>
      <c r="I1114" s="1392"/>
      <c r="J1114" s="1392"/>
      <c r="K1114" s="1393"/>
      <c r="L1114" s="870">
        <v>8.3333333333333329E-2</v>
      </c>
      <c r="M1114" s="475"/>
      <c r="N1114" s="219"/>
      <c r="O1114" s="229"/>
      <c r="P1114" s="230"/>
      <c r="Q1114" s="229"/>
      <c r="R1114" s="229"/>
      <c r="S1114" s="272"/>
      <c r="T1114" s="229"/>
      <c r="U1114" s="229"/>
      <c r="V1114" s="229"/>
      <c r="W1114" s="273"/>
      <c r="X1114" s="229"/>
      <c r="Y1114" s="230"/>
      <c r="Z1114" s="230"/>
    </row>
    <row r="1115" spans="3:26" ht="19">
      <c r="C1115" s="219"/>
      <c r="D1115" s="508">
        <v>45442</v>
      </c>
      <c r="E1115" s="316">
        <v>5.0000000000000001E-3</v>
      </c>
      <c r="F1115" s="316" t="s">
        <v>467</v>
      </c>
      <c r="G1115" s="316">
        <v>3.0000000000000001E-3</v>
      </c>
      <c r="H1115" s="869">
        <v>0.29166666666666669</v>
      </c>
      <c r="I1115" s="1392"/>
      <c r="J1115" s="1392"/>
      <c r="K1115" s="1393"/>
      <c r="L1115" s="870">
        <v>8.3333333333333329E-2</v>
      </c>
      <c r="M1115" s="476"/>
      <c r="N1115" s="219"/>
      <c r="O1115" s="221" t="s">
        <v>813</v>
      </c>
      <c r="P1115" s="317">
        <v>0.02</v>
      </c>
      <c r="Q1115" s="257">
        <v>0.11383333333333334</v>
      </c>
      <c r="R1115" s="258">
        <v>2.9000000000000001E-2</v>
      </c>
      <c r="S1115" s="274">
        <v>1</v>
      </c>
      <c r="T1115" s="231">
        <v>0.19975000000000001</v>
      </c>
      <c r="U1115" s="259">
        <v>-21.831010416666253</v>
      </c>
      <c r="V1115" s="260">
        <v>12.1</v>
      </c>
      <c r="W1115" s="276">
        <v>2</v>
      </c>
      <c r="X1115" s="227">
        <v>43.662020833332505</v>
      </c>
      <c r="Y1115" s="261"/>
      <c r="Z1115" s="261"/>
    </row>
    <row r="1116" spans="3:26" ht="19">
      <c r="C1116" s="219"/>
      <c r="D1116" s="508">
        <v>45351</v>
      </c>
      <c r="E1116" s="316">
        <v>3.0000000000000001E-3</v>
      </c>
      <c r="F1116" s="316" t="s">
        <v>462</v>
      </c>
      <c r="G1116" s="316">
        <v>3.0000000000000001E-3</v>
      </c>
      <c r="H1116" s="869">
        <v>0.33333333333333331</v>
      </c>
      <c r="I1116" s="1392"/>
      <c r="J1116" s="1392"/>
      <c r="K1116" s="1393"/>
      <c r="L1116" s="870">
        <v>0.125</v>
      </c>
      <c r="M1116" s="334"/>
      <c r="N1116" s="219"/>
      <c r="O1116" s="221" t="s">
        <v>813</v>
      </c>
      <c r="P1116" s="317">
        <v>0.02</v>
      </c>
      <c r="Q1116" s="257">
        <v>0.11383333333333334</v>
      </c>
      <c r="R1116" s="258">
        <v>2.9000000000000001E-2</v>
      </c>
      <c r="S1116" s="274">
        <v>1</v>
      </c>
      <c r="T1116" s="231">
        <v>0.19975000000000001</v>
      </c>
      <c r="U1116" s="259">
        <v>-21.831010416666253</v>
      </c>
      <c r="V1116" s="260">
        <v>12.1</v>
      </c>
      <c r="W1116" s="276">
        <v>2</v>
      </c>
      <c r="X1116" s="227">
        <v>43.662020833332505</v>
      </c>
      <c r="Y1116" s="261"/>
      <c r="Z1116" s="261"/>
    </row>
    <row r="1117" spans="3:26" ht="19">
      <c r="C1117" s="219"/>
      <c r="D1117" s="508">
        <v>45261</v>
      </c>
      <c r="E1117" s="316">
        <v>3.0000000000000001E-3</v>
      </c>
      <c r="F1117" s="316" t="s">
        <v>462</v>
      </c>
      <c r="G1117" s="316">
        <v>-1E-3</v>
      </c>
      <c r="H1117" s="869">
        <v>0.33333333333333331</v>
      </c>
      <c r="I1117" s="1392"/>
      <c r="J1117" s="1392"/>
      <c r="K1117" s="1393"/>
      <c r="L1117" s="870">
        <v>0.125</v>
      </c>
      <c r="M1117" s="334"/>
      <c r="N1117" s="219"/>
      <c r="O1117" s="221"/>
      <c r="P1117" s="262"/>
      <c r="Q1117" s="257"/>
      <c r="R1117" s="258"/>
      <c r="S1117" s="225"/>
      <c r="T1117" s="262"/>
      <c r="U1117" s="259"/>
      <c r="V1117" s="260"/>
      <c r="W1117" s="225"/>
      <c r="X1117" s="227"/>
      <c r="Y1117" s="261"/>
      <c r="Z1117" s="261"/>
    </row>
    <row r="1118" spans="3:26" ht="19">
      <c r="C1118" s="219"/>
      <c r="D1118" s="508">
        <v>45173</v>
      </c>
      <c r="E1118" s="316">
        <v>0</v>
      </c>
      <c r="F1118" s="316" t="s">
        <v>462</v>
      </c>
      <c r="G1118" s="316">
        <v>3.0000000000000001E-3</v>
      </c>
      <c r="H1118" s="869">
        <v>0.29166666666666669</v>
      </c>
      <c r="I1118" s="1392"/>
      <c r="J1118" s="1392"/>
      <c r="K1118" s="1393"/>
      <c r="L1118" s="870">
        <v>8.3333333333333329E-2</v>
      </c>
      <c r="M1118" s="334"/>
      <c r="N1118" s="219"/>
      <c r="O1118" s="263"/>
      <c r="P1118" s="263"/>
      <c r="Q1118" s="263"/>
      <c r="R1118" s="263"/>
      <c r="S1118" s="263"/>
      <c r="T1118" s="263"/>
      <c r="U1118" s="263"/>
      <c r="V1118" s="263"/>
      <c r="W1118" s="263"/>
      <c r="X1118" s="263"/>
      <c r="Y1118" s="263"/>
      <c r="Z1118" s="263"/>
    </row>
    <row r="1119" spans="3:26" ht="20" thickBot="1">
      <c r="C1119" s="219"/>
      <c r="D1119" s="517">
        <v>45076</v>
      </c>
      <c r="E1119" s="318">
        <v>3.0000000000000001E-3</v>
      </c>
      <c r="F1119" s="318" t="s">
        <v>462</v>
      </c>
      <c r="G1119" s="318">
        <v>0</v>
      </c>
      <c r="H1119" s="869">
        <v>0.29166666666666669</v>
      </c>
      <c r="I1119" s="1394"/>
      <c r="J1119" s="1394"/>
      <c r="K1119" s="1395"/>
      <c r="L1119" s="870">
        <v>8.3333333333333329E-2</v>
      </c>
      <c r="M1119" s="477"/>
      <c r="N1119" s="219"/>
      <c r="O1119" s="263"/>
      <c r="P1119" s="263"/>
      <c r="Q1119" s="263"/>
      <c r="R1119" s="263"/>
      <c r="S1119" s="263"/>
      <c r="T1119" s="263"/>
      <c r="U1119" s="263"/>
      <c r="V1119" s="263"/>
      <c r="W1119" s="263"/>
      <c r="X1119" s="263"/>
      <c r="Y1119" s="263"/>
      <c r="Z1119" s="263"/>
    </row>
    <row r="1120" spans="3:26" ht="20" thickBot="1">
      <c r="C1120" s="218">
        <v>13</v>
      </c>
      <c r="D1120" s="498" t="s">
        <v>30</v>
      </c>
      <c r="E1120" s="1147" t="s">
        <v>1084</v>
      </c>
      <c r="F1120" s="1148"/>
      <c r="G1120" s="1149"/>
      <c r="H1120" s="861" t="s">
        <v>790</v>
      </c>
      <c r="I1120" s="1404" t="s">
        <v>633</v>
      </c>
      <c r="J1120" s="1404"/>
      <c r="K1120" s="1405"/>
      <c r="L1120" s="862" t="s">
        <v>430</v>
      </c>
      <c r="M1120" s="332" t="s">
        <v>431</v>
      </c>
      <c r="N1120" s="219" t="s">
        <v>105</v>
      </c>
      <c r="O1120" s="220" t="s">
        <v>800</v>
      </c>
      <c r="P1120" s="220" t="s">
        <v>801</v>
      </c>
      <c r="Q1120" s="220" t="s">
        <v>802</v>
      </c>
      <c r="R1120" s="220" t="s">
        <v>803</v>
      </c>
      <c r="S1120" s="220" t="s">
        <v>804</v>
      </c>
      <c r="T1120" s="220" t="s">
        <v>805</v>
      </c>
      <c r="U1120" s="220" t="s">
        <v>806</v>
      </c>
      <c r="V1120" s="220" t="s">
        <v>807</v>
      </c>
      <c r="W1120" s="220" t="s">
        <v>808</v>
      </c>
      <c r="X1120" s="220" t="s">
        <v>809</v>
      </c>
      <c r="Y1120" s="220" t="s">
        <v>75</v>
      </c>
      <c r="Z1120" s="220" t="s">
        <v>75</v>
      </c>
    </row>
    <row r="1121" spans="3:26" ht="19">
      <c r="C1121" s="219"/>
      <c r="D1121" s="504" t="s">
        <v>432</v>
      </c>
      <c r="E1121" s="1150"/>
      <c r="F1121" s="1151"/>
      <c r="G1121" s="1152"/>
      <c r="H1121" s="863" t="s">
        <v>906</v>
      </c>
      <c r="I1121" s="1390" t="s">
        <v>1085</v>
      </c>
      <c r="J1121" s="1390"/>
      <c r="K1121" s="1391"/>
      <c r="L1121" s="864"/>
      <c r="M1121" s="474" t="s">
        <v>1084</v>
      </c>
      <c r="N1121" s="219"/>
      <c r="O1121" s="221" t="s">
        <v>810</v>
      </c>
      <c r="P1121" s="222">
        <v>0.1</v>
      </c>
      <c r="Q1121" s="223">
        <v>2.7E-4</v>
      </c>
      <c r="R1121" s="224">
        <v>1.4999999999987246E-4</v>
      </c>
      <c r="S1121" s="225">
        <v>1</v>
      </c>
      <c r="T1121" s="225">
        <v>5.5499999999987244E-4</v>
      </c>
      <c r="U1121" s="223">
        <v>-19.690000000000001</v>
      </c>
      <c r="V1121" s="222">
        <v>91.8</v>
      </c>
      <c r="W1121" s="226">
        <v>2</v>
      </c>
      <c r="X1121" s="227"/>
      <c r="Y1121" s="225"/>
      <c r="Z1121" s="225"/>
    </row>
    <row r="1122" spans="3:26" ht="19">
      <c r="C1122" s="219"/>
      <c r="D1122" s="505" t="s">
        <v>433</v>
      </c>
      <c r="E1122" s="1163"/>
      <c r="F1122" s="1164"/>
      <c r="G1122" s="1165"/>
      <c r="H1122" s="874" t="s">
        <v>907</v>
      </c>
      <c r="I1122" s="1392"/>
      <c r="J1122" s="1392"/>
      <c r="K1122" s="1393"/>
      <c r="L1122" s="864"/>
      <c r="M1122" s="334"/>
      <c r="N1122" s="219"/>
      <c r="O1122" s="219"/>
      <c r="P1122" s="219"/>
      <c r="Q1122" s="219"/>
      <c r="R1122" s="228"/>
      <c r="S1122" s="229"/>
      <c r="T1122" s="219"/>
      <c r="U1122" s="219"/>
      <c r="V1122" s="219"/>
      <c r="W1122" s="219"/>
      <c r="X1122" s="229"/>
      <c r="Y1122" s="230"/>
      <c r="Z1122" s="230"/>
    </row>
    <row r="1123" spans="3:26" ht="19">
      <c r="C1123" s="219"/>
      <c r="D1123" s="505" t="s">
        <v>434</v>
      </c>
      <c r="E1123" s="1163">
        <v>0.02</v>
      </c>
      <c r="F1123" s="1164"/>
      <c r="G1123" s="1165"/>
      <c r="H1123" s="863"/>
      <c r="I1123" s="1392"/>
      <c r="J1123" s="1392"/>
      <c r="K1123" s="1393"/>
      <c r="L1123" s="864"/>
      <c r="M1123" s="334"/>
      <c r="N1123" s="219"/>
      <c r="O1123" s="231" t="s">
        <v>811</v>
      </c>
      <c r="P1123" s="232">
        <v>0.1</v>
      </c>
      <c r="Q1123" s="233">
        <v>5.0000000000000001E-4</v>
      </c>
      <c r="R1123" s="234">
        <v>1.2999999999999999E-4</v>
      </c>
      <c r="S1123" s="268">
        <v>1</v>
      </c>
      <c r="T1123" s="231">
        <v>8.8000000000000003E-4</v>
      </c>
      <c r="U1123" s="236">
        <v>-31.220180180187356</v>
      </c>
      <c r="V1123" s="237">
        <v>60.5</v>
      </c>
      <c r="W1123" s="269">
        <v>2.4500000000000002</v>
      </c>
      <c r="X1123" s="239">
        <v>76.489441441459022</v>
      </c>
      <c r="Y1123" s="240"/>
      <c r="Z1123" s="240"/>
    </row>
    <row r="1124" spans="3:26" ht="20" thickBot="1">
      <c r="C1124" s="219"/>
      <c r="D1124" s="506" t="s">
        <v>435</v>
      </c>
      <c r="E1124" s="1160">
        <v>0.41666666666666674</v>
      </c>
      <c r="F1124" s="1161"/>
      <c r="G1124" s="1162"/>
      <c r="H1124" s="865">
        <v>0.2083333333333334</v>
      </c>
      <c r="I1124" s="1392"/>
      <c r="J1124" s="1392"/>
      <c r="K1124" s="1393"/>
      <c r="L1124" s="866">
        <v>0.64583333333333337</v>
      </c>
      <c r="M1124" s="337">
        <v>0.5</v>
      </c>
      <c r="N1124" s="219"/>
      <c r="O1124" s="241" t="s">
        <v>812</v>
      </c>
      <c r="P1124" s="242">
        <v>0.1</v>
      </c>
      <c r="Q1124" s="243">
        <v>3.1333333333333327E-4</v>
      </c>
      <c r="R1124" s="244">
        <v>1.2999999999999999E-4</v>
      </c>
      <c r="S1124" s="270">
        <v>1</v>
      </c>
      <c r="T1124" s="246">
        <v>5.9999999999999995E-4</v>
      </c>
      <c r="U1124" s="247">
        <v>-21.286486486491377</v>
      </c>
      <c r="V1124" s="248">
        <v>60.5</v>
      </c>
      <c r="W1124" s="271">
        <v>2.12</v>
      </c>
      <c r="X1124" s="250">
        <v>45.127351351361725</v>
      </c>
      <c r="Y1124" s="251"/>
      <c r="Z1124" s="251"/>
    </row>
    <row r="1125" spans="3:26" ht="20" thickBot="1">
      <c r="C1125" s="219"/>
      <c r="D1125" s="507" t="s">
        <v>436</v>
      </c>
      <c r="E1125" s="264" t="s">
        <v>29</v>
      </c>
      <c r="F1125" s="264" t="s">
        <v>28</v>
      </c>
      <c r="G1125" s="265" t="s">
        <v>27</v>
      </c>
      <c r="H1125" s="867" t="s">
        <v>793</v>
      </c>
      <c r="I1125" s="1392"/>
      <c r="J1125" s="1392"/>
      <c r="K1125" s="1393"/>
      <c r="L1125" s="868"/>
      <c r="M1125" s="339"/>
      <c r="N1125" s="219"/>
      <c r="O1125" s="229"/>
      <c r="P1125" s="230"/>
      <c r="Q1125" s="229"/>
      <c r="R1125" s="229"/>
      <c r="S1125" s="272"/>
      <c r="T1125" s="229"/>
      <c r="U1125" s="254"/>
      <c r="V1125" s="255"/>
      <c r="W1125" s="273"/>
      <c r="X1125" s="254"/>
      <c r="Y1125" s="230"/>
      <c r="Z1125" s="230"/>
    </row>
    <row r="1126" spans="3:26" ht="19">
      <c r="C1126" s="219"/>
      <c r="D1126" s="508">
        <v>45615</v>
      </c>
      <c r="E1126" s="266">
        <v>0.02</v>
      </c>
      <c r="F1126" s="266" t="s">
        <v>788</v>
      </c>
      <c r="G1126" s="266">
        <v>0.02</v>
      </c>
      <c r="H1126" s="869">
        <v>0.41666666666666674</v>
      </c>
      <c r="I1126" s="1392"/>
      <c r="J1126" s="1392"/>
      <c r="K1126" s="1393"/>
      <c r="L1126" s="870">
        <v>0.2083333333333334</v>
      </c>
      <c r="M1126" s="475"/>
      <c r="N1126" s="219"/>
      <c r="O1126" s="229"/>
      <c r="P1126" s="230"/>
      <c r="Q1126" s="229"/>
      <c r="R1126" s="229"/>
      <c r="S1126" s="272"/>
      <c r="T1126" s="229"/>
      <c r="U1126" s="229"/>
      <c r="V1126" s="229"/>
      <c r="W1126" s="273"/>
      <c r="X1126" s="229"/>
      <c r="Y1126" s="230"/>
      <c r="Z1126" s="230"/>
    </row>
    <row r="1127" spans="3:26" ht="19">
      <c r="C1127" s="219"/>
      <c r="D1127" s="508">
        <v>45596</v>
      </c>
      <c r="E1127" s="266">
        <v>0.02</v>
      </c>
      <c r="F1127" s="266" t="s">
        <v>789</v>
      </c>
      <c r="G1127" s="266">
        <v>1.7000000000000001E-2</v>
      </c>
      <c r="H1127" s="869">
        <v>0.41666666666666674</v>
      </c>
      <c r="I1127" s="1392"/>
      <c r="J1127" s="1392"/>
      <c r="K1127" s="1393"/>
      <c r="L1127" s="870">
        <v>0.2083333333333334</v>
      </c>
      <c r="M1127" s="476"/>
      <c r="N1127" s="219"/>
      <c r="O1127" s="221" t="s">
        <v>813</v>
      </c>
      <c r="P1127" s="317">
        <v>0.08</v>
      </c>
      <c r="Q1127" s="257">
        <v>4.0666666666666661E-4</v>
      </c>
      <c r="R1127" s="258">
        <v>1.2999999999999999E-4</v>
      </c>
      <c r="S1127" s="274">
        <v>1</v>
      </c>
      <c r="T1127" s="275">
        <v>5.9999999999999995E-4</v>
      </c>
      <c r="U1127" s="259">
        <v>-17.029189189193101</v>
      </c>
      <c r="V1127" s="260">
        <v>48.4</v>
      </c>
      <c r="W1127" s="276">
        <v>2</v>
      </c>
      <c r="X1127" s="227">
        <v>34.058378378386202</v>
      </c>
      <c r="Y1127" s="261" t="s">
        <v>814</v>
      </c>
      <c r="Z1127" s="261"/>
    </row>
    <row r="1128" spans="3:26" ht="19">
      <c r="C1128" s="219"/>
      <c r="D1128" s="508">
        <v>45582</v>
      </c>
      <c r="E1128" s="266">
        <v>1.7000000000000001E-2</v>
      </c>
      <c r="F1128" s="266" t="s">
        <v>895</v>
      </c>
      <c r="G1128" s="266">
        <v>2.1999999999999999E-2</v>
      </c>
      <c r="H1128" s="869">
        <v>0.375</v>
      </c>
      <c r="I1128" s="1392"/>
      <c r="J1128" s="1392"/>
      <c r="K1128" s="1393"/>
      <c r="L1128" s="870">
        <v>0.16666666666666666</v>
      </c>
      <c r="M1128" s="334"/>
      <c r="N1128" s="219"/>
      <c r="O1128" s="221" t="s">
        <v>813</v>
      </c>
      <c r="P1128" s="317">
        <v>-0.08</v>
      </c>
      <c r="Q1128" s="257">
        <v>4.0666666666666661E-4</v>
      </c>
      <c r="R1128" s="258">
        <v>1.2999999999999999E-4</v>
      </c>
      <c r="S1128" s="274">
        <v>-1</v>
      </c>
      <c r="T1128" s="275">
        <v>5.9999999999999995E-4</v>
      </c>
      <c r="U1128" s="259">
        <v>-17.029189189193101</v>
      </c>
      <c r="V1128" s="260">
        <v>48.4</v>
      </c>
      <c r="W1128" s="276">
        <v>2</v>
      </c>
      <c r="X1128" s="227">
        <v>34.058378378386202</v>
      </c>
      <c r="Y1128" s="261" t="s">
        <v>814</v>
      </c>
      <c r="Z1128" s="261"/>
    </row>
    <row r="1129" spans="3:26" ht="19">
      <c r="C1129" s="219"/>
      <c r="D1129" s="508">
        <v>45566</v>
      </c>
      <c r="E1129" s="266">
        <v>1.7999999999999999E-2</v>
      </c>
      <c r="F1129" s="266" t="s">
        <v>895</v>
      </c>
      <c r="G1129" s="266">
        <v>2.1999999999999999E-2</v>
      </c>
      <c r="H1129" s="869">
        <v>0.375</v>
      </c>
      <c r="I1129" s="1392"/>
      <c r="J1129" s="1392"/>
      <c r="K1129" s="1393"/>
      <c r="L1129" s="870">
        <v>0.16666666666666666</v>
      </c>
      <c r="M1129" s="334"/>
      <c r="N1129" s="219"/>
      <c r="O1129" s="221"/>
      <c r="P1129" s="262"/>
      <c r="Q1129" s="257"/>
      <c r="R1129" s="258"/>
      <c r="S1129" s="225"/>
      <c r="T1129" s="262"/>
      <c r="U1129" s="259"/>
      <c r="V1129" s="260"/>
      <c r="W1129" s="225"/>
      <c r="X1129" s="227"/>
      <c r="Y1129" s="261"/>
      <c r="Z1129" s="261"/>
    </row>
    <row r="1130" spans="3:26" ht="19">
      <c r="C1130" s="219"/>
      <c r="D1130" s="508">
        <v>45553</v>
      </c>
      <c r="E1130" s="266">
        <v>2.1999999999999999E-2</v>
      </c>
      <c r="F1130" s="266" t="s">
        <v>490</v>
      </c>
      <c r="G1130" s="266">
        <v>2.5999999999999999E-2</v>
      </c>
      <c r="H1130" s="869">
        <v>0.375</v>
      </c>
      <c r="I1130" s="1392"/>
      <c r="J1130" s="1392"/>
      <c r="K1130" s="1393"/>
      <c r="L1130" s="870">
        <v>0.16666666666666666</v>
      </c>
      <c r="M1130" s="334"/>
      <c r="N1130" s="219"/>
      <c r="O1130" s="263"/>
      <c r="P1130" s="263"/>
      <c r="Q1130" s="263"/>
      <c r="R1130" s="263"/>
      <c r="S1130" s="263"/>
      <c r="T1130" s="263"/>
      <c r="U1130" s="263"/>
      <c r="V1130" s="263"/>
      <c r="W1130" s="263"/>
      <c r="X1130" s="263"/>
      <c r="Y1130" s="263"/>
      <c r="Z1130" s="263"/>
    </row>
    <row r="1131" spans="3:26" ht="20" thickBot="1">
      <c r="C1131" s="219"/>
      <c r="D1131" s="517">
        <v>45534</v>
      </c>
      <c r="E1131" s="319">
        <v>2.1999999999999999E-2</v>
      </c>
      <c r="F1131" s="319" t="s">
        <v>490</v>
      </c>
      <c r="G1131" s="319">
        <v>2.5999999999999999E-2</v>
      </c>
      <c r="H1131" s="869">
        <v>0.37500000000000006</v>
      </c>
      <c r="I1131" s="1394"/>
      <c r="J1131" s="1394"/>
      <c r="K1131" s="1395"/>
      <c r="L1131" s="870">
        <v>0.16666666666666666</v>
      </c>
      <c r="M1131" s="477"/>
      <c r="N1131" s="219"/>
      <c r="O1131" s="263"/>
      <c r="P1131" s="263"/>
      <c r="Q1131" s="263"/>
      <c r="R1131" s="263"/>
      <c r="S1131" s="263"/>
      <c r="T1131" s="263"/>
      <c r="U1131" s="263"/>
      <c r="V1131" s="263"/>
      <c r="W1131" s="263"/>
      <c r="X1131" s="263"/>
      <c r="Y1131" s="263"/>
      <c r="Z1131" s="263"/>
    </row>
    <row r="1132" spans="3:26" ht="20" thickBot="1">
      <c r="C1132" s="218">
        <v>14</v>
      </c>
      <c r="D1132" s="509" t="s">
        <v>30</v>
      </c>
      <c r="E1132" s="1374" t="s">
        <v>1086</v>
      </c>
      <c r="F1132" s="1375"/>
      <c r="G1132" s="1376"/>
      <c r="H1132" s="872" t="s">
        <v>790</v>
      </c>
      <c r="I1132" s="1396" t="s">
        <v>633</v>
      </c>
      <c r="J1132" s="1396"/>
      <c r="K1132" s="1397"/>
      <c r="L1132" s="873" t="s">
        <v>430</v>
      </c>
      <c r="M1132" s="478" t="s">
        <v>431</v>
      </c>
      <c r="N1132" s="219" t="s">
        <v>105</v>
      </c>
      <c r="O1132" s="220" t="s">
        <v>800</v>
      </c>
      <c r="P1132" s="220" t="s">
        <v>801</v>
      </c>
      <c r="Q1132" s="220" t="s">
        <v>802</v>
      </c>
      <c r="R1132" s="220" t="s">
        <v>803</v>
      </c>
      <c r="S1132" s="220" t="s">
        <v>804</v>
      </c>
      <c r="T1132" s="220" t="s">
        <v>805</v>
      </c>
      <c r="U1132" s="220" t="s">
        <v>806</v>
      </c>
      <c r="V1132" s="220" t="s">
        <v>807</v>
      </c>
      <c r="W1132" s="220" t="s">
        <v>808</v>
      </c>
      <c r="X1132" s="220" t="s">
        <v>809</v>
      </c>
      <c r="Y1132" s="220" t="s">
        <v>75</v>
      </c>
      <c r="Z1132" s="220" t="s">
        <v>75</v>
      </c>
    </row>
    <row r="1133" spans="3:26" ht="19">
      <c r="C1133" s="219"/>
      <c r="D1133" s="518" t="s">
        <v>432</v>
      </c>
      <c r="E1133" s="1377"/>
      <c r="F1133" s="1378"/>
      <c r="G1133" s="1379"/>
      <c r="H1133" s="863" t="s">
        <v>906</v>
      </c>
      <c r="I1133" s="1398" t="s">
        <v>1074</v>
      </c>
      <c r="J1133" s="1398"/>
      <c r="K1133" s="1399"/>
      <c r="L1133" s="864"/>
      <c r="M1133" s="474" t="s">
        <v>1086</v>
      </c>
      <c r="N1133" s="219"/>
      <c r="O1133" s="221" t="s">
        <v>810</v>
      </c>
      <c r="P1133" s="262">
        <v>0.1</v>
      </c>
      <c r="Q1133" s="281">
        <v>3.9E-2</v>
      </c>
      <c r="R1133" s="282">
        <v>2.1000000000015007E-2</v>
      </c>
      <c r="S1133" s="225"/>
      <c r="T1133" s="221">
        <v>7.9500000000015003E-2</v>
      </c>
      <c r="U1133" s="281">
        <v>-18.989999999999998</v>
      </c>
      <c r="V1133" s="262">
        <v>91.8</v>
      </c>
      <c r="W1133" s="225"/>
      <c r="X1133" s="225"/>
      <c r="Y1133" s="225"/>
      <c r="Z1133" s="225"/>
    </row>
    <row r="1134" spans="3:26" ht="19">
      <c r="C1134" s="219"/>
      <c r="D1134" s="519" t="s">
        <v>433</v>
      </c>
      <c r="E1134" s="1380">
        <v>0</v>
      </c>
      <c r="F1134" s="1381"/>
      <c r="G1134" s="1382"/>
      <c r="H1134" s="874" t="s">
        <v>907</v>
      </c>
      <c r="I1134" s="1400"/>
      <c r="J1134" s="1400"/>
      <c r="K1134" s="1401"/>
      <c r="L1134" s="864"/>
      <c r="M1134" s="334"/>
      <c r="N1134" s="219"/>
      <c r="O1134" s="219"/>
      <c r="P1134" s="219"/>
      <c r="Q1134" s="219"/>
      <c r="R1134" s="228"/>
      <c r="S1134" s="229"/>
      <c r="T1134" s="219"/>
      <c r="U1134" s="219"/>
      <c r="V1134" s="219"/>
      <c r="W1134" s="229"/>
      <c r="X1134" s="229"/>
      <c r="Y1134" s="230"/>
      <c r="Z1134" s="230"/>
    </row>
    <row r="1135" spans="3:26" ht="19">
      <c r="C1135" s="219"/>
      <c r="D1135" s="519" t="s">
        <v>434</v>
      </c>
      <c r="E1135" s="1380">
        <v>41.6</v>
      </c>
      <c r="F1135" s="1381"/>
      <c r="G1135" s="1382"/>
      <c r="H1135" s="886"/>
      <c r="I1135" s="1400"/>
      <c r="J1135" s="1400"/>
      <c r="K1135" s="1401"/>
      <c r="L1135" s="864"/>
      <c r="M1135" s="334"/>
      <c r="N1135" s="219"/>
      <c r="O1135" s="231" t="s">
        <v>811</v>
      </c>
      <c r="P1135" s="285">
        <v>0.1</v>
      </c>
      <c r="Q1135" s="286">
        <v>7.22E-2</v>
      </c>
      <c r="R1135" s="287">
        <v>1.4999999999999999E-2</v>
      </c>
      <c r="S1135" s="235">
        <v>1</v>
      </c>
      <c r="T1135" s="231">
        <v>0.12330000000000001</v>
      </c>
      <c r="U1135" s="236">
        <v>-29.452415094334064</v>
      </c>
      <c r="V1135" s="237">
        <v>60.5</v>
      </c>
      <c r="W1135" s="240">
        <v>4.88</v>
      </c>
      <c r="X1135" s="239">
        <v>143.72778566035024</v>
      </c>
      <c r="Y1135" s="240"/>
      <c r="Z1135" s="240">
        <v>4.4350000000000005</v>
      </c>
    </row>
    <row r="1136" spans="3:26" ht="20" thickBot="1">
      <c r="C1136" s="219"/>
      <c r="D1136" s="520" t="s">
        <v>435</v>
      </c>
      <c r="E1136" s="1386">
        <v>0.61458333333333337</v>
      </c>
      <c r="F1136" s="1387"/>
      <c r="G1136" s="1388"/>
      <c r="H1136" s="865">
        <v>0.40625</v>
      </c>
      <c r="I1136" s="1400"/>
      <c r="J1136" s="1400"/>
      <c r="K1136" s="1401"/>
      <c r="L1136" s="866">
        <v>0.84375</v>
      </c>
      <c r="M1136" s="337">
        <v>0.69791666666666663</v>
      </c>
      <c r="N1136" s="219"/>
      <c r="O1136" s="241" t="s">
        <v>812</v>
      </c>
      <c r="P1136" s="293">
        <v>0.1</v>
      </c>
      <c r="Q1136" s="294">
        <v>4.0533333333333338E-2</v>
      </c>
      <c r="R1136" s="295">
        <v>1.4999999999999999E-2</v>
      </c>
      <c r="S1136" s="245">
        <v>0.5</v>
      </c>
      <c r="T1136" s="241">
        <v>7.5800000000000006E-2</v>
      </c>
      <c r="U1136" s="247">
        <v>-9.0530943396209338</v>
      </c>
      <c r="V1136" s="248">
        <v>60.5</v>
      </c>
      <c r="W1136" s="251">
        <v>2.3650000000000002</v>
      </c>
      <c r="X1136" s="250">
        <v>21.41056811320351</v>
      </c>
      <c r="Y1136" s="251"/>
      <c r="Z1136" s="251"/>
    </row>
    <row r="1137" spans="3:26" ht="20" thickBot="1">
      <c r="C1137" s="219"/>
      <c r="D1137" s="521" t="s">
        <v>436</v>
      </c>
      <c r="E1137" s="320" t="s">
        <v>29</v>
      </c>
      <c r="F1137" s="320" t="s">
        <v>28</v>
      </c>
      <c r="G1137" s="321" t="s">
        <v>27</v>
      </c>
      <c r="H1137" s="887" t="s">
        <v>793</v>
      </c>
      <c r="I1137" s="1400"/>
      <c r="J1137" s="1400"/>
      <c r="K1137" s="1401"/>
      <c r="L1137" s="888"/>
      <c r="M1137" s="487"/>
      <c r="N1137" s="219"/>
      <c r="O1137" s="229"/>
      <c r="P1137" s="230"/>
      <c r="Q1137" s="229"/>
      <c r="R1137" s="229"/>
      <c r="S1137" s="229"/>
      <c r="T1137" s="229"/>
      <c r="U1137" s="254"/>
      <c r="V1137" s="255"/>
      <c r="W1137" s="229"/>
      <c r="X1137" s="254"/>
      <c r="Y1137" s="230"/>
      <c r="Z1137" s="230"/>
    </row>
    <row r="1138" spans="3:26" ht="19">
      <c r="C1138" s="219"/>
      <c r="D1138" s="522">
        <v>45596</v>
      </c>
      <c r="E1138" s="256">
        <v>41.6</v>
      </c>
      <c r="F1138" s="256" t="s">
        <v>1126</v>
      </c>
      <c r="G1138" s="256">
        <v>46.6</v>
      </c>
      <c r="H1138" s="869">
        <v>0.57291666666666663</v>
      </c>
      <c r="I1138" s="1400"/>
      <c r="J1138" s="1400"/>
      <c r="K1138" s="1401"/>
      <c r="L1138" s="870">
        <v>0.36458333333333331</v>
      </c>
      <c r="M1138" s="475"/>
      <c r="N1138" s="219"/>
      <c r="O1138" s="229"/>
      <c r="P1138" s="230"/>
      <c r="Q1138" s="229"/>
      <c r="R1138" s="229"/>
      <c r="S1138" s="229"/>
      <c r="T1138" s="229"/>
      <c r="U1138" s="229"/>
      <c r="V1138" s="229"/>
      <c r="W1138" s="229"/>
      <c r="X1138" s="229"/>
      <c r="Y1138" s="230"/>
      <c r="Z1138" s="230"/>
    </row>
    <row r="1139" spans="3:26" ht="19">
      <c r="C1139" s="219"/>
      <c r="D1139" s="522">
        <v>45565</v>
      </c>
      <c r="E1139" s="256">
        <v>46.6</v>
      </c>
      <c r="F1139" s="256" t="s">
        <v>899</v>
      </c>
      <c r="G1139" s="256">
        <v>46.1</v>
      </c>
      <c r="H1139" s="869">
        <v>0.57291666666666663</v>
      </c>
      <c r="I1139" s="1400"/>
      <c r="J1139" s="1400"/>
      <c r="K1139" s="1401"/>
      <c r="L1139" s="870">
        <v>0.36458333333333331</v>
      </c>
      <c r="M1139" s="476"/>
      <c r="N1139" s="219"/>
      <c r="O1139" s="221" t="s">
        <v>813</v>
      </c>
      <c r="P1139" s="262">
        <v>0.25</v>
      </c>
      <c r="Q1139" s="257">
        <v>4.0533333333333338E-2</v>
      </c>
      <c r="R1139" s="258">
        <v>1.4999999999999999E-2</v>
      </c>
      <c r="S1139" s="225">
        <v>0.5</v>
      </c>
      <c r="T1139" s="262">
        <v>7.5800000000000006E-2</v>
      </c>
      <c r="U1139" s="259">
        <v>-22.632735849052334</v>
      </c>
      <c r="V1139" s="260">
        <v>151.25</v>
      </c>
      <c r="W1139" s="225">
        <v>2</v>
      </c>
      <c r="X1139" s="227">
        <v>45.265471698104669</v>
      </c>
      <c r="Y1139" s="261" t="s">
        <v>814</v>
      </c>
      <c r="Z1139" s="261"/>
    </row>
    <row r="1140" spans="3:26" ht="19">
      <c r="C1140" s="219"/>
      <c r="D1140" s="522">
        <v>45534</v>
      </c>
      <c r="E1140" s="256">
        <v>46.1</v>
      </c>
      <c r="F1140" s="256" t="s">
        <v>473</v>
      </c>
      <c r="G1140" s="256">
        <v>45.3</v>
      </c>
      <c r="H1140" s="869">
        <v>0.57291666666666663</v>
      </c>
      <c r="I1140" s="1400"/>
      <c r="J1140" s="1400"/>
      <c r="K1140" s="1401"/>
      <c r="L1140" s="870">
        <v>0.36458333333333331</v>
      </c>
      <c r="M1140" s="334"/>
      <c r="N1140" s="219"/>
      <c r="O1140" s="221" t="s">
        <v>813</v>
      </c>
      <c r="P1140" s="262">
        <v>0.25</v>
      </c>
      <c r="Q1140" s="257">
        <v>4.0533333333333338E-2</v>
      </c>
      <c r="R1140" s="258">
        <v>1.4999999999999999E-2</v>
      </c>
      <c r="S1140" s="225">
        <v>0.5</v>
      </c>
      <c r="T1140" s="262">
        <v>7.5800000000000006E-2</v>
      </c>
      <c r="U1140" s="259">
        <v>-23.639322033894302</v>
      </c>
      <c r="V1140" s="260">
        <v>151.25</v>
      </c>
      <c r="W1140" s="225">
        <v>2</v>
      </c>
      <c r="X1140" s="227">
        <v>47.278644067788605</v>
      </c>
      <c r="Y1140" s="261"/>
      <c r="Z1140" s="261"/>
    </row>
    <row r="1141" spans="3:26" ht="19">
      <c r="C1141" s="219"/>
      <c r="D1141" s="522">
        <v>45504</v>
      </c>
      <c r="E1141" s="256">
        <v>45.3</v>
      </c>
      <c r="F1141" s="256" t="s">
        <v>474</v>
      </c>
      <c r="G1141" s="256">
        <v>47.4</v>
      </c>
      <c r="H1141" s="869">
        <v>0.57291666666666663</v>
      </c>
      <c r="I1141" s="1400"/>
      <c r="J1141" s="1400"/>
      <c r="K1141" s="1401"/>
      <c r="L1141" s="870">
        <v>0.36458333333333331</v>
      </c>
      <c r="M1141" s="334"/>
      <c r="N1141" s="219"/>
      <c r="O1141" s="221" t="s">
        <v>816</v>
      </c>
      <c r="P1141" s="262"/>
      <c r="Q1141" s="257"/>
      <c r="R1141" s="258"/>
      <c r="S1141" s="225"/>
      <c r="T1141" s="262"/>
      <c r="U1141" s="259">
        <v>-23.639322033894302</v>
      </c>
      <c r="V1141" s="260"/>
      <c r="W1141" s="225"/>
      <c r="X1141" s="227">
        <v>47.278644067788605</v>
      </c>
      <c r="Y1141" s="261"/>
      <c r="Z1141" s="261"/>
    </row>
    <row r="1142" spans="3:26" ht="19">
      <c r="C1142" s="219"/>
      <c r="D1142" s="522">
        <v>45471</v>
      </c>
      <c r="E1142" s="256">
        <v>47.4</v>
      </c>
      <c r="F1142" s="256" t="s">
        <v>475</v>
      </c>
      <c r="G1142" s="256">
        <v>35.4</v>
      </c>
      <c r="H1142" s="869">
        <v>0.57291666666666663</v>
      </c>
      <c r="I1142" s="1400"/>
      <c r="J1142" s="1400"/>
      <c r="K1142" s="1401"/>
      <c r="L1142" s="870">
        <v>0.36458333333333331</v>
      </c>
      <c r="M1142" s="334"/>
      <c r="N1142" s="219"/>
      <c r="O1142" s="263"/>
      <c r="P1142" s="263"/>
      <c r="Q1142" s="263"/>
      <c r="R1142" s="263"/>
      <c r="S1142" s="263"/>
      <c r="T1142" s="263"/>
      <c r="U1142" s="263"/>
      <c r="V1142" s="263"/>
      <c r="W1142" s="263"/>
      <c r="X1142" s="263"/>
      <c r="Y1142" s="263"/>
      <c r="Z1142" s="263"/>
    </row>
    <row r="1143" spans="3:26" ht="20" thickBot="1">
      <c r="C1143" s="219"/>
      <c r="D1143" s="523">
        <v>45443</v>
      </c>
      <c r="E1143" s="256">
        <v>35.4</v>
      </c>
      <c r="F1143" s="256" t="s">
        <v>476</v>
      </c>
      <c r="G1143" s="256">
        <v>37.9</v>
      </c>
      <c r="H1143" s="889">
        <v>0.57291666666666663</v>
      </c>
      <c r="I1143" s="1402"/>
      <c r="J1143" s="1402"/>
      <c r="K1143" s="1403"/>
      <c r="L1143" s="870">
        <v>0.36458333333333331</v>
      </c>
      <c r="M1143" s="477"/>
      <c r="N1143" s="219"/>
      <c r="O1143" s="263"/>
      <c r="P1143" s="263"/>
      <c r="Q1143" s="263"/>
      <c r="R1143" s="263"/>
      <c r="S1143" s="263"/>
      <c r="T1143" s="263"/>
      <c r="U1143" s="263"/>
      <c r="V1143" s="263"/>
      <c r="W1143" s="263"/>
      <c r="X1143" s="263"/>
      <c r="Y1143" s="263"/>
      <c r="Z1143" s="263"/>
    </row>
    <row r="1144" spans="3:26" ht="20" thickBot="1">
      <c r="C1144" s="218">
        <v>15</v>
      </c>
      <c r="D1144" s="498" t="s">
        <v>30</v>
      </c>
      <c r="E1144" s="1147" t="s">
        <v>1087</v>
      </c>
      <c r="F1144" s="1148"/>
      <c r="G1144" s="1149"/>
      <c r="H1144" s="861" t="s">
        <v>790</v>
      </c>
      <c r="I1144" s="1404" t="s">
        <v>633</v>
      </c>
      <c r="J1144" s="1404"/>
      <c r="K1144" s="1405"/>
      <c r="L1144" s="862" t="s">
        <v>430</v>
      </c>
      <c r="M1144" s="332" t="s">
        <v>431</v>
      </c>
      <c r="N1144" s="219" t="s">
        <v>105</v>
      </c>
      <c r="O1144" s="220" t="s">
        <v>800</v>
      </c>
      <c r="P1144" s="220" t="s">
        <v>801</v>
      </c>
      <c r="Q1144" s="220" t="s">
        <v>802</v>
      </c>
      <c r="R1144" s="220" t="s">
        <v>803</v>
      </c>
      <c r="S1144" s="220" t="s">
        <v>804</v>
      </c>
      <c r="T1144" s="220" t="s">
        <v>805</v>
      </c>
      <c r="U1144" s="220" t="s">
        <v>806</v>
      </c>
      <c r="V1144" s="220" t="s">
        <v>807</v>
      </c>
      <c r="W1144" s="220" t="s">
        <v>808</v>
      </c>
      <c r="X1144" s="220" t="s">
        <v>809</v>
      </c>
      <c r="Y1144" s="220" t="s">
        <v>75</v>
      </c>
      <c r="Z1144" s="220" t="s">
        <v>75</v>
      </c>
    </row>
    <row r="1145" spans="3:26" ht="19">
      <c r="C1145" s="219"/>
      <c r="D1145" s="504" t="s">
        <v>432</v>
      </c>
      <c r="E1145" s="1150"/>
      <c r="F1145" s="1151"/>
      <c r="G1145" s="1152"/>
      <c r="H1145" s="863" t="s">
        <v>1132</v>
      </c>
      <c r="I1145" s="1390" t="s">
        <v>1088</v>
      </c>
      <c r="J1145" s="1390"/>
      <c r="K1145" s="1391"/>
      <c r="L1145" s="864"/>
      <c r="M1145" s="474" t="s">
        <v>1087</v>
      </c>
      <c r="N1145" s="219"/>
      <c r="O1145" s="221" t="s">
        <v>810</v>
      </c>
      <c r="P1145" s="222">
        <v>0.1</v>
      </c>
      <c r="Q1145" s="223">
        <v>2.7E-2</v>
      </c>
      <c r="R1145" s="224">
        <v>1.5999999999991132E-2</v>
      </c>
      <c r="S1145" s="225"/>
      <c r="T1145" s="221">
        <v>5.6499999999991134E-2</v>
      </c>
      <c r="U1145" s="223">
        <v>-13.31</v>
      </c>
      <c r="V1145" s="222">
        <v>91.8</v>
      </c>
      <c r="W1145" s="226">
        <v>2</v>
      </c>
      <c r="X1145" s="227">
        <v>26.62</v>
      </c>
      <c r="Y1145" s="225"/>
      <c r="Z1145" s="225"/>
    </row>
    <row r="1146" spans="3:26" ht="19">
      <c r="C1146" s="219"/>
      <c r="D1146" s="505" t="s">
        <v>433</v>
      </c>
      <c r="E1146" s="1163"/>
      <c r="F1146" s="1164"/>
      <c r="G1146" s="1165"/>
      <c r="H1146" s="863" t="s">
        <v>1133</v>
      </c>
      <c r="I1146" s="1392"/>
      <c r="J1146" s="1392"/>
      <c r="K1146" s="1393"/>
      <c r="L1146" s="864"/>
      <c r="M1146" s="334"/>
      <c r="N1146" s="219"/>
      <c r="O1146" s="219"/>
      <c r="P1146" s="219"/>
      <c r="Q1146" s="219"/>
      <c r="R1146" s="228"/>
      <c r="S1146" s="229"/>
      <c r="T1146" s="219"/>
      <c r="U1146" s="219"/>
      <c r="V1146" s="219"/>
      <c r="W1146" s="229"/>
      <c r="X1146" s="229"/>
      <c r="Y1146" s="230"/>
      <c r="Z1146" s="230"/>
    </row>
    <row r="1147" spans="3:26" ht="19">
      <c r="C1147" s="219"/>
      <c r="D1147" s="505" t="s">
        <v>434</v>
      </c>
      <c r="E1147" s="1169">
        <v>50.1</v>
      </c>
      <c r="F1147" s="1170"/>
      <c r="G1147" s="1171"/>
      <c r="H1147" s="863"/>
      <c r="I1147" s="1392"/>
      <c r="J1147" s="1392"/>
      <c r="K1147" s="1393"/>
      <c r="L1147" s="864"/>
      <c r="M1147" s="334"/>
      <c r="N1147" s="219"/>
      <c r="O1147" s="231" t="s">
        <v>811</v>
      </c>
      <c r="P1147" s="232">
        <v>0.1</v>
      </c>
      <c r="Q1147" s="233">
        <v>7.6399999999999996E-2</v>
      </c>
      <c r="R1147" s="234">
        <v>1.7000000000000001E-2</v>
      </c>
      <c r="S1147" s="235">
        <v>1</v>
      </c>
      <c r="T1147" s="231">
        <v>0.13159999999999999</v>
      </c>
      <c r="U1147" s="236">
        <v>-31.00169911504911</v>
      </c>
      <c r="V1147" s="237">
        <v>60.5</v>
      </c>
      <c r="W1147" s="322">
        <v>4.3600000000000003</v>
      </c>
      <c r="X1147" s="239">
        <v>135.16740814161412</v>
      </c>
      <c r="Y1147" s="240"/>
      <c r="Z1147" s="240">
        <v>4.4350000000000005</v>
      </c>
    </row>
    <row r="1148" spans="3:26" ht="20" thickBot="1">
      <c r="C1148" s="219"/>
      <c r="D1148" s="506" t="s">
        <v>435</v>
      </c>
      <c r="E1148" s="1160">
        <v>6.2500000000000028E-2</v>
      </c>
      <c r="F1148" s="1161"/>
      <c r="G1148" s="1162"/>
      <c r="H1148" s="865">
        <v>0.85416666666666663</v>
      </c>
      <c r="I1148" s="1392"/>
      <c r="J1148" s="1392"/>
      <c r="K1148" s="1393"/>
      <c r="L1148" s="866">
        <v>0.29166666666666669</v>
      </c>
      <c r="M1148" s="337">
        <v>0.14583333333333334</v>
      </c>
      <c r="N1148" s="219"/>
      <c r="O1148" s="241" t="s">
        <v>812</v>
      </c>
      <c r="P1148" s="242">
        <v>0.1</v>
      </c>
      <c r="Q1148" s="243">
        <v>6.6799999999999998E-2</v>
      </c>
      <c r="R1148" s="244">
        <v>1.7000000000000001E-2</v>
      </c>
      <c r="S1148" s="245">
        <v>1.5</v>
      </c>
      <c r="T1148" s="246">
        <v>0.1172</v>
      </c>
      <c r="U1148" s="247">
        <v>-41.414123893811812</v>
      </c>
      <c r="V1148" s="248">
        <v>60.5</v>
      </c>
      <c r="W1148" s="277">
        <v>5.9039999999999999</v>
      </c>
      <c r="X1148" s="250">
        <v>244.50898746906495</v>
      </c>
      <c r="Y1148" s="251"/>
      <c r="Z1148" s="251"/>
    </row>
    <row r="1149" spans="3:26" ht="20" thickBot="1">
      <c r="C1149" s="219"/>
      <c r="D1149" s="507" t="s">
        <v>436</v>
      </c>
      <c r="E1149" s="264" t="s">
        <v>29</v>
      </c>
      <c r="F1149" s="264" t="s">
        <v>28</v>
      </c>
      <c r="G1149" s="265" t="s">
        <v>27</v>
      </c>
      <c r="H1149" s="867" t="s">
        <v>793</v>
      </c>
      <c r="I1149" s="1392"/>
      <c r="J1149" s="1392"/>
      <c r="K1149" s="1393"/>
      <c r="L1149" s="868"/>
      <c r="M1149" s="339"/>
      <c r="N1149" s="219"/>
      <c r="O1149" s="229"/>
      <c r="P1149" s="230"/>
      <c r="Q1149" s="229"/>
      <c r="R1149" s="229"/>
      <c r="S1149" s="229"/>
      <c r="T1149" s="229"/>
      <c r="U1149" s="254"/>
      <c r="V1149" s="255"/>
      <c r="W1149" s="229"/>
      <c r="X1149" s="254"/>
      <c r="Y1149" s="230"/>
      <c r="Z1149" s="230"/>
    </row>
    <row r="1150" spans="3:26" ht="19">
      <c r="C1150" s="219"/>
      <c r="D1150" s="510">
        <v>45595</v>
      </c>
      <c r="E1150" s="323">
        <v>50.1</v>
      </c>
      <c r="F1150" s="323" t="s">
        <v>513</v>
      </c>
      <c r="G1150" s="323">
        <v>49.8</v>
      </c>
      <c r="H1150" s="869">
        <v>6.2500000000000028E-2</v>
      </c>
      <c r="I1150" s="1392"/>
      <c r="J1150" s="1392"/>
      <c r="K1150" s="1393"/>
      <c r="L1150" s="870">
        <v>0.85416666666666663</v>
      </c>
      <c r="M1150" s="475"/>
      <c r="N1150" s="219"/>
      <c r="O1150" s="229"/>
      <c r="P1150" s="230"/>
      <c r="Q1150" s="229"/>
      <c r="R1150" s="229"/>
      <c r="S1150" s="229"/>
      <c r="T1150" s="229"/>
      <c r="U1150" s="229"/>
      <c r="V1150" s="229"/>
      <c r="W1150" s="229"/>
      <c r="X1150" s="229"/>
      <c r="Y1150" s="230"/>
      <c r="Z1150" s="230"/>
    </row>
    <row r="1151" spans="3:26" ht="19">
      <c r="C1151" s="219"/>
      <c r="D1151" s="510">
        <v>45564</v>
      </c>
      <c r="E1151" s="323">
        <v>49.8</v>
      </c>
      <c r="F1151" s="323" t="s">
        <v>440</v>
      </c>
      <c r="G1151" s="323">
        <v>49.1</v>
      </c>
      <c r="H1151" s="869">
        <v>6.2500000000000028E-2</v>
      </c>
      <c r="I1151" s="1392"/>
      <c r="J1151" s="1392"/>
      <c r="K1151" s="1393"/>
      <c r="L1151" s="870">
        <v>0.85416666666666663</v>
      </c>
      <c r="M1151" s="476"/>
      <c r="N1151" s="219"/>
      <c r="O1151" s="221" t="s">
        <v>813</v>
      </c>
      <c r="P1151" s="222">
        <v>0.06</v>
      </c>
      <c r="Q1151" s="257">
        <v>7.1599999999999997E-2</v>
      </c>
      <c r="R1151" s="258">
        <v>1.7000000000000001E-2</v>
      </c>
      <c r="S1151" s="225">
        <v>2</v>
      </c>
      <c r="T1151" s="231">
        <v>0.1244</v>
      </c>
      <c r="U1151" s="259">
        <v>-35.166669026554196</v>
      </c>
      <c r="V1151" s="260">
        <v>36.299999999999997</v>
      </c>
      <c r="W1151" s="324">
        <v>4</v>
      </c>
      <c r="X1151" s="227">
        <v>140.66667610621678</v>
      </c>
      <c r="Y1151" s="261"/>
      <c r="Z1151" s="261"/>
    </row>
    <row r="1152" spans="3:26" ht="19">
      <c r="C1152" s="219"/>
      <c r="D1152" s="510">
        <v>45534</v>
      </c>
      <c r="E1152" s="323">
        <v>49.1</v>
      </c>
      <c r="F1152" s="323" t="s">
        <v>438</v>
      </c>
      <c r="G1152" s="323">
        <v>49.4</v>
      </c>
      <c r="H1152" s="869">
        <v>6.2500000000000028E-2</v>
      </c>
      <c r="I1152" s="1392"/>
      <c r="J1152" s="1392"/>
      <c r="K1152" s="1393"/>
      <c r="L1152" s="870">
        <v>0.85416666666666663</v>
      </c>
      <c r="M1152" s="334"/>
      <c r="N1152" s="219"/>
      <c r="O1152" s="221" t="s">
        <v>813</v>
      </c>
      <c r="P1152" s="222">
        <v>0.06</v>
      </c>
      <c r="Q1152" s="257">
        <v>7.1599999999999997E-2</v>
      </c>
      <c r="R1152" s="258">
        <v>1.7000000000000001E-2</v>
      </c>
      <c r="S1152" s="225">
        <v>2</v>
      </c>
      <c r="T1152" s="231">
        <v>0.1244</v>
      </c>
      <c r="U1152" s="259">
        <v>-35.166669026554196</v>
      </c>
      <c r="V1152" s="260">
        <v>36.299999999999997</v>
      </c>
      <c r="W1152" s="324">
        <v>4</v>
      </c>
      <c r="X1152" s="227">
        <v>140.66667610621678</v>
      </c>
      <c r="Y1152" s="261"/>
      <c r="Z1152" s="261"/>
    </row>
    <row r="1153" spans="2:26" ht="19">
      <c r="C1153" s="219"/>
      <c r="D1153" s="510">
        <v>45503</v>
      </c>
      <c r="E1153" s="323">
        <v>49.4</v>
      </c>
      <c r="F1153" s="323" t="s">
        <v>440</v>
      </c>
      <c r="G1153" s="323">
        <v>49.5</v>
      </c>
      <c r="H1153" s="869">
        <v>6.2500000000000028E-2</v>
      </c>
      <c r="I1153" s="1392"/>
      <c r="J1153" s="1392"/>
      <c r="K1153" s="1393"/>
      <c r="L1153" s="870">
        <v>0.85416666666666663</v>
      </c>
      <c r="M1153" s="334"/>
      <c r="N1153" s="219"/>
      <c r="O1153" s="221" t="s">
        <v>816</v>
      </c>
      <c r="P1153" s="262"/>
      <c r="Q1153" s="257"/>
      <c r="R1153" s="258"/>
      <c r="S1153" s="225"/>
      <c r="T1153" s="262"/>
      <c r="U1153" s="259"/>
      <c r="V1153" s="260"/>
      <c r="W1153" s="225"/>
      <c r="X1153" s="227"/>
      <c r="Y1153" s="261"/>
      <c r="Z1153" s="261"/>
    </row>
    <row r="1154" spans="2:26" ht="19">
      <c r="C1154" s="219"/>
      <c r="D1154" s="510">
        <v>45472</v>
      </c>
      <c r="E1154" s="323">
        <v>49.5</v>
      </c>
      <c r="F1154" s="323" t="s">
        <v>438</v>
      </c>
      <c r="G1154" s="323">
        <v>49.5</v>
      </c>
      <c r="H1154" s="869">
        <v>6.2500000000000028E-2</v>
      </c>
      <c r="I1154" s="1392"/>
      <c r="J1154" s="1392"/>
      <c r="K1154" s="1393"/>
      <c r="L1154" s="870">
        <v>0.85416666666666663</v>
      </c>
      <c r="M1154" s="334"/>
      <c r="N1154" s="219"/>
      <c r="O1154" s="263"/>
      <c r="P1154" s="263"/>
      <c r="Q1154" s="263"/>
      <c r="R1154" s="263"/>
      <c r="S1154" s="263"/>
      <c r="T1154" s="263"/>
      <c r="U1154" s="263"/>
      <c r="V1154" s="263"/>
      <c r="W1154" s="263"/>
      <c r="X1154" s="263"/>
      <c r="Y1154" s="263"/>
      <c r="Z1154" s="263"/>
    </row>
    <row r="1155" spans="2:26" ht="20" thickBot="1">
      <c r="C1155" s="219"/>
      <c r="D1155" s="516">
        <v>45442</v>
      </c>
      <c r="E1155" s="325">
        <v>49.5</v>
      </c>
      <c r="F1155" s="325" t="s">
        <v>443</v>
      </c>
      <c r="G1155" s="325">
        <v>50.4</v>
      </c>
      <c r="H1155" s="889">
        <v>6.2500000000000028E-2</v>
      </c>
      <c r="I1155" s="1394"/>
      <c r="J1155" s="1394"/>
      <c r="K1155" s="1395"/>
      <c r="L1155" s="871">
        <v>0.85416666666666663</v>
      </c>
      <c r="M1155" s="477"/>
      <c r="N1155" s="219"/>
      <c r="O1155" s="263"/>
      <c r="P1155" s="263"/>
      <c r="Q1155" s="263"/>
      <c r="R1155" s="263"/>
      <c r="S1155" s="263"/>
      <c r="T1155" s="263"/>
      <c r="U1155" s="263"/>
      <c r="V1155" s="263"/>
      <c r="W1155" s="263"/>
      <c r="X1155" s="263"/>
      <c r="Y1155" s="263"/>
      <c r="Z1155" s="263"/>
    </row>
    <row r="1156" spans="2:26" ht="20" thickBot="1">
      <c r="B1156" s="90" t="s">
        <v>105</v>
      </c>
      <c r="C1156" s="218">
        <v>1</v>
      </c>
      <c r="D1156" s="498" t="s">
        <v>30</v>
      </c>
      <c r="E1156" s="1147" t="s">
        <v>1135</v>
      </c>
      <c r="F1156" s="1148"/>
      <c r="G1156" s="1149"/>
      <c r="H1156" s="861" t="s">
        <v>790</v>
      </c>
      <c r="I1156" s="1256" t="s">
        <v>633</v>
      </c>
      <c r="J1156" s="1256"/>
      <c r="K1156" s="1257"/>
      <c r="L1156" s="890" t="s">
        <v>430</v>
      </c>
      <c r="M1156" s="333" t="s">
        <v>431</v>
      </c>
      <c r="N1156" s="219" t="s">
        <v>105</v>
      </c>
      <c r="O1156" s="220" t="s">
        <v>800</v>
      </c>
      <c r="P1156" s="220" t="s">
        <v>801</v>
      </c>
      <c r="Q1156" s="220" t="s">
        <v>802</v>
      </c>
      <c r="R1156" s="220" t="s">
        <v>803</v>
      </c>
      <c r="S1156" s="220" t="s">
        <v>804</v>
      </c>
      <c r="T1156" s="220" t="s">
        <v>805</v>
      </c>
      <c r="U1156" s="220" t="s">
        <v>806</v>
      </c>
      <c r="V1156" s="220" t="s">
        <v>807</v>
      </c>
      <c r="W1156" s="220" t="s">
        <v>808</v>
      </c>
      <c r="X1156" s="220" t="s">
        <v>809</v>
      </c>
      <c r="Y1156" s="220" t="s">
        <v>75</v>
      </c>
      <c r="Z1156" s="220" t="s">
        <v>75</v>
      </c>
    </row>
    <row r="1157" spans="2:26" ht="19">
      <c r="C1157" s="218"/>
      <c r="D1157" s="499" t="s">
        <v>432</v>
      </c>
      <c r="E1157" s="1105"/>
      <c r="F1157" s="1106"/>
      <c r="G1157" s="1107"/>
      <c r="H1157" s="863" t="s">
        <v>794</v>
      </c>
      <c r="I1157" s="1243" t="s">
        <v>1136</v>
      </c>
      <c r="J1157" s="1243"/>
      <c r="K1157" s="1244"/>
      <c r="L1157" s="891"/>
      <c r="M1157" s="335" t="s">
        <v>1135</v>
      </c>
      <c r="N1157" s="219"/>
      <c r="O1157" s="221" t="s">
        <v>810</v>
      </c>
      <c r="P1157" s="222">
        <v>0.1</v>
      </c>
      <c r="Q1157" s="223">
        <v>3.5999999999999997E-2</v>
      </c>
      <c r="R1157" s="224">
        <v>2.2000000000005571E-2</v>
      </c>
      <c r="S1157" s="225"/>
      <c r="T1157" s="221">
        <v>7.6000000000005563E-2</v>
      </c>
      <c r="U1157" s="223">
        <v>-20.059999999999999</v>
      </c>
      <c r="V1157" s="222">
        <v>60.5</v>
      </c>
      <c r="W1157" s="226">
        <v>2</v>
      </c>
      <c r="X1157" s="227">
        <v>40.119999999999997</v>
      </c>
      <c r="Y1157" s="225"/>
      <c r="Z1157" s="225"/>
    </row>
    <row r="1158" spans="2:26" ht="19">
      <c r="C1158" s="218"/>
      <c r="D1158" s="500" t="s">
        <v>433</v>
      </c>
      <c r="E1158" s="1118">
        <v>2E-3</v>
      </c>
      <c r="F1158" s="1119"/>
      <c r="G1158" s="1120"/>
      <c r="H1158" s="863" t="s">
        <v>795</v>
      </c>
      <c r="I1158" s="1246"/>
      <c r="J1158" s="1246"/>
      <c r="K1158" s="1247"/>
      <c r="L1158" s="891"/>
      <c r="M1158" s="336"/>
      <c r="N1158" s="219"/>
      <c r="O1158" s="219"/>
      <c r="P1158" s="219"/>
      <c r="Q1158" s="219"/>
      <c r="R1158" s="228"/>
      <c r="S1158" s="229"/>
      <c r="T1158" s="219"/>
      <c r="U1158" s="219"/>
      <c r="V1158" s="219"/>
      <c r="W1158" s="229"/>
      <c r="X1158" s="229"/>
      <c r="Y1158" s="230"/>
      <c r="Z1158" s="230"/>
    </row>
    <row r="1159" spans="2:26" ht="19">
      <c r="C1159" s="218"/>
      <c r="D1159" s="500" t="s">
        <v>434</v>
      </c>
      <c r="E1159" s="1118">
        <v>2E-3</v>
      </c>
      <c r="F1159" s="1119"/>
      <c r="G1159" s="1120"/>
      <c r="H1159" s="863"/>
      <c r="I1159" s="1246"/>
      <c r="J1159" s="1246"/>
      <c r="K1159" s="1247"/>
      <c r="L1159" s="891"/>
      <c r="M1159" s="336"/>
      <c r="N1159" s="219"/>
      <c r="O1159" s="231" t="s">
        <v>811</v>
      </c>
      <c r="P1159" s="232">
        <v>0.1</v>
      </c>
      <c r="Q1159" s="233">
        <v>9.2700000000000005E-2</v>
      </c>
      <c r="R1159" s="234">
        <v>2.5999999999999999E-2</v>
      </c>
      <c r="S1159" s="235">
        <v>1</v>
      </c>
      <c r="T1159" s="231">
        <v>0.16505</v>
      </c>
      <c r="U1159" s="236">
        <v>-43.564513157891547</v>
      </c>
      <c r="V1159" s="237">
        <v>60.5</v>
      </c>
      <c r="W1159" s="238">
        <v>4.8899999999999997</v>
      </c>
      <c r="X1159" s="239">
        <v>213.03046934208965</v>
      </c>
      <c r="Y1159" s="240"/>
      <c r="Z1159" s="240"/>
    </row>
    <row r="1160" spans="2:26" ht="20" thickBot="1">
      <c r="C1160" s="218"/>
      <c r="D1160" s="501" t="s">
        <v>435</v>
      </c>
      <c r="E1160" s="1193">
        <v>0.99305555555555558</v>
      </c>
      <c r="F1160" s="1194"/>
      <c r="G1160" s="1195"/>
      <c r="H1160" s="865"/>
      <c r="I1160" s="1246"/>
      <c r="J1160" s="1246"/>
      <c r="K1160" s="1247"/>
      <c r="L1160" s="892">
        <v>0.22222222222222221</v>
      </c>
      <c r="M1160" s="338">
        <v>7.6388888888888867E-2</v>
      </c>
      <c r="N1160" s="219"/>
      <c r="O1160" s="241" t="s">
        <v>812</v>
      </c>
      <c r="P1160" s="242">
        <v>0.1</v>
      </c>
      <c r="Q1160" s="243">
        <v>5.8733333333333332E-2</v>
      </c>
      <c r="R1160" s="244">
        <v>2.5999999999999999E-2</v>
      </c>
      <c r="S1160" s="245">
        <v>1</v>
      </c>
      <c r="T1160" s="246">
        <v>0.11409999999999999</v>
      </c>
      <c r="U1160" s="247">
        <v>-30.116394736839897</v>
      </c>
      <c r="V1160" s="248">
        <v>60.5</v>
      </c>
      <c r="W1160" s="249">
        <v>2</v>
      </c>
      <c r="X1160" s="250">
        <v>60.232789473679794</v>
      </c>
      <c r="Y1160" s="251"/>
      <c r="Z1160" s="251"/>
    </row>
    <row r="1161" spans="2:26" ht="20" thickBot="1">
      <c r="C1161" s="218"/>
      <c r="D1161" s="502" t="s">
        <v>436</v>
      </c>
      <c r="E1161" s="252" t="s">
        <v>29</v>
      </c>
      <c r="F1161" s="252" t="s">
        <v>28</v>
      </c>
      <c r="G1161" s="253" t="s">
        <v>27</v>
      </c>
      <c r="H1161" s="867" t="s">
        <v>793</v>
      </c>
      <c r="I1161" s="1246"/>
      <c r="J1161" s="1246"/>
      <c r="K1161" s="1247"/>
      <c r="L1161" s="893" t="s">
        <v>1246</v>
      </c>
      <c r="M1161" s="340"/>
      <c r="N1161" s="219"/>
      <c r="O1161" s="229"/>
      <c r="P1161" s="230"/>
      <c r="Q1161" s="229"/>
      <c r="R1161" s="229"/>
      <c r="S1161" s="229"/>
      <c r="T1161" s="229"/>
      <c r="U1161" s="254"/>
      <c r="V1161" s="255"/>
      <c r="W1161" s="229"/>
      <c r="X1161" s="254"/>
      <c r="Y1161" s="230"/>
      <c r="Z1161" s="230"/>
    </row>
    <row r="1162" spans="2:26" ht="19">
      <c r="C1162" s="218"/>
      <c r="D1162" s="524">
        <v>45595</v>
      </c>
      <c r="E1162" s="341">
        <v>1E-3</v>
      </c>
      <c r="F1162" s="341" t="s">
        <v>467</v>
      </c>
      <c r="G1162" s="341">
        <v>7.0000000000000001E-3</v>
      </c>
      <c r="H1162" s="869">
        <v>0.99305555555555558</v>
      </c>
      <c r="I1162" s="1246"/>
      <c r="J1162" s="1246"/>
      <c r="K1162" s="1247"/>
      <c r="L1162" s="894"/>
      <c r="M1162" s="342"/>
      <c r="N1162" s="219"/>
      <c r="O1162" s="229"/>
      <c r="P1162" s="230"/>
      <c r="Q1162" s="229"/>
      <c r="R1162" s="229"/>
      <c r="S1162" s="229"/>
      <c r="T1162" s="229"/>
      <c r="U1162" s="229"/>
      <c r="V1162" s="229"/>
      <c r="W1162" s="229"/>
      <c r="X1162" s="229"/>
      <c r="Y1162" s="230"/>
      <c r="Z1162" s="230"/>
    </row>
    <row r="1163" spans="2:26" ht="19">
      <c r="C1163" s="218"/>
      <c r="D1163" s="524">
        <v>45565</v>
      </c>
      <c r="E1163" s="341">
        <v>7.0000000000000001E-3</v>
      </c>
      <c r="F1163" s="341" t="s">
        <v>452</v>
      </c>
      <c r="G1163" s="341">
        <v>1E-3</v>
      </c>
      <c r="H1163" s="869">
        <v>0.99305555555555558</v>
      </c>
      <c r="I1163" s="1246"/>
      <c r="J1163" s="1246"/>
      <c r="K1163" s="1247"/>
      <c r="L1163" s="894"/>
      <c r="M1163" s="343"/>
      <c r="N1163" s="219"/>
      <c r="O1163" s="221" t="s">
        <v>813</v>
      </c>
      <c r="P1163" s="222">
        <v>0.05</v>
      </c>
      <c r="Q1163" s="257">
        <v>7.5716666666666668E-2</v>
      </c>
      <c r="R1163" s="258">
        <v>2.5999999999999999E-2</v>
      </c>
      <c r="S1163" s="225">
        <v>1</v>
      </c>
      <c r="T1163" s="231">
        <v>0.139575</v>
      </c>
      <c r="U1163" s="259">
        <v>-18.420226973682862</v>
      </c>
      <c r="V1163" s="260">
        <v>30.25</v>
      </c>
      <c r="W1163" s="225">
        <v>1.5</v>
      </c>
      <c r="X1163" s="227">
        <v>27.630340460524295</v>
      </c>
      <c r="Y1163" s="261"/>
      <c r="Z1163" s="261"/>
    </row>
    <row r="1164" spans="2:26" ht="19">
      <c r="C1164" s="218"/>
      <c r="D1164" s="524">
        <v>45533</v>
      </c>
      <c r="E1164" s="341">
        <v>0</v>
      </c>
      <c r="F1164" s="341" t="s">
        <v>467</v>
      </c>
      <c r="G1164" s="341">
        <v>5.0000000000000001E-3</v>
      </c>
      <c r="H1164" s="869">
        <v>0.99305555555555558</v>
      </c>
      <c r="I1164" s="1246"/>
      <c r="J1164" s="1246"/>
      <c r="K1164" s="1247"/>
      <c r="L1164" s="894"/>
      <c r="M1164" s="336"/>
      <c r="N1164" s="219"/>
      <c r="O1164" s="221" t="s">
        <v>813</v>
      </c>
      <c r="P1164" s="222">
        <v>-0.05</v>
      </c>
      <c r="Q1164" s="257">
        <v>7.5716666666666668E-2</v>
      </c>
      <c r="R1164" s="258">
        <v>2.5999999999999999E-2</v>
      </c>
      <c r="S1164" s="225">
        <v>-1</v>
      </c>
      <c r="T1164" s="231">
        <v>0.139575</v>
      </c>
      <c r="U1164" s="259">
        <v>-18.420226973682862</v>
      </c>
      <c r="V1164" s="260">
        <v>-30.25</v>
      </c>
      <c r="W1164" s="225">
        <v>1.5</v>
      </c>
      <c r="X1164" s="227">
        <v>27.630340460524295</v>
      </c>
      <c r="Y1164" s="261"/>
      <c r="Z1164" s="261"/>
    </row>
    <row r="1165" spans="2:26" ht="19">
      <c r="C1165" s="218"/>
      <c r="D1165" s="524">
        <v>45503</v>
      </c>
      <c r="E1165" s="341">
        <v>5.0000000000000001E-3</v>
      </c>
      <c r="F1165" s="341" t="s">
        <v>460</v>
      </c>
      <c r="G1165" s="341">
        <v>6.0000000000000001E-3</v>
      </c>
      <c r="H1165" s="869">
        <v>0.99305555555555558</v>
      </c>
      <c r="I1165" s="1246"/>
      <c r="J1165" s="1246"/>
      <c r="K1165" s="1247"/>
      <c r="L1165" s="894"/>
      <c r="M1165" s="336"/>
      <c r="N1165" s="219"/>
      <c r="O1165" s="221"/>
      <c r="P1165" s="262"/>
      <c r="Q1165" s="257"/>
      <c r="R1165" s="258"/>
      <c r="S1165" s="225"/>
      <c r="T1165" s="262"/>
      <c r="U1165" s="259"/>
      <c r="V1165" s="260"/>
      <c r="W1165" s="225"/>
      <c r="X1165" s="227"/>
      <c r="Y1165" s="261"/>
      <c r="Z1165" s="261"/>
    </row>
    <row r="1166" spans="2:26" ht="19">
      <c r="C1166" s="218"/>
      <c r="D1166" s="524">
        <v>45475</v>
      </c>
      <c r="E1166" s="341">
        <v>6.0000000000000001E-3</v>
      </c>
      <c r="F1166" s="341" t="s">
        <v>467</v>
      </c>
      <c r="G1166" s="341">
        <v>1E-3</v>
      </c>
      <c r="H1166" s="869">
        <v>0.99305555555555558</v>
      </c>
      <c r="I1166" s="1246"/>
      <c r="J1166" s="1246"/>
      <c r="K1166" s="1247"/>
      <c r="L1166" s="894"/>
      <c r="M1166" s="336"/>
      <c r="N1166" s="219"/>
      <c r="O1166" s="263"/>
      <c r="P1166" s="263"/>
      <c r="Q1166" s="263"/>
      <c r="R1166" s="263"/>
      <c r="S1166" s="263"/>
      <c r="T1166" s="263"/>
      <c r="U1166" s="263"/>
      <c r="V1166" s="263"/>
      <c r="W1166" s="263"/>
      <c r="X1166" s="263"/>
      <c r="Y1166" s="263"/>
      <c r="Z1166" s="263"/>
    </row>
    <row r="1167" spans="2:26" ht="20" thickBot="1">
      <c r="C1167" s="218"/>
      <c r="D1167" s="524">
        <v>45446</v>
      </c>
      <c r="E1167" s="341">
        <v>1E-3</v>
      </c>
      <c r="F1167" s="341" t="s">
        <v>462</v>
      </c>
      <c r="G1167" s="341">
        <v>-4.0000000000000001E-3</v>
      </c>
      <c r="H1167" s="869">
        <v>0.99305555555555558</v>
      </c>
      <c r="I1167" s="1249"/>
      <c r="J1167" s="1249"/>
      <c r="K1167" s="1250"/>
      <c r="L1167" s="894"/>
      <c r="M1167" s="344"/>
      <c r="N1167" s="219"/>
      <c r="O1167" s="263"/>
      <c r="P1167" s="263"/>
      <c r="Q1167" s="263"/>
      <c r="R1167" s="263"/>
      <c r="S1167" s="263"/>
      <c r="T1167" s="263"/>
      <c r="U1167" s="263"/>
      <c r="V1167" s="263"/>
      <c r="W1167" s="263"/>
      <c r="X1167" s="263"/>
      <c r="Y1167" s="263"/>
      <c r="Z1167" s="263"/>
    </row>
    <row r="1168" spans="2:26" ht="20" thickBot="1">
      <c r="C1168" s="218">
        <v>1</v>
      </c>
      <c r="D1168" s="498" t="s">
        <v>30</v>
      </c>
      <c r="E1168" s="1147" t="s">
        <v>1137</v>
      </c>
      <c r="F1168" s="1148"/>
      <c r="G1168" s="1149"/>
      <c r="H1168" s="861" t="s">
        <v>790</v>
      </c>
      <c r="I1168" s="1256" t="s">
        <v>633</v>
      </c>
      <c r="J1168" s="1256"/>
      <c r="K1168" s="1257"/>
      <c r="L1168" s="890" t="s">
        <v>430</v>
      </c>
      <c r="M1168" s="333" t="s">
        <v>431</v>
      </c>
      <c r="N1168" s="219" t="s">
        <v>105</v>
      </c>
      <c r="O1168" s="220" t="s">
        <v>800</v>
      </c>
      <c r="P1168" s="220" t="s">
        <v>801</v>
      </c>
      <c r="Q1168" s="220" t="s">
        <v>802</v>
      </c>
      <c r="R1168" s="220" t="s">
        <v>803</v>
      </c>
      <c r="S1168" s="220" t="s">
        <v>804</v>
      </c>
      <c r="T1168" s="220" t="s">
        <v>805</v>
      </c>
      <c r="U1168" s="220" t="s">
        <v>806</v>
      </c>
      <c r="V1168" s="220" t="s">
        <v>807</v>
      </c>
      <c r="W1168" s="220" t="s">
        <v>808</v>
      </c>
      <c r="X1168" s="220" t="s">
        <v>809</v>
      </c>
      <c r="Y1168" s="220" t="s">
        <v>75</v>
      </c>
      <c r="Z1168" s="220" t="s">
        <v>75</v>
      </c>
    </row>
    <row r="1169" spans="3:26" ht="19">
      <c r="C1169" s="218"/>
      <c r="D1169" s="499" t="s">
        <v>432</v>
      </c>
      <c r="E1169" s="1105"/>
      <c r="F1169" s="1106"/>
      <c r="G1169" s="1107"/>
      <c r="H1169" s="863" t="s">
        <v>904</v>
      </c>
      <c r="I1169" s="1243" t="s">
        <v>1138</v>
      </c>
      <c r="J1169" s="1243"/>
      <c r="K1169" s="1244"/>
      <c r="L1169" s="891"/>
      <c r="M1169" s="335" t="s">
        <v>1137</v>
      </c>
      <c r="N1169" s="219"/>
      <c r="O1169" s="221" t="s">
        <v>810</v>
      </c>
      <c r="P1169" s="222">
        <v>0.1</v>
      </c>
      <c r="Q1169" s="223">
        <v>1.4E-2</v>
      </c>
      <c r="R1169" s="224">
        <v>2.2999999999996135E-2</v>
      </c>
      <c r="S1169" s="225"/>
      <c r="T1169" s="221">
        <v>4.3999999999996139E-2</v>
      </c>
      <c r="U1169" s="223">
        <v>-10.93</v>
      </c>
      <c r="V1169" s="222">
        <v>60.5</v>
      </c>
      <c r="W1169" s="226">
        <v>2</v>
      </c>
      <c r="X1169" s="227">
        <v>21.86</v>
      </c>
      <c r="Y1169" s="225"/>
      <c r="Z1169" s="225"/>
    </row>
    <row r="1170" spans="3:26" ht="19">
      <c r="C1170" s="218"/>
      <c r="D1170" s="500" t="s">
        <v>433</v>
      </c>
      <c r="E1170" s="1117">
        <v>4.3499999999999997E-2</v>
      </c>
      <c r="F1170" s="1109"/>
      <c r="G1170" s="1110"/>
      <c r="H1170" s="863" t="s">
        <v>905</v>
      </c>
      <c r="I1170" s="1246"/>
      <c r="J1170" s="1246"/>
      <c r="K1170" s="1247"/>
      <c r="L1170" s="891"/>
      <c r="M1170" s="336"/>
      <c r="N1170" s="219"/>
      <c r="O1170" s="219"/>
      <c r="P1170" s="219"/>
      <c r="Q1170" s="219"/>
      <c r="R1170" s="228"/>
      <c r="S1170" s="229"/>
      <c r="T1170" s="219"/>
      <c r="U1170" s="219"/>
      <c r="V1170" s="219"/>
      <c r="W1170" s="229"/>
      <c r="X1170" s="229"/>
      <c r="Y1170" s="230"/>
      <c r="Z1170" s="230"/>
    </row>
    <row r="1171" spans="3:26" ht="19">
      <c r="C1171" s="218"/>
      <c r="D1171" s="500" t="s">
        <v>434</v>
      </c>
      <c r="E1171" s="1117">
        <v>4.3499999999999997E-2</v>
      </c>
      <c r="F1171" s="1109"/>
      <c r="G1171" s="1110"/>
      <c r="H1171" s="863"/>
      <c r="I1171" s="1246"/>
      <c r="J1171" s="1246"/>
      <c r="K1171" s="1247"/>
      <c r="L1171" s="891"/>
      <c r="M1171" s="336"/>
      <c r="N1171" s="219"/>
      <c r="O1171" s="231" t="s">
        <v>811</v>
      </c>
      <c r="P1171" s="232">
        <v>0.1</v>
      </c>
      <c r="Q1171" s="233">
        <v>6.4699999999999994E-2</v>
      </c>
      <c r="R1171" s="234">
        <v>5.0999999999999997E-2</v>
      </c>
      <c r="S1171" s="235">
        <v>1</v>
      </c>
      <c r="T1171" s="231">
        <v>0.14804999999999999</v>
      </c>
      <c r="U1171" s="236">
        <v>-36.77696590909413</v>
      </c>
      <c r="V1171" s="237">
        <v>60.5</v>
      </c>
      <c r="W1171" s="238">
        <v>4.26</v>
      </c>
      <c r="X1171" s="239">
        <v>156.669874772741</v>
      </c>
      <c r="Y1171" s="240"/>
      <c r="Z1171" s="240"/>
    </row>
    <row r="1172" spans="3:26" ht="20" thickBot="1">
      <c r="C1172" s="218"/>
      <c r="D1172" s="501" t="s">
        <v>435</v>
      </c>
      <c r="E1172" s="1114">
        <v>0.1875</v>
      </c>
      <c r="F1172" s="1115"/>
      <c r="G1172" s="1116"/>
      <c r="H1172" s="865"/>
      <c r="I1172" s="1246"/>
      <c r="J1172" s="1246"/>
      <c r="K1172" s="1247"/>
      <c r="L1172" s="892">
        <v>0.375</v>
      </c>
      <c r="M1172" s="338">
        <v>0.22916666666666666</v>
      </c>
      <c r="N1172" s="219"/>
      <c r="O1172" s="241" t="s">
        <v>812</v>
      </c>
      <c r="P1172" s="242">
        <v>0.1</v>
      </c>
      <c r="Q1172" s="243">
        <v>7.2133333333333341E-2</v>
      </c>
      <c r="R1172" s="244">
        <v>5.0999999999999997E-2</v>
      </c>
      <c r="S1172" s="245">
        <v>1</v>
      </c>
      <c r="T1172" s="246">
        <v>0.15920000000000001</v>
      </c>
      <c r="U1172" s="247">
        <v>-39.546727272730742</v>
      </c>
      <c r="V1172" s="248">
        <v>60.5</v>
      </c>
      <c r="W1172" s="249">
        <v>3.07</v>
      </c>
      <c r="X1172" s="250">
        <v>121.40845272728338</v>
      </c>
      <c r="Y1172" s="251"/>
      <c r="Z1172" s="251"/>
    </row>
    <row r="1173" spans="3:26" ht="20" thickBot="1">
      <c r="C1173" s="218"/>
      <c r="D1173" s="502" t="s">
        <v>436</v>
      </c>
      <c r="E1173" s="252" t="s">
        <v>29</v>
      </c>
      <c r="F1173" s="252" t="s">
        <v>28</v>
      </c>
      <c r="G1173" s="253" t="s">
        <v>27</v>
      </c>
      <c r="H1173" s="867" t="s">
        <v>793</v>
      </c>
      <c r="I1173" s="1246"/>
      <c r="J1173" s="1246"/>
      <c r="K1173" s="1247"/>
      <c r="L1173" s="893" t="s">
        <v>1246</v>
      </c>
      <c r="M1173" s="340"/>
      <c r="N1173" s="219"/>
      <c r="O1173" s="229"/>
      <c r="P1173" s="230"/>
      <c r="Q1173" s="229"/>
      <c r="R1173" s="229"/>
      <c r="S1173" s="229"/>
      <c r="T1173" s="229"/>
      <c r="U1173" s="254"/>
      <c r="V1173" s="255"/>
      <c r="W1173" s="229"/>
      <c r="X1173" s="254"/>
      <c r="Y1173" s="230"/>
      <c r="Z1173" s="230"/>
    </row>
    <row r="1174" spans="3:26" ht="19">
      <c r="C1174" s="218"/>
      <c r="D1174" s="503">
        <v>45618</v>
      </c>
      <c r="E1174" s="345">
        <v>48.8</v>
      </c>
      <c r="F1174" s="345" t="s">
        <v>510</v>
      </c>
      <c r="G1174" s="345">
        <v>48.5</v>
      </c>
      <c r="H1174" s="869">
        <v>0.1875</v>
      </c>
      <c r="I1174" s="1246"/>
      <c r="J1174" s="1246"/>
      <c r="K1174" s="1247"/>
      <c r="L1174" s="894">
        <v>0.14583333333333334</v>
      </c>
      <c r="M1174" s="342"/>
      <c r="N1174" s="219"/>
      <c r="O1174" s="229"/>
      <c r="P1174" s="230"/>
      <c r="Q1174" s="229"/>
      <c r="R1174" s="229"/>
      <c r="S1174" s="229"/>
      <c r="T1174" s="229"/>
      <c r="U1174" s="229"/>
      <c r="V1174" s="229"/>
      <c r="W1174" s="229"/>
      <c r="X1174" s="229"/>
      <c r="Y1174" s="230"/>
      <c r="Z1174" s="230"/>
    </row>
    <row r="1175" spans="3:26" ht="19">
      <c r="C1175" s="218"/>
      <c r="D1175" s="503">
        <v>45597</v>
      </c>
      <c r="E1175" s="345">
        <v>48.5</v>
      </c>
      <c r="F1175" s="345" t="s">
        <v>1054</v>
      </c>
      <c r="G1175" s="345">
        <v>47.8</v>
      </c>
      <c r="H1175" s="869">
        <v>0.22916666666666666</v>
      </c>
      <c r="I1175" s="1246"/>
      <c r="J1175" s="1246"/>
      <c r="K1175" s="1247"/>
      <c r="L1175" s="894">
        <v>0.1875</v>
      </c>
      <c r="M1175" s="343"/>
      <c r="N1175" s="219"/>
      <c r="O1175" s="221" t="s">
        <v>813</v>
      </c>
      <c r="P1175" s="222">
        <v>0.02</v>
      </c>
      <c r="Q1175" s="257">
        <v>6.8416666666666667E-2</v>
      </c>
      <c r="R1175" s="258">
        <v>5.0999999999999997E-2</v>
      </c>
      <c r="S1175" s="225">
        <v>1.5</v>
      </c>
      <c r="T1175" s="231">
        <v>0.15362499999999998</v>
      </c>
      <c r="U1175" s="259">
        <v>-11.448553977273731</v>
      </c>
      <c r="V1175" s="260">
        <v>12.1</v>
      </c>
      <c r="W1175" s="225">
        <v>2</v>
      </c>
      <c r="X1175" s="227">
        <v>22.897107954547462</v>
      </c>
      <c r="Y1175" s="261"/>
      <c r="Z1175" s="261"/>
    </row>
    <row r="1176" spans="3:26" ht="19">
      <c r="C1176" s="218"/>
      <c r="D1176" s="503">
        <v>45589</v>
      </c>
      <c r="E1176" s="345">
        <v>47.8</v>
      </c>
      <c r="F1176" s="345" t="s">
        <v>509</v>
      </c>
      <c r="G1176" s="345">
        <v>47.3</v>
      </c>
      <c r="H1176" s="869">
        <v>0.22916666666666666</v>
      </c>
      <c r="I1176" s="1246"/>
      <c r="J1176" s="1246"/>
      <c r="K1176" s="1247"/>
      <c r="L1176" s="894">
        <v>0.1875</v>
      </c>
      <c r="M1176" s="336"/>
      <c r="N1176" s="219"/>
      <c r="O1176" s="221" t="s">
        <v>813</v>
      </c>
      <c r="P1176" s="222">
        <v>-0.02</v>
      </c>
      <c r="Q1176" s="257">
        <v>6.8416666666666667E-2</v>
      </c>
      <c r="R1176" s="258">
        <v>5.0999999999999997E-2</v>
      </c>
      <c r="S1176" s="225">
        <v>-1.5</v>
      </c>
      <c r="T1176" s="231">
        <v>0.15362499999999998</v>
      </c>
      <c r="U1176" s="259">
        <v>-11.448553977273731</v>
      </c>
      <c r="V1176" s="260">
        <v>-12.1</v>
      </c>
      <c r="W1176" s="225">
        <v>2</v>
      </c>
      <c r="X1176" s="227">
        <v>22.897107954547462</v>
      </c>
      <c r="Y1176" s="261"/>
      <c r="Z1176" s="261"/>
    </row>
    <row r="1177" spans="3:26" ht="19">
      <c r="C1177" s="218"/>
      <c r="D1177" s="503">
        <v>45566</v>
      </c>
      <c r="E1177" s="345">
        <v>47.3</v>
      </c>
      <c r="F1177" s="345" t="s">
        <v>758</v>
      </c>
      <c r="G1177" s="345">
        <v>47.9</v>
      </c>
      <c r="H1177" s="869">
        <v>0.22916666666666666</v>
      </c>
      <c r="I1177" s="1246"/>
      <c r="J1177" s="1246"/>
      <c r="K1177" s="1247"/>
      <c r="L1177" s="894">
        <v>0.1875</v>
      </c>
      <c r="M1177" s="336"/>
      <c r="N1177" s="219"/>
      <c r="O1177" s="221"/>
      <c r="P1177" s="262"/>
      <c r="Q1177" s="257"/>
      <c r="R1177" s="258"/>
      <c r="S1177" s="225"/>
      <c r="T1177" s="262"/>
      <c r="U1177" s="259"/>
      <c r="V1177" s="260"/>
      <c r="W1177" s="225"/>
      <c r="X1177" s="227"/>
      <c r="Y1177" s="261"/>
      <c r="Z1177" s="261"/>
    </row>
    <row r="1178" spans="3:26" ht="19">
      <c r="C1178" s="218"/>
      <c r="D1178" s="503">
        <v>45558</v>
      </c>
      <c r="E1178" s="345">
        <v>47</v>
      </c>
      <c r="F1178" s="345" t="s">
        <v>500</v>
      </c>
      <c r="G1178" s="345">
        <v>47.9</v>
      </c>
      <c r="H1178" s="869">
        <v>0.22916666666666666</v>
      </c>
      <c r="I1178" s="1246"/>
      <c r="J1178" s="1246"/>
      <c r="K1178" s="1247"/>
      <c r="L1178" s="894">
        <v>0.1875</v>
      </c>
      <c r="M1178" s="336"/>
      <c r="N1178" s="219"/>
      <c r="O1178" s="263"/>
      <c r="P1178" s="263"/>
      <c r="Q1178" s="263"/>
      <c r="R1178" s="263"/>
      <c r="S1178" s="263"/>
      <c r="T1178" s="263"/>
      <c r="U1178" s="263"/>
      <c r="V1178" s="263"/>
      <c r="W1178" s="263"/>
      <c r="X1178" s="263"/>
      <c r="Y1178" s="263"/>
      <c r="Z1178" s="263"/>
    </row>
    <row r="1179" spans="3:26" ht="20" thickBot="1">
      <c r="C1179" s="218"/>
      <c r="D1179" s="503">
        <v>45538</v>
      </c>
      <c r="E1179" s="345">
        <v>47.9</v>
      </c>
      <c r="F1179" s="345" t="s">
        <v>502</v>
      </c>
      <c r="G1179" s="345">
        <v>49.6</v>
      </c>
      <c r="H1179" s="869">
        <v>0.1875</v>
      </c>
      <c r="I1179" s="1249"/>
      <c r="J1179" s="1249"/>
      <c r="K1179" s="1250"/>
      <c r="L1179" s="894">
        <v>0.14583333333333334</v>
      </c>
      <c r="M1179" s="344"/>
      <c r="N1179" s="219"/>
      <c r="O1179" s="263"/>
      <c r="P1179" s="263"/>
      <c r="Q1179" s="263"/>
      <c r="R1179" s="263"/>
      <c r="S1179" s="263"/>
      <c r="T1179" s="263"/>
      <c r="U1179" s="263"/>
      <c r="V1179" s="263"/>
      <c r="W1179" s="263"/>
      <c r="X1179" s="263"/>
      <c r="Y1179" s="263"/>
      <c r="Z1179" s="263"/>
    </row>
    <row r="1180" spans="3:26" ht="20" thickBot="1">
      <c r="C1180" s="218">
        <v>2</v>
      </c>
      <c r="D1180" s="498" t="s">
        <v>30</v>
      </c>
      <c r="E1180" s="1147" t="s">
        <v>1139</v>
      </c>
      <c r="F1180" s="1148"/>
      <c r="G1180" s="1149"/>
      <c r="H1180" s="861" t="s">
        <v>790</v>
      </c>
      <c r="I1180" s="1256" t="s">
        <v>633</v>
      </c>
      <c r="J1180" s="1256"/>
      <c r="K1180" s="1257"/>
      <c r="L1180" s="890" t="s">
        <v>430</v>
      </c>
      <c r="M1180" s="333" t="s">
        <v>431</v>
      </c>
      <c r="N1180" s="219" t="s">
        <v>105</v>
      </c>
      <c r="O1180" s="220" t="s">
        <v>800</v>
      </c>
      <c r="P1180" s="220" t="s">
        <v>801</v>
      </c>
      <c r="Q1180" s="220" t="s">
        <v>802</v>
      </c>
      <c r="R1180" s="220" t="s">
        <v>803</v>
      </c>
      <c r="S1180" s="220" t="s">
        <v>804</v>
      </c>
      <c r="T1180" s="220" t="s">
        <v>805</v>
      </c>
      <c r="U1180" s="220" t="s">
        <v>806</v>
      </c>
      <c r="V1180" s="220" t="s">
        <v>807</v>
      </c>
      <c r="W1180" s="220" t="s">
        <v>808</v>
      </c>
      <c r="X1180" s="220" t="s">
        <v>809</v>
      </c>
      <c r="Y1180" s="220" t="s">
        <v>75</v>
      </c>
      <c r="Z1180" s="220" t="s">
        <v>75</v>
      </c>
    </row>
    <row r="1181" spans="3:26" ht="19">
      <c r="C1181" s="218"/>
      <c r="D1181" s="504" t="s">
        <v>432</v>
      </c>
      <c r="E1181" s="1150"/>
      <c r="F1181" s="1151"/>
      <c r="G1181" s="1152"/>
      <c r="H1181" s="863" t="s">
        <v>909</v>
      </c>
      <c r="I1181" s="1243" t="s">
        <v>1140</v>
      </c>
      <c r="J1181" s="1243"/>
      <c r="K1181" s="1244"/>
      <c r="L1181" s="891"/>
      <c r="M1181" s="335" t="s">
        <v>1139</v>
      </c>
      <c r="N1181" s="219"/>
      <c r="O1181" s="221" t="s">
        <v>810</v>
      </c>
      <c r="P1181" s="222">
        <v>0.1</v>
      </c>
      <c r="Q1181" s="223">
        <v>0.03</v>
      </c>
      <c r="R1181" s="224">
        <v>1.4000000000010004E-2</v>
      </c>
      <c r="S1181" s="225"/>
      <c r="T1181" s="221">
        <v>5.9000000000010003E-2</v>
      </c>
      <c r="U1181" s="223">
        <v>-14.72</v>
      </c>
      <c r="V1181" s="222">
        <v>60.5</v>
      </c>
      <c r="W1181" s="226">
        <v>2</v>
      </c>
      <c r="X1181" s="227">
        <v>29.44</v>
      </c>
      <c r="Y1181" s="225"/>
      <c r="Z1181" s="225"/>
    </row>
    <row r="1182" spans="3:26" ht="19">
      <c r="C1182" s="218"/>
      <c r="D1182" s="505" t="s">
        <v>433</v>
      </c>
      <c r="E1182" s="1117">
        <v>-2E-3</v>
      </c>
      <c r="F1182" s="1109"/>
      <c r="G1182" s="1110"/>
      <c r="H1182" s="863" t="s">
        <v>910</v>
      </c>
      <c r="I1182" s="1246"/>
      <c r="J1182" s="1246"/>
      <c r="K1182" s="1247"/>
      <c r="L1182" s="891"/>
      <c r="M1182" s="336"/>
      <c r="N1182" s="219"/>
      <c r="O1182" s="219"/>
      <c r="P1182" s="219"/>
      <c r="Q1182" s="219"/>
      <c r="R1182" s="228"/>
      <c r="S1182" s="229"/>
      <c r="T1182" s="219"/>
      <c r="U1182" s="219"/>
      <c r="V1182" s="219"/>
      <c r="W1182" s="229"/>
      <c r="X1182" s="229"/>
      <c r="Y1182" s="230"/>
      <c r="Z1182" s="230"/>
    </row>
    <row r="1183" spans="3:26" ht="19">
      <c r="C1183" s="218"/>
      <c r="D1183" s="505" t="s">
        <v>434</v>
      </c>
      <c r="E1183" s="1117">
        <v>4.0000000000000001E-3</v>
      </c>
      <c r="F1183" s="1109"/>
      <c r="G1183" s="1110"/>
      <c r="H1183" s="863"/>
      <c r="I1183" s="1246"/>
      <c r="J1183" s="1246"/>
      <c r="K1183" s="1247"/>
      <c r="L1183" s="891"/>
      <c r="M1183" s="336"/>
      <c r="N1183" s="219"/>
      <c r="O1183" s="231" t="s">
        <v>811</v>
      </c>
      <c r="P1183" s="232">
        <v>0.1</v>
      </c>
      <c r="Q1183" s="233">
        <v>5.7000000000000002E-2</v>
      </c>
      <c r="R1183" s="234">
        <v>1.7999999999999999E-2</v>
      </c>
      <c r="S1183" s="235">
        <v>1</v>
      </c>
      <c r="T1183" s="231">
        <v>0.10350000000000001</v>
      </c>
      <c r="U1183" s="236">
        <v>-25.822372881351555</v>
      </c>
      <c r="V1183" s="237">
        <v>60.5</v>
      </c>
      <c r="W1183" s="238">
        <v>4.12</v>
      </c>
      <c r="X1183" s="239">
        <v>106.3881762711684</v>
      </c>
      <c r="Y1183" s="240"/>
      <c r="Z1183" s="240"/>
    </row>
    <row r="1184" spans="3:26" ht="20" thickBot="1">
      <c r="C1184" s="218"/>
      <c r="D1184" s="506" t="s">
        <v>435</v>
      </c>
      <c r="E1184" s="1160">
        <v>0.29166666666666674</v>
      </c>
      <c r="F1184" s="1161"/>
      <c r="G1184" s="1162"/>
      <c r="H1184" s="865">
        <v>8.3333333333333398E-2</v>
      </c>
      <c r="I1184" s="1246"/>
      <c r="J1184" s="1246"/>
      <c r="K1184" s="1247"/>
      <c r="L1184" s="892">
        <v>0.52083333333333337</v>
      </c>
      <c r="M1184" s="338">
        <v>0.375</v>
      </c>
      <c r="N1184" s="219"/>
      <c r="O1184" s="241" t="s">
        <v>812</v>
      </c>
      <c r="P1184" s="242">
        <v>0.1</v>
      </c>
      <c r="Q1184" s="243">
        <v>6.3266666666666665E-2</v>
      </c>
      <c r="R1184" s="244">
        <v>1.7999999999999999E-2</v>
      </c>
      <c r="S1184" s="245">
        <v>1</v>
      </c>
      <c r="T1184" s="246">
        <v>0.1129</v>
      </c>
      <c r="U1184" s="247">
        <v>-28.167593220334208</v>
      </c>
      <c r="V1184" s="248">
        <v>60.5</v>
      </c>
      <c r="W1184" s="249">
        <v>2.46</v>
      </c>
      <c r="X1184" s="250">
        <v>69.292279322022154</v>
      </c>
      <c r="Y1184" s="251"/>
      <c r="Z1184" s="251"/>
    </row>
    <row r="1185" spans="3:26" ht="20" thickBot="1">
      <c r="C1185" s="218"/>
      <c r="D1185" s="507" t="s">
        <v>436</v>
      </c>
      <c r="E1185" s="264" t="s">
        <v>29</v>
      </c>
      <c r="F1185" s="264" t="s">
        <v>28</v>
      </c>
      <c r="G1185" s="265" t="s">
        <v>27</v>
      </c>
      <c r="H1185" s="867" t="s">
        <v>793</v>
      </c>
      <c r="I1185" s="1246"/>
      <c r="J1185" s="1246"/>
      <c r="K1185" s="1247"/>
      <c r="L1185" s="893" t="s">
        <v>1246</v>
      </c>
      <c r="M1185" s="340"/>
      <c r="N1185" s="219"/>
      <c r="O1185" s="229"/>
      <c r="P1185" s="230"/>
      <c r="Q1185" s="229"/>
      <c r="R1185" s="229"/>
      <c r="S1185" s="229"/>
      <c r="T1185" s="229"/>
      <c r="U1185" s="254"/>
      <c r="V1185" s="255"/>
      <c r="W1185" s="229"/>
      <c r="X1185" s="254"/>
      <c r="Y1185" s="230"/>
      <c r="Z1185" s="230"/>
    </row>
    <row r="1186" spans="3:26" ht="19">
      <c r="C1186" s="218"/>
      <c r="D1186" s="508">
        <v>45597</v>
      </c>
      <c r="E1186" s="346" t="s">
        <v>1163</v>
      </c>
      <c r="F1186" s="346" t="s">
        <v>1164</v>
      </c>
      <c r="G1186" s="346" t="s">
        <v>1165</v>
      </c>
      <c r="H1186" s="869">
        <v>0.54166666666666663</v>
      </c>
      <c r="I1186" s="1246"/>
      <c r="J1186" s="1246"/>
      <c r="K1186" s="1247"/>
      <c r="L1186" s="894">
        <v>0.8125</v>
      </c>
      <c r="M1186" s="342"/>
      <c r="N1186" s="219"/>
      <c r="O1186" s="229"/>
      <c r="P1186" s="230"/>
      <c r="Q1186" s="229"/>
      <c r="R1186" s="229"/>
      <c r="S1186" s="229"/>
      <c r="T1186" s="229"/>
      <c r="U1186" s="229"/>
      <c r="V1186" s="229"/>
      <c r="W1186" s="229"/>
      <c r="X1186" s="229"/>
      <c r="Y1186" s="230"/>
      <c r="Z1186" s="230"/>
    </row>
    <row r="1187" spans="3:26" ht="19">
      <c r="C1187" s="218"/>
      <c r="D1187" s="508">
        <v>45566</v>
      </c>
      <c r="E1187" s="346" t="s">
        <v>1165</v>
      </c>
      <c r="F1187" s="346" t="s">
        <v>1164</v>
      </c>
      <c r="G1187" s="346" t="s">
        <v>1165</v>
      </c>
      <c r="H1187" s="869">
        <v>0.29166666666666669</v>
      </c>
      <c r="I1187" s="1246"/>
      <c r="J1187" s="1246"/>
      <c r="K1187" s="1247"/>
      <c r="L1187" s="894">
        <v>0.8125</v>
      </c>
      <c r="M1187" s="343"/>
      <c r="N1187" s="219"/>
      <c r="O1187" s="221" t="s">
        <v>813</v>
      </c>
      <c r="P1187" s="222">
        <v>0.1</v>
      </c>
      <c r="Q1187" s="257">
        <v>6.013333333333333E-2</v>
      </c>
      <c r="R1187" s="258">
        <v>1.7999999999999999E-2</v>
      </c>
      <c r="S1187" s="225">
        <v>1</v>
      </c>
      <c r="T1187" s="231">
        <v>0.1082</v>
      </c>
      <c r="U1187" s="259">
        <v>-26.994983050842883</v>
      </c>
      <c r="V1187" s="260">
        <v>60.5</v>
      </c>
      <c r="W1187" s="225">
        <v>2</v>
      </c>
      <c r="X1187" s="227">
        <v>53.989966101685766</v>
      </c>
      <c r="Y1187" s="261"/>
      <c r="Z1187" s="261"/>
    </row>
    <row r="1188" spans="3:26" ht="19">
      <c r="C1188" s="218"/>
      <c r="D1188" s="508">
        <v>45538</v>
      </c>
      <c r="E1188" s="346" t="s">
        <v>1165</v>
      </c>
      <c r="F1188" s="346" t="s">
        <v>1166</v>
      </c>
      <c r="G1188" s="346" t="s">
        <v>1167</v>
      </c>
      <c r="H1188" s="869">
        <v>0.54166666666666663</v>
      </c>
      <c r="I1188" s="1246"/>
      <c r="J1188" s="1246"/>
      <c r="K1188" s="1247"/>
      <c r="L1188" s="894">
        <v>0.8125</v>
      </c>
      <c r="M1188" s="336"/>
      <c r="N1188" s="219"/>
      <c r="O1188" s="221" t="s">
        <v>813</v>
      </c>
      <c r="P1188" s="222">
        <v>0.1</v>
      </c>
      <c r="Q1188" s="257">
        <v>6.013333333333333E-2</v>
      </c>
      <c r="R1188" s="258">
        <v>1.7999999999999999E-2</v>
      </c>
      <c r="S1188" s="225">
        <v>1</v>
      </c>
      <c r="T1188" s="231">
        <v>0.1082</v>
      </c>
      <c r="U1188" s="259">
        <v>-26.994983050842883</v>
      </c>
      <c r="V1188" s="260">
        <v>60.5</v>
      </c>
      <c r="W1188" s="225">
        <v>2</v>
      </c>
      <c r="X1188" s="227">
        <v>53.989966101685766</v>
      </c>
      <c r="Y1188" s="261"/>
      <c r="Z1188" s="261"/>
    </row>
    <row r="1189" spans="3:26" ht="19">
      <c r="C1189" s="218"/>
      <c r="D1189" s="508">
        <v>45505</v>
      </c>
      <c r="E1189" s="346" t="s">
        <v>1167</v>
      </c>
      <c r="F1189" s="346" t="s">
        <v>1168</v>
      </c>
      <c r="G1189" s="346" t="s">
        <v>1169</v>
      </c>
      <c r="H1189" s="869">
        <v>0.25</v>
      </c>
      <c r="I1189" s="1246"/>
      <c r="J1189" s="1246"/>
      <c r="K1189" s="1247"/>
      <c r="L1189" s="894">
        <v>0.8125</v>
      </c>
      <c r="M1189" s="336"/>
      <c r="N1189" s="219"/>
      <c r="O1189" s="221"/>
      <c r="P1189" s="262"/>
      <c r="Q1189" s="257"/>
      <c r="R1189" s="258"/>
      <c r="S1189" s="225"/>
      <c r="T1189" s="262"/>
      <c r="U1189" s="259"/>
      <c r="V1189" s="260"/>
      <c r="W1189" s="225"/>
      <c r="X1189" s="227"/>
      <c r="Y1189" s="261"/>
      <c r="Z1189" s="261"/>
    </row>
    <row r="1190" spans="3:26" ht="19">
      <c r="C1190" s="218"/>
      <c r="D1190" s="508">
        <v>45474</v>
      </c>
      <c r="E1190" s="346" t="s">
        <v>1169</v>
      </c>
      <c r="F1190" s="346" t="s">
        <v>1170</v>
      </c>
      <c r="G1190" s="346" t="s">
        <v>1171</v>
      </c>
      <c r="H1190" s="869">
        <v>0.5</v>
      </c>
      <c r="I1190" s="1246"/>
      <c r="J1190" s="1246"/>
      <c r="K1190" s="1247"/>
      <c r="L1190" s="894">
        <v>0.8125</v>
      </c>
      <c r="M1190" s="336"/>
      <c r="N1190" s="219"/>
      <c r="O1190" s="263"/>
      <c r="P1190" s="263"/>
      <c r="Q1190" s="263"/>
      <c r="R1190" s="263"/>
      <c r="S1190" s="263"/>
      <c r="T1190" s="263"/>
      <c r="U1190" s="263"/>
      <c r="V1190" s="263"/>
      <c r="W1190" s="263"/>
      <c r="X1190" s="263"/>
      <c r="Y1190" s="263"/>
      <c r="Z1190" s="263"/>
    </row>
    <row r="1191" spans="3:26" ht="20" thickBot="1">
      <c r="C1191" s="218"/>
      <c r="D1191" s="508">
        <v>45446</v>
      </c>
      <c r="E1191" s="346" t="s">
        <v>1171</v>
      </c>
      <c r="F1191" s="346" t="s">
        <v>1172</v>
      </c>
      <c r="G1191" s="346" t="s">
        <v>1170</v>
      </c>
      <c r="H1191" s="869">
        <v>0.25</v>
      </c>
      <c r="I1191" s="1249"/>
      <c r="J1191" s="1249"/>
      <c r="K1191" s="1250"/>
      <c r="L1191" s="894">
        <v>0.8125</v>
      </c>
      <c r="M1191" s="344"/>
      <c r="N1191" s="219"/>
      <c r="O1191" s="263"/>
      <c r="P1191" s="267"/>
      <c r="Q1191" s="263"/>
      <c r="R1191" s="263"/>
      <c r="S1191" s="263"/>
      <c r="T1191" s="263"/>
      <c r="U1191" s="263"/>
      <c r="V1191" s="263"/>
      <c r="W1191" s="263"/>
      <c r="X1191" s="263"/>
      <c r="Y1191" s="263"/>
      <c r="Z1191" s="263"/>
    </row>
    <row r="1192" spans="3:26" ht="20" thickBot="1">
      <c r="C1192" s="218">
        <v>3</v>
      </c>
      <c r="D1192" s="509" t="s">
        <v>30</v>
      </c>
      <c r="E1192" s="1374" t="s">
        <v>1141</v>
      </c>
      <c r="F1192" s="1375"/>
      <c r="G1192" s="1376"/>
      <c r="H1192" s="861" t="s">
        <v>790</v>
      </c>
      <c r="I1192" s="1256" t="s">
        <v>633</v>
      </c>
      <c r="J1192" s="1256"/>
      <c r="K1192" s="1257"/>
      <c r="L1192" s="890" t="s">
        <v>430</v>
      </c>
      <c r="M1192" s="347" t="s">
        <v>431</v>
      </c>
      <c r="N1192" s="219" t="s">
        <v>105</v>
      </c>
      <c r="O1192" s="220" t="s">
        <v>800</v>
      </c>
      <c r="P1192" s="220" t="s">
        <v>801</v>
      </c>
      <c r="Q1192" s="220" t="s">
        <v>802</v>
      </c>
      <c r="R1192" s="220" t="s">
        <v>803</v>
      </c>
      <c r="S1192" s="220" t="s">
        <v>804</v>
      </c>
      <c r="T1192" s="220" t="s">
        <v>805</v>
      </c>
      <c r="U1192" s="220" t="s">
        <v>806</v>
      </c>
      <c r="V1192" s="220" t="s">
        <v>807</v>
      </c>
      <c r="W1192" s="220" t="s">
        <v>808</v>
      </c>
      <c r="X1192" s="220" t="s">
        <v>809</v>
      </c>
      <c r="Y1192" s="220" t="s">
        <v>75</v>
      </c>
      <c r="Z1192" s="220" t="s">
        <v>75</v>
      </c>
    </row>
    <row r="1193" spans="3:26" ht="19">
      <c r="C1193" s="218"/>
      <c r="D1193" s="504" t="s">
        <v>432</v>
      </c>
      <c r="E1193" s="1150"/>
      <c r="F1193" s="1151"/>
      <c r="G1193" s="1152"/>
      <c r="H1193" s="863" t="s">
        <v>1247</v>
      </c>
      <c r="I1193" s="1243" t="s">
        <v>1142</v>
      </c>
      <c r="J1193" s="1243"/>
      <c r="K1193" s="1244"/>
      <c r="L1193" s="891"/>
      <c r="M1193" s="335" t="s">
        <v>1141</v>
      </c>
      <c r="N1193" s="219"/>
      <c r="O1193" s="221" t="s">
        <v>810</v>
      </c>
      <c r="P1193" s="222">
        <v>0.1</v>
      </c>
      <c r="Q1193" s="223">
        <v>2.5000000000000001E-2</v>
      </c>
      <c r="R1193" s="224">
        <v>2.1000000000015007E-2</v>
      </c>
      <c r="S1193" s="225"/>
      <c r="T1193" s="221">
        <v>5.8500000000015012E-2</v>
      </c>
      <c r="U1193" s="223">
        <v>-14.31</v>
      </c>
      <c r="V1193" s="222">
        <v>60.5</v>
      </c>
      <c r="W1193" s="226">
        <v>2</v>
      </c>
      <c r="X1193" s="227">
        <v>28.62</v>
      </c>
      <c r="Y1193" s="225"/>
      <c r="Z1193" s="225"/>
    </row>
    <row r="1194" spans="3:26" ht="19">
      <c r="C1194" s="218"/>
      <c r="D1194" s="505" t="s">
        <v>433</v>
      </c>
      <c r="E1194" s="1117">
        <v>3.0000000000000001E-3</v>
      </c>
      <c r="F1194" s="1109"/>
      <c r="G1194" s="1110"/>
      <c r="H1194" s="863" t="s">
        <v>1247</v>
      </c>
      <c r="I1194" s="1246"/>
      <c r="J1194" s="1246"/>
      <c r="K1194" s="1247"/>
      <c r="L1194" s="891"/>
      <c r="M1194" s="336"/>
      <c r="N1194" s="219"/>
      <c r="O1194" s="219"/>
      <c r="P1194" s="219"/>
      <c r="Q1194" s="219"/>
      <c r="R1194" s="228"/>
      <c r="S1194" s="229"/>
      <c r="T1194" s="219"/>
      <c r="U1194" s="219"/>
      <c r="V1194" s="219"/>
      <c r="W1194" s="229"/>
      <c r="X1194" s="229"/>
      <c r="Y1194" s="230"/>
      <c r="Z1194" s="230"/>
    </row>
    <row r="1195" spans="3:26" ht="19">
      <c r="C1195" s="218"/>
      <c r="D1195" s="505" t="s">
        <v>434</v>
      </c>
      <c r="E1195" s="1118">
        <v>3.0000000000000001E-3</v>
      </c>
      <c r="F1195" s="1119"/>
      <c r="G1195" s="1120"/>
      <c r="H1195" s="863"/>
      <c r="I1195" s="1246"/>
      <c r="J1195" s="1246"/>
      <c r="K1195" s="1247"/>
      <c r="L1195" s="891"/>
      <c r="M1195" s="336"/>
      <c r="N1195" s="219"/>
      <c r="O1195" s="231" t="s">
        <v>811</v>
      </c>
      <c r="P1195" s="232">
        <v>0.1</v>
      </c>
      <c r="Q1195" s="233">
        <v>6.8099999999999994E-2</v>
      </c>
      <c r="R1195" s="234">
        <v>4.8000000000000001E-2</v>
      </c>
      <c r="S1195" s="235">
        <v>1</v>
      </c>
      <c r="T1195" s="231">
        <v>0.15015000000000001</v>
      </c>
      <c r="U1195" s="236">
        <v>-36.728999999990577</v>
      </c>
      <c r="V1195" s="237">
        <v>60.5</v>
      </c>
      <c r="W1195" s="238">
        <v>3.83</v>
      </c>
      <c r="X1195" s="239">
        <v>140.67206999996392</v>
      </c>
      <c r="Y1195" s="240"/>
      <c r="Z1195" s="240"/>
    </row>
    <row r="1196" spans="3:26" ht="20" thickBot="1">
      <c r="C1196" s="218"/>
      <c r="D1196" s="506" t="s">
        <v>435</v>
      </c>
      <c r="E1196" s="1160">
        <v>0.5625</v>
      </c>
      <c r="F1196" s="1161"/>
      <c r="G1196" s="1162"/>
      <c r="H1196" s="865">
        <v>0.35416666666666663</v>
      </c>
      <c r="I1196" s="1246"/>
      <c r="J1196" s="1246"/>
      <c r="K1196" s="1247"/>
      <c r="L1196" s="892">
        <v>0.79166666666666663</v>
      </c>
      <c r="M1196" s="338">
        <v>0.64583333333333326</v>
      </c>
      <c r="N1196" s="219"/>
      <c r="O1196" s="241" t="s">
        <v>812</v>
      </c>
      <c r="P1196" s="242">
        <v>0.1</v>
      </c>
      <c r="Q1196" s="243">
        <v>9.7799999999999998E-2</v>
      </c>
      <c r="R1196" s="244">
        <v>4.8000000000000001E-2</v>
      </c>
      <c r="S1196" s="245">
        <v>1</v>
      </c>
      <c r="T1196" s="246">
        <v>0.19470000000000001</v>
      </c>
      <c r="U1196" s="247">
        <v>-47.62661538460317</v>
      </c>
      <c r="V1196" s="248">
        <v>60.5</v>
      </c>
      <c r="W1196" s="249">
        <v>8.1300000000000008</v>
      </c>
      <c r="X1196" s="250">
        <v>387.20438307682383</v>
      </c>
      <c r="Y1196" s="251"/>
      <c r="Z1196" s="251"/>
    </row>
    <row r="1197" spans="3:26" ht="20" thickBot="1">
      <c r="C1197" s="218"/>
      <c r="D1197" s="507" t="s">
        <v>436</v>
      </c>
      <c r="E1197" s="264" t="s">
        <v>29</v>
      </c>
      <c r="F1197" s="264" t="s">
        <v>28</v>
      </c>
      <c r="G1197" s="265" t="s">
        <v>27</v>
      </c>
      <c r="H1197" s="867" t="s">
        <v>793</v>
      </c>
      <c r="I1197" s="1246"/>
      <c r="J1197" s="1246"/>
      <c r="K1197" s="1247"/>
      <c r="L1197" s="893"/>
      <c r="M1197" s="340"/>
      <c r="N1197" s="219"/>
      <c r="O1197" s="229"/>
      <c r="P1197" s="230"/>
      <c r="Q1197" s="229"/>
      <c r="R1197" s="229"/>
      <c r="S1197" s="229"/>
      <c r="T1197" s="229"/>
      <c r="U1197" s="254"/>
      <c r="V1197" s="255"/>
      <c r="W1197" s="229"/>
      <c r="X1197" s="254"/>
      <c r="Y1197" s="230"/>
      <c r="Z1197" s="230"/>
    </row>
    <row r="1198" spans="3:26" ht="19">
      <c r="C1198" s="218"/>
      <c r="D1198" s="508">
        <v>45597</v>
      </c>
      <c r="E1198" s="346">
        <v>54.8</v>
      </c>
      <c r="F1198" s="346" t="s">
        <v>1173</v>
      </c>
      <c r="G1198" s="346">
        <v>48.3</v>
      </c>
      <c r="H1198" s="869">
        <v>0.5625</v>
      </c>
      <c r="I1198" s="1246"/>
      <c r="J1198" s="1246"/>
      <c r="K1198" s="1247"/>
      <c r="L1198" s="894"/>
      <c r="M1198" s="342"/>
      <c r="N1198" s="219"/>
      <c r="O1198" s="229"/>
      <c r="P1198" s="230"/>
      <c r="Q1198" s="229"/>
      <c r="R1198" s="229"/>
      <c r="S1198" s="229"/>
      <c r="T1198" s="229"/>
      <c r="U1198" s="229"/>
      <c r="V1198" s="229"/>
      <c r="W1198" s="229"/>
      <c r="X1198" s="229"/>
      <c r="Y1198" s="230"/>
      <c r="Z1198" s="230"/>
    </row>
    <row r="1199" spans="3:26" ht="19">
      <c r="C1199" s="218"/>
      <c r="D1199" s="508">
        <v>45566</v>
      </c>
      <c r="E1199" s="346">
        <v>48.3</v>
      </c>
      <c r="F1199" s="346" t="s">
        <v>902</v>
      </c>
      <c r="G1199" s="346">
        <v>54</v>
      </c>
      <c r="H1199" s="869">
        <v>0.52083333333333337</v>
      </c>
      <c r="I1199" s="1246"/>
      <c r="J1199" s="1246"/>
      <c r="K1199" s="1247"/>
      <c r="L1199" s="894"/>
      <c r="M1199" s="343"/>
      <c r="N1199" s="219"/>
      <c r="O1199" s="221" t="s">
        <v>813</v>
      </c>
      <c r="P1199" s="222">
        <v>0.1</v>
      </c>
      <c r="Q1199" s="257">
        <v>8.2949999999999996E-2</v>
      </c>
      <c r="R1199" s="258">
        <v>4.8000000000000001E-2</v>
      </c>
      <c r="S1199" s="225">
        <v>1.5</v>
      </c>
      <c r="T1199" s="231">
        <v>0.17242499999999999</v>
      </c>
      <c r="U1199" s="259">
        <v>-63.2667115384453</v>
      </c>
      <c r="V1199" s="260">
        <v>60.5</v>
      </c>
      <c r="W1199" s="225">
        <v>2</v>
      </c>
      <c r="X1199" s="227">
        <v>126.5334230768906</v>
      </c>
      <c r="Y1199" s="261"/>
      <c r="Z1199" s="261"/>
    </row>
    <row r="1200" spans="3:26" ht="19">
      <c r="C1200" s="218"/>
      <c r="D1200" s="508">
        <v>45538</v>
      </c>
      <c r="E1200" s="346">
        <v>54</v>
      </c>
      <c r="F1200" s="346" t="s">
        <v>519</v>
      </c>
      <c r="G1200" s="346">
        <v>52.9</v>
      </c>
      <c r="H1200" s="869">
        <v>0.52083333333333337</v>
      </c>
      <c r="I1200" s="1246"/>
      <c r="J1200" s="1246"/>
      <c r="K1200" s="1247"/>
      <c r="L1200" s="894"/>
      <c r="M1200" s="336"/>
      <c r="N1200" s="219"/>
      <c r="O1200" s="221" t="s">
        <v>813</v>
      </c>
      <c r="P1200" s="222">
        <v>0.1</v>
      </c>
      <c r="Q1200" s="257">
        <v>8.2949999999999996E-2</v>
      </c>
      <c r="R1200" s="258">
        <v>4.8000000000000001E-2</v>
      </c>
      <c r="S1200" s="225">
        <v>1.5</v>
      </c>
      <c r="T1200" s="231">
        <v>0.17242499999999999</v>
      </c>
      <c r="U1200" s="259">
        <v>-63.2667115384453</v>
      </c>
      <c r="V1200" s="260">
        <v>60.5</v>
      </c>
      <c r="W1200" s="225">
        <v>2</v>
      </c>
      <c r="X1200" s="227">
        <v>126.5334230768906</v>
      </c>
      <c r="Y1200" s="261"/>
      <c r="Z1200" s="261"/>
    </row>
    <row r="1201" spans="3:26" ht="19">
      <c r="C1201" s="218"/>
      <c r="D1201" s="508">
        <v>45505</v>
      </c>
      <c r="E1201" s="346">
        <v>52.9</v>
      </c>
      <c r="F1201" s="346" t="s">
        <v>520</v>
      </c>
      <c r="G1201" s="346">
        <v>52.1</v>
      </c>
      <c r="H1201" s="869">
        <v>0.52083333333333337</v>
      </c>
      <c r="I1201" s="1246"/>
      <c r="J1201" s="1246"/>
      <c r="K1201" s="1247"/>
      <c r="L1201" s="894"/>
      <c r="M1201" s="336"/>
      <c r="N1201" s="219"/>
      <c r="O1201" s="221"/>
      <c r="P1201" s="262"/>
      <c r="Q1201" s="257"/>
      <c r="R1201" s="258"/>
      <c r="S1201" s="225"/>
      <c r="T1201" s="262"/>
      <c r="U1201" s="259"/>
      <c r="V1201" s="260"/>
      <c r="W1201" s="225"/>
      <c r="X1201" s="227"/>
      <c r="Y1201" s="261"/>
      <c r="Z1201" s="261"/>
    </row>
    <row r="1202" spans="3:26" ht="19">
      <c r="C1202" s="218"/>
      <c r="D1202" s="508">
        <v>45474</v>
      </c>
      <c r="E1202" s="346">
        <v>52.1</v>
      </c>
      <c r="F1202" s="346" t="s">
        <v>521</v>
      </c>
      <c r="G1202" s="346">
        <v>57</v>
      </c>
      <c r="H1202" s="869">
        <v>0.52083333333333337</v>
      </c>
      <c r="I1202" s="1246"/>
      <c r="J1202" s="1246"/>
      <c r="K1202" s="1247"/>
      <c r="L1202" s="894"/>
      <c r="M1202" s="336"/>
      <c r="N1202" s="219"/>
      <c r="O1202" s="263"/>
      <c r="P1202" s="263"/>
      <c r="Q1202" s="263"/>
      <c r="R1202" s="263"/>
      <c r="S1202" s="263"/>
      <c r="T1202" s="263"/>
      <c r="U1202" s="263"/>
      <c r="V1202" s="263"/>
      <c r="W1202" s="263"/>
      <c r="X1202" s="263"/>
      <c r="Y1202" s="263"/>
      <c r="Z1202" s="263"/>
    </row>
    <row r="1203" spans="3:26" ht="20" thickBot="1">
      <c r="C1203" s="218"/>
      <c r="D1203" s="517">
        <v>45446</v>
      </c>
      <c r="E1203" s="348">
        <v>57</v>
      </c>
      <c r="F1203" s="348" t="s">
        <v>522</v>
      </c>
      <c r="G1203" s="348">
        <v>60.9</v>
      </c>
      <c r="H1203" s="869">
        <v>0.52083333333333337</v>
      </c>
      <c r="I1203" s="1249"/>
      <c r="J1203" s="1249"/>
      <c r="K1203" s="1250"/>
      <c r="L1203" s="895"/>
      <c r="M1203" s="344"/>
      <c r="N1203" s="219"/>
      <c r="O1203" s="263"/>
      <c r="P1203" s="263"/>
      <c r="Q1203" s="263"/>
      <c r="R1203" s="263"/>
      <c r="S1203" s="263"/>
      <c r="T1203" s="263"/>
      <c r="U1203" s="263"/>
      <c r="V1203" s="263"/>
      <c r="W1203" s="263"/>
      <c r="X1203" s="263"/>
      <c r="Y1203" s="263"/>
      <c r="Z1203" s="263"/>
    </row>
    <row r="1204" spans="3:26" ht="20" thickBot="1">
      <c r="C1204" s="218">
        <v>4</v>
      </c>
      <c r="D1204" s="498" t="s">
        <v>30</v>
      </c>
      <c r="E1204" s="1147" t="s">
        <v>1143</v>
      </c>
      <c r="F1204" s="1148"/>
      <c r="G1204" s="1149"/>
      <c r="H1204" s="861" t="s">
        <v>790</v>
      </c>
      <c r="I1204" s="1256" t="s">
        <v>633</v>
      </c>
      <c r="J1204" s="1256"/>
      <c r="K1204" s="1257"/>
      <c r="L1204" s="890" t="s">
        <v>430</v>
      </c>
      <c r="M1204" s="333" t="s">
        <v>431</v>
      </c>
      <c r="N1204" s="219" t="s">
        <v>105</v>
      </c>
      <c r="O1204" s="220" t="s">
        <v>800</v>
      </c>
      <c r="P1204" s="220" t="s">
        <v>801</v>
      </c>
      <c r="Q1204" s="220" t="s">
        <v>802</v>
      </c>
      <c r="R1204" s="220" t="s">
        <v>803</v>
      </c>
      <c r="S1204" s="220" t="s">
        <v>804</v>
      </c>
      <c r="T1204" s="220" t="s">
        <v>805</v>
      </c>
      <c r="U1204" s="220" t="s">
        <v>806</v>
      </c>
      <c r="V1204" s="220" t="s">
        <v>807</v>
      </c>
      <c r="W1204" s="220" t="s">
        <v>808</v>
      </c>
      <c r="X1204" s="220" t="s">
        <v>809</v>
      </c>
      <c r="Y1204" s="220" t="s">
        <v>75</v>
      </c>
      <c r="Z1204" s="220" t="s">
        <v>75</v>
      </c>
    </row>
    <row r="1205" spans="3:26" ht="19">
      <c r="C1205" s="218"/>
      <c r="D1205" s="504" t="s">
        <v>432</v>
      </c>
      <c r="E1205" s="1181"/>
      <c r="F1205" s="1182"/>
      <c r="G1205" s="1183"/>
      <c r="H1205" s="863" t="s">
        <v>794</v>
      </c>
      <c r="I1205" s="1243" t="s">
        <v>1144</v>
      </c>
      <c r="J1205" s="1243"/>
      <c r="K1205" s="1244"/>
      <c r="L1205" s="891"/>
      <c r="M1205" s="335" t="s">
        <v>1143</v>
      </c>
      <c r="N1205" s="219"/>
      <c r="O1205" s="221" t="s">
        <v>810</v>
      </c>
      <c r="P1205" s="222">
        <v>0.1</v>
      </c>
      <c r="Q1205" s="223">
        <v>3.4000000000000002E-2</v>
      </c>
      <c r="R1205" s="224">
        <v>1.5000000000014779E-2</v>
      </c>
      <c r="S1205" s="225"/>
      <c r="T1205" s="221">
        <v>6.6000000000014783E-2</v>
      </c>
      <c r="U1205" s="223">
        <v>-16.5</v>
      </c>
      <c r="V1205" s="222">
        <v>60.5</v>
      </c>
      <c r="W1205" s="226">
        <v>2</v>
      </c>
      <c r="X1205" s="227">
        <v>33</v>
      </c>
      <c r="Y1205" s="225"/>
      <c r="Z1205" s="225"/>
    </row>
    <row r="1206" spans="3:26" ht="19">
      <c r="C1206" s="218"/>
      <c r="D1206" s="505" t="s">
        <v>433</v>
      </c>
      <c r="E1206" s="1163"/>
      <c r="F1206" s="1164"/>
      <c r="G1206" s="1165"/>
      <c r="H1206" s="863" t="s">
        <v>795</v>
      </c>
      <c r="I1206" s="1246"/>
      <c r="J1206" s="1246"/>
      <c r="K1206" s="1247"/>
      <c r="L1206" s="891"/>
      <c r="M1206" s="336"/>
      <c r="N1206" s="219"/>
      <c r="O1206" s="219"/>
      <c r="P1206" s="219"/>
      <c r="Q1206" s="219"/>
      <c r="R1206" s="228"/>
      <c r="S1206" s="229"/>
      <c r="T1206" s="219"/>
      <c r="U1206" s="219"/>
      <c r="V1206" s="219"/>
      <c r="W1206" s="229"/>
      <c r="X1206" s="229"/>
      <c r="Y1206" s="230"/>
      <c r="Z1206" s="230"/>
    </row>
    <row r="1207" spans="3:26" ht="19">
      <c r="C1207" s="218"/>
      <c r="D1207" s="505" t="s">
        <v>434</v>
      </c>
      <c r="E1207" s="1163">
        <v>2.5999999999999999E-2</v>
      </c>
      <c r="F1207" s="1164"/>
      <c r="G1207" s="1165"/>
      <c r="H1207" s="863"/>
      <c r="I1207" s="1246"/>
      <c r="J1207" s="1246"/>
      <c r="K1207" s="1247"/>
      <c r="L1207" s="891"/>
      <c r="M1207" s="336"/>
      <c r="N1207" s="219"/>
      <c r="O1207" s="231" t="s">
        <v>811</v>
      </c>
      <c r="P1207" s="232">
        <v>0.06</v>
      </c>
      <c r="Q1207" s="233">
        <v>8.6699999999999999E-2</v>
      </c>
      <c r="R1207" s="234">
        <v>1.9E-2</v>
      </c>
      <c r="S1207" s="235">
        <v>1</v>
      </c>
      <c r="T1207" s="231">
        <v>0.14904999999999999</v>
      </c>
      <c r="U1207" s="236">
        <v>-22.357499999994992</v>
      </c>
      <c r="V1207" s="237">
        <v>36.299999999999997</v>
      </c>
      <c r="W1207" s="238">
        <v>4.58</v>
      </c>
      <c r="X1207" s="239">
        <v>102.39734999997707</v>
      </c>
      <c r="Y1207" s="240"/>
      <c r="Z1207" s="240">
        <v>4.4350000000000005</v>
      </c>
    </row>
    <row r="1208" spans="3:26" ht="20" thickBot="1">
      <c r="C1208" s="218"/>
      <c r="D1208" s="506" t="s">
        <v>435</v>
      </c>
      <c r="E1208" s="1160">
        <v>0.5625</v>
      </c>
      <c r="F1208" s="1161"/>
      <c r="G1208" s="1162"/>
      <c r="H1208" s="865">
        <v>0.35416666666666663</v>
      </c>
      <c r="I1208" s="1246"/>
      <c r="J1208" s="1246"/>
      <c r="K1208" s="1247"/>
      <c r="L1208" s="892">
        <v>0.79166666666666663</v>
      </c>
      <c r="M1208" s="338">
        <v>0.64583333333333326</v>
      </c>
      <c r="N1208" s="219"/>
      <c r="O1208" s="241" t="s">
        <v>812</v>
      </c>
      <c r="P1208" s="242">
        <v>0.06</v>
      </c>
      <c r="Q1208" s="243">
        <v>7.9733333333333337E-2</v>
      </c>
      <c r="R1208" s="244">
        <v>1.9E-2</v>
      </c>
      <c r="S1208" s="245">
        <v>1</v>
      </c>
      <c r="T1208" s="246">
        <v>0.1386</v>
      </c>
      <c r="U1208" s="247">
        <v>-20.789999999995342</v>
      </c>
      <c r="V1208" s="248">
        <v>36.299999999999997</v>
      </c>
      <c r="W1208" s="249">
        <v>3.37</v>
      </c>
      <c r="X1208" s="250">
        <v>70.062299999984305</v>
      </c>
      <c r="Y1208" s="251"/>
      <c r="Z1208" s="251"/>
    </row>
    <row r="1209" spans="3:26" ht="20" thickBot="1">
      <c r="C1209" s="218"/>
      <c r="D1209" s="507" t="s">
        <v>436</v>
      </c>
      <c r="E1209" s="264" t="s">
        <v>29</v>
      </c>
      <c r="F1209" s="264" t="s">
        <v>28</v>
      </c>
      <c r="G1209" s="265" t="s">
        <v>27</v>
      </c>
      <c r="H1209" s="867" t="s">
        <v>793</v>
      </c>
      <c r="I1209" s="1246"/>
      <c r="J1209" s="1246"/>
      <c r="K1209" s="1247"/>
      <c r="L1209" s="893" t="s">
        <v>1246</v>
      </c>
      <c r="M1209" s="340"/>
      <c r="N1209" s="219"/>
      <c r="O1209" s="229"/>
      <c r="P1209" s="230"/>
      <c r="Q1209" s="229"/>
      <c r="R1209" s="229"/>
      <c r="S1209" s="229"/>
      <c r="T1209" s="229"/>
      <c r="U1209" s="254"/>
      <c r="V1209" s="255"/>
      <c r="W1209" s="229"/>
      <c r="X1209" s="254"/>
      <c r="Y1209" s="230"/>
      <c r="Z1209" s="230"/>
    </row>
    <row r="1210" spans="3:26" ht="19">
      <c r="C1210" s="218"/>
      <c r="D1210" s="522">
        <v>45594</v>
      </c>
      <c r="E1210" s="266" t="s">
        <v>1174</v>
      </c>
      <c r="F1210" s="266" t="s">
        <v>1175</v>
      </c>
      <c r="G1210" s="266" t="s">
        <v>1176</v>
      </c>
      <c r="H1210" s="869">
        <v>0.5625</v>
      </c>
      <c r="I1210" s="1246"/>
      <c r="J1210" s="1246"/>
      <c r="K1210" s="1247"/>
      <c r="L1210" s="894">
        <v>0.8125</v>
      </c>
      <c r="M1210" s="342"/>
      <c r="N1210" s="219"/>
      <c r="O1210" s="229"/>
      <c r="P1210" s="230"/>
      <c r="Q1210" s="229"/>
      <c r="R1210" s="229"/>
      <c r="S1210" s="229"/>
      <c r="T1210" s="229"/>
      <c r="U1210" s="229"/>
      <c r="V1210" s="229"/>
      <c r="W1210" s="229"/>
      <c r="X1210" s="229"/>
      <c r="Y1210" s="230"/>
      <c r="Z1210" s="230"/>
    </row>
    <row r="1211" spans="3:26" ht="19">
      <c r="C1211" s="218"/>
      <c r="D1211" s="522">
        <v>45566</v>
      </c>
      <c r="E1211" s="266" t="s">
        <v>1177</v>
      </c>
      <c r="F1211" s="266" t="s">
        <v>1178</v>
      </c>
      <c r="G1211" s="266" t="s">
        <v>1179</v>
      </c>
      <c r="H1211" s="869">
        <v>0.52083333333333337</v>
      </c>
      <c r="I1211" s="1246"/>
      <c r="J1211" s="1246"/>
      <c r="K1211" s="1247"/>
      <c r="L1211" s="894">
        <v>0.8125</v>
      </c>
      <c r="M1211" s="343"/>
      <c r="N1211" s="219"/>
      <c r="O1211" s="221" t="s">
        <v>813</v>
      </c>
      <c r="P1211" s="222">
        <v>0.06</v>
      </c>
      <c r="Q1211" s="257">
        <v>8.3216666666666661E-2</v>
      </c>
      <c r="R1211" s="258">
        <v>1.9E-2</v>
      </c>
      <c r="S1211" s="225">
        <v>1</v>
      </c>
      <c r="T1211" s="231">
        <v>0.14382499999999998</v>
      </c>
      <c r="U1211" s="259">
        <v>-21.573749999995162</v>
      </c>
      <c r="V1211" s="260">
        <v>36.299999999999997</v>
      </c>
      <c r="W1211" s="225">
        <v>2</v>
      </c>
      <c r="X1211" s="227">
        <v>43.147499999990323</v>
      </c>
      <c r="Y1211" s="261"/>
      <c r="Z1211" s="261"/>
    </row>
    <row r="1212" spans="3:26" ht="19">
      <c r="C1212" s="218"/>
      <c r="D1212" s="522">
        <v>45539</v>
      </c>
      <c r="E1212" s="266" t="s">
        <v>1180</v>
      </c>
      <c r="F1212" s="266" t="s">
        <v>1181</v>
      </c>
      <c r="G1212" s="266" t="s">
        <v>1182</v>
      </c>
      <c r="H1212" s="869">
        <v>0.52083333333333337</v>
      </c>
      <c r="I1212" s="1246"/>
      <c r="J1212" s="1246"/>
      <c r="K1212" s="1247"/>
      <c r="L1212" s="894">
        <v>0.8125</v>
      </c>
      <c r="M1212" s="336"/>
      <c r="N1212" s="219"/>
      <c r="O1212" s="221" t="s">
        <v>813</v>
      </c>
      <c r="P1212" s="222">
        <v>0.06</v>
      </c>
      <c r="Q1212" s="257">
        <v>8.3216666666666661E-2</v>
      </c>
      <c r="R1212" s="258">
        <v>1.9E-2</v>
      </c>
      <c r="S1212" s="225">
        <v>1</v>
      </c>
      <c r="T1212" s="231">
        <v>0.14382499999999998</v>
      </c>
      <c r="U1212" s="259">
        <v>-21.573749999995162</v>
      </c>
      <c r="V1212" s="260">
        <v>36.299999999999997</v>
      </c>
      <c r="W1212" s="225">
        <v>2</v>
      </c>
      <c r="X1212" s="227">
        <v>43.147499999990323</v>
      </c>
      <c r="Y1212" s="261"/>
      <c r="Z1212" s="261"/>
    </row>
    <row r="1213" spans="3:26" ht="19">
      <c r="C1213" s="218"/>
      <c r="D1213" s="522">
        <v>45503</v>
      </c>
      <c r="E1213" s="266" t="s">
        <v>1183</v>
      </c>
      <c r="F1213" s="266" t="s">
        <v>1184</v>
      </c>
      <c r="G1213" s="266" t="s">
        <v>1185</v>
      </c>
      <c r="H1213" s="869">
        <v>0.52083333333333337</v>
      </c>
      <c r="I1213" s="1246"/>
      <c r="J1213" s="1246"/>
      <c r="K1213" s="1247"/>
      <c r="L1213" s="894">
        <v>0.8125</v>
      </c>
      <c r="M1213" s="336"/>
      <c r="N1213" s="219"/>
      <c r="O1213" s="221" t="s">
        <v>816</v>
      </c>
      <c r="P1213" s="262"/>
      <c r="Q1213" s="257"/>
      <c r="R1213" s="258"/>
      <c r="S1213" s="225"/>
      <c r="T1213" s="262"/>
      <c r="U1213" s="259"/>
      <c r="V1213" s="260"/>
      <c r="W1213" s="225"/>
      <c r="X1213" s="227"/>
      <c r="Y1213" s="261"/>
      <c r="Z1213" s="261"/>
    </row>
    <row r="1214" spans="3:26" ht="19">
      <c r="C1214" s="218"/>
      <c r="D1214" s="522">
        <v>45475</v>
      </c>
      <c r="E1214" s="266" t="s">
        <v>1186</v>
      </c>
      <c r="F1214" s="266" t="s">
        <v>1187</v>
      </c>
      <c r="G1214" s="266" t="s">
        <v>1188</v>
      </c>
      <c r="H1214" s="869">
        <v>0.52083333333333337</v>
      </c>
      <c r="I1214" s="1246"/>
      <c r="J1214" s="1246"/>
      <c r="K1214" s="1247"/>
      <c r="L1214" s="894">
        <v>0.8125</v>
      </c>
      <c r="M1214" s="336"/>
      <c r="N1214" s="219"/>
      <c r="O1214" s="263"/>
      <c r="P1214" s="263"/>
      <c r="Q1214" s="263"/>
      <c r="R1214" s="263"/>
      <c r="S1214" s="263"/>
      <c r="T1214" s="263"/>
      <c r="U1214" s="263"/>
      <c r="V1214" s="263"/>
      <c r="W1214" s="263"/>
      <c r="X1214" s="263"/>
      <c r="Y1214" s="263"/>
      <c r="Z1214" s="263"/>
    </row>
    <row r="1215" spans="3:26" ht="20" thickBot="1">
      <c r="C1215" s="218"/>
      <c r="D1215" s="523">
        <v>45447</v>
      </c>
      <c r="E1215" s="319" t="s">
        <v>1189</v>
      </c>
      <c r="F1215" s="319" t="s">
        <v>1190</v>
      </c>
      <c r="G1215" s="319" t="s">
        <v>1191</v>
      </c>
      <c r="H1215" s="869">
        <v>0.52083333333333337</v>
      </c>
      <c r="I1215" s="1249"/>
      <c r="J1215" s="1249"/>
      <c r="K1215" s="1250"/>
      <c r="L1215" s="895">
        <v>0.8125</v>
      </c>
      <c r="M1215" s="344"/>
      <c r="N1215" s="219"/>
      <c r="O1215" s="263"/>
      <c r="P1215" s="263"/>
      <c r="Q1215" s="263"/>
      <c r="R1215" s="263"/>
      <c r="S1215" s="263"/>
      <c r="T1215" s="263"/>
      <c r="U1215" s="263"/>
      <c r="V1215" s="263"/>
      <c r="W1215" s="263"/>
      <c r="X1215" s="263"/>
      <c r="Y1215" s="263"/>
      <c r="Z1215" s="263"/>
    </row>
    <row r="1216" spans="3:26" ht="20" thickBot="1">
      <c r="C1216" s="218">
        <v>5</v>
      </c>
      <c r="D1216" s="498" t="s">
        <v>30</v>
      </c>
      <c r="E1216" s="1147" t="s">
        <v>1145</v>
      </c>
      <c r="F1216" s="1148"/>
      <c r="G1216" s="1149"/>
      <c r="H1216" s="861" t="s">
        <v>790</v>
      </c>
      <c r="I1216" s="1256" t="s">
        <v>633</v>
      </c>
      <c r="J1216" s="1256"/>
      <c r="K1216" s="1257"/>
      <c r="L1216" s="890" t="s">
        <v>430</v>
      </c>
      <c r="M1216" s="333" t="s">
        <v>431</v>
      </c>
      <c r="N1216" s="219" t="s">
        <v>105</v>
      </c>
      <c r="O1216" s="220" t="s">
        <v>800</v>
      </c>
      <c r="P1216" s="220" t="s">
        <v>801</v>
      </c>
      <c r="Q1216" s="220" t="s">
        <v>802</v>
      </c>
      <c r="R1216" s="220" t="s">
        <v>803</v>
      </c>
      <c r="S1216" s="220" t="s">
        <v>804</v>
      </c>
      <c r="T1216" s="220" t="s">
        <v>805</v>
      </c>
      <c r="U1216" s="220" t="s">
        <v>806</v>
      </c>
      <c r="V1216" s="220" t="s">
        <v>807</v>
      </c>
      <c r="W1216" s="220" t="s">
        <v>808</v>
      </c>
      <c r="X1216" s="220" t="s">
        <v>809</v>
      </c>
      <c r="Y1216" s="220" t="s">
        <v>75</v>
      </c>
      <c r="Z1216" s="220" t="s">
        <v>75</v>
      </c>
    </row>
    <row r="1217" spans="3:26" ht="19">
      <c r="C1217" s="218"/>
      <c r="D1217" s="504" t="s">
        <v>432</v>
      </c>
      <c r="E1217" s="1181"/>
      <c r="F1217" s="1182"/>
      <c r="G1217" s="1183"/>
      <c r="H1217" s="863" t="s">
        <v>1247</v>
      </c>
      <c r="I1217" s="1243" t="s">
        <v>1144</v>
      </c>
      <c r="J1217" s="1243"/>
      <c r="K1217" s="1244"/>
      <c r="L1217" s="891"/>
      <c r="M1217" s="335" t="s">
        <v>1145</v>
      </c>
      <c r="N1217" s="219"/>
      <c r="O1217" s="221" t="s">
        <v>810</v>
      </c>
      <c r="P1217" s="222">
        <v>0.1</v>
      </c>
      <c r="Q1217" s="223">
        <v>3.4000000000000002E-2</v>
      </c>
      <c r="R1217" s="224">
        <v>1.5000000000014779E-2</v>
      </c>
      <c r="S1217" s="225"/>
      <c r="T1217" s="221">
        <v>6.6000000000014783E-2</v>
      </c>
      <c r="U1217" s="223">
        <v>-16.5</v>
      </c>
      <c r="V1217" s="222">
        <v>60.5</v>
      </c>
      <c r="W1217" s="226">
        <v>2</v>
      </c>
      <c r="X1217" s="227">
        <v>33</v>
      </c>
      <c r="Y1217" s="225"/>
      <c r="Z1217" s="225"/>
    </row>
    <row r="1218" spans="3:26" ht="19">
      <c r="C1218" s="218"/>
      <c r="D1218" s="505" t="s">
        <v>433</v>
      </c>
      <c r="E1218" s="1178"/>
      <c r="F1218" s="1179"/>
      <c r="G1218" s="1180"/>
      <c r="H1218" s="863" t="s">
        <v>1247</v>
      </c>
      <c r="I1218" s="1246"/>
      <c r="J1218" s="1246"/>
      <c r="K1218" s="1247"/>
      <c r="L1218" s="891"/>
      <c r="M1218" s="336"/>
      <c r="N1218" s="219"/>
      <c r="O1218" s="219"/>
      <c r="P1218" s="219"/>
      <c r="Q1218" s="219"/>
      <c r="R1218" s="228"/>
      <c r="S1218" s="229"/>
      <c r="T1218" s="219"/>
      <c r="U1218" s="219"/>
      <c r="V1218" s="219"/>
      <c r="W1218" s="229"/>
      <c r="X1218" s="229"/>
      <c r="Y1218" s="230"/>
      <c r="Z1218" s="230"/>
    </row>
    <row r="1219" spans="3:26" ht="19">
      <c r="C1219" s="218"/>
      <c r="D1219" s="505" t="s">
        <v>434</v>
      </c>
      <c r="E1219" s="1178" t="e">
        <v>#REF!</v>
      </c>
      <c r="F1219" s="1179"/>
      <c r="G1219" s="1180"/>
      <c r="H1219" s="863"/>
      <c r="I1219" s="1246"/>
      <c r="J1219" s="1246"/>
      <c r="K1219" s="1247"/>
      <c r="L1219" s="891"/>
      <c r="M1219" s="336"/>
      <c r="N1219" s="219"/>
      <c r="O1219" s="231" t="s">
        <v>811</v>
      </c>
      <c r="P1219" s="232">
        <v>0.1</v>
      </c>
      <c r="Q1219" s="233">
        <v>5.9400000000000001E-2</v>
      </c>
      <c r="R1219" s="234">
        <v>6.9999999999999999E-4</v>
      </c>
      <c r="S1219" s="235">
        <v>1</v>
      </c>
      <c r="T1219" s="231">
        <v>8.9800000000000005E-2</v>
      </c>
      <c r="U1219" s="236">
        <v>-22.449999999994972</v>
      </c>
      <c r="V1219" s="237">
        <v>60.5</v>
      </c>
      <c r="W1219" s="238">
        <v>4.38</v>
      </c>
      <c r="X1219" s="239">
        <v>98.330999999977976</v>
      </c>
      <c r="Y1219" s="240"/>
      <c r="Z1219" s="240"/>
    </row>
    <row r="1220" spans="3:26" ht="20" thickBot="1">
      <c r="C1220" s="218"/>
      <c r="D1220" s="506" t="s">
        <v>435</v>
      </c>
      <c r="E1220" s="1160">
        <v>0.5625</v>
      </c>
      <c r="F1220" s="1161"/>
      <c r="G1220" s="1162"/>
      <c r="H1220" s="865">
        <v>0.35416666666666663</v>
      </c>
      <c r="I1220" s="1246"/>
      <c r="J1220" s="1246"/>
      <c r="K1220" s="1247"/>
      <c r="L1220" s="892">
        <v>0.79166666666666663</v>
      </c>
      <c r="M1220" s="338">
        <v>0.64583333333333326</v>
      </c>
      <c r="N1220" s="219"/>
      <c r="O1220" s="241" t="s">
        <v>812</v>
      </c>
      <c r="P1220" s="242">
        <v>0.1</v>
      </c>
      <c r="Q1220" s="243">
        <v>7.1533333333333324E-2</v>
      </c>
      <c r="R1220" s="244">
        <v>6.9999999999999999E-4</v>
      </c>
      <c r="S1220" s="245">
        <v>1</v>
      </c>
      <c r="T1220" s="246">
        <v>0.108</v>
      </c>
      <c r="U1220" s="247">
        <v>-26.999999999993953</v>
      </c>
      <c r="V1220" s="248">
        <v>60.5</v>
      </c>
      <c r="W1220" s="249">
        <v>8</v>
      </c>
      <c r="X1220" s="250">
        <v>215.99999999995163</v>
      </c>
      <c r="Y1220" s="251"/>
      <c r="Z1220" s="251"/>
    </row>
    <row r="1221" spans="3:26" ht="20" thickBot="1">
      <c r="C1221" s="218"/>
      <c r="D1221" s="507" t="s">
        <v>436</v>
      </c>
      <c r="E1221" s="264" t="s">
        <v>29</v>
      </c>
      <c r="F1221" s="264" t="s">
        <v>28</v>
      </c>
      <c r="G1221" s="265" t="s">
        <v>27</v>
      </c>
      <c r="H1221" s="867" t="s">
        <v>793</v>
      </c>
      <c r="I1221" s="1246"/>
      <c r="J1221" s="1246"/>
      <c r="K1221" s="1247"/>
      <c r="L1221" s="893" t="s">
        <v>1246</v>
      </c>
      <c r="M1221" s="340"/>
      <c r="N1221" s="219"/>
      <c r="O1221" s="229"/>
      <c r="P1221" s="230"/>
      <c r="Q1221" s="229"/>
      <c r="R1221" s="229"/>
      <c r="S1221" s="229"/>
      <c r="T1221" s="229"/>
      <c r="U1221" s="254"/>
      <c r="V1221" s="255"/>
      <c r="W1221" s="229"/>
      <c r="X1221" s="254"/>
      <c r="Y1221" s="230"/>
      <c r="Z1221" s="230"/>
    </row>
    <row r="1222" spans="3:26" ht="19">
      <c r="C1222" s="218"/>
      <c r="D1222" s="508">
        <v>45595</v>
      </c>
      <c r="E1222" s="266" t="s">
        <v>1192</v>
      </c>
      <c r="F1222" s="266" t="s">
        <v>1193</v>
      </c>
      <c r="G1222" s="266" t="s">
        <v>1194</v>
      </c>
      <c r="H1222" s="869">
        <v>0.5625</v>
      </c>
      <c r="I1222" s="1246"/>
      <c r="J1222" s="1246"/>
      <c r="K1222" s="1247"/>
      <c r="L1222" s="894">
        <v>0.73958333333333337</v>
      </c>
      <c r="M1222" s="342"/>
      <c r="N1222" s="219"/>
      <c r="O1222" s="229"/>
      <c r="P1222" s="230"/>
      <c r="Q1222" s="229"/>
      <c r="R1222" s="229"/>
      <c r="S1222" s="229"/>
      <c r="T1222" s="229"/>
      <c r="U1222" s="229"/>
      <c r="V1222" s="229"/>
      <c r="W1222" s="229"/>
      <c r="X1222" s="229"/>
      <c r="Y1222" s="230"/>
      <c r="Z1222" s="230"/>
    </row>
    <row r="1223" spans="3:26" ht="19">
      <c r="C1223" s="218"/>
      <c r="D1223" s="508">
        <v>45567</v>
      </c>
      <c r="E1223" s="266" t="s">
        <v>1195</v>
      </c>
      <c r="F1223" s="266" t="s">
        <v>1196</v>
      </c>
      <c r="G1223" s="266" t="s">
        <v>1197</v>
      </c>
      <c r="H1223" s="869">
        <v>0.52083333333333337</v>
      </c>
      <c r="I1223" s="1246"/>
      <c r="J1223" s="1246"/>
      <c r="K1223" s="1247"/>
      <c r="L1223" s="894">
        <v>0.73958333333333337</v>
      </c>
      <c r="M1223" s="343"/>
      <c r="N1223" s="219"/>
      <c r="O1223" s="221" t="s">
        <v>813</v>
      </c>
      <c r="P1223" s="222">
        <v>0.1</v>
      </c>
      <c r="Q1223" s="257">
        <v>6.5466666666666659E-2</v>
      </c>
      <c r="R1223" s="258">
        <v>6.9999999999999999E-4</v>
      </c>
      <c r="S1223" s="225">
        <v>1</v>
      </c>
      <c r="T1223" s="231">
        <v>9.8899999999999988E-2</v>
      </c>
      <c r="U1223" s="259">
        <v>-24.724999999994459</v>
      </c>
      <c r="V1223" s="260">
        <v>60.5</v>
      </c>
      <c r="W1223" s="225">
        <v>3</v>
      </c>
      <c r="X1223" s="227">
        <v>74.174999999983385</v>
      </c>
      <c r="Y1223" s="261"/>
      <c r="Z1223" s="261"/>
    </row>
    <row r="1224" spans="3:26" ht="19">
      <c r="C1224" s="218"/>
      <c r="D1224" s="508">
        <v>45540</v>
      </c>
      <c r="E1224" s="266" t="s">
        <v>1198</v>
      </c>
      <c r="F1224" s="266" t="s">
        <v>1199</v>
      </c>
      <c r="G1224" s="266" t="s">
        <v>1200</v>
      </c>
      <c r="H1224" s="869">
        <v>0.52083333333333337</v>
      </c>
      <c r="I1224" s="1246"/>
      <c r="J1224" s="1246"/>
      <c r="K1224" s="1247"/>
      <c r="L1224" s="894">
        <v>0.73958333333333337</v>
      </c>
      <c r="M1224" s="336"/>
      <c r="N1224" s="219"/>
      <c r="O1224" s="221" t="s">
        <v>813</v>
      </c>
      <c r="P1224" s="222">
        <v>0.1</v>
      </c>
      <c r="Q1224" s="257">
        <v>6.5466666666666659E-2</v>
      </c>
      <c r="R1224" s="258">
        <v>6.9999999999999999E-4</v>
      </c>
      <c r="S1224" s="225">
        <v>1</v>
      </c>
      <c r="T1224" s="231">
        <v>9.8899999999999988E-2</v>
      </c>
      <c r="U1224" s="259">
        <v>-24.724999999994459</v>
      </c>
      <c r="V1224" s="260">
        <v>60.5</v>
      </c>
      <c r="W1224" s="225">
        <v>3</v>
      </c>
      <c r="X1224" s="227">
        <v>74.174999999983385</v>
      </c>
      <c r="Y1224" s="261"/>
      <c r="Z1224" s="261"/>
    </row>
    <row r="1225" spans="3:26" ht="19">
      <c r="C1225" s="218"/>
      <c r="D1225" s="508">
        <v>45504</v>
      </c>
      <c r="E1225" s="266" t="s">
        <v>1201</v>
      </c>
      <c r="F1225" s="266" t="s">
        <v>1202</v>
      </c>
      <c r="G1225" s="266" t="s">
        <v>1203</v>
      </c>
      <c r="H1225" s="869">
        <v>0.52083333333333337</v>
      </c>
      <c r="I1225" s="1246"/>
      <c r="J1225" s="1246"/>
      <c r="K1225" s="1247"/>
      <c r="L1225" s="894">
        <v>0.73958333333333337</v>
      </c>
      <c r="M1225" s="336"/>
      <c r="N1225" s="219"/>
      <c r="O1225" s="221"/>
      <c r="P1225" s="262"/>
      <c r="Q1225" s="257"/>
      <c r="R1225" s="258"/>
      <c r="S1225" s="225"/>
      <c r="T1225" s="262"/>
      <c r="U1225" s="259"/>
      <c r="V1225" s="260"/>
      <c r="W1225" s="225"/>
      <c r="X1225" s="227"/>
      <c r="Y1225" s="261"/>
      <c r="Z1225" s="261"/>
    </row>
    <row r="1226" spans="3:26" ht="19">
      <c r="C1226" s="218"/>
      <c r="D1226" s="508">
        <v>45476</v>
      </c>
      <c r="E1226" s="266" t="s">
        <v>1204</v>
      </c>
      <c r="F1226" s="266" t="s">
        <v>1205</v>
      </c>
      <c r="G1226" s="266" t="s">
        <v>1206</v>
      </c>
      <c r="H1226" s="869">
        <v>0.52083333333333337</v>
      </c>
      <c r="I1226" s="1246"/>
      <c r="J1226" s="1246"/>
      <c r="K1226" s="1247"/>
      <c r="L1226" s="894">
        <v>0.73958333333333337</v>
      </c>
      <c r="M1226" s="336"/>
      <c r="N1226" s="219"/>
      <c r="O1226" s="263"/>
      <c r="P1226" s="263"/>
      <c r="Q1226" s="263"/>
      <c r="R1226" s="263"/>
      <c r="S1226" s="263"/>
      <c r="T1226" s="263"/>
      <c r="U1226" s="263"/>
      <c r="V1226" s="263"/>
      <c r="W1226" s="263"/>
      <c r="X1226" s="263"/>
      <c r="Y1226" s="263"/>
      <c r="Z1226" s="263"/>
    </row>
    <row r="1227" spans="3:26" ht="20" thickBot="1">
      <c r="C1227" s="218"/>
      <c r="D1227" s="517">
        <v>45448</v>
      </c>
      <c r="E1227" s="319" t="s">
        <v>1207</v>
      </c>
      <c r="F1227" s="319" t="s">
        <v>1208</v>
      </c>
      <c r="G1227" s="319" t="s">
        <v>1209</v>
      </c>
      <c r="H1227" s="869">
        <v>0.52083333333333337</v>
      </c>
      <c r="I1227" s="1249"/>
      <c r="J1227" s="1249"/>
      <c r="K1227" s="1250"/>
      <c r="L1227" s="895">
        <v>0.73958333333333337</v>
      </c>
      <c r="M1227" s="344"/>
      <c r="N1227" s="219"/>
      <c r="O1227" s="263"/>
      <c r="P1227" s="263"/>
      <c r="Q1227" s="263"/>
      <c r="R1227" s="263"/>
      <c r="S1227" s="263"/>
      <c r="T1227" s="263"/>
      <c r="U1227" s="263"/>
      <c r="V1227" s="263"/>
      <c r="W1227" s="263"/>
      <c r="X1227" s="263"/>
      <c r="Y1227" s="263"/>
      <c r="Z1227" s="263"/>
    </row>
    <row r="1228" spans="3:26" ht="20" thickBot="1">
      <c r="C1228" s="218">
        <v>6</v>
      </c>
      <c r="D1228" s="498" t="s">
        <v>30</v>
      </c>
      <c r="E1228" s="1147" t="s">
        <v>90</v>
      </c>
      <c r="F1228" s="1148"/>
      <c r="G1228" s="1149"/>
      <c r="H1228" s="861" t="s">
        <v>790</v>
      </c>
      <c r="I1228" s="1256" t="s">
        <v>633</v>
      </c>
      <c r="J1228" s="1256"/>
      <c r="K1228" s="1257"/>
      <c r="L1228" s="890" t="s">
        <v>430</v>
      </c>
      <c r="M1228" s="333" t="s">
        <v>431</v>
      </c>
      <c r="N1228" s="219" t="s">
        <v>105</v>
      </c>
      <c r="O1228" s="220" t="s">
        <v>800</v>
      </c>
      <c r="P1228" s="220" t="s">
        <v>801</v>
      </c>
      <c r="Q1228" s="220" t="s">
        <v>802</v>
      </c>
      <c r="R1228" s="220" t="s">
        <v>803</v>
      </c>
      <c r="S1228" s="220" t="s">
        <v>804</v>
      </c>
      <c r="T1228" s="220" t="s">
        <v>805</v>
      </c>
      <c r="U1228" s="220" t="s">
        <v>806</v>
      </c>
      <c r="V1228" s="220" t="s">
        <v>807</v>
      </c>
      <c r="W1228" s="220" t="s">
        <v>808</v>
      </c>
      <c r="X1228" s="220" t="s">
        <v>809</v>
      </c>
      <c r="Y1228" s="220" t="s">
        <v>75</v>
      </c>
      <c r="Z1228" s="220" t="s">
        <v>75</v>
      </c>
    </row>
    <row r="1229" spans="3:26" ht="19">
      <c r="C1229" s="218"/>
      <c r="D1229" s="504" t="s">
        <v>432</v>
      </c>
      <c r="E1229" s="1150"/>
      <c r="F1229" s="1151"/>
      <c r="G1229" s="1152"/>
      <c r="H1229" s="863" t="s">
        <v>1056</v>
      </c>
      <c r="I1229" s="1243" t="s">
        <v>1146</v>
      </c>
      <c r="J1229" s="1243"/>
      <c r="K1229" s="1244"/>
      <c r="L1229" s="891"/>
      <c r="M1229" s="335" t="s">
        <v>90</v>
      </c>
      <c r="N1229" s="219"/>
      <c r="O1229" s="221" t="s">
        <v>810</v>
      </c>
      <c r="P1229" s="222">
        <v>0.1</v>
      </c>
      <c r="Q1229" s="223">
        <v>0.04</v>
      </c>
      <c r="R1229" s="224">
        <v>2.5000000000005684E-2</v>
      </c>
      <c r="S1229" s="225"/>
      <c r="T1229" s="221">
        <v>8.5000000000005682E-2</v>
      </c>
      <c r="U1229" s="223">
        <v>-20.73</v>
      </c>
      <c r="V1229" s="222">
        <v>60.5</v>
      </c>
      <c r="W1229" s="226">
        <v>2</v>
      </c>
      <c r="X1229" s="227">
        <v>41.46</v>
      </c>
      <c r="Y1229" s="225"/>
      <c r="Z1229" s="225"/>
    </row>
    <row r="1230" spans="3:26" ht="19">
      <c r="C1230" s="218"/>
      <c r="D1230" s="505" t="s">
        <v>433</v>
      </c>
      <c r="E1230" s="1153">
        <v>3.2500000000000001E-2</v>
      </c>
      <c r="F1230" s="1154"/>
      <c r="G1230" s="1155"/>
      <c r="H1230" s="863" t="s">
        <v>1057</v>
      </c>
      <c r="I1230" s="1246"/>
      <c r="J1230" s="1246"/>
      <c r="K1230" s="1247"/>
      <c r="L1230" s="891"/>
      <c r="M1230" s="336"/>
      <c r="N1230" s="219"/>
      <c r="O1230" s="219"/>
      <c r="P1230" s="219"/>
      <c r="Q1230" s="219"/>
      <c r="R1230" s="228"/>
      <c r="S1230" s="229"/>
      <c r="T1230" s="219"/>
      <c r="U1230" s="219"/>
      <c r="V1230" s="219"/>
      <c r="W1230" s="229"/>
      <c r="X1230" s="229"/>
      <c r="Y1230" s="230"/>
      <c r="Z1230" s="230"/>
    </row>
    <row r="1231" spans="3:26" ht="19">
      <c r="C1231" s="218"/>
      <c r="D1231" s="505" t="s">
        <v>434</v>
      </c>
      <c r="E1231" s="1153">
        <v>3.7499999999999999E-2</v>
      </c>
      <c r="F1231" s="1154"/>
      <c r="G1231" s="1155"/>
      <c r="H1231" s="863"/>
      <c r="I1231" s="1246"/>
      <c r="J1231" s="1246"/>
      <c r="K1231" s="1247"/>
      <c r="L1231" s="891"/>
      <c r="M1231" s="336"/>
      <c r="N1231" s="219"/>
      <c r="O1231" s="231" t="s">
        <v>811</v>
      </c>
      <c r="P1231" s="232">
        <v>0.1</v>
      </c>
      <c r="Q1231" s="233">
        <v>6.9099999999999995E-2</v>
      </c>
      <c r="R1231" s="234">
        <v>0.11799999999999999</v>
      </c>
      <c r="S1231" s="235">
        <v>1</v>
      </c>
      <c r="T1231" s="231">
        <v>0.22164999999999999</v>
      </c>
      <c r="U1231" s="236">
        <v>-54.056523529408153</v>
      </c>
      <c r="V1231" s="237">
        <v>60.5</v>
      </c>
      <c r="W1231" s="238">
        <v>0.9</v>
      </c>
      <c r="X1231" s="239">
        <v>48.650871176467341</v>
      </c>
      <c r="Y1231" s="240"/>
      <c r="Z1231" s="240">
        <v>4.4350000000000005</v>
      </c>
    </row>
    <row r="1232" spans="3:26" ht="20" thickBot="1">
      <c r="C1232" s="218"/>
      <c r="D1232" s="506" t="s">
        <v>435</v>
      </c>
      <c r="E1232" s="1160">
        <v>0.61458333333333337</v>
      </c>
      <c r="F1232" s="1161"/>
      <c r="G1232" s="1162"/>
      <c r="H1232" s="865">
        <v>0.40625</v>
      </c>
      <c r="I1232" s="1246"/>
      <c r="J1232" s="1246"/>
      <c r="K1232" s="1247"/>
      <c r="L1232" s="892">
        <v>0.84375</v>
      </c>
      <c r="M1232" s="338">
        <v>0.69791666666666663</v>
      </c>
      <c r="N1232" s="219"/>
      <c r="O1232" s="241" t="s">
        <v>812</v>
      </c>
      <c r="P1232" s="242">
        <v>0.1</v>
      </c>
      <c r="Q1232" s="243">
        <v>7.2000000000000008E-2</v>
      </c>
      <c r="R1232" s="244">
        <v>0.11799999999999999</v>
      </c>
      <c r="S1232" s="245">
        <v>1</v>
      </c>
      <c r="T1232" s="246">
        <v>0.22600000000000001</v>
      </c>
      <c r="U1232" s="247">
        <v>-55.117411764702197</v>
      </c>
      <c r="V1232" s="248">
        <v>60.5</v>
      </c>
      <c r="W1232" s="249">
        <v>1.29</v>
      </c>
      <c r="X1232" s="250">
        <v>71.101461176465833</v>
      </c>
      <c r="Y1232" s="251"/>
      <c r="Z1232" s="251"/>
    </row>
    <row r="1233" spans="3:26" ht="20" thickBot="1">
      <c r="C1233" s="218"/>
      <c r="D1233" s="507" t="s">
        <v>436</v>
      </c>
      <c r="E1233" s="264" t="s">
        <v>29</v>
      </c>
      <c r="F1233" s="264" t="s">
        <v>28</v>
      </c>
      <c r="G1233" s="265" t="s">
        <v>27</v>
      </c>
      <c r="H1233" s="867" t="s">
        <v>793</v>
      </c>
      <c r="I1233" s="1246"/>
      <c r="J1233" s="1246"/>
      <c r="K1233" s="1247"/>
      <c r="L1233" s="893" t="s">
        <v>1246</v>
      </c>
      <c r="M1233" s="340"/>
      <c r="N1233" s="219"/>
      <c r="O1233" s="229"/>
      <c r="P1233" s="230"/>
      <c r="Q1233" s="229"/>
      <c r="R1233" s="229"/>
      <c r="S1233" s="229"/>
      <c r="T1233" s="229"/>
      <c r="U1233" s="254"/>
      <c r="V1233" s="255"/>
      <c r="W1233" s="229"/>
      <c r="X1233" s="254"/>
      <c r="Y1233" s="230"/>
      <c r="Z1233" s="230"/>
    </row>
    <row r="1234" spans="3:26" ht="19">
      <c r="C1234" s="218"/>
      <c r="D1234" s="508">
        <v>45618</v>
      </c>
      <c r="E1234" s="266">
        <v>57</v>
      </c>
      <c r="F1234" s="266" t="s">
        <v>586</v>
      </c>
      <c r="G1234" s="266">
        <v>55</v>
      </c>
      <c r="H1234" s="869">
        <v>0.57291666666666663</v>
      </c>
      <c r="I1234" s="1246"/>
      <c r="J1234" s="1246"/>
      <c r="K1234" s="1247"/>
      <c r="L1234" s="894"/>
      <c r="M1234" s="342"/>
      <c r="N1234" s="219"/>
      <c r="O1234" s="229"/>
      <c r="P1234" s="230"/>
      <c r="Q1234" s="229"/>
      <c r="R1234" s="229"/>
      <c r="S1234" s="229"/>
      <c r="T1234" s="229"/>
      <c r="U1234" s="229"/>
      <c r="V1234" s="229"/>
      <c r="W1234" s="229"/>
      <c r="X1234" s="229"/>
      <c r="Y1234" s="230"/>
      <c r="Z1234" s="230"/>
    </row>
    <row r="1235" spans="3:26" ht="19">
      <c r="C1235" s="218"/>
      <c r="D1235" s="508">
        <v>45601</v>
      </c>
      <c r="E1235" s="266">
        <v>55</v>
      </c>
      <c r="F1235" s="266" t="s">
        <v>585</v>
      </c>
      <c r="G1235" s="266">
        <v>55.2</v>
      </c>
      <c r="H1235" s="869">
        <v>0.57291666666666663</v>
      </c>
      <c r="I1235" s="1246"/>
      <c r="J1235" s="1246"/>
      <c r="K1235" s="1247"/>
      <c r="L1235" s="894"/>
      <c r="M1235" s="343"/>
      <c r="N1235" s="219"/>
      <c r="O1235" s="221" t="s">
        <v>813</v>
      </c>
      <c r="P1235" s="222">
        <v>0.05</v>
      </c>
      <c r="Q1235" s="257">
        <v>7.0550000000000002E-2</v>
      </c>
      <c r="R1235" s="258">
        <v>0.11799999999999999</v>
      </c>
      <c r="S1235" s="225">
        <v>-1</v>
      </c>
      <c r="T1235" s="231">
        <v>0.223825</v>
      </c>
      <c r="U1235" s="259">
        <v>-27.293483823527584</v>
      </c>
      <c r="V1235" s="260">
        <v>30.25</v>
      </c>
      <c r="W1235" s="225">
        <v>2</v>
      </c>
      <c r="X1235" s="227">
        <v>54.586967647055168</v>
      </c>
      <c r="Y1235" s="261"/>
      <c r="Z1235" s="261"/>
    </row>
    <row r="1236" spans="3:26" ht="19">
      <c r="C1236" s="218"/>
      <c r="D1236" s="508">
        <v>45589</v>
      </c>
      <c r="E1236" s="266">
        <v>55.3</v>
      </c>
      <c r="F1236" s="266" t="s">
        <v>604</v>
      </c>
      <c r="G1236" s="266">
        <v>55.2</v>
      </c>
      <c r="H1236" s="869">
        <v>0.57291666666666663</v>
      </c>
      <c r="I1236" s="1246"/>
      <c r="J1236" s="1246"/>
      <c r="K1236" s="1247"/>
      <c r="L1236" s="894"/>
      <c r="M1236" s="336"/>
      <c r="N1236" s="219"/>
      <c r="O1236" s="221" t="s">
        <v>813</v>
      </c>
      <c r="P1236" s="222">
        <v>0.05</v>
      </c>
      <c r="Q1236" s="257">
        <v>7.0550000000000002E-2</v>
      </c>
      <c r="R1236" s="258">
        <v>0.11799999999999999</v>
      </c>
      <c r="S1236" s="225">
        <v>1</v>
      </c>
      <c r="T1236" s="231">
        <v>0.223825</v>
      </c>
      <c r="U1236" s="259">
        <v>-27.293483823527584</v>
      </c>
      <c r="V1236" s="260">
        <v>30.25</v>
      </c>
      <c r="W1236" s="225">
        <v>2</v>
      </c>
      <c r="X1236" s="227">
        <v>54.586967647055168</v>
      </c>
      <c r="Y1236" s="261"/>
      <c r="Z1236" s="261"/>
    </row>
    <row r="1237" spans="3:26" ht="19">
      <c r="C1237" s="218"/>
      <c r="D1237" s="508">
        <v>45568</v>
      </c>
      <c r="E1237" s="266">
        <v>55.2</v>
      </c>
      <c r="F1237" s="266" t="s">
        <v>759</v>
      </c>
      <c r="G1237" s="266">
        <v>55.7</v>
      </c>
      <c r="H1237" s="869">
        <v>0.57291666666666663</v>
      </c>
      <c r="I1237" s="1246"/>
      <c r="J1237" s="1246"/>
      <c r="K1237" s="1247"/>
      <c r="L1237" s="894"/>
      <c r="M1237" s="336"/>
      <c r="N1237" s="219"/>
      <c r="O1237" s="221" t="s">
        <v>816</v>
      </c>
      <c r="P1237" s="262"/>
      <c r="Q1237" s="257"/>
      <c r="R1237" s="258"/>
      <c r="S1237" s="225"/>
      <c r="T1237" s="262"/>
      <c r="U1237" s="259"/>
      <c r="V1237" s="260"/>
      <c r="W1237" s="225"/>
      <c r="X1237" s="227"/>
      <c r="Y1237" s="261"/>
      <c r="Z1237" s="261"/>
    </row>
    <row r="1238" spans="3:26" ht="19">
      <c r="C1238" s="218"/>
      <c r="D1238" s="508">
        <v>45558</v>
      </c>
      <c r="E1238" s="266">
        <v>55.4</v>
      </c>
      <c r="F1238" s="266" t="s">
        <v>585</v>
      </c>
      <c r="G1238" s="266">
        <v>55.7</v>
      </c>
      <c r="H1238" s="869">
        <v>0.57291666666666663</v>
      </c>
      <c r="I1238" s="1246"/>
      <c r="J1238" s="1246"/>
      <c r="K1238" s="1247"/>
      <c r="L1238" s="894"/>
      <c r="M1238" s="336"/>
      <c r="N1238" s="219"/>
      <c r="O1238" s="263"/>
      <c r="P1238" s="263"/>
      <c r="Q1238" s="263"/>
      <c r="R1238" s="263"/>
      <c r="S1238" s="263"/>
      <c r="T1238" s="263"/>
      <c r="U1238" s="263"/>
      <c r="V1238" s="263"/>
      <c r="W1238" s="263"/>
      <c r="X1238" s="263"/>
      <c r="Y1238" s="263"/>
      <c r="Z1238" s="263"/>
    </row>
    <row r="1239" spans="3:26" ht="20" thickBot="1">
      <c r="C1239" s="218"/>
      <c r="D1239" s="517">
        <v>45540</v>
      </c>
      <c r="E1239" s="319">
        <v>55.7</v>
      </c>
      <c r="F1239" s="319" t="s">
        <v>586</v>
      </c>
      <c r="G1239" s="319">
        <v>55</v>
      </c>
      <c r="H1239" s="869">
        <v>0.61458333333333337</v>
      </c>
      <c r="I1239" s="1249"/>
      <c r="J1239" s="1249"/>
      <c r="K1239" s="1250"/>
      <c r="L1239" s="895"/>
      <c r="M1239" s="344"/>
      <c r="N1239" s="219"/>
      <c r="O1239" s="263"/>
      <c r="P1239" s="263"/>
      <c r="Q1239" s="263"/>
      <c r="R1239" s="263"/>
      <c r="S1239" s="263"/>
      <c r="T1239" s="263"/>
      <c r="U1239" s="263"/>
      <c r="V1239" s="263"/>
      <c r="W1239" s="263"/>
      <c r="X1239" s="263"/>
      <c r="Y1239" s="263"/>
      <c r="Z1239" s="263"/>
    </row>
    <row r="1240" spans="3:26" ht="20" thickBot="1">
      <c r="C1240" s="218">
        <v>7</v>
      </c>
      <c r="D1240" s="498" t="s">
        <v>30</v>
      </c>
      <c r="E1240" s="1147" t="s">
        <v>9</v>
      </c>
      <c r="F1240" s="1148"/>
      <c r="G1240" s="1149"/>
      <c r="H1240" s="861" t="s">
        <v>790</v>
      </c>
      <c r="I1240" s="1256" t="s">
        <v>633</v>
      </c>
      <c r="J1240" s="1256"/>
      <c r="K1240" s="1257"/>
      <c r="L1240" s="890" t="s">
        <v>430</v>
      </c>
      <c r="M1240" s="333" t="s">
        <v>431</v>
      </c>
      <c r="N1240" s="219" t="s">
        <v>105</v>
      </c>
      <c r="O1240" s="220" t="s">
        <v>800</v>
      </c>
      <c r="P1240" s="220" t="s">
        <v>801</v>
      </c>
      <c r="Q1240" s="220" t="s">
        <v>802</v>
      </c>
      <c r="R1240" s="220" t="s">
        <v>803</v>
      </c>
      <c r="S1240" s="220" t="s">
        <v>804</v>
      </c>
      <c r="T1240" s="220" t="s">
        <v>805</v>
      </c>
      <c r="U1240" s="220" t="s">
        <v>806</v>
      </c>
      <c r="V1240" s="220" t="s">
        <v>807</v>
      </c>
      <c r="W1240" s="220" t="s">
        <v>808</v>
      </c>
      <c r="X1240" s="220" t="s">
        <v>809</v>
      </c>
      <c r="Y1240" s="220" t="s">
        <v>75</v>
      </c>
      <c r="Z1240" s="220" t="s">
        <v>75</v>
      </c>
    </row>
    <row r="1241" spans="3:26" ht="19">
      <c r="C1241" s="218"/>
      <c r="D1241" s="504" t="s">
        <v>432</v>
      </c>
      <c r="E1241" s="1150"/>
      <c r="F1241" s="1151"/>
      <c r="G1241" s="1152"/>
      <c r="H1241" s="863" t="s">
        <v>796</v>
      </c>
      <c r="I1241" s="1243" t="s">
        <v>1148</v>
      </c>
      <c r="J1241" s="1243"/>
      <c r="K1241" s="1244"/>
      <c r="L1241" s="891"/>
      <c r="M1241" s="335" t="s">
        <v>9</v>
      </c>
      <c r="N1241" s="219"/>
      <c r="O1241" s="221" t="s">
        <v>810</v>
      </c>
      <c r="P1241" s="222">
        <v>0.1</v>
      </c>
      <c r="Q1241" s="223">
        <v>3.4000000000000002E-2</v>
      </c>
      <c r="R1241" s="224">
        <v>1.5000000000014779E-2</v>
      </c>
      <c r="S1241" s="225"/>
      <c r="T1241" s="221">
        <v>6.6000000000014783E-2</v>
      </c>
      <c r="U1241" s="223">
        <v>-16.5</v>
      </c>
      <c r="V1241" s="222">
        <v>60.5</v>
      </c>
      <c r="W1241" s="226">
        <v>2</v>
      </c>
      <c r="X1241" s="227">
        <v>33</v>
      </c>
      <c r="Y1241" s="225"/>
      <c r="Z1241" s="225"/>
    </row>
    <row r="1242" spans="3:26" ht="19">
      <c r="C1242" s="218"/>
      <c r="D1242" s="505" t="s">
        <v>433</v>
      </c>
      <c r="E1242" s="1163"/>
      <c r="F1242" s="1164"/>
      <c r="G1242" s="1165"/>
      <c r="H1242" s="863" t="s">
        <v>796</v>
      </c>
      <c r="I1242" s="1246"/>
      <c r="J1242" s="1246"/>
      <c r="K1242" s="1247"/>
      <c r="L1242" s="891"/>
      <c r="M1242" s="336"/>
      <c r="N1242" s="219"/>
      <c r="O1242" s="219"/>
      <c r="P1242" s="219"/>
      <c r="Q1242" s="219"/>
      <c r="R1242" s="228"/>
      <c r="S1242" s="229"/>
      <c r="T1242" s="219"/>
      <c r="U1242" s="219"/>
      <c r="V1242" s="219"/>
      <c r="W1242" s="219"/>
      <c r="X1242" s="229"/>
      <c r="Y1242" s="230"/>
      <c r="Z1242" s="230"/>
    </row>
    <row r="1243" spans="3:26" ht="19">
      <c r="C1243" s="218"/>
      <c r="D1243" s="505" t="s">
        <v>434</v>
      </c>
      <c r="E1243" s="1153" t="s">
        <v>1147</v>
      </c>
      <c r="F1243" s="1154"/>
      <c r="G1243" s="1155"/>
      <c r="H1243" s="863"/>
      <c r="I1243" s="1246"/>
      <c r="J1243" s="1246"/>
      <c r="K1243" s="1247"/>
      <c r="L1243" s="891"/>
      <c r="M1243" s="336"/>
      <c r="N1243" s="219"/>
      <c r="O1243" s="231" t="s">
        <v>811</v>
      </c>
      <c r="P1243" s="232">
        <v>0.1</v>
      </c>
      <c r="Q1243" s="233">
        <v>6.88E-2</v>
      </c>
      <c r="R1243" s="234">
        <v>1.7000000000000001E-2</v>
      </c>
      <c r="S1243" s="268">
        <v>1</v>
      </c>
      <c r="T1243" s="231">
        <v>0.1202</v>
      </c>
      <c r="U1243" s="236">
        <v>-30.049999999993272</v>
      </c>
      <c r="V1243" s="237">
        <v>60.5</v>
      </c>
      <c r="W1243" s="269">
        <v>2.2999999999999998</v>
      </c>
      <c r="X1243" s="239">
        <v>69.114999999984519</v>
      </c>
      <c r="Y1243" s="240"/>
      <c r="Z1243" s="240"/>
    </row>
    <row r="1244" spans="3:26" ht="20" thickBot="1">
      <c r="C1244" s="218"/>
      <c r="D1244" s="506" t="s">
        <v>435</v>
      </c>
      <c r="E1244" s="1160">
        <v>0.64583333333333337</v>
      </c>
      <c r="F1244" s="1161"/>
      <c r="G1244" s="1162"/>
      <c r="H1244" s="865">
        <v>0.4375</v>
      </c>
      <c r="I1244" s="1246"/>
      <c r="J1244" s="1246"/>
      <c r="K1244" s="1247"/>
      <c r="L1244" s="892">
        <v>0.875</v>
      </c>
      <c r="M1244" s="338">
        <v>0.72916666666666663</v>
      </c>
      <c r="N1244" s="219"/>
      <c r="O1244" s="241" t="s">
        <v>812</v>
      </c>
      <c r="P1244" s="242">
        <v>0.1</v>
      </c>
      <c r="Q1244" s="243">
        <v>0.10173333333333334</v>
      </c>
      <c r="R1244" s="244">
        <v>1.7000000000000001E-2</v>
      </c>
      <c r="S1244" s="270">
        <v>1</v>
      </c>
      <c r="T1244" s="246">
        <v>0.1696</v>
      </c>
      <c r="U1244" s="247">
        <v>-42.399999999990506</v>
      </c>
      <c r="V1244" s="248">
        <v>60.5</v>
      </c>
      <c r="W1244" s="271">
        <v>4</v>
      </c>
      <c r="X1244" s="250">
        <v>169.59999999996202</v>
      </c>
      <c r="Y1244" s="251"/>
      <c r="Z1244" s="251"/>
    </row>
    <row r="1245" spans="3:26" ht="20" thickBot="1">
      <c r="C1245" s="218"/>
      <c r="D1245" s="507" t="s">
        <v>436</v>
      </c>
      <c r="E1245" s="252" t="s">
        <v>29</v>
      </c>
      <c r="F1245" s="252" t="s">
        <v>28</v>
      </c>
      <c r="G1245" s="253" t="s">
        <v>27</v>
      </c>
      <c r="H1245" s="867" t="s">
        <v>793</v>
      </c>
      <c r="I1245" s="1246"/>
      <c r="J1245" s="1246"/>
      <c r="K1245" s="1247"/>
      <c r="L1245" s="893" t="s">
        <v>1246</v>
      </c>
      <c r="M1245" s="340"/>
      <c r="N1245" s="219"/>
      <c r="O1245" s="229"/>
      <c r="P1245" s="230"/>
      <c r="Q1245" s="229"/>
      <c r="R1245" s="229"/>
      <c r="S1245" s="272"/>
      <c r="T1245" s="229"/>
      <c r="U1245" s="254"/>
      <c r="V1245" s="255"/>
      <c r="W1245" s="273"/>
      <c r="X1245" s="254"/>
      <c r="Y1245" s="230"/>
      <c r="Z1245" s="230"/>
    </row>
    <row r="1246" spans="3:26" ht="19">
      <c r="C1246" s="218"/>
      <c r="D1246" s="508">
        <v>45601</v>
      </c>
      <c r="E1246" s="349" t="s">
        <v>1210</v>
      </c>
      <c r="F1246" s="349" t="s">
        <v>1211</v>
      </c>
      <c r="G1246" s="349" t="s">
        <v>1212</v>
      </c>
      <c r="H1246" s="896">
        <v>0.72916666666666663</v>
      </c>
      <c r="I1246" s="1246"/>
      <c r="J1246" s="1246"/>
      <c r="K1246" s="1247"/>
      <c r="L1246" s="894"/>
      <c r="M1246" s="342"/>
      <c r="N1246" s="219"/>
      <c r="O1246" s="229"/>
      <c r="P1246" s="230"/>
      <c r="Q1246" s="229"/>
      <c r="R1246" s="229"/>
      <c r="S1246" s="272"/>
      <c r="T1246" s="229"/>
      <c r="U1246" s="229"/>
      <c r="V1246" s="229"/>
      <c r="W1246" s="273"/>
      <c r="X1246" s="229"/>
      <c r="Y1246" s="230"/>
      <c r="Z1246" s="230"/>
    </row>
    <row r="1247" spans="3:26" ht="19">
      <c r="C1247" s="218"/>
      <c r="D1247" s="508">
        <v>45568</v>
      </c>
      <c r="E1247" s="349" t="s">
        <v>1212</v>
      </c>
      <c r="F1247" s="349" t="s">
        <v>1213</v>
      </c>
      <c r="G1247" s="349" t="s">
        <v>1214</v>
      </c>
      <c r="H1247" s="896">
        <v>0.72916666666666663</v>
      </c>
      <c r="I1247" s="1246"/>
      <c r="J1247" s="1246"/>
      <c r="K1247" s="1247"/>
      <c r="L1247" s="894"/>
      <c r="M1247" s="343"/>
      <c r="N1247" s="219"/>
      <c r="O1247" s="221" t="s">
        <v>813</v>
      </c>
      <c r="P1247" s="222">
        <v>0.06</v>
      </c>
      <c r="Q1247" s="257">
        <v>8.5266666666666671E-2</v>
      </c>
      <c r="R1247" s="258">
        <v>1.7000000000000001E-2</v>
      </c>
      <c r="S1247" s="225">
        <v>-1.5</v>
      </c>
      <c r="T1247" s="231">
        <v>0.14490000000000003</v>
      </c>
      <c r="U1247" s="259">
        <v>32.602499999992702</v>
      </c>
      <c r="V1247" s="260">
        <v>36.299999999999997</v>
      </c>
      <c r="W1247" s="225">
        <v>2</v>
      </c>
      <c r="X1247" s="227">
        <v>-65.204999999985404</v>
      </c>
      <c r="Y1247" s="261"/>
      <c r="Z1247" s="261"/>
    </row>
    <row r="1248" spans="3:26" ht="19">
      <c r="C1248" s="218"/>
      <c r="D1248" s="508">
        <v>45540</v>
      </c>
      <c r="E1248" s="349" t="s">
        <v>1214</v>
      </c>
      <c r="F1248" s="349" t="s">
        <v>1215</v>
      </c>
      <c r="G1248" s="349" t="s">
        <v>1216</v>
      </c>
      <c r="H1248" s="896">
        <v>0.72916666666666663</v>
      </c>
      <c r="I1248" s="1246"/>
      <c r="J1248" s="1246"/>
      <c r="K1248" s="1247"/>
      <c r="L1248" s="894"/>
      <c r="M1248" s="336"/>
      <c r="N1248" s="219"/>
      <c r="O1248" s="221" t="s">
        <v>813</v>
      </c>
      <c r="P1248" s="222">
        <v>0.06</v>
      </c>
      <c r="Q1248" s="257">
        <v>8.5266666666666671E-2</v>
      </c>
      <c r="R1248" s="258">
        <v>1.7000000000000001E-2</v>
      </c>
      <c r="S1248" s="225">
        <v>1.5</v>
      </c>
      <c r="T1248" s="231">
        <v>0.14490000000000003</v>
      </c>
      <c r="U1248" s="259">
        <v>-31.804697647056706</v>
      </c>
      <c r="V1248" s="260">
        <v>36.299999999999997</v>
      </c>
      <c r="W1248" s="225">
        <v>2</v>
      </c>
      <c r="X1248" s="227">
        <v>63.609395294113412</v>
      </c>
      <c r="Y1248" s="261"/>
      <c r="Z1248" s="261"/>
    </row>
    <row r="1249" spans="3:26" ht="19">
      <c r="C1249" s="218"/>
      <c r="D1249" s="508">
        <v>45509</v>
      </c>
      <c r="E1249" s="349" t="s">
        <v>1216</v>
      </c>
      <c r="F1249" s="349" t="s">
        <v>1216</v>
      </c>
      <c r="G1249" s="349" t="s">
        <v>1168</v>
      </c>
      <c r="H1249" s="896">
        <v>0.75</v>
      </c>
      <c r="I1249" s="1246"/>
      <c r="J1249" s="1246"/>
      <c r="K1249" s="1247"/>
      <c r="L1249" s="894"/>
      <c r="M1249" s="336"/>
      <c r="N1249" s="219"/>
      <c r="O1249" s="221"/>
      <c r="P1249" s="262"/>
      <c r="Q1249" s="257"/>
      <c r="R1249" s="258"/>
      <c r="S1249" s="225"/>
      <c r="T1249" s="262"/>
      <c r="U1249" s="259"/>
      <c r="V1249" s="260"/>
      <c r="W1249" s="225"/>
      <c r="X1249" s="227"/>
      <c r="Y1249" s="261"/>
      <c r="Z1249" s="261"/>
    </row>
    <row r="1250" spans="3:26" ht="19">
      <c r="C1250" s="218"/>
      <c r="D1250" s="508">
        <v>45476</v>
      </c>
      <c r="E1250" s="349" t="s">
        <v>1168</v>
      </c>
      <c r="F1250" s="349" t="s">
        <v>1217</v>
      </c>
      <c r="G1250" s="349" t="s">
        <v>1211</v>
      </c>
      <c r="H1250" s="896">
        <v>0.72916666666666663</v>
      </c>
      <c r="I1250" s="1246"/>
      <c r="J1250" s="1246"/>
      <c r="K1250" s="1247"/>
      <c r="L1250" s="894"/>
      <c r="M1250" s="336"/>
      <c r="N1250" s="219"/>
      <c r="O1250" s="263"/>
      <c r="P1250" s="263"/>
      <c r="Q1250" s="263"/>
      <c r="R1250" s="263"/>
      <c r="S1250" s="263"/>
      <c r="T1250" s="263"/>
      <c r="U1250" s="263"/>
      <c r="V1250" s="263"/>
      <c r="W1250" s="263"/>
      <c r="X1250" s="263"/>
      <c r="Y1250" s="263"/>
      <c r="Z1250" s="263"/>
    </row>
    <row r="1251" spans="3:26" ht="20" thickBot="1">
      <c r="C1251" s="218"/>
      <c r="D1251" s="517">
        <v>45448</v>
      </c>
      <c r="E1251" s="350" t="s">
        <v>1211</v>
      </c>
      <c r="F1251" s="350" t="s">
        <v>1218</v>
      </c>
      <c r="G1251" s="350" t="s">
        <v>1219</v>
      </c>
      <c r="H1251" s="896">
        <v>0.6875</v>
      </c>
      <c r="I1251" s="1249"/>
      <c r="J1251" s="1249"/>
      <c r="K1251" s="1250"/>
      <c r="L1251" s="895"/>
      <c r="M1251" s="344"/>
      <c r="N1251" s="219"/>
      <c r="O1251" s="263"/>
      <c r="P1251" s="263"/>
      <c r="Q1251" s="263"/>
      <c r="R1251" s="263"/>
      <c r="S1251" s="263"/>
      <c r="T1251" s="263"/>
      <c r="U1251" s="263"/>
      <c r="V1251" s="263"/>
      <c r="W1251" s="263"/>
      <c r="X1251" s="263"/>
      <c r="Y1251" s="263"/>
      <c r="Z1251" s="263"/>
    </row>
    <row r="1252" spans="3:26" ht="20" thickBot="1">
      <c r="C1252" s="218">
        <v>8</v>
      </c>
      <c r="D1252" s="498" t="s">
        <v>30</v>
      </c>
      <c r="E1252" s="1147" t="s">
        <v>52</v>
      </c>
      <c r="F1252" s="1148"/>
      <c r="G1252" s="1149"/>
      <c r="H1252" s="861" t="s">
        <v>790</v>
      </c>
      <c r="I1252" s="1256" t="s">
        <v>633</v>
      </c>
      <c r="J1252" s="1256"/>
      <c r="K1252" s="1257"/>
      <c r="L1252" s="890" t="s">
        <v>430</v>
      </c>
      <c r="M1252" s="333" t="s">
        <v>431</v>
      </c>
      <c r="N1252" s="219" t="s">
        <v>105</v>
      </c>
      <c r="O1252" s="220" t="s">
        <v>800</v>
      </c>
      <c r="P1252" s="220" t="s">
        <v>801</v>
      </c>
      <c r="Q1252" s="220" t="s">
        <v>802</v>
      </c>
      <c r="R1252" s="220" t="s">
        <v>803</v>
      </c>
      <c r="S1252" s="220" t="s">
        <v>804</v>
      </c>
      <c r="T1252" s="220" t="s">
        <v>805</v>
      </c>
      <c r="U1252" s="220" t="s">
        <v>806</v>
      </c>
      <c r="V1252" s="220" t="s">
        <v>807</v>
      </c>
      <c r="W1252" s="220" t="s">
        <v>808</v>
      </c>
      <c r="X1252" s="220" t="s">
        <v>809</v>
      </c>
      <c r="Y1252" s="220" t="s">
        <v>75</v>
      </c>
      <c r="Z1252" s="220" t="s">
        <v>75</v>
      </c>
    </row>
    <row r="1253" spans="3:26" ht="19">
      <c r="C1253" s="219"/>
      <c r="D1253" s="504" t="s">
        <v>432</v>
      </c>
      <c r="E1253" s="1150"/>
      <c r="F1253" s="1151"/>
      <c r="G1253" s="1152"/>
      <c r="H1253" s="863" t="s">
        <v>794</v>
      </c>
      <c r="I1253" s="1243" t="s">
        <v>1149</v>
      </c>
      <c r="J1253" s="1243"/>
      <c r="K1253" s="1244"/>
      <c r="L1253" s="891"/>
      <c r="M1253" s="336"/>
      <c r="N1253" s="219"/>
      <c r="O1253" s="221" t="s">
        <v>810</v>
      </c>
      <c r="P1253" s="222">
        <v>0.1</v>
      </c>
      <c r="Q1253" s="223">
        <v>3.9E-2</v>
      </c>
      <c r="R1253" s="224">
        <v>1.7000000000024329E-2</v>
      </c>
      <c r="S1253" s="225"/>
      <c r="T1253" s="221">
        <v>7.5500000000024325E-2</v>
      </c>
      <c r="U1253" s="223">
        <v>-17.670000000000002</v>
      </c>
      <c r="V1253" s="222">
        <v>60.23</v>
      </c>
      <c r="W1253" s="222"/>
      <c r="X1253" s="227"/>
      <c r="Y1253" s="225"/>
      <c r="Z1253" s="225"/>
    </row>
    <row r="1254" spans="3:26" ht="19">
      <c r="C1254" s="219"/>
      <c r="D1254" s="505" t="s">
        <v>433</v>
      </c>
      <c r="E1254" s="1153">
        <v>0</v>
      </c>
      <c r="F1254" s="1154"/>
      <c r="G1254" s="1155"/>
      <c r="H1254" s="863" t="s">
        <v>795</v>
      </c>
      <c r="I1254" s="1246"/>
      <c r="J1254" s="1246"/>
      <c r="K1254" s="1247"/>
      <c r="L1254" s="891"/>
      <c r="M1254" s="336"/>
      <c r="N1254" s="219"/>
      <c r="O1254" s="219"/>
      <c r="P1254" s="219"/>
      <c r="Q1254" s="219"/>
      <c r="R1254" s="228"/>
      <c r="S1254" s="229"/>
      <c r="T1254" s="219"/>
      <c r="U1254" s="219"/>
      <c r="V1254" s="219"/>
      <c r="W1254" s="219"/>
      <c r="X1254" s="229"/>
      <c r="Y1254" s="230"/>
      <c r="Z1254" s="230"/>
    </row>
    <row r="1255" spans="3:26" ht="19">
      <c r="C1255" s="219"/>
      <c r="D1255" s="505" t="s">
        <v>434</v>
      </c>
      <c r="E1255" s="1153">
        <v>4.3470000000000002E-2</v>
      </c>
      <c r="F1255" s="1154"/>
      <c r="G1255" s="1155"/>
      <c r="H1255" s="863"/>
      <c r="I1255" s="1246"/>
      <c r="J1255" s="1246"/>
      <c r="K1255" s="1247"/>
      <c r="L1255" s="891"/>
      <c r="M1255" s="336"/>
      <c r="N1255" s="219"/>
      <c r="O1255" s="231" t="s">
        <v>811</v>
      </c>
      <c r="P1255" s="232">
        <v>0.1</v>
      </c>
      <c r="Q1255" s="233">
        <v>3.9100000000000003E-2</v>
      </c>
      <c r="R1255" s="234">
        <v>1.4E-2</v>
      </c>
      <c r="S1255" s="268">
        <v>1</v>
      </c>
      <c r="T1255" s="231">
        <v>7.2650000000000006E-2</v>
      </c>
      <c r="U1255" s="236">
        <v>-17.002986754961412</v>
      </c>
      <c r="V1255" s="237">
        <v>60.5</v>
      </c>
      <c r="W1255" s="269">
        <v>4.29</v>
      </c>
      <c r="X1255" s="239">
        <v>72.942813178784462</v>
      </c>
      <c r="Y1255" s="240"/>
      <c r="Z1255" s="240"/>
    </row>
    <row r="1256" spans="3:26" ht="20" thickBot="1">
      <c r="C1256" s="219"/>
      <c r="D1256" s="506" t="s">
        <v>435</v>
      </c>
      <c r="E1256" s="1160">
        <v>0.75</v>
      </c>
      <c r="F1256" s="1161"/>
      <c r="G1256" s="1162"/>
      <c r="H1256" s="865"/>
      <c r="I1256" s="1246"/>
      <c r="J1256" s="1246"/>
      <c r="K1256" s="1247"/>
      <c r="L1256" s="892">
        <v>0.97916666666666663</v>
      </c>
      <c r="M1256" s="338">
        <v>0.83333333333333326</v>
      </c>
      <c r="N1256" s="219"/>
      <c r="O1256" s="241" t="s">
        <v>812</v>
      </c>
      <c r="P1256" s="242">
        <v>0.1</v>
      </c>
      <c r="Q1256" s="243">
        <v>4.9933333333333337E-2</v>
      </c>
      <c r="R1256" s="244">
        <v>1.4E-2</v>
      </c>
      <c r="S1256" s="270">
        <v>1</v>
      </c>
      <c r="T1256" s="246">
        <v>8.8900000000000007E-2</v>
      </c>
      <c r="U1256" s="247">
        <v>-20.806132450324426</v>
      </c>
      <c r="V1256" s="248">
        <v>60.5</v>
      </c>
      <c r="W1256" s="271">
        <v>4.9249999999999998</v>
      </c>
      <c r="X1256" s="250">
        <v>102.47020231784779</v>
      </c>
      <c r="Y1256" s="251"/>
      <c r="Z1256" s="251"/>
    </row>
    <row r="1257" spans="3:26" ht="20" thickBot="1">
      <c r="C1257" s="219"/>
      <c r="D1257" s="507" t="s">
        <v>436</v>
      </c>
      <c r="E1257" s="264" t="s">
        <v>29</v>
      </c>
      <c r="F1257" s="264" t="s">
        <v>28</v>
      </c>
      <c r="G1257" s="265" t="s">
        <v>27</v>
      </c>
      <c r="H1257" s="867" t="s">
        <v>793</v>
      </c>
      <c r="I1257" s="1246"/>
      <c r="J1257" s="1246"/>
      <c r="K1257" s="1247"/>
      <c r="L1257" s="893" t="s">
        <v>1246</v>
      </c>
      <c r="M1257" s="340"/>
      <c r="N1257" s="219"/>
      <c r="O1257" s="229"/>
      <c r="P1257" s="230"/>
      <c r="Q1257" s="229"/>
      <c r="R1257" s="229"/>
      <c r="S1257" s="272"/>
      <c r="T1257" s="229"/>
      <c r="U1257" s="254"/>
      <c r="V1257" s="255"/>
      <c r="W1257" s="273"/>
      <c r="X1257" s="254"/>
      <c r="Y1257" s="230"/>
      <c r="Z1257" s="230"/>
    </row>
    <row r="1258" spans="3:26" ht="19">
      <c r="C1258" s="219"/>
      <c r="D1258" s="508">
        <v>45601</v>
      </c>
      <c r="E1258" s="346" t="s">
        <v>1220</v>
      </c>
      <c r="F1258" s="346" t="s">
        <v>1221</v>
      </c>
      <c r="G1258" s="346" t="s">
        <v>1222</v>
      </c>
      <c r="H1258" s="869">
        <v>0.75</v>
      </c>
      <c r="I1258" s="1246"/>
      <c r="J1258" s="1246"/>
      <c r="K1258" s="1247"/>
      <c r="L1258" s="894">
        <v>0.85416666666666663</v>
      </c>
      <c r="M1258" s="342"/>
      <c r="N1258" s="219"/>
      <c r="O1258" s="229"/>
      <c r="P1258" s="230"/>
      <c r="Q1258" s="229"/>
      <c r="R1258" s="229"/>
      <c r="S1258" s="272"/>
      <c r="T1258" s="229"/>
      <c r="U1258" s="229"/>
      <c r="V1258" s="229"/>
      <c r="W1258" s="273"/>
      <c r="X1258" s="229"/>
      <c r="Y1258" s="230"/>
      <c r="Z1258" s="230"/>
    </row>
    <row r="1259" spans="3:26" ht="19">
      <c r="C1259" s="219"/>
      <c r="D1259" s="508">
        <v>45568</v>
      </c>
      <c r="E1259" s="346" t="s">
        <v>1222</v>
      </c>
      <c r="F1259" s="346" t="s">
        <v>1223</v>
      </c>
      <c r="G1259" s="346" t="s">
        <v>1224</v>
      </c>
      <c r="H1259" s="869">
        <v>0.70833333333333337</v>
      </c>
      <c r="I1259" s="1246"/>
      <c r="J1259" s="1246"/>
      <c r="K1259" s="1247"/>
      <c r="L1259" s="894">
        <v>0.8125</v>
      </c>
      <c r="M1259" s="343"/>
      <c r="N1259" s="219"/>
      <c r="O1259" s="221" t="s">
        <v>813</v>
      </c>
      <c r="P1259" s="274">
        <v>0.1</v>
      </c>
      <c r="Q1259" s="257">
        <v>4.9933333333333337E-2</v>
      </c>
      <c r="R1259" s="258">
        <v>1.4E-2</v>
      </c>
      <c r="S1259" s="274">
        <v>1</v>
      </c>
      <c r="T1259" s="275">
        <v>8.8900000000000007E-2</v>
      </c>
      <c r="U1259" s="259">
        <v>-20.806132450324426</v>
      </c>
      <c r="V1259" s="260">
        <v>60.5</v>
      </c>
      <c r="W1259" s="276">
        <v>2</v>
      </c>
      <c r="X1259" s="227">
        <v>41.612264900648853</v>
      </c>
      <c r="Y1259" s="261"/>
      <c r="Z1259" s="261"/>
    </row>
    <row r="1260" spans="3:26" ht="19">
      <c r="C1260" s="219"/>
      <c r="D1260" s="508">
        <v>45540</v>
      </c>
      <c r="E1260" s="346" t="s">
        <v>1224</v>
      </c>
      <c r="F1260" s="346" t="s">
        <v>1225</v>
      </c>
      <c r="G1260" s="346" t="s">
        <v>1226</v>
      </c>
      <c r="H1260" s="869">
        <v>0.70833333333333337</v>
      </c>
      <c r="I1260" s="1246"/>
      <c r="J1260" s="1246"/>
      <c r="K1260" s="1247"/>
      <c r="L1260" s="894">
        <v>0.8125</v>
      </c>
      <c r="M1260" s="336"/>
      <c r="N1260" s="219"/>
      <c r="O1260" s="221" t="s">
        <v>813</v>
      </c>
      <c r="P1260" s="274">
        <v>0.1</v>
      </c>
      <c r="Q1260" s="257">
        <v>4.9933333333333337E-2</v>
      </c>
      <c r="R1260" s="258">
        <v>1.4E-2</v>
      </c>
      <c r="S1260" s="274">
        <v>1</v>
      </c>
      <c r="T1260" s="275">
        <v>8.8900000000000007E-2</v>
      </c>
      <c r="U1260" s="259">
        <v>-20.806132450324426</v>
      </c>
      <c r="V1260" s="260">
        <v>60.5</v>
      </c>
      <c r="W1260" s="276">
        <v>2</v>
      </c>
      <c r="X1260" s="227">
        <v>41.612264900648853</v>
      </c>
      <c r="Y1260" s="261"/>
      <c r="Z1260" s="261"/>
    </row>
    <row r="1261" spans="3:26" ht="19">
      <c r="C1261" s="219"/>
      <c r="D1261" s="508">
        <v>45509</v>
      </c>
      <c r="E1261" s="346" t="s">
        <v>1226</v>
      </c>
      <c r="F1261" s="346" t="s">
        <v>1225</v>
      </c>
      <c r="G1261" s="346" t="s">
        <v>1223</v>
      </c>
      <c r="H1261" s="869">
        <v>0.70833333333333337</v>
      </c>
      <c r="I1261" s="1246"/>
      <c r="J1261" s="1246"/>
      <c r="K1261" s="1247"/>
      <c r="L1261" s="894">
        <v>0.8125</v>
      </c>
      <c r="M1261" s="336"/>
      <c r="N1261" s="219"/>
      <c r="O1261" s="221"/>
      <c r="P1261" s="262"/>
      <c r="Q1261" s="257"/>
      <c r="R1261" s="258"/>
      <c r="S1261" s="225"/>
      <c r="T1261" s="262"/>
      <c r="U1261" s="259"/>
      <c r="V1261" s="260"/>
      <c r="W1261" s="225"/>
      <c r="X1261" s="227"/>
      <c r="Y1261" s="261"/>
      <c r="Z1261" s="261"/>
    </row>
    <row r="1262" spans="3:26" ht="19">
      <c r="C1262" s="219"/>
      <c r="D1262" s="508">
        <v>45476</v>
      </c>
      <c r="E1262" s="346" t="s">
        <v>1223</v>
      </c>
      <c r="F1262" s="346" t="s">
        <v>1227</v>
      </c>
      <c r="G1262" s="346" t="s">
        <v>1220</v>
      </c>
      <c r="H1262" s="869">
        <v>0.70833333333333337</v>
      </c>
      <c r="I1262" s="1246"/>
      <c r="J1262" s="1246"/>
      <c r="K1262" s="1247"/>
      <c r="L1262" s="894">
        <v>0.8125</v>
      </c>
      <c r="M1262" s="336"/>
      <c r="N1262" s="219"/>
      <c r="O1262" s="263"/>
      <c r="P1262" s="263"/>
      <c r="Q1262" s="263"/>
      <c r="R1262" s="263"/>
      <c r="S1262" s="263"/>
      <c r="T1262" s="263"/>
      <c r="U1262" s="263"/>
      <c r="V1262" s="263"/>
      <c r="W1262" s="263"/>
      <c r="X1262" s="263"/>
      <c r="Y1262" s="263"/>
      <c r="Z1262" s="263"/>
    </row>
    <row r="1263" spans="3:26" ht="20" thickBot="1">
      <c r="C1263" s="219"/>
      <c r="D1263" s="517">
        <v>45448</v>
      </c>
      <c r="E1263" s="348" t="s">
        <v>1220</v>
      </c>
      <c r="F1263" s="348" t="s">
        <v>1228</v>
      </c>
      <c r="G1263" s="348" t="s">
        <v>1229</v>
      </c>
      <c r="H1263" s="869">
        <v>0.70833333333333337</v>
      </c>
      <c r="I1263" s="1249"/>
      <c r="J1263" s="1249"/>
      <c r="K1263" s="1250"/>
      <c r="L1263" s="895">
        <v>0.8125</v>
      </c>
      <c r="M1263" s="344"/>
      <c r="N1263" s="219"/>
      <c r="O1263" s="263"/>
      <c r="P1263" s="263"/>
      <c r="Q1263" s="263"/>
      <c r="R1263" s="263"/>
      <c r="S1263" s="263"/>
      <c r="T1263" s="263"/>
      <c r="U1263" s="263"/>
      <c r="V1263" s="263"/>
      <c r="W1263" s="263"/>
      <c r="X1263" s="263"/>
      <c r="Y1263" s="263"/>
      <c r="Z1263" s="263"/>
    </row>
    <row r="1264" spans="3:26" ht="20" thickBot="1">
      <c r="C1264" s="218">
        <v>9</v>
      </c>
      <c r="D1264" s="498" t="s">
        <v>30</v>
      </c>
      <c r="E1264" s="1147" t="s">
        <v>1150</v>
      </c>
      <c r="F1264" s="1148"/>
      <c r="G1264" s="1149"/>
      <c r="H1264" s="861" t="s">
        <v>790</v>
      </c>
      <c r="I1264" s="1256" t="s">
        <v>633</v>
      </c>
      <c r="J1264" s="1256"/>
      <c r="K1264" s="1257"/>
      <c r="L1264" s="890" t="s">
        <v>430</v>
      </c>
      <c r="M1264" s="333" t="s">
        <v>431</v>
      </c>
      <c r="N1264" s="219" t="s">
        <v>105</v>
      </c>
      <c r="O1264" s="220" t="s">
        <v>800</v>
      </c>
      <c r="P1264" s="220" t="s">
        <v>801</v>
      </c>
      <c r="Q1264" s="220" t="s">
        <v>802</v>
      </c>
      <c r="R1264" s="220" t="s">
        <v>803</v>
      </c>
      <c r="S1264" s="220" t="s">
        <v>804</v>
      </c>
      <c r="T1264" s="220" t="s">
        <v>805</v>
      </c>
      <c r="U1264" s="220" t="s">
        <v>806</v>
      </c>
      <c r="V1264" s="220" t="s">
        <v>807</v>
      </c>
      <c r="W1264" s="220" t="s">
        <v>808</v>
      </c>
      <c r="X1264" s="220" t="s">
        <v>809</v>
      </c>
      <c r="Y1264" s="220" t="s">
        <v>75</v>
      </c>
      <c r="Z1264" s="220" t="s">
        <v>75</v>
      </c>
    </row>
    <row r="1265" spans="3:26" ht="19">
      <c r="C1265" s="219"/>
      <c r="D1265" s="504" t="s">
        <v>432</v>
      </c>
      <c r="E1265" s="1150"/>
      <c r="F1265" s="1151"/>
      <c r="G1265" s="1152"/>
      <c r="H1265" s="863" t="s">
        <v>1248</v>
      </c>
      <c r="I1265" s="1243" t="s">
        <v>1151</v>
      </c>
      <c r="J1265" s="1243"/>
      <c r="K1265" s="1244"/>
      <c r="L1265" s="891"/>
      <c r="M1265" s="335" t="s">
        <v>1150</v>
      </c>
      <c r="N1265" s="219"/>
      <c r="O1265" s="221" t="s">
        <v>810</v>
      </c>
      <c r="P1265" s="222">
        <v>0.1</v>
      </c>
      <c r="Q1265" s="223">
        <v>2.1999999999999999E-2</v>
      </c>
      <c r="R1265" s="224">
        <v>3.0000000000001137E-2</v>
      </c>
      <c r="S1265" s="225"/>
      <c r="T1265" s="221">
        <v>6.3000000000001138E-2</v>
      </c>
      <c r="U1265" s="223">
        <v>-15.02</v>
      </c>
      <c r="V1265" s="222">
        <v>99.37</v>
      </c>
      <c r="W1265" s="222"/>
      <c r="X1265" s="227"/>
      <c r="Y1265" s="225"/>
      <c r="Z1265" s="225"/>
    </row>
    <row r="1266" spans="3:26" ht="19">
      <c r="C1266" s="219"/>
      <c r="D1266" s="505" t="s">
        <v>433</v>
      </c>
      <c r="E1266" s="1163"/>
      <c r="F1266" s="1164"/>
      <c r="G1266" s="1165"/>
      <c r="H1266" s="863" t="s">
        <v>1249</v>
      </c>
      <c r="I1266" s="1246"/>
      <c r="J1266" s="1246"/>
      <c r="K1266" s="1247"/>
      <c r="L1266" s="891"/>
      <c r="M1266" s="336"/>
      <c r="N1266" s="219"/>
      <c r="O1266" s="219"/>
      <c r="P1266" s="219"/>
      <c r="Q1266" s="219"/>
      <c r="R1266" s="228"/>
      <c r="S1266" s="229"/>
      <c r="T1266" s="219"/>
      <c r="U1266" s="219"/>
      <c r="V1266" s="219"/>
      <c r="W1266" s="219"/>
      <c r="X1266" s="229"/>
      <c r="Y1266" s="230"/>
      <c r="Z1266" s="230"/>
    </row>
    <row r="1267" spans="3:26" ht="19">
      <c r="C1267" s="219"/>
      <c r="D1267" s="505" t="s">
        <v>434</v>
      </c>
      <c r="E1267" s="1163">
        <v>0.01</v>
      </c>
      <c r="F1267" s="1164"/>
      <c r="G1267" s="1165"/>
      <c r="H1267" s="863"/>
      <c r="I1267" s="1246"/>
      <c r="J1267" s="1246"/>
      <c r="K1267" s="1247"/>
      <c r="L1267" s="891"/>
      <c r="M1267" s="336"/>
      <c r="N1267" s="219"/>
      <c r="O1267" s="231" t="s">
        <v>811</v>
      </c>
      <c r="P1267" s="232">
        <v>0.1</v>
      </c>
      <c r="Q1267" s="233">
        <v>6.4100000000000004E-2</v>
      </c>
      <c r="R1267" s="234">
        <v>3.0000000000001137E-2</v>
      </c>
      <c r="S1267" s="268">
        <v>1</v>
      </c>
      <c r="T1267" s="231">
        <v>0.12615000000000115</v>
      </c>
      <c r="U1267" s="236">
        <v>-30.075761904761638</v>
      </c>
      <c r="V1267" s="237">
        <v>60.5</v>
      </c>
      <c r="W1267" s="269">
        <v>2.39</v>
      </c>
      <c r="X1267" s="239">
        <v>71.881070952380313</v>
      </c>
      <c r="Y1267" s="240"/>
      <c r="Z1267" s="240"/>
    </row>
    <row r="1268" spans="3:26" ht="20" thickBot="1">
      <c r="C1268" s="219"/>
      <c r="D1268" s="506" t="s">
        <v>435</v>
      </c>
      <c r="E1268" s="1160">
        <v>0.64583333333333337</v>
      </c>
      <c r="F1268" s="1161"/>
      <c r="G1268" s="1162"/>
      <c r="H1268" s="865"/>
      <c r="I1268" s="1246"/>
      <c r="J1268" s="1246"/>
      <c r="K1268" s="1247"/>
      <c r="L1268" s="892">
        <v>0.875</v>
      </c>
      <c r="M1268" s="338">
        <v>0.72916666666666663</v>
      </c>
      <c r="N1268" s="219"/>
      <c r="O1268" s="241" t="s">
        <v>812</v>
      </c>
      <c r="P1268" s="242">
        <v>0.1</v>
      </c>
      <c r="Q1268" s="243">
        <v>7.6066666666665908E-2</v>
      </c>
      <c r="R1268" s="244">
        <v>3.0000000000001137E-2</v>
      </c>
      <c r="S1268" s="270">
        <v>1</v>
      </c>
      <c r="T1268" s="246">
        <v>0.14410000000000001</v>
      </c>
      <c r="U1268" s="247">
        <v>-34.355269841269219</v>
      </c>
      <c r="V1268" s="248">
        <v>60.5</v>
      </c>
      <c r="W1268" s="271">
        <v>2.08</v>
      </c>
      <c r="X1268" s="250">
        <v>71.458961269839975</v>
      </c>
      <c r="Y1268" s="251"/>
      <c r="Z1268" s="251"/>
    </row>
    <row r="1269" spans="3:26" ht="20" thickBot="1">
      <c r="C1269" s="219"/>
      <c r="D1269" s="507" t="s">
        <v>436</v>
      </c>
      <c r="E1269" s="264" t="s">
        <v>29</v>
      </c>
      <c r="F1269" s="264" t="s">
        <v>28</v>
      </c>
      <c r="G1269" s="265" t="s">
        <v>27</v>
      </c>
      <c r="H1269" s="867" t="s">
        <v>793</v>
      </c>
      <c r="I1269" s="1246"/>
      <c r="J1269" s="1246"/>
      <c r="K1269" s="1247"/>
      <c r="L1269" s="893" t="s">
        <v>1246</v>
      </c>
      <c r="M1269" s="340"/>
      <c r="N1269" s="219"/>
      <c r="O1269" s="229"/>
      <c r="P1269" s="230"/>
      <c r="Q1269" s="229"/>
      <c r="R1269" s="229"/>
      <c r="S1269" s="272"/>
      <c r="T1269" s="229"/>
      <c r="U1269" s="254"/>
      <c r="V1269" s="255"/>
      <c r="W1269" s="273"/>
      <c r="X1269" s="254"/>
      <c r="Y1269" s="230"/>
      <c r="Z1269" s="230"/>
    </row>
    <row r="1270" spans="3:26" ht="19">
      <c r="C1270" s="219"/>
      <c r="D1270" s="508">
        <v>45623</v>
      </c>
      <c r="E1270" s="266" t="s">
        <v>1230</v>
      </c>
      <c r="F1270" s="266" t="s">
        <v>1231</v>
      </c>
      <c r="G1270" s="266" t="s">
        <v>1125</v>
      </c>
      <c r="H1270" s="869">
        <v>0.3125</v>
      </c>
      <c r="I1270" s="1246"/>
      <c r="J1270" s="1246"/>
      <c r="K1270" s="1247"/>
      <c r="L1270" s="894"/>
      <c r="M1270" s="351"/>
      <c r="N1270" s="219"/>
      <c r="O1270" s="229"/>
      <c r="P1270" s="230"/>
      <c r="Q1270" s="229"/>
      <c r="R1270" s="229"/>
      <c r="S1270" s="272"/>
      <c r="T1270" s="229"/>
      <c r="U1270" s="229"/>
      <c r="V1270" s="229"/>
      <c r="W1270" s="273"/>
      <c r="X1270" s="229"/>
      <c r="Y1270" s="230"/>
      <c r="Z1270" s="230"/>
    </row>
    <row r="1271" spans="3:26" ht="19">
      <c r="C1271" s="219"/>
      <c r="D1271" s="508">
        <v>45616</v>
      </c>
      <c r="E1271" s="266" t="s">
        <v>1125</v>
      </c>
      <c r="F1271" s="266" t="s">
        <v>1030</v>
      </c>
      <c r="G1271" s="266" t="s">
        <v>1029</v>
      </c>
      <c r="H1271" s="869">
        <v>0.3125</v>
      </c>
      <c r="I1271" s="1246"/>
      <c r="J1271" s="1246"/>
      <c r="K1271" s="1247"/>
      <c r="L1271" s="894"/>
      <c r="M1271" s="351"/>
      <c r="N1271" s="219"/>
      <c r="O1271" s="221" t="s">
        <v>813</v>
      </c>
      <c r="P1271" s="274">
        <v>0.1</v>
      </c>
      <c r="Q1271" s="257">
        <v>7.6066666666665908E-2</v>
      </c>
      <c r="R1271" s="258">
        <v>3.0000000000001137E-2</v>
      </c>
      <c r="S1271" s="274">
        <v>1</v>
      </c>
      <c r="T1271" s="275">
        <v>0.14410000000000001</v>
      </c>
      <c r="U1271" s="259">
        <v>-34.355269841269219</v>
      </c>
      <c r="V1271" s="260">
        <v>60.5</v>
      </c>
      <c r="W1271" s="276">
        <v>2.08</v>
      </c>
      <c r="X1271" s="227">
        <v>71.458961269839975</v>
      </c>
      <c r="Y1271" s="261"/>
      <c r="Z1271" s="261"/>
    </row>
    <row r="1272" spans="3:26" ht="19">
      <c r="C1272" s="219"/>
      <c r="D1272" s="508">
        <v>45610</v>
      </c>
      <c r="E1272" s="266" t="s">
        <v>1029</v>
      </c>
      <c r="F1272" s="266" t="s">
        <v>1030</v>
      </c>
      <c r="G1272" s="266" t="s">
        <v>988</v>
      </c>
      <c r="H1272" s="869">
        <v>0.35416666666666669</v>
      </c>
      <c r="I1272" s="1246"/>
      <c r="J1272" s="1246"/>
      <c r="K1272" s="1247"/>
      <c r="L1272" s="894"/>
      <c r="M1272" s="351"/>
      <c r="N1272" s="219"/>
      <c r="O1272" s="221"/>
      <c r="P1272" s="262"/>
      <c r="Q1272" s="257"/>
      <c r="R1272" s="258"/>
      <c r="S1272" s="225"/>
      <c r="T1272" s="262"/>
      <c r="U1272" s="259"/>
      <c r="V1272" s="260"/>
      <c r="W1272" s="225"/>
      <c r="X1272" s="227"/>
      <c r="Y1272" s="261"/>
      <c r="Z1272" s="261"/>
    </row>
    <row r="1273" spans="3:26" ht="19">
      <c r="C1273" s="219"/>
      <c r="D1273" s="508">
        <v>45602</v>
      </c>
      <c r="E1273" s="266" t="s">
        <v>988</v>
      </c>
      <c r="F1273" s="266" t="s">
        <v>989</v>
      </c>
      <c r="G1273" s="266" t="s">
        <v>990</v>
      </c>
      <c r="H1273" s="869">
        <v>0.35416666666666669</v>
      </c>
      <c r="I1273" s="1246"/>
      <c r="J1273" s="1246"/>
      <c r="K1273" s="1247"/>
      <c r="L1273" s="894"/>
      <c r="M1273" s="351"/>
      <c r="N1273" s="219"/>
      <c r="O1273" s="221"/>
      <c r="P1273" s="262"/>
      <c r="Q1273" s="257"/>
      <c r="R1273" s="258"/>
      <c r="S1273" s="225"/>
      <c r="T1273" s="262"/>
      <c r="U1273" s="259"/>
      <c r="V1273" s="260"/>
      <c r="W1273" s="225"/>
      <c r="X1273" s="227"/>
      <c r="Y1273" s="261"/>
      <c r="Z1273" s="261"/>
    </row>
    <row r="1274" spans="3:26" ht="19">
      <c r="C1274" s="219"/>
      <c r="D1274" s="508">
        <v>45595</v>
      </c>
      <c r="E1274" s="266" t="s">
        <v>990</v>
      </c>
      <c r="F1274" s="266" t="s">
        <v>991</v>
      </c>
      <c r="G1274" s="266" t="s">
        <v>992</v>
      </c>
      <c r="H1274" s="869">
        <v>0.3125</v>
      </c>
      <c r="I1274" s="1246"/>
      <c r="J1274" s="1246"/>
      <c r="K1274" s="1247"/>
      <c r="L1274" s="894"/>
      <c r="M1274" s="351"/>
      <c r="N1274" s="219"/>
      <c r="O1274" s="263"/>
      <c r="P1274" s="263"/>
      <c r="Q1274" s="263"/>
      <c r="R1274" s="263"/>
      <c r="S1274" s="263"/>
      <c r="T1274" s="263"/>
      <c r="U1274" s="263"/>
      <c r="V1274" s="263"/>
      <c r="W1274" s="263"/>
      <c r="X1274" s="263"/>
      <c r="Y1274" s="263"/>
      <c r="Z1274" s="263"/>
    </row>
    <row r="1275" spans="3:26" ht="20" thickBot="1">
      <c r="C1275" s="219"/>
      <c r="D1275" s="517">
        <v>45588</v>
      </c>
      <c r="E1275" s="319" t="s">
        <v>992</v>
      </c>
      <c r="F1275" s="319" t="s">
        <v>993</v>
      </c>
      <c r="G1275" s="319" t="s">
        <v>994</v>
      </c>
      <c r="H1275" s="869">
        <v>0.3125</v>
      </c>
      <c r="I1275" s="1249"/>
      <c r="J1275" s="1249"/>
      <c r="K1275" s="1250"/>
      <c r="L1275" s="895"/>
      <c r="M1275" s="351"/>
      <c r="N1275" s="219"/>
      <c r="O1275" s="263"/>
      <c r="P1275" s="263"/>
      <c r="Q1275" s="263"/>
      <c r="R1275" s="263"/>
      <c r="S1275" s="263"/>
      <c r="T1275" s="263"/>
      <c r="U1275" s="263"/>
      <c r="V1275" s="263"/>
      <c r="W1275" s="263"/>
      <c r="X1275" s="263"/>
      <c r="Y1275" s="263"/>
      <c r="Z1275" s="263"/>
    </row>
    <row r="1276" spans="3:26" ht="20" thickBot="1">
      <c r="C1276" s="218">
        <v>10</v>
      </c>
      <c r="D1276" s="498" t="s">
        <v>30</v>
      </c>
      <c r="E1276" s="1147" t="s">
        <v>1152</v>
      </c>
      <c r="F1276" s="1148"/>
      <c r="G1276" s="1149"/>
      <c r="H1276" s="861" t="s">
        <v>790</v>
      </c>
      <c r="I1276" s="1256" t="s">
        <v>633</v>
      </c>
      <c r="J1276" s="1256"/>
      <c r="K1276" s="1257"/>
      <c r="L1276" s="890" t="s">
        <v>430</v>
      </c>
      <c r="M1276" s="333" t="s">
        <v>431</v>
      </c>
      <c r="N1276" s="219" t="s">
        <v>105</v>
      </c>
      <c r="O1276" s="220" t="s">
        <v>800</v>
      </c>
      <c r="P1276" s="220" t="s">
        <v>801</v>
      </c>
      <c r="Q1276" s="220" t="s">
        <v>802</v>
      </c>
      <c r="R1276" s="220" t="s">
        <v>803</v>
      </c>
      <c r="S1276" s="220" t="s">
        <v>804</v>
      </c>
      <c r="T1276" s="220" t="s">
        <v>805</v>
      </c>
      <c r="U1276" s="220" t="s">
        <v>806</v>
      </c>
      <c r="V1276" s="220" t="s">
        <v>807</v>
      </c>
      <c r="W1276" s="220" t="s">
        <v>808</v>
      </c>
      <c r="X1276" s="220" t="s">
        <v>809</v>
      </c>
      <c r="Y1276" s="220" t="s">
        <v>75</v>
      </c>
      <c r="Z1276" s="220" t="s">
        <v>75</v>
      </c>
    </row>
    <row r="1277" spans="3:26" ht="19">
      <c r="C1277" s="219"/>
      <c r="D1277" s="504" t="s">
        <v>432</v>
      </c>
      <c r="E1277" s="1150"/>
      <c r="F1277" s="1151"/>
      <c r="G1277" s="1152"/>
      <c r="H1277" s="863" t="s">
        <v>909</v>
      </c>
      <c r="I1277" s="1243" t="s">
        <v>1153</v>
      </c>
      <c r="J1277" s="1243"/>
      <c r="K1277" s="1244"/>
      <c r="L1277" s="891"/>
      <c r="M1277" s="335" t="s">
        <v>1152</v>
      </c>
      <c r="N1277" s="219"/>
      <c r="O1277" s="221" t="s">
        <v>810</v>
      </c>
      <c r="P1277" s="222">
        <v>0.1</v>
      </c>
      <c r="Q1277" s="223">
        <v>3.4000000000000002E-2</v>
      </c>
      <c r="R1277" s="224">
        <v>3.4999999999996589E-2</v>
      </c>
      <c r="S1277" s="225"/>
      <c r="T1277" s="221">
        <v>8.5999999999996593E-2</v>
      </c>
      <c r="U1277" s="223">
        <v>-20.67</v>
      </c>
      <c r="V1277" s="222">
        <v>91.8</v>
      </c>
      <c r="W1277" s="226">
        <v>2</v>
      </c>
      <c r="X1277" s="227">
        <v>41.34</v>
      </c>
      <c r="Y1277" s="225"/>
      <c r="Z1277" s="225"/>
    </row>
    <row r="1278" spans="3:26" ht="19">
      <c r="C1278" s="219"/>
      <c r="D1278" s="505" t="s">
        <v>433</v>
      </c>
      <c r="E1278" s="1163"/>
      <c r="F1278" s="1164"/>
      <c r="G1278" s="1165"/>
      <c r="H1278" s="863" t="s">
        <v>910</v>
      </c>
      <c r="I1278" s="1246"/>
      <c r="J1278" s="1246"/>
      <c r="K1278" s="1247"/>
      <c r="L1278" s="891"/>
      <c r="M1278" s="336"/>
      <c r="N1278" s="219"/>
      <c r="O1278" s="219"/>
      <c r="P1278" s="219"/>
      <c r="Q1278" s="219"/>
      <c r="R1278" s="228"/>
      <c r="S1278" s="229"/>
      <c r="T1278" s="219"/>
      <c r="U1278" s="219"/>
      <c r="V1278" s="219"/>
      <c r="W1278" s="229"/>
      <c r="X1278" s="229"/>
      <c r="Y1278" s="230"/>
      <c r="Z1278" s="230"/>
    </row>
    <row r="1279" spans="3:26" ht="19">
      <c r="C1279" s="219"/>
      <c r="D1279" s="505" t="s">
        <v>434</v>
      </c>
      <c r="E1279" s="1178">
        <v>0</v>
      </c>
      <c r="F1279" s="1179"/>
      <c r="G1279" s="1180"/>
      <c r="H1279" s="863"/>
      <c r="I1279" s="1246"/>
      <c r="J1279" s="1246"/>
      <c r="K1279" s="1247"/>
      <c r="L1279" s="891"/>
      <c r="M1279" s="336"/>
      <c r="N1279" s="219"/>
      <c r="O1279" s="231" t="s">
        <v>811</v>
      </c>
      <c r="P1279" s="232">
        <v>0.1</v>
      </c>
      <c r="Q1279" s="233">
        <v>6.0900000000000003E-2</v>
      </c>
      <c r="R1279" s="234">
        <v>0.03</v>
      </c>
      <c r="S1279" s="235">
        <v>1</v>
      </c>
      <c r="T1279" s="231">
        <v>0.12135</v>
      </c>
      <c r="U1279" s="236">
        <v>-29.166331395349996</v>
      </c>
      <c r="V1279" s="237">
        <v>60.5</v>
      </c>
      <c r="W1279" s="238">
        <v>5.1100000000000003</v>
      </c>
      <c r="X1279" s="239">
        <v>149.03995343023848</v>
      </c>
      <c r="Y1279" s="240"/>
      <c r="Z1279" s="240">
        <v>4.4350000000000005</v>
      </c>
    </row>
    <row r="1280" spans="3:26" ht="20" thickBot="1">
      <c r="C1280" s="219"/>
      <c r="D1280" s="506" t="s">
        <v>435</v>
      </c>
      <c r="E1280" s="1160">
        <v>0.64583333333333337</v>
      </c>
      <c r="F1280" s="1161"/>
      <c r="G1280" s="1162"/>
      <c r="H1280" s="865"/>
      <c r="I1280" s="1246"/>
      <c r="J1280" s="1246"/>
      <c r="K1280" s="1247"/>
      <c r="L1280" s="892">
        <v>0.875</v>
      </c>
      <c r="M1280" s="338">
        <v>0.72916666666666663</v>
      </c>
      <c r="N1280" s="219"/>
      <c r="O1280" s="241" t="s">
        <v>812</v>
      </c>
      <c r="P1280" s="242">
        <v>0.1</v>
      </c>
      <c r="Q1280" s="243">
        <v>7.0866666666666675E-2</v>
      </c>
      <c r="R1280" s="244">
        <v>0.03</v>
      </c>
      <c r="S1280" s="245">
        <v>1</v>
      </c>
      <c r="T1280" s="246">
        <v>0.1363</v>
      </c>
      <c r="U1280" s="247">
        <v>-32.75954651162921</v>
      </c>
      <c r="V1280" s="248">
        <v>60.5</v>
      </c>
      <c r="W1280" s="277">
        <v>2.88</v>
      </c>
      <c r="X1280" s="250">
        <v>94.347493953492119</v>
      </c>
      <c r="Y1280" s="251"/>
      <c r="Z1280" s="251"/>
    </row>
    <row r="1281" spans="3:26" ht="20" thickBot="1">
      <c r="C1281" s="219"/>
      <c r="D1281" s="507" t="s">
        <v>436</v>
      </c>
      <c r="E1281" s="264" t="s">
        <v>29</v>
      </c>
      <c r="F1281" s="264" t="s">
        <v>28</v>
      </c>
      <c r="G1281" s="265" t="s">
        <v>27</v>
      </c>
      <c r="H1281" s="867" t="s">
        <v>793</v>
      </c>
      <c r="I1281" s="1246"/>
      <c r="J1281" s="1246"/>
      <c r="K1281" s="1247"/>
      <c r="L1281" s="893" t="s">
        <v>1246</v>
      </c>
      <c r="M1281" s="340"/>
      <c r="N1281" s="219"/>
      <c r="O1281" s="229"/>
      <c r="P1281" s="230"/>
      <c r="Q1281" s="229"/>
      <c r="R1281" s="229"/>
      <c r="S1281" s="229"/>
      <c r="T1281" s="229"/>
      <c r="U1281" s="254"/>
      <c r="V1281" s="255"/>
      <c r="W1281" s="229"/>
      <c r="X1281" s="254"/>
      <c r="Y1281" s="230"/>
      <c r="Z1281" s="230"/>
    </row>
    <row r="1282" spans="3:26" ht="18">
      <c r="C1282" s="219"/>
      <c r="D1282" s="508">
        <v>45610</v>
      </c>
      <c r="E1282" s="266">
        <v>0</v>
      </c>
      <c r="F1282" s="266">
        <v>0</v>
      </c>
      <c r="G1282" s="266">
        <v>0</v>
      </c>
      <c r="H1282" s="869">
        <v>0.51041666666666663</v>
      </c>
      <c r="I1282" s="1246"/>
      <c r="J1282" s="1246"/>
      <c r="K1282" s="1247"/>
      <c r="L1282" s="894"/>
      <c r="M1282" s="342"/>
      <c r="N1282" s="219"/>
      <c r="O1282" s="229"/>
      <c r="P1282" s="230"/>
      <c r="Q1282" s="229"/>
      <c r="R1282" s="229"/>
      <c r="S1282" s="229"/>
      <c r="T1282" s="229"/>
      <c r="U1282" s="229"/>
      <c r="V1282" s="229"/>
      <c r="W1282" s="229"/>
      <c r="X1282" s="229"/>
      <c r="Y1282" s="230"/>
      <c r="Z1282" s="230"/>
    </row>
    <row r="1283" spans="3:26" ht="18">
      <c r="C1283" s="219"/>
      <c r="D1283" s="508">
        <v>45565</v>
      </c>
      <c r="E1283" s="266">
        <v>0</v>
      </c>
      <c r="F1283" s="266">
        <v>0</v>
      </c>
      <c r="G1283" s="266">
        <v>0</v>
      </c>
      <c r="H1283" s="869">
        <v>0.51041666666666663</v>
      </c>
      <c r="I1283" s="1246"/>
      <c r="J1283" s="1246"/>
      <c r="K1283" s="1247"/>
      <c r="L1283" s="894"/>
      <c r="M1283" s="343"/>
      <c r="N1283" s="219"/>
      <c r="O1283" s="221" t="s">
        <v>813</v>
      </c>
      <c r="P1283" s="222">
        <v>0.05</v>
      </c>
      <c r="Q1283" s="257">
        <v>6.5883333333333335E-2</v>
      </c>
      <c r="R1283" s="258">
        <v>0.03</v>
      </c>
      <c r="S1283" s="225">
        <v>1.5</v>
      </c>
      <c r="T1283" s="231">
        <v>0.128825</v>
      </c>
      <c r="U1283" s="259">
        <v>-23.222204215117198</v>
      </c>
      <c r="V1283" s="260">
        <v>30.25</v>
      </c>
      <c r="W1283" s="225">
        <v>1</v>
      </c>
      <c r="X1283" s="227">
        <v>23.222204215117198</v>
      </c>
      <c r="Y1283" s="261"/>
      <c r="Z1283" s="261"/>
    </row>
    <row r="1284" spans="3:26" ht="18">
      <c r="C1284" s="219"/>
      <c r="D1284" s="508">
        <v>45561</v>
      </c>
      <c r="E1284" s="266">
        <v>0</v>
      </c>
      <c r="F1284" s="266">
        <v>0</v>
      </c>
      <c r="G1284" s="266">
        <v>0</v>
      </c>
      <c r="H1284" s="869">
        <v>0.51041666666666663</v>
      </c>
      <c r="I1284" s="1246"/>
      <c r="J1284" s="1246"/>
      <c r="K1284" s="1247"/>
      <c r="L1284" s="894"/>
      <c r="M1284" s="336"/>
      <c r="N1284" s="219"/>
      <c r="O1284" s="221" t="s">
        <v>813</v>
      </c>
      <c r="P1284" s="222">
        <v>0.05</v>
      </c>
      <c r="Q1284" s="257">
        <v>7.0866666666666675E-2</v>
      </c>
      <c r="R1284" s="258">
        <v>0.03</v>
      </c>
      <c r="S1284" s="225">
        <v>1.5</v>
      </c>
      <c r="T1284" s="231">
        <v>0.1363</v>
      </c>
      <c r="U1284" s="259">
        <v>-24.569659883721908</v>
      </c>
      <c r="V1284" s="260">
        <v>30.25</v>
      </c>
      <c r="W1284" s="225">
        <v>1</v>
      </c>
      <c r="X1284" s="227">
        <v>24.569659883721908</v>
      </c>
      <c r="Y1284" s="261"/>
      <c r="Z1284" s="261"/>
    </row>
    <row r="1285" spans="3:26" ht="18">
      <c r="C1285" s="219"/>
      <c r="D1285" s="508">
        <v>45527</v>
      </c>
      <c r="E1285" s="266">
        <v>0</v>
      </c>
      <c r="F1285" s="266">
        <v>0</v>
      </c>
      <c r="G1285" s="266">
        <v>0</v>
      </c>
      <c r="H1285" s="869">
        <v>0.51041666666666663</v>
      </c>
      <c r="I1285" s="1246"/>
      <c r="J1285" s="1246"/>
      <c r="K1285" s="1247"/>
      <c r="L1285" s="894"/>
      <c r="M1285" s="336"/>
      <c r="N1285" s="219"/>
      <c r="O1285" s="221"/>
      <c r="P1285" s="262"/>
      <c r="Q1285" s="257"/>
      <c r="R1285" s="258"/>
      <c r="S1285" s="225"/>
      <c r="T1285" s="262"/>
      <c r="U1285" s="259"/>
      <c r="V1285" s="260"/>
      <c r="W1285" s="225"/>
      <c r="X1285" s="227"/>
      <c r="Y1285" s="261"/>
      <c r="Z1285" s="261"/>
    </row>
    <row r="1286" spans="3:26" ht="18">
      <c r="C1286" s="219"/>
      <c r="D1286" s="508">
        <v>45488</v>
      </c>
      <c r="E1286" s="266">
        <v>0</v>
      </c>
      <c r="F1286" s="266">
        <v>0</v>
      </c>
      <c r="G1286" s="266">
        <v>0</v>
      </c>
      <c r="H1286" s="869">
        <v>0.51041666666666663</v>
      </c>
      <c r="I1286" s="1246"/>
      <c r="J1286" s="1246"/>
      <c r="K1286" s="1247"/>
      <c r="L1286" s="894"/>
      <c r="M1286" s="336"/>
      <c r="N1286" s="219"/>
      <c r="O1286" s="263"/>
      <c r="P1286" s="263"/>
      <c r="Q1286" s="263"/>
      <c r="R1286" s="263"/>
      <c r="S1286" s="263"/>
      <c r="T1286" s="263"/>
      <c r="U1286" s="263"/>
      <c r="V1286" s="263"/>
      <c r="W1286" s="263"/>
      <c r="X1286" s="263"/>
      <c r="Y1286" s="263"/>
      <c r="Z1286" s="263"/>
    </row>
    <row r="1287" spans="3:26" ht="19" thickBot="1">
      <c r="C1287" s="219"/>
      <c r="D1287" s="517">
        <v>45475</v>
      </c>
      <c r="E1287" s="319">
        <v>0</v>
      </c>
      <c r="F1287" s="319">
        <v>0</v>
      </c>
      <c r="G1287" s="319">
        <v>0</v>
      </c>
      <c r="H1287" s="889">
        <v>0.55208333333333337</v>
      </c>
      <c r="I1287" s="1249"/>
      <c r="J1287" s="1249"/>
      <c r="K1287" s="1250"/>
      <c r="L1287" s="895"/>
      <c r="M1287" s="344"/>
      <c r="N1287" s="219"/>
      <c r="O1287" s="263"/>
      <c r="P1287" s="263"/>
      <c r="Q1287" s="263"/>
      <c r="R1287" s="263"/>
      <c r="S1287" s="263"/>
      <c r="T1287" s="263"/>
      <c r="U1287" s="263"/>
      <c r="V1287" s="263"/>
      <c r="W1287" s="263"/>
      <c r="X1287" s="263"/>
      <c r="Y1287" s="263"/>
      <c r="Z1287" s="263"/>
    </row>
    <row r="1288" spans="3:26" ht="20" thickBot="1">
      <c r="C1288" s="218">
        <v>11</v>
      </c>
      <c r="D1288" s="509" t="s">
        <v>30</v>
      </c>
      <c r="E1288" s="1374" t="s">
        <v>1154</v>
      </c>
      <c r="F1288" s="1375"/>
      <c r="G1288" s="1376"/>
      <c r="H1288" s="861" t="s">
        <v>790</v>
      </c>
      <c r="I1288" s="1256" t="s">
        <v>633</v>
      </c>
      <c r="J1288" s="1256"/>
      <c r="K1288" s="1257"/>
      <c r="L1288" s="890" t="s">
        <v>430</v>
      </c>
      <c r="M1288" s="347" t="s">
        <v>431</v>
      </c>
      <c r="N1288" s="219" t="s">
        <v>105</v>
      </c>
      <c r="O1288" s="220" t="s">
        <v>800</v>
      </c>
      <c r="P1288" s="220" t="s">
        <v>801</v>
      </c>
      <c r="Q1288" s="220" t="s">
        <v>802</v>
      </c>
      <c r="R1288" s="220" t="s">
        <v>803</v>
      </c>
      <c r="S1288" s="220" t="s">
        <v>804</v>
      </c>
      <c r="T1288" s="220" t="s">
        <v>805</v>
      </c>
      <c r="U1288" s="220" t="s">
        <v>806</v>
      </c>
      <c r="V1288" s="220" t="s">
        <v>807</v>
      </c>
      <c r="W1288" s="220" t="s">
        <v>808</v>
      </c>
      <c r="X1288" s="220" t="s">
        <v>809</v>
      </c>
      <c r="Y1288" s="220" t="s">
        <v>75</v>
      </c>
      <c r="Z1288" s="220" t="s">
        <v>75</v>
      </c>
    </row>
    <row r="1289" spans="3:26" ht="19">
      <c r="C1289" s="219"/>
      <c r="D1289" s="518" t="s">
        <v>432</v>
      </c>
      <c r="E1289" s="1377"/>
      <c r="F1289" s="1378"/>
      <c r="G1289" s="1379"/>
      <c r="H1289" s="863" t="s">
        <v>909</v>
      </c>
      <c r="I1289" s="1243" t="s">
        <v>1153</v>
      </c>
      <c r="J1289" s="1243"/>
      <c r="K1289" s="1244"/>
      <c r="L1289" s="891"/>
      <c r="M1289" s="335" t="s">
        <v>1154</v>
      </c>
      <c r="N1289" s="219"/>
      <c r="O1289" s="221" t="s">
        <v>810</v>
      </c>
      <c r="P1289" s="222">
        <v>0.1</v>
      </c>
      <c r="Q1289" s="223">
        <v>3.4000000000000002E-2</v>
      </c>
      <c r="R1289" s="224">
        <v>1.5000000000014779E-2</v>
      </c>
      <c r="S1289" s="225"/>
      <c r="T1289" s="221">
        <v>6.6000000000014783E-2</v>
      </c>
      <c r="U1289" s="223">
        <v>-16.5</v>
      </c>
      <c r="V1289" s="222">
        <v>60.5</v>
      </c>
      <c r="W1289" s="226">
        <v>2</v>
      </c>
      <c r="X1289" s="227">
        <v>33</v>
      </c>
      <c r="Y1289" s="225"/>
      <c r="Z1289" s="225"/>
    </row>
    <row r="1290" spans="3:26" ht="19">
      <c r="C1290" s="219"/>
      <c r="D1290" s="519" t="s">
        <v>433</v>
      </c>
      <c r="E1290" s="1380"/>
      <c r="F1290" s="1381"/>
      <c r="G1290" s="1382"/>
      <c r="H1290" s="863" t="s">
        <v>910</v>
      </c>
      <c r="I1290" s="1246"/>
      <c r="J1290" s="1246"/>
      <c r="K1290" s="1247"/>
      <c r="L1290" s="891"/>
      <c r="M1290" s="336"/>
      <c r="N1290" s="219"/>
      <c r="O1290" s="219"/>
      <c r="P1290" s="219"/>
      <c r="Q1290" s="219"/>
      <c r="R1290" s="228"/>
      <c r="S1290" s="229"/>
      <c r="T1290" s="219"/>
      <c r="U1290" s="219"/>
      <c r="V1290" s="219"/>
      <c r="W1290" s="219"/>
      <c r="X1290" s="229"/>
      <c r="Y1290" s="229"/>
      <c r="Z1290" s="229"/>
    </row>
    <row r="1291" spans="3:26" ht="19">
      <c r="C1291" s="219"/>
      <c r="D1291" s="519" t="s">
        <v>434</v>
      </c>
      <c r="E1291" s="1380">
        <v>3.4000000000000002E-2</v>
      </c>
      <c r="F1291" s="1381"/>
      <c r="G1291" s="1382"/>
      <c r="H1291" s="863"/>
      <c r="I1291" s="1246"/>
      <c r="J1291" s="1246"/>
      <c r="K1291" s="1247"/>
      <c r="L1291" s="891"/>
      <c r="M1291" s="336"/>
      <c r="N1291" s="219"/>
      <c r="O1291" s="231" t="s">
        <v>811</v>
      </c>
      <c r="P1291" s="232">
        <v>0.1</v>
      </c>
      <c r="Q1291" s="233">
        <v>5.6660000000000002E-2</v>
      </c>
      <c r="R1291" s="234">
        <v>1.9E-2</v>
      </c>
      <c r="S1291" s="235">
        <v>1</v>
      </c>
      <c r="T1291" s="231">
        <v>0.10399000000000001</v>
      </c>
      <c r="U1291" s="236">
        <v>-25.997499999994179</v>
      </c>
      <c r="V1291" s="237">
        <v>60.5</v>
      </c>
      <c r="W1291" s="238">
        <v>5.7</v>
      </c>
      <c r="X1291" s="239">
        <v>148.18574999996682</v>
      </c>
      <c r="Y1291" s="240"/>
      <c r="Z1291" s="240"/>
    </row>
    <row r="1292" spans="3:26" ht="20" thickBot="1">
      <c r="C1292" s="219"/>
      <c r="D1292" s="520" t="s">
        <v>435</v>
      </c>
      <c r="E1292" s="1386">
        <v>0.55208333333333337</v>
      </c>
      <c r="F1292" s="1387"/>
      <c r="G1292" s="1388"/>
      <c r="H1292" s="865"/>
      <c r="I1292" s="1246"/>
      <c r="J1292" s="1246"/>
      <c r="K1292" s="1247"/>
      <c r="L1292" s="892">
        <v>0.78125</v>
      </c>
      <c r="M1292" s="338">
        <v>0.63541666666666663</v>
      </c>
      <c r="N1292" s="219"/>
      <c r="O1292" s="241" t="s">
        <v>812</v>
      </c>
      <c r="P1292" s="242">
        <v>0.1</v>
      </c>
      <c r="Q1292" s="243">
        <v>6.253333333333333E-2</v>
      </c>
      <c r="R1292" s="244">
        <v>1.9E-2</v>
      </c>
      <c r="S1292" s="245">
        <v>1</v>
      </c>
      <c r="T1292" s="246">
        <v>0.1128</v>
      </c>
      <c r="U1292" s="247">
        <v>-28.199999999993683</v>
      </c>
      <c r="V1292" s="248">
        <v>60.5</v>
      </c>
      <c r="W1292" s="277">
        <v>3.6</v>
      </c>
      <c r="X1292" s="250">
        <v>101.51999999997726</v>
      </c>
      <c r="Y1292" s="251"/>
      <c r="Z1292" s="251"/>
    </row>
    <row r="1293" spans="3:26" ht="20" thickBot="1">
      <c r="C1293" s="219"/>
      <c r="D1293" s="521" t="s">
        <v>436</v>
      </c>
      <c r="E1293" s="320" t="s">
        <v>29</v>
      </c>
      <c r="F1293" s="320" t="s">
        <v>28</v>
      </c>
      <c r="G1293" s="321" t="s">
        <v>27</v>
      </c>
      <c r="H1293" s="867" t="s">
        <v>793</v>
      </c>
      <c r="I1293" s="1246"/>
      <c r="J1293" s="1246"/>
      <c r="K1293" s="1247"/>
      <c r="L1293" s="893" t="s">
        <v>1246</v>
      </c>
      <c r="M1293" s="352"/>
      <c r="N1293" s="219"/>
      <c r="O1293" s="229"/>
      <c r="P1293" s="230"/>
      <c r="Q1293" s="229"/>
      <c r="R1293" s="229"/>
      <c r="S1293" s="229"/>
      <c r="T1293" s="229"/>
      <c r="U1293" s="254"/>
      <c r="V1293" s="255"/>
      <c r="W1293" s="229"/>
      <c r="X1293" s="254"/>
      <c r="Y1293" s="230"/>
      <c r="Z1293" s="230"/>
    </row>
    <row r="1294" spans="3:26" ht="19">
      <c r="C1294" s="219"/>
      <c r="D1294" s="522">
        <v>45623</v>
      </c>
      <c r="E1294" s="353" t="s">
        <v>1111</v>
      </c>
      <c r="F1294" s="353" t="s">
        <v>1232</v>
      </c>
      <c r="G1294" s="353" t="s">
        <v>1232</v>
      </c>
      <c r="H1294" s="869">
        <v>0.51041666666666663</v>
      </c>
      <c r="I1294" s="1246"/>
      <c r="J1294" s="1246"/>
      <c r="K1294" s="1247"/>
      <c r="L1294" s="894"/>
      <c r="M1294" s="342"/>
      <c r="N1294" s="219"/>
      <c r="O1294" s="229"/>
      <c r="P1294" s="230"/>
      <c r="Q1294" s="229"/>
      <c r="R1294" s="229"/>
      <c r="S1294" s="229"/>
      <c r="T1294" s="229"/>
      <c r="U1294" s="229"/>
      <c r="V1294" s="229"/>
      <c r="W1294" s="229"/>
      <c r="X1294" s="229"/>
      <c r="Y1294" s="230"/>
      <c r="Z1294" s="230"/>
    </row>
    <row r="1295" spans="3:26" ht="19">
      <c r="C1295" s="219"/>
      <c r="D1295" s="522">
        <v>45617</v>
      </c>
      <c r="E1295" s="353" t="s">
        <v>1111</v>
      </c>
      <c r="F1295" s="353" t="s">
        <v>1112</v>
      </c>
      <c r="G1295" s="353" t="s">
        <v>987</v>
      </c>
      <c r="H1295" s="869">
        <v>0.51041666666666663</v>
      </c>
      <c r="I1295" s="1246"/>
      <c r="J1295" s="1246"/>
      <c r="K1295" s="1247"/>
      <c r="L1295" s="894"/>
      <c r="M1295" s="343"/>
      <c r="N1295" s="219"/>
      <c r="O1295" s="221" t="s">
        <v>813</v>
      </c>
      <c r="P1295" s="222">
        <v>-0.1</v>
      </c>
      <c r="Q1295" s="257">
        <v>5.1064444444444447E-2</v>
      </c>
      <c r="R1295" s="258">
        <v>1.9E-2</v>
      </c>
      <c r="S1295" s="225">
        <v>-1</v>
      </c>
      <c r="T1295" s="231">
        <v>9.5596666666666677E-2</v>
      </c>
      <c r="U1295" s="259">
        <v>-23.899166666661316</v>
      </c>
      <c r="V1295" s="260">
        <v>60.5</v>
      </c>
      <c r="W1295" s="225">
        <v>2</v>
      </c>
      <c r="X1295" s="227">
        <v>47.798333333322631</v>
      </c>
      <c r="Y1295" s="261" t="s">
        <v>814</v>
      </c>
      <c r="Z1295" s="261"/>
    </row>
    <row r="1296" spans="3:26" ht="19">
      <c r="C1296" s="219"/>
      <c r="D1296" s="522">
        <v>45610</v>
      </c>
      <c r="E1296" s="353" t="s">
        <v>1031</v>
      </c>
      <c r="F1296" s="353" t="s">
        <v>1032</v>
      </c>
      <c r="G1296" s="353" t="s">
        <v>972</v>
      </c>
      <c r="H1296" s="869">
        <v>0.51041666666666663</v>
      </c>
      <c r="I1296" s="1246"/>
      <c r="J1296" s="1246"/>
      <c r="K1296" s="1247"/>
      <c r="L1296" s="894"/>
      <c r="M1296" s="336"/>
      <c r="N1296" s="219"/>
      <c r="O1296" s="221" t="s">
        <v>813</v>
      </c>
      <c r="P1296" s="354">
        <v>0.1</v>
      </c>
      <c r="Q1296" s="355">
        <v>5.1064444444444447E-2</v>
      </c>
      <c r="R1296" s="258">
        <v>0</v>
      </c>
      <c r="S1296" s="356">
        <v>1</v>
      </c>
      <c r="T1296" s="231">
        <v>9.5596666666666677E-2</v>
      </c>
      <c r="U1296" s="259">
        <v>-23.899166666661316</v>
      </c>
      <c r="V1296" s="260">
        <v>60.5</v>
      </c>
      <c r="W1296" s="357">
        <v>2</v>
      </c>
      <c r="X1296" s="227">
        <v>47.798333333322631</v>
      </c>
      <c r="Y1296" s="225" t="s">
        <v>814</v>
      </c>
      <c r="Z1296" s="225"/>
    </row>
    <row r="1297" spans="3:26" ht="19">
      <c r="C1297" s="219"/>
      <c r="D1297" s="522">
        <v>45603</v>
      </c>
      <c r="E1297" s="353" t="s">
        <v>972</v>
      </c>
      <c r="F1297" s="353" t="s">
        <v>973</v>
      </c>
      <c r="G1297" s="353" t="s">
        <v>974</v>
      </c>
      <c r="H1297" s="869">
        <v>0.51041666666666663</v>
      </c>
      <c r="I1297" s="1246"/>
      <c r="J1297" s="1246"/>
      <c r="K1297" s="1247"/>
      <c r="L1297" s="894"/>
      <c r="M1297" s="336"/>
      <c r="N1297" s="219"/>
      <c r="O1297" s="221"/>
      <c r="P1297" s="221"/>
      <c r="Q1297" s="355"/>
      <c r="R1297" s="258"/>
      <c r="S1297" s="225"/>
      <c r="T1297" s="221"/>
      <c r="U1297" s="259"/>
      <c r="V1297" s="260"/>
      <c r="W1297" s="225"/>
      <c r="X1297" s="227"/>
      <c r="Y1297" s="225"/>
      <c r="Z1297" s="225"/>
    </row>
    <row r="1298" spans="3:26" ht="19">
      <c r="C1298" s="219"/>
      <c r="D1298" s="522">
        <v>45596</v>
      </c>
      <c r="E1298" s="353" t="s">
        <v>975</v>
      </c>
      <c r="F1298" s="353" t="s">
        <v>976</v>
      </c>
      <c r="G1298" s="353" t="s">
        <v>977</v>
      </c>
      <c r="H1298" s="869">
        <v>0.51041666666666663</v>
      </c>
      <c r="I1298" s="1246"/>
      <c r="J1298" s="1246"/>
      <c r="K1298" s="1247"/>
      <c r="L1298" s="894"/>
      <c r="M1298" s="336"/>
      <c r="N1298" s="219"/>
      <c r="O1298" s="263"/>
      <c r="P1298" s="263"/>
      <c r="Q1298" s="263"/>
      <c r="R1298" s="263"/>
      <c r="S1298" s="263"/>
      <c r="T1298" s="263"/>
      <c r="U1298" s="263"/>
      <c r="V1298" s="263"/>
      <c r="W1298" s="263"/>
      <c r="X1298" s="263"/>
      <c r="Y1298" s="263"/>
      <c r="Z1298" s="263"/>
    </row>
    <row r="1299" spans="3:26" ht="20" thickBot="1">
      <c r="C1299" s="219"/>
      <c r="D1299" s="523">
        <v>45589</v>
      </c>
      <c r="E1299" s="358" t="s">
        <v>978</v>
      </c>
      <c r="F1299" s="358" t="s">
        <v>979</v>
      </c>
      <c r="G1299" s="358" t="s">
        <v>980</v>
      </c>
      <c r="H1299" s="889">
        <v>0.55208333333333337</v>
      </c>
      <c r="I1299" s="1249"/>
      <c r="J1299" s="1249"/>
      <c r="K1299" s="1250"/>
      <c r="L1299" s="895"/>
      <c r="M1299" s="344"/>
      <c r="N1299" s="219"/>
      <c r="O1299" s="263"/>
      <c r="P1299" s="263"/>
      <c r="Q1299" s="263"/>
      <c r="R1299" s="263"/>
      <c r="S1299" s="263"/>
      <c r="T1299" s="263"/>
      <c r="U1299" s="263"/>
      <c r="V1299" s="263"/>
      <c r="W1299" s="263"/>
      <c r="X1299" s="263"/>
      <c r="Y1299" s="263"/>
      <c r="Z1299" s="263"/>
    </row>
    <row r="1300" spans="3:26" ht="20" thickBot="1">
      <c r="C1300" s="218">
        <v>12</v>
      </c>
      <c r="D1300" s="509" t="s">
        <v>30</v>
      </c>
      <c r="E1300" s="1374" t="s">
        <v>14</v>
      </c>
      <c r="F1300" s="1375"/>
      <c r="G1300" s="1376"/>
      <c r="H1300" s="861" t="s">
        <v>790</v>
      </c>
      <c r="I1300" s="1256" t="s">
        <v>633</v>
      </c>
      <c r="J1300" s="1256"/>
      <c r="K1300" s="1257"/>
      <c r="L1300" s="890" t="s">
        <v>430</v>
      </c>
      <c r="M1300" s="347" t="s">
        <v>431</v>
      </c>
      <c r="N1300" s="219" t="s">
        <v>105</v>
      </c>
      <c r="O1300" s="220" t="s">
        <v>800</v>
      </c>
      <c r="P1300" s="220" t="s">
        <v>801</v>
      </c>
      <c r="Q1300" s="220" t="s">
        <v>802</v>
      </c>
      <c r="R1300" s="220" t="s">
        <v>803</v>
      </c>
      <c r="S1300" s="220" t="s">
        <v>804</v>
      </c>
      <c r="T1300" s="220" t="s">
        <v>805</v>
      </c>
      <c r="U1300" s="220" t="s">
        <v>806</v>
      </c>
      <c r="V1300" s="220" t="s">
        <v>807</v>
      </c>
      <c r="W1300" s="220" t="s">
        <v>808</v>
      </c>
      <c r="X1300" s="220" t="s">
        <v>809</v>
      </c>
      <c r="Y1300" s="220" t="s">
        <v>75</v>
      </c>
      <c r="Z1300" s="220" t="s">
        <v>75</v>
      </c>
    </row>
    <row r="1301" spans="3:26" ht="19">
      <c r="C1301" s="219"/>
      <c r="D1301" s="518" t="s">
        <v>432</v>
      </c>
      <c r="E1301" s="1377"/>
      <c r="F1301" s="1378"/>
      <c r="G1301" s="1379"/>
      <c r="H1301" s="863" t="s">
        <v>794</v>
      </c>
      <c r="I1301" s="1243" t="s">
        <v>1155</v>
      </c>
      <c r="J1301" s="1243"/>
      <c r="K1301" s="1244"/>
      <c r="L1301" s="891"/>
      <c r="M1301" s="335" t="s">
        <v>14</v>
      </c>
      <c r="N1301" s="219"/>
      <c r="O1301" s="221" t="s">
        <v>810</v>
      </c>
      <c r="P1301" s="222">
        <v>0.1</v>
      </c>
      <c r="Q1301" s="223">
        <v>3.5000000000000003E-2</v>
      </c>
      <c r="R1301" s="224">
        <v>3.4999999999996589E-2</v>
      </c>
      <c r="S1301" s="225">
        <v>1</v>
      </c>
      <c r="T1301" s="221">
        <v>5.9000000000010003E-2</v>
      </c>
      <c r="U1301" s="223">
        <v>-21.24</v>
      </c>
      <c r="V1301" s="222">
        <v>60.5</v>
      </c>
      <c r="W1301" s="226">
        <v>2</v>
      </c>
      <c r="X1301" s="227"/>
      <c r="Y1301" s="225"/>
      <c r="Z1301" s="225"/>
    </row>
    <row r="1302" spans="3:26" ht="19">
      <c r="C1302" s="219"/>
      <c r="D1302" s="519" t="s">
        <v>433</v>
      </c>
      <c r="E1302" s="1380"/>
      <c r="F1302" s="1381"/>
      <c r="G1302" s="1382"/>
      <c r="H1302" s="863" t="s">
        <v>795</v>
      </c>
      <c r="I1302" s="1246"/>
      <c r="J1302" s="1246"/>
      <c r="K1302" s="1247"/>
      <c r="L1302" s="891"/>
      <c r="M1302" s="336"/>
      <c r="N1302" s="219"/>
      <c r="O1302" s="219"/>
      <c r="P1302" s="219"/>
      <c r="Q1302" s="219"/>
      <c r="R1302" s="228"/>
      <c r="S1302" s="229"/>
      <c r="T1302" s="219"/>
      <c r="U1302" s="219"/>
      <c r="V1302" s="219"/>
      <c r="W1302" s="219"/>
      <c r="X1302" s="229"/>
      <c r="Y1302" s="229"/>
      <c r="Z1302" s="229"/>
    </row>
    <row r="1303" spans="3:26" ht="19">
      <c r="C1303" s="219"/>
      <c r="D1303" s="519" t="s">
        <v>434</v>
      </c>
      <c r="E1303" s="1389" t="s">
        <v>381</v>
      </c>
      <c r="F1303" s="1384"/>
      <c r="G1303" s="1385"/>
      <c r="H1303" s="863"/>
      <c r="I1303" s="1246"/>
      <c r="J1303" s="1246"/>
      <c r="K1303" s="1247"/>
      <c r="L1303" s="891"/>
      <c r="M1303" s="336"/>
      <c r="N1303" s="219"/>
      <c r="O1303" s="231" t="s">
        <v>811</v>
      </c>
      <c r="P1303" s="232">
        <v>0.1</v>
      </c>
      <c r="Q1303" s="233">
        <v>6.4500000000000002E-2</v>
      </c>
      <c r="R1303" s="233">
        <v>0.03</v>
      </c>
      <c r="S1303" s="235">
        <v>1</v>
      </c>
      <c r="T1303" s="231">
        <v>0.12675</v>
      </c>
      <c r="U1303" s="236">
        <v>-45.629999999992258</v>
      </c>
      <c r="V1303" s="237">
        <v>60.5</v>
      </c>
      <c r="W1303" s="238">
        <v>3.53</v>
      </c>
      <c r="X1303" s="239">
        <v>161.07389999997267</v>
      </c>
      <c r="Y1303" s="240"/>
      <c r="Z1303" s="235"/>
    </row>
    <row r="1304" spans="3:26" ht="20" thickBot="1">
      <c r="C1304" s="219"/>
      <c r="D1304" s="520" t="s">
        <v>435</v>
      </c>
      <c r="E1304" s="1386">
        <v>0.5625</v>
      </c>
      <c r="F1304" s="1387"/>
      <c r="G1304" s="1388"/>
      <c r="H1304" s="865">
        <v>0.35416666666666663</v>
      </c>
      <c r="I1304" s="1246"/>
      <c r="J1304" s="1246"/>
      <c r="K1304" s="1247"/>
      <c r="L1304" s="892">
        <v>0.79166666666666663</v>
      </c>
      <c r="M1304" s="338">
        <v>0.64583333333333326</v>
      </c>
      <c r="N1304" s="219"/>
      <c r="O1304" s="241" t="s">
        <v>812</v>
      </c>
      <c r="P1304" s="242">
        <v>0.1</v>
      </c>
      <c r="Q1304" s="243">
        <v>6.2333333333333331E-2</v>
      </c>
      <c r="R1304" s="244">
        <v>0.03</v>
      </c>
      <c r="S1304" s="245">
        <v>1</v>
      </c>
      <c r="T1304" s="246">
        <v>0.1235</v>
      </c>
      <c r="U1304" s="247">
        <v>-44.459999999992455</v>
      </c>
      <c r="V1304" s="248">
        <v>60.5</v>
      </c>
      <c r="W1304" s="277">
        <v>1.77</v>
      </c>
      <c r="X1304" s="250">
        <v>78.694199999986651</v>
      </c>
      <c r="Y1304" s="251"/>
      <c r="Z1304" s="245"/>
    </row>
    <row r="1305" spans="3:26" ht="20" thickBot="1">
      <c r="C1305" s="219"/>
      <c r="D1305" s="521" t="s">
        <v>436</v>
      </c>
      <c r="E1305" s="320" t="s">
        <v>29</v>
      </c>
      <c r="F1305" s="320" t="s">
        <v>28</v>
      </c>
      <c r="G1305" s="321" t="s">
        <v>27</v>
      </c>
      <c r="H1305" s="867" t="s">
        <v>793</v>
      </c>
      <c r="I1305" s="1246"/>
      <c r="J1305" s="1246"/>
      <c r="K1305" s="1247"/>
      <c r="L1305" s="893" t="s">
        <v>1246</v>
      </c>
      <c r="M1305" s="352"/>
      <c r="N1305" s="219"/>
      <c r="O1305" s="229"/>
      <c r="P1305" s="230"/>
      <c r="Q1305" s="229"/>
      <c r="R1305" s="229"/>
      <c r="S1305" s="229"/>
      <c r="T1305" s="229"/>
      <c r="U1305" s="254"/>
      <c r="V1305" s="255"/>
      <c r="W1305" s="229"/>
      <c r="X1305" s="254"/>
      <c r="Y1305" s="230"/>
      <c r="Z1305" s="229"/>
    </row>
    <row r="1306" spans="3:26" ht="19">
      <c r="C1306" s="219"/>
      <c r="D1306" s="522">
        <v>45610</v>
      </c>
      <c r="E1306" s="359">
        <v>4.0000000000000001E-3</v>
      </c>
      <c r="F1306" s="359" t="s">
        <v>452</v>
      </c>
      <c r="G1306" s="359">
        <v>4.0000000000000001E-3</v>
      </c>
      <c r="H1306" s="869">
        <v>0.5625</v>
      </c>
      <c r="I1306" s="1246"/>
      <c r="J1306" s="1246"/>
      <c r="K1306" s="1247"/>
      <c r="L1306" s="894"/>
      <c r="M1306" s="342"/>
      <c r="N1306" s="219"/>
      <c r="O1306" s="229"/>
      <c r="P1306" s="230"/>
      <c r="Q1306" s="229"/>
      <c r="R1306" s="229"/>
      <c r="S1306" s="229"/>
      <c r="T1306" s="229"/>
      <c r="U1306" s="229"/>
      <c r="V1306" s="229"/>
      <c r="W1306" s="229"/>
      <c r="X1306" s="229"/>
      <c r="Y1306" s="230"/>
      <c r="Z1306" s="229"/>
    </row>
    <row r="1307" spans="3:26" ht="19">
      <c r="C1307" s="219"/>
      <c r="D1307" s="522">
        <v>45595</v>
      </c>
      <c r="E1307" s="359">
        <v>4.0000000000000001E-3</v>
      </c>
      <c r="F1307" s="359" t="s">
        <v>460</v>
      </c>
      <c r="G1307" s="359">
        <v>2E-3</v>
      </c>
      <c r="H1307" s="869">
        <v>0.5625</v>
      </c>
      <c r="I1307" s="1246"/>
      <c r="J1307" s="1246"/>
      <c r="K1307" s="1247"/>
      <c r="L1307" s="894"/>
      <c r="M1307" s="343"/>
      <c r="N1307" s="219"/>
      <c r="O1307" s="221" t="s">
        <v>813</v>
      </c>
      <c r="P1307" s="222">
        <v>-0.05</v>
      </c>
      <c r="Q1307" s="257">
        <v>5.3944444444444441E-2</v>
      </c>
      <c r="R1307" s="258">
        <v>0.03</v>
      </c>
      <c r="S1307" s="225">
        <v>-1</v>
      </c>
      <c r="T1307" s="231">
        <v>0.11091666666666666</v>
      </c>
      <c r="U1307" s="259">
        <v>-19.964999999996614</v>
      </c>
      <c r="V1307" s="260">
        <v>30.25</v>
      </c>
      <c r="W1307" s="225">
        <v>2</v>
      </c>
      <c r="X1307" s="227">
        <v>39.929999999993228</v>
      </c>
      <c r="Y1307" s="261" t="s">
        <v>814</v>
      </c>
      <c r="Z1307" s="225"/>
    </row>
    <row r="1308" spans="3:26" ht="19">
      <c r="C1308" s="219"/>
      <c r="D1308" s="522">
        <v>45541</v>
      </c>
      <c r="E1308" s="359">
        <v>2E-3</v>
      </c>
      <c r="F1308" s="359" t="s">
        <v>467</v>
      </c>
      <c r="G1308" s="359">
        <v>3.0000000000000001E-3</v>
      </c>
      <c r="H1308" s="869">
        <v>0.5625</v>
      </c>
      <c r="I1308" s="1246"/>
      <c r="J1308" s="1246"/>
      <c r="K1308" s="1247"/>
      <c r="L1308" s="894"/>
      <c r="M1308" s="336"/>
      <c r="N1308" s="219"/>
      <c r="O1308" s="221" t="s">
        <v>813</v>
      </c>
      <c r="P1308" s="354">
        <v>0.05</v>
      </c>
      <c r="Q1308" s="355">
        <v>5.3944444444444441E-2</v>
      </c>
      <c r="R1308" s="258">
        <v>0</v>
      </c>
      <c r="S1308" s="356">
        <v>1</v>
      </c>
      <c r="T1308" s="231">
        <v>0.11091666666666666</v>
      </c>
      <c r="U1308" s="259">
        <v>-19.964999999996614</v>
      </c>
      <c r="V1308" s="260">
        <v>30.25</v>
      </c>
      <c r="W1308" s="357">
        <v>2</v>
      </c>
      <c r="X1308" s="227">
        <v>39.929999999993228</v>
      </c>
      <c r="Y1308" s="225" t="s">
        <v>814</v>
      </c>
      <c r="Z1308" s="225"/>
    </row>
    <row r="1309" spans="3:26" ht="19">
      <c r="C1309" s="219"/>
      <c r="D1309" s="522">
        <v>45518</v>
      </c>
      <c r="E1309" s="359">
        <v>3.0000000000000001E-3</v>
      </c>
      <c r="F1309" s="359" t="s">
        <v>467</v>
      </c>
      <c r="G1309" s="359">
        <v>3.0000000000000001E-3</v>
      </c>
      <c r="H1309" s="869">
        <v>0.5625</v>
      </c>
      <c r="I1309" s="1246"/>
      <c r="J1309" s="1246"/>
      <c r="K1309" s="1247"/>
      <c r="L1309" s="894"/>
      <c r="M1309" s="336"/>
      <c r="N1309" s="219"/>
      <c r="O1309" s="221"/>
      <c r="P1309" s="221"/>
      <c r="Q1309" s="355"/>
      <c r="R1309" s="258"/>
      <c r="S1309" s="225"/>
      <c r="T1309" s="221"/>
      <c r="U1309" s="259"/>
      <c r="V1309" s="260"/>
      <c r="W1309" s="225"/>
      <c r="X1309" s="227"/>
      <c r="Y1309" s="225"/>
      <c r="Z1309" s="225"/>
    </row>
    <row r="1310" spans="3:26" ht="19">
      <c r="C1310" s="219"/>
      <c r="D1310" s="522">
        <v>45503</v>
      </c>
      <c r="E1310" s="359">
        <v>3.0000000000000001E-3</v>
      </c>
      <c r="F1310" s="359" t="s">
        <v>460</v>
      </c>
      <c r="G1310" s="359">
        <v>3.0000000000000001E-3</v>
      </c>
      <c r="H1310" s="869">
        <v>0.5625</v>
      </c>
      <c r="I1310" s="1246"/>
      <c r="J1310" s="1246"/>
      <c r="K1310" s="1247"/>
      <c r="L1310" s="894"/>
      <c r="M1310" s="336"/>
      <c r="N1310" s="219"/>
      <c r="O1310" s="263"/>
      <c r="P1310" s="263"/>
      <c r="Q1310" s="263"/>
      <c r="R1310" s="263"/>
      <c r="S1310" s="263"/>
      <c r="T1310" s="263"/>
      <c r="U1310" s="263"/>
      <c r="V1310" s="263"/>
      <c r="W1310" s="263"/>
      <c r="X1310" s="263"/>
      <c r="Y1310" s="263"/>
      <c r="Z1310" s="263"/>
    </row>
    <row r="1311" spans="3:26" ht="20" thickBot="1">
      <c r="C1311" s="219"/>
      <c r="D1311" s="523">
        <v>45450</v>
      </c>
      <c r="E1311" s="360">
        <v>3.0000000000000001E-3</v>
      </c>
      <c r="F1311" s="360" t="s">
        <v>467</v>
      </c>
      <c r="G1311" s="360">
        <v>0</v>
      </c>
      <c r="H1311" s="869">
        <v>0.52083333333333337</v>
      </c>
      <c r="I1311" s="1249"/>
      <c r="J1311" s="1249"/>
      <c r="K1311" s="1250"/>
      <c r="L1311" s="894"/>
      <c r="M1311" s="344"/>
      <c r="N1311" s="219"/>
      <c r="O1311" s="263"/>
      <c r="P1311" s="263"/>
      <c r="Q1311" s="263"/>
      <c r="R1311" s="263"/>
      <c r="S1311" s="263"/>
      <c r="T1311" s="263"/>
      <c r="U1311" s="263"/>
      <c r="V1311" s="263"/>
      <c r="W1311" s="263"/>
      <c r="X1311" s="263"/>
      <c r="Y1311" s="263"/>
      <c r="Z1311" s="263"/>
    </row>
    <row r="1312" spans="3:26" ht="20" thickBot="1">
      <c r="C1312" s="218">
        <v>12</v>
      </c>
      <c r="D1312" s="498" t="s">
        <v>30</v>
      </c>
      <c r="E1312" s="1147" t="s">
        <v>1156</v>
      </c>
      <c r="F1312" s="1148"/>
      <c r="G1312" s="1149"/>
      <c r="H1312" s="861" t="s">
        <v>790</v>
      </c>
      <c r="I1312" s="1256" t="s">
        <v>633</v>
      </c>
      <c r="J1312" s="1256"/>
      <c r="K1312" s="1257"/>
      <c r="L1312" s="890" t="s">
        <v>430</v>
      </c>
      <c r="M1312" s="333" t="s">
        <v>431</v>
      </c>
      <c r="N1312" s="219" t="s">
        <v>105</v>
      </c>
      <c r="O1312" s="220" t="s">
        <v>800</v>
      </c>
      <c r="P1312" s="220" t="s">
        <v>801</v>
      </c>
      <c r="Q1312" s="220" t="s">
        <v>802</v>
      </c>
      <c r="R1312" s="220" t="s">
        <v>803</v>
      </c>
      <c r="S1312" s="220" t="s">
        <v>804</v>
      </c>
      <c r="T1312" s="220" t="s">
        <v>805</v>
      </c>
      <c r="U1312" s="220" t="s">
        <v>806</v>
      </c>
      <c r="V1312" s="220" t="s">
        <v>807</v>
      </c>
      <c r="W1312" s="220" t="s">
        <v>808</v>
      </c>
      <c r="X1312" s="220" t="s">
        <v>809</v>
      </c>
      <c r="Y1312" s="220" t="s">
        <v>75</v>
      </c>
      <c r="Z1312" s="220" t="s">
        <v>75</v>
      </c>
    </row>
    <row r="1313" spans="3:26" ht="19">
      <c r="C1313" s="219"/>
      <c r="D1313" s="504" t="s">
        <v>432</v>
      </c>
      <c r="E1313" s="1150"/>
      <c r="F1313" s="1151"/>
      <c r="G1313" s="1152"/>
      <c r="H1313" s="863" t="s">
        <v>794</v>
      </c>
      <c r="I1313" s="1243" t="s">
        <v>1157</v>
      </c>
      <c r="J1313" s="1243"/>
      <c r="K1313" s="1244"/>
      <c r="L1313" s="891"/>
      <c r="M1313" s="335" t="s">
        <v>1156</v>
      </c>
      <c r="N1313" s="219"/>
      <c r="O1313" s="221" t="s">
        <v>810</v>
      </c>
      <c r="P1313" s="222">
        <v>0.1</v>
      </c>
      <c r="Q1313" s="223">
        <v>2.7E-2</v>
      </c>
      <c r="R1313" s="224">
        <v>1.5999999999991132E-2</v>
      </c>
      <c r="S1313" s="225"/>
      <c r="T1313" s="221">
        <v>5.6499999999991134E-2</v>
      </c>
      <c r="U1313" s="223">
        <v>-13.31</v>
      </c>
      <c r="V1313" s="222">
        <v>91.8</v>
      </c>
      <c r="W1313" s="226">
        <v>2</v>
      </c>
      <c r="X1313" s="227">
        <v>26.62</v>
      </c>
      <c r="Y1313" s="225"/>
      <c r="Z1313" s="225"/>
    </row>
    <row r="1314" spans="3:26" ht="19">
      <c r="C1314" s="219"/>
      <c r="D1314" s="505" t="s">
        <v>433</v>
      </c>
      <c r="E1314" s="1163"/>
      <c r="F1314" s="1164"/>
      <c r="G1314" s="1165"/>
      <c r="H1314" s="863" t="s">
        <v>795</v>
      </c>
      <c r="I1314" s="1246"/>
      <c r="J1314" s="1246"/>
      <c r="K1314" s="1247"/>
      <c r="L1314" s="891"/>
      <c r="M1314" s="336"/>
      <c r="N1314" s="219"/>
      <c r="O1314" s="219"/>
      <c r="P1314" s="219"/>
      <c r="Q1314" s="219"/>
      <c r="R1314" s="228"/>
      <c r="S1314" s="229"/>
      <c r="T1314" s="219"/>
      <c r="U1314" s="219"/>
      <c r="V1314" s="219"/>
      <c r="W1314" s="229"/>
      <c r="X1314" s="229"/>
      <c r="Y1314" s="230"/>
      <c r="Z1314" s="230"/>
    </row>
    <row r="1315" spans="3:26" ht="19">
      <c r="C1315" s="219"/>
      <c r="D1315" s="505" t="s">
        <v>434</v>
      </c>
      <c r="E1315" s="1178"/>
      <c r="F1315" s="1179"/>
      <c r="G1315" s="1180"/>
      <c r="H1315" s="863"/>
      <c r="I1315" s="1246"/>
      <c r="J1315" s="1246"/>
      <c r="K1315" s="1247"/>
      <c r="L1315" s="891"/>
      <c r="M1315" s="336"/>
      <c r="N1315" s="219"/>
      <c r="O1315" s="231" t="s">
        <v>811</v>
      </c>
      <c r="P1315" s="232">
        <v>0.1</v>
      </c>
      <c r="Q1315" s="233">
        <v>4.0500000000000001E-2</v>
      </c>
      <c r="R1315" s="234">
        <v>1.7000000000000001E-2</v>
      </c>
      <c r="S1315" s="235">
        <v>1</v>
      </c>
      <c r="T1315" s="231">
        <v>7.775E-2</v>
      </c>
      <c r="U1315" s="236">
        <v>-18.315973451330308</v>
      </c>
      <c r="V1315" s="237">
        <v>60.5</v>
      </c>
      <c r="W1315" s="238">
        <v>3.27</v>
      </c>
      <c r="X1315" s="239">
        <v>59.893233185850107</v>
      </c>
      <c r="Y1315" s="240"/>
      <c r="Z1315" s="240">
        <v>4.4350000000000005</v>
      </c>
    </row>
    <row r="1316" spans="3:26" ht="20" thickBot="1">
      <c r="C1316" s="219"/>
      <c r="D1316" s="506" t="s">
        <v>435</v>
      </c>
      <c r="E1316" s="1160">
        <v>0.5625</v>
      </c>
      <c r="F1316" s="1161"/>
      <c r="G1316" s="1162"/>
      <c r="H1316" s="865">
        <v>0.35416666666666663</v>
      </c>
      <c r="I1316" s="1246"/>
      <c r="J1316" s="1246"/>
      <c r="K1316" s="1247"/>
      <c r="L1316" s="892">
        <v>0.79166666666666663</v>
      </c>
      <c r="M1316" s="338">
        <v>0.64583333333333326</v>
      </c>
      <c r="N1316" s="219"/>
      <c r="O1316" s="241" t="s">
        <v>812</v>
      </c>
      <c r="P1316" s="242">
        <v>0.1</v>
      </c>
      <c r="Q1316" s="243">
        <v>2.5266666666666663E-2</v>
      </c>
      <c r="R1316" s="244">
        <v>1.7000000000000001E-2</v>
      </c>
      <c r="S1316" s="245">
        <v>1</v>
      </c>
      <c r="T1316" s="246">
        <v>5.4899999999999997E-2</v>
      </c>
      <c r="U1316" s="247">
        <v>-12.933079646019728</v>
      </c>
      <c r="V1316" s="248">
        <v>60.5</v>
      </c>
      <c r="W1316" s="277">
        <v>2.2200000000000002</v>
      </c>
      <c r="X1316" s="250">
        <v>28.711436814163797</v>
      </c>
      <c r="Y1316" s="251"/>
      <c r="Z1316" s="251"/>
    </row>
    <row r="1317" spans="3:26" ht="20" thickBot="1">
      <c r="C1317" s="219"/>
      <c r="D1317" s="507" t="s">
        <v>436</v>
      </c>
      <c r="E1317" s="264" t="s">
        <v>29</v>
      </c>
      <c r="F1317" s="264" t="s">
        <v>28</v>
      </c>
      <c r="G1317" s="265" t="s">
        <v>27</v>
      </c>
      <c r="H1317" s="867" t="s">
        <v>793</v>
      </c>
      <c r="I1317" s="1246"/>
      <c r="J1317" s="1246"/>
      <c r="K1317" s="1247"/>
      <c r="L1317" s="893" t="s">
        <v>1246</v>
      </c>
      <c r="M1317" s="340"/>
      <c r="N1317" s="219"/>
      <c r="O1317" s="229"/>
      <c r="P1317" s="230"/>
      <c r="Q1317" s="229"/>
      <c r="R1317" s="229"/>
      <c r="S1317" s="229"/>
      <c r="T1317" s="229"/>
      <c r="U1317" s="254"/>
      <c r="V1317" s="255"/>
      <c r="W1317" s="229"/>
      <c r="X1317" s="254"/>
      <c r="Y1317" s="230"/>
      <c r="Z1317" s="230"/>
    </row>
    <row r="1318" spans="3:26" ht="19">
      <c r="C1318" s="219"/>
      <c r="D1318" s="508">
        <v>45597</v>
      </c>
      <c r="E1318" s="266">
        <v>4.0000000000000001E-3</v>
      </c>
      <c r="F1318" s="266" t="s">
        <v>467</v>
      </c>
      <c r="G1318" s="266">
        <v>3.0000000000000001E-3</v>
      </c>
      <c r="H1318" s="869">
        <v>0.52083333333333337</v>
      </c>
      <c r="I1318" s="1246"/>
      <c r="J1318" s="1246"/>
      <c r="K1318" s="1247"/>
      <c r="L1318" s="894">
        <v>0.75</v>
      </c>
      <c r="M1318" s="342"/>
      <c r="N1318" s="219"/>
      <c r="O1318" s="229"/>
      <c r="P1318" s="230"/>
      <c r="Q1318" s="229"/>
      <c r="R1318" s="229"/>
      <c r="S1318" s="229"/>
      <c r="T1318" s="229"/>
      <c r="U1318" s="229"/>
      <c r="V1318" s="229"/>
      <c r="W1318" s="229"/>
      <c r="X1318" s="229"/>
      <c r="Y1318" s="230"/>
      <c r="Z1318" s="230"/>
    </row>
    <row r="1319" spans="3:26" ht="19">
      <c r="C1319" s="219"/>
      <c r="D1319" s="508">
        <v>45569</v>
      </c>
      <c r="E1319" s="266">
        <v>4.0000000000000001E-3</v>
      </c>
      <c r="F1319" s="266" t="s">
        <v>467</v>
      </c>
      <c r="G1319" s="266">
        <v>5.0000000000000001E-3</v>
      </c>
      <c r="H1319" s="869">
        <v>0.52083333333333337</v>
      </c>
      <c r="I1319" s="1246"/>
      <c r="J1319" s="1246"/>
      <c r="K1319" s="1247"/>
      <c r="L1319" s="894">
        <v>0.75</v>
      </c>
      <c r="M1319" s="343"/>
      <c r="N1319" s="219"/>
      <c r="O1319" s="221" t="s">
        <v>813</v>
      </c>
      <c r="P1319" s="222">
        <v>0.1</v>
      </c>
      <c r="Q1319" s="257">
        <v>3.2883333333333334E-2</v>
      </c>
      <c r="R1319" s="258">
        <v>1.7000000000000001E-2</v>
      </c>
      <c r="S1319" s="225">
        <v>1</v>
      </c>
      <c r="T1319" s="231">
        <v>6.6324999999999995E-2</v>
      </c>
      <c r="U1319" s="259">
        <v>-15.624526548675018</v>
      </c>
      <c r="V1319" s="260">
        <v>60.5</v>
      </c>
      <c r="W1319" s="225">
        <v>2</v>
      </c>
      <c r="X1319" s="227">
        <v>31.249053097350036</v>
      </c>
      <c r="Y1319" s="261"/>
      <c r="Z1319" s="261"/>
    </row>
    <row r="1320" spans="3:26" ht="19">
      <c r="C1320" s="219"/>
      <c r="D1320" s="508">
        <v>45541</v>
      </c>
      <c r="E1320" s="266">
        <v>4.0000000000000001E-3</v>
      </c>
      <c r="F1320" s="266" t="s">
        <v>467</v>
      </c>
      <c r="G1320" s="266">
        <v>0</v>
      </c>
      <c r="H1320" s="869">
        <v>0.52083333333333337</v>
      </c>
      <c r="I1320" s="1246"/>
      <c r="J1320" s="1246"/>
      <c r="K1320" s="1247"/>
      <c r="L1320" s="894">
        <v>0.75</v>
      </c>
      <c r="M1320" s="336"/>
      <c r="N1320" s="219"/>
      <c r="O1320" s="221"/>
      <c r="P1320" s="222"/>
      <c r="Q1320" s="257"/>
      <c r="R1320" s="258"/>
      <c r="S1320" s="225"/>
      <c r="T1320" s="231"/>
      <c r="U1320" s="259"/>
      <c r="V1320" s="260"/>
      <c r="W1320" s="225"/>
      <c r="X1320" s="227"/>
      <c r="Y1320" s="261"/>
      <c r="Z1320" s="261"/>
    </row>
    <row r="1321" spans="3:26" ht="19">
      <c r="C1321" s="219"/>
      <c r="D1321" s="508">
        <v>45506</v>
      </c>
      <c r="E1321" s="266">
        <v>2E-3</v>
      </c>
      <c r="F1321" s="266" t="s">
        <v>467</v>
      </c>
      <c r="G1321" s="266">
        <v>3.0000000000000001E-3</v>
      </c>
      <c r="H1321" s="869">
        <v>0.52083333333333337</v>
      </c>
      <c r="I1321" s="1246"/>
      <c r="J1321" s="1246"/>
      <c r="K1321" s="1247"/>
      <c r="L1321" s="894">
        <v>0.75</v>
      </c>
      <c r="M1321" s="336"/>
      <c r="N1321" s="219"/>
      <c r="O1321" s="221"/>
      <c r="P1321" s="262"/>
      <c r="Q1321" s="257"/>
      <c r="R1321" s="258"/>
      <c r="S1321" s="225"/>
      <c r="T1321" s="262"/>
      <c r="U1321" s="259"/>
      <c r="V1321" s="260"/>
      <c r="W1321" s="225"/>
      <c r="X1321" s="227"/>
      <c r="Y1321" s="261"/>
      <c r="Z1321" s="261"/>
    </row>
    <row r="1322" spans="3:26" ht="19">
      <c r="C1322" s="219"/>
      <c r="D1322" s="508">
        <v>45478</v>
      </c>
      <c r="E1322" s="266">
        <v>3.0000000000000001E-3</v>
      </c>
      <c r="F1322" s="266" t="s">
        <v>467</v>
      </c>
      <c r="G1322" s="266">
        <v>4.0000000000000001E-3</v>
      </c>
      <c r="H1322" s="869">
        <v>0.52083333333333337</v>
      </c>
      <c r="I1322" s="1246"/>
      <c r="J1322" s="1246"/>
      <c r="K1322" s="1247"/>
      <c r="L1322" s="894">
        <v>0.75</v>
      </c>
      <c r="M1322" s="336"/>
      <c r="N1322" s="219"/>
      <c r="O1322" s="263"/>
      <c r="P1322" s="263"/>
      <c r="Q1322" s="263"/>
      <c r="R1322" s="263"/>
      <c r="S1322" s="263"/>
      <c r="T1322" s="263"/>
      <c r="U1322" s="263"/>
      <c r="V1322" s="263"/>
      <c r="W1322" s="263"/>
      <c r="X1322" s="263"/>
      <c r="Y1322" s="263"/>
      <c r="Z1322" s="263"/>
    </row>
    <row r="1323" spans="3:26" ht="20" thickBot="1">
      <c r="C1323" s="219"/>
      <c r="D1323" s="517">
        <v>45450</v>
      </c>
      <c r="E1323" s="319">
        <v>4.0000000000000001E-3</v>
      </c>
      <c r="F1323" s="319" t="s">
        <v>467</v>
      </c>
      <c r="G1323" s="319">
        <v>2E-3</v>
      </c>
      <c r="H1323" s="889">
        <v>0.52083333333333337</v>
      </c>
      <c r="I1323" s="1249"/>
      <c r="J1323" s="1249"/>
      <c r="K1323" s="1250"/>
      <c r="L1323" s="895">
        <v>0.75</v>
      </c>
      <c r="M1323" s="344"/>
      <c r="N1323" s="219"/>
      <c r="O1323" s="263"/>
      <c r="P1323" s="263"/>
      <c r="Q1323" s="263"/>
      <c r="R1323" s="263"/>
      <c r="S1323" s="263"/>
      <c r="T1323" s="263"/>
      <c r="U1323" s="263"/>
      <c r="V1323" s="263"/>
      <c r="W1323" s="263"/>
      <c r="X1323" s="263"/>
      <c r="Y1323" s="263"/>
      <c r="Z1323" s="263"/>
    </row>
    <row r="1324" spans="3:26" ht="20" thickBot="1">
      <c r="C1324" s="219"/>
      <c r="D1324" s="498" t="s">
        <v>30</v>
      </c>
      <c r="E1324" s="1147" t="s">
        <v>1158</v>
      </c>
      <c r="F1324" s="1148"/>
      <c r="G1324" s="1149"/>
      <c r="H1324" s="861" t="s">
        <v>790</v>
      </c>
      <c r="I1324" s="1256" t="s">
        <v>633</v>
      </c>
      <c r="J1324" s="1256"/>
      <c r="K1324" s="1257"/>
      <c r="L1324" s="890" t="s">
        <v>430</v>
      </c>
      <c r="M1324" s="333" t="s">
        <v>431</v>
      </c>
      <c r="N1324" s="219"/>
      <c r="O1324" s="263"/>
      <c r="P1324" s="263"/>
      <c r="Q1324" s="263"/>
      <c r="R1324" s="263"/>
      <c r="S1324" s="263"/>
      <c r="T1324" s="263"/>
      <c r="U1324" s="263"/>
      <c r="V1324" s="263"/>
      <c r="W1324" s="263"/>
      <c r="X1324" s="263"/>
      <c r="Y1324" s="263"/>
      <c r="Z1324" s="263"/>
    </row>
    <row r="1325" spans="3:26" ht="19">
      <c r="C1325" s="219"/>
      <c r="D1325" s="504" t="s">
        <v>432</v>
      </c>
      <c r="E1325" s="1150"/>
      <c r="F1325" s="1151"/>
      <c r="G1325" s="1152"/>
      <c r="H1325" s="863" t="s">
        <v>794</v>
      </c>
      <c r="I1325" s="1243" t="s">
        <v>1159</v>
      </c>
      <c r="J1325" s="1243"/>
      <c r="K1325" s="1244"/>
      <c r="L1325" s="891"/>
      <c r="M1325" s="335" t="s">
        <v>1158</v>
      </c>
      <c r="N1325" s="219"/>
      <c r="O1325" s="263"/>
      <c r="P1325" s="263"/>
      <c r="Q1325" s="263"/>
      <c r="R1325" s="263"/>
      <c r="S1325" s="263"/>
      <c r="T1325" s="263"/>
      <c r="U1325" s="263"/>
      <c r="V1325" s="263"/>
      <c r="W1325" s="263"/>
      <c r="X1325" s="263"/>
      <c r="Y1325" s="263"/>
      <c r="Z1325" s="263"/>
    </row>
    <row r="1326" spans="3:26" ht="19">
      <c r="C1326" s="219"/>
      <c r="D1326" s="505" t="s">
        <v>433</v>
      </c>
      <c r="E1326" s="1163"/>
      <c r="F1326" s="1164"/>
      <c r="G1326" s="1165"/>
      <c r="H1326" s="863" t="s">
        <v>795</v>
      </c>
      <c r="I1326" s="1246"/>
      <c r="J1326" s="1246"/>
      <c r="K1326" s="1247"/>
      <c r="L1326" s="891"/>
      <c r="M1326" s="336"/>
      <c r="N1326" s="219"/>
      <c r="O1326" s="263"/>
      <c r="P1326" s="263"/>
      <c r="Q1326" s="263"/>
      <c r="R1326" s="263"/>
      <c r="S1326" s="263"/>
      <c r="T1326" s="263"/>
      <c r="U1326" s="263"/>
      <c r="V1326" s="263"/>
      <c r="W1326" s="263"/>
      <c r="X1326" s="263"/>
      <c r="Y1326" s="263"/>
      <c r="Z1326" s="263"/>
    </row>
    <row r="1327" spans="3:26" ht="19">
      <c r="C1327" s="219"/>
      <c r="D1327" s="505" t="s">
        <v>434</v>
      </c>
      <c r="E1327" s="1178"/>
      <c r="F1327" s="1179"/>
      <c r="G1327" s="1180"/>
      <c r="H1327" s="863"/>
      <c r="I1327" s="1246"/>
      <c r="J1327" s="1246"/>
      <c r="K1327" s="1247"/>
      <c r="L1327" s="891"/>
      <c r="M1327" s="336"/>
      <c r="N1327" s="219"/>
      <c r="O1327" s="263"/>
      <c r="P1327" s="263"/>
      <c r="Q1327" s="263"/>
      <c r="R1327" s="263"/>
      <c r="S1327" s="263"/>
      <c r="T1327" s="263"/>
      <c r="U1327" s="263"/>
      <c r="V1327" s="263"/>
      <c r="W1327" s="263"/>
      <c r="X1327" s="263"/>
      <c r="Y1327" s="263"/>
      <c r="Z1327" s="263"/>
    </row>
    <row r="1328" spans="3:26" ht="20" thickBot="1">
      <c r="C1328" s="219"/>
      <c r="D1328" s="506" t="s">
        <v>435</v>
      </c>
      <c r="E1328" s="1160">
        <v>0.75</v>
      </c>
      <c r="F1328" s="1161"/>
      <c r="G1328" s="1162"/>
      <c r="H1328" s="865">
        <v>0.54166666666666663</v>
      </c>
      <c r="I1328" s="1246"/>
      <c r="J1328" s="1246"/>
      <c r="K1328" s="1247"/>
      <c r="L1328" s="892">
        <v>0.97916666666666663</v>
      </c>
      <c r="M1328" s="338">
        <v>0.83333333333333326</v>
      </c>
      <c r="N1328" s="219"/>
      <c r="O1328" s="263"/>
      <c r="P1328" s="263"/>
      <c r="Q1328" s="263"/>
      <c r="R1328" s="263"/>
      <c r="S1328" s="263"/>
      <c r="T1328" s="263"/>
      <c r="U1328" s="263"/>
      <c r="V1328" s="263"/>
      <c r="W1328" s="263"/>
      <c r="X1328" s="263"/>
      <c r="Y1328" s="263"/>
      <c r="Z1328" s="263"/>
    </row>
    <row r="1329" spans="3:26" ht="20" thickBot="1">
      <c r="C1329" s="219"/>
      <c r="D1329" s="507" t="s">
        <v>436</v>
      </c>
      <c r="E1329" s="264" t="s">
        <v>29</v>
      </c>
      <c r="F1329" s="264" t="s">
        <v>28</v>
      </c>
      <c r="G1329" s="265" t="s">
        <v>27</v>
      </c>
      <c r="H1329" s="867" t="s">
        <v>793</v>
      </c>
      <c r="I1329" s="1246"/>
      <c r="J1329" s="1246"/>
      <c r="K1329" s="1247"/>
      <c r="L1329" s="893" t="s">
        <v>1246</v>
      </c>
      <c r="M1329" s="340"/>
      <c r="N1329" s="219"/>
      <c r="O1329" s="263"/>
      <c r="P1329" s="263"/>
      <c r="Q1329" s="263"/>
      <c r="R1329" s="263"/>
      <c r="S1329" s="263"/>
      <c r="T1329" s="263"/>
      <c r="U1329" s="263"/>
      <c r="V1329" s="263"/>
      <c r="W1329" s="263"/>
      <c r="X1329" s="263"/>
      <c r="Y1329" s="263"/>
      <c r="Z1329" s="263"/>
    </row>
    <row r="1330" spans="3:26" ht="19">
      <c r="C1330" s="219"/>
      <c r="D1330" s="508">
        <v>45602</v>
      </c>
      <c r="E1330" s="266">
        <v>4.5999999999999999E-2</v>
      </c>
      <c r="F1330" s="266" t="s">
        <v>754</v>
      </c>
      <c r="G1330" s="266">
        <v>4.2999999999999997E-2</v>
      </c>
      <c r="H1330" s="869">
        <v>0.75</v>
      </c>
      <c r="I1330" s="1246"/>
      <c r="J1330" s="1246"/>
      <c r="K1330" s="1247"/>
      <c r="L1330" s="894">
        <v>0.97916666666666663</v>
      </c>
      <c r="M1330" s="342"/>
      <c r="N1330" s="219"/>
      <c r="O1330" s="263"/>
      <c r="P1330" s="263"/>
      <c r="Q1330" s="263"/>
      <c r="R1330" s="263"/>
      <c r="S1330" s="263"/>
      <c r="T1330" s="263"/>
      <c r="U1330" s="263"/>
      <c r="V1330" s="263"/>
      <c r="W1330" s="263"/>
      <c r="X1330" s="263"/>
      <c r="Y1330" s="263"/>
      <c r="Z1330" s="263"/>
    </row>
    <row r="1331" spans="3:26" ht="19">
      <c r="C1331" s="219"/>
      <c r="D1331" s="508">
        <v>45575</v>
      </c>
      <c r="E1331" s="266">
        <v>4.2999999999999997E-2</v>
      </c>
      <c r="F1331" s="266" t="s">
        <v>754</v>
      </c>
      <c r="G1331" s="266">
        <v>0.04</v>
      </c>
      <c r="H1331" s="869">
        <v>0.70833333333333337</v>
      </c>
      <c r="I1331" s="1246"/>
      <c r="J1331" s="1246"/>
      <c r="K1331" s="1247"/>
      <c r="L1331" s="894">
        <v>0.9375</v>
      </c>
      <c r="M1331" s="343"/>
      <c r="N1331" s="219"/>
      <c r="O1331" s="263"/>
      <c r="P1331" s="263"/>
      <c r="Q1331" s="263"/>
      <c r="R1331" s="263"/>
      <c r="S1331" s="263"/>
      <c r="T1331" s="263"/>
      <c r="U1331" s="263"/>
      <c r="V1331" s="263"/>
      <c r="W1331" s="263"/>
      <c r="X1331" s="263"/>
      <c r="Y1331" s="263"/>
      <c r="Z1331" s="263"/>
    </row>
    <row r="1332" spans="3:26" ht="19">
      <c r="C1332" s="219"/>
      <c r="D1332" s="508">
        <v>45547</v>
      </c>
      <c r="E1332" s="266">
        <v>0.04</v>
      </c>
      <c r="F1332" s="266" t="s">
        <v>754</v>
      </c>
      <c r="G1332" s="266">
        <v>4.2999999999999997E-2</v>
      </c>
      <c r="H1332" s="869">
        <v>0.70833333333333337</v>
      </c>
      <c r="I1332" s="1246"/>
      <c r="J1332" s="1246"/>
      <c r="K1332" s="1247"/>
      <c r="L1332" s="894">
        <v>0.9375</v>
      </c>
      <c r="M1332" s="336"/>
      <c r="N1332" s="219"/>
      <c r="O1332" s="263"/>
      <c r="P1332" s="263"/>
      <c r="Q1332" s="263"/>
      <c r="R1332" s="263"/>
      <c r="S1332" s="263"/>
      <c r="T1332" s="263"/>
      <c r="U1332" s="263"/>
      <c r="V1332" s="263"/>
      <c r="W1332" s="263"/>
      <c r="X1332" s="263"/>
      <c r="Y1332" s="263"/>
      <c r="Z1332" s="263"/>
    </row>
    <row r="1333" spans="3:26" ht="19">
      <c r="C1333" s="219"/>
      <c r="D1333" s="508">
        <v>45512</v>
      </c>
      <c r="E1333" s="266">
        <v>4.2999999999999997E-2</v>
      </c>
      <c r="F1333" s="266" t="s">
        <v>754</v>
      </c>
      <c r="G1333" s="266">
        <v>4.3999999999999997E-2</v>
      </c>
      <c r="H1333" s="869">
        <v>0.70833333333333337</v>
      </c>
      <c r="I1333" s="1246"/>
      <c r="J1333" s="1246"/>
      <c r="K1333" s="1247"/>
      <c r="L1333" s="894">
        <v>0.9375</v>
      </c>
      <c r="M1333" s="336"/>
      <c r="N1333" s="219"/>
      <c r="O1333" s="263"/>
      <c r="P1333" s="263"/>
      <c r="Q1333" s="263"/>
      <c r="R1333" s="263"/>
      <c r="S1333" s="263"/>
      <c r="T1333" s="263"/>
      <c r="U1333" s="263"/>
      <c r="V1333" s="263"/>
      <c r="W1333" s="263"/>
      <c r="X1333" s="263"/>
      <c r="Y1333" s="263"/>
      <c r="Z1333" s="263"/>
    </row>
    <row r="1334" spans="3:26" ht="19">
      <c r="C1334" s="219"/>
      <c r="D1334" s="508">
        <v>45484</v>
      </c>
      <c r="E1334" s="266">
        <v>4.3999999999999997E-2</v>
      </c>
      <c r="F1334" s="266" t="s">
        <v>754</v>
      </c>
      <c r="G1334" s="266">
        <v>4.3999999999999997E-2</v>
      </c>
      <c r="H1334" s="869">
        <v>0.70833333333333337</v>
      </c>
      <c r="I1334" s="1246"/>
      <c r="J1334" s="1246"/>
      <c r="K1334" s="1247"/>
      <c r="L1334" s="894">
        <v>0.9375</v>
      </c>
      <c r="M1334" s="336"/>
      <c r="N1334" s="219"/>
      <c r="O1334" s="263"/>
      <c r="P1334" s="263"/>
      <c r="Q1334" s="263"/>
      <c r="R1334" s="263"/>
      <c r="S1334" s="263"/>
      <c r="T1334" s="263"/>
      <c r="U1334" s="263"/>
      <c r="V1334" s="263"/>
      <c r="W1334" s="263"/>
      <c r="X1334" s="263"/>
      <c r="Y1334" s="263"/>
      <c r="Z1334" s="263"/>
    </row>
    <row r="1335" spans="3:26" ht="20" thickBot="1">
      <c r="C1335" s="219"/>
      <c r="D1335" s="517">
        <v>45456</v>
      </c>
      <c r="E1335" s="319">
        <v>4.3999999999999997E-2</v>
      </c>
      <c r="F1335" s="319" t="s">
        <v>754</v>
      </c>
      <c r="G1335" s="319">
        <v>4.5999999999999999E-2</v>
      </c>
      <c r="H1335" s="889">
        <v>0.70833333333333337</v>
      </c>
      <c r="I1335" s="1249"/>
      <c r="J1335" s="1249"/>
      <c r="K1335" s="1250"/>
      <c r="L1335" s="895">
        <v>0.9375</v>
      </c>
      <c r="M1335" s="344"/>
      <c r="N1335" s="219"/>
      <c r="O1335" s="263"/>
      <c r="P1335" s="263"/>
      <c r="Q1335" s="263"/>
      <c r="R1335" s="263"/>
      <c r="S1335" s="263"/>
      <c r="T1335" s="263"/>
      <c r="U1335" s="263"/>
      <c r="V1335" s="263"/>
      <c r="W1335" s="263"/>
      <c r="X1335" s="263"/>
      <c r="Y1335" s="263"/>
      <c r="Z1335" s="263"/>
    </row>
    <row r="1336" spans="3:26" ht="20" thickBot="1">
      <c r="C1336" s="218">
        <v>12</v>
      </c>
      <c r="D1336" s="498" t="s">
        <v>30</v>
      </c>
      <c r="E1336" s="1147" t="s">
        <v>1160</v>
      </c>
      <c r="F1336" s="1148"/>
      <c r="G1336" s="1149"/>
      <c r="H1336" s="861" t="s">
        <v>790</v>
      </c>
      <c r="I1336" s="1256" t="s">
        <v>633</v>
      </c>
      <c r="J1336" s="1256"/>
      <c r="K1336" s="1257"/>
      <c r="L1336" s="890" t="s">
        <v>430</v>
      </c>
      <c r="M1336" s="333" t="s">
        <v>431</v>
      </c>
      <c r="N1336" s="219" t="s">
        <v>105</v>
      </c>
      <c r="O1336" s="220" t="s">
        <v>800</v>
      </c>
      <c r="P1336" s="220" t="s">
        <v>801</v>
      </c>
      <c r="Q1336" s="220" t="s">
        <v>802</v>
      </c>
      <c r="R1336" s="220" t="s">
        <v>803</v>
      </c>
      <c r="S1336" s="220" t="s">
        <v>804</v>
      </c>
      <c r="T1336" s="220" t="s">
        <v>805</v>
      </c>
      <c r="U1336" s="220" t="s">
        <v>806</v>
      </c>
      <c r="V1336" s="220" t="s">
        <v>807</v>
      </c>
      <c r="W1336" s="220" t="s">
        <v>808</v>
      </c>
      <c r="X1336" s="220" t="s">
        <v>809</v>
      </c>
      <c r="Y1336" s="220" t="s">
        <v>75</v>
      </c>
      <c r="Z1336" s="220" t="s">
        <v>75</v>
      </c>
    </row>
    <row r="1337" spans="3:26" ht="19">
      <c r="C1337" s="219"/>
      <c r="D1337" s="504" t="s">
        <v>432</v>
      </c>
      <c r="E1337" s="1150"/>
      <c r="F1337" s="1151"/>
      <c r="G1337" s="1152"/>
      <c r="H1337" s="863" t="s">
        <v>947</v>
      </c>
      <c r="I1337" s="1243" t="s">
        <v>1161</v>
      </c>
      <c r="J1337" s="1243"/>
      <c r="K1337" s="1244"/>
      <c r="L1337" s="891"/>
      <c r="M1337" s="335" t="s">
        <v>1160</v>
      </c>
      <c r="N1337" s="219"/>
      <c r="O1337" s="221" t="s">
        <v>810</v>
      </c>
      <c r="P1337" s="222">
        <v>0.1</v>
      </c>
      <c r="Q1337" s="223">
        <v>3.4000000000000002E-2</v>
      </c>
      <c r="R1337" s="224">
        <v>1.5000000000014779E-2</v>
      </c>
      <c r="S1337" s="225"/>
      <c r="T1337" s="221">
        <v>6.6000000000014783E-2</v>
      </c>
      <c r="U1337" s="223">
        <v>-16.5</v>
      </c>
      <c r="V1337" s="222">
        <v>60.5</v>
      </c>
      <c r="W1337" s="226">
        <v>2</v>
      </c>
      <c r="X1337" s="227">
        <v>33</v>
      </c>
      <c r="Y1337" s="225"/>
      <c r="Z1337" s="225"/>
    </row>
    <row r="1338" spans="3:26" ht="19">
      <c r="C1338" s="219"/>
      <c r="D1338" s="505" t="s">
        <v>433</v>
      </c>
      <c r="E1338" s="1163"/>
      <c r="F1338" s="1164"/>
      <c r="G1338" s="1165"/>
      <c r="H1338" s="863" t="s">
        <v>908</v>
      </c>
      <c r="I1338" s="1246"/>
      <c r="J1338" s="1246"/>
      <c r="K1338" s="1247"/>
      <c r="L1338" s="891"/>
      <c r="M1338" s="336"/>
      <c r="N1338" s="219"/>
      <c r="O1338" s="219"/>
      <c r="P1338" s="219"/>
      <c r="Q1338" s="219"/>
      <c r="R1338" s="228"/>
      <c r="S1338" s="229"/>
      <c r="T1338" s="219"/>
      <c r="U1338" s="219"/>
      <c r="V1338" s="219"/>
      <c r="W1338" s="219"/>
      <c r="X1338" s="229"/>
      <c r="Y1338" s="230"/>
      <c r="Z1338" s="230"/>
    </row>
    <row r="1339" spans="3:26" ht="19">
      <c r="C1339" s="219"/>
      <c r="D1339" s="505" t="s">
        <v>434</v>
      </c>
      <c r="E1339" s="1163">
        <v>-1E-3</v>
      </c>
      <c r="F1339" s="1164"/>
      <c r="G1339" s="1165"/>
      <c r="H1339" s="863"/>
      <c r="I1339" s="1246"/>
      <c r="J1339" s="1246"/>
      <c r="K1339" s="1247"/>
      <c r="L1339" s="891"/>
      <c r="M1339" s="336"/>
      <c r="N1339" s="219"/>
      <c r="O1339" s="231" t="s">
        <v>811</v>
      </c>
      <c r="P1339" s="232">
        <v>0.05</v>
      </c>
      <c r="Q1339" s="233">
        <v>8.9800000000000005E-2</v>
      </c>
      <c r="R1339" s="234">
        <v>1.9E-2</v>
      </c>
      <c r="S1339" s="268">
        <v>1</v>
      </c>
      <c r="T1339" s="231">
        <v>0.1537</v>
      </c>
      <c r="U1339" s="236">
        <v>-19.212499999995696</v>
      </c>
      <c r="V1339" s="237">
        <v>30.25</v>
      </c>
      <c r="W1339" s="269">
        <v>6.2</v>
      </c>
      <c r="X1339" s="239">
        <v>119.11749999997332</v>
      </c>
      <c r="Y1339" s="240"/>
      <c r="Z1339" s="240"/>
    </row>
    <row r="1340" spans="3:26" ht="20" thickBot="1">
      <c r="C1340" s="219"/>
      <c r="D1340" s="506" t="s">
        <v>435</v>
      </c>
      <c r="E1340" s="1160">
        <v>0.29166666666666674</v>
      </c>
      <c r="F1340" s="1161"/>
      <c r="G1340" s="1162"/>
      <c r="H1340" s="865">
        <v>8.3333333333333398E-2</v>
      </c>
      <c r="I1340" s="1246"/>
      <c r="J1340" s="1246"/>
      <c r="K1340" s="1247"/>
      <c r="L1340" s="892">
        <v>0.52083333333333337</v>
      </c>
      <c r="M1340" s="338">
        <v>0.375</v>
      </c>
      <c r="N1340" s="219"/>
      <c r="O1340" s="241" t="s">
        <v>812</v>
      </c>
      <c r="P1340" s="242">
        <v>0.05</v>
      </c>
      <c r="Q1340" s="243">
        <v>0.13186666666666666</v>
      </c>
      <c r="R1340" s="244">
        <v>1.9E-2</v>
      </c>
      <c r="S1340" s="270">
        <v>1</v>
      </c>
      <c r="T1340" s="246">
        <v>0.21679999999999999</v>
      </c>
      <c r="U1340" s="247">
        <v>-27.099999999993926</v>
      </c>
      <c r="V1340" s="248">
        <v>30.25</v>
      </c>
      <c r="W1340" s="271">
        <v>5.29</v>
      </c>
      <c r="X1340" s="250">
        <v>143.35899999996786</v>
      </c>
      <c r="Y1340" s="251"/>
      <c r="Z1340" s="251"/>
    </row>
    <row r="1341" spans="3:26" ht="20" thickBot="1">
      <c r="C1341" s="219"/>
      <c r="D1341" s="507" t="s">
        <v>436</v>
      </c>
      <c r="E1341" s="264" t="s">
        <v>29</v>
      </c>
      <c r="F1341" s="264" t="s">
        <v>28</v>
      </c>
      <c r="G1341" s="265" t="s">
        <v>27</v>
      </c>
      <c r="H1341" s="867" t="s">
        <v>793</v>
      </c>
      <c r="I1341" s="1246"/>
      <c r="J1341" s="1246"/>
      <c r="K1341" s="1247"/>
      <c r="L1341" s="893" t="s">
        <v>1246</v>
      </c>
      <c r="M1341" s="340"/>
      <c r="N1341" s="219"/>
      <c r="O1341" s="229"/>
      <c r="P1341" s="230"/>
      <c r="Q1341" s="229"/>
      <c r="R1341" s="229"/>
      <c r="S1341" s="272"/>
      <c r="T1341" s="229"/>
      <c r="U1341" s="254"/>
      <c r="V1341" s="255"/>
      <c r="W1341" s="273"/>
      <c r="X1341" s="254"/>
      <c r="Y1341" s="230"/>
      <c r="Z1341" s="230"/>
    </row>
    <row r="1342" spans="3:26" ht="19">
      <c r="C1342" s="219"/>
      <c r="D1342" s="508">
        <v>45597</v>
      </c>
      <c r="E1342" s="316" t="s">
        <v>1233</v>
      </c>
      <c r="F1342" s="316" t="s">
        <v>1234</v>
      </c>
      <c r="G1342" s="316" t="s">
        <v>973</v>
      </c>
      <c r="H1342" s="869">
        <v>0.29166666666666669</v>
      </c>
      <c r="I1342" s="1246"/>
      <c r="J1342" s="1246"/>
      <c r="K1342" s="1247"/>
      <c r="L1342" s="894">
        <v>0.75</v>
      </c>
      <c r="M1342" s="351">
        <v>0.52083333333333337</v>
      </c>
      <c r="N1342" s="219"/>
      <c r="O1342" s="229"/>
      <c r="P1342" s="230"/>
      <c r="Q1342" s="229"/>
      <c r="R1342" s="229"/>
      <c r="S1342" s="272"/>
      <c r="T1342" s="229"/>
      <c r="U1342" s="229"/>
      <c r="V1342" s="229"/>
      <c r="W1342" s="273"/>
      <c r="X1342" s="229"/>
      <c r="Y1342" s="230"/>
      <c r="Z1342" s="230"/>
    </row>
    <row r="1343" spans="3:26" ht="19">
      <c r="C1343" s="219"/>
      <c r="D1343" s="508">
        <v>45569</v>
      </c>
      <c r="E1343" s="316" t="s">
        <v>1235</v>
      </c>
      <c r="F1343" s="316" t="s">
        <v>1202</v>
      </c>
      <c r="G1343" s="316" t="s">
        <v>1194</v>
      </c>
      <c r="H1343" s="869">
        <v>0.25</v>
      </c>
      <c r="I1343" s="1246"/>
      <c r="J1343" s="1246"/>
      <c r="K1343" s="1247"/>
      <c r="L1343" s="894">
        <v>0.75</v>
      </c>
      <c r="M1343" s="351">
        <v>0.52083333333333337</v>
      </c>
      <c r="N1343" s="219"/>
      <c r="O1343" s="221" t="s">
        <v>813</v>
      </c>
      <c r="P1343" s="317">
        <v>0.05</v>
      </c>
      <c r="Q1343" s="257">
        <v>0.11083333333333334</v>
      </c>
      <c r="R1343" s="258">
        <v>1.9E-2</v>
      </c>
      <c r="S1343" s="274">
        <v>1</v>
      </c>
      <c r="T1343" s="231">
        <v>0.18525</v>
      </c>
      <c r="U1343" s="259">
        <v>-23.156249999994813</v>
      </c>
      <c r="V1343" s="260">
        <v>30.25</v>
      </c>
      <c r="W1343" s="276">
        <v>4</v>
      </c>
      <c r="X1343" s="227">
        <v>92.624999999979252</v>
      </c>
      <c r="Y1343" s="261"/>
      <c r="Z1343" s="261"/>
    </row>
    <row r="1344" spans="3:26" ht="19">
      <c r="C1344" s="219"/>
      <c r="D1344" s="508">
        <v>45541</v>
      </c>
      <c r="E1344" s="316" t="s">
        <v>1236</v>
      </c>
      <c r="F1344" s="316" t="s">
        <v>1237</v>
      </c>
      <c r="G1344" s="316" t="s">
        <v>615</v>
      </c>
      <c r="H1344" s="869">
        <v>0.25</v>
      </c>
      <c r="I1344" s="1246"/>
      <c r="J1344" s="1246"/>
      <c r="K1344" s="1247"/>
      <c r="L1344" s="894">
        <v>0.75</v>
      </c>
      <c r="M1344" s="351">
        <v>0.52083333333333337</v>
      </c>
      <c r="N1344" s="219"/>
      <c r="O1344" s="221" t="s">
        <v>813</v>
      </c>
      <c r="P1344" s="354">
        <v>0.05</v>
      </c>
      <c r="Q1344" s="355">
        <v>0.11083333333333334</v>
      </c>
      <c r="R1344" s="258">
        <v>1.9E-2</v>
      </c>
      <c r="S1344" s="356">
        <v>1</v>
      </c>
      <c r="T1344" s="231">
        <v>0.18525</v>
      </c>
      <c r="U1344" s="259">
        <v>-23.156249999994813</v>
      </c>
      <c r="V1344" s="260">
        <v>30.25</v>
      </c>
      <c r="W1344" s="276">
        <v>4</v>
      </c>
      <c r="X1344" s="227">
        <v>92.624999999979252</v>
      </c>
      <c r="Y1344" s="225" t="s">
        <v>814</v>
      </c>
      <c r="Z1344" s="261"/>
    </row>
    <row r="1345" spans="2:26" ht="19">
      <c r="C1345" s="219"/>
      <c r="D1345" s="508">
        <v>45506</v>
      </c>
      <c r="E1345" s="316" t="s">
        <v>1238</v>
      </c>
      <c r="F1345" s="316" t="s">
        <v>1239</v>
      </c>
      <c r="G1345" s="316" t="s">
        <v>1240</v>
      </c>
      <c r="H1345" s="869">
        <v>0.25</v>
      </c>
      <c r="I1345" s="1246"/>
      <c r="J1345" s="1246"/>
      <c r="K1345" s="1247"/>
      <c r="L1345" s="894">
        <v>0.75</v>
      </c>
      <c r="M1345" s="351">
        <v>0.52083333333333337</v>
      </c>
      <c r="N1345" s="219"/>
      <c r="O1345" s="221"/>
      <c r="P1345" s="262"/>
      <c r="Q1345" s="257"/>
      <c r="R1345" s="258"/>
      <c r="S1345" s="225"/>
      <c r="T1345" s="262"/>
      <c r="U1345" s="259"/>
      <c r="V1345" s="260"/>
      <c r="W1345" s="225"/>
      <c r="X1345" s="227"/>
      <c r="Y1345" s="261"/>
      <c r="Z1345" s="261"/>
    </row>
    <row r="1346" spans="2:26" ht="19">
      <c r="C1346" s="219"/>
      <c r="D1346" s="508">
        <v>45478</v>
      </c>
      <c r="E1346" s="316" t="s">
        <v>1241</v>
      </c>
      <c r="F1346" s="316" t="s">
        <v>1242</v>
      </c>
      <c r="G1346" s="316" t="s">
        <v>974</v>
      </c>
      <c r="H1346" s="869">
        <v>0.25</v>
      </c>
      <c r="I1346" s="1246"/>
      <c r="J1346" s="1246"/>
      <c r="K1346" s="1247"/>
      <c r="L1346" s="894">
        <v>0.75</v>
      </c>
      <c r="M1346" s="351">
        <v>0.52083333333333337</v>
      </c>
      <c r="N1346" s="219"/>
      <c r="O1346" s="263"/>
      <c r="P1346" s="263"/>
      <c r="Q1346" s="263"/>
      <c r="R1346" s="263"/>
      <c r="S1346" s="263"/>
      <c r="T1346" s="263"/>
      <c r="U1346" s="263"/>
      <c r="V1346" s="263"/>
      <c r="W1346" s="263"/>
      <c r="X1346" s="263"/>
      <c r="Y1346" s="263"/>
      <c r="Z1346" s="263"/>
    </row>
    <row r="1347" spans="2:26" ht="20" thickBot="1">
      <c r="C1347" s="219"/>
      <c r="D1347" s="517">
        <v>45450</v>
      </c>
      <c r="E1347" s="318" t="s">
        <v>1243</v>
      </c>
      <c r="F1347" s="318" t="s">
        <v>1244</v>
      </c>
      <c r="G1347" s="318" t="s">
        <v>1245</v>
      </c>
      <c r="H1347" s="869">
        <v>0.25</v>
      </c>
      <c r="I1347" s="1249"/>
      <c r="J1347" s="1249"/>
      <c r="K1347" s="1250"/>
      <c r="L1347" s="895">
        <v>0.75</v>
      </c>
      <c r="M1347" s="351">
        <v>0.52083333333333337</v>
      </c>
      <c r="N1347" s="219"/>
      <c r="O1347" s="263"/>
      <c r="P1347" s="263"/>
      <c r="Q1347" s="263"/>
      <c r="R1347" s="263"/>
      <c r="S1347" s="263"/>
      <c r="T1347" s="263"/>
      <c r="U1347" s="263"/>
      <c r="V1347" s="263"/>
      <c r="W1347" s="263"/>
      <c r="X1347" s="263"/>
      <c r="Y1347" s="263"/>
      <c r="Z1347" s="263"/>
    </row>
    <row r="1348" spans="2:26" ht="22" customHeight="1" thickBot="1">
      <c r="B1348" s="90" t="s">
        <v>105</v>
      </c>
      <c r="C1348" s="218">
        <v>1</v>
      </c>
      <c r="D1348" s="498" t="s">
        <v>30</v>
      </c>
      <c r="E1348" s="1147" t="s">
        <v>1250</v>
      </c>
      <c r="F1348" s="1148"/>
      <c r="G1348" s="1149"/>
      <c r="H1348" s="861" t="s">
        <v>790</v>
      </c>
      <c r="I1348" s="1256" t="s">
        <v>633</v>
      </c>
      <c r="J1348" s="1256"/>
      <c r="K1348" s="1257"/>
      <c r="L1348" s="890" t="s">
        <v>430</v>
      </c>
      <c r="M1348" s="333" t="s">
        <v>431</v>
      </c>
      <c r="N1348" s="219" t="s">
        <v>105</v>
      </c>
      <c r="O1348" s="220" t="s">
        <v>800</v>
      </c>
      <c r="P1348" s="220" t="s">
        <v>801</v>
      </c>
      <c r="Q1348" s="220" t="s">
        <v>802</v>
      </c>
      <c r="R1348" s="220" t="s">
        <v>803</v>
      </c>
      <c r="S1348" s="220" t="s">
        <v>804</v>
      </c>
      <c r="T1348" s="220" t="s">
        <v>805</v>
      </c>
      <c r="U1348" s="220" t="s">
        <v>806</v>
      </c>
      <c r="V1348" s="220" t="s">
        <v>807</v>
      </c>
      <c r="W1348" s="220" t="s">
        <v>808</v>
      </c>
      <c r="X1348" s="220" t="s">
        <v>809</v>
      </c>
      <c r="Y1348" s="220" t="s">
        <v>75</v>
      </c>
      <c r="Z1348" s="220" t="s">
        <v>75</v>
      </c>
    </row>
    <row r="1349" spans="2:26" ht="19">
      <c r="C1349" s="218"/>
      <c r="D1349" s="499" t="s">
        <v>432</v>
      </c>
      <c r="E1349" s="1105"/>
      <c r="F1349" s="1106"/>
      <c r="G1349" s="1107"/>
      <c r="H1349" s="863" t="s">
        <v>794</v>
      </c>
      <c r="I1349" s="1243" t="s">
        <v>1251</v>
      </c>
      <c r="J1349" s="1243"/>
      <c r="K1349" s="1244"/>
      <c r="L1349" s="891"/>
      <c r="M1349" s="335" t="s">
        <v>1250</v>
      </c>
      <c r="N1349" s="219"/>
      <c r="O1349" s="221" t="s">
        <v>810</v>
      </c>
      <c r="P1349" s="222">
        <v>0.1</v>
      </c>
      <c r="Q1349" s="223">
        <v>1.7999999999999999E-2</v>
      </c>
      <c r="R1349" s="224">
        <v>1.6999999999995907E-2</v>
      </c>
      <c r="S1349" s="225"/>
      <c r="T1349" s="221">
        <v>4.3999999999995903E-2</v>
      </c>
      <c r="U1349" s="223">
        <v>-10.6</v>
      </c>
      <c r="V1349" s="222">
        <v>60.5</v>
      </c>
      <c r="W1349" s="226">
        <v>2</v>
      </c>
      <c r="X1349" s="227">
        <v>21.2</v>
      </c>
      <c r="Y1349" s="225"/>
      <c r="Z1349" s="225"/>
    </row>
    <row r="1350" spans="2:26" ht="23">
      <c r="C1350" s="218"/>
      <c r="D1350" s="500" t="s">
        <v>433</v>
      </c>
      <c r="E1350" s="1075">
        <v>49.4</v>
      </c>
      <c r="F1350" s="1073"/>
      <c r="G1350" s="1074"/>
      <c r="H1350" s="863" t="s">
        <v>795</v>
      </c>
      <c r="I1350" s="1246"/>
      <c r="J1350" s="1246"/>
      <c r="K1350" s="1247"/>
      <c r="L1350" s="891"/>
      <c r="M1350" s="336"/>
      <c r="N1350" s="219"/>
      <c r="O1350" s="219"/>
      <c r="P1350" s="219"/>
      <c r="Q1350" s="219"/>
      <c r="R1350" s="228"/>
      <c r="S1350" s="229"/>
      <c r="T1350" s="219"/>
      <c r="U1350" s="219"/>
      <c r="V1350" s="219"/>
      <c r="W1350" s="229"/>
      <c r="X1350" s="229"/>
      <c r="Y1350" s="230"/>
      <c r="Z1350" s="230"/>
    </row>
    <row r="1351" spans="2:26" ht="23">
      <c r="C1351" s="218"/>
      <c r="D1351" s="500" t="s">
        <v>434</v>
      </c>
      <c r="E1351" s="1075">
        <v>49.7</v>
      </c>
      <c r="F1351" s="1073"/>
      <c r="G1351" s="1074"/>
      <c r="H1351" s="863"/>
      <c r="I1351" s="1246"/>
      <c r="J1351" s="1246"/>
      <c r="K1351" s="1247"/>
      <c r="L1351" s="891"/>
      <c r="M1351" s="336"/>
      <c r="N1351" s="219"/>
      <c r="O1351" s="231" t="s">
        <v>811</v>
      </c>
      <c r="P1351" s="232">
        <v>0.04</v>
      </c>
      <c r="Q1351" s="233">
        <v>6.1100000000000002E-2</v>
      </c>
      <c r="R1351" s="234">
        <v>2.8000000000000001E-2</v>
      </c>
      <c r="S1351" s="235">
        <v>1.5</v>
      </c>
      <c r="T1351" s="231">
        <v>0.11965000000000001</v>
      </c>
      <c r="U1351" s="236">
        <v>-17.294863636365246</v>
      </c>
      <c r="V1351" s="237">
        <v>24.2</v>
      </c>
      <c r="W1351" s="238">
        <v>7.2</v>
      </c>
      <c r="X1351" s="239">
        <v>124.52301818182977</v>
      </c>
      <c r="Y1351" s="240"/>
      <c r="Z1351" s="240"/>
    </row>
    <row r="1352" spans="2:26" ht="24" thickBot="1">
      <c r="C1352" s="218"/>
      <c r="D1352" s="501" t="s">
        <v>435</v>
      </c>
      <c r="E1352" s="1007">
        <v>0.61458333333333337</v>
      </c>
      <c r="F1352" s="1008"/>
      <c r="G1352" s="1009"/>
      <c r="H1352" s="865"/>
      <c r="I1352" s="1246"/>
      <c r="J1352" s="1246"/>
      <c r="K1352" s="1247"/>
      <c r="L1352" s="892">
        <v>0.84375</v>
      </c>
      <c r="M1352" s="338">
        <v>0.69791666666666663</v>
      </c>
      <c r="N1352" s="219"/>
      <c r="O1352" s="241" t="s">
        <v>812</v>
      </c>
      <c r="P1352" s="242">
        <v>0.04</v>
      </c>
      <c r="Q1352" s="243">
        <v>6.3200000000000006E-2</v>
      </c>
      <c r="R1352" s="244">
        <v>2.8000000000000001E-2</v>
      </c>
      <c r="S1352" s="245">
        <v>1.5</v>
      </c>
      <c r="T1352" s="246">
        <v>0.12280000000000001</v>
      </c>
      <c r="U1352" s="247">
        <v>-17.750181818183471</v>
      </c>
      <c r="V1352" s="248">
        <v>24.2</v>
      </c>
      <c r="W1352" s="249">
        <v>3.62</v>
      </c>
      <c r="X1352" s="250">
        <v>64.25565818182416</v>
      </c>
      <c r="Y1352" s="251"/>
      <c r="Z1352" s="251"/>
    </row>
    <row r="1353" spans="2:26" ht="25" thickBot="1">
      <c r="C1353" s="218"/>
      <c r="D1353" s="502" t="s">
        <v>436</v>
      </c>
      <c r="E1353" s="200" t="s">
        <v>29</v>
      </c>
      <c r="F1353" s="200" t="s">
        <v>28</v>
      </c>
      <c r="G1353" s="201" t="s">
        <v>27</v>
      </c>
      <c r="H1353" s="867" t="s">
        <v>793</v>
      </c>
      <c r="I1353" s="1246"/>
      <c r="J1353" s="1246"/>
      <c r="K1353" s="1247"/>
      <c r="L1353" s="893" t="s">
        <v>1246</v>
      </c>
      <c r="M1353" s="340"/>
      <c r="N1353" s="219"/>
      <c r="O1353" s="229"/>
      <c r="P1353" s="230"/>
      <c r="Q1353" s="229"/>
      <c r="R1353" s="229"/>
      <c r="S1353" s="229"/>
      <c r="T1353" s="229"/>
      <c r="U1353" s="254"/>
      <c r="V1353" s="255"/>
      <c r="W1353" s="229"/>
      <c r="X1353" s="254"/>
      <c r="Y1353" s="230"/>
      <c r="Z1353" s="230"/>
    </row>
    <row r="1354" spans="2:26" ht="24">
      <c r="C1354" s="218"/>
      <c r="D1354" s="503">
        <v>45628</v>
      </c>
      <c r="E1354" s="217">
        <v>49.7</v>
      </c>
      <c r="F1354" s="217" t="s">
        <v>510</v>
      </c>
      <c r="G1354" s="217">
        <v>48.5</v>
      </c>
      <c r="H1354" s="869">
        <v>0.61458333333333337</v>
      </c>
      <c r="I1354" s="1246"/>
      <c r="J1354" s="1246"/>
      <c r="K1354" s="1247"/>
      <c r="L1354" s="894"/>
      <c r="M1354" s="342"/>
      <c r="N1354" s="219"/>
      <c r="O1354" s="229"/>
      <c r="P1354" s="230"/>
      <c r="Q1354" s="229"/>
      <c r="R1354" s="229"/>
      <c r="S1354" s="229"/>
      <c r="T1354" s="229"/>
      <c r="U1354" s="229"/>
      <c r="V1354" s="229"/>
      <c r="W1354" s="229"/>
      <c r="X1354" s="229"/>
      <c r="Y1354" s="230"/>
      <c r="Z1354" s="230"/>
    </row>
    <row r="1355" spans="2:26" ht="24">
      <c r="C1355" s="218"/>
      <c r="D1355" s="503">
        <v>45618</v>
      </c>
      <c r="E1355" s="217">
        <v>48.8</v>
      </c>
      <c r="F1355" s="217" t="s">
        <v>510</v>
      </c>
      <c r="G1355" s="217">
        <v>48.5</v>
      </c>
      <c r="H1355" s="869">
        <v>0.61458333333333337</v>
      </c>
      <c r="I1355" s="1246"/>
      <c r="J1355" s="1246"/>
      <c r="K1355" s="1247"/>
      <c r="L1355" s="894"/>
      <c r="M1355" s="343"/>
      <c r="N1355" s="219"/>
      <c r="O1355" s="221" t="s">
        <v>813</v>
      </c>
      <c r="P1355" s="222">
        <v>0.04</v>
      </c>
      <c r="Q1355" s="257">
        <v>6.2150000000000004E-2</v>
      </c>
      <c r="R1355" s="258">
        <v>2.8000000000000001E-2</v>
      </c>
      <c r="S1355" s="225">
        <v>1.5</v>
      </c>
      <c r="T1355" s="231">
        <v>0.121225</v>
      </c>
      <c r="U1355" s="259">
        <v>-17.522522727274357</v>
      </c>
      <c r="V1355" s="260">
        <v>24.2</v>
      </c>
      <c r="W1355" s="225">
        <v>2</v>
      </c>
      <c r="X1355" s="227">
        <v>35.045045454548713</v>
      </c>
      <c r="Y1355" s="261"/>
      <c r="Z1355" s="261"/>
    </row>
    <row r="1356" spans="2:26" ht="24">
      <c r="C1356" s="218"/>
      <c r="D1356" s="503">
        <v>45597</v>
      </c>
      <c r="E1356" s="217">
        <v>48.5</v>
      </c>
      <c r="F1356" s="217" t="s">
        <v>1054</v>
      </c>
      <c r="G1356" s="217">
        <v>47.8</v>
      </c>
      <c r="H1356" s="869">
        <v>0.57291666666666663</v>
      </c>
      <c r="I1356" s="1246"/>
      <c r="J1356" s="1246"/>
      <c r="K1356" s="1247"/>
      <c r="L1356" s="894"/>
      <c r="M1356" s="336"/>
      <c r="N1356" s="219"/>
      <c r="O1356" s="221" t="s">
        <v>813</v>
      </c>
      <c r="P1356" s="222">
        <v>-0.04</v>
      </c>
      <c r="Q1356" s="257">
        <v>6.2150000000000004E-2</v>
      </c>
      <c r="R1356" s="258">
        <v>2.8000000000000001E-2</v>
      </c>
      <c r="S1356" s="225">
        <v>-1.5</v>
      </c>
      <c r="T1356" s="231">
        <v>0.121225</v>
      </c>
      <c r="U1356" s="259">
        <v>-17.522522727274357</v>
      </c>
      <c r="V1356" s="260">
        <v>-24.2</v>
      </c>
      <c r="W1356" s="225">
        <v>2</v>
      </c>
      <c r="X1356" s="227">
        <v>35.045045454548713</v>
      </c>
      <c r="Y1356" s="261"/>
      <c r="Z1356" s="261"/>
    </row>
    <row r="1357" spans="2:26" ht="24">
      <c r="C1357" s="218"/>
      <c r="D1357" s="503">
        <v>45589</v>
      </c>
      <c r="E1357" s="217">
        <v>47.8</v>
      </c>
      <c r="F1357" s="217" t="s">
        <v>509</v>
      </c>
      <c r="G1357" s="217">
        <v>47.3</v>
      </c>
      <c r="H1357" s="869">
        <v>0.57291666666666663</v>
      </c>
      <c r="I1357" s="1246"/>
      <c r="J1357" s="1246"/>
      <c r="K1357" s="1247"/>
      <c r="L1357" s="894"/>
      <c r="M1357" s="336"/>
      <c r="N1357" s="219"/>
      <c r="O1357" s="221"/>
      <c r="P1357" s="262"/>
      <c r="Q1357" s="257"/>
      <c r="R1357" s="258"/>
      <c r="S1357" s="225"/>
      <c r="T1357" s="262"/>
      <c r="U1357" s="259"/>
      <c r="V1357" s="260"/>
      <c r="W1357" s="225"/>
      <c r="X1357" s="227"/>
      <c r="Y1357" s="261"/>
      <c r="Z1357" s="261"/>
    </row>
    <row r="1358" spans="2:26" ht="24">
      <c r="C1358" s="218"/>
      <c r="D1358" s="503">
        <v>45566</v>
      </c>
      <c r="E1358" s="217">
        <v>47.3</v>
      </c>
      <c r="F1358" s="217" t="s">
        <v>758</v>
      </c>
      <c r="G1358" s="217">
        <v>47.9</v>
      </c>
      <c r="H1358" s="869">
        <v>0.57291666666666663</v>
      </c>
      <c r="I1358" s="1246"/>
      <c r="J1358" s="1246"/>
      <c r="K1358" s="1247"/>
      <c r="L1358" s="894"/>
      <c r="M1358" s="336"/>
      <c r="N1358" s="219"/>
      <c r="O1358" s="263"/>
      <c r="P1358" s="263"/>
      <c r="Q1358" s="263"/>
      <c r="R1358" s="263"/>
      <c r="S1358" s="263"/>
      <c r="T1358" s="263"/>
      <c r="U1358" s="263"/>
      <c r="V1358" s="263"/>
      <c r="W1358" s="263"/>
      <c r="X1358" s="263"/>
      <c r="Y1358" s="263"/>
      <c r="Z1358" s="263"/>
    </row>
    <row r="1359" spans="2:26" ht="25" thickBot="1">
      <c r="C1359" s="218"/>
      <c r="D1359" s="503">
        <v>45558</v>
      </c>
      <c r="E1359" s="217">
        <v>47</v>
      </c>
      <c r="F1359" s="217" t="s">
        <v>500</v>
      </c>
      <c r="G1359" s="217">
        <v>47.9</v>
      </c>
      <c r="H1359" s="869">
        <v>0.57291666666666663</v>
      </c>
      <c r="I1359" s="1249"/>
      <c r="J1359" s="1249"/>
      <c r="K1359" s="1250"/>
      <c r="L1359" s="894"/>
      <c r="M1359" s="344"/>
      <c r="N1359" s="219"/>
      <c r="O1359" s="263"/>
      <c r="P1359" s="263"/>
      <c r="Q1359" s="263"/>
      <c r="R1359" s="263"/>
      <c r="S1359" s="263"/>
      <c r="T1359" s="263"/>
      <c r="U1359" s="263"/>
      <c r="V1359" s="263"/>
      <c r="W1359" s="263"/>
      <c r="X1359" s="263"/>
      <c r="Y1359" s="263"/>
      <c r="Z1359" s="263"/>
    </row>
    <row r="1360" spans="2:26" ht="20" thickBot="1">
      <c r="C1360" s="218">
        <v>1</v>
      </c>
      <c r="D1360" s="498" t="s">
        <v>30</v>
      </c>
      <c r="E1360" s="1147" t="s">
        <v>1252</v>
      </c>
      <c r="F1360" s="1148"/>
      <c r="G1360" s="1149"/>
      <c r="H1360" s="861" t="s">
        <v>790</v>
      </c>
      <c r="I1360" s="1256" t="s">
        <v>633</v>
      </c>
      <c r="J1360" s="1256"/>
      <c r="K1360" s="1257"/>
      <c r="L1360" s="890" t="s">
        <v>430</v>
      </c>
      <c r="M1360" s="333" t="s">
        <v>431</v>
      </c>
      <c r="N1360" s="219" t="s">
        <v>105</v>
      </c>
      <c r="O1360" s="220" t="s">
        <v>800</v>
      </c>
      <c r="P1360" s="220" t="s">
        <v>801</v>
      </c>
      <c r="Q1360" s="220" t="s">
        <v>802</v>
      </c>
      <c r="R1360" s="220" t="s">
        <v>803</v>
      </c>
      <c r="S1360" s="220" t="s">
        <v>804</v>
      </c>
      <c r="T1360" s="220" t="s">
        <v>805</v>
      </c>
      <c r="U1360" s="220" t="s">
        <v>806</v>
      </c>
      <c r="V1360" s="220" t="s">
        <v>807</v>
      </c>
      <c r="W1360" s="220" t="s">
        <v>808</v>
      </c>
      <c r="X1360" s="220" t="s">
        <v>809</v>
      </c>
      <c r="Y1360" s="220" t="s">
        <v>75</v>
      </c>
      <c r="Z1360" s="220" t="s">
        <v>75</v>
      </c>
    </row>
    <row r="1361" spans="3:26" ht="19">
      <c r="C1361" s="218"/>
      <c r="D1361" s="499" t="s">
        <v>432</v>
      </c>
      <c r="E1361" s="1105"/>
      <c r="F1361" s="1106"/>
      <c r="G1361" s="1107"/>
      <c r="H1361" s="863" t="s">
        <v>794</v>
      </c>
      <c r="I1361" s="1243" t="s">
        <v>1253</v>
      </c>
      <c r="J1361" s="1243"/>
      <c r="K1361" s="1244"/>
      <c r="L1361" s="891"/>
      <c r="M1361" s="335" t="s">
        <v>1252</v>
      </c>
      <c r="N1361" s="219"/>
      <c r="O1361" s="221" t="s">
        <v>810</v>
      </c>
      <c r="P1361" s="222">
        <v>0.1</v>
      </c>
      <c r="Q1361" s="223">
        <v>1.4E-2</v>
      </c>
      <c r="R1361" s="224">
        <v>2.2999999999996135E-2</v>
      </c>
      <c r="S1361" s="225"/>
      <c r="T1361" s="221">
        <v>4.3999999999996139E-2</v>
      </c>
      <c r="U1361" s="223">
        <v>-10.93</v>
      </c>
      <c r="V1361" s="222">
        <v>60.5</v>
      </c>
      <c r="W1361" s="226">
        <v>2</v>
      </c>
      <c r="X1361" s="227">
        <v>21.86</v>
      </c>
      <c r="Y1361" s="225"/>
      <c r="Z1361" s="225"/>
    </row>
    <row r="1362" spans="3:26" ht="23">
      <c r="C1362" s="218"/>
      <c r="D1362" s="500" t="s">
        <v>433</v>
      </c>
      <c r="E1362" s="1075">
        <v>55.7</v>
      </c>
      <c r="F1362" s="1073"/>
      <c r="G1362" s="1074"/>
      <c r="H1362" s="863" t="s">
        <v>795</v>
      </c>
      <c r="I1362" s="1246"/>
      <c r="J1362" s="1246"/>
      <c r="K1362" s="1247"/>
      <c r="L1362" s="891"/>
      <c r="M1362" s="336"/>
      <c r="N1362" s="219"/>
      <c r="O1362" s="219"/>
      <c r="P1362" s="219"/>
      <c r="Q1362" s="219"/>
      <c r="R1362" s="228"/>
      <c r="S1362" s="229"/>
      <c r="T1362" s="219"/>
      <c r="U1362" s="219"/>
      <c r="V1362" s="219"/>
      <c r="W1362" s="229"/>
      <c r="X1362" s="229"/>
      <c r="Y1362" s="230"/>
      <c r="Z1362" s="230"/>
    </row>
    <row r="1363" spans="3:26" ht="23">
      <c r="C1363" s="218"/>
      <c r="D1363" s="500" t="s">
        <v>434</v>
      </c>
      <c r="E1363" s="1075">
        <v>56.1</v>
      </c>
      <c r="F1363" s="1073"/>
      <c r="G1363" s="1074"/>
      <c r="H1363" s="863"/>
      <c r="I1363" s="1246"/>
      <c r="J1363" s="1246"/>
      <c r="K1363" s="1247"/>
      <c r="L1363" s="891"/>
      <c r="M1363" s="336"/>
      <c r="N1363" s="219"/>
      <c r="O1363" s="231" t="s">
        <v>811</v>
      </c>
      <c r="P1363" s="232">
        <v>0.1</v>
      </c>
      <c r="Q1363" s="233">
        <v>6.4699999999999994E-2</v>
      </c>
      <c r="R1363" s="234">
        <v>5.0999999999999997E-2</v>
      </c>
      <c r="S1363" s="235">
        <v>1</v>
      </c>
      <c r="T1363" s="231">
        <v>0.14804999999999999</v>
      </c>
      <c r="U1363" s="236">
        <v>-36.77696590909413</v>
      </c>
      <c r="V1363" s="237">
        <v>60.5</v>
      </c>
      <c r="W1363" s="238">
        <v>4.26</v>
      </c>
      <c r="X1363" s="239">
        <v>156.669874772741</v>
      </c>
      <c r="Y1363" s="240"/>
      <c r="Z1363" s="240"/>
    </row>
    <row r="1364" spans="3:26" ht="24" thickBot="1">
      <c r="C1364" s="218"/>
      <c r="D1364" s="501" t="s">
        <v>435</v>
      </c>
      <c r="E1364" s="1007">
        <v>0.61458333333333337</v>
      </c>
      <c r="F1364" s="1008"/>
      <c r="G1364" s="1009"/>
      <c r="H1364" s="865"/>
      <c r="I1364" s="1246"/>
      <c r="J1364" s="1246"/>
      <c r="K1364" s="1247"/>
      <c r="L1364" s="892">
        <v>0.84375</v>
      </c>
      <c r="M1364" s="338">
        <v>0.69791666666666663</v>
      </c>
      <c r="N1364" s="219"/>
      <c r="O1364" s="241" t="s">
        <v>812</v>
      </c>
      <c r="P1364" s="242">
        <v>0.1</v>
      </c>
      <c r="Q1364" s="243">
        <v>7.2133333333333341E-2</v>
      </c>
      <c r="R1364" s="244">
        <v>5.0999999999999997E-2</v>
      </c>
      <c r="S1364" s="245">
        <v>1</v>
      </c>
      <c r="T1364" s="246">
        <v>0.15920000000000001</v>
      </c>
      <c r="U1364" s="247">
        <v>-39.546727272730742</v>
      </c>
      <c r="V1364" s="248">
        <v>60.5</v>
      </c>
      <c r="W1364" s="249">
        <v>3.07</v>
      </c>
      <c r="X1364" s="250">
        <v>121.40845272728338</v>
      </c>
      <c r="Y1364" s="251"/>
      <c r="Z1364" s="251"/>
    </row>
    <row r="1365" spans="3:26" ht="25" thickBot="1">
      <c r="C1365" s="218"/>
      <c r="D1365" s="502" t="s">
        <v>436</v>
      </c>
      <c r="E1365" s="200" t="s">
        <v>29</v>
      </c>
      <c r="F1365" s="200" t="s">
        <v>28</v>
      </c>
      <c r="G1365" s="201" t="s">
        <v>27</v>
      </c>
      <c r="H1365" s="867" t="s">
        <v>793</v>
      </c>
      <c r="I1365" s="1246"/>
      <c r="J1365" s="1246"/>
      <c r="K1365" s="1247"/>
      <c r="L1365" s="893" t="s">
        <v>1246</v>
      </c>
      <c r="M1365" s="340"/>
      <c r="N1365" s="219"/>
      <c r="O1365" s="229"/>
      <c r="P1365" s="230"/>
      <c r="Q1365" s="229"/>
      <c r="R1365" s="229"/>
      <c r="S1365" s="229"/>
      <c r="T1365" s="229"/>
      <c r="U1365" s="254"/>
      <c r="V1365" s="255"/>
      <c r="W1365" s="229"/>
      <c r="X1365" s="254"/>
      <c r="Y1365" s="230"/>
      <c r="Z1365" s="230"/>
    </row>
    <row r="1366" spans="3:26" ht="24">
      <c r="C1366" s="218"/>
      <c r="D1366" s="503">
        <v>45630</v>
      </c>
      <c r="E1366" s="217">
        <v>56.1</v>
      </c>
      <c r="F1366" s="217" t="s">
        <v>1285</v>
      </c>
      <c r="G1366" s="217">
        <v>55</v>
      </c>
      <c r="H1366" s="869">
        <v>0.61458333333333337</v>
      </c>
      <c r="I1366" s="1246"/>
      <c r="J1366" s="1246"/>
      <c r="K1366" s="1247"/>
      <c r="L1366" s="894"/>
      <c r="M1366" s="342"/>
      <c r="N1366" s="219"/>
      <c r="O1366" s="229"/>
      <c r="P1366" s="230"/>
      <c r="Q1366" s="229"/>
      <c r="R1366" s="229"/>
      <c r="S1366" s="229"/>
      <c r="T1366" s="229"/>
      <c r="U1366" s="229"/>
      <c r="V1366" s="229"/>
      <c r="W1366" s="229"/>
      <c r="X1366" s="229"/>
      <c r="Y1366" s="230"/>
      <c r="Z1366" s="230"/>
    </row>
    <row r="1367" spans="3:26" ht="24">
      <c r="C1367" s="218"/>
      <c r="D1367" s="503">
        <v>45618</v>
      </c>
      <c r="E1367" s="217">
        <v>57</v>
      </c>
      <c r="F1367" s="217" t="s">
        <v>586</v>
      </c>
      <c r="G1367" s="217">
        <v>55</v>
      </c>
      <c r="H1367" s="869">
        <v>0.61458333333333337</v>
      </c>
      <c r="I1367" s="1246"/>
      <c r="J1367" s="1246"/>
      <c r="K1367" s="1247"/>
      <c r="L1367" s="894"/>
      <c r="M1367" s="343"/>
      <c r="N1367" s="219"/>
      <c r="O1367" s="221" t="s">
        <v>813</v>
      </c>
      <c r="P1367" s="222">
        <v>0.02</v>
      </c>
      <c r="Q1367" s="257">
        <v>6.8416666666666667E-2</v>
      </c>
      <c r="R1367" s="258">
        <v>5.0999999999999997E-2</v>
      </c>
      <c r="S1367" s="225">
        <v>1.5</v>
      </c>
      <c r="T1367" s="231">
        <v>0.15362499999999998</v>
      </c>
      <c r="U1367" s="259">
        <v>-11.448553977273731</v>
      </c>
      <c r="V1367" s="260">
        <v>12.1</v>
      </c>
      <c r="W1367" s="225">
        <v>2</v>
      </c>
      <c r="X1367" s="227">
        <v>22.897107954547462</v>
      </c>
      <c r="Y1367" s="261"/>
      <c r="Z1367" s="261"/>
    </row>
    <row r="1368" spans="3:26" ht="24">
      <c r="C1368" s="218"/>
      <c r="D1368" s="503">
        <v>45601</v>
      </c>
      <c r="E1368" s="217">
        <v>55</v>
      </c>
      <c r="F1368" s="217" t="s">
        <v>585</v>
      </c>
      <c r="G1368" s="217">
        <v>55.2</v>
      </c>
      <c r="H1368" s="869">
        <v>0.61458333333333337</v>
      </c>
      <c r="I1368" s="1246"/>
      <c r="J1368" s="1246"/>
      <c r="K1368" s="1247"/>
      <c r="L1368" s="894"/>
      <c r="M1368" s="336"/>
      <c r="N1368" s="219"/>
      <c r="O1368" s="221" t="s">
        <v>813</v>
      </c>
      <c r="P1368" s="222">
        <v>-0.02</v>
      </c>
      <c r="Q1368" s="257">
        <v>6.8416666666666667E-2</v>
      </c>
      <c r="R1368" s="258">
        <v>5.0999999999999997E-2</v>
      </c>
      <c r="S1368" s="225">
        <v>-1.5</v>
      </c>
      <c r="T1368" s="231">
        <v>0.15362499999999998</v>
      </c>
      <c r="U1368" s="259">
        <v>-11.448553977273731</v>
      </c>
      <c r="V1368" s="260">
        <v>-12.1</v>
      </c>
      <c r="W1368" s="225">
        <v>2</v>
      </c>
      <c r="X1368" s="227">
        <v>22.897107954547462</v>
      </c>
      <c r="Y1368" s="261"/>
      <c r="Z1368" s="261"/>
    </row>
    <row r="1369" spans="3:26" ht="24">
      <c r="C1369" s="218"/>
      <c r="D1369" s="503">
        <v>45589</v>
      </c>
      <c r="E1369" s="217">
        <v>55.3</v>
      </c>
      <c r="F1369" s="217" t="s">
        <v>604</v>
      </c>
      <c r="G1369" s="217">
        <v>55.2</v>
      </c>
      <c r="H1369" s="869">
        <v>0.57291666666666663</v>
      </c>
      <c r="I1369" s="1246"/>
      <c r="J1369" s="1246"/>
      <c r="K1369" s="1247"/>
      <c r="L1369" s="894"/>
      <c r="M1369" s="336"/>
      <c r="N1369" s="219"/>
      <c r="O1369" s="221"/>
      <c r="P1369" s="262"/>
      <c r="Q1369" s="257"/>
      <c r="R1369" s="258"/>
      <c r="S1369" s="225"/>
      <c r="T1369" s="262"/>
      <c r="U1369" s="259"/>
      <c r="V1369" s="260"/>
      <c r="W1369" s="225"/>
      <c r="X1369" s="227"/>
      <c r="Y1369" s="261"/>
      <c r="Z1369" s="261"/>
    </row>
    <row r="1370" spans="3:26" ht="24">
      <c r="C1370" s="218"/>
      <c r="D1370" s="503">
        <v>45568</v>
      </c>
      <c r="E1370" s="217">
        <v>55.2</v>
      </c>
      <c r="F1370" s="217" t="s">
        <v>759</v>
      </c>
      <c r="G1370" s="217">
        <v>55.7</v>
      </c>
      <c r="H1370" s="869">
        <v>0.57291666666666663</v>
      </c>
      <c r="I1370" s="1246"/>
      <c r="J1370" s="1246"/>
      <c r="K1370" s="1247"/>
      <c r="L1370" s="894"/>
      <c r="M1370" s="336"/>
      <c r="N1370" s="219"/>
      <c r="O1370" s="263"/>
      <c r="P1370" s="263"/>
      <c r="Q1370" s="263"/>
      <c r="R1370" s="263"/>
      <c r="S1370" s="263"/>
      <c r="T1370" s="263"/>
      <c r="U1370" s="263"/>
      <c r="V1370" s="263"/>
      <c r="W1370" s="263"/>
      <c r="X1370" s="263"/>
      <c r="Y1370" s="263"/>
      <c r="Z1370" s="263"/>
    </row>
    <row r="1371" spans="3:26" ht="25" thickBot="1">
      <c r="C1371" s="218"/>
      <c r="D1371" s="503">
        <v>45558</v>
      </c>
      <c r="E1371" s="217">
        <v>55.4</v>
      </c>
      <c r="F1371" s="217" t="s">
        <v>585</v>
      </c>
      <c r="G1371" s="217">
        <v>55.7</v>
      </c>
      <c r="H1371" s="869">
        <v>0.57291666666666663</v>
      </c>
      <c r="I1371" s="1249"/>
      <c r="J1371" s="1249"/>
      <c r="K1371" s="1250"/>
      <c r="L1371" s="894"/>
      <c r="M1371" s="344"/>
      <c r="N1371" s="219"/>
      <c r="O1371" s="263"/>
      <c r="P1371" s="263"/>
      <c r="Q1371" s="263"/>
      <c r="R1371" s="263"/>
      <c r="S1371" s="263"/>
      <c r="T1371" s="263"/>
      <c r="U1371" s="263"/>
      <c r="V1371" s="263"/>
      <c r="W1371" s="263"/>
      <c r="X1371" s="263"/>
      <c r="Y1371" s="263"/>
      <c r="Z1371" s="263"/>
    </row>
    <row r="1372" spans="3:26" ht="20" thickBot="1">
      <c r="C1372" s="218"/>
      <c r="D1372" s="498" t="s">
        <v>30</v>
      </c>
      <c r="E1372" s="1147" t="s">
        <v>1254</v>
      </c>
      <c r="F1372" s="1148"/>
      <c r="G1372" s="1149"/>
      <c r="H1372" s="861" t="s">
        <v>790</v>
      </c>
      <c r="I1372" s="1256" t="s">
        <v>633</v>
      </c>
      <c r="J1372" s="1256"/>
      <c r="K1372" s="1257"/>
      <c r="L1372" s="890" t="s">
        <v>430</v>
      </c>
      <c r="M1372" s="333" t="s">
        <v>431</v>
      </c>
      <c r="N1372" s="219" t="s">
        <v>105</v>
      </c>
      <c r="O1372" s="220" t="s">
        <v>800</v>
      </c>
      <c r="P1372" s="220" t="s">
        <v>801</v>
      </c>
      <c r="Q1372" s="220" t="s">
        <v>802</v>
      </c>
      <c r="R1372" s="220" t="s">
        <v>803</v>
      </c>
      <c r="S1372" s="220" t="s">
        <v>804</v>
      </c>
      <c r="T1372" s="220" t="s">
        <v>805</v>
      </c>
      <c r="U1372" s="220" t="s">
        <v>806</v>
      </c>
      <c r="V1372" s="220" t="s">
        <v>807</v>
      </c>
      <c r="W1372" s="220" t="s">
        <v>808</v>
      </c>
      <c r="X1372" s="220" t="s">
        <v>809</v>
      </c>
      <c r="Y1372" s="220" t="s">
        <v>75</v>
      </c>
      <c r="Z1372" s="220" t="s">
        <v>75</v>
      </c>
    </row>
    <row r="1373" spans="3:26" ht="19">
      <c r="C1373" s="218"/>
      <c r="D1373" s="499" t="s">
        <v>432</v>
      </c>
      <c r="E1373" s="1105"/>
      <c r="F1373" s="1106"/>
      <c r="G1373" s="1107"/>
      <c r="H1373" s="863" t="s">
        <v>1056</v>
      </c>
      <c r="I1373" s="1243" t="s">
        <v>1255</v>
      </c>
      <c r="J1373" s="1243"/>
      <c r="K1373" s="1244"/>
      <c r="L1373" s="891"/>
      <c r="M1373" s="335" t="s">
        <v>1254</v>
      </c>
      <c r="N1373" s="219"/>
      <c r="O1373" s="221" t="s">
        <v>810</v>
      </c>
      <c r="P1373" s="222">
        <v>0.1</v>
      </c>
      <c r="Q1373" s="224">
        <v>2.2999999999996135E-2</v>
      </c>
      <c r="R1373" s="224">
        <v>1.6000000000005343E-2</v>
      </c>
      <c r="S1373" s="225"/>
      <c r="T1373" s="221">
        <v>5.0499999999999545E-2</v>
      </c>
      <c r="U1373" s="223">
        <v>-13.1</v>
      </c>
      <c r="V1373" s="222">
        <v>60.5</v>
      </c>
      <c r="W1373" s="226">
        <v>2</v>
      </c>
      <c r="X1373" s="227">
        <v>26.2</v>
      </c>
      <c r="Y1373" s="225"/>
      <c r="Z1373" s="225"/>
    </row>
    <row r="1374" spans="3:26" ht="23">
      <c r="C1374" s="218"/>
      <c r="D1374" s="500" t="s">
        <v>433</v>
      </c>
      <c r="E1374" s="1096"/>
      <c r="F1374" s="1097"/>
      <c r="G1374" s="1098"/>
      <c r="H1374" s="863" t="s">
        <v>1057</v>
      </c>
      <c r="I1374" s="1246"/>
      <c r="J1374" s="1246"/>
      <c r="K1374" s="1247"/>
      <c r="L1374" s="891"/>
      <c r="M1374" s="336"/>
      <c r="N1374" s="219"/>
      <c r="O1374" s="219"/>
      <c r="P1374" s="219"/>
      <c r="Q1374" s="219"/>
      <c r="R1374" s="228"/>
      <c r="S1374" s="229"/>
      <c r="T1374" s="219"/>
      <c r="U1374" s="219"/>
      <c r="V1374" s="219"/>
      <c r="W1374" s="229"/>
      <c r="X1374" s="229"/>
      <c r="Y1374" s="230"/>
      <c r="Z1374" s="230"/>
    </row>
    <row r="1375" spans="3:26" ht="23">
      <c r="C1375" s="218"/>
      <c r="D1375" s="500" t="s">
        <v>434</v>
      </c>
      <c r="E1375" s="1096">
        <v>1.7000000000000001E-2</v>
      </c>
      <c r="F1375" s="1097"/>
      <c r="G1375" s="1098"/>
      <c r="H1375" s="863"/>
      <c r="I1375" s="1246"/>
      <c r="J1375" s="1246"/>
      <c r="K1375" s="1247"/>
      <c r="L1375" s="891"/>
      <c r="M1375" s="336"/>
      <c r="N1375" s="219"/>
      <c r="O1375" s="231" t="s">
        <v>811</v>
      </c>
      <c r="P1375" s="232">
        <v>0.1</v>
      </c>
      <c r="Q1375" s="233">
        <v>7.5399999999999995E-2</v>
      </c>
      <c r="R1375" s="234">
        <v>2.1999999999999999E-2</v>
      </c>
      <c r="S1375" s="235">
        <v>1.5</v>
      </c>
      <c r="T1375" s="231">
        <v>0.1351</v>
      </c>
      <c r="U1375" s="236">
        <v>-35.045742574257744</v>
      </c>
      <c r="V1375" s="237">
        <v>60.5</v>
      </c>
      <c r="W1375" s="238">
        <v>4.1100000000000003</v>
      </c>
      <c r="X1375" s="239">
        <v>144.03800198019934</v>
      </c>
      <c r="Y1375" s="240"/>
      <c r="Z1375" s="240"/>
    </row>
    <row r="1376" spans="3:26" ht="24" thickBot="1">
      <c r="C1376" s="218"/>
      <c r="D1376" s="501" t="s">
        <v>435</v>
      </c>
      <c r="E1376" s="1007">
        <v>0.5625</v>
      </c>
      <c r="F1376" s="1008"/>
      <c r="G1376" s="1009"/>
      <c r="H1376" s="865"/>
      <c r="I1376" s="1246"/>
      <c r="J1376" s="1246"/>
      <c r="K1376" s="1247"/>
      <c r="L1376" s="892">
        <v>0.79166666666666663</v>
      </c>
      <c r="M1376" s="338">
        <v>0.64583333333333326</v>
      </c>
      <c r="N1376" s="219"/>
      <c r="O1376" s="241" t="s">
        <v>812</v>
      </c>
      <c r="P1376" s="242">
        <v>0.1</v>
      </c>
      <c r="Q1376" s="243">
        <v>7.5600000000000001E-2</v>
      </c>
      <c r="R1376" s="244">
        <v>2.1999999999999999E-2</v>
      </c>
      <c r="S1376" s="245">
        <v>1.5</v>
      </c>
      <c r="T1376" s="246">
        <v>0.13539999999999999</v>
      </c>
      <c r="U1376" s="247">
        <v>-52.685346534653931</v>
      </c>
      <c r="V1376" s="248">
        <v>60.5</v>
      </c>
      <c r="W1376" s="249">
        <v>3.27</v>
      </c>
      <c r="X1376" s="250">
        <v>172.28108316831836</v>
      </c>
      <c r="Y1376" s="251"/>
      <c r="Z1376" s="251"/>
    </row>
    <row r="1377" spans="3:26" ht="25" thickBot="1">
      <c r="C1377" s="218"/>
      <c r="D1377" s="502" t="s">
        <v>436</v>
      </c>
      <c r="E1377" s="200" t="s">
        <v>29</v>
      </c>
      <c r="F1377" s="200" t="s">
        <v>28</v>
      </c>
      <c r="G1377" s="201" t="s">
        <v>27</v>
      </c>
      <c r="H1377" s="867" t="s">
        <v>793</v>
      </c>
      <c r="I1377" s="1246"/>
      <c r="J1377" s="1246"/>
      <c r="K1377" s="1247"/>
      <c r="L1377" s="893" t="s">
        <v>1246</v>
      </c>
      <c r="M1377" s="340"/>
      <c r="N1377" s="219"/>
      <c r="O1377" s="229"/>
      <c r="P1377" s="230"/>
      <c r="Q1377" s="229"/>
      <c r="R1377" s="229"/>
      <c r="S1377" s="229"/>
      <c r="T1377" s="229"/>
      <c r="U1377" s="254"/>
      <c r="V1377" s="255"/>
      <c r="W1377" s="229"/>
      <c r="X1377" s="254"/>
      <c r="Y1377" s="230"/>
      <c r="Z1377" s="230"/>
    </row>
    <row r="1378" spans="3:26" ht="23">
      <c r="C1378" s="218"/>
      <c r="D1378" s="503">
        <v>45615</v>
      </c>
      <c r="E1378" s="202">
        <v>1.7000000000000001E-2</v>
      </c>
      <c r="F1378" s="202"/>
      <c r="G1378" s="202">
        <v>1.6E-2</v>
      </c>
      <c r="H1378" s="869">
        <v>0.5625</v>
      </c>
      <c r="I1378" s="1246"/>
      <c r="J1378" s="1246"/>
      <c r="K1378" s="1247"/>
      <c r="L1378" s="894"/>
      <c r="M1378" s="342"/>
      <c r="N1378" s="219"/>
      <c r="O1378" s="229"/>
      <c r="P1378" s="230"/>
      <c r="Q1378" s="229"/>
      <c r="R1378" s="229"/>
      <c r="S1378" s="229"/>
      <c r="T1378" s="229"/>
      <c r="U1378" s="229"/>
      <c r="V1378" s="229"/>
      <c r="W1378" s="229"/>
      <c r="X1378" s="229"/>
      <c r="Y1378" s="230"/>
      <c r="Z1378" s="230"/>
    </row>
    <row r="1379" spans="3:26" ht="23">
      <c r="C1379" s="218"/>
      <c r="D1379" s="503">
        <v>45580</v>
      </c>
      <c r="E1379" s="202">
        <v>1.6E-2</v>
      </c>
      <c r="F1379" s="202"/>
      <c r="G1379" s="202">
        <v>1.4999999999999999E-2</v>
      </c>
      <c r="H1379" s="869">
        <v>0.52083333333333337</v>
      </c>
      <c r="I1379" s="1246"/>
      <c r="J1379" s="1246"/>
      <c r="K1379" s="1247"/>
      <c r="L1379" s="894"/>
      <c r="M1379" s="343"/>
      <c r="N1379" s="219"/>
      <c r="O1379" s="221" t="s">
        <v>813</v>
      </c>
      <c r="P1379" s="222">
        <v>0.05</v>
      </c>
      <c r="Q1379" s="257">
        <v>7.5499999999999998E-2</v>
      </c>
      <c r="R1379" s="258">
        <v>2.1999999999999999E-2</v>
      </c>
      <c r="S1379" s="225">
        <v>1.5</v>
      </c>
      <c r="T1379" s="231">
        <v>0.13524999999999998</v>
      </c>
      <c r="U1379" s="259">
        <v>-26.313490099010135</v>
      </c>
      <c r="V1379" s="260">
        <v>30.25</v>
      </c>
      <c r="W1379" s="225">
        <v>2.5</v>
      </c>
      <c r="X1379" s="227">
        <v>65.783725247525339</v>
      </c>
      <c r="Y1379" s="261"/>
      <c r="Z1379" s="261"/>
    </row>
    <row r="1380" spans="3:26" ht="23">
      <c r="C1380" s="218"/>
      <c r="D1380" s="503">
        <v>45552</v>
      </c>
      <c r="E1380" s="202">
        <v>1.4999999999999999E-2</v>
      </c>
      <c r="F1380" s="202"/>
      <c r="G1380" s="202">
        <v>1.7000000000000001E-2</v>
      </c>
      <c r="H1380" s="869">
        <v>0.52083333333333337</v>
      </c>
      <c r="I1380" s="1246"/>
      <c r="J1380" s="1246"/>
      <c r="K1380" s="1247"/>
      <c r="L1380" s="894"/>
      <c r="M1380" s="336"/>
      <c r="N1380" s="219"/>
      <c r="O1380" s="221" t="s">
        <v>813</v>
      </c>
      <c r="P1380" s="222">
        <v>-0.05</v>
      </c>
      <c r="Q1380" s="257">
        <v>7.5499999999999998E-2</v>
      </c>
      <c r="R1380" s="258">
        <v>2.1999999999999999E-2</v>
      </c>
      <c r="S1380" s="225">
        <v>-1.5</v>
      </c>
      <c r="T1380" s="231">
        <v>0.13524999999999998</v>
      </c>
      <c r="U1380" s="259">
        <v>-26.313490099010135</v>
      </c>
      <c r="V1380" s="260">
        <v>-30.25</v>
      </c>
      <c r="W1380" s="225">
        <v>2.5</v>
      </c>
      <c r="X1380" s="227">
        <v>65.783725247525339</v>
      </c>
      <c r="Y1380" s="261"/>
      <c r="Z1380" s="261"/>
    </row>
    <row r="1381" spans="3:26" ht="23">
      <c r="C1381" s="218"/>
      <c r="D1381" s="503">
        <v>45524</v>
      </c>
      <c r="E1381" s="202">
        <v>1.7000000000000001E-2</v>
      </c>
      <c r="F1381" s="202"/>
      <c r="G1381" s="202">
        <v>1.9E-2</v>
      </c>
      <c r="H1381" s="869">
        <v>0.52083333333333337</v>
      </c>
      <c r="I1381" s="1246"/>
      <c r="J1381" s="1246"/>
      <c r="K1381" s="1247"/>
      <c r="L1381" s="894"/>
      <c r="M1381" s="336"/>
      <c r="N1381" s="219"/>
      <c r="O1381" s="221"/>
      <c r="P1381" s="262"/>
      <c r="Q1381" s="257"/>
      <c r="R1381" s="258"/>
      <c r="S1381" s="225"/>
      <c r="T1381" s="262"/>
      <c r="U1381" s="259"/>
      <c r="V1381" s="260"/>
      <c r="W1381" s="225"/>
      <c r="X1381" s="227"/>
      <c r="Y1381" s="261"/>
      <c r="Z1381" s="261"/>
    </row>
    <row r="1382" spans="3:26" ht="23">
      <c r="C1382" s="218"/>
      <c r="D1382" s="503">
        <v>45489</v>
      </c>
      <c r="E1382" s="202">
        <v>1.9E-2</v>
      </c>
      <c r="F1382" s="202"/>
      <c r="G1382" s="202">
        <v>1.7999999999999999E-2</v>
      </c>
      <c r="H1382" s="869">
        <v>0.52083333333333337</v>
      </c>
      <c r="I1382" s="1246"/>
      <c r="J1382" s="1246"/>
      <c r="K1382" s="1247"/>
      <c r="L1382" s="894"/>
      <c r="M1382" s="336"/>
      <c r="N1382" s="219"/>
      <c r="O1382" s="263"/>
      <c r="P1382" s="263"/>
      <c r="Q1382" s="263"/>
      <c r="R1382" s="263"/>
      <c r="S1382" s="263"/>
      <c r="T1382" s="263"/>
      <c r="U1382" s="263"/>
      <c r="V1382" s="263"/>
      <c r="W1382" s="263"/>
      <c r="X1382" s="263"/>
      <c r="Y1382" s="263"/>
      <c r="Z1382" s="263"/>
    </row>
    <row r="1383" spans="3:26" ht="24" thickBot="1">
      <c r="C1383" s="218"/>
      <c r="D1383" s="503">
        <v>45468</v>
      </c>
      <c r="E1383" s="202">
        <v>1.7999999999999999E-2</v>
      </c>
      <c r="F1383" s="202"/>
      <c r="G1383" s="202">
        <v>1.6E-2</v>
      </c>
      <c r="H1383" s="869">
        <v>0.52083333333333337</v>
      </c>
      <c r="I1383" s="1249"/>
      <c r="J1383" s="1249"/>
      <c r="K1383" s="1250"/>
      <c r="L1383" s="894"/>
      <c r="M1383" s="344"/>
      <c r="N1383" s="219"/>
      <c r="O1383" s="263"/>
      <c r="P1383" s="263"/>
      <c r="Q1383" s="263"/>
      <c r="R1383" s="263"/>
      <c r="S1383" s="263"/>
      <c r="T1383" s="263"/>
      <c r="U1383" s="263"/>
      <c r="V1383" s="263"/>
      <c r="W1383" s="263"/>
      <c r="X1383" s="263"/>
      <c r="Y1383" s="263"/>
      <c r="Z1383" s="263"/>
    </row>
    <row r="1384" spans="3:26" ht="20" thickBot="1">
      <c r="C1384" s="218"/>
      <c r="D1384" s="498" t="s">
        <v>30</v>
      </c>
      <c r="E1384" s="1147" t="s">
        <v>1256</v>
      </c>
      <c r="F1384" s="1148"/>
      <c r="G1384" s="1149"/>
      <c r="H1384" s="861" t="s">
        <v>790</v>
      </c>
      <c r="I1384" s="1256" t="s">
        <v>633</v>
      </c>
      <c r="J1384" s="1256"/>
      <c r="K1384" s="1257"/>
      <c r="L1384" s="890" t="s">
        <v>430</v>
      </c>
      <c r="M1384" s="333" t="s">
        <v>431</v>
      </c>
      <c r="N1384" s="219" t="s">
        <v>105</v>
      </c>
      <c r="O1384" s="220" t="s">
        <v>800</v>
      </c>
      <c r="P1384" s="220" t="s">
        <v>801</v>
      </c>
      <c r="Q1384" s="220" t="s">
        <v>802</v>
      </c>
      <c r="R1384" s="220" t="s">
        <v>803</v>
      </c>
      <c r="S1384" s="220" t="s">
        <v>804</v>
      </c>
      <c r="T1384" s="220" t="s">
        <v>805</v>
      </c>
      <c r="U1384" s="220" t="s">
        <v>806</v>
      </c>
      <c r="V1384" s="220" t="s">
        <v>807</v>
      </c>
      <c r="W1384" s="220" t="s">
        <v>808</v>
      </c>
      <c r="X1384" s="220" t="s">
        <v>809</v>
      </c>
      <c r="Y1384" s="220" t="s">
        <v>75</v>
      </c>
      <c r="Z1384" s="220" t="s">
        <v>75</v>
      </c>
    </row>
    <row r="1385" spans="3:26" ht="19">
      <c r="C1385" s="218"/>
      <c r="D1385" s="499" t="s">
        <v>432</v>
      </c>
      <c r="E1385" s="1105"/>
      <c r="F1385" s="1106"/>
      <c r="G1385" s="1107"/>
      <c r="H1385" s="863" t="s">
        <v>1056</v>
      </c>
      <c r="I1385" s="1243" t="s">
        <v>1255</v>
      </c>
      <c r="J1385" s="1243"/>
      <c r="K1385" s="1244"/>
      <c r="L1385" s="891"/>
      <c r="M1385" s="335" t="s">
        <v>1256</v>
      </c>
      <c r="N1385" s="219"/>
      <c r="O1385" s="221" t="s">
        <v>810</v>
      </c>
      <c r="P1385" s="222">
        <v>0.1</v>
      </c>
      <c r="Q1385" s="223">
        <v>1.4E-2</v>
      </c>
      <c r="R1385" s="224">
        <v>2.2999999999996135E-2</v>
      </c>
      <c r="S1385" s="225"/>
      <c r="T1385" s="221">
        <v>4.3999999999996139E-2</v>
      </c>
      <c r="U1385" s="223">
        <v>-10.93</v>
      </c>
      <c r="V1385" s="222">
        <v>60.5</v>
      </c>
      <c r="W1385" s="226">
        <v>2</v>
      </c>
      <c r="X1385" s="227">
        <v>21.86</v>
      </c>
      <c r="Y1385" s="225"/>
      <c r="Z1385" s="225"/>
    </row>
    <row r="1386" spans="3:26" ht="23">
      <c r="C1386" s="218"/>
      <c r="D1386" s="500" t="s">
        <v>433</v>
      </c>
      <c r="E1386" s="1063">
        <v>1E-3</v>
      </c>
      <c r="F1386" s="1064"/>
      <c r="G1386" s="1065"/>
      <c r="H1386" s="863" t="s">
        <v>1057</v>
      </c>
      <c r="I1386" s="1246"/>
      <c r="J1386" s="1246"/>
      <c r="K1386" s="1247"/>
      <c r="L1386" s="891"/>
      <c r="M1386" s="336"/>
      <c r="N1386" s="219"/>
      <c r="O1386" s="219"/>
      <c r="P1386" s="219"/>
      <c r="Q1386" s="219"/>
      <c r="R1386" s="228"/>
      <c r="S1386" s="229"/>
      <c r="T1386" s="219"/>
      <c r="U1386" s="219"/>
      <c r="V1386" s="219"/>
      <c r="W1386" s="229"/>
      <c r="X1386" s="229"/>
      <c r="Y1386" s="230"/>
      <c r="Z1386" s="230"/>
    </row>
    <row r="1387" spans="3:26" ht="23">
      <c r="C1387" s="218"/>
      <c r="D1387" s="500" t="s">
        <v>434</v>
      </c>
      <c r="E1387" s="1063">
        <v>4.0000000000000001E-3</v>
      </c>
      <c r="F1387" s="1064"/>
      <c r="G1387" s="1065"/>
      <c r="H1387" s="863"/>
      <c r="I1387" s="1246"/>
      <c r="J1387" s="1246"/>
      <c r="K1387" s="1247"/>
      <c r="L1387" s="891"/>
      <c r="M1387" s="336"/>
      <c r="N1387" s="219"/>
      <c r="O1387" s="231" t="s">
        <v>811</v>
      </c>
      <c r="P1387" s="232">
        <v>0.1</v>
      </c>
      <c r="Q1387" s="233">
        <v>6.4699999999999994E-2</v>
      </c>
      <c r="R1387" s="234">
        <v>5.0999999999999997E-2</v>
      </c>
      <c r="S1387" s="235">
        <v>1</v>
      </c>
      <c r="T1387" s="231">
        <v>0.14804999999999999</v>
      </c>
      <c r="U1387" s="236">
        <v>-36.77696590909413</v>
      </c>
      <c r="V1387" s="237">
        <v>60.5</v>
      </c>
      <c r="W1387" s="238">
        <v>4.26</v>
      </c>
      <c r="X1387" s="239">
        <v>156.669874772741</v>
      </c>
      <c r="Y1387" s="240"/>
      <c r="Z1387" s="240"/>
    </row>
    <row r="1388" spans="3:26" ht="24" thickBot="1">
      <c r="C1388" s="218"/>
      <c r="D1388" s="501" t="s">
        <v>435</v>
      </c>
      <c r="E1388" s="1007">
        <v>0.5625</v>
      </c>
      <c r="F1388" s="1008"/>
      <c r="G1388" s="1009"/>
      <c r="H1388" s="865"/>
      <c r="I1388" s="1246"/>
      <c r="J1388" s="1246"/>
      <c r="K1388" s="1247"/>
      <c r="L1388" s="892">
        <v>0.79166666666666663</v>
      </c>
      <c r="M1388" s="338">
        <v>0.69791666666666663</v>
      </c>
      <c r="N1388" s="219"/>
      <c r="O1388" s="241" t="s">
        <v>812</v>
      </c>
      <c r="P1388" s="242">
        <v>0.1</v>
      </c>
      <c r="Q1388" s="243">
        <v>7.2133333333333341E-2</v>
      </c>
      <c r="R1388" s="244">
        <v>5.0999999999999997E-2</v>
      </c>
      <c r="S1388" s="245">
        <v>1</v>
      </c>
      <c r="T1388" s="246">
        <v>0.15920000000000001</v>
      </c>
      <c r="U1388" s="247">
        <v>-39.546727272730742</v>
      </c>
      <c r="V1388" s="248">
        <v>60.5</v>
      </c>
      <c r="W1388" s="249">
        <v>3.07</v>
      </c>
      <c r="X1388" s="250">
        <v>121.40845272728338</v>
      </c>
      <c r="Y1388" s="251"/>
      <c r="Z1388" s="251"/>
    </row>
    <row r="1389" spans="3:26" ht="25" thickBot="1">
      <c r="C1389" s="218"/>
      <c r="D1389" s="502" t="s">
        <v>436</v>
      </c>
      <c r="E1389" s="200" t="s">
        <v>29</v>
      </c>
      <c r="F1389" s="200" t="s">
        <v>28</v>
      </c>
      <c r="G1389" s="201" t="s">
        <v>27</v>
      </c>
      <c r="H1389" s="867" t="s">
        <v>793</v>
      </c>
      <c r="I1389" s="1246"/>
      <c r="J1389" s="1246"/>
      <c r="K1389" s="1247"/>
      <c r="L1389" s="893" t="s">
        <v>1246</v>
      </c>
      <c r="M1389" s="340"/>
      <c r="N1389" s="219"/>
      <c r="O1389" s="229"/>
      <c r="P1389" s="230"/>
      <c r="Q1389" s="229"/>
      <c r="R1389" s="229"/>
      <c r="S1389" s="229"/>
      <c r="T1389" s="229"/>
      <c r="U1389" s="254"/>
      <c r="V1389" s="255"/>
      <c r="W1389" s="229"/>
      <c r="X1389" s="254"/>
      <c r="Y1389" s="230"/>
      <c r="Z1389" s="230"/>
    </row>
    <row r="1390" spans="3:26" ht="24">
      <c r="C1390" s="218"/>
      <c r="D1390" s="503">
        <v>45615</v>
      </c>
      <c r="E1390" s="202">
        <v>4.0000000000000001E-3</v>
      </c>
      <c r="F1390" s="202" t="s">
        <v>467</v>
      </c>
      <c r="G1390" s="202">
        <v>-4.0000000000000001E-3</v>
      </c>
      <c r="H1390" s="869">
        <v>0.5625</v>
      </c>
      <c r="I1390" s="1246"/>
      <c r="J1390" s="1246"/>
      <c r="K1390" s="1247"/>
      <c r="L1390" s="894"/>
      <c r="M1390" s="342"/>
      <c r="N1390" s="219"/>
      <c r="O1390" s="229"/>
      <c r="P1390" s="230"/>
      <c r="Q1390" s="229"/>
      <c r="R1390" s="229"/>
      <c r="S1390" s="229"/>
      <c r="T1390" s="229"/>
      <c r="U1390" s="229"/>
      <c r="V1390" s="229"/>
      <c r="W1390" s="229"/>
      <c r="X1390" s="229"/>
      <c r="Y1390" s="230"/>
      <c r="Z1390" s="230"/>
    </row>
    <row r="1391" spans="3:26" ht="24">
      <c r="C1391" s="218"/>
      <c r="D1391" s="503">
        <v>45580</v>
      </c>
      <c r="E1391" s="202">
        <v>-4.0000000000000001E-3</v>
      </c>
      <c r="F1391" s="202" t="s">
        <v>461</v>
      </c>
      <c r="G1391" s="202">
        <v>-2E-3</v>
      </c>
      <c r="H1391" s="869">
        <v>0.52083333333333337</v>
      </c>
      <c r="I1391" s="1246"/>
      <c r="J1391" s="1246"/>
      <c r="K1391" s="1247"/>
      <c r="L1391" s="894"/>
      <c r="M1391" s="343"/>
      <c r="N1391" s="219"/>
      <c r="O1391" s="221" t="s">
        <v>813</v>
      </c>
      <c r="P1391" s="222">
        <v>0.02</v>
      </c>
      <c r="Q1391" s="257">
        <v>6.8416666666666667E-2</v>
      </c>
      <c r="R1391" s="258">
        <v>5.0999999999999997E-2</v>
      </c>
      <c r="S1391" s="225">
        <v>1.5</v>
      </c>
      <c r="T1391" s="231">
        <v>0.15362499999999998</v>
      </c>
      <c r="U1391" s="259">
        <v>-11.448553977273731</v>
      </c>
      <c r="V1391" s="260">
        <v>12.1</v>
      </c>
      <c r="W1391" s="225">
        <v>2</v>
      </c>
      <c r="X1391" s="227">
        <v>22.897107954547462</v>
      </c>
      <c r="Y1391" s="261"/>
      <c r="Z1391" s="261"/>
    </row>
    <row r="1392" spans="3:26" ht="24">
      <c r="C1392" s="218"/>
      <c r="D1392" s="503">
        <v>45552</v>
      </c>
      <c r="E1392" s="202">
        <v>-2E-3</v>
      </c>
      <c r="F1392" s="202" t="s">
        <v>458</v>
      </c>
      <c r="G1392" s="202">
        <v>4.0000000000000001E-3</v>
      </c>
      <c r="H1392" s="869">
        <v>0.52083333333333337</v>
      </c>
      <c r="I1392" s="1246"/>
      <c r="J1392" s="1246"/>
      <c r="K1392" s="1247"/>
      <c r="L1392" s="894"/>
      <c r="M1392" s="336"/>
      <c r="N1392" s="219"/>
      <c r="O1392" s="221" t="s">
        <v>813</v>
      </c>
      <c r="P1392" s="222">
        <v>-0.02</v>
      </c>
      <c r="Q1392" s="257">
        <v>6.8416666666666667E-2</v>
      </c>
      <c r="R1392" s="258">
        <v>5.0999999999999997E-2</v>
      </c>
      <c r="S1392" s="225">
        <v>-1.5</v>
      </c>
      <c r="T1392" s="231">
        <v>0.15362499999999998</v>
      </c>
      <c r="U1392" s="259">
        <v>-11.448553977273731</v>
      </c>
      <c r="V1392" s="260">
        <v>-12.1</v>
      </c>
      <c r="W1392" s="225">
        <v>2</v>
      </c>
      <c r="X1392" s="227">
        <v>22.897107954547462</v>
      </c>
      <c r="Y1392" s="261"/>
      <c r="Z1392" s="261"/>
    </row>
    <row r="1393" spans="3:26" ht="24">
      <c r="C1393" s="218"/>
      <c r="D1393" s="503">
        <v>45524</v>
      </c>
      <c r="E1393" s="202">
        <v>4.0000000000000001E-3</v>
      </c>
      <c r="F1393" s="202" t="s">
        <v>452</v>
      </c>
      <c r="G1393" s="202">
        <v>-1E-3</v>
      </c>
      <c r="H1393" s="869">
        <v>0.52083333333333337</v>
      </c>
      <c r="I1393" s="1246"/>
      <c r="J1393" s="1246"/>
      <c r="K1393" s="1247"/>
      <c r="L1393" s="894"/>
      <c r="M1393" s="336"/>
      <c r="N1393" s="219"/>
      <c r="O1393" s="221"/>
      <c r="P1393" s="262"/>
      <c r="Q1393" s="257"/>
      <c r="R1393" s="258"/>
      <c r="S1393" s="225"/>
      <c r="T1393" s="262"/>
      <c r="U1393" s="259"/>
      <c r="V1393" s="260"/>
      <c r="W1393" s="225"/>
      <c r="X1393" s="227"/>
      <c r="Y1393" s="261"/>
      <c r="Z1393" s="261"/>
    </row>
    <row r="1394" spans="3:26" ht="24">
      <c r="C1394" s="218"/>
      <c r="D1394" s="503">
        <v>45489</v>
      </c>
      <c r="E1394" s="202">
        <v>-1E-3</v>
      </c>
      <c r="F1394" s="202" t="s">
        <v>462</v>
      </c>
      <c r="G1394" s="202">
        <v>6.0000000000000001E-3</v>
      </c>
      <c r="H1394" s="869">
        <v>0.52083333333333337</v>
      </c>
      <c r="I1394" s="1246"/>
      <c r="J1394" s="1246"/>
      <c r="K1394" s="1247"/>
      <c r="L1394" s="894"/>
      <c r="M1394" s="336"/>
      <c r="N1394" s="219"/>
      <c r="O1394" s="263"/>
      <c r="P1394" s="263"/>
      <c r="Q1394" s="263"/>
      <c r="R1394" s="263"/>
      <c r="S1394" s="263"/>
      <c r="T1394" s="263"/>
      <c r="U1394" s="263"/>
      <c r="V1394" s="263"/>
      <c r="W1394" s="263"/>
      <c r="X1394" s="263"/>
      <c r="Y1394" s="263"/>
      <c r="Z1394" s="263"/>
    </row>
    <row r="1395" spans="3:26" ht="25" thickBot="1">
      <c r="C1395" s="218"/>
      <c r="D1395" s="503">
        <v>45468</v>
      </c>
      <c r="E1395" s="202">
        <v>6.0000000000000001E-3</v>
      </c>
      <c r="F1395" s="202" t="s">
        <v>467</v>
      </c>
      <c r="G1395" s="202">
        <v>5.0000000000000001E-3</v>
      </c>
      <c r="H1395" s="869">
        <v>0.52083333333333337</v>
      </c>
      <c r="I1395" s="1249"/>
      <c r="J1395" s="1249"/>
      <c r="K1395" s="1250"/>
      <c r="L1395" s="894"/>
      <c r="M1395" s="344"/>
      <c r="N1395" s="219"/>
      <c r="O1395" s="263"/>
      <c r="P1395" s="263"/>
      <c r="Q1395" s="263"/>
      <c r="R1395" s="263"/>
      <c r="S1395" s="263"/>
      <c r="T1395" s="263"/>
      <c r="U1395" s="263"/>
      <c r="V1395" s="263"/>
      <c r="W1395" s="263"/>
      <c r="X1395" s="263"/>
      <c r="Y1395" s="263"/>
      <c r="Z1395" s="263"/>
    </row>
    <row r="1396" spans="3:26" ht="20" thickBot="1">
      <c r="C1396" s="218">
        <v>2</v>
      </c>
      <c r="D1396" s="498" t="s">
        <v>30</v>
      </c>
      <c r="E1396" s="1147" t="s">
        <v>1257</v>
      </c>
      <c r="F1396" s="1148"/>
      <c r="G1396" s="1149"/>
      <c r="H1396" s="861" t="s">
        <v>790</v>
      </c>
      <c r="I1396" s="1256" t="s">
        <v>633</v>
      </c>
      <c r="J1396" s="1256"/>
      <c r="K1396" s="1257"/>
      <c r="L1396" s="890" t="s">
        <v>430</v>
      </c>
      <c r="M1396" s="333" t="s">
        <v>431</v>
      </c>
      <c r="N1396" s="219" t="s">
        <v>105</v>
      </c>
      <c r="O1396" s="220" t="s">
        <v>800</v>
      </c>
      <c r="P1396" s="220" t="s">
        <v>801</v>
      </c>
      <c r="Q1396" s="220" t="s">
        <v>802</v>
      </c>
      <c r="R1396" s="220" t="s">
        <v>803</v>
      </c>
      <c r="S1396" s="220" t="s">
        <v>804</v>
      </c>
      <c r="T1396" s="220" t="s">
        <v>805</v>
      </c>
      <c r="U1396" s="220" t="s">
        <v>806</v>
      </c>
      <c r="V1396" s="220" t="s">
        <v>807</v>
      </c>
      <c r="W1396" s="220" t="s">
        <v>808</v>
      </c>
      <c r="X1396" s="220" t="s">
        <v>809</v>
      </c>
      <c r="Y1396" s="220" t="s">
        <v>75</v>
      </c>
      <c r="Z1396" s="220" t="s">
        <v>75</v>
      </c>
    </row>
    <row r="1397" spans="3:26" ht="19">
      <c r="C1397" s="218"/>
      <c r="D1397" s="504" t="s">
        <v>432</v>
      </c>
      <c r="E1397" s="1150"/>
      <c r="F1397" s="1151"/>
      <c r="G1397" s="1152"/>
      <c r="H1397" s="863" t="s">
        <v>794</v>
      </c>
      <c r="I1397" s="1243" t="s">
        <v>1258</v>
      </c>
      <c r="J1397" s="1243"/>
      <c r="K1397" s="1244"/>
      <c r="L1397" s="891"/>
      <c r="M1397" s="335" t="s">
        <v>1257</v>
      </c>
      <c r="N1397" s="219"/>
      <c r="O1397" s="221" t="s">
        <v>810</v>
      </c>
      <c r="P1397" s="222">
        <v>0.1</v>
      </c>
      <c r="Q1397" s="223">
        <v>2.5999999999999999E-2</v>
      </c>
      <c r="R1397" s="224">
        <v>1.8000000000000682E-2</v>
      </c>
      <c r="S1397" s="225"/>
      <c r="T1397" s="221">
        <v>5.7000000000000682E-2</v>
      </c>
      <c r="U1397" s="223">
        <v>-13.52</v>
      </c>
      <c r="V1397" s="222">
        <v>60.5</v>
      </c>
      <c r="W1397" s="226">
        <v>2</v>
      </c>
      <c r="X1397" s="227">
        <v>27.04</v>
      </c>
      <c r="Y1397" s="225"/>
      <c r="Z1397" s="225"/>
    </row>
    <row r="1398" spans="3:26" ht="19">
      <c r="C1398" s="218"/>
      <c r="D1398" s="505" t="s">
        <v>433</v>
      </c>
      <c r="E1398" s="1118">
        <v>4.0000000000000001E-3</v>
      </c>
      <c r="F1398" s="1119"/>
      <c r="G1398" s="1120"/>
      <c r="H1398" s="863" t="s">
        <v>795</v>
      </c>
      <c r="I1398" s="1246"/>
      <c r="J1398" s="1246"/>
      <c r="K1398" s="1247"/>
      <c r="L1398" s="891"/>
      <c r="M1398" s="336"/>
      <c r="N1398" s="219"/>
      <c r="O1398" s="219"/>
      <c r="P1398" s="219"/>
      <c r="Q1398" s="219"/>
      <c r="R1398" s="228"/>
      <c r="S1398" s="229"/>
      <c r="T1398" s="219"/>
      <c r="U1398" s="219"/>
      <c r="V1398" s="219"/>
      <c r="W1398" s="229"/>
      <c r="X1398" s="229"/>
      <c r="Y1398" s="230"/>
      <c r="Z1398" s="230"/>
    </row>
    <row r="1399" spans="3:26" ht="19">
      <c r="C1399" s="218"/>
      <c r="D1399" s="505" t="s">
        <v>434</v>
      </c>
      <c r="E1399" s="1118">
        <v>1E-3</v>
      </c>
      <c r="F1399" s="1119"/>
      <c r="G1399" s="1120"/>
      <c r="H1399" s="863"/>
      <c r="I1399" s="1246"/>
      <c r="J1399" s="1246"/>
      <c r="K1399" s="1247"/>
      <c r="L1399" s="891"/>
      <c r="M1399" s="336"/>
      <c r="N1399" s="219"/>
      <c r="O1399" s="231" t="s">
        <v>811</v>
      </c>
      <c r="P1399" s="232">
        <v>0.1</v>
      </c>
      <c r="Q1399" s="233">
        <v>6.8900000000000003E-2</v>
      </c>
      <c r="R1399" s="234">
        <v>2.8000000000000001E-2</v>
      </c>
      <c r="S1399" s="235">
        <v>1.6</v>
      </c>
      <c r="T1399" s="231">
        <v>0.13134999999999999</v>
      </c>
      <c r="U1399" s="236">
        <v>-31.155298245613661</v>
      </c>
      <c r="V1399" s="237">
        <v>60.5</v>
      </c>
      <c r="W1399" s="238">
        <v>3.1</v>
      </c>
      <c r="X1399" s="239">
        <v>96.581424561402358</v>
      </c>
      <c r="Y1399" s="240"/>
      <c r="Z1399" s="240"/>
    </row>
    <row r="1400" spans="3:26" ht="20" thickBot="1">
      <c r="C1400" s="218"/>
      <c r="D1400" s="506" t="s">
        <v>435</v>
      </c>
      <c r="E1400" s="1160">
        <v>0.5625</v>
      </c>
      <c r="F1400" s="1161"/>
      <c r="G1400" s="1162"/>
      <c r="H1400" s="865">
        <v>0.35416666666666663</v>
      </c>
      <c r="I1400" s="1246"/>
      <c r="J1400" s="1246"/>
      <c r="K1400" s="1247"/>
      <c r="L1400" s="892">
        <v>0.79166666666666663</v>
      </c>
      <c r="M1400" s="338">
        <v>0.64583333333333326</v>
      </c>
      <c r="N1400" s="219"/>
      <c r="O1400" s="241" t="s">
        <v>812</v>
      </c>
      <c r="P1400" s="242">
        <v>0.1</v>
      </c>
      <c r="Q1400" s="243">
        <v>-1.4933333333333335E-2</v>
      </c>
      <c r="R1400" s="244">
        <v>0.1353</v>
      </c>
      <c r="S1400" s="245">
        <v>1.6</v>
      </c>
      <c r="T1400" s="246">
        <v>0.1129</v>
      </c>
      <c r="U1400" s="247">
        <v>-42.846540350876687</v>
      </c>
      <c r="V1400" s="248">
        <v>60.5</v>
      </c>
      <c r="W1400" s="249">
        <v>5.92</v>
      </c>
      <c r="X1400" s="250">
        <v>253.65151887718997</v>
      </c>
      <c r="Y1400" s="251"/>
      <c r="Z1400" s="251"/>
    </row>
    <row r="1401" spans="3:26" ht="20" thickBot="1">
      <c r="C1401" s="218"/>
      <c r="D1401" s="507" t="s">
        <v>436</v>
      </c>
      <c r="E1401" s="264" t="s">
        <v>29</v>
      </c>
      <c r="F1401" s="264" t="s">
        <v>28</v>
      </c>
      <c r="G1401" s="265" t="s">
        <v>27</v>
      </c>
      <c r="H1401" s="867" t="s">
        <v>793</v>
      </c>
      <c r="I1401" s="1246"/>
      <c r="J1401" s="1246"/>
      <c r="K1401" s="1247"/>
      <c r="L1401" s="893" t="s">
        <v>1246</v>
      </c>
      <c r="M1401" s="340"/>
      <c r="N1401" s="219"/>
      <c r="O1401" s="229"/>
      <c r="P1401" s="230"/>
      <c r="Q1401" s="229"/>
      <c r="R1401" s="229"/>
      <c r="S1401" s="229"/>
      <c r="T1401" s="229"/>
      <c r="U1401" s="254"/>
      <c r="V1401" s="255"/>
      <c r="W1401" s="229"/>
      <c r="X1401" s="254"/>
      <c r="Y1401" s="230"/>
      <c r="Z1401" s="230"/>
    </row>
    <row r="1402" spans="3:26" ht="19">
      <c r="C1402" s="218"/>
      <c r="D1402" s="508">
        <v>45611</v>
      </c>
      <c r="E1402" s="316">
        <v>1E-3</v>
      </c>
      <c r="F1402" s="316" t="s">
        <v>467</v>
      </c>
      <c r="G1402" s="316">
        <v>0.01</v>
      </c>
      <c r="H1402" s="869">
        <v>0.5625</v>
      </c>
      <c r="I1402" s="1246"/>
      <c r="J1402" s="1246"/>
      <c r="K1402" s="1247"/>
      <c r="L1402" s="894">
        <v>0.52083333333333337</v>
      </c>
      <c r="M1402" s="342"/>
      <c r="N1402" s="219"/>
      <c r="O1402" s="229"/>
      <c r="P1402" s="230"/>
      <c r="Q1402" s="229"/>
      <c r="R1402" s="229"/>
      <c r="S1402" s="229"/>
      <c r="T1402" s="229"/>
      <c r="U1402" s="229"/>
      <c r="V1402" s="229"/>
      <c r="W1402" s="229"/>
      <c r="X1402" s="229"/>
      <c r="Y1402" s="230"/>
      <c r="Z1402" s="230"/>
    </row>
    <row r="1403" spans="3:26" ht="19">
      <c r="C1403" s="218"/>
      <c r="D1403" s="508">
        <v>45582</v>
      </c>
      <c r="E1403" s="316">
        <v>5.0000000000000001E-3</v>
      </c>
      <c r="F1403" s="316" t="s">
        <v>462</v>
      </c>
      <c r="G1403" s="316">
        <v>2E-3</v>
      </c>
      <c r="H1403" s="869">
        <v>0.52083333333333337</v>
      </c>
      <c r="I1403" s="1246"/>
      <c r="J1403" s="1246"/>
      <c r="K1403" s="1247"/>
      <c r="L1403" s="894">
        <v>0.52083333333333337</v>
      </c>
      <c r="M1403" s="343"/>
      <c r="N1403" s="219"/>
      <c r="O1403" s="221" t="s">
        <v>813</v>
      </c>
      <c r="P1403" s="222">
        <v>0.05</v>
      </c>
      <c r="Q1403" s="257">
        <v>2.6983333333333335E-2</v>
      </c>
      <c r="R1403" s="258">
        <v>0.1353</v>
      </c>
      <c r="S1403" s="225">
        <v>1.6</v>
      </c>
      <c r="T1403" s="231">
        <v>0.17577500000000001</v>
      </c>
      <c r="U1403" s="259">
        <v>-33.354077192982061</v>
      </c>
      <c r="V1403" s="260">
        <v>30.25</v>
      </c>
      <c r="W1403" s="361">
        <v>1.8</v>
      </c>
      <c r="X1403" s="227">
        <v>60.037338947367708</v>
      </c>
      <c r="Y1403" s="261"/>
      <c r="Z1403" s="261"/>
    </row>
    <row r="1404" spans="3:26" ht="19">
      <c r="C1404" s="218"/>
      <c r="D1404" s="508">
        <v>45552</v>
      </c>
      <c r="E1404" s="316">
        <v>1E-3</v>
      </c>
      <c r="F1404" s="316" t="s">
        <v>460</v>
      </c>
      <c r="G1404" s="316">
        <v>4.0000000000000001E-3</v>
      </c>
      <c r="H1404" s="869">
        <v>0.52083333333333337</v>
      </c>
      <c r="I1404" s="1246"/>
      <c r="J1404" s="1246"/>
      <c r="K1404" s="1247"/>
      <c r="L1404" s="894">
        <v>0.52083333333333337</v>
      </c>
      <c r="M1404" s="336"/>
      <c r="N1404" s="219"/>
      <c r="O1404" s="221" t="s">
        <v>813</v>
      </c>
      <c r="P1404" s="222">
        <v>0.05</v>
      </c>
      <c r="Q1404" s="257">
        <v>2.6983333333333335E-2</v>
      </c>
      <c r="R1404" s="258">
        <v>0.1353</v>
      </c>
      <c r="S1404" s="225">
        <v>1.6</v>
      </c>
      <c r="T1404" s="231">
        <v>0.17577500000000001</v>
      </c>
      <c r="U1404" s="259">
        <v>-33.354077192982061</v>
      </c>
      <c r="V1404" s="260">
        <v>30.25</v>
      </c>
      <c r="W1404" s="361">
        <v>1.8</v>
      </c>
      <c r="X1404" s="227">
        <v>60.037338947367708</v>
      </c>
      <c r="Y1404" s="261"/>
      <c r="Z1404" s="261"/>
    </row>
    <row r="1405" spans="3:26" ht="19">
      <c r="C1405" s="218"/>
      <c r="D1405" s="508">
        <v>45519</v>
      </c>
      <c r="E1405" s="316">
        <v>4.0000000000000001E-3</v>
      </c>
      <c r="F1405" s="316" t="s">
        <v>462</v>
      </c>
      <c r="G1405" s="316">
        <v>5.0000000000000001E-3</v>
      </c>
      <c r="H1405" s="869">
        <v>0.52083333333333337</v>
      </c>
      <c r="I1405" s="1246"/>
      <c r="J1405" s="1246"/>
      <c r="K1405" s="1247"/>
      <c r="L1405" s="894">
        <v>0.52083333333333337</v>
      </c>
      <c r="M1405" s="336"/>
      <c r="N1405" s="219"/>
      <c r="O1405" s="221"/>
      <c r="P1405" s="262"/>
      <c r="Q1405" s="257"/>
      <c r="R1405" s="258"/>
      <c r="S1405" s="225"/>
      <c r="T1405" s="262"/>
      <c r="U1405" s="259"/>
      <c r="V1405" s="260"/>
      <c r="W1405" s="225"/>
      <c r="X1405" s="227"/>
      <c r="Y1405" s="261"/>
      <c r="Z1405" s="261"/>
    </row>
    <row r="1406" spans="3:26" ht="19">
      <c r="C1406" s="218"/>
      <c r="D1406" s="508">
        <v>45489</v>
      </c>
      <c r="E1406" s="316">
        <v>4.0000000000000001E-3</v>
      </c>
      <c r="F1406" s="316" t="s">
        <v>462</v>
      </c>
      <c r="G1406" s="316">
        <v>1E-3</v>
      </c>
      <c r="H1406" s="869">
        <v>0.52083333333333337</v>
      </c>
      <c r="I1406" s="1246"/>
      <c r="J1406" s="1246"/>
      <c r="K1406" s="1247"/>
      <c r="L1406" s="894">
        <v>0.52083333333333337</v>
      </c>
      <c r="M1406" s="336"/>
      <c r="N1406" s="219"/>
      <c r="O1406" s="263"/>
      <c r="P1406" s="263"/>
      <c r="Q1406" s="263"/>
      <c r="R1406" s="263"/>
      <c r="S1406" s="263"/>
      <c r="T1406" s="263"/>
      <c r="U1406" s="263"/>
      <c r="V1406" s="263"/>
      <c r="W1406" s="263"/>
      <c r="X1406" s="263"/>
      <c r="Y1406" s="263"/>
      <c r="Z1406" s="263"/>
    </row>
    <row r="1407" spans="3:26" ht="20" thickBot="1">
      <c r="C1407" s="218"/>
      <c r="D1407" s="508">
        <v>45461</v>
      </c>
      <c r="E1407" s="316">
        <v>-1E-3</v>
      </c>
      <c r="F1407" s="316" t="s">
        <v>460</v>
      </c>
      <c r="G1407" s="316">
        <v>-1E-3</v>
      </c>
      <c r="H1407" s="869">
        <v>0.52083333333333337</v>
      </c>
      <c r="I1407" s="1249"/>
      <c r="J1407" s="1249"/>
      <c r="K1407" s="1250"/>
      <c r="L1407" s="894">
        <v>0.52083333333333337</v>
      </c>
      <c r="M1407" s="344"/>
      <c r="N1407" s="219"/>
      <c r="O1407" s="263"/>
      <c r="P1407" s="267"/>
      <c r="Q1407" s="263"/>
      <c r="R1407" s="263"/>
      <c r="S1407" s="263"/>
      <c r="T1407" s="263"/>
      <c r="U1407" s="263"/>
      <c r="V1407" s="263"/>
      <c r="W1407" s="263"/>
      <c r="X1407" s="263"/>
      <c r="Y1407" s="263"/>
      <c r="Z1407" s="263"/>
    </row>
    <row r="1408" spans="3:26" ht="20" thickBot="1">
      <c r="C1408" s="218">
        <v>3</v>
      </c>
      <c r="D1408" s="509" t="s">
        <v>30</v>
      </c>
      <c r="E1408" s="1374" t="s">
        <v>1259</v>
      </c>
      <c r="F1408" s="1375"/>
      <c r="G1408" s="1376"/>
      <c r="H1408" s="861" t="s">
        <v>790</v>
      </c>
      <c r="I1408" s="1256" t="s">
        <v>633</v>
      </c>
      <c r="J1408" s="1256"/>
      <c r="K1408" s="1257"/>
      <c r="L1408" s="890" t="s">
        <v>430</v>
      </c>
      <c r="M1408" s="347" t="s">
        <v>431</v>
      </c>
      <c r="N1408" s="219" t="s">
        <v>105</v>
      </c>
      <c r="O1408" s="220" t="s">
        <v>800</v>
      </c>
      <c r="P1408" s="220" t="s">
        <v>801</v>
      </c>
      <c r="Q1408" s="220" t="s">
        <v>802</v>
      </c>
      <c r="R1408" s="220" t="s">
        <v>803</v>
      </c>
      <c r="S1408" s="220" t="s">
        <v>804</v>
      </c>
      <c r="T1408" s="220" t="s">
        <v>805</v>
      </c>
      <c r="U1408" s="220" t="s">
        <v>806</v>
      </c>
      <c r="V1408" s="220" t="s">
        <v>807</v>
      </c>
      <c r="W1408" s="220" t="s">
        <v>808</v>
      </c>
      <c r="X1408" s="220" t="s">
        <v>809</v>
      </c>
      <c r="Y1408" s="220" t="s">
        <v>75</v>
      </c>
      <c r="Z1408" s="220" t="s">
        <v>75</v>
      </c>
    </row>
    <row r="1409" spans="3:26" ht="19">
      <c r="C1409" s="218"/>
      <c r="D1409" s="504" t="s">
        <v>432</v>
      </c>
      <c r="E1409" s="1150"/>
      <c r="F1409" s="1151"/>
      <c r="G1409" s="1152"/>
      <c r="H1409" s="863" t="s">
        <v>794</v>
      </c>
      <c r="I1409" s="1243" t="s">
        <v>1260</v>
      </c>
      <c r="J1409" s="1243"/>
      <c r="K1409" s="1244"/>
      <c r="L1409" s="891"/>
      <c r="M1409" s="335" t="s">
        <v>1259</v>
      </c>
      <c r="N1409" s="219"/>
      <c r="O1409" s="221" t="s">
        <v>810</v>
      </c>
      <c r="P1409" s="222">
        <v>0.1</v>
      </c>
      <c r="Q1409" s="223">
        <v>2.5000000000000001E-2</v>
      </c>
      <c r="R1409" s="224">
        <v>2.1000000000015007E-2</v>
      </c>
      <c r="S1409" s="225"/>
      <c r="T1409" s="221">
        <v>5.8500000000015012E-2</v>
      </c>
      <c r="U1409" s="223">
        <v>-14.31</v>
      </c>
      <c r="V1409" s="222">
        <v>60.5</v>
      </c>
      <c r="W1409" s="226">
        <v>2</v>
      </c>
      <c r="X1409" s="227">
        <v>28.62</v>
      </c>
      <c r="Y1409" s="225"/>
      <c r="Z1409" s="225"/>
    </row>
    <row r="1410" spans="3:26" ht="19">
      <c r="C1410" s="218"/>
      <c r="D1410" s="505" t="s">
        <v>433</v>
      </c>
      <c r="E1410" s="1118">
        <v>6.0000000000000001E-3</v>
      </c>
      <c r="F1410" s="1119"/>
      <c r="G1410" s="1120"/>
      <c r="H1410" s="863" t="s">
        <v>795</v>
      </c>
      <c r="I1410" s="1246"/>
      <c r="J1410" s="1246"/>
      <c r="K1410" s="1247"/>
      <c r="L1410" s="891"/>
      <c r="M1410" s="336"/>
      <c r="N1410" s="219"/>
      <c r="O1410" s="219"/>
      <c r="P1410" s="219"/>
      <c r="Q1410" s="219"/>
      <c r="R1410" s="228"/>
      <c r="S1410" s="229"/>
      <c r="T1410" s="219"/>
      <c r="U1410" s="219"/>
      <c r="V1410" s="219"/>
      <c r="W1410" s="229"/>
      <c r="X1410" s="229"/>
      <c r="Y1410" s="230"/>
      <c r="Z1410" s="230"/>
    </row>
    <row r="1411" spans="3:26" ht="19">
      <c r="C1411" s="218"/>
      <c r="D1411" s="505" t="s">
        <v>434</v>
      </c>
      <c r="E1411" s="1118">
        <v>4.0000000000000001E-3</v>
      </c>
      <c r="F1411" s="1119"/>
      <c r="G1411" s="1120"/>
      <c r="H1411" s="863"/>
      <c r="I1411" s="1246"/>
      <c r="J1411" s="1246"/>
      <c r="K1411" s="1247"/>
      <c r="L1411" s="891"/>
      <c r="M1411" s="336"/>
      <c r="N1411" s="219"/>
      <c r="O1411" s="231" t="s">
        <v>811</v>
      </c>
      <c r="P1411" s="232">
        <v>0.1</v>
      </c>
      <c r="Q1411" s="233">
        <v>6.8099999999999994E-2</v>
      </c>
      <c r="R1411" s="234">
        <v>4.8000000000000001E-2</v>
      </c>
      <c r="S1411" s="235">
        <v>1</v>
      </c>
      <c r="T1411" s="231">
        <v>0.15015000000000001</v>
      </c>
      <c r="U1411" s="236">
        <v>-36.728999999990577</v>
      </c>
      <c r="V1411" s="237">
        <v>60.5</v>
      </c>
      <c r="W1411" s="238">
        <v>3.83</v>
      </c>
      <c r="X1411" s="239">
        <v>140.67206999996392</v>
      </c>
      <c r="Y1411" s="240"/>
      <c r="Z1411" s="240"/>
    </row>
    <row r="1412" spans="3:26" ht="20" thickBot="1">
      <c r="C1412" s="218"/>
      <c r="D1412" s="506" t="s">
        <v>435</v>
      </c>
      <c r="E1412" s="1160">
        <v>0.5625</v>
      </c>
      <c r="F1412" s="1161"/>
      <c r="G1412" s="1162"/>
      <c r="H1412" s="865">
        <v>0.35416666666666663</v>
      </c>
      <c r="I1412" s="1246"/>
      <c r="J1412" s="1246"/>
      <c r="K1412" s="1247"/>
      <c r="L1412" s="892">
        <v>0.79166666666666663</v>
      </c>
      <c r="M1412" s="338">
        <v>0.64583333333333326</v>
      </c>
      <c r="N1412" s="219"/>
      <c r="O1412" s="241" t="s">
        <v>812</v>
      </c>
      <c r="P1412" s="242">
        <v>0.1</v>
      </c>
      <c r="Q1412" s="243">
        <v>9.7799999999999998E-2</v>
      </c>
      <c r="R1412" s="244">
        <v>4.8000000000000001E-2</v>
      </c>
      <c r="S1412" s="245">
        <v>1</v>
      </c>
      <c r="T1412" s="246">
        <v>0.19470000000000001</v>
      </c>
      <c r="U1412" s="247">
        <v>-47.62661538460317</v>
      </c>
      <c r="V1412" s="248">
        <v>60.5</v>
      </c>
      <c r="W1412" s="249">
        <v>8.1300000000000008</v>
      </c>
      <c r="X1412" s="250">
        <v>387.20438307682383</v>
      </c>
      <c r="Y1412" s="251"/>
      <c r="Z1412" s="251"/>
    </row>
    <row r="1413" spans="3:26" ht="20" thickBot="1">
      <c r="C1413" s="218"/>
      <c r="D1413" s="507" t="s">
        <v>436</v>
      </c>
      <c r="E1413" s="264" t="s">
        <v>29</v>
      </c>
      <c r="F1413" s="264" t="s">
        <v>28</v>
      </c>
      <c r="G1413" s="265" t="s">
        <v>27</v>
      </c>
      <c r="H1413" s="867" t="s">
        <v>793</v>
      </c>
      <c r="I1413" s="1246"/>
      <c r="J1413" s="1246"/>
      <c r="K1413" s="1247"/>
      <c r="L1413" s="893"/>
      <c r="M1413" s="340"/>
      <c r="N1413" s="219"/>
      <c r="O1413" s="229"/>
      <c r="P1413" s="230"/>
      <c r="Q1413" s="229"/>
      <c r="R1413" s="229"/>
      <c r="S1413" s="229"/>
      <c r="T1413" s="229"/>
      <c r="U1413" s="254"/>
      <c r="V1413" s="255"/>
      <c r="W1413" s="229"/>
      <c r="X1413" s="254"/>
      <c r="Y1413" s="230"/>
      <c r="Z1413" s="230"/>
    </row>
    <row r="1414" spans="3:26" ht="19">
      <c r="C1414" s="218"/>
      <c r="D1414" s="508">
        <v>45611</v>
      </c>
      <c r="E1414" s="316">
        <v>4.0000000000000001E-3</v>
      </c>
      <c r="F1414" s="316" t="s">
        <v>467</v>
      </c>
      <c r="G1414" s="316">
        <v>8.0000000000000002E-3</v>
      </c>
      <c r="H1414" s="869">
        <v>0.5625</v>
      </c>
      <c r="I1414" s="1246"/>
      <c r="J1414" s="1246"/>
      <c r="K1414" s="1247"/>
      <c r="L1414" s="894"/>
      <c r="M1414" s="342"/>
      <c r="N1414" s="219"/>
      <c r="O1414" s="229"/>
      <c r="P1414" s="230"/>
      <c r="Q1414" s="229"/>
      <c r="R1414" s="229"/>
      <c r="S1414" s="229"/>
      <c r="T1414" s="229"/>
      <c r="U1414" s="229"/>
      <c r="V1414" s="229"/>
      <c r="W1414" s="229"/>
      <c r="X1414" s="229"/>
      <c r="Y1414" s="230"/>
      <c r="Z1414" s="230"/>
    </row>
    <row r="1415" spans="3:26" ht="19">
      <c r="C1415" s="218"/>
      <c r="D1415" s="508">
        <v>45582</v>
      </c>
      <c r="E1415" s="316">
        <v>4.0000000000000001E-3</v>
      </c>
      <c r="F1415" s="316" t="s">
        <v>467</v>
      </c>
      <c r="G1415" s="316">
        <v>1E-3</v>
      </c>
      <c r="H1415" s="869">
        <v>0.52083333333333337</v>
      </c>
      <c r="I1415" s="1246"/>
      <c r="J1415" s="1246"/>
      <c r="K1415" s="1247"/>
      <c r="L1415" s="894"/>
      <c r="M1415" s="343"/>
      <c r="N1415" s="219"/>
      <c r="O1415" s="221" t="s">
        <v>813</v>
      </c>
      <c r="P1415" s="222">
        <v>0.1</v>
      </c>
      <c r="Q1415" s="257">
        <v>8.2949999999999996E-2</v>
      </c>
      <c r="R1415" s="258">
        <v>4.8000000000000001E-2</v>
      </c>
      <c r="S1415" s="225">
        <v>1.5</v>
      </c>
      <c r="T1415" s="231">
        <v>0.17242499999999999</v>
      </c>
      <c r="U1415" s="259">
        <v>-63.2667115384453</v>
      </c>
      <c r="V1415" s="260">
        <v>60.5</v>
      </c>
      <c r="W1415" s="225">
        <v>2</v>
      </c>
      <c r="X1415" s="227">
        <v>126.5334230768906</v>
      </c>
      <c r="Y1415" s="261"/>
      <c r="Z1415" s="261"/>
    </row>
    <row r="1416" spans="3:26" ht="19">
      <c r="C1416" s="218"/>
      <c r="D1416" s="508">
        <v>45552</v>
      </c>
      <c r="E1416" s="316">
        <v>1E-3</v>
      </c>
      <c r="F1416" s="316" t="s">
        <v>461</v>
      </c>
      <c r="G1416" s="316">
        <v>1.0999999999999999E-2</v>
      </c>
      <c r="H1416" s="869">
        <v>0.52083333333333337</v>
      </c>
      <c r="I1416" s="1246"/>
      <c r="J1416" s="1246"/>
      <c r="K1416" s="1247"/>
      <c r="L1416" s="894"/>
      <c r="M1416" s="336"/>
      <c r="N1416" s="219"/>
      <c r="O1416" s="221" t="s">
        <v>813</v>
      </c>
      <c r="P1416" s="222">
        <v>0.1</v>
      </c>
      <c r="Q1416" s="257">
        <v>8.2949999999999996E-2</v>
      </c>
      <c r="R1416" s="258">
        <v>4.8000000000000001E-2</v>
      </c>
      <c r="S1416" s="225">
        <v>1.5</v>
      </c>
      <c r="T1416" s="231">
        <v>0.17242499999999999</v>
      </c>
      <c r="U1416" s="259">
        <v>-63.2667115384453</v>
      </c>
      <c r="V1416" s="260">
        <v>60.5</v>
      </c>
      <c r="W1416" s="225">
        <v>2</v>
      </c>
      <c r="X1416" s="227">
        <v>126.5334230768906</v>
      </c>
      <c r="Y1416" s="261"/>
      <c r="Z1416" s="261"/>
    </row>
    <row r="1417" spans="3:26" ht="19">
      <c r="C1417" s="218"/>
      <c r="D1417" s="508">
        <v>45519</v>
      </c>
      <c r="E1417" s="316">
        <v>0.01</v>
      </c>
      <c r="F1417" s="316" t="s">
        <v>452</v>
      </c>
      <c r="G1417" s="316">
        <v>-2E-3</v>
      </c>
      <c r="H1417" s="869">
        <v>0.52083333333333337</v>
      </c>
      <c r="I1417" s="1246"/>
      <c r="J1417" s="1246"/>
      <c r="K1417" s="1247"/>
      <c r="L1417" s="894"/>
      <c r="M1417" s="336"/>
      <c r="N1417" s="219"/>
      <c r="O1417" s="221"/>
      <c r="P1417" s="262"/>
      <c r="Q1417" s="257"/>
      <c r="R1417" s="258"/>
      <c r="S1417" s="225"/>
      <c r="T1417" s="262"/>
      <c r="U1417" s="259"/>
      <c r="V1417" s="260"/>
      <c r="W1417" s="225"/>
      <c r="X1417" s="227"/>
      <c r="Y1417" s="261"/>
      <c r="Z1417" s="261"/>
    </row>
    <row r="1418" spans="3:26" ht="19">
      <c r="C1418" s="218"/>
      <c r="D1418" s="508">
        <v>45489</v>
      </c>
      <c r="E1418" s="316">
        <v>0</v>
      </c>
      <c r="F1418" s="316" t="s">
        <v>454</v>
      </c>
      <c r="G1418" s="316">
        <v>3.0000000000000001E-3</v>
      </c>
      <c r="H1418" s="869">
        <v>0.52083333333333337</v>
      </c>
      <c r="I1418" s="1246"/>
      <c r="J1418" s="1246"/>
      <c r="K1418" s="1247"/>
      <c r="L1418" s="894"/>
      <c r="M1418" s="336"/>
      <c r="N1418" s="219"/>
      <c r="O1418" s="263"/>
      <c r="P1418" s="263"/>
      <c r="Q1418" s="263"/>
      <c r="R1418" s="263"/>
      <c r="S1418" s="263"/>
      <c r="T1418" s="263"/>
      <c r="U1418" s="263"/>
      <c r="V1418" s="263"/>
      <c r="W1418" s="263"/>
      <c r="X1418" s="263"/>
      <c r="Y1418" s="263"/>
      <c r="Z1418" s="263"/>
    </row>
    <row r="1419" spans="3:26" ht="20" thickBot="1">
      <c r="C1419" s="218"/>
      <c r="D1419" s="517">
        <v>45461</v>
      </c>
      <c r="E1419" s="318">
        <v>1E-3</v>
      </c>
      <c r="F1419" s="318" t="s">
        <v>467</v>
      </c>
      <c r="G1419" s="318">
        <v>-2E-3</v>
      </c>
      <c r="H1419" s="869">
        <v>0.52083333333333337</v>
      </c>
      <c r="I1419" s="1249"/>
      <c r="J1419" s="1249"/>
      <c r="K1419" s="1250"/>
      <c r="L1419" s="895"/>
      <c r="M1419" s="344"/>
      <c r="N1419" s="219"/>
      <c r="O1419" s="263"/>
      <c r="P1419" s="263"/>
      <c r="Q1419" s="263"/>
      <c r="R1419" s="263"/>
      <c r="S1419" s="263"/>
      <c r="T1419" s="263"/>
      <c r="U1419" s="263"/>
      <c r="V1419" s="263"/>
      <c r="W1419" s="263"/>
      <c r="X1419" s="263"/>
      <c r="Y1419" s="263"/>
      <c r="Z1419" s="263"/>
    </row>
    <row r="1420" spans="3:26" ht="20" thickBot="1">
      <c r="C1420" s="218">
        <v>4</v>
      </c>
      <c r="D1420" s="498" t="s">
        <v>30</v>
      </c>
      <c r="E1420" s="1147" t="s">
        <v>1261</v>
      </c>
      <c r="F1420" s="1148"/>
      <c r="G1420" s="1149"/>
      <c r="H1420" s="861" t="s">
        <v>790</v>
      </c>
      <c r="I1420" s="1256" t="s">
        <v>633</v>
      </c>
      <c r="J1420" s="1256"/>
      <c r="K1420" s="1257"/>
      <c r="L1420" s="890" t="s">
        <v>430</v>
      </c>
      <c r="M1420" s="333" t="s">
        <v>431</v>
      </c>
      <c r="N1420" s="219" t="s">
        <v>105</v>
      </c>
      <c r="O1420" s="220" t="s">
        <v>800</v>
      </c>
      <c r="P1420" s="220" t="s">
        <v>801</v>
      </c>
      <c r="Q1420" s="220" t="s">
        <v>802</v>
      </c>
      <c r="R1420" s="220" t="s">
        <v>803</v>
      </c>
      <c r="S1420" s="220" t="s">
        <v>804</v>
      </c>
      <c r="T1420" s="220" t="s">
        <v>805</v>
      </c>
      <c r="U1420" s="220" t="s">
        <v>806</v>
      </c>
      <c r="V1420" s="220" t="s">
        <v>807</v>
      </c>
      <c r="W1420" s="220" t="s">
        <v>808</v>
      </c>
      <c r="X1420" s="220" t="s">
        <v>809</v>
      </c>
      <c r="Y1420" s="220" t="s">
        <v>75</v>
      </c>
      <c r="Z1420" s="220" t="s">
        <v>75</v>
      </c>
    </row>
    <row r="1421" spans="3:26" ht="19">
      <c r="C1421" s="218"/>
      <c r="D1421" s="504" t="s">
        <v>432</v>
      </c>
      <c r="E1421" s="1181"/>
      <c r="F1421" s="1182"/>
      <c r="G1421" s="1183"/>
      <c r="H1421" s="863" t="s">
        <v>947</v>
      </c>
      <c r="I1421" s="1243" t="s">
        <v>1262</v>
      </c>
      <c r="J1421" s="1243"/>
      <c r="K1421" s="1244"/>
      <c r="L1421" s="891"/>
      <c r="M1421" s="335" t="s">
        <v>1261</v>
      </c>
      <c r="N1421" s="219"/>
      <c r="O1421" s="221" t="s">
        <v>810</v>
      </c>
      <c r="P1421" s="222">
        <v>0.1</v>
      </c>
      <c r="Q1421" s="223">
        <v>3.4000000000000002E-2</v>
      </c>
      <c r="R1421" s="224">
        <v>1.5000000000014779E-2</v>
      </c>
      <c r="S1421" s="225"/>
      <c r="T1421" s="221">
        <v>6.6000000000014783E-2</v>
      </c>
      <c r="U1421" s="223">
        <v>-16.5</v>
      </c>
      <c r="V1421" s="222">
        <v>60.5</v>
      </c>
      <c r="W1421" s="226">
        <v>2</v>
      </c>
      <c r="X1421" s="227">
        <v>33</v>
      </c>
      <c r="Y1421" s="225"/>
      <c r="Z1421" s="225"/>
    </row>
    <row r="1422" spans="3:26" ht="19">
      <c r="C1422" s="218"/>
      <c r="D1422" s="505" t="s">
        <v>433</v>
      </c>
      <c r="E1422" s="1163">
        <v>2.5999999999999999E-2</v>
      </c>
      <c r="F1422" s="1164"/>
      <c r="G1422" s="1165"/>
      <c r="H1422" s="863" t="s">
        <v>908</v>
      </c>
      <c r="I1422" s="1246"/>
      <c r="J1422" s="1246"/>
      <c r="K1422" s="1247"/>
      <c r="L1422" s="891"/>
      <c r="M1422" s="336"/>
      <c r="N1422" s="219"/>
      <c r="O1422" s="219"/>
      <c r="P1422" s="219"/>
      <c r="Q1422" s="219"/>
      <c r="R1422" s="228"/>
      <c r="S1422" s="229"/>
      <c r="T1422" s="219"/>
      <c r="U1422" s="219"/>
      <c r="V1422" s="219"/>
      <c r="W1422" s="229"/>
      <c r="X1422" s="229"/>
      <c r="Y1422" s="230"/>
      <c r="Z1422" s="230"/>
    </row>
    <row r="1423" spans="3:26" ht="19">
      <c r="C1423" s="218"/>
      <c r="D1423" s="505" t="s">
        <v>434</v>
      </c>
      <c r="E1423" s="1163">
        <v>2.3E-2</v>
      </c>
      <c r="F1423" s="1164"/>
      <c r="G1423" s="1165"/>
      <c r="H1423" s="863"/>
      <c r="I1423" s="1246"/>
      <c r="J1423" s="1246"/>
      <c r="K1423" s="1247"/>
      <c r="L1423" s="891"/>
      <c r="M1423" s="336"/>
      <c r="N1423" s="219"/>
      <c r="O1423" s="231" t="s">
        <v>811</v>
      </c>
      <c r="P1423" s="232">
        <v>0.06</v>
      </c>
      <c r="Q1423" s="233">
        <v>8.6699999999999999E-2</v>
      </c>
      <c r="R1423" s="234">
        <v>1.9E-2</v>
      </c>
      <c r="S1423" s="235">
        <v>1</v>
      </c>
      <c r="T1423" s="231">
        <v>0.14904999999999999</v>
      </c>
      <c r="U1423" s="236">
        <v>-22.357499999994992</v>
      </c>
      <c r="V1423" s="237">
        <v>36.299999999999997</v>
      </c>
      <c r="W1423" s="238">
        <v>4.58</v>
      </c>
      <c r="X1423" s="239">
        <v>102.39734999997707</v>
      </c>
      <c r="Y1423" s="240"/>
      <c r="Z1423" s="240">
        <v>4.4350000000000005</v>
      </c>
    </row>
    <row r="1424" spans="3:26" ht="20" thickBot="1">
      <c r="C1424" s="218"/>
      <c r="D1424" s="506" t="s">
        <v>435</v>
      </c>
      <c r="E1424" s="1160">
        <v>0.29166666666666674</v>
      </c>
      <c r="F1424" s="1161"/>
      <c r="G1424" s="1162"/>
      <c r="H1424" s="865"/>
      <c r="I1424" s="1246"/>
      <c r="J1424" s="1246"/>
      <c r="K1424" s="1247"/>
      <c r="L1424" s="892"/>
      <c r="M1424" s="338">
        <v>0.375</v>
      </c>
      <c r="N1424" s="219"/>
      <c r="O1424" s="241" t="s">
        <v>812</v>
      </c>
      <c r="P1424" s="242">
        <v>0.06</v>
      </c>
      <c r="Q1424" s="243">
        <v>7.9733333333333337E-2</v>
      </c>
      <c r="R1424" s="244">
        <v>1.9E-2</v>
      </c>
      <c r="S1424" s="245">
        <v>1</v>
      </c>
      <c r="T1424" s="246">
        <v>0.1386</v>
      </c>
      <c r="U1424" s="247">
        <v>-20.789999999995342</v>
      </c>
      <c r="V1424" s="248">
        <v>36.299999999999997</v>
      </c>
      <c r="W1424" s="249">
        <v>3.37</v>
      </c>
      <c r="X1424" s="250">
        <v>70.062299999984305</v>
      </c>
      <c r="Y1424" s="251"/>
      <c r="Z1424" s="251"/>
    </row>
    <row r="1425" spans="3:26" ht="20" thickBot="1">
      <c r="C1425" s="218"/>
      <c r="D1425" s="507" t="s">
        <v>436</v>
      </c>
      <c r="E1425" s="264" t="s">
        <v>29</v>
      </c>
      <c r="F1425" s="264" t="s">
        <v>28</v>
      </c>
      <c r="G1425" s="265" t="s">
        <v>27</v>
      </c>
      <c r="H1425" s="867" t="s">
        <v>793</v>
      </c>
      <c r="I1425" s="1246"/>
      <c r="J1425" s="1246"/>
      <c r="K1425" s="1247"/>
      <c r="L1425" s="893"/>
      <c r="M1425" s="340"/>
      <c r="N1425" s="219"/>
      <c r="O1425" s="229"/>
      <c r="P1425" s="230"/>
      <c r="Q1425" s="229"/>
      <c r="R1425" s="229"/>
      <c r="S1425" s="229"/>
      <c r="T1425" s="229"/>
      <c r="U1425" s="254"/>
      <c r="V1425" s="255"/>
      <c r="W1425" s="229"/>
      <c r="X1425" s="254"/>
      <c r="Y1425" s="230"/>
      <c r="Z1425" s="230"/>
    </row>
    <row r="1426" spans="3:26" ht="19">
      <c r="C1426" s="218"/>
      <c r="D1426" s="522">
        <v>45616</v>
      </c>
      <c r="E1426" s="266">
        <v>2.3E-2</v>
      </c>
      <c r="F1426" s="266" t="s">
        <v>490</v>
      </c>
      <c r="G1426" s="266">
        <v>1.7000000000000001E-2</v>
      </c>
      <c r="H1426" s="869">
        <v>0.29166666666666674</v>
      </c>
      <c r="I1426" s="1246"/>
      <c r="J1426" s="1246"/>
      <c r="K1426" s="1247"/>
      <c r="L1426" s="894"/>
      <c r="M1426" s="342"/>
      <c r="N1426" s="219"/>
      <c r="O1426" s="229"/>
      <c r="P1426" s="230"/>
      <c r="Q1426" s="229"/>
      <c r="R1426" s="229"/>
      <c r="S1426" s="229"/>
      <c r="T1426" s="229"/>
      <c r="U1426" s="229"/>
      <c r="V1426" s="229"/>
      <c r="W1426" s="229"/>
      <c r="X1426" s="229"/>
      <c r="Y1426" s="230"/>
      <c r="Z1426" s="230"/>
    </row>
    <row r="1427" spans="3:26" ht="19">
      <c r="C1427" s="218"/>
      <c r="D1427" s="522">
        <v>45581</v>
      </c>
      <c r="E1427" s="266">
        <v>1.7000000000000001E-2</v>
      </c>
      <c r="F1427" s="266" t="s">
        <v>789</v>
      </c>
      <c r="G1427" s="266">
        <v>2.1999999999999999E-2</v>
      </c>
      <c r="H1427" s="869">
        <v>0.25</v>
      </c>
      <c r="I1427" s="1246"/>
      <c r="J1427" s="1246"/>
      <c r="K1427" s="1247"/>
      <c r="L1427" s="894"/>
      <c r="M1427" s="343"/>
      <c r="N1427" s="219"/>
      <c r="O1427" s="221" t="s">
        <v>813</v>
      </c>
      <c r="P1427" s="222">
        <v>0.06</v>
      </c>
      <c r="Q1427" s="257">
        <v>8.3216666666666661E-2</v>
      </c>
      <c r="R1427" s="258">
        <v>1.9E-2</v>
      </c>
      <c r="S1427" s="225">
        <v>1</v>
      </c>
      <c r="T1427" s="231">
        <v>0.14382499999999998</v>
      </c>
      <c r="U1427" s="259">
        <v>-21.573749999995162</v>
      </c>
      <c r="V1427" s="260">
        <v>36.299999999999997</v>
      </c>
      <c r="W1427" s="225">
        <v>2</v>
      </c>
      <c r="X1427" s="227">
        <v>43.147499999990323</v>
      </c>
      <c r="Y1427" s="261"/>
      <c r="Z1427" s="261"/>
    </row>
    <row r="1428" spans="3:26" ht="19">
      <c r="C1428" s="218"/>
      <c r="D1428" s="522">
        <v>45553</v>
      </c>
      <c r="E1428" s="266">
        <v>2.1999999999999999E-2</v>
      </c>
      <c r="F1428" s="266" t="s">
        <v>490</v>
      </c>
      <c r="G1428" s="266">
        <v>2.1999999999999999E-2</v>
      </c>
      <c r="H1428" s="869">
        <v>0.25</v>
      </c>
      <c r="I1428" s="1246"/>
      <c r="J1428" s="1246"/>
      <c r="K1428" s="1247"/>
      <c r="L1428" s="894"/>
      <c r="M1428" s="336"/>
      <c r="N1428" s="219"/>
      <c r="O1428" s="221" t="s">
        <v>813</v>
      </c>
      <c r="P1428" s="222">
        <v>0.06</v>
      </c>
      <c r="Q1428" s="257">
        <v>8.3216666666666661E-2</v>
      </c>
      <c r="R1428" s="258">
        <v>1.9E-2</v>
      </c>
      <c r="S1428" s="225">
        <v>1</v>
      </c>
      <c r="T1428" s="231">
        <v>0.14382499999999998</v>
      </c>
      <c r="U1428" s="259">
        <v>-21.573749999995162</v>
      </c>
      <c r="V1428" s="260">
        <v>36.299999999999997</v>
      </c>
      <c r="W1428" s="225">
        <v>2</v>
      </c>
      <c r="X1428" s="227">
        <v>43.147499999990323</v>
      </c>
      <c r="Y1428" s="261"/>
      <c r="Z1428" s="261"/>
    </row>
    <row r="1429" spans="3:26" ht="19">
      <c r="C1429" s="218"/>
      <c r="D1429" s="522">
        <v>45518</v>
      </c>
      <c r="E1429" s="266">
        <v>2.1999999999999999E-2</v>
      </c>
      <c r="F1429" s="266" t="s">
        <v>971</v>
      </c>
      <c r="G1429" s="266">
        <v>0.02</v>
      </c>
      <c r="H1429" s="869">
        <v>0.25</v>
      </c>
      <c r="I1429" s="1246"/>
      <c r="J1429" s="1246"/>
      <c r="K1429" s="1247"/>
      <c r="L1429" s="894"/>
      <c r="M1429" s="336"/>
      <c r="N1429" s="219"/>
      <c r="O1429" s="221" t="s">
        <v>816</v>
      </c>
      <c r="P1429" s="262"/>
      <c r="Q1429" s="257"/>
      <c r="R1429" s="258"/>
      <c r="S1429" s="225"/>
      <c r="T1429" s="262"/>
      <c r="U1429" s="259"/>
      <c r="V1429" s="260"/>
      <c r="W1429" s="225"/>
      <c r="X1429" s="227"/>
      <c r="Y1429" s="261"/>
      <c r="Z1429" s="261"/>
    </row>
    <row r="1430" spans="3:26" ht="19">
      <c r="C1430" s="218"/>
      <c r="D1430" s="522">
        <v>45490</v>
      </c>
      <c r="E1430" s="266">
        <v>0.02</v>
      </c>
      <c r="F1430" s="266" t="s">
        <v>789</v>
      </c>
      <c r="G1430" s="266">
        <v>0.02</v>
      </c>
      <c r="H1430" s="869">
        <v>0.25</v>
      </c>
      <c r="I1430" s="1246"/>
      <c r="J1430" s="1246"/>
      <c r="K1430" s="1247"/>
      <c r="L1430" s="894"/>
      <c r="M1430" s="336"/>
      <c r="N1430" s="219"/>
      <c r="O1430" s="263"/>
      <c r="P1430" s="263"/>
      <c r="Q1430" s="263"/>
      <c r="R1430" s="263"/>
      <c r="S1430" s="263"/>
      <c r="T1430" s="263"/>
      <c r="U1430" s="263"/>
      <c r="V1430" s="263"/>
      <c r="W1430" s="263"/>
      <c r="X1430" s="263"/>
      <c r="Y1430" s="263"/>
      <c r="Z1430" s="263"/>
    </row>
    <row r="1431" spans="3:26" ht="20" thickBot="1">
      <c r="C1431" s="218"/>
      <c r="D1431" s="523">
        <v>45462</v>
      </c>
      <c r="E1431" s="319">
        <v>0.02</v>
      </c>
      <c r="F1431" s="319" t="s">
        <v>788</v>
      </c>
      <c r="G1431" s="319">
        <v>2.3E-2</v>
      </c>
      <c r="H1431" s="869">
        <v>0.25</v>
      </c>
      <c r="I1431" s="1249"/>
      <c r="J1431" s="1249"/>
      <c r="K1431" s="1250"/>
      <c r="L1431" s="895"/>
      <c r="M1431" s="344"/>
      <c r="N1431" s="219"/>
      <c r="O1431" s="263"/>
      <c r="P1431" s="263"/>
      <c r="Q1431" s="263"/>
      <c r="R1431" s="263"/>
      <c r="S1431" s="263"/>
      <c r="T1431" s="263"/>
      <c r="U1431" s="263"/>
      <c r="V1431" s="263"/>
      <c r="W1431" s="263"/>
      <c r="X1431" s="263"/>
      <c r="Y1431" s="263"/>
      <c r="Z1431" s="263"/>
    </row>
    <row r="1432" spans="3:26" ht="20" thickBot="1">
      <c r="C1432" s="218">
        <v>5</v>
      </c>
      <c r="D1432" s="498" t="s">
        <v>30</v>
      </c>
      <c r="E1432" s="1147" t="s">
        <v>1263</v>
      </c>
      <c r="F1432" s="1148"/>
      <c r="G1432" s="1149"/>
      <c r="H1432" s="861" t="s">
        <v>790</v>
      </c>
      <c r="I1432" s="1256" t="s">
        <v>633</v>
      </c>
      <c r="J1432" s="1256"/>
      <c r="K1432" s="1257"/>
      <c r="L1432" s="890" t="s">
        <v>430</v>
      </c>
      <c r="M1432" s="333" t="s">
        <v>431</v>
      </c>
      <c r="N1432" s="219" t="s">
        <v>105</v>
      </c>
      <c r="O1432" s="220" t="s">
        <v>800</v>
      </c>
      <c r="P1432" s="220" t="s">
        <v>801</v>
      </c>
      <c r="Q1432" s="220" t="s">
        <v>802</v>
      </c>
      <c r="R1432" s="220" t="s">
        <v>803</v>
      </c>
      <c r="S1432" s="220" t="s">
        <v>804</v>
      </c>
      <c r="T1432" s="220" t="s">
        <v>805</v>
      </c>
      <c r="U1432" s="220" t="s">
        <v>806</v>
      </c>
      <c r="V1432" s="220" t="s">
        <v>807</v>
      </c>
      <c r="W1432" s="220" t="s">
        <v>808</v>
      </c>
      <c r="X1432" s="220" t="s">
        <v>809</v>
      </c>
      <c r="Y1432" s="220" t="s">
        <v>75</v>
      </c>
      <c r="Z1432" s="220" t="s">
        <v>75</v>
      </c>
    </row>
    <row r="1433" spans="3:26" ht="19">
      <c r="C1433" s="218"/>
      <c r="D1433" s="504" t="s">
        <v>432</v>
      </c>
      <c r="E1433" s="1181"/>
      <c r="F1433" s="1182"/>
      <c r="G1433" s="1183"/>
      <c r="H1433" s="863" t="s">
        <v>909</v>
      </c>
      <c r="I1433" s="1243" t="s">
        <v>1264</v>
      </c>
      <c r="J1433" s="1243"/>
      <c r="K1433" s="1244"/>
      <c r="L1433" s="891"/>
      <c r="M1433" s="335" t="s">
        <v>1263</v>
      </c>
      <c r="N1433" s="219"/>
      <c r="O1433" s="221" t="s">
        <v>810</v>
      </c>
      <c r="P1433" s="222">
        <v>0.1</v>
      </c>
      <c r="Q1433" s="223">
        <v>3.4000000000000002E-2</v>
      </c>
      <c r="R1433" s="224">
        <v>1.5000000000014779E-2</v>
      </c>
      <c r="S1433" s="225"/>
      <c r="T1433" s="221">
        <v>6.6000000000014783E-2</v>
      </c>
      <c r="U1433" s="223">
        <v>-16.5</v>
      </c>
      <c r="V1433" s="222">
        <v>60.5</v>
      </c>
      <c r="W1433" s="226">
        <v>2</v>
      </c>
      <c r="X1433" s="227">
        <v>33</v>
      </c>
      <c r="Y1433" s="225"/>
      <c r="Z1433" s="225"/>
    </row>
    <row r="1434" spans="3:26" ht="19">
      <c r="C1434" s="218"/>
      <c r="D1434" s="505" t="s">
        <v>433</v>
      </c>
      <c r="E1434" s="1178">
        <v>2.3E-2</v>
      </c>
      <c r="F1434" s="1179"/>
      <c r="G1434" s="1180"/>
      <c r="H1434" s="863" t="s">
        <v>910</v>
      </c>
      <c r="I1434" s="1246"/>
      <c r="J1434" s="1246"/>
      <c r="K1434" s="1247"/>
      <c r="L1434" s="891"/>
      <c r="M1434" s="336"/>
      <c r="N1434" s="219"/>
      <c r="O1434" s="219"/>
      <c r="P1434" s="219"/>
      <c r="Q1434" s="219"/>
      <c r="R1434" s="228"/>
      <c r="S1434" s="229"/>
      <c r="T1434" s="219"/>
      <c r="U1434" s="219"/>
      <c r="V1434" s="219"/>
      <c r="W1434" s="229"/>
      <c r="X1434" s="229"/>
      <c r="Y1434" s="230"/>
      <c r="Z1434" s="230"/>
    </row>
    <row r="1435" spans="3:26" ht="19">
      <c r="C1435" s="218"/>
      <c r="D1435" s="505" t="s">
        <v>434</v>
      </c>
      <c r="E1435" s="1178">
        <v>2.3E-2</v>
      </c>
      <c r="F1435" s="1179"/>
      <c r="G1435" s="1180"/>
      <c r="H1435" s="863"/>
      <c r="I1435" s="1246"/>
      <c r="J1435" s="1246"/>
      <c r="K1435" s="1247"/>
      <c r="L1435" s="891"/>
      <c r="M1435" s="336"/>
      <c r="N1435" s="219"/>
      <c r="O1435" s="231" t="s">
        <v>811</v>
      </c>
      <c r="P1435" s="232">
        <v>0.1</v>
      </c>
      <c r="Q1435" s="233">
        <v>5.9400000000000001E-2</v>
      </c>
      <c r="R1435" s="234">
        <v>6.9999999999999999E-4</v>
      </c>
      <c r="S1435" s="235">
        <v>1</v>
      </c>
      <c r="T1435" s="231">
        <v>8.9800000000000005E-2</v>
      </c>
      <c r="U1435" s="236">
        <v>-22.449999999994972</v>
      </c>
      <c r="V1435" s="237">
        <v>60.5</v>
      </c>
      <c r="W1435" s="238">
        <v>4.38</v>
      </c>
      <c r="X1435" s="239">
        <v>98.330999999977976</v>
      </c>
      <c r="Y1435" s="240"/>
      <c r="Z1435" s="240"/>
    </row>
    <row r="1436" spans="3:26" ht="20" thickBot="1">
      <c r="C1436" s="218"/>
      <c r="D1436" s="506" t="s">
        <v>435</v>
      </c>
      <c r="E1436" s="1160">
        <v>0.41666666666666674</v>
      </c>
      <c r="F1436" s="1161"/>
      <c r="G1436" s="1162"/>
      <c r="H1436" s="865"/>
      <c r="I1436" s="1246"/>
      <c r="J1436" s="1246"/>
      <c r="K1436" s="1247"/>
      <c r="L1436" s="892">
        <v>0.64583333333333337</v>
      </c>
      <c r="M1436" s="338">
        <v>0.5</v>
      </c>
      <c r="N1436" s="219"/>
      <c r="O1436" s="241" t="s">
        <v>812</v>
      </c>
      <c r="P1436" s="242">
        <v>0.1</v>
      </c>
      <c r="Q1436" s="243">
        <v>7.1533333333333324E-2</v>
      </c>
      <c r="R1436" s="244">
        <v>6.9999999999999999E-4</v>
      </c>
      <c r="S1436" s="245">
        <v>1</v>
      </c>
      <c r="T1436" s="246">
        <v>0.108</v>
      </c>
      <c r="U1436" s="247">
        <v>-26.999999999993953</v>
      </c>
      <c r="V1436" s="248">
        <v>60.5</v>
      </c>
      <c r="W1436" s="249">
        <v>8</v>
      </c>
      <c r="X1436" s="250">
        <v>215.99999999995163</v>
      </c>
      <c r="Y1436" s="251"/>
      <c r="Z1436" s="251"/>
    </row>
    <row r="1437" spans="3:26" ht="20" thickBot="1">
      <c r="C1437" s="218"/>
      <c r="D1437" s="507" t="s">
        <v>436</v>
      </c>
      <c r="E1437" s="264" t="s">
        <v>29</v>
      </c>
      <c r="F1437" s="264" t="s">
        <v>28</v>
      </c>
      <c r="G1437" s="265" t="s">
        <v>27</v>
      </c>
      <c r="H1437" s="867" t="s">
        <v>793</v>
      </c>
      <c r="I1437" s="1246"/>
      <c r="J1437" s="1246"/>
      <c r="K1437" s="1247"/>
      <c r="L1437" s="893" t="s">
        <v>1246</v>
      </c>
      <c r="M1437" s="340"/>
      <c r="N1437" s="219"/>
      <c r="O1437" s="229"/>
      <c r="P1437" s="230"/>
      <c r="Q1437" s="229"/>
      <c r="R1437" s="229"/>
      <c r="S1437" s="229"/>
      <c r="T1437" s="229"/>
      <c r="U1437" s="254"/>
      <c r="V1437" s="255"/>
      <c r="W1437" s="229"/>
      <c r="X1437" s="254"/>
      <c r="Y1437" s="230"/>
      <c r="Z1437" s="230"/>
    </row>
    <row r="1438" spans="3:26" ht="19">
      <c r="C1438" s="218"/>
      <c r="D1438" s="508">
        <v>45625</v>
      </c>
      <c r="E1438" s="266">
        <v>2.3E-2</v>
      </c>
      <c r="F1438" s="266" t="s">
        <v>971</v>
      </c>
      <c r="G1438" s="266">
        <v>0.02</v>
      </c>
      <c r="H1438" s="869">
        <v>0.41666666666666674</v>
      </c>
      <c r="I1438" s="1246"/>
      <c r="J1438" s="1246"/>
      <c r="K1438" s="1247"/>
      <c r="L1438" s="894"/>
      <c r="M1438" s="342"/>
      <c r="N1438" s="219"/>
      <c r="O1438" s="229"/>
      <c r="P1438" s="230"/>
      <c r="Q1438" s="229"/>
      <c r="R1438" s="229"/>
      <c r="S1438" s="229"/>
      <c r="T1438" s="229"/>
      <c r="U1438" s="229"/>
      <c r="V1438" s="229"/>
      <c r="W1438" s="229"/>
      <c r="X1438" s="229"/>
      <c r="Y1438" s="230"/>
      <c r="Z1438" s="230"/>
    </row>
    <row r="1439" spans="3:26" ht="19">
      <c r="C1439" s="218"/>
      <c r="D1439" s="508">
        <v>45615</v>
      </c>
      <c r="E1439" s="266">
        <v>0.02</v>
      </c>
      <c r="F1439" s="266" t="s">
        <v>788</v>
      </c>
      <c r="G1439" s="266">
        <v>0.02</v>
      </c>
      <c r="H1439" s="869">
        <v>0.41666666666666674</v>
      </c>
      <c r="I1439" s="1246"/>
      <c r="J1439" s="1246"/>
      <c r="K1439" s="1247"/>
      <c r="L1439" s="894"/>
      <c r="M1439" s="343"/>
      <c r="N1439" s="219"/>
      <c r="O1439" s="221" t="s">
        <v>813</v>
      </c>
      <c r="P1439" s="222">
        <v>0.1</v>
      </c>
      <c r="Q1439" s="257">
        <v>6.5466666666666659E-2</v>
      </c>
      <c r="R1439" s="258">
        <v>6.9999999999999999E-4</v>
      </c>
      <c r="S1439" s="225">
        <v>1</v>
      </c>
      <c r="T1439" s="231">
        <v>9.8899999999999988E-2</v>
      </c>
      <c r="U1439" s="259">
        <v>-24.724999999994459</v>
      </c>
      <c r="V1439" s="260">
        <v>60.5</v>
      </c>
      <c r="W1439" s="225">
        <v>3</v>
      </c>
      <c r="X1439" s="227">
        <v>74.174999999983385</v>
      </c>
      <c r="Y1439" s="261"/>
      <c r="Z1439" s="261"/>
    </row>
    <row r="1440" spans="3:26" ht="19">
      <c r="C1440" s="218"/>
      <c r="D1440" s="508">
        <v>45596</v>
      </c>
      <c r="E1440" s="266">
        <v>0.02</v>
      </c>
      <c r="F1440" s="266" t="s">
        <v>789</v>
      </c>
      <c r="G1440" s="266">
        <v>1.7000000000000001E-2</v>
      </c>
      <c r="H1440" s="869">
        <v>0.41666666666666674</v>
      </c>
      <c r="I1440" s="1246"/>
      <c r="J1440" s="1246"/>
      <c r="K1440" s="1247"/>
      <c r="L1440" s="894"/>
      <c r="M1440" s="336"/>
      <c r="N1440" s="219"/>
      <c r="O1440" s="221" t="s">
        <v>813</v>
      </c>
      <c r="P1440" s="222">
        <v>0.1</v>
      </c>
      <c r="Q1440" s="257">
        <v>6.5466666666666659E-2</v>
      </c>
      <c r="R1440" s="258">
        <v>6.9999999999999999E-4</v>
      </c>
      <c r="S1440" s="225">
        <v>1</v>
      </c>
      <c r="T1440" s="231">
        <v>9.8899999999999988E-2</v>
      </c>
      <c r="U1440" s="259">
        <v>-24.724999999994459</v>
      </c>
      <c r="V1440" s="260">
        <v>60.5</v>
      </c>
      <c r="W1440" s="225">
        <v>3</v>
      </c>
      <c r="X1440" s="227">
        <v>74.174999999983385</v>
      </c>
      <c r="Y1440" s="261"/>
      <c r="Z1440" s="261"/>
    </row>
    <row r="1441" spans="3:26" ht="19">
      <c r="C1441" s="218"/>
      <c r="D1441" s="508">
        <v>45582</v>
      </c>
      <c r="E1441" s="266">
        <v>1.7000000000000001E-2</v>
      </c>
      <c r="F1441" s="266" t="s">
        <v>895</v>
      </c>
      <c r="G1441" s="266">
        <v>2.1999999999999999E-2</v>
      </c>
      <c r="H1441" s="869">
        <v>0.375</v>
      </c>
      <c r="I1441" s="1246"/>
      <c r="J1441" s="1246"/>
      <c r="K1441" s="1247"/>
      <c r="L1441" s="894"/>
      <c r="M1441" s="336"/>
      <c r="N1441" s="219"/>
      <c r="O1441" s="221"/>
      <c r="P1441" s="262"/>
      <c r="Q1441" s="257"/>
      <c r="R1441" s="258"/>
      <c r="S1441" s="225"/>
      <c r="T1441" s="262"/>
      <c r="U1441" s="259"/>
      <c r="V1441" s="260"/>
      <c r="W1441" s="225"/>
      <c r="X1441" s="227"/>
      <c r="Y1441" s="261"/>
      <c r="Z1441" s="261"/>
    </row>
    <row r="1442" spans="3:26" ht="19">
      <c r="C1442" s="218"/>
      <c r="D1442" s="508">
        <v>45566</v>
      </c>
      <c r="E1442" s="266">
        <v>1.7999999999999999E-2</v>
      </c>
      <c r="F1442" s="266" t="s">
        <v>895</v>
      </c>
      <c r="G1442" s="266">
        <v>2.1999999999999999E-2</v>
      </c>
      <c r="H1442" s="869">
        <v>0.375</v>
      </c>
      <c r="I1442" s="1246"/>
      <c r="J1442" s="1246"/>
      <c r="K1442" s="1247"/>
      <c r="L1442" s="894"/>
      <c r="M1442" s="336"/>
      <c r="N1442" s="219"/>
      <c r="O1442" s="263"/>
      <c r="P1442" s="263"/>
      <c r="Q1442" s="263"/>
      <c r="R1442" s="263"/>
      <c r="S1442" s="263"/>
      <c r="T1442" s="263"/>
      <c r="U1442" s="263"/>
      <c r="V1442" s="263"/>
      <c r="W1442" s="263"/>
      <c r="X1442" s="263"/>
      <c r="Y1442" s="263"/>
      <c r="Z1442" s="263"/>
    </row>
    <row r="1443" spans="3:26" ht="20" thickBot="1">
      <c r="C1443" s="218"/>
      <c r="D1443" s="517">
        <v>45553</v>
      </c>
      <c r="E1443" s="319">
        <v>2.1999999999999999E-2</v>
      </c>
      <c r="F1443" s="319" t="s">
        <v>490</v>
      </c>
      <c r="G1443" s="319">
        <v>2.5999999999999999E-2</v>
      </c>
      <c r="H1443" s="869">
        <v>0.375</v>
      </c>
      <c r="I1443" s="1249"/>
      <c r="J1443" s="1249"/>
      <c r="K1443" s="1250"/>
      <c r="L1443" s="895"/>
      <c r="M1443" s="344"/>
      <c r="N1443" s="219"/>
      <c r="O1443" s="263"/>
      <c r="P1443" s="263"/>
      <c r="Q1443" s="263"/>
      <c r="R1443" s="263"/>
      <c r="S1443" s="263"/>
      <c r="T1443" s="263"/>
      <c r="U1443" s="263"/>
      <c r="V1443" s="263"/>
      <c r="W1443" s="263"/>
      <c r="X1443" s="263"/>
      <c r="Y1443" s="263"/>
      <c r="Z1443" s="263"/>
    </row>
    <row r="1444" spans="3:26" ht="20" thickBot="1">
      <c r="C1444" s="218">
        <v>6</v>
      </c>
      <c r="D1444" s="498" t="s">
        <v>30</v>
      </c>
      <c r="E1444" s="1147" t="s">
        <v>9</v>
      </c>
      <c r="F1444" s="1148"/>
      <c r="G1444" s="1149"/>
      <c r="H1444" s="861" t="s">
        <v>790</v>
      </c>
      <c r="I1444" s="1256" t="s">
        <v>633</v>
      </c>
      <c r="J1444" s="1256"/>
      <c r="K1444" s="1257"/>
      <c r="L1444" s="890" t="s">
        <v>430</v>
      </c>
      <c r="M1444" s="333" t="s">
        <v>431</v>
      </c>
      <c r="N1444" s="219" t="s">
        <v>105</v>
      </c>
      <c r="O1444" s="220" t="s">
        <v>800</v>
      </c>
      <c r="P1444" s="220" t="s">
        <v>801</v>
      </c>
      <c r="Q1444" s="220" t="s">
        <v>802</v>
      </c>
      <c r="R1444" s="220" t="s">
        <v>803</v>
      </c>
      <c r="S1444" s="220" t="s">
        <v>804</v>
      </c>
      <c r="T1444" s="220" t="s">
        <v>805</v>
      </c>
      <c r="U1444" s="220" t="s">
        <v>806</v>
      </c>
      <c r="V1444" s="220" t="s">
        <v>807</v>
      </c>
      <c r="W1444" s="220" t="s">
        <v>808</v>
      </c>
      <c r="X1444" s="220" t="s">
        <v>809</v>
      </c>
      <c r="Y1444" s="220" t="s">
        <v>75</v>
      </c>
      <c r="Z1444" s="220" t="s">
        <v>75</v>
      </c>
    </row>
    <row r="1445" spans="3:26" ht="19">
      <c r="C1445" s="218"/>
      <c r="D1445" s="504" t="s">
        <v>432</v>
      </c>
      <c r="E1445" s="1181"/>
      <c r="F1445" s="1182"/>
      <c r="G1445" s="1183"/>
      <c r="H1445" s="863" t="s">
        <v>796</v>
      </c>
      <c r="I1445" s="1243" t="s">
        <v>1266</v>
      </c>
      <c r="J1445" s="1243"/>
      <c r="K1445" s="1244"/>
      <c r="L1445" s="891"/>
      <c r="M1445" s="335" t="s">
        <v>9</v>
      </c>
      <c r="N1445" s="219"/>
      <c r="O1445" s="221" t="s">
        <v>810</v>
      </c>
      <c r="P1445" s="222">
        <v>0.1</v>
      </c>
      <c r="Q1445" s="223">
        <v>3.4000000000000002E-2</v>
      </c>
      <c r="R1445" s="224">
        <v>1.5000000000014779E-2</v>
      </c>
      <c r="S1445" s="225"/>
      <c r="T1445" s="221">
        <v>6.6000000000014783E-2</v>
      </c>
      <c r="U1445" s="223">
        <v>-16.5</v>
      </c>
      <c r="V1445" s="222">
        <v>60.5</v>
      </c>
      <c r="W1445" s="226">
        <v>2</v>
      </c>
      <c r="X1445" s="227">
        <v>33</v>
      </c>
      <c r="Y1445" s="225"/>
      <c r="Z1445" s="225"/>
    </row>
    <row r="1446" spans="3:26" ht="19">
      <c r="C1446" s="218"/>
      <c r="D1446" s="505" t="s">
        <v>433</v>
      </c>
      <c r="E1446" s="1178"/>
      <c r="F1446" s="1179"/>
      <c r="G1446" s="1180"/>
      <c r="H1446" s="863" t="s">
        <v>796</v>
      </c>
      <c r="I1446" s="1246"/>
      <c r="J1446" s="1246"/>
      <c r="K1446" s="1247"/>
      <c r="L1446" s="891"/>
      <c r="M1446" s="336"/>
      <c r="N1446" s="219"/>
      <c r="O1446" s="219"/>
      <c r="P1446" s="219"/>
      <c r="Q1446" s="219"/>
      <c r="R1446" s="228"/>
      <c r="S1446" s="229"/>
      <c r="T1446" s="219"/>
      <c r="U1446" s="219"/>
      <c r="V1446" s="219"/>
      <c r="W1446" s="229"/>
      <c r="X1446" s="229"/>
      <c r="Y1446" s="230"/>
      <c r="Z1446" s="230"/>
    </row>
    <row r="1447" spans="3:26" ht="19">
      <c r="C1447" s="218"/>
      <c r="D1447" s="505" t="s">
        <v>434</v>
      </c>
      <c r="E1447" s="1178" t="s">
        <v>1265</v>
      </c>
      <c r="F1447" s="1179"/>
      <c r="G1447" s="1180"/>
      <c r="H1447" s="863"/>
      <c r="I1447" s="1246"/>
      <c r="J1447" s="1246"/>
      <c r="K1447" s="1247"/>
      <c r="L1447" s="891"/>
      <c r="M1447" s="336"/>
      <c r="N1447" s="219"/>
      <c r="O1447" s="231" t="s">
        <v>811</v>
      </c>
      <c r="P1447" s="232">
        <v>0.1</v>
      </c>
      <c r="Q1447" s="233">
        <v>5.9400000000000001E-2</v>
      </c>
      <c r="R1447" s="234">
        <v>6.9999999999999999E-4</v>
      </c>
      <c r="S1447" s="235">
        <v>1</v>
      </c>
      <c r="T1447" s="231">
        <v>8.9800000000000005E-2</v>
      </c>
      <c r="U1447" s="236">
        <v>-22.449999999994972</v>
      </c>
      <c r="V1447" s="237">
        <v>60.5</v>
      </c>
      <c r="W1447" s="238">
        <v>4.38</v>
      </c>
      <c r="X1447" s="239">
        <v>98.330999999977976</v>
      </c>
      <c r="Y1447" s="240"/>
      <c r="Z1447" s="240"/>
    </row>
    <row r="1448" spans="3:26" ht="20" thickBot="1">
      <c r="C1448" s="218"/>
      <c r="D1448" s="506" t="s">
        <v>435</v>
      </c>
      <c r="E1448" s="1160">
        <v>0.64583333333333337</v>
      </c>
      <c r="F1448" s="1161"/>
      <c r="G1448" s="1162"/>
      <c r="H1448" s="865"/>
      <c r="I1448" s="1246"/>
      <c r="J1448" s="1246"/>
      <c r="K1448" s="1247"/>
      <c r="L1448" s="892">
        <v>0.875</v>
      </c>
      <c r="M1448" s="338">
        <v>0.72916666666666663</v>
      </c>
      <c r="N1448" s="219"/>
      <c r="O1448" s="241" t="s">
        <v>812</v>
      </c>
      <c r="P1448" s="242">
        <v>0.1</v>
      </c>
      <c r="Q1448" s="243">
        <v>7.1533333333333324E-2</v>
      </c>
      <c r="R1448" s="244">
        <v>6.9999999999999999E-4</v>
      </c>
      <c r="S1448" s="245">
        <v>1</v>
      </c>
      <c r="T1448" s="246">
        <v>0.108</v>
      </c>
      <c r="U1448" s="247">
        <v>-26.999999999993953</v>
      </c>
      <c r="V1448" s="248">
        <v>60.5</v>
      </c>
      <c r="W1448" s="249">
        <v>8</v>
      </c>
      <c r="X1448" s="250">
        <v>215.99999999995163</v>
      </c>
      <c r="Y1448" s="251"/>
      <c r="Z1448" s="251"/>
    </row>
    <row r="1449" spans="3:26" ht="20" thickBot="1">
      <c r="C1449" s="218"/>
      <c r="D1449" s="507" t="s">
        <v>436</v>
      </c>
      <c r="E1449" s="264" t="s">
        <v>29</v>
      </c>
      <c r="F1449" s="264" t="s">
        <v>28</v>
      </c>
      <c r="G1449" s="265" t="s">
        <v>27</v>
      </c>
      <c r="H1449" s="867" t="s">
        <v>793</v>
      </c>
      <c r="I1449" s="1246"/>
      <c r="J1449" s="1246"/>
      <c r="K1449" s="1247"/>
      <c r="L1449" s="893" t="s">
        <v>1246</v>
      </c>
      <c r="M1449" s="340"/>
      <c r="N1449" s="219"/>
      <c r="O1449" s="229"/>
      <c r="P1449" s="230"/>
      <c r="Q1449" s="229"/>
      <c r="R1449" s="229"/>
      <c r="S1449" s="229"/>
      <c r="T1449" s="229"/>
      <c r="U1449" s="254"/>
      <c r="V1449" s="255"/>
      <c r="W1449" s="229"/>
      <c r="X1449" s="254"/>
      <c r="Y1449" s="230"/>
      <c r="Z1449" s="230"/>
    </row>
    <row r="1450" spans="3:26" ht="19">
      <c r="C1450" s="218"/>
      <c r="D1450" s="508">
        <v>45637</v>
      </c>
      <c r="E1450" s="266" t="s">
        <v>1286</v>
      </c>
      <c r="F1450" s="266" t="s">
        <v>1287</v>
      </c>
      <c r="G1450" s="266" t="s">
        <v>1288</v>
      </c>
      <c r="H1450" s="897">
        <v>0.72916666666666674</v>
      </c>
      <c r="I1450" s="1246"/>
      <c r="J1450" s="1246"/>
      <c r="K1450" s="1247"/>
      <c r="L1450" s="894">
        <v>0.64583333333333337</v>
      </c>
      <c r="M1450" s="342"/>
      <c r="N1450" s="219"/>
      <c r="O1450" s="229"/>
      <c r="P1450" s="230"/>
      <c r="Q1450" s="229"/>
      <c r="R1450" s="229"/>
      <c r="S1450" s="229"/>
      <c r="T1450" s="229"/>
      <c r="U1450" s="229"/>
      <c r="V1450" s="229"/>
      <c r="W1450" s="229"/>
      <c r="X1450" s="229"/>
      <c r="Y1450" s="230"/>
      <c r="Z1450" s="230"/>
    </row>
    <row r="1451" spans="3:26" ht="19">
      <c r="C1451" s="218"/>
      <c r="D1451" s="508">
        <v>45630</v>
      </c>
      <c r="E1451" s="266" t="s">
        <v>1288</v>
      </c>
      <c r="F1451" s="266" t="s">
        <v>1289</v>
      </c>
      <c r="G1451" s="266" t="s">
        <v>1290</v>
      </c>
      <c r="H1451" s="897">
        <v>0.72916666666666674</v>
      </c>
      <c r="I1451" s="1246"/>
      <c r="J1451" s="1246"/>
      <c r="K1451" s="1247"/>
      <c r="L1451" s="894">
        <v>0.64583333333333337</v>
      </c>
      <c r="M1451" s="343"/>
      <c r="N1451" s="219"/>
      <c r="O1451" s="221" t="s">
        <v>813</v>
      </c>
      <c r="P1451" s="222">
        <v>0.1</v>
      </c>
      <c r="Q1451" s="257">
        <v>6.5466666666666659E-2</v>
      </c>
      <c r="R1451" s="258">
        <v>6.9999999999999999E-4</v>
      </c>
      <c r="S1451" s="225">
        <v>1</v>
      </c>
      <c r="T1451" s="231">
        <v>9.8899999999999988E-2</v>
      </c>
      <c r="U1451" s="259">
        <v>-24.724999999994459</v>
      </c>
      <c r="V1451" s="260">
        <v>60.5</v>
      </c>
      <c r="W1451" s="225">
        <v>3</v>
      </c>
      <c r="X1451" s="227">
        <v>74.174999999983385</v>
      </c>
      <c r="Y1451" s="261"/>
      <c r="Z1451" s="261"/>
    </row>
    <row r="1452" spans="3:26" ht="19">
      <c r="C1452" s="218"/>
      <c r="D1452" s="508">
        <v>45623</v>
      </c>
      <c r="E1452" s="266" t="s">
        <v>1290</v>
      </c>
      <c r="F1452" s="266" t="s">
        <v>1291</v>
      </c>
      <c r="G1452" s="266" t="s">
        <v>1125</v>
      </c>
      <c r="H1452" s="897">
        <v>0.72916666666666674</v>
      </c>
      <c r="I1452" s="1246"/>
      <c r="J1452" s="1246"/>
      <c r="K1452" s="1247"/>
      <c r="L1452" s="894">
        <v>0.64583333333333337</v>
      </c>
      <c r="M1452" s="336"/>
      <c r="N1452" s="219"/>
      <c r="O1452" s="221" t="s">
        <v>813</v>
      </c>
      <c r="P1452" s="222">
        <v>0.1</v>
      </c>
      <c r="Q1452" s="257">
        <v>6.5466666666666659E-2</v>
      </c>
      <c r="R1452" s="258">
        <v>6.9999999999999999E-4</v>
      </c>
      <c r="S1452" s="225">
        <v>1</v>
      </c>
      <c r="T1452" s="231">
        <v>9.8899999999999988E-2</v>
      </c>
      <c r="U1452" s="259">
        <v>-24.724999999994459</v>
      </c>
      <c r="V1452" s="260">
        <v>60.5</v>
      </c>
      <c r="W1452" s="225">
        <v>3</v>
      </c>
      <c r="X1452" s="227">
        <v>74.174999999983385</v>
      </c>
      <c r="Y1452" s="261"/>
      <c r="Z1452" s="261"/>
    </row>
    <row r="1453" spans="3:26" ht="19">
      <c r="C1453" s="218"/>
      <c r="D1453" s="508">
        <v>45616</v>
      </c>
      <c r="E1453" s="266" t="s">
        <v>1125</v>
      </c>
      <c r="F1453" s="266" t="s">
        <v>1030</v>
      </c>
      <c r="G1453" s="266" t="s">
        <v>1029</v>
      </c>
      <c r="H1453" s="897">
        <v>0.72916666666666674</v>
      </c>
      <c r="I1453" s="1246"/>
      <c r="J1453" s="1246"/>
      <c r="K1453" s="1247"/>
      <c r="L1453" s="894">
        <v>0.64583333333333337</v>
      </c>
      <c r="M1453" s="336"/>
      <c r="N1453" s="219"/>
      <c r="O1453" s="221"/>
      <c r="P1453" s="262"/>
      <c r="Q1453" s="257"/>
      <c r="R1453" s="258"/>
      <c r="S1453" s="225"/>
      <c r="T1453" s="262"/>
      <c r="U1453" s="259"/>
      <c r="V1453" s="260"/>
      <c r="W1453" s="225"/>
      <c r="X1453" s="227"/>
      <c r="Y1453" s="261"/>
      <c r="Z1453" s="261"/>
    </row>
    <row r="1454" spans="3:26" ht="19">
      <c r="C1454" s="218"/>
      <c r="D1454" s="508">
        <v>45610</v>
      </c>
      <c r="E1454" s="266" t="s">
        <v>1029</v>
      </c>
      <c r="F1454" s="266" t="s">
        <v>1030</v>
      </c>
      <c r="G1454" s="266" t="s">
        <v>988</v>
      </c>
      <c r="H1454" s="897">
        <v>0.75</v>
      </c>
      <c r="I1454" s="1246"/>
      <c r="J1454" s="1246"/>
      <c r="K1454" s="1247"/>
      <c r="L1454" s="894">
        <v>0.66666666666666663</v>
      </c>
      <c r="M1454" s="336"/>
      <c r="N1454" s="219"/>
      <c r="O1454" s="263"/>
      <c r="P1454" s="263"/>
      <c r="Q1454" s="263"/>
      <c r="R1454" s="263"/>
      <c r="S1454" s="263"/>
      <c r="T1454" s="263"/>
      <c r="U1454" s="263"/>
      <c r="V1454" s="263"/>
      <c r="W1454" s="263"/>
      <c r="X1454" s="263"/>
      <c r="Y1454" s="263"/>
      <c r="Z1454" s="263"/>
    </row>
    <row r="1455" spans="3:26" ht="20" thickBot="1">
      <c r="C1455" s="218"/>
      <c r="D1455" s="517">
        <v>45602</v>
      </c>
      <c r="E1455" s="319" t="s">
        <v>988</v>
      </c>
      <c r="F1455" s="319" t="s">
        <v>989</v>
      </c>
      <c r="G1455" s="319" t="s">
        <v>990</v>
      </c>
      <c r="H1455" s="897">
        <v>0.75</v>
      </c>
      <c r="I1455" s="1249"/>
      <c r="J1455" s="1249"/>
      <c r="K1455" s="1250"/>
      <c r="L1455" s="895">
        <v>0.66666666666666663</v>
      </c>
      <c r="M1455" s="344"/>
      <c r="N1455" s="219"/>
      <c r="O1455" s="263"/>
      <c r="P1455" s="263"/>
      <c r="Q1455" s="263"/>
      <c r="R1455" s="263"/>
      <c r="S1455" s="263"/>
      <c r="T1455" s="263"/>
      <c r="U1455" s="263"/>
      <c r="V1455" s="263"/>
      <c r="W1455" s="263"/>
      <c r="X1455" s="263"/>
      <c r="Y1455" s="263"/>
      <c r="Z1455" s="263"/>
    </row>
    <row r="1456" spans="3:26" ht="20" thickBot="1">
      <c r="C1456" s="218">
        <v>7</v>
      </c>
      <c r="D1456" s="498" t="s">
        <v>30</v>
      </c>
      <c r="E1456" s="1147" t="s">
        <v>341</v>
      </c>
      <c r="F1456" s="1148"/>
      <c r="G1456" s="1149"/>
      <c r="H1456" s="861" t="s">
        <v>790</v>
      </c>
      <c r="I1456" s="1256" t="s">
        <v>633</v>
      </c>
      <c r="J1456" s="1256"/>
      <c r="K1456" s="1257"/>
      <c r="L1456" s="890" t="s">
        <v>430</v>
      </c>
      <c r="M1456" s="333" t="s">
        <v>431</v>
      </c>
      <c r="N1456" s="219" t="s">
        <v>105</v>
      </c>
      <c r="O1456" s="220" t="s">
        <v>800</v>
      </c>
      <c r="P1456" s="220" t="s">
        <v>801</v>
      </c>
      <c r="Q1456" s="220" t="s">
        <v>802</v>
      </c>
      <c r="R1456" s="220" t="s">
        <v>803</v>
      </c>
      <c r="S1456" s="220" t="s">
        <v>804</v>
      </c>
      <c r="T1456" s="220" t="s">
        <v>805</v>
      </c>
      <c r="U1456" s="220" t="s">
        <v>806</v>
      </c>
      <c r="V1456" s="220" t="s">
        <v>807</v>
      </c>
      <c r="W1456" s="220" t="s">
        <v>808</v>
      </c>
      <c r="X1456" s="220" t="s">
        <v>809</v>
      </c>
      <c r="Y1456" s="220" t="s">
        <v>75</v>
      </c>
      <c r="Z1456" s="220" t="s">
        <v>75</v>
      </c>
    </row>
    <row r="1457" spans="3:26" ht="19">
      <c r="C1457" s="218"/>
      <c r="D1457" s="504" t="s">
        <v>432</v>
      </c>
      <c r="E1457" s="1181"/>
      <c r="F1457" s="1182"/>
      <c r="G1457" s="1183"/>
      <c r="H1457" s="863" t="s">
        <v>1294</v>
      </c>
      <c r="I1457" s="1243" t="s">
        <v>1267</v>
      </c>
      <c r="J1457" s="1243"/>
      <c r="K1457" s="1244"/>
      <c r="L1457" s="891"/>
      <c r="M1457" s="335" t="s">
        <v>341</v>
      </c>
      <c r="N1457" s="219"/>
      <c r="O1457" s="221" t="s">
        <v>810</v>
      </c>
      <c r="P1457" s="222">
        <v>0.1</v>
      </c>
      <c r="Q1457" s="223">
        <v>1.9E-2</v>
      </c>
      <c r="R1457" s="224">
        <v>2.199999999999136E-2</v>
      </c>
      <c r="S1457" s="225"/>
      <c r="T1457" s="221">
        <v>5.0499999999991357E-2</v>
      </c>
      <c r="U1457" s="223">
        <v>-11.86</v>
      </c>
      <c r="V1457" s="222">
        <v>91.8</v>
      </c>
      <c r="W1457" s="226">
        <v>2</v>
      </c>
      <c r="X1457" s="227">
        <v>23.72</v>
      </c>
      <c r="Y1457" s="225"/>
      <c r="Z1457" s="225"/>
    </row>
    <row r="1458" spans="3:26" ht="19">
      <c r="C1458" s="218"/>
      <c r="D1458" s="505" t="s">
        <v>433</v>
      </c>
      <c r="E1458" s="1178"/>
      <c r="F1458" s="1179"/>
      <c r="G1458" s="1180"/>
      <c r="H1458" s="863" t="s">
        <v>1294</v>
      </c>
      <c r="I1458" s="1246"/>
      <c r="J1458" s="1246"/>
      <c r="K1458" s="1247"/>
      <c r="L1458" s="891"/>
      <c r="M1458" s="336"/>
      <c r="N1458" s="219"/>
      <c r="O1458" s="219"/>
      <c r="P1458" s="219"/>
      <c r="Q1458" s="219"/>
      <c r="R1458" s="228"/>
      <c r="S1458" s="229"/>
      <c r="T1458" s="219"/>
      <c r="U1458" s="219"/>
      <c r="V1458" s="219"/>
      <c r="W1458" s="229"/>
      <c r="X1458" s="229"/>
      <c r="Y1458" s="230"/>
      <c r="Z1458" s="230"/>
    </row>
    <row r="1459" spans="3:26" ht="19">
      <c r="C1459" s="218"/>
      <c r="D1459" s="505" t="s">
        <v>434</v>
      </c>
      <c r="E1459" s="1178"/>
      <c r="F1459" s="1179"/>
      <c r="G1459" s="1180"/>
      <c r="H1459" s="863"/>
      <c r="I1459" s="1246"/>
      <c r="J1459" s="1246"/>
      <c r="K1459" s="1247"/>
      <c r="L1459" s="891"/>
      <c r="M1459" s="336"/>
      <c r="N1459" s="219"/>
      <c r="O1459" s="231" t="s">
        <v>811</v>
      </c>
      <c r="P1459" s="232">
        <v>0.1</v>
      </c>
      <c r="Q1459" s="233">
        <v>6.3600000000000004E-2</v>
      </c>
      <c r="R1459" s="234">
        <v>2.8000000000000001E-2</v>
      </c>
      <c r="S1459" s="235">
        <v>1</v>
      </c>
      <c r="T1459" s="231">
        <v>0.12340000000000001</v>
      </c>
      <c r="U1459" s="236">
        <v>-28.980673267331692</v>
      </c>
      <c r="V1459" s="236">
        <v>91.8</v>
      </c>
      <c r="W1459" s="238">
        <v>8.1199999999999992</v>
      </c>
      <c r="X1459" s="239">
        <v>235.32306693073332</v>
      </c>
      <c r="Y1459" s="240"/>
      <c r="Z1459" s="240"/>
    </row>
    <row r="1460" spans="3:26" ht="20" thickBot="1">
      <c r="C1460" s="218"/>
      <c r="D1460" s="506" t="s">
        <v>435</v>
      </c>
      <c r="E1460" s="1160">
        <v>0.79166666666666663</v>
      </c>
      <c r="F1460" s="1161"/>
      <c r="G1460" s="1162"/>
      <c r="H1460" s="865"/>
      <c r="I1460" s="1246"/>
      <c r="J1460" s="1246"/>
      <c r="K1460" s="1247"/>
      <c r="L1460" s="892">
        <v>2.0833333333333332E-2</v>
      </c>
      <c r="M1460" s="362">
        <v>0.875</v>
      </c>
      <c r="N1460" s="219"/>
      <c r="O1460" s="241" t="s">
        <v>812</v>
      </c>
      <c r="P1460" s="242">
        <v>0.1</v>
      </c>
      <c r="Q1460" s="243">
        <v>6.4399999999999999E-2</v>
      </c>
      <c r="R1460" s="244">
        <v>2.8000000000000001E-2</v>
      </c>
      <c r="S1460" s="245">
        <v>1</v>
      </c>
      <c r="T1460" s="246">
        <v>0.1246</v>
      </c>
      <c r="U1460" s="247">
        <v>-29.262495049509958</v>
      </c>
      <c r="V1460" s="247">
        <v>91.8</v>
      </c>
      <c r="W1460" s="249">
        <v>4.9000000000000004</v>
      </c>
      <c r="X1460" s="250">
        <v>143.38622574259881</v>
      </c>
      <c r="Y1460" s="251"/>
      <c r="Z1460" s="251"/>
    </row>
    <row r="1461" spans="3:26" ht="20" thickBot="1">
      <c r="C1461" s="218"/>
      <c r="D1461" s="507" t="s">
        <v>436</v>
      </c>
      <c r="E1461" s="264" t="s">
        <v>29</v>
      </c>
      <c r="F1461" s="264" t="s">
        <v>28</v>
      </c>
      <c r="G1461" s="265" t="s">
        <v>27</v>
      </c>
      <c r="H1461" s="867" t="s">
        <v>793</v>
      </c>
      <c r="I1461" s="1246"/>
      <c r="J1461" s="1246"/>
      <c r="K1461" s="1247"/>
      <c r="L1461" s="893" t="s">
        <v>1246</v>
      </c>
      <c r="M1461" s="340"/>
      <c r="N1461" s="219"/>
      <c r="O1461" s="229"/>
      <c r="P1461" s="230"/>
      <c r="Q1461" s="229"/>
      <c r="R1461" s="229"/>
      <c r="S1461" s="229"/>
      <c r="T1461" s="229"/>
      <c r="U1461" s="254"/>
      <c r="V1461" s="255"/>
      <c r="W1461" s="229"/>
      <c r="X1461" s="254"/>
      <c r="Y1461" s="230"/>
      <c r="Z1461" s="230"/>
    </row>
    <row r="1462" spans="3:26" ht="19">
      <c r="C1462" s="218"/>
      <c r="D1462" s="508">
        <v>45553</v>
      </c>
      <c r="E1462" s="266"/>
      <c r="F1462" s="266"/>
      <c r="G1462" s="266"/>
      <c r="H1462" s="869">
        <v>0.75</v>
      </c>
      <c r="I1462" s="1246"/>
      <c r="J1462" s="1246"/>
      <c r="K1462" s="1247"/>
      <c r="L1462" s="894"/>
      <c r="M1462" s="342"/>
      <c r="N1462" s="219"/>
      <c r="O1462" s="229"/>
      <c r="P1462" s="230"/>
      <c r="Q1462" s="229"/>
      <c r="R1462" s="229"/>
      <c r="S1462" s="229"/>
      <c r="T1462" s="229"/>
      <c r="U1462" s="229"/>
      <c r="V1462" s="229"/>
      <c r="W1462" s="229"/>
      <c r="X1462" s="229"/>
      <c r="Y1462" s="230"/>
      <c r="Z1462" s="230"/>
    </row>
    <row r="1463" spans="3:26" ht="19">
      <c r="C1463" s="218"/>
      <c r="D1463" s="508">
        <v>45455</v>
      </c>
      <c r="E1463" s="266"/>
      <c r="F1463" s="266"/>
      <c r="G1463" s="266"/>
      <c r="H1463" s="869">
        <v>0.75</v>
      </c>
      <c r="I1463" s="1246"/>
      <c r="J1463" s="1246"/>
      <c r="K1463" s="1247"/>
      <c r="L1463" s="894"/>
      <c r="M1463" s="343"/>
      <c r="N1463" s="219"/>
      <c r="O1463" s="221" t="s">
        <v>813</v>
      </c>
      <c r="P1463" s="222">
        <v>0.34</v>
      </c>
      <c r="Q1463" s="257">
        <v>6.4000000000000001E-2</v>
      </c>
      <c r="R1463" s="258">
        <v>2.8000000000000001E-2</v>
      </c>
      <c r="S1463" s="225">
        <v>1.5</v>
      </c>
      <c r="T1463" s="231">
        <v>0.124</v>
      </c>
      <c r="U1463" s="259">
        <v>-148.5200792079462</v>
      </c>
      <c r="V1463" s="237">
        <v>312.12</v>
      </c>
      <c r="W1463" s="225">
        <v>2</v>
      </c>
      <c r="X1463" s="227">
        <v>297.04015841589239</v>
      </c>
      <c r="Y1463" s="261"/>
      <c r="Z1463" s="261"/>
    </row>
    <row r="1464" spans="3:26" ht="19">
      <c r="C1464" s="218"/>
      <c r="D1464" s="508">
        <v>45371</v>
      </c>
      <c r="E1464" s="266"/>
      <c r="F1464" s="266"/>
      <c r="G1464" s="266"/>
      <c r="H1464" s="869">
        <v>0.75</v>
      </c>
      <c r="I1464" s="1246"/>
      <c r="J1464" s="1246"/>
      <c r="K1464" s="1247"/>
      <c r="L1464" s="894"/>
      <c r="M1464" s="336"/>
      <c r="N1464" s="219"/>
      <c r="O1464" s="221" t="s">
        <v>813</v>
      </c>
      <c r="P1464" s="222">
        <v>0.34</v>
      </c>
      <c r="Q1464" s="257">
        <v>6.4000000000000001E-2</v>
      </c>
      <c r="R1464" s="258">
        <v>2.8000000000000001E-2</v>
      </c>
      <c r="S1464" s="225">
        <v>1.5</v>
      </c>
      <c r="T1464" s="231">
        <v>0.124</v>
      </c>
      <c r="U1464" s="259">
        <v>-148.5200792079462</v>
      </c>
      <c r="V1464" s="237">
        <v>312.12</v>
      </c>
      <c r="W1464" s="225">
        <v>2</v>
      </c>
      <c r="X1464" s="227">
        <v>297.04015841589239</v>
      </c>
      <c r="Y1464" s="261"/>
      <c r="Z1464" s="261"/>
    </row>
    <row r="1465" spans="3:26" ht="19">
      <c r="C1465" s="218"/>
      <c r="D1465" s="508">
        <v>45273</v>
      </c>
      <c r="E1465" s="266"/>
      <c r="F1465" s="266"/>
      <c r="G1465" s="266"/>
      <c r="H1465" s="869">
        <v>0.79166666666666663</v>
      </c>
      <c r="I1465" s="1246"/>
      <c r="J1465" s="1246"/>
      <c r="K1465" s="1247"/>
      <c r="L1465" s="894"/>
      <c r="M1465" s="336"/>
      <c r="N1465" s="219"/>
      <c r="O1465" s="221"/>
      <c r="P1465" s="262"/>
      <c r="Q1465" s="257"/>
      <c r="R1465" s="258"/>
      <c r="S1465" s="225"/>
      <c r="T1465" s="262"/>
      <c r="U1465" s="259"/>
      <c r="V1465" s="260"/>
      <c r="W1465" s="225"/>
      <c r="X1465" s="227"/>
      <c r="Y1465" s="261"/>
      <c r="Z1465" s="261"/>
    </row>
    <row r="1466" spans="3:26" ht="19">
      <c r="C1466" s="218"/>
      <c r="D1466" s="508">
        <v>45189</v>
      </c>
      <c r="E1466" s="266"/>
      <c r="F1466" s="266"/>
      <c r="G1466" s="266"/>
      <c r="H1466" s="869">
        <v>0.75</v>
      </c>
      <c r="I1466" s="1246"/>
      <c r="J1466" s="1246"/>
      <c r="K1466" s="1247"/>
      <c r="L1466" s="894"/>
      <c r="M1466" s="336"/>
      <c r="N1466" s="219"/>
      <c r="O1466" s="263"/>
      <c r="P1466" s="263"/>
      <c r="Q1466" s="263"/>
      <c r="R1466" s="263"/>
      <c r="S1466" s="263"/>
      <c r="T1466" s="263"/>
      <c r="U1466" s="263"/>
      <c r="V1466" s="263"/>
      <c r="W1466" s="263"/>
      <c r="X1466" s="263"/>
      <c r="Y1466" s="263"/>
      <c r="Z1466" s="263"/>
    </row>
    <row r="1467" spans="3:26" ht="20" thickBot="1">
      <c r="C1467" s="218"/>
      <c r="D1467" s="517">
        <v>45091</v>
      </c>
      <c r="E1467" s="319"/>
      <c r="F1467" s="319"/>
      <c r="G1467" s="319"/>
      <c r="H1467" s="869">
        <v>0.75</v>
      </c>
      <c r="I1467" s="1249"/>
      <c r="J1467" s="1249"/>
      <c r="K1467" s="1250"/>
      <c r="L1467" s="895"/>
      <c r="M1467" s="344"/>
      <c r="N1467" s="219"/>
      <c r="O1467" s="263"/>
      <c r="P1467" s="263"/>
      <c r="Q1467" s="263"/>
      <c r="R1467" s="263"/>
      <c r="S1467" s="263"/>
      <c r="T1467" s="263"/>
      <c r="U1467" s="263"/>
      <c r="V1467" s="263"/>
      <c r="W1467" s="263"/>
      <c r="X1467" s="263"/>
      <c r="Y1467" s="263"/>
      <c r="Z1467" s="263"/>
    </row>
    <row r="1468" spans="3:26" ht="20" thickBot="1">
      <c r="C1468" s="218">
        <v>6</v>
      </c>
      <c r="D1468" s="498" t="s">
        <v>30</v>
      </c>
      <c r="E1468" s="1147" t="s">
        <v>127</v>
      </c>
      <c r="F1468" s="1148"/>
      <c r="G1468" s="1149"/>
      <c r="H1468" s="861" t="s">
        <v>790</v>
      </c>
      <c r="I1468" s="1256" t="s">
        <v>633</v>
      </c>
      <c r="J1468" s="1256"/>
      <c r="K1468" s="1257"/>
      <c r="L1468" s="890" t="s">
        <v>430</v>
      </c>
      <c r="M1468" s="333" t="s">
        <v>431</v>
      </c>
      <c r="N1468" s="219" t="s">
        <v>105</v>
      </c>
      <c r="O1468" s="220" t="s">
        <v>800</v>
      </c>
      <c r="P1468" s="220" t="s">
        <v>801</v>
      </c>
      <c r="Q1468" s="220" t="s">
        <v>802</v>
      </c>
      <c r="R1468" s="220" t="s">
        <v>803</v>
      </c>
      <c r="S1468" s="220" t="s">
        <v>804</v>
      </c>
      <c r="T1468" s="220" t="s">
        <v>805</v>
      </c>
      <c r="U1468" s="220" t="s">
        <v>806</v>
      </c>
      <c r="V1468" s="220" t="s">
        <v>807</v>
      </c>
      <c r="W1468" s="220" t="s">
        <v>808</v>
      </c>
      <c r="X1468" s="220" t="s">
        <v>809</v>
      </c>
      <c r="Y1468" s="220" t="s">
        <v>75</v>
      </c>
      <c r="Z1468" s="220" t="s">
        <v>75</v>
      </c>
    </row>
    <row r="1469" spans="3:26" ht="19">
      <c r="C1469" s="218"/>
      <c r="D1469" s="504" t="s">
        <v>432</v>
      </c>
      <c r="E1469" s="1150"/>
      <c r="F1469" s="1151"/>
      <c r="G1469" s="1152"/>
      <c r="H1469" s="863" t="s">
        <v>794</v>
      </c>
      <c r="I1469" s="1243" t="s">
        <v>1267</v>
      </c>
      <c r="J1469" s="1243"/>
      <c r="K1469" s="1244"/>
      <c r="L1469" s="891"/>
      <c r="M1469" s="335" t="s">
        <v>127</v>
      </c>
      <c r="N1469" s="219"/>
      <c r="O1469" s="221" t="s">
        <v>810</v>
      </c>
      <c r="P1469" s="222">
        <v>0.1</v>
      </c>
      <c r="Q1469" s="223">
        <v>0.04</v>
      </c>
      <c r="R1469" s="224">
        <v>2.5000000000005684E-2</v>
      </c>
      <c r="S1469" s="225"/>
      <c r="T1469" s="221">
        <v>8.5000000000005682E-2</v>
      </c>
      <c r="U1469" s="223">
        <v>-20.73</v>
      </c>
      <c r="V1469" s="222">
        <v>60.5</v>
      </c>
      <c r="W1469" s="226">
        <v>2</v>
      </c>
      <c r="X1469" s="227">
        <v>41.46</v>
      </c>
      <c r="Y1469" s="225"/>
      <c r="Z1469" s="225"/>
    </row>
    <row r="1470" spans="3:26" ht="19">
      <c r="C1470" s="218"/>
      <c r="D1470" s="505" t="s">
        <v>433</v>
      </c>
      <c r="E1470" s="1163">
        <v>4.3799999999999999E-2</v>
      </c>
      <c r="F1470" s="1164"/>
      <c r="G1470" s="1165"/>
      <c r="H1470" s="863" t="s">
        <v>795</v>
      </c>
      <c r="I1470" s="1246"/>
      <c r="J1470" s="1246"/>
      <c r="K1470" s="1247"/>
      <c r="L1470" s="891"/>
      <c r="M1470" s="336"/>
      <c r="N1470" s="219"/>
      <c r="O1470" s="219"/>
      <c r="P1470" s="219"/>
      <c r="Q1470" s="219"/>
      <c r="R1470" s="228"/>
      <c r="S1470" s="229"/>
      <c r="T1470" s="219"/>
      <c r="U1470" s="219"/>
      <c r="V1470" s="219"/>
      <c r="W1470" s="229"/>
      <c r="X1470" s="229"/>
      <c r="Y1470" s="230"/>
      <c r="Z1470" s="230"/>
    </row>
    <row r="1471" spans="3:26" ht="19">
      <c r="C1471" s="218"/>
      <c r="D1471" s="505" t="s">
        <v>434</v>
      </c>
      <c r="E1471" s="1163">
        <v>4.6199999999999998E-2</v>
      </c>
      <c r="F1471" s="1164"/>
      <c r="G1471" s="1165"/>
      <c r="H1471" s="863"/>
      <c r="I1471" s="1246"/>
      <c r="J1471" s="1246"/>
      <c r="K1471" s="1247"/>
      <c r="L1471" s="891"/>
      <c r="M1471" s="336"/>
      <c r="N1471" s="219"/>
      <c r="O1471" s="231" t="s">
        <v>811</v>
      </c>
      <c r="P1471" s="232">
        <v>0.1</v>
      </c>
      <c r="Q1471" s="233">
        <v>6.9099999999999995E-2</v>
      </c>
      <c r="R1471" s="234">
        <v>0.11799999999999999</v>
      </c>
      <c r="S1471" s="235">
        <v>1</v>
      </c>
      <c r="T1471" s="231">
        <v>0.22164999999999999</v>
      </c>
      <c r="U1471" s="236">
        <v>-54.056523529408153</v>
      </c>
      <c r="V1471" s="237">
        <v>60.5</v>
      </c>
      <c r="W1471" s="238">
        <v>0.9</v>
      </c>
      <c r="X1471" s="239">
        <v>48.650871176467341</v>
      </c>
      <c r="Y1471" s="240"/>
      <c r="Z1471" s="240">
        <v>4.4350000000000005</v>
      </c>
    </row>
    <row r="1472" spans="3:26" ht="20" thickBot="1">
      <c r="C1472" s="218"/>
      <c r="D1472" s="506" t="s">
        <v>435</v>
      </c>
      <c r="E1472" s="1160">
        <v>0.79166666666666663</v>
      </c>
      <c r="F1472" s="1161"/>
      <c r="G1472" s="1162"/>
      <c r="H1472" s="865"/>
      <c r="I1472" s="1246"/>
      <c r="J1472" s="1246"/>
      <c r="K1472" s="1247"/>
      <c r="L1472" s="892">
        <v>2.0833333333333332E-2</v>
      </c>
      <c r="M1472" s="362">
        <v>0.875</v>
      </c>
      <c r="N1472" s="219"/>
      <c r="O1472" s="241" t="s">
        <v>812</v>
      </c>
      <c r="P1472" s="242">
        <v>0.1</v>
      </c>
      <c r="Q1472" s="243">
        <v>7.2000000000000008E-2</v>
      </c>
      <c r="R1472" s="244">
        <v>0.11799999999999999</v>
      </c>
      <c r="S1472" s="245">
        <v>1</v>
      </c>
      <c r="T1472" s="246">
        <v>0.22600000000000001</v>
      </c>
      <c r="U1472" s="247">
        <v>-55.117411764702197</v>
      </c>
      <c r="V1472" s="248">
        <v>60.5</v>
      </c>
      <c r="W1472" s="249">
        <v>1.29</v>
      </c>
      <c r="X1472" s="250">
        <v>71.101461176465833</v>
      </c>
      <c r="Y1472" s="251"/>
      <c r="Z1472" s="251"/>
    </row>
    <row r="1473" spans="3:26" ht="20" thickBot="1">
      <c r="C1473" s="218"/>
      <c r="D1473" s="507" t="s">
        <v>436</v>
      </c>
      <c r="E1473" s="264" t="s">
        <v>29</v>
      </c>
      <c r="F1473" s="264" t="s">
        <v>28</v>
      </c>
      <c r="G1473" s="265" t="s">
        <v>27</v>
      </c>
      <c r="H1473" s="867" t="s">
        <v>793</v>
      </c>
      <c r="I1473" s="1246"/>
      <c r="J1473" s="1246"/>
      <c r="K1473" s="1247"/>
      <c r="L1473" s="893" t="s">
        <v>1246</v>
      </c>
      <c r="M1473" s="340"/>
      <c r="N1473" s="219"/>
      <c r="O1473" s="229"/>
      <c r="P1473" s="230"/>
      <c r="Q1473" s="229"/>
      <c r="R1473" s="229"/>
      <c r="S1473" s="229"/>
      <c r="T1473" s="229"/>
      <c r="U1473" s="254"/>
      <c r="V1473" s="255"/>
      <c r="W1473" s="229"/>
      <c r="X1473" s="254"/>
      <c r="Y1473" s="230"/>
      <c r="Z1473" s="230"/>
    </row>
    <row r="1474" spans="3:26" ht="19">
      <c r="C1474" s="218"/>
      <c r="D1474" s="508">
        <v>45603</v>
      </c>
      <c r="E1474" s="266">
        <v>4.7500000000000001E-2</v>
      </c>
      <c r="F1474" s="266" t="s">
        <v>726</v>
      </c>
      <c r="G1474" s="266">
        <v>0.05</v>
      </c>
      <c r="H1474" s="869">
        <v>0.79166666666666663</v>
      </c>
      <c r="I1474" s="1246"/>
      <c r="J1474" s="1246"/>
      <c r="K1474" s="1247"/>
      <c r="L1474" s="894"/>
      <c r="M1474" s="342"/>
      <c r="N1474" s="219"/>
      <c r="O1474" s="229"/>
      <c r="P1474" s="230"/>
      <c r="Q1474" s="229"/>
      <c r="R1474" s="229"/>
      <c r="S1474" s="229"/>
      <c r="T1474" s="229"/>
      <c r="U1474" s="229"/>
      <c r="V1474" s="229"/>
      <c r="W1474" s="229"/>
      <c r="X1474" s="229"/>
      <c r="Y1474" s="230"/>
      <c r="Z1474" s="230"/>
    </row>
    <row r="1475" spans="3:26" ht="19">
      <c r="C1475" s="218"/>
      <c r="D1475" s="508">
        <v>45553</v>
      </c>
      <c r="E1475" s="266">
        <v>0.05</v>
      </c>
      <c r="F1475" s="266" t="s">
        <v>940</v>
      </c>
      <c r="G1475" s="266">
        <v>5.5E-2</v>
      </c>
      <c r="H1475" s="869">
        <v>0.75</v>
      </c>
      <c r="I1475" s="1246"/>
      <c r="J1475" s="1246"/>
      <c r="K1475" s="1247"/>
      <c r="L1475" s="894"/>
      <c r="M1475" s="343"/>
      <c r="N1475" s="219"/>
      <c r="O1475" s="221" t="s">
        <v>813</v>
      </c>
      <c r="P1475" s="222">
        <v>0.05</v>
      </c>
      <c r="Q1475" s="257">
        <v>7.0550000000000002E-2</v>
      </c>
      <c r="R1475" s="258">
        <v>0.11799999999999999</v>
      </c>
      <c r="S1475" s="225">
        <v>-1</v>
      </c>
      <c r="T1475" s="231">
        <v>0.223825</v>
      </c>
      <c r="U1475" s="259">
        <v>-27.293483823527584</v>
      </c>
      <c r="V1475" s="260">
        <v>30.25</v>
      </c>
      <c r="W1475" s="225">
        <v>2</v>
      </c>
      <c r="X1475" s="227">
        <v>54.586967647055168</v>
      </c>
      <c r="Y1475" s="261"/>
      <c r="Z1475" s="261"/>
    </row>
    <row r="1476" spans="3:26" ht="19">
      <c r="C1476" s="218"/>
      <c r="D1476" s="508">
        <v>45504</v>
      </c>
      <c r="E1476" s="266">
        <v>5.5E-2</v>
      </c>
      <c r="F1476" s="266" t="s">
        <v>942</v>
      </c>
      <c r="G1476" s="266">
        <v>5.5E-2</v>
      </c>
      <c r="H1476" s="869">
        <v>0.75</v>
      </c>
      <c r="I1476" s="1246"/>
      <c r="J1476" s="1246"/>
      <c r="K1476" s="1247"/>
      <c r="L1476" s="894"/>
      <c r="M1476" s="336"/>
      <c r="N1476" s="219"/>
      <c r="O1476" s="221" t="s">
        <v>813</v>
      </c>
      <c r="P1476" s="222">
        <v>0.05</v>
      </c>
      <c r="Q1476" s="257">
        <v>7.0550000000000002E-2</v>
      </c>
      <c r="R1476" s="258">
        <v>0.11799999999999999</v>
      </c>
      <c r="S1476" s="225">
        <v>1</v>
      </c>
      <c r="T1476" s="231">
        <v>0.223825</v>
      </c>
      <c r="U1476" s="259">
        <v>-27.293483823527584</v>
      </c>
      <c r="V1476" s="260">
        <v>30.25</v>
      </c>
      <c r="W1476" s="225">
        <v>2</v>
      </c>
      <c r="X1476" s="227">
        <v>54.586967647055168</v>
      </c>
      <c r="Y1476" s="261"/>
      <c r="Z1476" s="261"/>
    </row>
    <row r="1477" spans="3:26" ht="19">
      <c r="C1477" s="218"/>
      <c r="D1477" s="508">
        <v>45455</v>
      </c>
      <c r="E1477" s="266">
        <v>5.5E-2</v>
      </c>
      <c r="F1477" s="266" t="s">
        <v>942</v>
      </c>
      <c r="G1477" s="266">
        <v>5.5E-2</v>
      </c>
      <c r="H1477" s="869">
        <v>0.75</v>
      </c>
      <c r="I1477" s="1246"/>
      <c r="J1477" s="1246"/>
      <c r="K1477" s="1247"/>
      <c r="L1477" s="894"/>
      <c r="M1477" s="336"/>
      <c r="N1477" s="219"/>
      <c r="O1477" s="221" t="s">
        <v>816</v>
      </c>
      <c r="P1477" s="262"/>
      <c r="Q1477" s="257"/>
      <c r="R1477" s="258"/>
      <c r="S1477" s="225"/>
      <c r="T1477" s="262"/>
      <c r="U1477" s="259"/>
      <c r="V1477" s="260"/>
      <c r="W1477" s="225"/>
      <c r="X1477" s="227"/>
      <c r="Y1477" s="261"/>
      <c r="Z1477" s="261"/>
    </row>
    <row r="1478" spans="3:26" ht="19">
      <c r="C1478" s="218"/>
      <c r="D1478" s="508">
        <v>45413</v>
      </c>
      <c r="E1478" s="266">
        <v>5.5E-2</v>
      </c>
      <c r="F1478" s="266" t="s">
        <v>942</v>
      </c>
      <c r="G1478" s="266">
        <v>5.5E-2</v>
      </c>
      <c r="H1478" s="869">
        <v>0.75</v>
      </c>
      <c r="I1478" s="1246"/>
      <c r="J1478" s="1246"/>
      <c r="K1478" s="1247"/>
      <c r="L1478" s="894"/>
      <c r="M1478" s="336"/>
      <c r="N1478" s="219"/>
      <c r="O1478" s="263"/>
      <c r="P1478" s="263"/>
      <c r="Q1478" s="263"/>
      <c r="R1478" s="263"/>
      <c r="S1478" s="263"/>
      <c r="T1478" s="263"/>
      <c r="U1478" s="263"/>
      <c r="V1478" s="263"/>
      <c r="W1478" s="263"/>
      <c r="X1478" s="263"/>
      <c r="Y1478" s="263"/>
      <c r="Z1478" s="263"/>
    </row>
    <row r="1479" spans="3:26" ht="20" thickBot="1">
      <c r="C1479" s="218"/>
      <c r="D1479" s="517">
        <v>45371</v>
      </c>
      <c r="E1479" s="319">
        <v>5.5E-2</v>
      </c>
      <c r="F1479" s="319" t="s">
        <v>942</v>
      </c>
      <c r="G1479" s="319">
        <v>5.5E-2</v>
      </c>
      <c r="H1479" s="869">
        <v>0.75</v>
      </c>
      <c r="I1479" s="1249"/>
      <c r="J1479" s="1249"/>
      <c r="K1479" s="1250"/>
      <c r="L1479" s="895"/>
      <c r="M1479" s="344"/>
      <c r="N1479" s="219"/>
      <c r="O1479" s="263"/>
      <c r="P1479" s="263"/>
      <c r="Q1479" s="263"/>
      <c r="R1479" s="263"/>
      <c r="S1479" s="263"/>
      <c r="T1479" s="263"/>
      <c r="U1479" s="263"/>
      <c r="V1479" s="263"/>
      <c r="W1479" s="263"/>
      <c r="X1479" s="263"/>
      <c r="Y1479" s="263"/>
      <c r="Z1479" s="263"/>
    </row>
    <row r="1480" spans="3:26" ht="20" thickBot="1">
      <c r="C1480" s="218">
        <v>7</v>
      </c>
      <c r="D1480" s="498" t="s">
        <v>30</v>
      </c>
      <c r="E1480" s="1147" t="s">
        <v>129</v>
      </c>
      <c r="F1480" s="1148"/>
      <c r="G1480" s="1149"/>
      <c r="H1480" s="861" t="s">
        <v>790</v>
      </c>
      <c r="I1480" s="1256" t="s">
        <v>633</v>
      </c>
      <c r="J1480" s="1256"/>
      <c r="K1480" s="1257"/>
      <c r="L1480" s="890" t="s">
        <v>430</v>
      </c>
      <c r="M1480" s="333" t="s">
        <v>431</v>
      </c>
      <c r="N1480" s="219" t="s">
        <v>105</v>
      </c>
      <c r="O1480" s="220" t="s">
        <v>800</v>
      </c>
      <c r="P1480" s="220" t="s">
        <v>801</v>
      </c>
      <c r="Q1480" s="220" t="s">
        <v>802</v>
      </c>
      <c r="R1480" s="220" t="s">
        <v>803</v>
      </c>
      <c r="S1480" s="220" t="s">
        <v>804</v>
      </c>
      <c r="T1480" s="220" t="s">
        <v>805</v>
      </c>
      <c r="U1480" s="220" t="s">
        <v>806</v>
      </c>
      <c r="V1480" s="220" t="s">
        <v>807</v>
      </c>
      <c r="W1480" s="220" t="s">
        <v>808</v>
      </c>
      <c r="X1480" s="220" t="s">
        <v>809</v>
      </c>
      <c r="Y1480" s="220" t="s">
        <v>75</v>
      </c>
      <c r="Z1480" s="220" t="s">
        <v>75</v>
      </c>
    </row>
    <row r="1481" spans="3:26" ht="19">
      <c r="C1481" s="218"/>
      <c r="D1481" s="504" t="s">
        <v>432</v>
      </c>
      <c r="E1481" s="1150"/>
      <c r="F1481" s="1151"/>
      <c r="G1481" s="1152"/>
      <c r="H1481" s="863" t="s">
        <v>794</v>
      </c>
      <c r="I1481" s="1243" t="s">
        <v>1267</v>
      </c>
      <c r="J1481" s="1243"/>
      <c r="K1481" s="1244"/>
      <c r="L1481" s="891"/>
      <c r="M1481" s="335" t="s">
        <v>129</v>
      </c>
      <c r="N1481" s="219"/>
      <c r="O1481" s="221" t="s">
        <v>810</v>
      </c>
      <c r="P1481" s="222">
        <v>0.1</v>
      </c>
      <c r="Q1481" s="223">
        <v>0.04</v>
      </c>
      <c r="R1481" s="224">
        <v>2.5000000000005684E-2</v>
      </c>
      <c r="S1481" s="225"/>
      <c r="T1481" s="221">
        <v>8.5000000000005682E-2</v>
      </c>
      <c r="U1481" s="223">
        <v>-20.73</v>
      </c>
      <c r="V1481" s="222">
        <v>60.5</v>
      </c>
      <c r="W1481" s="226">
        <v>2</v>
      </c>
      <c r="X1481" s="227">
        <v>41.46</v>
      </c>
      <c r="Y1481" s="225"/>
      <c r="Z1481" s="225"/>
    </row>
    <row r="1482" spans="3:26" ht="19">
      <c r="C1482" s="218"/>
      <c r="D1482" s="505" t="s">
        <v>433</v>
      </c>
      <c r="E1482" s="1163"/>
      <c r="F1482" s="1164"/>
      <c r="G1482" s="1165"/>
      <c r="H1482" s="863" t="s">
        <v>795</v>
      </c>
      <c r="I1482" s="1246"/>
      <c r="J1482" s="1246"/>
      <c r="K1482" s="1247"/>
      <c r="L1482" s="891"/>
      <c r="M1482" s="336"/>
      <c r="N1482" s="219"/>
      <c r="O1482" s="219"/>
      <c r="P1482" s="219"/>
      <c r="Q1482" s="219"/>
      <c r="R1482" s="228"/>
      <c r="S1482" s="229"/>
      <c r="T1482" s="219"/>
      <c r="U1482" s="219"/>
      <c r="V1482" s="219"/>
      <c r="W1482" s="229"/>
      <c r="X1482" s="229"/>
      <c r="Y1482" s="230"/>
      <c r="Z1482" s="230"/>
    </row>
    <row r="1483" spans="3:26" ht="19">
      <c r="C1483" s="218"/>
      <c r="D1483" s="505" t="s">
        <v>434</v>
      </c>
      <c r="E1483" s="1163"/>
      <c r="F1483" s="1164"/>
      <c r="G1483" s="1165"/>
      <c r="H1483" s="863"/>
      <c r="I1483" s="1246"/>
      <c r="J1483" s="1246"/>
      <c r="K1483" s="1247"/>
      <c r="L1483" s="891"/>
      <c r="M1483" s="336"/>
      <c r="N1483" s="219"/>
      <c r="O1483" s="231" t="s">
        <v>811</v>
      </c>
      <c r="P1483" s="232">
        <v>0.1</v>
      </c>
      <c r="Q1483" s="233">
        <v>6.9099999999999995E-2</v>
      </c>
      <c r="R1483" s="234">
        <v>0.11799999999999999</v>
      </c>
      <c r="S1483" s="235">
        <v>1</v>
      </c>
      <c r="T1483" s="231">
        <v>0.22164999999999999</v>
      </c>
      <c r="U1483" s="236">
        <v>-54.056523529408153</v>
      </c>
      <c r="V1483" s="237">
        <v>60.5</v>
      </c>
      <c r="W1483" s="238">
        <v>0.9</v>
      </c>
      <c r="X1483" s="239">
        <v>48.650871176467341</v>
      </c>
      <c r="Y1483" s="240"/>
      <c r="Z1483" s="240">
        <v>4.4350000000000005</v>
      </c>
    </row>
    <row r="1484" spans="3:26" ht="20" thickBot="1">
      <c r="C1484" s="218"/>
      <c r="D1484" s="506" t="s">
        <v>435</v>
      </c>
      <c r="E1484" s="1160">
        <v>0.8125</v>
      </c>
      <c r="F1484" s="1161"/>
      <c r="G1484" s="1162"/>
      <c r="H1484" s="865"/>
      <c r="I1484" s="1246"/>
      <c r="J1484" s="1246"/>
      <c r="K1484" s="1247"/>
      <c r="L1484" s="892">
        <v>4.1666666666666664E-2</v>
      </c>
      <c r="M1484" s="362">
        <v>0.89583333333333337</v>
      </c>
      <c r="N1484" s="219"/>
      <c r="O1484" s="241" t="s">
        <v>812</v>
      </c>
      <c r="P1484" s="242">
        <v>0.1</v>
      </c>
      <c r="Q1484" s="243">
        <v>7.2000000000000008E-2</v>
      </c>
      <c r="R1484" s="244">
        <v>0.11799999999999999</v>
      </c>
      <c r="S1484" s="245">
        <v>1</v>
      </c>
      <c r="T1484" s="246">
        <v>0.22600000000000001</v>
      </c>
      <c r="U1484" s="247">
        <v>-55.117411764702197</v>
      </c>
      <c r="V1484" s="248">
        <v>60.5</v>
      </c>
      <c r="W1484" s="249">
        <v>1.29</v>
      </c>
      <c r="X1484" s="250">
        <v>71.101461176465833</v>
      </c>
      <c r="Y1484" s="251"/>
      <c r="Z1484" s="251"/>
    </row>
    <row r="1485" spans="3:26" ht="20" thickBot="1">
      <c r="C1485" s="218"/>
      <c r="D1485" s="507" t="s">
        <v>436</v>
      </c>
      <c r="E1485" s="264" t="s">
        <v>29</v>
      </c>
      <c r="F1485" s="264" t="s">
        <v>28</v>
      </c>
      <c r="G1485" s="265" t="s">
        <v>27</v>
      </c>
      <c r="H1485" s="867" t="s">
        <v>793</v>
      </c>
      <c r="I1485" s="1246"/>
      <c r="J1485" s="1246"/>
      <c r="K1485" s="1247"/>
      <c r="L1485" s="893" t="s">
        <v>1246</v>
      </c>
      <c r="M1485" s="340"/>
      <c r="N1485" s="219"/>
      <c r="O1485" s="229"/>
      <c r="P1485" s="230"/>
      <c r="Q1485" s="229"/>
      <c r="R1485" s="229"/>
      <c r="S1485" s="229"/>
      <c r="T1485" s="229"/>
      <c r="U1485" s="254"/>
      <c r="V1485" s="255"/>
      <c r="W1485" s="229"/>
      <c r="X1485" s="254"/>
      <c r="Y1485" s="230"/>
      <c r="Z1485" s="230"/>
    </row>
    <row r="1486" spans="3:26" ht="19">
      <c r="C1486" s="218"/>
      <c r="D1486" s="508">
        <v>45603</v>
      </c>
      <c r="E1486" s="266"/>
      <c r="F1486" s="266"/>
      <c r="G1486" s="266"/>
      <c r="H1486" s="869">
        <v>0.8125</v>
      </c>
      <c r="I1486" s="1246"/>
      <c r="J1486" s="1246"/>
      <c r="K1486" s="1247"/>
      <c r="L1486" s="894"/>
      <c r="M1486" s="342"/>
      <c r="N1486" s="219"/>
      <c r="O1486" s="229"/>
      <c r="P1486" s="230"/>
      <c r="Q1486" s="229"/>
      <c r="R1486" s="229"/>
      <c r="S1486" s="229"/>
      <c r="T1486" s="229"/>
      <c r="U1486" s="229"/>
      <c r="V1486" s="229"/>
      <c r="W1486" s="229"/>
      <c r="X1486" s="229"/>
      <c r="Y1486" s="230"/>
      <c r="Z1486" s="230"/>
    </row>
    <row r="1487" spans="3:26" ht="19">
      <c r="C1487" s="218"/>
      <c r="D1487" s="508">
        <v>45553</v>
      </c>
      <c r="E1487" s="266"/>
      <c r="F1487" s="266"/>
      <c r="G1487" s="266"/>
      <c r="H1487" s="869">
        <v>0.77083333333333337</v>
      </c>
      <c r="I1487" s="1246"/>
      <c r="J1487" s="1246"/>
      <c r="K1487" s="1247"/>
      <c r="L1487" s="894"/>
      <c r="M1487" s="343"/>
      <c r="N1487" s="219"/>
      <c r="O1487" s="221" t="s">
        <v>813</v>
      </c>
      <c r="P1487" s="222">
        <v>0.05</v>
      </c>
      <c r="Q1487" s="257">
        <v>7.0550000000000002E-2</v>
      </c>
      <c r="R1487" s="258">
        <v>0.11799999999999999</v>
      </c>
      <c r="S1487" s="225">
        <v>-1</v>
      </c>
      <c r="T1487" s="231">
        <v>0.223825</v>
      </c>
      <c r="U1487" s="259">
        <v>-27.293483823527584</v>
      </c>
      <c r="V1487" s="260">
        <v>30.25</v>
      </c>
      <c r="W1487" s="225">
        <v>2</v>
      </c>
      <c r="X1487" s="227">
        <v>54.586967647055168</v>
      </c>
      <c r="Y1487" s="261"/>
      <c r="Z1487" s="261"/>
    </row>
    <row r="1488" spans="3:26" ht="19">
      <c r="C1488" s="218"/>
      <c r="D1488" s="508">
        <v>45504</v>
      </c>
      <c r="E1488" s="266"/>
      <c r="F1488" s="266"/>
      <c r="G1488" s="266"/>
      <c r="H1488" s="869">
        <v>0.77083333333333337</v>
      </c>
      <c r="I1488" s="1246"/>
      <c r="J1488" s="1246"/>
      <c r="K1488" s="1247"/>
      <c r="L1488" s="894"/>
      <c r="M1488" s="336"/>
      <c r="N1488" s="219"/>
      <c r="O1488" s="221" t="s">
        <v>813</v>
      </c>
      <c r="P1488" s="222">
        <v>0.05</v>
      </c>
      <c r="Q1488" s="257">
        <v>7.0550000000000002E-2</v>
      </c>
      <c r="R1488" s="258">
        <v>0.11799999999999999</v>
      </c>
      <c r="S1488" s="225">
        <v>1</v>
      </c>
      <c r="T1488" s="231">
        <v>0.223825</v>
      </c>
      <c r="U1488" s="259">
        <v>-27.293483823527584</v>
      </c>
      <c r="V1488" s="260">
        <v>30.25</v>
      </c>
      <c r="W1488" s="225">
        <v>2</v>
      </c>
      <c r="X1488" s="227">
        <v>54.586967647055168</v>
      </c>
      <c r="Y1488" s="261"/>
      <c r="Z1488" s="261"/>
    </row>
    <row r="1489" spans="3:26" ht="19">
      <c r="C1489" s="218"/>
      <c r="D1489" s="508">
        <v>45455</v>
      </c>
      <c r="E1489" s="266"/>
      <c r="F1489" s="266"/>
      <c r="G1489" s="266"/>
      <c r="H1489" s="869">
        <v>0.77083333333333337</v>
      </c>
      <c r="I1489" s="1246"/>
      <c r="J1489" s="1246"/>
      <c r="K1489" s="1247"/>
      <c r="L1489" s="894"/>
      <c r="M1489" s="336"/>
      <c r="N1489" s="219"/>
      <c r="O1489" s="221" t="s">
        <v>816</v>
      </c>
      <c r="P1489" s="262"/>
      <c r="Q1489" s="257"/>
      <c r="R1489" s="258"/>
      <c r="S1489" s="225"/>
      <c r="T1489" s="262"/>
      <c r="U1489" s="259"/>
      <c r="V1489" s="260"/>
      <c r="W1489" s="225"/>
      <c r="X1489" s="227"/>
      <c r="Y1489" s="261"/>
      <c r="Z1489" s="261"/>
    </row>
    <row r="1490" spans="3:26" ht="19">
      <c r="C1490" s="218"/>
      <c r="D1490" s="508">
        <v>45413</v>
      </c>
      <c r="E1490" s="266"/>
      <c r="F1490" s="266"/>
      <c r="G1490" s="266"/>
      <c r="H1490" s="869">
        <v>0.77083333333333337</v>
      </c>
      <c r="I1490" s="1246"/>
      <c r="J1490" s="1246"/>
      <c r="K1490" s="1247"/>
      <c r="L1490" s="894"/>
      <c r="M1490" s="336"/>
      <c r="N1490" s="219"/>
      <c r="O1490" s="263"/>
      <c r="P1490" s="263"/>
      <c r="Q1490" s="263"/>
      <c r="R1490" s="263"/>
      <c r="S1490" s="263"/>
      <c r="T1490" s="263"/>
      <c r="U1490" s="263"/>
      <c r="V1490" s="263"/>
      <c r="W1490" s="263"/>
      <c r="X1490" s="263"/>
      <c r="Y1490" s="263"/>
      <c r="Z1490" s="263"/>
    </row>
    <row r="1491" spans="3:26" ht="20" thickBot="1">
      <c r="C1491" s="218"/>
      <c r="D1491" s="517">
        <v>45371</v>
      </c>
      <c r="E1491" s="319"/>
      <c r="F1491" s="319"/>
      <c r="G1491" s="319"/>
      <c r="H1491" s="869">
        <v>0.77083333333333337</v>
      </c>
      <c r="I1491" s="1249"/>
      <c r="J1491" s="1249"/>
      <c r="K1491" s="1250"/>
      <c r="L1491" s="895"/>
      <c r="M1491" s="344"/>
      <c r="N1491" s="219"/>
      <c r="O1491" s="263"/>
      <c r="P1491" s="263"/>
      <c r="Q1491" s="263"/>
      <c r="R1491" s="263"/>
      <c r="S1491" s="263"/>
      <c r="T1491" s="263"/>
      <c r="U1491" s="263"/>
      <c r="V1491" s="263"/>
      <c r="W1491" s="263"/>
      <c r="X1491" s="263"/>
      <c r="Y1491" s="263"/>
      <c r="Z1491" s="263"/>
    </row>
    <row r="1492" spans="3:26" ht="20" thickBot="1">
      <c r="C1492" s="218">
        <v>7</v>
      </c>
      <c r="D1492" s="498" t="s">
        <v>30</v>
      </c>
      <c r="E1492" s="1147" t="s">
        <v>118</v>
      </c>
      <c r="F1492" s="1148"/>
      <c r="G1492" s="1149"/>
      <c r="H1492" s="861" t="s">
        <v>790</v>
      </c>
      <c r="I1492" s="1256" t="s">
        <v>633</v>
      </c>
      <c r="J1492" s="1256"/>
      <c r="K1492" s="1257"/>
      <c r="L1492" s="890" t="s">
        <v>430</v>
      </c>
      <c r="M1492" s="333" t="s">
        <v>431</v>
      </c>
      <c r="N1492" s="219" t="s">
        <v>105</v>
      </c>
      <c r="O1492" s="220" t="s">
        <v>800</v>
      </c>
      <c r="P1492" s="220" t="s">
        <v>801</v>
      </c>
      <c r="Q1492" s="220" t="s">
        <v>802</v>
      </c>
      <c r="R1492" s="220" t="s">
        <v>803</v>
      </c>
      <c r="S1492" s="220" t="s">
        <v>804</v>
      </c>
      <c r="T1492" s="220" t="s">
        <v>805</v>
      </c>
      <c r="U1492" s="220" t="s">
        <v>806</v>
      </c>
      <c r="V1492" s="220" t="s">
        <v>807</v>
      </c>
      <c r="W1492" s="220" t="s">
        <v>808</v>
      </c>
      <c r="X1492" s="220" t="s">
        <v>809</v>
      </c>
      <c r="Y1492" s="220" t="s">
        <v>75</v>
      </c>
      <c r="Z1492" s="220" t="s">
        <v>75</v>
      </c>
    </row>
    <row r="1493" spans="3:26" ht="19">
      <c r="C1493" s="218"/>
      <c r="D1493" s="504" t="s">
        <v>432</v>
      </c>
      <c r="E1493" s="1150"/>
      <c r="F1493" s="1151"/>
      <c r="G1493" s="1152"/>
      <c r="H1493" s="863" t="s">
        <v>794</v>
      </c>
      <c r="I1493" s="1243" t="s">
        <v>1268</v>
      </c>
      <c r="J1493" s="1243"/>
      <c r="K1493" s="1244"/>
      <c r="L1493" s="891"/>
      <c r="M1493" s="335" t="s">
        <v>118</v>
      </c>
      <c r="N1493" s="219"/>
      <c r="O1493" s="221" t="s">
        <v>810</v>
      </c>
      <c r="P1493" s="222">
        <v>0.1</v>
      </c>
      <c r="Q1493" s="223">
        <v>3.4000000000000002E-2</v>
      </c>
      <c r="R1493" s="224">
        <v>1.5000000000014779E-2</v>
      </c>
      <c r="S1493" s="225"/>
      <c r="T1493" s="221">
        <v>6.6000000000014783E-2</v>
      </c>
      <c r="U1493" s="223">
        <v>-16.5</v>
      </c>
      <c r="V1493" s="222">
        <v>60.5</v>
      </c>
      <c r="W1493" s="226">
        <v>2</v>
      </c>
      <c r="X1493" s="227">
        <v>33</v>
      </c>
      <c r="Y1493" s="225"/>
      <c r="Z1493" s="225"/>
    </row>
    <row r="1494" spans="3:26" ht="19">
      <c r="C1494" s="218"/>
      <c r="D1494" s="505" t="s">
        <v>433</v>
      </c>
      <c r="E1494" s="1163">
        <v>2.5000000000000001E-3</v>
      </c>
      <c r="F1494" s="1164"/>
      <c r="G1494" s="1165"/>
      <c r="H1494" s="863" t="s">
        <v>795</v>
      </c>
      <c r="I1494" s="1246"/>
      <c r="J1494" s="1246"/>
      <c r="K1494" s="1247"/>
      <c r="L1494" s="891"/>
      <c r="M1494" s="336"/>
      <c r="N1494" s="219"/>
      <c r="O1494" s="219"/>
      <c r="P1494" s="219"/>
      <c r="Q1494" s="219"/>
      <c r="R1494" s="228"/>
      <c r="S1494" s="229"/>
      <c r="T1494" s="219"/>
      <c r="U1494" s="219"/>
      <c r="V1494" s="219"/>
      <c r="W1494" s="219"/>
      <c r="X1494" s="229"/>
      <c r="Y1494" s="230"/>
      <c r="Z1494" s="230"/>
    </row>
    <row r="1495" spans="3:26" ht="19">
      <c r="C1495" s="218"/>
      <c r="D1495" s="505" t="s">
        <v>434</v>
      </c>
      <c r="E1495" s="1163">
        <v>2.5000000000000001E-3</v>
      </c>
      <c r="F1495" s="1164"/>
      <c r="G1495" s="1165"/>
      <c r="H1495" s="863"/>
      <c r="I1495" s="1246"/>
      <c r="J1495" s="1246"/>
      <c r="K1495" s="1247"/>
      <c r="L1495" s="891"/>
      <c r="M1495" s="336"/>
      <c r="N1495" s="219"/>
      <c r="O1495" s="231" t="s">
        <v>811</v>
      </c>
      <c r="P1495" s="232">
        <v>0.1</v>
      </c>
      <c r="Q1495" s="233">
        <v>6.88E-2</v>
      </c>
      <c r="R1495" s="234">
        <v>1.7000000000000001E-2</v>
      </c>
      <c r="S1495" s="268">
        <v>1</v>
      </c>
      <c r="T1495" s="231">
        <v>0.1202</v>
      </c>
      <c r="U1495" s="236">
        <v>-30.049999999993272</v>
      </c>
      <c r="V1495" s="237">
        <v>60.5</v>
      </c>
      <c r="W1495" s="269">
        <v>2.2999999999999998</v>
      </c>
      <c r="X1495" s="239">
        <v>69.114999999984519</v>
      </c>
      <c r="Y1495" s="240"/>
      <c r="Z1495" s="240"/>
    </row>
    <row r="1496" spans="3:26" ht="20" thickBot="1">
      <c r="C1496" s="218"/>
      <c r="D1496" s="506" t="s">
        <v>435</v>
      </c>
      <c r="E1496" s="1160">
        <v>0.12500000000000003</v>
      </c>
      <c r="F1496" s="1161"/>
      <c r="G1496" s="1162"/>
      <c r="H1496" s="865"/>
      <c r="I1496" s="1246"/>
      <c r="J1496" s="1246"/>
      <c r="K1496" s="1247"/>
      <c r="L1496" s="892">
        <v>0.35416666666666669</v>
      </c>
      <c r="M1496" s="338">
        <v>0.20833333333333334</v>
      </c>
      <c r="N1496" s="219"/>
      <c r="O1496" s="241" t="s">
        <v>812</v>
      </c>
      <c r="P1496" s="242">
        <v>0.1</v>
      </c>
      <c r="Q1496" s="243">
        <v>0.10173333333333334</v>
      </c>
      <c r="R1496" s="244">
        <v>1.7000000000000001E-2</v>
      </c>
      <c r="S1496" s="270">
        <v>1</v>
      </c>
      <c r="T1496" s="246">
        <v>0.1696</v>
      </c>
      <c r="U1496" s="247">
        <v>-42.399999999990506</v>
      </c>
      <c r="V1496" s="248">
        <v>60.5</v>
      </c>
      <c r="W1496" s="271">
        <v>4</v>
      </c>
      <c r="X1496" s="250">
        <v>169.59999999996202</v>
      </c>
      <c r="Y1496" s="251"/>
      <c r="Z1496" s="251"/>
    </row>
    <row r="1497" spans="3:26" ht="20" thickBot="1">
      <c r="C1497" s="218"/>
      <c r="D1497" s="507" t="s">
        <v>436</v>
      </c>
      <c r="E1497" s="252" t="s">
        <v>29</v>
      </c>
      <c r="F1497" s="252" t="s">
        <v>28</v>
      </c>
      <c r="G1497" s="253" t="s">
        <v>27</v>
      </c>
      <c r="H1497" s="867" t="s">
        <v>793</v>
      </c>
      <c r="I1497" s="1246"/>
      <c r="J1497" s="1246"/>
      <c r="K1497" s="1247"/>
      <c r="L1497" s="893" t="s">
        <v>1246</v>
      </c>
      <c r="M1497" s="340"/>
      <c r="N1497" s="219"/>
      <c r="O1497" s="229"/>
      <c r="P1497" s="230"/>
      <c r="Q1497" s="229"/>
      <c r="R1497" s="229"/>
      <c r="S1497" s="272"/>
      <c r="T1497" s="229"/>
      <c r="U1497" s="254"/>
      <c r="V1497" s="255"/>
      <c r="W1497" s="273"/>
      <c r="X1497" s="254"/>
      <c r="Y1497" s="230"/>
      <c r="Z1497" s="230"/>
    </row>
    <row r="1498" spans="3:26" ht="19">
      <c r="C1498" s="218"/>
      <c r="D1498" s="508">
        <v>45596</v>
      </c>
      <c r="E1498" s="266">
        <v>2.5000000000000001E-3</v>
      </c>
      <c r="F1498" s="266" t="s">
        <v>892</v>
      </c>
      <c r="G1498" s="266">
        <v>2.5000000000000001E-3</v>
      </c>
      <c r="H1498" s="896">
        <v>0.12500000000000003</v>
      </c>
      <c r="I1498" s="1246"/>
      <c r="J1498" s="1246"/>
      <c r="K1498" s="1247"/>
      <c r="L1498" s="894"/>
      <c r="M1498" s="342"/>
      <c r="N1498" s="219"/>
      <c r="O1498" s="229"/>
      <c r="P1498" s="230"/>
      <c r="Q1498" s="229"/>
      <c r="R1498" s="229"/>
      <c r="S1498" s="272"/>
      <c r="T1498" s="229"/>
      <c r="U1498" s="229"/>
      <c r="V1498" s="229"/>
      <c r="W1498" s="273"/>
      <c r="X1498" s="229"/>
      <c r="Y1498" s="230"/>
      <c r="Z1498" s="230"/>
    </row>
    <row r="1499" spans="3:26" ht="19">
      <c r="C1499" s="218"/>
      <c r="D1499" s="508">
        <v>45555</v>
      </c>
      <c r="E1499" s="266">
        <v>2.5000000000000001E-3</v>
      </c>
      <c r="F1499" s="266" t="s">
        <v>892</v>
      </c>
      <c r="G1499" s="266">
        <v>2.5000000000000001E-3</v>
      </c>
      <c r="H1499" s="896">
        <v>0.12500000000000003</v>
      </c>
      <c r="I1499" s="1246"/>
      <c r="J1499" s="1246"/>
      <c r="K1499" s="1247"/>
      <c r="L1499" s="894"/>
      <c r="M1499" s="343"/>
      <c r="N1499" s="219"/>
      <c r="O1499" s="221" t="s">
        <v>813</v>
      </c>
      <c r="P1499" s="222">
        <v>0.06</v>
      </c>
      <c r="Q1499" s="257">
        <v>8.5266666666666671E-2</v>
      </c>
      <c r="R1499" s="258">
        <v>1.7000000000000001E-2</v>
      </c>
      <c r="S1499" s="225">
        <v>-1.5</v>
      </c>
      <c r="T1499" s="231">
        <v>0.14490000000000003</v>
      </c>
      <c r="U1499" s="259">
        <v>32.602499999992702</v>
      </c>
      <c r="V1499" s="260">
        <v>36.299999999999997</v>
      </c>
      <c r="W1499" s="225">
        <v>2</v>
      </c>
      <c r="X1499" s="227">
        <v>-65.204999999985404</v>
      </c>
      <c r="Y1499" s="261"/>
      <c r="Z1499" s="261"/>
    </row>
    <row r="1500" spans="3:26" ht="19">
      <c r="C1500" s="218"/>
      <c r="D1500" s="508">
        <v>45504</v>
      </c>
      <c r="E1500" s="266">
        <v>2.5000000000000001E-3</v>
      </c>
      <c r="F1500" s="266" t="s">
        <v>893</v>
      </c>
      <c r="G1500" s="266">
        <v>1E-3</v>
      </c>
      <c r="H1500" s="896">
        <v>0.16666666666666666</v>
      </c>
      <c r="I1500" s="1246"/>
      <c r="J1500" s="1246"/>
      <c r="K1500" s="1247"/>
      <c r="L1500" s="894"/>
      <c r="M1500" s="336"/>
      <c r="N1500" s="219"/>
      <c r="O1500" s="221" t="s">
        <v>813</v>
      </c>
      <c r="P1500" s="222">
        <v>0.06</v>
      </c>
      <c r="Q1500" s="257">
        <v>8.5266666666666671E-2</v>
      </c>
      <c r="R1500" s="258">
        <v>1.7000000000000001E-2</v>
      </c>
      <c r="S1500" s="225">
        <v>1.5</v>
      </c>
      <c r="T1500" s="231">
        <v>0.14490000000000003</v>
      </c>
      <c r="U1500" s="259">
        <v>-31.804697647056706</v>
      </c>
      <c r="V1500" s="260">
        <v>36.299999999999997</v>
      </c>
      <c r="W1500" s="225">
        <v>2</v>
      </c>
      <c r="X1500" s="227">
        <v>63.609395294113412</v>
      </c>
      <c r="Y1500" s="261"/>
      <c r="Z1500" s="261"/>
    </row>
    <row r="1501" spans="3:26" ht="19">
      <c r="C1501" s="218"/>
      <c r="D1501" s="508">
        <v>45457</v>
      </c>
      <c r="E1501" s="266">
        <v>1E-3</v>
      </c>
      <c r="F1501" s="266" t="s">
        <v>893</v>
      </c>
      <c r="G1501" s="266">
        <v>1E-3</v>
      </c>
      <c r="H1501" s="896">
        <v>0.1423611111111111</v>
      </c>
      <c r="I1501" s="1246"/>
      <c r="J1501" s="1246"/>
      <c r="K1501" s="1247"/>
      <c r="L1501" s="894"/>
      <c r="M1501" s="336"/>
      <c r="N1501" s="219"/>
      <c r="O1501" s="221"/>
      <c r="P1501" s="262"/>
      <c r="Q1501" s="257"/>
      <c r="R1501" s="258"/>
      <c r="S1501" s="225"/>
      <c r="T1501" s="262"/>
      <c r="U1501" s="259"/>
      <c r="V1501" s="260"/>
      <c r="W1501" s="225"/>
      <c r="X1501" s="227"/>
      <c r="Y1501" s="261"/>
      <c r="Z1501" s="261"/>
    </row>
    <row r="1502" spans="3:26" ht="19">
      <c r="C1502" s="218"/>
      <c r="D1502" s="508">
        <v>45408</v>
      </c>
      <c r="E1502" s="266">
        <v>1E-3</v>
      </c>
      <c r="F1502" s="266" t="s">
        <v>893</v>
      </c>
      <c r="G1502" s="266">
        <v>1E-3</v>
      </c>
      <c r="H1502" s="896">
        <v>0.125</v>
      </c>
      <c r="I1502" s="1246"/>
      <c r="J1502" s="1246"/>
      <c r="K1502" s="1247"/>
      <c r="L1502" s="894"/>
      <c r="M1502" s="336"/>
      <c r="N1502" s="219"/>
      <c r="O1502" s="263"/>
      <c r="P1502" s="263"/>
      <c r="Q1502" s="263"/>
      <c r="R1502" s="263"/>
      <c r="S1502" s="263"/>
      <c r="T1502" s="263"/>
      <c r="U1502" s="263"/>
      <c r="V1502" s="263"/>
      <c r="W1502" s="263"/>
      <c r="X1502" s="263"/>
      <c r="Y1502" s="263"/>
      <c r="Z1502" s="263"/>
    </row>
    <row r="1503" spans="3:26" ht="20" thickBot="1">
      <c r="C1503" s="218"/>
      <c r="D1503" s="517">
        <v>45370</v>
      </c>
      <c r="E1503" s="319">
        <v>1E-3</v>
      </c>
      <c r="F1503" s="319" t="s">
        <v>893</v>
      </c>
      <c r="G1503" s="319">
        <v>-1E-3</v>
      </c>
      <c r="H1503" s="896">
        <v>0.14930555555555555</v>
      </c>
      <c r="I1503" s="1249"/>
      <c r="J1503" s="1249"/>
      <c r="K1503" s="1250"/>
      <c r="L1503" s="895"/>
      <c r="M1503" s="344"/>
      <c r="N1503" s="219"/>
      <c r="O1503" s="263"/>
      <c r="P1503" s="263"/>
      <c r="Q1503" s="263"/>
      <c r="R1503" s="263"/>
      <c r="S1503" s="263"/>
      <c r="T1503" s="263"/>
      <c r="U1503" s="263"/>
      <c r="V1503" s="263"/>
      <c r="W1503" s="263"/>
      <c r="X1503" s="263"/>
      <c r="Y1503" s="263"/>
      <c r="Z1503" s="263"/>
    </row>
    <row r="1504" spans="3:26" ht="20" thickBot="1">
      <c r="C1504" s="218">
        <v>8</v>
      </c>
      <c r="D1504" s="498" t="s">
        <v>30</v>
      </c>
      <c r="E1504" s="1147" t="s">
        <v>1269</v>
      </c>
      <c r="F1504" s="1148"/>
      <c r="G1504" s="1149"/>
      <c r="H1504" s="861" t="s">
        <v>790</v>
      </c>
      <c r="I1504" s="1256" t="s">
        <v>633</v>
      </c>
      <c r="J1504" s="1256"/>
      <c r="K1504" s="1257"/>
      <c r="L1504" s="890" t="s">
        <v>430</v>
      </c>
      <c r="M1504" s="333" t="s">
        <v>431</v>
      </c>
      <c r="N1504" s="219" t="s">
        <v>105</v>
      </c>
      <c r="O1504" s="220" t="s">
        <v>800</v>
      </c>
      <c r="P1504" s="220" t="s">
        <v>801</v>
      </c>
      <c r="Q1504" s="220" t="s">
        <v>802</v>
      </c>
      <c r="R1504" s="220" t="s">
        <v>803</v>
      </c>
      <c r="S1504" s="220" t="s">
        <v>804</v>
      </c>
      <c r="T1504" s="220" t="s">
        <v>805</v>
      </c>
      <c r="U1504" s="220" t="s">
        <v>806</v>
      </c>
      <c r="V1504" s="220" t="s">
        <v>807</v>
      </c>
      <c r="W1504" s="220" t="s">
        <v>808</v>
      </c>
      <c r="X1504" s="220" t="s">
        <v>809</v>
      </c>
      <c r="Y1504" s="220" t="s">
        <v>75</v>
      </c>
      <c r="Z1504" s="220" t="s">
        <v>75</v>
      </c>
    </row>
    <row r="1505" spans="3:26" ht="19">
      <c r="C1505" s="219"/>
      <c r="D1505" s="504" t="s">
        <v>432</v>
      </c>
      <c r="E1505" s="1150"/>
      <c r="F1505" s="1151"/>
      <c r="G1505" s="1152"/>
      <c r="H1505" s="863" t="s">
        <v>947</v>
      </c>
      <c r="I1505" s="1243" t="s">
        <v>1270</v>
      </c>
      <c r="J1505" s="1243"/>
      <c r="K1505" s="1244"/>
      <c r="L1505" s="891"/>
      <c r="M1505" s="336"/>
      <c r="N1505" s="219"/>
      <c r="O1505" s="221" t="s">
        <v>810</v>
      </c>
      <c r="P1505" s="222">
        <v>0.1</v>
      </c>
      <c r="Q1505" s="223">
        <v>1.64</v>
      </c>
      <c r="R1505" s="224">
        <v>0.6999999999998181</v>
      </c>
      <c r="S1505" s="225"/>
      <c r="T1505" s="221">
        <v>3.1599999999998181</v>
      </c>
      <c r="U1505" s="223">
        <v>-1.49</v>
      </c>
      <c r="V1505" s="222">
        <v>18.25</v>
      </c>
      <c r="W1505" s="222"/>
      <c r="X1505" s="227"/>
      <c r="Y1505" s="225"/>
      <c r="Z1505" s="225"/>
    </row>
    <row r="1506" spans="3:26" ht="19">
      <c r="C1506" s="219"/>
      <c r="D1506" s="505" t="s">
        <v>433</v>
      </c>
      <c r="E1506" s="1163">
        <v>4.7500000000000001E-2</v>
      </c>
      <c r="F1506" s="1164"/>
      <c r="G1506" s="1165"/>
      <c r="H1506" s="863" t="s">
        <v>908</v>
      </c>
      <c r="I1506" s="1246"/>
      <c r="J1506" s="1246"/>
      <c r="K1506" s="1247"/>
      <c r="L1506" s="891"/>
      <c r="M1506" s="336"/>
      <c r="N1506" s="219"/>
      <c r="O1506" s="219"/>
      <c r="P1506" s="219"/>
      <c r="Q1506" s="219"/>
      <c r="R1506" s="228"/>
      <c r="S1506" s="229"/>
      <c r="T1506" s="219"/>
      <c r="U1506" s="219"/>
      <c r="V1506" s="219"/>
      <c r="W1506" s="219"/>
      <c r="X1506" s="229"/>
      <c r="Y1506" s="230"/>
      <c r="Z1506" s="230"/>
    </row>
    <row r="1507" spans="3:26" ht="19">
      <c r="C1507" s="219"/>
      <c r="D1507" s="505" t="s">
        <v>434</v>
      </c>
      <c r="E1507" s="1163">
        <v>4.7500000000000001E-2</v>
      </c>
      <c r="F1507" s="1164"/>
      <c r="G1507" s="1165"/>
      <c r="H1507" s="863"/>
      <c r="I1507" s="1246"/>
      <c r="J1507" s="1246"/>
      <c r="K1507" s="1247"/>
      <c r="L1507" s="891"/>
      <c r="M1507" s="336"/>
      <c r="N1507" s="219"/>
      <c r="O1507" s="231" t="s">
        <v>811</v>
      </c>
      <c r="P1507" s="232">
        <v>1</v>
      </c>
      <c r="Q1507" s="233">
        <v>3.1436000000000002</v>
      </c>
      <c r="R1507" s="234">
        <v>0.7</v>
      </c>
      <c r="S1507" s="268">
        <v>1</v>
      </c>
      <c r="T1507" s="231">
        <v>5.4154000000000009</v>
      </c>
      <c r="U1507" s="236">
        <v>-25.534639240507801</v>
      </c>
      <c r="V1507" s="237">
        <v>182.5</v>
      </c>
      <c r="W1507" s="269">
        <v>7.8</v>
      </c>
      <c r="X1507" s="239">
        <v>199.17018607596083</v>
      </c>
      <c r="Y1507" s="240"/>
      <c r="Z1507" s="240"/>
    </row>
    <row r="1508" spans="3:26" ht="20" thickBot="1">
      <c r="C1508" s="219"/>
      <c r="D1508" s="506" t="s">
        <v>435</v>
      </c>
      <c r="E1508" s="1160">
        <v>0.5</v>
      </c>
      <c r="F1508" s="1161"/>
      <c r="G1508" s="1162"/>
      <c r="H1508" s="865"/>
      <c r="I1508" s="1246"/>
      <c r="J1508" s="1246"/>
      <c r="K1508" s="1247"/>
      <c r="L1508" s="892">
        <v>0.72916666666666663</v>
      </c>
      <c r="M1508" s="338">
        <v>0.58333333333333326</v>
      </c>
      <c r="N1508" s="219"/>
      <c r="O1508" s="241" t="s">
        <v>812</v>
      </c>
      <c r="P1508" s="242">
        <v>1</v>
      </c>
      <c r="Q1508" s="243">
        <v>3.5429999999999997</v>
      </c>
      <c r="R1508" s="244">
        <v>0.7</v>
      </c>
      <c r="S1508" s="270">
        <v>1</v>
      </c>
      <c r="T1508" s="246">
        <v>6.0145</v>
      </c>
      <c r="U1508" s="247">
        <v>-28.359509493672519</v>
      </c>
      <c r="V1508" s="248">
        <v>605</v>
      </c>
      <c r="W1508" s="271">
        <v>3.91</v>
      </c>
      <c r="X1508" s="250">
        <v>110.88568212025956</v>
      </c>
      <c r="Y1508" s="251"/>
      <c r="Z1508" s="251"/>
    </row>
    <row r="1509" spans="3:26" ht="20" thickBot="1">
      <c r="C1509" s="219"/>
      <c r="D1509" s="507" t="s">
        <v>436</v>
      </c>
      <c r="E1509" s="264" t="s">
        <v>29</v>
      </c>
      <c r="F1509" s="264" t="s">
        <v>28</v>
      </c>
      <c r="G1509" s="265" t="s">
        <v>27</v>
      </c>
      <c r="H1509" s="867" t="s">
        <v>793</v>
      </c>
      <c r="I1509" s="1246"/>
      <c r="J1509" s="1246"/>
      <c r="K1509" s="1247"/>
      <c r="L1509" s="893" t="s">
        <v>1246</v>
      </c>
      <c r="M1509" s="340"/>
      <c r="N1509" s="219"/>
      <c r="O1509" s="229"/>
      <c r="P1509" s="230"/>
      <c r="Q1509" s="229"/>
      <c r="R1509" s="229"/>
      <c r="S1509" s="272"/>
      <c r="T1509" s="229"/>
      <c r="U1509" s="254"/>
      <c r="V1509" s="255"/>
      <c r="W1509" s="273"/>
      <c r="X1509" s="254"/>
      <c r="Y1509" s="230"/>
      <c r="Z1509" s="230"/>
    </row>
    <row r="1510" spans="3:26" ht="19">
      <c r="C1510" s="219"/>
      <c r="D1510" s="508">
        <v>45603</v>
      </c>
      <c r="E1510" s="266">
        <v>4.7500000000000001E-2</v>
      </c>
      <c r="F1510" s="266" t="s">
        <v>726</v>
      </c>
      <c r="G1510" s="266">
        <v>0.05</v>
      </c>
      <c r="H1510" s="869">
        <v>0.5</v>
      </c>
      <c r="I1510" s="1246"/>
      <c r="J1510" s="1246"/>
      <c r="K1510" s="1247"/>
      <c r="L1510" s="894"/>
      <c r="M1510" s="342"/>
      <c r="N1510" s="219"/>
      <c r="O1510" s="229"/>
      <c r="P1510" s="230"/>
      <c r="Q1510" s="229"/>
      <c r="R1510" s="229"/>
      <c r="S1510" s="272"/>
      <c r="T1510" s="229"/>
      <c r="U1510" s="229"/>
      <c r="V1510" s="229"/>
      <c r="W1510" s="273"/>
      <c r="X1510" s="229"/>
      <c r="Y1510" s="230"/>
      <c r="Z1510" s="230"/>
    </row>
    <row r="1511" spans="3:26" ht="19">
      <c r="C1511" s="219"/>
      <c r="D1511" s="508">
        <v>45554</v>
      </c>
      <c r="E1511" s="266">
        <v>0.05</v>
      </c>
      <c r="F1511" s="266" t="s">
        <v>728</v>
      </c>
      <c r="G1511" s="266">
        <v>0.05</v>
      </c>
      <c r="H1511" s="869">
        <v>0.45833333333333331</v>
      </c>
      <c r="I1511" s="1246"/>
      <c r="J1511" s="1246"/>
      <c r="K1511" s="1247"/>
      <c r="L1511" s="894"/>
      <c r="M1511" s="343"/>
      <c r="N1511" s="219"/>
      <c r="O1511" s="221" t="s">
        <v>813</v>
      </c>
      <c r="P1511" s="274">
        <v>1</v>
      </c>
      <c r="Q1511" s="257">
        <v>2.7755333333333332</v>
      </c>
      <c r="R1511" s="258">
        <v>0.7</v>
      </c>
      <c r="S1511" s="274">
        <v>1</v>
      </c>
      <c r="T1511" s="275">
        <v>6.0145</v>
      </c>
      <c r="U1511" s="259">
        <v>-28.359509493672519</v>
      </c>
      <c r="V1511" s="260">
        <v>605</v>
      </c>
      <c r="W1511" s="276">
        <v>3</v>
      </c>
      <c r="X1511" s="227">
        <v>85.078528481017557</v>
      </c>
      <c r="Y1511" s="261"/>
      <c r="Z1511" s="261"/>
    </row>
    <row r="1512" spans="3:26" ht="19">
      <c r="C1512" s="219"/>
      <c r="D1512" s="508">
        <v>45505</v>
      </c>
      <c r="E1512" s="266">
        <v>0.05</v>
      </c>
      <c r="F1512" s="266" t="s">
        <v>728</v>
      </c>
      <c r="G1512" s="266">
        <v>5.2499999999999998E-2</v>
      </c>
      <c r="H1512" s="869">
        <v>0.45833333333333331</v>
      </c>
      <c r="I1512" s="1246"/>
      <c r="J1512" s="1246"/>
      <c r="K1512" s="1247"/>
      <c r="L1512" s="894"/>
      <c r="M1512" s="336"/>
      <c r="N1512" s="219"/>
      <c r="O1512" s="221" t="s">
        <v>813</v>
      </c>
      <c r="P1512" s="274">
        <v>1</v>
      </c>
      <c r="Q1512" s="257">
        <v>2.7755333333333332</v>
      </c>
      <c r="R1512" s="258">
        <v>0.7</v>
      </c>
      <c r="S1512" s="274">
        <v>1</v>
      </c>
      <c r="T1512" s="275">
        <v>6.0145</v>
      </c>
      <c r="U1512" s="259">
        <v>-28.359509493672519</v>
      </c>
      <c r="V1512" s="260">
        <v>605</v>
      </c>
      <c r="W1512" s="276">
        <v>3</v>
      </c>
      <c r="X1512" s="227">
        <v>85.078528481017557</v>
      </c>
      <c r="Y1512" s="261"/>
      <c r="Z1512" s="261"/>
    </row>
    <row r="1513" spans="3:26" ht="19">
      <c r="C1513" s="219"/>
      <c r="D1513" s="508">
        <v>45463</v>
      </c>
      <c r="E1513" s="266">
        <v>5.2499999999999998E-2</v>
      </c>
      <c r="F1513" s="266" t="s">
        <v>940</v>
      </c>
      <c r="G1513" s="266">
        <v>5.2499999999999998E-2</v>
      </c>
      <c r="H1513" s="869">
        <v>0.45833333333333331</v>
      </c>
      <c r="I1513" s="1246"/>
      <c r="J1513" s="1246"/>
      <c r="K1513" s="1247"/>
      <c r="L1513" s="894"/>
      <c r="M1513" s="336"/>
      <c r="N1513" s="219"/>
      <c r="O1513" s="221"/>
      <c r="P1513" s="262"/>
      <c r="Q1513" s="257"/>
      <c r="R1513" s="258"/>
      <c r="S1513" s="225"/>
      <c r="T1513" s="262"/>
      <c r="U1513" s="259"/>
      <c r="V1513" s="260"/>
      <c r="W1513" s="225"/>
      <c r="X1513" s="227"/>
      <c r="Y1513" s="261"/>
      <c r="Z1513" s="261"/>
    </row>
    <row r="1514" spans="3:26" ht="19">
      <c r="C1514" s="219"/>
      <c r="D1514" s="508">
        <v>45421</v>
      </c>
      <c r="E1514" s="266">
        <v>5.2499999999999998E-2</v>
      </c>
      <c r="F1514" s="266" t="s">
        <v>940</v>
      </c>
      <c r="G1514" s="266">
        <v>5.2499999999999998E-2</v>
      </c>
      <c r="H1514" s="869">
        <v>0.45833333333333331</v>
      </c>
      <c r="I1514" s="1246"/>
      <c r="J1514" s="1246"/>
      <c r="K1514" s="1247"/>
      <c r="L1514" s="894"/>
      <c r="M1514" s="336"/>
      <c r="N1514" s="219"/>
      <c r="O1514" s="263"/>
      <c r="P1514" s="263"/>
      <c r="Q1514" s="263"/>
      <c r="R1514" s="263"/>
      <c r="S1514" s="263"/>
      <c r="T1514" s="263"/>
      <c r="U1514" s="263"/>
      <c r="V1514" s="263"/>
      <c r="W1514" s="263"/>
      <c r="X1514" s="263"/>
      <c r="Y1514" s="263"/>
      <c r="Z1514" s="263"/>
    </row>
    <row r="1515" spans="3:26" ht="20" thickBot="1">
      <c r="C1515" s="219"/>
      <c r="D1515" s="517">
        <v>45372</v>
      </c>
      <c r="E1515" s="319">
        <v>5.2499999999999998E-2</v>
      </c>
      <c r="F1515" s="319" t="s">
        <v>940</v>
      </c>
      <c r="G1515" s="319">
        <v>5.2499999999999998E-2</v>
      </c>
      <c r="H1515" s="869">
        <v>0.5</v>
      </c>
      <c r="I1515" s="1249"/>
      <c r="J1515" s="1249"/>
      <c r="K1515" s="1250"/>
      <c r="L1515" s="895"/>
      <c r="M1515" s="344"/>
      <c r="N1515" s="219"/>
      <c r="O1515" s="263"/>
      <c r="P1515" s="263"/>
      <c r="Q1515" s="263"/>
      <c r="R1515" s="263"/>
      <c r="S1515" s="263"/>
      <c r="T1515" s="263"/>
      <c r="U1515" s="263"/>
      <c r="V1515" s="263"/>
      <c r="W1515" s="263"/>
      <c r="X1515" s="263"/>
      <c r="Y1515" s="263"/>
      <c r="Z1515" s="263"/>
    </row>
    <row r="1516" spans="3:26" ht="20" thickBot="1">
      <c r="C1516" s="218">
        <v>9</v>
      </c>
      <c r="D1516" s="498" t="s">
        <v>30</v>
      </c>
      <c r="E1516" s="1147" t="s">
        <v>1271</v>
      </c>
      <c r="F1516" s="1148"/>
      <c r="G1516" s="1149"/>
      <c r="H1516" s="861" t="s">
        <v>790</v>
      </c>
      <c r="I1516" s="1256" t="s">
        <v>633</v>
      </c>
      <c r="J1516" s="1256"/>
      <c r="K1516" s="1257"/>
      <c r="L1516" s="890" t="s">
        <v>430</v>
      </c>
      <c r="M1516" s="333" t="s">
        <v>431</v>
      </c>
      <c r="N1516" s="219" t="s">
        <v>105</v>
      </c>
      <c r="O1516" s="220" t="s">
        <v>800</v>
      </c>
      <c r="P1516" s="220" t="s">
        <v>801</v>
      </c>
      <c r="Q1516" s="220" t="s">
        <v>802</v>
      </c>
      <c r="R1516" s="220" t="s">
        <v>803</v>
      </c>
      <c r="S1516" s="220" t="s">
        <v>804</v>
      </c>
      <c r="T1516" s="220" t="s">
        <v>805</v>
      </c>
      <c r="U1516" s="220" t="s">
        <v>806</v>
      </c>
      <c r="V1516" s="220" t="s">
        <v>807</v>
      </c>
      <c r="W1516" s="220" t="s">
        <v>808</v>
      </c>
      <c r="X1516" s="220" t="s">
        <v>809</v>
      </c>
      <c r="Y1516" s="220" t="s">
        <v>75</v>
      </c>
      <c r="Z1516" s="220" t="s">
        <v>75</v>
      </c>
    </row>
    <row r="1517" spans="3:26" ht="19">
      <c r="C1517" s="219"/>
      <c r="D1517" s="504" t="s">
        <v>432</v>
      </c>
      <c r="E1517" s="1150"/>
      <c r="F1517" s="1151"/>
      <c r="G1517" s="1152"/>
      <c r="H1517" s="863" t="s">
        <v>794</v>
      </c>
      <c r="I1517" s="1243" t="s">
        <v>1272</v>
      </c>
      <c r="J1517" s="1243"/>
      <c r="K1517" s="1244"/>
      <c r="L1517" s="891"/>
      <c r="M1517" s="335" t="s">
        <v>1271</v>
      </c>
      <c r="N1517" s="219"/>
      <c r="O1517" s="221" t="s">
        <v>810</v>
      </c>
      <c r="P1517" s="222">
        <v>0.1</v>
      </c>
      <c r="Q1517" s="223">
        <v>1.9E-2</v>
      </c>
      <c r="R1517" s="224">
        <v>2.199999999999136E-2</v>
      </c>
      <c r="S1517" s="225"/>
      <c r="T1517" s="221">
        <v>5.0499999999991357E-2</v>
      </c>
      <c r="U1517" s="223">
        <v>-11.86</v>
      </c>
      <c r="V1517" s="222">
        <v>91.8</v>
      </c>
      <c r="W1517" s="226">
        <v>2</v>
      </c>
      <c r="X1517" s="227">
        <v>23.72</v>
      </c>
      <c r="Y1517" s="225"/>
      <c r="Z1517" s="225"/>
    </row>
    <row r="1518" spans="3:26" ht="19">
      <c r="C1518" s="219"/>
      <c r="D1518" s="505" t="s">
        <v>433</v>
      </c>
      <c r="E1518" s="1163"/>
      <c r="F1518" s="1164"/>
      <c r="G1518" s="1165"/>
      <c r="H1518" s="863" t="s">
        <v>795</v>
      </c>
      <c r="I1518" s="1246"/>
      <c r="J1518" s="1246"/>
      <c r="K1518" s="1247"/>
      <c r="L1518" s="891"/>
      <c r="M1518" s="336"/>
      <c r="N1518" s="219"/>
      <c r="O1518" s="219"/>
      <c r="P1518" s="219"/>
      <c r="Q1518" s="219"/>
      <c r="R1518" s="228"/>
      <c r="S1518" s="229"/>
      <c r="T1518" s="219"/>
      <c r="U1518" s="219"/>
      <c r="V1518" s="219"/>
      <c r="W1518" s="219"/>
      <c r="X1518" s="229"/>
      <c r="Y1518" s="230"/>
      <c r="Z1518" s="230"/>
    </row>
    <row r="1519" spans="3:26" ht="19">
      <c r="C1519" s="219"/>
      <c r="D1519" s="505" t="s">
        <v>434</v>
      </c>
      <c r="E1519" s="1163">
        <v>2.8000000000000001E-2</v>
      </c>
      <c r="F1519" s="1164"/>
      <c r="G1519" s="1165"/>
      <c r="H1519" s="863"/>
      <c r="I1519" s="1246"/>
      <c r="J1519" s="1246"/>
      <c r="K1519" s="1247"/>
      <c r="L1519" s="891"/>
      <c r="M1519" s="336"/>
      <c r="N1519" s="219"/>
      <c r="O1519" s="231" t="s">
        <v>811</v>
      </c>
      <c r="P1519" s="232">
        <v>0.1</v>
      </c>
      <c r="Q1519" s="233">
        <v>7.9299999999999995E-2</v>
      </c>
      <c r="R1519" s="234">
        <v>2.8000000000000001E-2</v>
      </c>
      <c r="S1519" s="268">
        <v>1.5</v>
      </c>
      <c r="T1519" s="231">
        <v>0.14695</v>
      </c>
      <c r="U1519" s="236">
        <v>-34.511425742580158</v>
      </c>
      <c r="V1519" s="237">
        <v>60.5</v>
      </c>
      <c r="W1519" s="269">
        <v>5.55</v>
      </c>
      <c r="X1519" s="239">
        <v>191.53841287131988</v>
      </c>
      <c r="Y1519" s="240"/>
      <c r="Z1519" s="240"/>
    </row>
    <row r="1520" spans="3:26" ht="20" thickBot="1">
      <c r="C1520" s="219"/>
      <c r="D1520" s="506" t="s">
        <v>435</v>
      </c>
      <c r="E1520" s="1160">
        <v>0.5625</v>
      </c>
      <c r="F1520" s="1161"/>
      <c r="G1520" s="1162"/>
      <c r="H1520" s="865"/>
      <c r="I1520" s="1246"/>
      <c r="J1520" s="1246"/>
      <c r="K1520" s="1247"/>
      <c r="L1520" s="892">
        <v>0.79166666666666663</v>
      </c>
      <c r="M1520" s="338">
        <v>0.64583333333333326</v>
      </c>
      <c r="N1520" s="219"/>
      <c r="O1520" s="241" t="s">
        <v>812</v>
      </c>
      <c r="P1520" s="242">
        <v>0.1</v>
      </c>
      <c r="Q1520" s="243">
        <v>7.1466666666666664E-2</v>
      </c>
      <c r="R1520" s="244">
        <v>2.8000000000000001E-2</v>
      </c>
      <c r="S1520" s="270">
        <v>1.5</v>
      </c>
      <c r="T1520" s="246">
        <v>0.13519999999999999</v>
      </c>
      <c r="U1520" s="247">
        <v>-47.627881188126963</v>
      </c>
      <c r="V1520" s="248">
        <v>60.5</v>
      </c>
      <c r="W1520" s="271">
        <v>5.25</v>
      </c>
      <c r="X1520" s="250">
        <v>250.04637623766655</v>
      </c>
      <c r="Y1520" s="251"/>
      <c r="Z1520" s="251"/>
    </row>
    <row r="1521" spans="3:26" ht="20" thickBot="1">
      <c r="C1521" s="219"/>
      <c r="D1521" s="507" t="s">
        <v>436</v>
      </c>
      <c r="E1521" s="264" t="s">
        <v>29</v>
      </c>
      <c r="F1521" s="264" t="s">
        <v>28</v>
      </c>
      <c r="G1521" s="265" t="s">
        <v>27</v>
      </c>
      <c r="H1521" s="867" t="s">
        <v>793</v>
      </c>
      <c r="I1521" s="1246"/>
      <c r="J1521" s="1246"/>
      <c r="K1521" s="1247"/>
      <c r="L1521" s="893" t="s">
        <v>1246</v>
      </c>
      <c r="M1521" s="340"/>
      <c r="N1521" s="219"/>
      <c r="O1521" s="229"/>
      <c r="P1521" s="230"/>
      <c r="Q1521" s="229"/>
      <c r="R1521" s="229"/>
      <c r="S1521" s="272"/>
      <c r="T1521" s="229"/>
      <c r="U1521" s="254"/>
      <c r="V1521" s="255"/>
      <c r="W1521" s="273"/>
      <c r="X1521" s="254"/>
      <c r="Y1521" s="230"/>
      <c r="Z1521" s="230"/>
    </row>
    <row r="1522" spans="3:26" ht="19">
      <c r="C1522" s="219"/>
      <c r="D1522" s="508">
        <v>45623</v>
      </c>
      <c r="E1522" s="266">
        <v>2.8000000000000001E-2</v>
      </c>
      <c r="F1522" s="266" t="s">
        <v>666</v>
      </c>
      <c r="G1522" s="266">
        <v>0.03</v>
      </c>
      <c r="H1522" s="869">
        <v>0.5625</v>
      </c>
      <c r="I1522" s="1246"/>
      <c r="J1522" s="1246"/>
      <c r="K1522" s="1247"/>
      <c r="L1522" s="894"/>
      <c r="M1522" s="351"/>
      <c r="N1522" s="219"/>
      <c r="O1522" s="229"/>
      <c r="P1522" s="230"/>
      <c r="Q1522" s="229"/>
      <c r="R1522" s="229"/>
      <c r="S1522" s="272"/>
      <c r="T1522" s="229"/>
      <c r="U1522" s="229"/>
      <c r="V1522" s="229"/>
      <c r="W1522" s="273"/>
      <c r="X1522" s="229"/>
      <c r="Y1522" s="230"/>
      <c r="Z1522" s="230"/>
    </row>
    <row r="1523" spans="3:26" ht="19">
      <c r="C1523" s="219"/>
      <c r="D1523" s="508">
        <v>45595</v>
      </c>
      <c r="E1523" s="266">
        <v>2.8000000000000001E-2</v>
      </c>
      <c r="F1523" s="266" t="s">
        <v>669</v>
      </c>
      <c r="G1523" s="266">
        <v>0.03</v>
      </c>
      <c r="H1523" s="869">
        <v>0.52083333333333337</v>
      </c>
      <c r="I1523" s="1246"/>
      <c r="J1523" s="1246"/>
      <c r="K1523" s="1247"/>
      <c r="L1523" s="894"/>
      <c r="M1523" s="351"/>
      <c r="N1523" s="219"/>
      <c r="O1523" s="221" t="s">
        <v>813</v>
      </c>
      <c r="P1523" s="274">
        <v>0.1</v>
      </c>
      <c r="Q1523" s="257">
        <v>7.1466666666666664E-2</v>
      </c>
      <c r="R1523" s="258">
        <v>2.8000000000000001E-2</v>
      </c>
      <c r="S1523" s="274">
        <v>1</v>
      </c>
      <c r="T1523" s="275">
        <v>0.13519999999999999</v>
      </c>
      <c r="U1523" s="259">
        <v>-31.75192079208464</v>
      </c>
      <c r="V1523" s="260">
        <v>60.5</v>
      </c>
      <c r="W1523" s="276">
        <v>2</v>
      </c>
      <c r="X1523" s="227">
        <v>63.50384158416928</v>
      </c>
      <c r="Y1523" s="261"/>
      <c r="Z1523" s="261"/>
    </row>
    <row r="1524" spans="3:26" ht="19">
      <c r="C1524" s="219"/>
      <c r="D1524" s="508">
        <v>45561</v>
      </c>
      <c r="E1524" s="266">
        <v>0.03</v>
      </c>
      <c r="F1524" s="266" t="s">
        <v>669</v>
      </c>
      <c r="G1524" s="266">
        <v>1.6E-2</v>
      </c>
      <c r="H1524" s="869">
        <v>0.52083333333333337</v>
      </c>
      <c r="I1524" s="1246"/>
      <c r="J1524" s="1246"/>
      <c r="K1524" s="1247"/>
      <c r="L1524" s="894"/>
      <c r="M1524" s="351"/>
      <c r="N1524" s="219"/>
      <c r="O1524" s="221" t="s">
        <v>813</v>
      </c>
      <c r="P1524" s="274">
        <v>0.1</v>
      </c>
      <c r="Q1524" s="257">
        <v>7.1466666666666664E-2</v>
      </c>
      <c r="R1524" s="257">
        <v>2.8000000000000001E-2</v>
      </c>
      <c r="S1524" s="274">
        <v>1</v>
      </c>
      <c r="T1524" s="275">
        <v>0.13519999999999999</v>
      </c>
      <c r="U1524" s="259">
        <v>-31.75192079208464</v>
      </c>
      <c r="V1524" s="260">
        <v>60.5</v>
      </c>
      <c r="W1524" s="276">
        <v>2</v>
      </c>
      <c r="X1524" s="227">
        <v>63.50384158416928</v>
      </c>
      <c r="Y1524" s="261"/>
      <c r="Z1524" s="261"/>
    </row>
    <row r="1525" spans="3:26" ht="19">
      <c r="C1525" s="219"/>
      <c r="D1525" s="508">
        <v>45533</v>
      </c>
      <c r="E1525" s="266">
        <v>0.03</v>
      </c>
      <c r="F1525" s="266" t="s">
        <v>666</v>
      </c>
      <c r="G1525" s="266">
        <v>1.4E-2</v>
      </c>
      <c r="H1525" s="869">
        <v>0.52083333333333337</v>
      </c>
      <c r="I1525" s="1246"/>
      <c r="J1525" s="1246"/>
      <c r="K1525" s="1247"/>
      <c r="L1525" s="894"/>
      <c r="M1525" s="351"/>
      <c r="N1525" s="219"/>
      <c r="O1525" s="221"/>
      <c r="P1525" s="262"/>
      <c r="Q1525" s="257"/>
      <c r="R1525" s="258"/>
      <c r="S1525" s="225"/>
      <c r="T1525" s="262"/>
      <c r="U1525" s="259"/>
      <c r="V1525" s="260"/>
      <c r="W1525" s="225"/>
      <c r="X1525" s="227"/>
      <c r="Y1525" s="261"/>
      <c r="Z1525" s="261"/>
    </row>
    <row r="1526" spans="3:26" ht="19">
      <c r="C1526" s="219"/>
      <c r="D1526" s="508">
        <v>45498</v>
      </c>
      <c r="E1526" s="266">
        <v>2.8000000000000001E-2</v>
      </c>
      <c r="F1526" s="266" t="s">
        <v>788</v>
      </c>
      <c r="G1526" s="266">
        <v>1.4E-2</v>
      </c>
      <c r="H1526" s="869">
        <v>0.52083333333333337</v>
      </c>
      <c r="I1526" s="1246"/>
      <c r="J1526" s="1246"/>
      <c r="K1526" s="1247"/>
      <c r="L1526" s="894"/>
      <c r="M1526" s="351"/>
      <c r="N1526" s="219"/>
      <c r="O1526" s="263"/>
      <c r="P1526" s="263"/>
      <c r="Q1526" s="263"/>
      <c r="R1526" s="263"/>
      <c r="S1526" s="263"/>
      <c r="T1526" s="263"/>
      <c r="U1526" s="263"/>
      <c r="V1526" s="263"/>
      <c r="W1526" s="263"/>
      <c r="X1526" s="263"/>
      <c r="Y1526" s="263"/>
      <c r="Z1526" s="263"/>
    </row>
    <row r="1527" spans="3:26" ht="20" thickBot="1">
      <c r="C1527" s="219"/>
      <c r="D1527" s="517">
        <v>45470</v>
      </c>
      <c r="E1527" s="319">
        <v>1.4E-2</v>
      </c>
      <c r="F1527" s="319" t="s">
        <v>889</v>
      </c>
      <c r="G1527" s="319">
        <v>3.4000000000000002E-2</v>
      </c>
      <c r="H1527" s="869">
        <v>0.52083333333333337</v>
      </c>
      <c r="I1527" s="1249"/>
      <c r="J1527" s="1249"/>
      <c r="K1527" s="1250"/>
      <c r="L1527" s="895"/>
      <c r="M1527" s="351"/>
      <c r="N1527" s="219"/>
      <c r="O1527" s="263"/>
      <c r="P1527" s="263"/>
      <c r="Q1527" s="263"/>
      <c r="R1527" s="263"/>
      <c r="S1527" s="263"/>
      <c r="T1527" s="263"/>
      <c r="U1527" s="263"/>
      <c r="V1527" s="263"/>
      <c r="W1527" s="263"/>
      <c r="X1527" s="263"/>
      <c r="Y1527" s="263"/>
      <c r="Z1527" s="263"/>
    </row>
    <row r="1528" spans="3:26" ht="20" thickBot="1">
      <c r="C1528" s="218">
        <v>10</v>
      </c>
      <c r="D1528" s="498" t="s">
        <v>30</v>
      </c>
      <c r="E1528" s="1147" t="s">
        <v>1273</v>
      </c>
      <c r="F1528" s="1148"/>
      <c r="G1528" s="1149"/>
      <c r="H1528" s="861" t="s">
        <v>790</v>
      </c>
      <c r="I1528" s="1256" t="s">
        <v>633</v>
      </c>
      <c r="J1528" s="1256"/>
      <c r="K1528" s="1257"/>
      <c r="L1528" s="890" t="s">
        <v>430</v>
      </c>
      <c r="M1528" s="333" t="s">
        <v>431</v>
      </c>
      <c r="N1528" s="219" t="s">
        <v>105</v>
      </c>
      <c r="O1528" s="220" t="s">
        <v>800</v>
      </c>
      <c r="P1528" s="220" t="s">
        <v>801</v>
      </c>
      <c r="Q1528" s="220" t="s">
        <v>802</v>
      </c>
      <c r="R1528" s="220" t="s">
        <v>803</v>
      </c>
      <c r="S1528" s="220" t="s">
        <v>804</v>
      </c>
      <c r="T1528" s="220" t="s">
        <v>805</v>
      </c>
      <c r="U1528" s="220" t="s">
        <v>806</v>
      </c>
      <c r="V1528" s="220" t="s">
        <v>807</v>
      </c>
      <c r="W1528" s="220" t="s">
        <v>808</v>
      </c>
      <c r="X1528" s="220" t="s">
        <v>809</v>
      </c>
      <c r="Y1528" s="220" t="s">
        <v>75</v>
      </c>
      <c r="Z1528" s="220" t="s">
        <v>75</v>
      </c>
    </row>
    <row r="1529" spans="3:26" ht="19">
      <c r="C1529" s="219"/>
      <c r="D1529" s="504" t="s">
        <v>432</v>
      </c>
      <c r="E1529" s="1150"/>
      <c r="F1529" s="1151"/>
      <c r="G1529" s="1152"/>
      <c r="H1529" s="863" t="s">
        <v>794</v>
      </c>
      <c r="I1529" s="1243" t="s">
        <v>1275</v>
      </c>
      <c r="J1529" s="1243"/>
      <c r="K1529" s="1244"/>
      <c r="L1529" s="891"/>
      <c r="M1529" s="335" t="s">
        <v>1273</v>
      </c>
      <c r="N1529" s="219"/>
      <c r="O1529" s="221" t="s">
        <v>810</v>
      </c>
      <c r="P1529" s="222">
        <v>0.1</v>
      </c>
      <c r="Q1529" s="223">
        <v>3.4000000000000002E-2</v>
      </c>
      <c r="R1529" s="224">
        <v>3.4999999999996589E-2</v>
      </c>
      <c r="S1529" s="225"/>
      <c r="T1529" s="221">
        <v>8.5999999999996593E-2</v>
      </c>
      <c r="U1529" s="223">
        <v>-20.67</v>
      </c>
      <c r="V1529" s="222">
        <v>91.8</v>
      </c>
      <c r="W1529" s="226">
        <v>2</v>
      </c>
      <c r="X1529" s="227">
        <v>41.34</v>
      </c>
      <c r="Y1529" s="225"/>
      <c r="Z1529" s="225"/>
    </row>
    <row r="1530" spans="3:26" ht="19">
      <c r="C1530" s="219"/>
      <c r="D1530" s="505" t="s">
        <v>433</v>
      </c>
      <c r="E1530" s="1163" t="s">
        <v>1274</v>
      </c>
      <c r="F1530" s="1164"/>
      <c r="G1530" s="1165"/>
      <c r="H1530" s="863" t="s">
        <v>795</v>
      </c>
      <c r="I1530" s="1246"/>
      <c r="J1530" s="1246"/>
      <c r="K1530" s="1247"/>
      <c r="L1530" s="891"/>
      <c r="M1530" s="336"/>
      <c r="N1530" s="219"/>
      <c r="O1530" s="219"/>
      <c r="P1530" s="219"/>
      <c r="Q1530" s="219"/>
      <c r="R1530" s="228"/>
      <c r="S1530" s="229"/>
      <c r="T1530" s="219"/>
      <c r="U1530" s="219"/>
      <c r="V1530" s="219"/>
      <c r="W1530" s="229"/>
      <c r="X1530" s="229"/>
      <c r="Y1530" s="230"/>
      <c r="Z1530" s="230"/>
    </row>
    <row r="1531" spans="3:26" ht="19">
      <c r="C1531" s="219"/>
      <c r="D1531" s="505" t="s">
        <v>434</v>
      </c>
      <c r="E1531" s="1178" t="s">
        <v>897</v>
      </c>
      <c r="F1531" s="1179"/>
      <c r="G1531" s="1180"/>
      <c r="H1531" s="863"/>
      <c r="I1531" s="1246"/>
      <c r="J1531" s="1246"/>
      <c r="K1531" s="1247"/>
      <c r="L1531" s="891"/>
      <c r="M1531" s="336"/>
      <c r="N1531" s="219"/>
      <c r="O1531" s="231" t="s">
        <v>811</v>
      </c>
      <c r="P1531" s="232">
        <v>0.1</v>
      </c>
      <c r="Q1531" s="233">
        <v>6.0900000000000003E-2</v>
      </c>
      <c r="R1531" s="234">
        <v>0.03</v>
      </c>
      <c r="S1531" s="235">
        <v>1</v>
      </c>
      <c r="T1531" s="231">
        <v>0.12135</v>
      </c>
      <c r="U1531" s="236">
        <v>-29.166331395349996</v>
      </c>
      <c r="V1531" s="237">
        <v>60.5</v>
      </c>
      <c r="W1531" s="238">
        <v>5.1100000000000003</v>
      </c>
      <c r="X1531" s="239">
        <v>149.03995343023848</v>
      </c>
      <c r="Y1531" s="240"/>
      <c r="Z1531" s="240">
        <v>4.4350000000000005</v>
      </c>
    </row>
    <row r="1532" spans="3:26" ht="20" thickBot="1">
      <c r="C1532" s="219"/>
      <c r="D1532" s="506" t="s">
        <v>435</v>
      </c>
      <c r="E1532" s="1160">
        <v>0.5625</v>
      </c>
      <c r="F1532" s="1161"/>
      <c r="G1532" s="1162"/>
      <c r="H1532" s="865"/>
      <c r="I1532" s="1246"/>
      <c r="J1532" s="1246"/>
      <c r="K1532" s="1247"/>
      <c r="L1532" s="892">
        <v>0.79166666666666663</v>
      </c>
      <c r="M1532" s="338">
        <v>0.64583333333333326</v>
      </c>
      <c r="N1532" s="219"/>
      <c r="O1532" s="241" t="s">
        <v>812</v>
      </c>
      <c r="P1532" s="242">
        <v>0.1</v>
      </c>
      <c r="Q1532" s="243">
        <v>7.0866666666666675E-2</v>
      </c>
      <c r="R1532" s="244">
        <v>0.03</v>
      </c>
      <c r="S1532" s="245">
        <v>1</v>
      </c>
      <c r="T1532" s="246">
        <v>0.1363</v>
      </c>
      <c r="U1532" s="247">
        <v>-32.75954651162921</v>
      </c>
      <c r="V1532" s="248">
        <v>60.5</v>
      </c>
      <c r="W1532" s="277">
        <v>2.88</v>
      </c>
      <c r="X1532" s="250">
        <v>94.347493953492119</v>
      </c>
      <c r="Y1532" s="251"/>
      <c r="Z1532" s="251"/>
    </row>
    <row r="1533" spans="3:26" ht="20" thickBot="1">
      <c r="C1533" s="219"/>
      <c r="D1533" s="507" t="s">
        <v>436</v>
      </c>
      <c r="E1533" s="264" t="s">
        <v>29</v>
      </c>
      <c r="F1533" s="264" t="s">
        <v>28</v>
      </c>
      <c r="G1533" s="265" t="s">
        <v>27</v>
      </c>
      <c r="H1533" s="867" t="s">
        <v>793</v>
      </c>
      <c r="I1533" s="1246"/>
      <c r="J1533" s="1246"/>
      <c r="K1533" s="1247"/>
      <c r="L1533" s="893" t="s">
        <v>1246</v>
      </c>
      <c r="M1533" s="340"/>
      <c r="N1533" s="219"/>
      <c r="O1533" s="229"/>
      <c r="P1533" s="230"/>
      <c r="Q1533" s="229"/>
      <c r="R1533" s="229"/>
      <c r="S1533" s="229"/>
      <c r="T1533" s="229"/>
      <c r="U1533" s="254"/>
      <c r="V1533" s="255"/>
      <c r="W1533" s="229"/>
      <c r="X1533" s="254"/>
      <c r="Y1533" s="230"/>
      <c r="Z1533" s="230"/>
    </row>
    <row r="1534" spans="3:26" ht="19">
      <c r="C1534" s="219"/>
      <c r="D1534" s="508">
        <v>45638</v>
      </c>
      <c r="E1534" s="266" t="s">
        <v>980</v>
      </c>
      <c r="F1534" s="266" t="s">
        <v>972</v>
      </c>
      <c r="G1534" s="266" t="s">
        <v>985</v>
      </c>
      <c r="H1534" s="869">
        <v>0.5625</v>
      </c>
      <c r="I1534" s="1246"/>
      <c r="J1534" s="1246"/>
      <c r="K1534" s="1247"/>
      <c r="L1534" s="894"/>
      <c r="M1534" s="342"/>
      <c r="N1534" s="219"/>
      <c r="O1534" s="229"/>
      <c r="P1534" s="230"/>
      <c r="Q1534" s="229"/>
      <c r="R1534" s="229"/>
      <c r="S1534" s="229"/>
      <c r="T1534" s="229"/>
      <c r="U1534" s="229"/>
      <c r="V1534" s="229"/>
      <c r="W1534" s="229"/>
      <c r="X1534" s="229"/>
      <c r="Y1534" s="230"/>
      <c r="Z1534" s="230"/>
    </row>
    <row r="1535" spans="3:26" ht="19">
      <c r="C1535" s="219"/>
      <c r="D1535" s="508">
        <v>45631</v>
      </c>
      <c r="E1535" s="266" t="s">
        <v>1032</v>
      </c>
      <c r="F1535" s="266" t="s">
        <v>1232</v>
      </c>
      <c r="G1535" s="266" t="s">
        <v>1232</v>
      </c>
      <c r="H1535" s="869">
        <v>0.5625</v>
      </c>
      <c r="I1535" s="1246"/>
      <c r="J1535" s="1246"/>
      <c r="K1535" s="1247"/>
      <c r="L1535" s="894"/>
      <c r="M1535" s="343"/>
      <c r="N1535" s="219"/>
      <c r="O1535" s="221" t="s">
        <v>813</v>
      </c>
      <c r="P1535" s="222">
        <v>0.05</v>
      </c>
      <c r="Q1535" s="257">
        <v>6.5883333333333335E-2</v>
      </c>
      <c r="R1535" s="258">
        <v>0.03</v>
      </c>
      <c r="S1535" s="225">
        <v>1.5</v>
      </c>
      <c r="T1535" s="231">
        <v>0.128825</v>
      </c>
      <c r="U1535" s="259">
        <v>-23.222204215117198</v>
      </c>
      <c r="V1535" s="260">
        <v>30.25</v>
      </c>
      <c r="W1535" s="225">
        <v>1</v>
      </c>
      <c r="X1535" s="227">
        <v>23.222204215117198</v>
      </c>
      <c r="Y1535" s="261"/>
      <c r="Z1535" s="261"/>
    </row>
    <row r="1536" spans="3:26" ht="19">
      <c r="C1536" s="219"/>
      <c r="D1536" s="508">
        <v>45623</v>
      </c>
      <c r="E1536" s="266" t="s">
        <v>1111</v>
      </c>
      <c r="F1536" s="266" t="s">
        <v>1232</v>
      </c>
      <c r="G1536" s="266" t="s">
        <v>1232</v>
      </c>
      <c r="H1536" s="869">
        <v>0.5625</v>
      </c>
      <c r="I1536" s="1246"/>
      <c r="J1536" s="1246"/>
      <c r="K1536" s="1247"/>
      <c r="L1536" s="894"/>
      <c r="M1536" s="336"/>
      <c r="N1536" s="219"/>
      <c r="O1536" s="221" t="s">
        <v>813</v>
      </c>
      <c r="P1536" s="222">
        <v>0.05</v>
      </c>
      <c r="Q1536" s="257">
        <v>7.0866666666666675E-2</v>
      </c>
      <c r="R1536" s="258">
        <v>0.03</v>
      </c>
      <c r="S1536" s="225">
        <v>1.5</v>
      </c>
      <c r="T1536" s="231">
        <v>0.1363</v>
      </c>
      <c r="U1536" s="259">
        <v>-24.569659883721908</v>
      </c>
      <c r="V1536" s="260">
        <v>30.25</v>
      </c>
      <c r="W1536" s="225">
        <v>1</v>
      </c>
      <c r="X1536" s="227">
        <v>24.569659883721908</v>
      </c>
      <c r="Y1536" s="261"/>
      <c r="Z1536" s="261"/>
    </row>
    <row r="1537" spans="3:26" ht="19">
      <c r="C1537" s="219"/>
      <c r="D1537" s="508">
        <v>45617</v>
      </c>
      <c r="E1537" s="266" t="s">
        <v>1111</v>
      </c>
      <c r="F1537" s="266" t="s">
        <v>1112</v>
      </c>
      <c r="G1537" s="266" t="s">
        <v>987</v>
      </c>
      <c r="H1537" s="869">
        <v>0.5625</v>
      </c>
      <c r="I1537" s="1246"/>
      <c r="J1537" s="1246"/>
      <c r="K1537" s="1247"/>
      <c r="L1537" s="894"/>
      <c r="M1537" s="336"/>
      <c r="N1537" s="219"/>
      <c r="O1537" s="221"/>
      <c r="P1537" s="262"/>
      <c r="Q1537" s="257"/>
      <c r="R1537" s="258"/>
      <c r="S1537" s="225"/>
      <c r="T1537" s="262"/>
      <c r="U1537" s="259"/>
      <c r="V1537" s="260"/>
      <c r="W1537" s="225"/>
      <c r="X1537" s="227"/>
      <c r="Y1537" s="261"/>
      <c r="Z1537" s="261"/>
    </row>
    <row r="1538" spans="3:26" ht="19">
      <c r="C1538" s="219"/>
      <c r="D1538" s="508">
        <v>45610</v>
      </c>
      <c r="E1538" s="266" t="s">
        <v>1031</v>
      </c>
      <c r="F1538" s="266" t="s">
        <v>1032</v>
      </c>
      <c r="G1538" s="266" t="s">
        <v>972</v>
      </c>
      <c r="H1538" s="869">
        <v>0.5625</v>
      </c>
      <c r="I1538" s="1246"/>
      <c r="J1538" s="1246"/>
      <c r="K1538" s="1247"/>
      <c r="L1538" s="894"/>
      <c r="M1538" s="336"/>
      <c r="N1538" s="219"/>
      <c r="O1538" s="263"/>
      <c r="P1538" s="263"/>
      <c r="Q1538" s="263"/>
      <c r="R1538" s="263"/>
      <c r="S1538" s="263"/>
      <c r="T1538" s="263"/>
      <c r="U1538" s="263"/>
      <c r="V1538" s="263"/>
      <c r="W1538" s="263"/>
      <c r="X1538" s="263"/>
      <c r="Y1538" s="263"/>
      <c r="Z1538" s="263"/>
    </row>
    <row r="1539" spans="3:26" ht="20" thickBot="1">
      <c r="C1539" s="219"/>
      <c r="D1539" s="517">
        <v>45603</v>
      </c>
      <c r="E1539" s="319" t="s">
        <v>972</v>
      </c>
      <c r="F1539" s="319" t="s">
        <v>973</v>
      </c>
      <c r="G1539" s="319" t="s">
        <v>974</v>
      </c>
      <c r="H1539" s="869">
        <v>0.5625</v>
      </c>
      <c r="I1539" s="1249"/>
      <c r="J1539" s="1249"/>
      <c r="K1539" s="1250"/>
      <c r="L1539" s="895"/>
      <c r="M1539" s="344"/>
      <c r="N1539" s="219"/>
      <c r="O1539" s="263"/>
      <c r="P1539" s="263"/>
      <c r="Q1539" s="263"/>
      <c r="R1539" s="263"/>
      <c r="S1539" s="263"/>
      <c r="T1539" s="263"/>
      <c r="U1539" s="263"/>
      <c r="V1539" s="263"/>
      <c r="W1539" s="263"/>
      <c r="X1539" s="263"/>
      <c r="Y1539" s="263"/>
      <c r="Z1539" s="263"/>
    </row>
    <row r="1540" spans="3:26" ht="20" thickBot="1">
      <c r="C1540" s="218">
        <v>11</v>
      </c>
      <c r="D1540" s="509" t="s">
        <v>30</v>
      </c>
      <c r="E1540" s="1374" t="s">
        <v>1276</v>
      </c>
      <c r="F1540" s="1375"/>
      <c r="G1540" s="1376"/>
      <c r="H1540" s="861" t="s">
        <v>790</v>
      </c>
      <c r="I1540" s="1256" t="s">
        <v>633</v>
      </c>
      <c r="J1540" s="1256"/>
      <c r="K1540" s="1257"/>
      <c r="L1540" s="890" t="s">
        <v>430</v>
      </c>
      <c r="M1540" s="347" t="s">
        <v>431</v>
      </c>
      <c r="N1540" s="219" t="s">
        <v>105</v>
      </c>
      <c r="O1540" s="220" t="s">
        <v>800</v>
      </c>
      <c r="P1540" s="220" t="s">
        <v>801</v>
      </c>
      <c r="Q1540" s="220" t="s">
        <v>802</v>
      </c>
      <c r="R1540" s="220" t="s">
        <v>803</v>
      </c>
      <c r="S1540" s="220" t="s">
        <v>804</v>
      </c>
      <c r="T1540" s="220" t="s">
        <v>805</v>
      </c>
      <c r="U1540" s="220" t="s">
        <v>806</v>
      </c>
      <c r="V1540" s="220" t="s">
        <v>807</v>
      </c>
      <c r="W1540" s="220" t="s">
        <v>808</v>
      </c>
      <c r="X1540" s="220" t="s">
        <v>809</v>
      </c>
      <c r="Y1540" s="220" t="s">
        <v>75</v>
      </c>
      <c r="Z1540" s="220" t="s">
        <v>75</v>
      </c>
    </row>
    <row r="1541" spans="3:26" ht="19">
      <c r="C1541" s="219"/>
      <c r="D1541" s="518" t="s">
        <v>432</v>
      </c>
      <c r="E1541" s="1377"/>
      <c r="F1541" s="1378"/>
      <c r="G1541" s="1379"/>
      <c r="H1541" s="863" t="s">
        <v>794</v>
      </c>
      <c r="I1541" s="1243" t="s">
        <v>1277</v>
      </c>
      <c r="J1541" s="1243"/>
      <c r="K1541" s="1244"/>
      <c r="L1541" s="891"/>
      <c r="M1541" s="335" t="s">
        <v>1276</v>
      </c>
      <c r="N1541" s="219"/>
      <c r="O1541" s="221" t="s">
        <v>810</v>
      </c>
      <c r="P1541" s="222">
        <v>0.1</v>
      </c>
      <c r="Q1541" s="223">
        <v>3.4000000000000002E-2</v>
      </c>
      <c r="R1541" s="224">
        <v>1.5000000000014779E-2</v>
      </c>
      <c r="S1541" s="225"/>
      <c r="T1541" s="221">
        <v>6.6000000000014783E-2</v>
      </c>
      <c r="U1541" s="223">
        <v>-16.5</v>
      </c>
      <c r="V1541" s="222">
        <v>60.5</v>
      </c>
      <c r="W1541" s="226">
        <v>2</v>
      </c>
      <c r="X1541" s="227">
        <v>33</v>
      </c>
      <c r="Y1541" s="225"/>
      <c r="Z1541" s="225"/>
    </row>
    <row r="1542" spans="3:26" ht="19">
      <c r="C1542" s="219"/>
      <c r="D1542" s="519" t="s">
        <v>433</v>
      </c>
      <c r="E1542" s="1380"/>
      <c r="F1542" s="1381"/>
      <c r="G1542" s="1382"/>
      <c r="H1542" s="863" t="s">
        <v>795</v>
      </c>
      <c r="I1542" s="1246"/>
      <c r="J1542" s="1246"/>
      <c r="K1542" s="1247"/>
      <c r="L1542" s="891"/>
      <c r="M1542" s="336"/>
      <c r="N1542" s="219"/>
      <c r="O1542" s="219"/>
      <c r="P1542" s="219"/>
      <c r="Q1542" s="219"/>
      <c r="R1542" s="228"/>
      <c r="S1542" s="229"/>
      <c r="T1542" s="219"/>
      <c r="U1542" s="219"/>
      <c r="V1542" s="219"/>
      <c r="W1542" s="219"/>
      <c r="X1542" s="229"/>
      <c r="Y1542" s="229"/>
      <c r="Z1542" s="229"/>
    </row>
    <row r="1543" spans="3:26" ht="19">
      <c r="C1543" s="219"/>
      <c r="D1543" s="519" t="s">
        <v>434</v>
      </c>
      <c r="E1543" s="1383">
        <v>-5.5</v>
      </c>
      <c r="F1543" s="1384"/>
      <c r="G1543" s="1385"/>
      <c r="H1543" s="863"/>
      <c r="I1543" s="1246"/>
      <c r="J1543" s="1246"/>
      <c r="K1543" s="1247"/>
      <c r="L1543" s="891"/>
      <c r="M1543" s="336"/>
      <c r="N1543" s="219"/>
      <c r="O1543" s="231" t="s">
        <v>811</v>
      </c>
      <c r="P1543" s="232">
        <v>0.1</v>
      </c>
      <c r="Q1543" s="233">
        <v>5.6660000000000002E-2</v>
      </c>
      <c r="R1543" s="234">
        <v>1.9E-2</v>
      </c>
      <c r="S1543" s="235">
        <v>1</v>
      </c>
      <c r="T1543" s="231">
        <v>0.10399000000000001</v>
      </c>
      <c r="U1543" s="236">
        <v>-25.997499999994179</v>
      </c>
      <c r="V1543" s="237">
        <v>60.5</v>
      </c>
      <c r="W1543" s="238">
        <v>5.7</v>
      </c>
      <c r="X1543" s="239">
        <v>148.18574999996682</v>
      </c>
      <c r="Y1543" s="240"/>
      <c r="Z1543" s="240"/>
    </row>
    <row r="1544" spans="3:26" ht="20" thickBot="1">
      <c r="C1544" s="219"/>
      <c r="D1544" s="520" t="s">
        <v>435</v>
      </c>
      <c r="E1544" s="1386">
        <v>0.5625</v>
      </c>
      <c r="F1544" s="1387"/>
      <c r="G1544" s="1388"/>
      <c r="H1544" s="865"/>
      <c r="I1544" s="1246"/>
      <c r="J1544" s="1246"/>
      <c r="K1544" s="1247"/>
      <c r="L1544" s="892">
        <v>0.79166666666666663</v>
      </c>
      <c r="M1544" s="338">
        <v>0.64583333333333326</v>
      </c>
      <c r="N1544" s="219"/>
      <c r="O1544" s="241" t="s">
        <v>812</v>
      </c>
      <c r="P1544" s="242">
        <v>0.1</v>
      </c>
      <c r="Q1544" s="243">
        <v>6.253333333333333E-2</v>
      </c>
      <c r="R1544" s="244">
        <v>1.9E-2</v>
      </c>
      <c r="S1544" s="245">
        <v>1</v>
      </c>
      <c r="T1544" s="246">
        <v>0.1128</v>
      </c>
      <c r="U1544" s="247">
        <v>-28.199999999993683</v>
      </c>
      <c r="V1544" s="248">
        <v>60.5</v>
      </c>
      <c r="W1544" s="277">
        <v>3.6</v>
      </c>
      <c r="X1544" s="250">
        <v>101.51999999997726</v>
      </c>
      <c r="Y1544" s="251"/>
      <c r="Z1544" s="251"/>
    </row>
    <row r="1545" spans="3:26" ht="20" thickBot="1">
      <c r="C1545" s="219"/>
      <c r="D1545" s="521" t="s">
        <v>436</v>
      </c>
      <c r="E1545" s="320" t="s">
        <v>29</v>
      </c>
      <c r="F1545" s="320" t="s">
        <v>28</v>
      </c>
      <c r="G1545" s="321" t="s">
        <v>27</v>
      </c>
      <c r="H1545" s="867" t="s">
        <v>793</v>
      </c>
      <c r="I1545" s="1246"/>
      <c r="J1545" s="1246"/>
      <c r="K1545" s="1247"/>
      <c r="L1545" s="893" t="s">
        <v>1246</v>
      </c>
      <c r="M1545" s="352"/>
      <c r="N1545" s="219"/>
      <c r="O1545" s="229"/>
      <c r="P1545" s="230"/>
      <c r="Q1545" s="229"/>
      <c r="R1545" s="229"/>
      <c r="S1545" s="229"/>
      <c r="T1545" s="229"/>
      <c r="U1545" s="254"/>
      <c r="V1545" s="255"/>
      <c r="W1545" s="229"/>
      <c r="X1545" s="254"/>
      <c r="Y1545" s="230"/>
      <c r="Z1545" s="230"/>
    </row>
    <row r="1546" spans="3:26" ht="19">
      <c r="C1546" s="219"/>
      <c r="D1546" s="522">
        <v>45617</v>
      </c>
      <c r="E1546" s="353">
        <v>-5.5</v>
      </c>
      <c r="F1546" s="353" t="s">
        <v>1292</v>
      </c>
      <c r="G1546" s="353">
        <v>10.3</v>
      </c>
      <c r="H1546" s="869">
        <v>0.5625</v>
      </c>
      <c r="I1546" s="1246"/>
      <c r="J1546" s="1246"/>
      <c r="K1546" s="1247"/>
      <c r="L1546" s="894"/>
      <c r="M1546" s="342"/>
      <c r="N1546" s="219"/>
      <c r="O1546" s="229"/>
      <c r="P1546" s="230"/>
      <c r="Q1546" s="229"/>
      <c r="R1546" s="229"/>
      <c r="S1546" s="229"/>
      <c r="T1546" s="229"/>
      <c r="U1546" s="229"/>
      <c r="V1546" s="229"/>
      <c r="W1546" s="229"/>
      <c r="X1546" s="229"/>
      <c r="Y1546" s="230"/>
      <c r="Z1546" s="230"/>
    </row>
    <row r="1547" spans="3:26" ht="19">
      <c r="C1547" s="219"/>
      <c r="D1547" s="522">
        <v>45582</v>
      </c>
      <c r="E1547" s="353">
        <v>10.3</v>
      </c>
      <c r="F1547" s="353" t="s">
        <v>1033</v>
      </c>
      <c r="G1547" s="353">
        <v>1.7</v>
      </c>
      <c r="H1547" s="869">
        <v>0.52083333333333337</v>
      </c>
      <c r="I1547" s="1246"/>
      <c r="J1547" s="1246"/>
      <c r="K1547" s="1247"/>
      <c r="L1547" s="894"/>
      <c r="M1547" s="343"/>
      <c r="N1547" s="219"/>
      <c r="O1547" s="221" t="s">
        <v>813</v>
      </c>
      <c r="P1547" s="222">
        <v>-0.1</v>
      </c>
      <c r="Q1547" s="257">
        <v>5.1064444444444447E-2</v>
      </c>
      <c r="R1547" s="258">
        <v>1.9E-2</v>
      </c>
      <c r="S1547" s="225">
        <v>-1</v>
      </c>
      <c r="T1547" s="231">
        <v>9.5596666666666677E-2</v>
      </c>
      <c r="U1547" s="259">
        <v>-23.899166666661316</v>
      </c>
      <c r="V1547" s="260">
        <v>60.5</v>
      </c>
      <c r="W1547" s="225">
        <v>2</v>
      </c>
      <c r="X1547" s="227">
        <v>47.798333333322631</v>
      </c>
      <c r="Y1547" s="261" t="s">
        <v>814</v>
      </c>
      <c r="Z1547" s="261"/>
    </row>
    <row r="1548" spans="3:26" ht="19">
      <c r="C1548" s="219"/>
      <c r="D1548" s="522">
        <v>45554</v>
      </c>
      <c r="E1548" s="353">
        <v>1.7</v>
      </c>
      <c r="F1548" s="353" t="s">
        <v>1034</v>
      </c>
      <c r="G1548" s="353">
        <v>-7</v>
      </c>
      <c r="H1548" s="869">
        <v>0.52083333333333337</v>
      </c>
      <c r="I1548" s="1246"/>
      <c r="J1548" s="1246"/>
      <c r="K1548" s="1247"/>
      <c r="L1548" s="894"/>
      <c r="M1548" s="336"/>
      <c r="N1548" s="219"/>
      <c r="O1548" s="221" t="s">
        <v>813</v>
      </c>
      <c r="P1548" s="354">
        <v>0.1</v>
      </c>
      <c r="Q1548" s="355">
        <v>5.1064444444444447E-2</v>
      </c>
      <c r="R1548" s="258">
        <v>0</v>
      </c>
      <c r="S1548" s="356">
        <v>1</v>
      </c>
      <c r="T1548" s="231">
        <v>9.5596666666666677E-2</v>
      </c>
      <c r="U1548" s="259">
        <v>-23.899166666661316</v>
      </c>
      <c r="V1548" s="260">
        <v>60.5</v>
      </c>
      <c r="W1548" s="357">
        <v>2</v>
      </c>
      <c r="X1548" s="227">
        <v>47.798333333322631</v>
      </c>
      <c r="Y1548" s="225" t="s">
        <v>814</v>
      </c>
      <c r="Z1548" s="225"/>
    </row>
    <row r="1549" spans="3:26" ht="19">
      <c r="C1549" s="219"/>
      <c r="D1549" s="522">
        <v>45519</v>
      </c>
      <c r="E1549" s="353">
        <v>-7</v>
      </c>
      <c r="F1549" s="353" t="s">
        <v>1035</v>
      </c>
      <c r="G1549" s="353">
        <v>13.9</v>
      </c>
      <c r="H1549" s="869">
        <v>0.52083333333333337</v>
      </c>
      <c r="I1549" s="1246"/>
      <c r="J1549" s="1246"/>
      <c r="K1549" s="1247"/>
      <c r="L1549" s="894"/>
      <c r="M1549" s="336"/>
      <c r="N1549" s="219"/>
      <c r="O1549" s="221"/>
      <c r="P1549" s="221"/>
      <c r="Q1549" s="355"/>
      <c r="R1549" s="258"/>
      <c r="S1549" s="225"/>
      <c r="T1549" s="221"/>
      <c r="U1549" s="259"/>
      <c r="V1549" s="260"/>
      <c r="W1549" s="225"/>
      <c r="X1549" s="227"/>
      <c r="Y1549" s="225"/>
      <c r="Z1549" s="225"/>
    </row>
    <row r="1550" spans="3:26" ht="19">
      <c r="C1550" s="219"/>
      <c r="D1550" s="522">
        <v>45491</v>
      </c>
      <c r="E1550" s="353">
        <v>13.9</v>
      </c>
      <c r="F1550" s="353" t="s">
        <v>1036</v>
      </c>
      <c r="G1550" s="353">
        <v>1.3</v>
      </c>
      <c r="H1550" s="869">
        <v>0.52083333333333337</v>
      </c>
      <c r="I1550" s="1246"/>
      <c r="J1550" s="1246"/>
      <c r="K1550" s="1247"/>
      <c r="L1550" s="894"/>
      <c r="M1550" s="336"/>
      <c r="N1550" s="219"/>
      <c r="O1550" s="263"/>
      <c r="P1550" s="263"/>
      <c r="Q1550" s="263"/>
      <c r="R1550" s="263"/>
      <c r="S1550" s="263"/>
      <c r="T1550" s="263"/>
      <c r="U1550" s="263"/>
      <c r="V1550" s="263"/>
      <c r="W1550" s="263"/>
      <c r="X1550" s="263"/>
      <c r="Y1550" s="263"/>
      <c r="Z1550" s="263"/>
    </row>
    <row r="1551" spans="3:26" ht="20" thickBot="1">
      <c r="C1551" s="219"/>
      <c r="D1551" s="523">
        <v>45463</v>
      </c>
      <c r="E1551" s="358">
        <v>1.3</v>
      </c>
      <c r="F1551" s="358" t="s">
        <v>1037</v>
      </c>
      <c r="G1551" s="358">
        <v>4.5</v>
      </c>
      <c r="H1551" s="869">
        <v>0.52083333333333337</v>
      </c>
      <c r="I1551" s="1249"/>
      <c r="J1551" s="1249"/>
      <c r="K1551" s="1250"/>
      <c r="L1551" s="895"/>
      <c r="M1551" s="344"/>
      <c r="N1551" s="219"/>
      <c r="O1551" s="263"/>
      <c r="P1551" s="263"/>
      <c r="Q1551" s="263"/>
      <c r="R1551" s="263"/>
      <c r="S1551" s="263"/>
      <c r="T1551" s="263"/>
      <c r="U1551" s="263"/>
      <c r="V1551" s="263"/>
      <c r="W1551" s="263"/>
      <c r="X1551" s="263"/>
      <c r="Y1551" s="263"/>
      <c r="Z1551" s="263"/>
    </row>
    <row r="1552" spans="3:26" ht="20" thickBot="1">
      <c r="C1552" s="218">
        <v>12</v>
      </c>
      <c r="D1552" s="509" t="s">
        <v>30</v>
      </c>
      <c r="E1552" s="1374" t="s">
        <v>1278</v>
      </c>
      <c r="F1552" s="1375"/>
      <c r="G1552" s="1376"/>
      <c r="H1552" s="861" t="s">
        <v>790</v>
      </c>
      <c r="I1552" s="1256" t="s">
        <v>633</v>
      </c>
      <c r="J1552" s="1256"/>
      <c r="K1552" s="1257"/>
      <c r="L1552" s="890" t="s">
        <v>430</v>
      </c>
      <c r="M1552" s="347" t="s">
        <v>431</v>
      </c>
      <c r="N1552" s="219" t="s">
        <v>105</v>
      </c>
      <c r="O1552" s="220" t="s">
        <v>800</v>
      </c>
      <c r="P1552" s="220" t="s">
        <v>801</v>
      </c>
      <c r="Q1552" s="220" t="s">
        <v>802</v>
      </c>
      <c r="R1552" s="220" t="s">
        <v>803</v>
      </c>
      <c r="S1552" s="220" t="s">
        <v>804</v>
      </c>
      <c r="T1552" s="220" t="s">
        <v>805</v>
      </c>
      <c r="U1552" s="220" t="s">
        <v>806</v>
      </c>
      <c r="V1552" s="220" t="s">
        <v>807</v>
      </c>
      <c r="W1552" s="220" t="s">
        <v>808</v>
      </c>
      <c r="X1552" s="220" t="s">
        <v>809</v>
      </c>
      <c r="Y1552" s="220" t="s">
        <v>75</v>
      </c>
      <c r="Z1552" s="220" t="s">
        <v>75</v>
      </c>
    </row>
    <row r="1553" spans="3:26" ht="19">
      <c r="C1553" s="219"/>
      <c r="D1553" s="518" t="s">
        <v>432</v>
      </c>
      <c r="E1553" s="1377"/>
      <c r="F1553" s="1378"/>
      <c r="G1553" s="1379"/>
      <c r="H1553" s="863" t="s">
        <v>794</v>
      </c>
      <c r="I1553" s="1243" t="s">
        <v>1279</v>
      </c>
      <c r="J1553" s="1243"/>
      <c r="K1553" s="1244"/>
      <c r="L1553" s="891"/>
      <c r="M1553" s="335" t="s">
        <v>1278</v>
      </c>
      <c r="N1553" s="219"/>
      <c r="O1553" s="221" t="s">
        <v>810</v>
      </c>
      <c r="P1553" s="222">
        <v>0.1</v>
      </c>
      <c r="Q1553" s="223">
        <v>3.5000000000000003E-2</v>
      </c>
      <c r="R1553" s="224">
        <v>3.4999999999996589E-2</v>
      </c>
      <c r="S1553" s="225">
        <v>1</v>
      </c>
      <c r="T1553" s="221">
        <v>5.7000000000000682E-2</v>
      </c>
      <c r="U1553" s="223">
        <v>-21.24</v>
      </c>
      <c r="V1553" s="222">
        <v>60.5</v>
      </c>
      <c r="W1553" s="226">
        <v>2</v>
      </c>
      <c r="X1553" s="227"/>
      <c r="Y1553" s="225"/>
      <c r="Z1553" s="225"/>
    </row>
    <row r="1554" spans="3:26" ht="19">
      <c r="C1554" s="219"/>
      <c r="D1554" s="519" t="s">
        <v>433</v>
      </c>
      <c r="E1554" s="1380"/>
      <c r="F1554" s="1381"/>
      <c r="G1554" s="1382"/>
      <c r="H1554" s="863" t="s">
        <v>795</v>
      </c>
      <c r="I1554" s="1246"/>
      <c r="J1554" s="1246"/>
      <c r="K1554" s="1247"/>
      <c r="L1554" s="891"/>
      <c r="M1554" s="336"/>
      <c r="N1554" s="219"/>
      <c r="O1554" s="219"/>
      <c r="P1554" s="219"/>
      <c r="Q1554" s="219"/>
      <c r="R1554" s="228"/>
      <c r="S1554" s="229"/>
      <c r="T1554" s="219"/>
      <c r="U1554" s="219"/>
      <c r="V1554" s="219"/>
      <c r="W1554" s="219"/>
      <c r="X1554" s="229"/>
      <c r="Y1554" s="229"/>
      <c r="Z1554" s="229"/>
    </row>
    <row r="1555" spans="3:26" ht="19">
      <c r="C1555" s="219"/>
      <c r="D1555" s="519" t="s">
        <v>434</v>
      </c>
      <c r="E1555" s="1389" t="s">
        <v>351</v>
      </c>
      <c r="F1555" s="1384"/>
      <c r="G1555" s="1385"/>
      <c r="H1555" s="863"/>
      <c r="I1555" s="1246"/>
      <c r="J1555" s="1246"/>
      <c r="K1555" s="1247"/>
      <c r="L1555" s="891"/>
      <c r="M1555" s="336"/>
      <c r="N1555" s="219"/>
      <c r="O1555" s="231" t="s">
        <v>811</v>
      </c>
      <c r="P1555" s="232">
        <v>0.1</v>
      </c>
      <c r="Q1555" s="233">
        <v>6.4500000000000002E-2</v>
      </c>
      <c r="R1555" s="233">
        <v>0.03</v>
      </c>
      <c r="S1555" s="235">
        <v>1</v>
      </c>
      <c r="T1555" s="231">
        <v>0.12675</v>
      </c>
      <c r="U1555" s="236">
        <v>-47.231052631578379</v>
      </c>
      <c r="V1555" s="237">
        <v>60.5</v>
      </c>
      <c r="W1555" s="238">
        <v>3.53</v>
      </c>
      <c r="X1555" s="239">
        <v>166.72561578947168</v>
      </c>
      <c r="Y1555" s="240"/>
      <c r="Z1555" s="235"/>
    </row>
    <row r="1556" spans="3:26" ht="20" thickBot="1">
      <c r="C1556" s="219"/>
      <c r="D1556" s="520" t="s">
        <v>435</v>
      </c>
      <c r="E1556" s="1386">
        <v>0.625</v>
      </c>
      <c r="F1556" s="1387"/>
      <c r="G1556" s="1388"/>
      <c r="H1556" s="865">
        <v>0.41666666666666663</v>
      </c>
      <c r="I1556" s="1246"/>
      <c r="J1556" s="1246"/>
      <c r="K1556" s="1247"/>
      <c r="L1556" s="892">
        <v>0.85416666666666663</v>
      </c>
      <c r="M1556" s="338">
        <v>0.70833333333333326</v>
      </c>
      <c r="N1556" s="219"/>
      <c r="O1556" s="241" t="s">
        <v>812</v>
      </c>
      <c r="P1556" s="242">
        <v>0.1</v>
      </c>
      <c r="Q1556" s="243">
        <v>6.2333333333333331E-2</v>
      </c>
      <c r="R1556" s="244">
        <v>0.03</v>
      </c>
      <c r="S1556" s="245">
        <v>1</v>
      </c>
      <c r="T1556" s="246">
        <v>0.1235</v>
      </c>
      <c r="U1556" s="247">
        <v>-46.019999999999449</v>
      </c>
      <c r="V1556" s="248">
        <v>60.5</v>
      </c>
      <c r="W1556" s="277">
        <v>1.77</v>
      </c>
      <c r="X1556" s="250">
        <v>81.455399999999031</v>
      </c>
      <c r="Y1556" s="251"/>
      <c r="Z1556" s="245"/>
    </row>
    <row r="1557" spans="3:26" ht="20" thickBot="1">
      <c r="C1557" s="219"/>
      <c r="D1557" s="521" t="s">
        <v>436</v>
      </c>
      <c r="E1557" s="320" t="s">
        <v>29</v>
      </c>
      <c r="F1557" s="320" t="s">
        <v>28</v>
      </c>
      <c r="G1557" s="321" t="s">
        <v>27</v>
      </c>
      <c r="H1557" s="867" t="s">
        <v>793</v>
      </c>
      <c r="I1557" s="1246"/>
      <c r="J1557" s="1246"/>
      <c r="K1557" s="1247"/>
      <c r="L1557" s="893" t="s">
        <v>1246</v>
      </c>
      <c r="M1557" s="352"/>
      <c r="N1557" s="219"/>
      <c r="O1557" s="229"/>
      <c r="P1557" s="230"/>
      <c r="Q1557" s="229"/>
      <c r="R1557" s="229"/>
      <c r="S1557" s="229"/>
      <c r="T1557" s="229"/>
      <c r="U1557" s="254"/>
      <c r="V1557" s="255"/>
      <c r="W1557" s="229"/>
      <c r="X1557" s="254"/>
      <c r="Y1557" s="230"/>
      <c r="Z1557" s="229"/>
    </row>
    <row r="1558" spans="3:26" ht="19">
      <c r="C1558" s="219"/>
      <c r="D1558" s="522">
        <v>45617</v>
      </c>
      <c r="E1558" s="359" t="s">
        <v>1043</v>
      </c>
      <c r="F1558" s="359" t="s">
        <v>1044</v>
      </c>
      <c r="G1558" s="359" t="s">
        <v>1293</v>
      </c>
      <c r="H1558" s="869">
        <v>0.625</v>
      </c>
      <c r="I1558" s="1246"/>
      <c r="J1558" s="1246"/>
      <c r="K1558" s="1247"/>
      <c r="L1558" s="894"/>
      <c r="M1558" s="342"/>
      <c r="N1558" s="219"/>
      <c r="O1558" s="229"/>
      <c r="P1558" s="230"/>
      <c r="Q1558" s="229"/>
      <c r="R1558" s="229"/>
      <c r="S1558" s="229"/>
      <c r="T1558" s="229"/>
      <c r="U1558" s="229"/>
      <c r="V1558" s="229"/>
      <c r="W1558" s="229"/>
      <c r="X1558" s="229"/>
      <c r="Y1558" s="230"/>
      <c r="Z1558" s="229"/>
    </row>
    <row r="1559" spans="3:26" ht="19">
      <c r="C1559" s="219"/>
      <c r="D1559" s="522">
        <v>45588</v>
      </c>
      <c r="E1559" s="359" t="s">
        <v>1039</v>
      </c>
      <c r="F1559" s="359" t="s">
        <v>1040</v>
      </c>
      <c r="G1559" s="359" t="s">
        <v>1040</v>
      </c>
      <c r="H1559" s="869">
        <v>0.58333333333333337</v>
      </c>
      <c r="I1559" s="1246"/>
      <c r="J1559" s="1246"/>
      <c r="K1559" s="1247"/>
      <c r="L1559" s="894"/>
      <c r="M1559" s="343"/>
      <c r="N1559" s="219"/>
      <c r="O1559" s="221" t="s">
        <v>813</v>
      </c>
      <c r="P1559" s="222">
        <v>-0.05</v>
      </c>
      <c r="Q1559" s="257">
        <v>5.3944444444444441E-2</v>
      </c>
      <c r="R1559" s="258">
        <v>0.03</v>
      </c>
      <c r="S1559" s="225">
        <v>-1</v>
      </c>
      <c r="T1559" s="231">
        <v>0.11091666666666666</v>
      </c>
      <c r="U1559" s="259">
        <v>-20.665526315789226</v>
      </c>
      <c r="V1559" s="260">
        <v>30.25</v>
      </c>
      <c r="W1559" s="225">
        <v>2</v>
      </c>
      <c r="X1559" s="227">
        <v>41.331052631578451</v>
      </c>
      <c r="Y1559" s="261" t="s">
        <v>814</v>
      </c>
      <c r="Z1559" s="225"/>
    </row>
    <row r="1560" spans="3:26" ht="19">
      <c r="C1560" s="219"/>
      <c r="D1560" s="522">
        <v>45554</v>
      </c>
      <c r="E1560" s="359" t="s">
        <v>1041</v>
      </c>
      <c r="F1560" s="359" t="s">
        <v>1042</v>
      </c>
      <c r="G1560" s="359" t="s">
        <v>1043</v>
      </c>
      <c r="H1560" s="869">
        <v>0.58333333333333337</v>
      </c>
      <c r="I1560" s="1246"/>
      <c r="J1560" s="1246"/>
      <c r="K1560" s="1247"/>
      <c r="L1560" s="894"/>
      <c r="M1560" s="336"/>
      <c r="N1560" s="219"/>
      <c r="O1560" s="221" t="s">
        <v>813</v>
      </c>
      <c r="P1560" s="354">
        <v>0.05</v>
      </c>
      <c r="Q1560" s="355">
        <v>5.3944444444444441E-2</v>
      </c>
      <c r="R1560" s="258">
        <v>0</v>
      </c>
      <c r="S1560" s="356">
        <v>1</v>
      </c>
      <c r="T1560" s="231">
        <v>0.11091666666666666</v>
      </c>
      <c r="U1560" s="259">
        <v>-20.665526315789226</v>
      </c>
      <c r="V1560" s="260">
        <v>30.25</v>
      </c>
      <c r="W1560" s="357">
        <v>2</v>
      </c>
      <c r="X1560" s="227">
        <v>41.331052631578451</v>
      </c>
      <c r="Y1560" s="225" t="s">
        <v>814</v>
      </c>
      <c r="Z1560" s="225"/>
    </row>
    <row r="1561" spans="3:26" ht="19">
      <c r="C1561" s="219"/>
      <c r="D1561" s="522">
        <v>45526</v>
      </c>
      <c r="E1561" s="359" t="s">
        <v>1044</v>
      </c>
      <c r="F1561" s="359" t="s">
        <v>1045</v>
      </c>
      <c r="G1561" s="359" t="s">
        <v>1046</v>
      </c>
      <c r="H1561" s="869">
        <v>0.58333333333333337</v>
      </c>
      <c r="I1561" s="1246"/>
      <c r="J1561" s="1246"/>
      <c r="K1561" s="1247"/>
      <c r="L1561" s="894"/>
      <c r="M1561" s="336"/>
      <c r="N1561" s="219"/>
      <c r="O1561" s="221"/>
      <c r="P1561" s="221"/>
      <c r="Q1561" s="355"/>
      <c r="R1561" s="258"/>
      <c r="S1561" s="225"/>
      <c r="T1561" s="221"/>
      <c r="U1561" s="259"/>
      <c r="V1561" s="260"/>
      <c r="W1561" s="225"/>
      <c r="X1561" s="227"/>
      <c r="Y1561" s="225"/>
      <c r="Z1561" s="225"/>
    </row>
    <row r="1562" spans="3:26" ht="19">
      <c r="C1562" s="219"/>
      <c r="D1562" s="522">
        <v>45496</v>
      </c>
      <c r="E1562" s="359" t="s">
        <v>1047</v>
      </c>
      <c r="F1562" s="359" t="s">
        <v>1048</v>
      </c>
      <c r="G1562" s="359" t="s">
        <v>1049</v>
      </c>
      <c r="H1562" s="869">
        <v>0.58333333333333337</v>
      </c>
      <c r="I1562" s="1246"/>
      <c r="J1562" s="1246"/>
      <c r="K1562" s="1247"/>
      <c r="L1562" s="894"/>
      <c r="M1562" s="336"/>
      <c r="N1562" s="219"/>
      <c r="O1562" s="263"/>
      <c r="P1562" s="263"/>
      <c r="Q1562" s="263"/>
      <c r="R1562" s="263"/>
      <c r="S1562" s="263"/>
      <c r="T1562" s="263"/>
      <c r="U1562" s="263"/>
      <c r="V1562" s="263"/>
      <c r="W1562" s="263"/>
      <c r="X1562" s="263"/>
      <c r="Y1562" s="263"/>
      <c r="Z1562" s="263"/>
    </row>
    <row r="1563" spans="3:26" ht="20" thickBot="1">
      <c r="C1563" s="219"/>
      <c r="D1563" s="523">
        <v>45464</v>
      </c>
      <c r="E1563" s="360" t="s">
        <v>1049</v>
      </c>
      <c r="F1563" s="360" t="s">
        <v>1050</v>
      </c>
      <c r="G1563" s="360" t="s">
        <v>1051</v>
      </c>
      <c r="H1563" s="869">
        <v>0.58333333333333337</v>
      </c>
      <c r="I1563" s="1249"/>
      <c r="J1563" s="1249"/>
      <c r="K1563" s="1250"/>
      <c r="L1563" s="894"/>
      <c r="M1563" s="344"/>
      <c r="N1563" s="219"/>
      <c r="O1563" s="263"/>
      <c r="P1563" s="263"/>
      <c r="Q1563" s="263"/>
      <c r="R1563" s="263"/>
      <c r="S1563" s="263"/>
      <c r="T1563" s="263"/>
      <c r="U1563" s="263"/>
      <c r="V1563" s="263"/>
      <c r="W1563" s="263"/>
      <c r="X1563" s="263"/>
      <c r="Y1563" s="263"/>
      <c r="Z1563" s="263"/>
    </row>
    <row r="1564" spans="3:26" ht="20" thickBot="1">
      <c r="C1564" s="218">
        <v>12</v>
      </c>
      <c r="D1564" s="498" t="s">
        <v>30</v>
      </c>
      <c r="E1564" s="1147" t="s">
        <v>1280</v>
      </c>
      <c r="F1564" s="1148"/>
      <c r="G1564" s="1149"/>
      <c r="H1564" s="861" t="s">
        <v>790</v>
      </c>
      <c r="I1564" s="1256" t="s">
        <v>633</v>
      </c>
      <c r="J1564" s="1256"/>
      <c r="K1564" s="1257"/>
      <c r="L1564" s="890" t="s">
        <v>430</v>
      </c>
      <c r="M1564" s="333" t="s">
        <v>431</v>
      </c>
      <c r="N1564" s="219" t="s">
        <v>105</v>
      </c>
      <c r="O1564" s="220" t="s">
        <v>800</v>
      </c>
      <c r="P1564" s="220" t="s">
        <v>801</v>
      </c>
      <c r="Q1564" s="220" t="s">
        <v>802</v>
      </c>
      <c r="R1564" s="220" t="s">
        <v>803</v>
      </c>
      <c r="S1564" s="220" t="s">
        <v>804</v>
      </c>
      <c r="T1564" s="220" t="s">
        <v>805</v>
      </c>
      <c r="U1564" s="220" t="s">
        <v>806</v>
      </c>
      <c r="V1564" s="220" t="s">
        <v>807</v>
      </c>
      <c r="W1564" s="220" t="s">
        <v>808</v>
      </c>
      <c r="X1564" s="220" t="s">
        <v>809</v>
      </c>
      <c r="Y1564" s="220" t="s">
        <v>75</v>
      </c>
      <c r="Z1564" s="220" t="s">
        <v>75</v>
      </c>
    </row>
    <row r="1565" spans="3:26" ht="19">
      <c r="C1565" s="219"/>
      <c r="D1565" s="504" t="s">
        <v>432</v>
      </c>
      <c r="E1565" s="1150"/>
      <c r="F1565" s="1151"/>
      <c r="G1565" s="1152"/>
      <c r="H1565" s="863" t="s">
        <v>794</v>
      </c>
      <c r="I1565" s="1243" t="s">
        <v>1281</v>
      </c>
      <c r="J1565" s="1243"/>
      <c r="K1565" s="1244"/>
      <c r="L1565" s="891"/>
      <c r="M1565" s="335" t="s">
        <v>1280</v>
      </c>
      <c r="N1565" s="219"/>
      <c r="O1565" s="221" t="s">
        <v>810</v>
      </c>
      <c r="P1565" s="222">
        <v>0.1</v>
      </c>
      <c r="Q1565" s="223">
        <v>2.7E-2</v>
      </c>
      <c r="R1565" s="224">
        <v>1.5999999999991132E-2</v>
      </c>
      <c r="S1565" s="225"/>
      <c r="T1565" s="221">
        <v>5.6499999999991134E-2</v>
      </c>
      <c r="U1565" s="223">
        <v>-13.31</v>
      </c>
      <c r="V1565" s="222">
        <v>91.8</v>
      </c>
      <c r="W1565" s="226">
        <v>2</v>
      </c>
      <c r="X1565" s="227">
        <v>26.62</v>
      </c>
      <c r="Y1565" s="225"/>
      <c r="Z1565" s="225"/>
    </row>
    <row r="1566" spans="3:26" ht="19">
      <c r="C1566" s="219"/>
      <c r="D1566" s="505" t="s">
        <v>433</v>
      </c>
      <c r="E1566" s="1163"/>
      <c r="F1566" s="1164"/>
      <c r="G1566" s="1165"/>
      <c r="H1566" s="863" t="s">
        <v>795</v>
      </c>
      <c r="I1566" s="1246"/>
      <c r="J1566" s="1246"/>
      <c r="K1566" s="1247"/>
      <c r="L1566" s="891"/>
      <c r="M1566" s="336"/>
      <c r="N1566" s="219"/>
      <c r="O1566" s="219"/>
      <c r="P1566" s="219"/>
      <c r="Q1566" s="219"/>
      <c r="R1566" s="228"/>
      <c r="S1566" s="229"/>
      <c r="T1566" s="219"/>
      <c r="U1566" s="219"/>
      <c r="V1566" s="219"/>
      <c r="W1566" s="229"/>
      <c r="X1566" s="229"/>
      <c r="Y1566" s="230"/>
      <c r="Z1566" s="230"/>
    </row>
    <row r="1567" spans="3:26" ht="19">
      <c r="C1567" s="219"/>
      <c r="D1567" s="505" t="s">
        <v>434</v>
      </c>
      <c r="E1567" s="1178"/>
      <c r="F1567" s="1179"/>
      <c r="G1567" s="1180"/>
      <c r="H1567" s="863"/>
      <c r="I1567" s="1246"/>
      <c r="J1567" s="1246"/>
      <c r="K1567" s="1247"/>
      <c r="L1567" s="891"/>
      <c r="M1567" s="336"/>
      <c r="N1567" s="219"/>
      <c r="O1567" s="231" t="s">
        <v>811</v>
      </c>
      <c r="P1567" s="232">
        <v>0.1</v>
      </c>
      <c r="Q1567" s="233">
        <v>4.0500000000000001E-2</v>
      </c>
      <c r="R1567" s="234">
        <v>1.7000000000000001E-2</v>
      </c>
      <c r="S1567" s="235">
        <v>1</v>
      </c>
      <c r="T1567" s="231">
        <v>7.775E-2</v>
      </c>
      <c r="U1567" s="236">
        <v>-18.315973451330308</v>
      </c>
      <c r="V1567" s="237">
        <v>60.5</v>
      </c>
      <c r="W1567" s="238">
        <v>3.27</v>
      </c>
      <c r="X1567" s="239">
        <v>59.893233185850107</v>
      </c>
      <c r="Y1567" s="240"/>
      <c r="Z1567" s="240">
        <v>4.4350000000000005</v>
      </c>
    </row>
    <row r="1568" spans="3:26" ht="20" thickBot="1">
      <c r="C1568" s="219"/>
      <c r="D1568" s="506" t="s">
        <v>435</v>
      </c>
      <c r="E1568" s="1160">
        <v>0.5625</v>
      </c>
      <c r="F1568" s="1161"/>
      <c r="G1568" s="1162"/>
      <c r="H1568" s="865"/>
      <c r="I1568" s="1246"/>
      <c r="J1568" s="1246"/>
      <c r="K1568" s="1247"/>
      <c r="L1568" s="892">
        <v>0.79166666666666663</v>
      </c>
      <c r="M1568" s="338">
        <v>0.64583333333333326</v>
      </c>
      <c r="N1568" s="219"/>
      <c r="O1568" s="241" t="s">
        <v>812</v>
      </c>
      <c r="P1568" s="242">
        <v>0.1</v>
      </c>
      <c r="Q1568" s="243">
        <v>2.5266666666666663E-2</v>
      </c>
      <c r="R1568" s="244">
        <v>1.7000000000000001E-2</v>
      </c>
      <c r="S1568" s="245">
        <v>1</v>
      </c>
      <c r="T1568" s="246">
        <v>5.4899999999999997E-2</v>
      </c>
      <c r="U1568" s="247">
        <v>-12.933079646019728</v>
      </c>
      <c r="V1568" s="248">
        <v>60.5</v>
      </c>
      <c r="W1568" s="277">
        <v>2.2200000000000002</v>
      </c>
      <c r="X1568" s="250">
        <v>28.711436814163797</v>
      </c>
      <c r="Y1568" s="251"/>
      <c r="Z1568" s="251"/>
    </row>
    <row r="1569" spans="3:26" ht="20" thickBot="1">
      <c r="C1569" s="219"/>
      <c r="D1569" s="507" t="s">
        <v>436</v>
      </c>
      <c r="E1569" s="264" t="s">
        <v>29</v>
      </c>
      <c r="F1569" s="264" t="s">
        <v>28</v>
      </c>
      <c r="G1569" s="265" t="s">
        <v>27</v>
      </c>
      <c r="H1569" s="867" t="s">
        <v>793</v>
      </c>
      <c r="I1569" s="1246"/>
      <c r="J1569" s="1246"/>
      <c r="K1569" s="1247"/>
      <c r="L1569" s="893" t="s">
        <v>1246</v>
      </c>
      <c r="M1569" s="340"/>
      <c r="N1569" s="219"/>
      <c r="O1569" s="229"/>
      <c r="P1569" s="230"/>
      <c r="Q1569" s="229"/>
      <c r="R1569" s="229"/>
      <c r="S1569" s="229"/>
      <c r="T1569" s="229"/>
      <c r="U1569" s="254"/>
      <c r="V1569" s="255"/>
      <c r="W1569" s="229"/>
      <c r="X1569" s="254"/>
      <c r="Y1569" s="230"/>
      <c r="Z1569" s="230"/>
    </row>
    <row r="1570" spans="3:26" ht="19">
      <c r="C1570" s="219"/>
      <c r="D1570" s="508">
        <v>45623</v>
      </c>
      <c r="E1570" s="266">
        <v>3.0000000000000001E-3</v>
      </c>
      <c r="F1570" s="266" t="s">
        <v>467</v>
      </c>
      <c r="G1570" s="266">
        <v>3.0000000000000001E-3</v>
      </c>
      <c r="H1570" s="869">
        <v>0.625</v>
      </c>
      <c r="I1570" s="1246"/>
      <c r="J1570" s="1246"/>
      <c r="K1570" s="1247"/>
      <c r="L1570" s="894"/>
      <c r="M1570" s="342"/>
      <c r="N1570" s="219"/>
      <c r="O1570" s="229"/>
      <c r="P1570" s="230"/>
      <c r="Q1570" s="229"/>
      <c r="R1570" s="229"/>
      <c r="S1570" s="229"/>
      <c r="T1570" s="229"/>
      <c r="U1570" s="229"/>
      <c r="V1570" s="229"/>
      <c r="W1570" s="229"/>
      <c r="X1570" s="229"/>
      <c r="Y1570" s="230"/>
      <c r="Z1570" s="230"/>
    </row>
    <row r="1571" spans="3:26" ht="19">
      <c r="C1571" s="219"/>
      <c r="D1571" s="508">
        <v>45596</v>
      </c>
      <c r="E1571" s="266">
        <v>3.0000000000000001E-3</v>
      </c>
      <c r="F1571" s="266" t="s">
        <v>467</v>
      </c>
      <c r="G1571" s="266">
        <v>2E-3</v>
      </c>
      <c r="H1571" s="869">
        <v>0.52083333333333337</v>
      </c>
      <c r="I1571" s="1246"/>
      <c r="J1571" s="1246"/>
      <c r="K1571" s="1247"/>
      <c r="L1571" s="894"/>
      <c r="M1571" s="343"/>
      <c r="N1571" s="219"/>
      <c r="O1571" s="221" t="s">
        <v>813</v>
      </c>
      <c r="P1571" s="222">
        <v>0.1</v>
      </c>
      <c r="Q1571" s="257">
        <v>3.2883333333333334E-2</v>
      </c>
      <c r="R1571" s="258">
        <v>1.7000000000000001E-2</v>
      </c>
      <c r="S1571" s="225">
        <v>1</v>
      </c>
      <c r="T1571" s="231">
        <v>6.6324999999999995E-2</v>
      </c>
      <c r="U1571" s="259">
        <v>-15.624526548675018</v>
      </c>
      <c r="V1571" s="260">
        <v>60.5</v>
      </c>
      <c r="W1571" s="225">
        <v>2</v>
      </c>
      <c r="X1571" s="227">
        <v>31.249053097350036</v>
      </c>
      <c r="Y1571" s="261"/>
      <c r="Z1571" s="261"/>
    </row>
    <row r="1572" spans="3:26" ht="19">
      <c r="C1572" s="219"/>
      <c r="D1572" s="508">
        <v>45562</v>
      </c>
      <c r="E1572" s="266">
        <v>1E-3</v>
      </c>
      <c r="F1572" s="266" t="s">
        <v>460</v>
      </c>
      <c r="G1572" s="266">
        <v>2E-3</v>
      </c>
      <c r="H1572" s="869">
        <v>0.52083333333333337</v>
      </c>
      <c r="I1572" s="1246"/>
      <c r="J1572" s="1246"/>
      <c r="K1572" s="1247"/>
      <c r="L1572" s="894"/>
      <c r="M1572" s="336"/>
      <c r="N1572" s="219"/>
      <c r="O1572" s="221"/>
      <c r="P1572" s="222"/>
      <c r="Q1572" s="257"/>
      <c r="R1572" s="258"/>
      <c r="S1572" s="225"/>
      <c r="T1572" s="231"/>
      <c r="U1572" s="259"/>
      <c r="V1572" s="260"/>
      <c r="W1572" s="225"/>
      <c r="X1572" s="227"/>
      <c r="Y1572" s="261"/>
      <c r="Z1572" s="261"/>
    </row>
    <row r="1573" spans="3:26" ht="19">
      <c r="C1573" s="219"/>
      <c r="D1573" s="508">
        <v>45534</v>
      </c>
      <c r="E1573" s="266">
        <v>2E-3</v>
      </c>
      <c r="F1573" s="266" t="s">
        <v>460</v>
      </c>
      <c r="G1573" s="266">
        <v>2E-3</v>
      </c>
      <c r="H1573" s="869">
        <v>0.52083333333333337</v>
      </c>
      <c r="I1573" s="1246"/>
      <c r="J1573" s="1246"/>
      <c r="K1573" s="1247"/>
      <c r="L1573" s="894"/>
      <c r="M1573" s="336"/>
      <c r="N1573" s="219"/>
      <c r="O1573" s="221"/>
      <c r="P1573" s="262"/>
      <c r="Q1573" s="257"/>
      <c r="R1573" s="258"/>
      <c r="S1573" s="225"/>
      <c r="T1573" s="262"/>
      <c r="U1573" s="259"/>
      <c r="V1573" s="260"/>
      <c r="W1573" s="225"/>
      <c r="X1573" s="227"/>
      <c r="Y1573" s="261"/>
      <c r="Z1573" s="261"/>
    </row>
    <row r="1574" spans="3:26" ht="19">
      <c r="C1574" s="219"/>
      <c r="D1574" s="508">
        <v>45499</v>
      </c>
      <c r="E1574" s="266">
        <v>2E-3</v>
      </c>
      <c r="F1574" s="266" t="s">
        <v>460</v>
      </c>
      <c r="G1574" s="266">
        <v>1E-3</v>
      </c>
      <c r="H1574" s="869">
        <v>0.52083333333333337</v>
      </c>
      <c r="I1574" s="1246"/>
      <c r="J1574" s="1246"/>
      <c r="K1574" s="1247"/>
      <c r="L1574" s="894"/>
      <c r="M1574" s="336"/>
      <c r="N1574" s="219"/>
      <c r="O1574" s="263"/>
      <c r="P1574" s="263"/>
      <c r="Q1574" s="263"/>
      <c r="R1574" s="263"/>
      <c r="S1574" s="263"/>
      <c r="T1574" s="263"/>
      <c r="U1574" s="263"/>
      <c r="V1574" s="263"/>
      <c r="W1574" s="263"/>
      <c r="X1574" s="263"/>
      <c r="Y1574" s="263"/>
      <c r="Z1574" s="263"/>
    </row>
    <row r="1575" spans="3:26" ht="20" thickBot="1">
      <c r="C1575" s="219"/>
      <c r="D1575" s="517">
        <v>45471</v>
      </c>
      <c r="E1575" s="319">
        <v>1E-3</v>
      </c>
      <c r="F1575" s="319" t="s">
        <v>462</v>
      </c>
      <c r="G1575" s="319">
        <v>3.0000000000000001E-3</v>
      </c>
      <c r="H1575" s="869">
        <v>0.52083333333333337</v>
      </c>
      <c r="I1575" s="1249"/>
      <c r="J1575" s="1249"/>
      <c r="K1575" s="1250"/>
      <c r="L1575" s="895"/>
      <c r="M1575" s="344"/>
      <c r="N1575" s="219"/>
      <c r="O1575" s="263"/>
      <c r="P1575" s="263"/>
      <c r="Q1575" s="263"/>
      <c r="R1575" s="263"/>
      <c r="S1575" s="263"/>
      <c r="T1575" s="263"/>
      <c r="U1575" s="263"/>
      <c r="V1575" s="263"/>
      <c r="W1575" s="263"/>
      <c r="X1575" s="263"/>
      <c r="Y1575" s="263"/>
      <c r="Z1575" s="263"/>
    </row>
    <row r="1576" spans="3:26" ht="20" thickBot="1">
      <c r="C1576" s="219"/>
      <c r="D1576" s="498" t="s">
        <v>30</v>
      </c>
      <c r="E1576" s="1147" t="s">
        <v>1282</v>
      </c>
      <c r="F1576" s="1148"/>
      <c r="G1576" s="1149"/>
      <c r="H1576" s="861" t="s">
        <v>790</v>
      </c>
      <c r="I1576" s="1256" t="s">
        <v>633</v>
      </c>
      <c r="J1576" s="1256"/>
      <c r="K1576" s="1257"/>
      <c r="L1576" s="890" t="s">
        <v>430</v>
      </c>
      <c r="M1576" s="333" t="s">
        <v>431</v>
      </c>
      <c r="N1576" s="219"/>
      <c r="O1576" s="263"/>
      <c r="P1576" s="263"/>
      <c r="Q1576" s="263"/>
      <c r="R1576" s="263"/>
      <c r="S1576" s="263"/>
      <c r="T1576" s="263"/>
      <c r="U1576" s="263"/>
      <c r="V1576" s="263"/>
      <c r="W1576" s="263"/>
      <c r="X1576" s="263"/>
      <c r="Y1576" s="263"/>
      <c r="Z1576" s="263"/>
    </row>
    <row r="1577" spans="3:26" ht="19">
      <c r="C1577" s="219"/>
      <c r="D1577" s="504" t="s">
        <v>432</v>
      </c>
      <c r="E1577" s="1150"/>
      <c r="F1577" s="1151"/>
      <c r="G1577" s="1152"/>
      <c r="H1577" s="863" t="s">
        <v>794</v>
      </c>
      <c r="I1577" s="1243" t="s">
        <v>1283</v>
      </c>
      <c r="J1577" s="1243"/>
      <c r="K1577" s="1244"/>
      <c r="L1577" s="891"/>
      <c r="M1577" s="335" t="s">
        <v>1282</v>
      </c>
      <c r="N1577" s="219"/>
      <c r="O1577" s="263"/>
      <c r="P1577" s="263"/>
      <c r="Q1577" s="263"/>
      <c r="R1577" s="263"/>
      <c r="S1577" s="263"/>
      <c r="T1577" s="263"/>
      <c r="U1577" s="263"/>
      <c r="V1577" s="263"/>
      <c r="W1577" s="263"/>
      <c r="X1577" s="263"/>
      <c r="Y1577" s="263"/>
      <c r="Z1577" s="263"/>
    </row>
    <row r="1578" spans="3:26" ht="19">
      <c r="C1578" s="219"/>
      <c r="D1578" s="505" t="s">
        <v>433</v>
      </c>
      <c r="E1578" s="1163"/>
      <c r="F1578" s="1164"/>
      <c r="G1578" s="1165"/>
      <c r="H1578" s="863" t="s">
        <v>795</v>
      </c>
      <c r="I1578" s="1246"/>
      <c r="J1578" s="1246"/>
      <c r="K1578" s="1247"/>
      <c r="L1578" s="891"/>
      <c r="M1578" s="336"/>
      <c r="N1578" s="219"/>
      <c r="O1578" s="263"/>
      <c r="P1578" s="263"/>
      <c r="Q1578" s="263"/>
      <c r="R1578" s="263"/>
      <c r="S1578" s="263"/>
      <c r="T1578" s="263"/>
      <c r="U1578" s="263"/>
      <c r="V1578" s="263"/>
      <c r="W1578" s="263"/>
      <c r="X1578" s="263"/>
      <c r="Y1578" s="263"/>
      <c r="Z1578" s="263"/>
    </row>
    <row r="1579" spans="3:26" ht="19">
      <c r="C1579" s="219"/>
      <c r="D1579" s="505" t="s">
        <v>434</v>
      </c>
      <c r="E1579" s="1178"/>
      <c r="F1579" s="1179"/>
      <c r="G1579" s="1180"/>
      <c r="H1579" s="863"/>
      <c r="I1579" s="1246"/>
      <c r="J1579" s="1246"/>
      <c r="K1579" s="1247"/>
      <c r="L1579" s="891"/>
      <c r="M1579" s="336"/>
      <c r="N1579" s="219"/>
      <c r="O1579" s="263"/>
      <c r="P1579" s="263"/>
      <c r="Q1579" s="263"/>
      <c r="R1579" s="263"/>
      <c r="S1579" s="263"/>
      <c r="T1579" s="263"/>
      <c r="U1579" s="263"/>
      <c r="V1579" s="263"/>
      <c r="W1579" s="263"/>
      <c r="X1579" s="263"/>
      <c r="Y1579" s="263"/>
      <c r="Z1579" s="263"/>
    </row>
    <row r="1580" spans="3:26" ht="20" thickBot="1">
      <c r="C1580" s="219"/>
      <c r="D1580" s="506" t="s">
        <v>435</v>
      </c>
      <c r="E1580" s="1160">
        <v>0.5625</v>
      </c>
      <c r="F1580" s="1161"/>
      <c r="G1580" s="1162"/>
      <c r="H1580" s="865"/>
      <c r="I1580" s="1246"/>
      <c r="J1580" s="1246"/>
      <c r="K1580" s="1247"/>
      <c r="L1580" s="892">
        <v>0.79166666666666663</v>
      </c>
      <c r="M1580" s="338">
        <v>0.64583333333333326</v>
      </c>
      <c r="N1580" s="219"/>
      <c r="O1580" s="263"/>
      <c r="P1580" s="263"/>
      <c r="Q1580" s="263"/>
      <c r="R1580" s="263"/>
      <c r="S1580" s="263"/>
      <c r="T1580" s="263"/>
      <c r="U1580" s="263"/>
      <c r="V1580" s="263"/>
      <c r="W1580" s="263"/>
      <c r="X1580" s="263"/>
      <c r="Y1580" s="263"/>
      <c r="Z1580" s="263"/>
    </row>
    <row r="1581" spans="3:26" ht="20" thickBot="1">
      <c r="C1581" s="219"/>
      <c r="D1581" s="507" t="s">
        <v>436</v>
      </c>
      <c r="E1581" s="264" t="s">
        <v>29</v>
      </c>
      <c r="F1581" s="264" t="s">
        <v>28</v>
      </c>
      <c r="G1581" s="265" t="s">
        <v>27</v>
      </c>
      <c r="H1581" s="867" t="s">
        <v>793</v>
      </c>
      <c r="I1581" s="1246"/>
      <c r="J1581" s="1246"/>
      <c r="K1581" s="1247"/>
      <c r="L1581" s="893" t="s">
        <v>1246</v>
      </c>
      <c r="M1581" s="340"/>
      <c r="N1581" s="219"/>
      <c r="O1581" s="263"/>
      <c r="P1581" s="263"/>
      <c r="Q1581" s="263"/>
      <c r="R1581" s="263"/>
      <c r="S1581" s="263"/>
      <c r="T1581" s="263"/>
      <c r="U1581" s="263"/>
      <c r="V1581" s="263"/>
      <c r="W1581" s="263"/>
      <c r="X1581" s="263"/>
      <c r="Y1581" s="263"/>
      <c r="Z1581" s="263"/>
    </row>
    <row r="1582" spans="3:26" ht="19">
      <c r="C1582" s="219"/>
      <c r="D1582" s="508">
        <v>45623</v>
      </c>
      <c r="E1582" s="266">
        <v>2.8000000000000001E-2</v>
      </c>
      <c r="F1582" s="266" t="s">
        <v>666</v>
      </c>
      <c r="G1582" s="266">
        <v>2.7E-2</v>
      </c>
      <c r="H1582" s="869">
        <v>0.625</v>
      </c>
      <c r="I1582" s="1246"/>
      <c r="J1582" s="1246"/>
      <c r="K1582" s="1247"/>
      <c r="L1582" s="894"/>
      <c r="M1582" s="342"/>
      <c r="N1582" s="219"/>
      <c r="O1582" s="263"/>
      <c r="P1582" s="263"/>
      <c r="Q1582" s="263"/>
      <c r="R1582" s="263"/>
      <c r="S1582" s="263"/>
      <c r="T1582" s="263"/>
      <c r="U1582" s="263"/>
      <c r="V1582" s="263"/>
      <c r="W1582" s="263"/>
      <c r="X1582" s="263"/>
      <c r="Y1582" s="263"/>
      <c r="Z1582" s="263"/>
    </row>
    <row r="1583" spans="3:26" ht="19">
      <c r="C1583" s="219"/>
      <c r="D1583" s="508">
        <v>45596</v>
      </c>
      <c r="E1583" s="266">
        <v>2.7E-2</v>
      </c>
      <c r="F1583" s="266" t="s">
        <v>493</v>
      </c>
      <c r="G1583" s="266">
        <v>2.7E-2</v>
      </c>
      <c r="H1583" s="869">
        <v>0.52083333333333337</v>
      </c>
      <c r="I1583" s="1246"/>
      <c r="J1583" s="1246"/>
      <c r="K1583" s="1247"/>
      <c r="L1583" s="894"/>
      <c r="M1583" s="343"/>
      <c r="N1583" s="219"/>
      <c r="O1583" s="263"/>
      <c r="P1583" s="263"/>
      <c r="Q1583" s="263"/>
      <c r="R1583" s="263"/>
      <c r="S1583" s="263"/>
      <c r="T1583" s="263"/>
      <c r="U1583" s="263"/>
      <c r="V1583" s="263"/>
      <c r="W1583" s="263"/>
      <c r="X1583" s="263"/>
      <c r="Y1583" s="263"/>
      <c r="Z1583" s="263"/>
    </row>
    <row r="1584" spans="3:26" ht="19">
      <c r="C1584" s="219"/>
      <c r="D1584" s="508">
        <v>45562</v>
      </c>
      <c r="E1584" s="266">
        <v>2.7E-2</v>
      </c>
      <c r="F1584" s="266" t="s">
        <v>665</v>
      </c>
      <c r="G1584" s="266">
        <v>2.5999999999999999E-2</v>
      </c>
      <c r="H1584" s="869">
        <v>0.52083333333333337</v>
      </c>
      <c r="I1584" s="1246"/>
      <c r="J1584" s="1246"/>
      <c r="K1584" s="1247"/>
      <c r="L1584" s="894"/>
      <c r="M1584" s="336"/>
      <c r="N1584" s="219"/>
      <c r="O1584" s="263"/>
      <c r="P1584" s="263"/>
      <c r="Q1584" s="263"/>
      <c r="R1584" s="263"/>
      <c r="S1584" s="263"/>
      <c r="T1584" s="263"/>
      <c r="U1584" s="263"/>
      <c r="V1584" s="263"/>
      <c r="W1584" s="263"/>
      <c r="X1584" s="263"/>
      <c r="Y1584" s="263"/>
      <c r="Z1584" s="263"/>
    </row>
    <row r="1585" spans="2:26" ht="19">
      <c r="C1585" s="219"/>
      <c r="D1585" s="508">
        <v>45534</v>
      </c>
      <c r="E1585" s="266">
        <v>2.5999999999999999E-2</v>
      </c>
      <c r="F1585" s="266" t="s">
        <v>665</v>
      </c>
      <c r="G1585" s="266">
        <v>2.5999999999999999E-2</v>
      </c>
      <c r="H1585" s="869">
        <v>0.52083333333333337</v>
      </c>
      <c r="I1585" s="1246"/>
      <c r="J1585" s="1246"/>
      <c r="K1585" s="1247"/>
      <c r="L1585" s="894"/>
      <c r="M1585" s="336"/>
      <c r="N1585" s="219"/>
      <c r="O1585" s="263"/>
      <c r="P1585" s="263"/>
      <c r="Q1585" s="263"/>
      <c r="R1585" s="263"/>
      <c r="S1585" s="263"/>
      <c r="T1585" s="263"/>
      <c r="U1585" s="263"/>
      <c r="V1585" s="263"/>
      <c r="W1585" s="263"/>
      <c r="X1585" s="263"/>
      <c r="Y1585" s="263"/>
      <c r="Z1585" s="263"/>
    </row>
    <row r="1586" spans="2:26" ht="19">
      <c r="C1586" s="219"/>
      <c r="D1586" s="508">
        <v>45499</v>
      </c>
      <c r="E1586" s="266">
        <v>2.5999999999999999E-2</v>
      </c>
      <c r="F1586" s="266" t="s">
        <v>495</v>
      </c>
      <c r="G1586" s="266">
        <v>2.5999999999999999E-2</v>
      </c>
      <c r="H1586" s="869">
        <v>0.52083333333333337</v>
      </c>
      <c r="I1586" s="1246"/>
      <c r="J1586" s="1246"/>
      <c r="K1586" s="1247"/>
      <c r="L1586" s="894"/>
      <c r="M1586" s="336"/>
      <c r="N1586" s="219"/>
      <c r="O1586" s="263"/>
      <c r="P1586" s="263"/>
      <c r="Q1586" s="263"/>
      <c r="R1586" s="263"/>
      <c r="S1586" s="263"/>
      <c r="T1586" s="263"/>
      <c r="U1586" s="263"/>
      <c r="V1586" s="263"/>
      <c r="W1586" s="263"/>
      <c r="X1586" s="263"/>
      <c r="Y1586" s="263"/>
      <c r="Z1586" s="263"/>
    </row>
    <row r="1587" spans="2:26" ht="20" thickBot="1">
      <c r="C1587" s="219"/>
      <c r="D1587" s="517">
        <v>45471</v>
      </c>
      <c r="E1587" s="319">
        <v>2.5999999999999999E-2</v>
      </c>
      <c r="F1587" s="319" t="s">
        <v>493</v>
      </c>
      <c r="G1587" s="319">
        <v>2.8000000000000001E-2</v>
      </c>
      <c r="H1587" s="869">
        <v>0.52083333333333337</v>
      </c>
      <c r="I1587" s="1249"/>
      <c r="J1587" s="1249"/>
      <c r="K1587" s="1250"/>
      <c r="L1587" s="895"/>
      <c r="M1587" s="344"/>
      <c r="N1587" s="219"/>
      <c r="O1587" s="263"/>
      <c r="P1587" s="263"/>
      <c r="Q1587" s="263"/>
      <c r="R1587" s="263"/>
      <c r="S1587" s="263"/>
      <c r="T1587" s="263"/>
      <c r="U1587" s="263"/>
      <c r="V1587" s="263"/>
      <c r="W1587" s="263"/>
      <c r="X1587" s="263"/>
      <c r="Y1587" s="263"/>
      <c r="Z1587" s="263"/>
    </row>
    <row r="1588" spans="2:26" ht="23" thickBot="1">
      <c r="B1588" s="90" t="s">
        <v>105</v>
      </c>
      <c r="C1588" s="218">
        <v>1</v>
      </c>
      <c r="D1588" s="525" t="s">
        <v>30</v>
      </c>
      <c r="E1588" s="1534" t="s">
        <v>1295</v>
      </c>
      <c r="F1588" s="1535"/>
      <c r="G1588" s="1536"/>
      <c r="H1588" s="898" t="s">
        <v>790</v>
      </c>
      <c r="I1588" s="1256" t="s">
        <v>633</v>
      </c>
      <c r="J1588" s="1256"/>
      <c r="K1588" s="1257"/>
      <c r="L1588" s="890" t="s">
        <v>430</v>
      </c>
      <c r="M1588" s="333" t="s">
        <v>431</v>
      </c>
      <c r="N1588" s="219" t="s">
        <v>105</v>
      </c>
      <c r="O1588" s="220" t="s">
        <v>800</v>
      </c>
      <c r="P1588" s="220" t="s">
        <v>801</v>
      </c>
      <c r="Q1588" s="220" t="s">
        <v>802</v>
      </c>
      <c r="R1588" s="220" t="s">
        <v>803</v>
      </c>
      <c r="S1588" s="220" t="s">
        <v>804</v>
      </c>
      <c r="T1588" s="220" t="s">
        <v>805</v>
      </c>
      <c r="U1588" s="220" t="s">
        <v>806</v>
      </c>
      <c r="V1588" s="220" t="s">
        <v>807</v>
      </c>
      <c r="W1588" s="220" t="s">
        <v>808</v>
      </c>
      <c r="X1588" s="220" t="s">
        <v>809</v>
      </c>
      <c r="Y1588" s="220" t="s">
        <v>75</v>
      </c>
      <c r="Z1588" s="220" t="s">
        <v>75</v>
      </c>
    </row>
    <row r="1589" spans="2:26" ht="22">
      <c r="C1589" s="218"/>
      <c r="D1589" s="526" t="s">
        <v>432</v>
      </c>
      <c r="E1589" s="1519"/>
      <c r="F1589" s="1520"/>
      <c r="G1589" s="1521"/>
      <c r="H1589" s="899" t="s">
        <v>947</v>
      </c>
      <c r="I1589" s="1243" t="s">
        <v>1296</v>
      </c>
      <c r="J1589" s="1243"/>
      <c r="K1589" s="1244"/>
      <c r="L1589" s="891"/>
      <c r="M1589" s="335" t="s">
        <v>1295</v>
      </c>
      <c r="N1589" s="219"/>
      <c r="O1589" s="221" t="s">
        <v>810</v>
      </c>
      <c r="P1589" s="222">
        <v>0.1</v>
      </c>
      <c r="Q1589" s="223">
        <v>1.7999999999999999E-2</v>
      </c>
      <c r="R1589" s="224">
        <v>1.6999999999995907E-2</v>
      </c>
      <c r="S1589" s="225"/>
      <c r="T1589" s="221">
        <v>4.3999999999995903E-2</v>
      </c>
      <c r="U1589" s="223">
        <v>-10.6</v>
      </c>
      <c r="V1589" s="222">
        <v>60.5</v>
      </c>
      <c r="W1589" s="226">
        <v>2</v>
      </c>
      <c r="X1589" s="227">
        <v>21.2</v>
      </c>
      <c r="Y1589" s="225"/>
      <c r="Z1589" s="225"/>
    </row>
    <row r="1590" spans="2:26" ht="44">
      <c r="C1590" s="218"/>
      <c r="D1590" s="527" t="s">
        <v>433</v>
      </c>
      <c r="E1590" s="1522">
        <v>1E-3</v>
      </c>
      <c r="F1590" s="1523"/>
      <c r="G1590" s="1524"/>
      <c r="H1590" s="899" t="s">
        <v>908</v>
      </c>
      <c r="I1590" s="1246"/>
      <c r="J1590" s="1246"/>
      <c r="K1590" s="1247"/>
      <c r="L1590" s="891"/>
      <c r="M1590" s="336"/>
      <c r="N1590" s="219"/>
      <c r="O1590" s="219"/>
      <c r="P1590" s="219"/>
      <c r="Q1590" s="219"/>
      <c r="R1590" s="228"/>
      <c r="S1590" s="229"/>
      <c r="T1590" s="219"/>
      <c r="U1590" s="219"/>
      <c r="V1590" s="219"/>
      <c r="W1590" s="229"/>
      <c r="X1590" s="229"/>
      <c r="Y1590" s="230"/>
      <c r="Z1590" s="230"/>
    </row>
    <row r="1591" spans="2:26" ht="22">
      <c r="C1591" s="218"/>
      <c r="D1591" s="527" t="s">
        <v>434</v>
      </c>
      <c r="E1591" s="1522">
        <v>5.0000000000000001E-3</v>
      </c>
      <c r="F1591" s="1523"/>
      <c r="G1591" s="1524"/>
      <c r="H1591" s="899"/>
      <c r="I1591" s="1246"/>
      <c r="J1591" s="1246"/>
      <c r="K1591" s="1247"/>
      <c r="L1591" s="891"/>
      <c r="M1591" s="336"/>
      <c r="N1591" s="219"/>
      <c r="O1591" s="231" t="s">
        <v>811</v>
      </c>
      <c r="P1591" s="232">
        <v>0.04</v>
      </c>
      <c r="Q1591" s="233">
        <v>6.1100000000000002E-2</v>
      </c>
      <c r="R1591" s="234">
        <v>2.8000000000000001E-2</v>
      </c>
      <c r="S1591" s="235">
        <v>1.5</v>
      </c>
      <c r="T1591" s="231">
        <v>0.11965000000000001</v>
      </c>
      <c r="U1591" s="236">
        <v>-17.294863636365246</v>
      </c>
      <c r="V1591" s="237">
        <v>24.2</v>
      </c>
      <c r="W1591" s="238">
        <v>7.2</v>
      </c>
      <c r="X1591" s="239">
        <v>124.52301818182977</v>
      </c>
      <c r="Y1591" s="240"/>
      <c r="Z1591" s="240"/>
    </row>
    <row r="1592" spans="2:26" ht="23" thickBot="1">
      <c r="C1592" s="218"/>
      <c r="D1592" s="528" t="s">
        <v>435</v>
      </c>
      <c r="E1592" s="1525">
        <v>0.29166666666666674</v>
      </c>
      <c r="F1592" s="1526"/>
      <c r="G1592" s="1527"/>
      <c r="H1592" s="900"/>
      <c r="I1592" s="1246"/>
      <c r="J1592" s="1246"/>
      <c r="K1592" s="1247"/>
      <c r="L1592" s="892">
        <v>0.52083333333333337</v>
      </c>
      <c r="M1592" s="338">
        <v>0.375</v>
      </c>
      <c r="N1592" s="219"/>
      <c r="O1592" s="241" t="s">
        <v>812</v>
      </c>
      <c r="P1592" s="242">
        <v>0.04</v>
      </c>
      <c r="Q1592" s="243">
        <v>6.3200000000000006E-2</v>
      </c>
      <c r="R1592" s="244">
        <v>2.8000000000000001E-2</v>
      </c>
      <c r="S1592" s="245">
        <v>1.5</v>
      </c>
      <c r="T1592" s="246">
        <v>0.12280000000000001</v>
      </c>
      <c r="U1592" s="247">
        <v>-17.750181818183471</v>
      </c>
      <c r="V1592" s="248">
        <v>24.2</v>
      </c>
      <c r="W1592" s="249">
        <v>3.62</v>
      </c>
      <c r="X1592" s="250">
        <v>64.25565818182416</v>
      </c>
      <c r="Y1592" s="251"/>
      <c r="Z1592" s="251"/>
    </row>
    <row r="1593" spans="2:26" ht="23" thickBot="1">
      <c r="C1593" s="218"/>
      <c r="D1593" s="529" t="s">
        <v>436</v>
      </c>
      <c r="E1593" s="363" t="s">
        <v>29</v>
      </c>
      <c r="F1593" s="363" t="s">
        <v>28</v>
      </c>
      <c r="G1593" s="364" t="s">
        <v>27</v>
      </c>
      <c r="H1593" s="901" t="s">
        <v>793</v>
      </c>
      <c r="I1593" s="1246"/>
      <c r="J1593" s="1246"/>
      <c r="K1593" s="1247"/>
      <c r="L1593" s="893" t="s">
        <v>1246</v>
      </c>
      <c r="M1593" s="340"/>
      <c r="N1593" s="219"/>
      <c r="O1593" s="229"/>
      <c r="P1593" s="230"/>
      <c r="Q1593" s="229"/>
      <c r="R1593" s="229"/>
      <c r="S1593" s="229"/>
      <c r="T1593" s="229"/>
      <c r="U1593" s="254"/>
      <c r="V1593" s="255"/>
      <c r="W1593" s="229"/>
      <c r="X1593" s="254"/>
      <c r="Y1593" s="230"/>
      <c r="Z1593" s="230"/>
    </row>
    <row r="1594" spans="2:26" ht="22">
      <c r="C1594" s="218"/>
      <c r="D1594" s="530">
        <v>45611</v>
      </c>
      <c r="E1594" s="365">
        <v>1E-3</v>
      </c>
      <c r="F1594" s="365" t="s">
        <v>460</v>
      </c>
      <c r="G1594" s="365">
        <v>5.0000000000000001E-3</v>
      </c>
      <c r="H1594" s="902">
        <v>0.29166666666666674</v>
      </c>
      <c r="I1594" s="1246"/>
      <c r="J1594" s="1246"/>
      <c r="K1594" s="1247"/>
      <c r="L1594" s="894"/>
      <c r="M1594" s="342"/>
      <c r="N1594" s="219"/>
      <c r="O1594" s="229"/>
      <c r="P1594" s="230"/>
      <c r="Q1594" s="229"/>
      <c r="R1594" s="229"/>
      <c r="S1594" s="229"/>
      <c r="T1594" s="229"/>
      <c r="U1594" s="229"/>
      <c r="V1594" s="229"/>
      <c r="W1594" s="229"/>
      <c r="X1594" s="229"/>
      <c r="Y1594" s="230"/>
      <c r="Z1594" s="230"/>
    </row>
    <row r="1595" spans="2:26" ht="22">
      <c r="C1595" s="218"/>
      <c r="D1595" s="530">
        <v>45565</v>
      </c>
      <c r="E1595" s="365">
        <v>5.0000000000000001E-3</v>
      </c>
      <c r="F1595" s="365" t="s">
        <v>449</v>
      </c>
      <c r="G1595" s="365">
        <v>7.0000000000000001E-3</v>
      </c>
      <c r="H1595" s="902">
        <v>0.25</v>
      </c>
      <c r="I1595" s="1246"/>
      <c r="J1595" s="1246"/>
      <c r="K1595" s="1247"/>
      <c r="L1595" s="894"/>
      <c r="M1595" s="343"/>
      <c r="N1595" s="219"/>
      <c r="O1595" s="221" t="s">
        <v>813</v>
      </c>
      <c r="P1595" s="222">
        <v>0.04</v>
      </c>
      <c r="Q1595" s="257">
        <v>6.2150000000000004E-2</v>
      </c>
      <c r="R1595" s="258">
        <v>2.8000000000000001E-2</v>
      </c>
      <c r="S1595" s="225">
        <v>1.5</v>
      </c>
      <c r="T1595" s="231">
        <v>0.121225</v>
      </c>
      <c r="U1595" s="259">
        <v>-17.522522727274357</v>
      </c>
      <c r="V1595" s="260">
        <v>24.2</v>
      </c>
      <c r="W1595" s="225">
        <v>2</v>
      </c>
      <c r="X1595" s="227">
        <v>35.045045454548713</v>
      </c>
      <c r="Y1595" s="261"/>
      <c r="Z1595" s="261"/>
    </row>
    <row r="1596" spans="2:26" ht="22">
      <c r="C1596" s="218"/>
      <c r="D1596" s="530">
        <v>45519</v>
      </c>
      <c r="E1596" s="365">
        <v>6.0000000000000001E-3</v>
      </c>
      <c r="F1596" s="365" t="s">
        <v>449</v>
      </c>
      <c r="G1596" s="365">
        <v>7.0000000000000001E-3</v>
      </c>
      <c r="H1596" s="902">
        <v>0.25</v>
      </c>
      <c r="I1596" s="1246"/>
      <c r="J1596" s="1246"/>
      <c r="K1596" s="1247"/>
      <c r="L1596" s="894"/>
      <c r="M1596" s="336"/>
      <c r="N1596" s="219"/>
      <c r="O1596" s="221" t="s">
        <v>813</v>
      </c>
      <c r="P1596" s="222">
        <v>-0.04</v>
      </c>
      <c r="Q1596" s="257">
        <v>6.2150000000000004E-2</v>
      </c>
      <c r="R1596" s="258">
        <v>2.8000000000000001E-2</v>
      </c>
      <c r="S1596" s="225">
        <v>-1.5</v>
      </c>
      <c r="T1596" s="231">
        <v>0.121225</v>
      </c>
      <c r="U1596" s="259">
        <v>-17.522522727274357</v>
      </c>
      <c r="V1596" s="260">
        <v>-24.2</v>
      </c>
      <c r="W1596" s="225">
        <v>2</v>
      </c>
      <c r="X1596" s="227">
        <v>35.045045454548713</v>
      </c>
      <c r="Y1596" s="261"/>
      <c r="Z1596" s="261"/>
    </row>
    <row r="1597" spans="2:26" ht="22">
      <c r="C1597" s="218"/>
      <c r="D1597" s="530">
        <v>45471</v>
      </c>
      <c r="E1597" s="365">
        <v>7.0000000000000001E-3</v>
      </c>
      <c r="F1597" s="365" t="s">
        <v>449</v>
      </c>
      <c r="G1597" s="365">
        <v>-3.0000000000000001E-3</v>
      </c>
      <c r="H1597" s="902">
        <v>0.25</v>
      </c>
      <c r="I1597" s="1246"/>
      <c r="J1597" s="1246"/>
      <c r="K1597" s="1247"/>
      <c r="L1597" s="894"/>
      <c r="M1597" s="336"/>
      <c r="N1597" s="219"/>
      <c r="O1597" s="221"/>
      <c r="P1597" s="262"/>
      <c r="Q1597" s="257"/>
      <c r="R1597" s="258"/>
      <c r="S1597" s="225"/>
      <c r="T1597" s="262"/>
      <c r="U1597" s="259"/>
      <c r="V1597" s="260"/>
      <c r="W1597" s="225"/>
      <c r="X1597" s="227"/>
      <c r="Y1597" s="261"/>
      <c r="Z1597" s="261"/>
    </row>
    <row r="1598" spans="2:26" ht="22">
      <c r="C1598" s="218"/>
      <c r="D1598" s="530">
        <v>45422</v>
      </c>
      <c r="E1598" s="365">
        <v>6.0000000000000001E-3</v>
      </c>
      <c r="F1598" s="365" t="s">
        <v>452</v>
      </c>
      <c r="G1598" s="365">
        <v>-3.0000000000000001E-3</v>
      </c>
      <c r="H1598" s="902">
        <v>0.25</v>
      </c>
      <c r="I1598" s="1246"/>
      <c r="J1598" s="1246"/>
      <c r="K1598" s="1247"/>
      <c r="L1598" s="894"/>
      <c r="M1598" s="336"/>
      <c r="N1598" s="219"/>
      <c r="O1598" s="263"/>
      <c r="P1598" s="263"/>
      <c r="Q1598" s="263"/>
      <c r="R1598" s="263"/>
      <c r="S1598" s="263"/>
      <c r="T1598" s="263"/>
      <c r="U1598" s="263"/>
      <c r="V1598" s="263"/>
      <c r="W1598" s="263"/>
      <c r="X1598" s="263"/>
      <c r="Y1598" s="263"/>
      <c r="Z1598" s="263"/>
    </row>
    <row r="1599" spans="2:26" ht="23" thickBot="1">
      <c r="C1599" s="218"/>
      <c r="D1599" s="530">
        <v>45379</v>
      </c>
      <c r="E1599" s="365">
        <v>-3.0000000000000001E-3</v>
      </c>
      <c r="F1599" s="365" t="s">
        <v>454</v>
      </c>
      <c r="G1599" s="365">
        <v>-1E-3</v>
      </c>
      <c r="H1599" s="902">
        <v>0.29166666666666674</v>
      </c>
      <c r="I1599" s="1249"/>
      <c r="J1599" s="1249"/>
      <c r="K1599" s="1250"/>
      <c r="L1599" s="894"/>
      <c r="M1599" s="344"/>
      <c r="N1599" s="219"/>
      <c r="O1599" s="263"/>
      <c r="P1599" s="263"/>
      <c r="Q1599" s="263"/>
      <c r="R1599" s="263"/>
      <c r="S1599" s="263"/>
      <c r="T1599" s="263"/>
      <c r="U1599" s="263"/>
      <c r="V1599" s="263"/>
      <c r="W1599" s="263"/>
      <c r="X1599" s="263"/>
      <c r="Y1599" s="263"/>
      <c r="Z1599" s="263"/>
    </row>
    <row r="1600" spans="2:26" ht="23" thickBot="1">
      <c r="C1600" s="218">
        <v>1</v>
      </c>
      <c r="D1600" s="525" t="s">
        <v>30</v>
      </c>
      <c r="E1600" s="1534" t="s">
        <v>1297</v>
      </c>
      <c r="F1600" s="1535"/>
      <c r="G1600" s="1536"/>
      <c r="H1600" s="898" t="s">
        <v>790</v>
      </c>
      <c r="I1600" s="1256" t="s">
        <v>633</v>
      </c>
      <c r="J1600" s="1256"/>
      <c r="K1600" s="1257"/>
      <c r="L1600" s="890" t="s">
        <v>430</v>
      </c>
      <c r="M1600" s="333" t="s">
        <v>431</v>
      </c>
      <c r="N1600" s="219" t="s">
        <v>105</v>
      </c>
      <c r="O1600" s="220" t="s">
        <v>800</v>
      </c>
      <c r="P1600" s="220" t="s">
        <v>801</v>
      </c>
      <c r="Q1600" s="220" t="s">
        <v>802</v>
      </c>
      <c r="R1600" s="220" t="s">
        <v>803</v>
      </c>
      <c r="S1600" s="220" t="s">
        <v>804</v>
      </c>
      <c r="T1600" s="220" t="s">
        <v>805</v>
      </c>
      <c r="U1600" s="220" t="s">
        <v>806</v>
      </c>
      <c r="V1600" s="220" t="s">
        <v>807</v>
      </c>
      <c r="W1600" s="220" t="s">
        <v>808</v>
      </c>
      <c r="X1600" s="220" t="s">
        <v>809</v>
      </c>
      <c r="Y1600" s="220" t="s">
        <v>75</v>
      </c>
      <c r="Z1600" s="220" t="s">
        <v>75</v>
      </c>
    </row>
    <row r="1601" spans="3:26" ht="22">
      <c r="C1601" s="218"/>
      <c r="D1601" s="526" t="s">
        <v>432</v>
      </c>
      <c r="E1601" s="1519"/>
      <c r="F1601" s="1520"/>
      <c r="G1601" s="1521"/>
      <c r="H1601" s="899" t="s">
        <v>947</v>
      </c>
      <c r="I1601" s="1243" t="s">
        <v>1296</v>
      </c>
      <c r="J1601" s="1243"/>
      <c r="K1601" s="1244"/>
      <c r="L1601" s="891"/>
      <c r="M1601" s="335" t="s">
        <v>1297</v>
      </c>
      <c r="N1601" s="219"/>
      <c r="O1601" s="221" t="s">
        <v>810</v>
      </c>
      <c r="P1601" s="222">
        <v>0.1</v>
      </c>
      <c r="Q1601" s="223">
        <v>1.4E-2</v>
      </c>
      <c r="R1601" s="224">
        <v>2.2999999999996135E-2</v>
      </c>
      <c r="S1601" s="225"/>
      <c r="T1601" s="221">
        <v>4.3999999999996139E-2</v>
      </c>
      <c r="U1601" s="223">
        <v>-10.93</v>
      </c>
      <c r="V1601" s="222">
        <v>60.5</v>
      </c>
      <c r="W1601" s="226">
        <v>2</v>
      </c>
      <c r="X1601" s="227">
        <v>21.86</v>
      </c>
      <c r="Y1601" s="225"/>
      <c r="Z1601" s="225"/>
    </row>
    <row r="1602" spans="3:26" ht="44">
      <c r="C1602" s="218"/>
      <c r="D1602" s="527" t="s">
        <v>433</v>
      </c>
      <c r="E1602" s="1522">
        <v>0.01</v>
      </c>
      <c r="F1602" s="1523"/>
      <c r="G1602" s="1524"/>
      <c r="H1602" s="899" t="s">
        <v>908</v>
      </c>
      <c r="I1602" s="1246"/>
      <c r="J1602" s="1246"/>
      <c r="K1602" s="1247"/>
      <c r="L1602" s="891"/>
      <c r="M1602" s="336"/>
      <c r="N1602" s="219"/>
      <c r="O1602" s="219"/>
      <c r="P1602" s="219"/>
      <c r="Q1602" s="219"/>
      <c r="R1602" s="228"/>
      <c r="S1602" s="229"/>
      <c r="T1602" s="219"/>
      <c r="U1602" s="219"/>
      <c r="V1602" s="219"/>
      <c r="W1602" s="229"/>
      <c r="X1602" s="229"/>
      <c r="Y1602" s="230"/>
      <c r="Z1602" s="230"/>
    </row>
    <row r="1603" spans="3:26" ht="22">
      <c r="C1603" s="218"/>
      <c r="D1603" s="527" t="s">
        <v>434</v>
      </c>
      <c r="E1603" s="1522">
        <v>7.0000000000000001E-3</v>
      </c>
      <c r="F1603" s="1523"/>
      <c r="G1603" s="1524"/>
      <c r="H1603" s="899"/>
      <c r="I1603" s="1246"/>
      <c r="J1603" s="1246"/>
      <c r="K1603" s="1247"/>
      <c r="L1603" s="891"/>
      <c r="M1603" s="336"/>
      <c r="N1603" s="219"/>
      <c r="O1603" s="231" t="s">
        <v>811</v>
      </c>
      <c r="P1603" s="232">
        <v>0.1</v>
      </c>
      <c r="Q1603" s="233">
        <v>6.4699999999999994E-2</v>
      </c>
      <c r="R1603" s="234">
        <v>5.0999999999999997E-2</v>
      </c>
      <c r="S1603" s="235">
        <v>1</v>
      </c>
      <c r="T1603" s="231">
        <v>0.14804999999999999</v>
      </c>
      <c r="U1603" s="236">
        <v>-36.77696590909413</v>
      </c>
      <c r="V1603" s="237">
        <v>60.5</v>
      </c>
      <c r="W1603" s="238">
        <v>4.26</v>
      </c>
      <c r="X1603" s="239">
        <v>156.669874772741</v>
      </c>
      <c r="Y1603" s="240"/>
      <c r="Z1603" s="240"/>
    </row>
    <row r="1604" spans="3:26" ht="23" thickBot="1">
      <c r="C1604" s="218"/>
      <c r="D1604" s="528" t="s">
        <v>435</v>
      </c>
      <c r="E1604" s="1525">
        <v>0.29166666666666674</v>
      </c>
      <c r="F1604" s="1526"/>
      <c r="G1604" s="1527"/>
      <c r="H1604" s="900"/>
      <c r="I1604" s="1246"/>
      <c r="J1604" s="1246"/>
      <c r="K1604" s="1247"/>
      <c r="L1604" s="892">
        <v>0.52083333333333337</v>
      </c>
      <c r="M1604" s="338">
        <v>0.375</v>
      </c>
      <c r="N1604" s="219"/>
      <c r="O1604" s="241" t="s">
        <v>812</v>
      </c>
      <c r="P1604" s="242">
        <v>0.1</v>
      </c>
      <c r="Q1604" s="243">
        <v>7.2133333333333341E-2</v>
      </c>
      <c r="R1604" s="244">
        <v>5.0999999999999997E-2</v>
      </c>
      <c r="S1604" s="245">
        <v>1</v>
      </c>
      <c r="T1604" s="246">
        <v>0.15920000000000001</v>
      </c>
      <c r="U1604" s="247">
        <v>-39.546727272730742</v>
      </c>
      <c r="V1604" s="248">
        <v>60.5</v>
      </c>
      <c r="W1604" s="249">
        <v>3.07</v>
      </c>
      <c r="X1604" s="250">
        <v>121.40845272728338</v>
      </c>
      <c r="Y1604" s="251"/>
      <c r="Z1604" s="251"/>
    </row>
    <row r="1605" spans="3:26" ht="23" thickBot="1">
      <c r="C1605" s="218"/>
      <c r="D1605" s="529" t="s">
        <v>436</v>
      </c>
      <c r="E1605" s="363" t="s">
        <v>29</v>
      </c>
      <c r="F1605" s="363" t="s">
        <v>28</v>
      </c>
      <c r="G1605" s="364" t="s">
        <v>27</v>
      </c>
      <c r="H1605" s="901" t="s">
        <v>793</v>
      </c>
      <c r="I1605" s="1246"/>
      <c r="J1605" s="1246"/>
      <c r="K1605" s="1247"/>
      <c r="L1605" s="893" t="s">
        <v>1246</v>
      </c>
      <c r="M1605" s="340"/>
      <c r="N1605" s="219"/>
      <c r="O1605" s="229"/>
      <c r="P1605" s="230"/>
      <c r="Q1605" s="229"/>
      <c r="R1605" s="229"/>
      <c r="S1605" s="229"/>
      <c r="T1605" s="229"/>
      <c r="U1605" s="254"/>
      <c r="V1605" s="255"/>
      <c r="W1605" s="229"/>
      <c r="X1605" s="254"/>
      <c r="Y1605" s="230"/>
      <c r="Z1605" s="230"/>
    </row>
    <row r="1606" spans="3:26" ht="22">
      <c r="C1606" s="218"/>
      <c r="D1606" s="530">
        <v>45611</v>
      </c>
      <c r="E1606" s="365">
        <v>0.01</v>
      </c>
      <c r="F1606" s="365" t="s">
        <v>462</v>
      </c>
      <c r="G1606" s="365">
        <v>7.0000000000000001E-3</v>
      </c>
      <c r="H1606" s="902">
        <v>0.29166666666666674</v>
      </c>
      <c r="I1606" s="1246"/>
      <c r="J1606" s="1246"/>
      <c r="K1606" s="1247"/>
      <c r="L1606" s="894"/>
      <c r="M1606" s="342"/>
      <c r="N1606" s="219"/>
      <c r="O1606" s="229"/>
      <c r="P1606" s="230"/>
      <c r="Q1606" s="229"/>
      <c r="R1606" s="229"/>
      <c r="S1606" s="229"/>
      <c r="T1606" s="229"/>
      <c r="U1606" s="229"/>
      <c r="V1606" s="229"/>
      <c r="W1606" s="229"/>
      <c r="X1606" s="229"/>
      <c r="Y1606" s="230"/>
      <c r="Z1606" s="230"/>
    </row>
    <row r="1607" spans="3:26" ht="22">
      <c r="C1607" s="218"/>
      <c r="D1607" s="530">
        <v>45565</v>
      </c>
      <c r="E1607" s="365">
        <v>7.0000000000000001E-3</v>
      </c>
      <c r="F1607" s="365" t="s">
        <v>459</v>
      </c>
      <c r="G1607" s="365">
        <v>3.0000000000000001E-3</v>
      </c>
      <c r="H1607" s="902">
        <v>0.25</v>
      </c>
      <c r="I1607" s="1246"/>
      <c r="J1607" s="1246"/>
      <c r="K1607" s="1247"/>
      <c r="L1607" s="894"/>
      <c r="M1607" s="343"/>
      <c r="N1607" s="219"/>
      <c r="O1607" s="221" t="s">
        <v>813</v>
      </c>
      <c r="P1607" s="222">
        <v>0.02</v>
      </c>
      <c r="Q1607" s="257">
        <v>6.8416666666666667E-2</v>
      </c>
      <c r="R1607" s="258">
        <v>5.0999999999999997E-2</v>
      </c>
      <c r="S1607" s="225">
        <v>1.5</v>
      </c>
      <c r="T1607" s="231">
        <v>0.15362499999999998</v>
      </c>
      <c r="U1607" s="259">
        <v>-11.448553977273731</v>
      </c>
      <c r="V1607" s="260">
        <v>12.1</v>
      </c>
      <c r="W1607" s="225">
        <v>2</v>
      </c>
      <c r="X1607" s="227">
        <v>22.897107954547462</v>
      </c>
      <c r="Y1607" s="261"/>
      <c r="Z1607" s="261"/>
    </row>
    <row r="1608" spans="3:26" ht="22">
      <c r="C1608" s="218"/>
      <c r="D1608" s="530">
        <v>45519</v>
      </c>
      <c r="E1608" s="365">
        <v>8.9999999999999993E-3</v>
      </c>
      <c r="F1608" s="365" t="s">
        <v>459</v>
      </c>
      <c r="G1608" s="365">
        <v>3.0000000000000001E-3</v>
      </c>
      <c r="H1608" s="902">
        <v>0.25</v>
      </c>
      <c r="I1608" s="1246"/>
      <c r="J1608" s="1246"/>
      <c r="K1608" s="1247"/>
      <c r="L1608" s="894"/>
      <c r="M1608" s="336"/>
      <c r="N1608" s="219"/>
      <c r="O1608" s="221" t="s">
        <v>813</v>
      </c>
      <c r="P1608" s="222">
        <v>-0.02</v>
      </c>
      <c r="Q1608" s="257">
        <v>6.8416666666666667E-2</v>
      </c>
      <c r="R1608" s="258">
        <v>5.0999999999999997E-2</v>
      </c>
      <c r="S1608" s="225">
        <v>-1.5</v>
      </c>
      <c r="T1608" s="231">
        <v>0.15362499999999998</v>
      </c>
      <c r="U1608" s="259">
        <v>-11.448553977273731</v>
      </c>
      <c r="V1608" s="260">
        <v>-12.1</v>
      </c>
      <c r="W1608" s="225">
        <v>2</v>
      </c>
      <c r="X1608" s="227">
        <v>22.897107954547462</v>
      </c>
      <c r="Y1608" s="261"/>
      <c r="Z1608" s="261"/>
    </row>
    <row r="1609" spans="3:26" ht="22">
      <c r="C1609" s="218"/>
      <c r="D1609" s="530">
        <v>45471</v>
      </c>
      <c r="E1609" s="365">
        <v>3.0000000000000001E-3</v>
      </c>
      <c r="F1609" s="365" t="s">
        <v>460</v>
      </c>
      <c r="G1609" s="365">
        <v>-2E-3</v>
      </c>
      <c r="H1609" s="902">
        <v>0.25</v>
      </c>
      <c r="I1609" s="1246"/>
      <c r="J1609" s="1246"/>
      <c r="K1609" s="1247"/>
      <c r="L1609" s="894"/>
      <c r="M1609" s="336"/>
      <c r="N1609" s="219"/>
      <c r="O1609" s="221"/>
      <c r="P1609" s="262"/>
      <c r="Q1609" s="257"/>
      <c r="R1609" s="258"/>
      <c r="S1609" s="225"/>
      <c r="T1609" s="262"/>
      <c r="U1609" s="259"/>
      <c r="V1609" s="260"/>
      <c r="W1609" s="225"/>
      <c r="X1609" s="227"/>
      <c r="Y1609" s="261"/>
      <c r="Z1609" s="261"/>
    </row>
    <row r="1610" spans="3:26" ht="22">
      <c r="C1610" s="218"/>
      <c r="D1610" s="530">
        <v>45422</v>
      </c>
      <c r="E1610" s="365">
        <v>2E-3</v>
      </c>
      <c r="F1610" s="365" t="s">
        <v>458</v>
      </c>
      <c r="G1610" s="365">
        <v>-2E-3</v>
      </c>
      <c r="H1610" s="902">
        <v>0.25</v>
      </c>
      <c r="I1610" s="1246"/>
      <c r="J1610" s="1246"/>
      <c r="K1610" s="1247"/>
      <c r="L1610" s="894"/>
      <c r="M1610" s="336"/>
      <c r="N1610" s="219"/>
      <c r="O1610" s="263"/>
      <c r="P1610" s="263"/>
      <c r="Q1610" s="263"/>
      <c r="R1610" s="263"/>
      <c r="S1610" s="263"/>
      <c r="T1610" s="263"/>
      <c r="U1610" s="263"/>
      <c r="V1610" s="263"/>
      <c r="W1610" s="263"/>
      <c r="X1610" s="263"/>
      <c r="Y1610" s="263"/>
      <c r="Z1610" s="263"/>
    </row>
    <row r="1611" spans="3:26" ht="23" thickBot="1">
      <c r="C1611" s="218"/>
      <c r="D1611" s="530">
        <v>45379</v>
      </c>
      <c r="E1611" s="365">
        <v>-2E-3</v>
      </c>
      <c r="F1611" s="365" t="s">
        <v>461</v>
      </c>
      <c r="G1611" s="365">
        <v>3.0000000000000001E-3</v>
      </c>
      <c r="H1611" s="902">
        <v>0.29166666666666674</v>
      </c>
      <c r="I1611" s="1249"/>
      <c r="J1611" s="1249"/>
      <c r="K1611" s="1250"/>
      <c r="L1611" s="894"/>
      <c r="M1611" s="344"/>
      <c r="N1611" s="219"/>
      <c r="O1611" s="263"/>
      <c r="P1611" s="263"/>
      <c r="Q1611" s="263"/>
      <c r="R1611" s="263"/>
      <c r="S1611" s="263"/>
      <c r="T1611" s="263"/>
      <c r="U1611" s="263"/>
      <c r="V1611" s="263"/>
      <c r="W1611" s="263"/>
      <c r="X1611" s="263"/>
      <c r="Y1611" s="263"/>
      <c r="Z1611" s="263"/>
    </row>
    <row r="1612" spans="3:26" ht="23" thickBot="1">
      <c r="C1612" s="218"/>
      <c r="D1612" s="531" t="s">
        <v>30</v>
      </c>
      <c r="E1612" s="1528" t="s">
        <v>1298</v>
      </c>
      <c r="F1612" s="1529"/>
      <c r="G1612" s="1530"/>
      <c r="H1612" s="898" t="s">
        <v>790</v>
      </c>
      <c r="I1612" s="1256" t="s">
        <v>633</v>
      </c>
      <c r="J1612" s="1256"/>
      <c r="K1612" s="1257"/>
      <c r="L1612" s="890" t="s">
        <v>430</v>
      </c>
      <c r="M1612" s="333" t="s">
        <v>431</v>
      </c>
      <c r="N1612" s="219" t="s">
        <v>105</v>
      </c>
      <c r="O1612" s="220" t="s">
        <v>800</v>
      </c>
      <c r="P1612" s="220" t="s">
        <v>801</v>
      </c>
      <c r="Q1612" s="220" t="s">
        <v>802</v>
      </c>
      <c r="R1612" s="220" t="s">
        <v>803</v>
      </c>
      <c r="S1612" s="220" t="s">
        <v>804</v>
      </c>
      <c r="T1612" s="220" t="s">
        <v>805</v>
      </c>
      <c r="U1612" s="220" t="s">
        <v>806</v>
      </c>
      <c r="V1612" s="220" t="s">
        <v>807</v>
      </c>
      <c r="W1612" s="220" t="s">
        <v>808</v>
      </c>
      <c r="X1612" s="220" t="s">
        <v>809</v>
      </c>
      <c r="Y1612" s="220" t="s">
        <v>75</v>
      </c>
      <c r="Z1612" s="220" t="s">
        <v>75</v>
      </c>
    </row>
    <row r="1613" spans="3:26" ht="22">
      <c r="C1613" s="218"/>
      <c r="D1613" s="526" t="s">
        <v>432</v>
      </c>
      <c r="E1613" s="1519"/>
      <c r="F1613" s="1520"/>
      <c r="G1613" s="1521"/>
      <c r="H1613" s="899" t="s">
        <v>794</v>
      </c>
      <c r="I1613" s="1243" t="s">
        <v>1299</v>
      </c>
      <c r="J1613" s="1243"/>
      <c r="K1613" s="1244"/>
      <c r="L1613" s="891"/>
      <c r="M1613" s="335" t="s">
        <v>1298</v>
      </c>
      <c r="N1613" s="219"/>
      <c r="O1613" s="221" t="s">
        <v>810</v>
      </c>
      <c r="P1613" s="222">
        <v>0.1</v>
      </c>
      <c r="Q1613" s="224">
        <v>2.2999999999996135E-2</v>
      </c>
      <c r="R1613" s="224">
        <v>1.6000000000005343E-2</v>
      </c>
      <c r="S1613" s="225"/>
      <c r="T1613" s="221">
        <v>5.0499999999999545E-2</v>
      </c>
      <c r="U1613" s="223">
        <v>-13.1</v>
      </c>
      <c r="V1613" s="222">
        <v>60.5</v>
      </c>
      <c r="W1613" s="226">
        <v>2</v>
      </c>
      <c r="X1613" s="227">
        <v>26.2</v>
      </c>
      <c r="Y1613" s="225"/>
      <c r="Z1613" s="225"/>
    </row>
    <row r="1614" spans="3:26" ht="22">
      <c r="C1614" s="218"/>
      <c r="D1614" s="527" t="s">
        <v>433</v>
      </c>
      <c r="E1614" s="1531">
        <v>113</v>
      </c>
      <c r="F1614" s="1532"/>
      <c r="G1614" s="1533"/>
      <c r="H1614" s="899" t="s">
        <v>795</v>
      </c>
      <c r="I1614" s="1246"/>
      <c r="J1614" s="1246"/>
      <c r="K1614" s="1247"/>
      <c r="L1614" s="891"/>
      <c r="M1614" s="336"/>
      <c r="N1614" s="219"/>
      <c r="O1614" s="219"/>
      <c r="P1614" s="219"/>
      <c r="Q1614" s="219"/>
      <c r="R1614" s="228"/>
      <c r="S1614" s="229"/>
      <c r="T1614" s="219"/>
      <c r="U1614" s="219"/>
      <c r="V1614" s="219"/>
      <c r="W1614" s="229"/>
      <c r="X1614" s="229"/>
      <c r="Y1614" s="230"/>
      <c r="Z1614" s="230"/>
    </row>
    <row r="1615" spans="3:26" ht="22">
      <c r="C1615" s="218"/>
      <c r="D1615" s="527" t="s">
        <v>434</v>
      </c>
      <c r="E1615" s="1531">
        <v>111.7</v>
      </c>
      <c r="F1615" s="1532"/>
      <c r="G1615" s="1533"/>
      <c r="H1615" s="899"/>
      <c r="I1615" s="1246"/>
      <c r="J1615" s="1246"/>
      <c r="K1615" s="1247"/>
      <c r="L1615" s="891"/>
      <c r="M1615" s="336"/>
      <c r="N1615" s="219"/>
      <c r="O1615" s="231" t="s">
        <v>811</v>
      </c>
      <c r="P1615" s="232">
        <v>0.1</v>
      </c>
      <c r="Q1615" s="233">
        <v>7.5399999999999995E-2</v>
      </c>
      <c r="R1615" s="234">
        <v>2.1999999999999999E-2</v>
      </c>
      <c r="S1615" s="235">
        <v>1.5</v>
      </c>
      <c r="T1615" s="231">
        <v>0.1351</v>
      </c>
      <c r="U1615" s="236">
        <v>-35.045742574257744</v>
      </c>
      <c r="V1615" s="237">
        <v>60.5</v>
      </c>
      <c r="W1615" s="238">
        <v>4.1100000000000003</v>
      </c>
      <c r="X1615" s="239">
        <v>144.03800198019934</v>
      </c>
      <c r="Y1615" s="240"/>
      <c r="Z1615" s="240"/>
    </row>
    <row r="1616" spans="3:26" ht="23" thickBot="1">
      <c r="C1616" s="218"/>
      <c r="D1616" s="528" t="s">
        <v>435</v>
      </c>
      <c r="E1616" s="1525">
        <v>0.625</v>
      </c>
      <c r="F1616" s="1526"/>
      <c r="G1616" s="1527"/>
      <c r="H1616" s="900"/>
      <c r="I1616" s="1246"/>
      <c r="J1616" s="1246"/>
      <c r="K1616" s="1247"/>
      <c r="L1616" s="892">
        <v>0.85416666666666663</v>
      </c>
      <c r="M1616" s="338">
        <v>0.70833333333333326</v>
      </c>
      <c r="N1616" s="219"/>
      <c r="O1616" s="241" t="s">
        <v>812</v>
      </c>
      <c r="P1616" s="242">
        <v>0.1</v>
      </c>
      <c r="Q1616" s="243">
        <v>7.5600000000000001E-2</v>
      </c>
      <c r="R1616" s="244">
        <v>2.1999999999999999E-2</v>
      </c>
      <c r="S1616" s="245">
        <v>1.5</v>
      </c>
      <c r="T1616" s="246">
        <v>0.13539999999999999</v>
      </c>
      <c r="U1616" s="247">
        <v>-52.685346534653931</v>
      </c>
      <c r="V1616" s="248">
        <v>60.5</v>
      </c>
      <c r="W1616" s="249">
        <v>3.27</v>
      </c>
      <c r="X1616" s="250">
        <v>172.28108316831836</v>
      </c>
      <c r="Y1616" s="251"/>
      <c r="Z1616" s="251"/>
    </row>
    <row r="1617" spans="3:26" ht="23" thickBot="1">
      <c r="C1617" s="218"/>
      <c r="D1617" s="529" t="s">
        <v>436</v>
      </c>
      <c r="E1617" s="363" t="s">
        <v>29</v>
      </c>
      <c r="F1617" s="363" t="s">
        <v>28</v>
      </c>
      <c r="G1617" s="364" t="s">
        <v>27</v>
      </c>
      <c r="H1617" s="901" t="s">
        <v>793</v>
      </c>
      <c r="I1617" s="1246"/>
      <c r="J1617" s="1246"/>
      <c r="K1617" s="1247"/>
      <c r="L1617" s="893" t="s">
        <v>1246</v>
      </c>
      <c r="M1617" s="340"/>
      <c r="N1617" s="219"/>
      <c r="O1617" s="229"/>
      <c r="P1617" s="230"/>
      <c r="Q1617" s="229"/>
      <c r="R1617" s="229"/>
      <c r="S1617" s="229"/>
      <c r="T1617" s="229"/>
      <c r="U1617" s="254"/>
      <c r="V1617" s="255"/>
      <c r="W1617" s="229"/>
      <c r="X1617" s="254"/>
      <c r="Y1617" s="230"/>
      <c r="Z1617" s="230"/>
    </row>
    <row r="1618" spans="3:26" ht="22">
      <c r="C1618" s="218"/>
      <c r="D1618" s="530">
        <v>45622</v>
      </c>
      <c r="E1618" s="366">
        <v>111.7</v>
      </c>
      <c r="F1618" s="366" t="s">
        <v>1314</v>
      </c>
      <c r="G1618" s="366">
        <v>109.6</v>
      </c>
      <c r="H1618" s="902">
        <v>0.625</v>
      </c>
      <c r="I1618" s="1246"/>
      <c r="J1618" s="1246"/>
      <c r="K1618" s="1247"/>
      <c r="L1618" s="894"/>
      <c r="M1618" s="342"/>
      <c r="N1618" s="219"/>
      <c r="O1618" s="229"/>
      <c r="P1618" s="230"/>
      <c r="Q1618" s="229"/>
      <c r="R1618" s="229"/>
      <c r="S1618" s="229"/>
      <c r="T1618" s="229"/>
      <c r="U1618" s="229"/>
      <c r="V1618" s="229"/>
      <c r="W1618" s="229"/>
      <c r="X1618" s="229"/>
      <c r="Y1618" s="230"/>
      <c r="Z1618" s="230"/>
    </row>
    <row r="1619" spans="3:26" ht="22">
      <c r="C1619" s="218"/>
      <c r="D1619" s="530">
        <v>45594</v>
      </c>
      <c r="E1619" s="366">
        <v>108.7</v>
      </c>
      <c r="F1619" s="366" t="s">
        <v>1091</v>
      </c>
      <c r="G1619" s="366">
        <v>99.2</v>
      </c>
      <c r="H1619" s="902">
        <v>0.58333333333333337</v>
      </c>
      <c r="I1619" s="1246"/>
      <c r="J1619" s="1246"/>
      <c r="K1619" s="1247"/>
      <c r="L1619" s="894"/>
      <c r="M1619" s="343"/>
      <c r="N1619" s="219"/>
      <c r="O1619" s="221" t="s">
        <v>813</v>
      </c>
      <c r="P1619" s="222">
        <v>0.05</v>
      </c>
      <c r="Q1619" s="257">
        <v>7.5499999999999998E-2</v>
      </c>
      <c r="R1619" s="258">
        <v>2.1999999999999999E-2</v>
      </c>
      <c r="S1619" s="225">
        <v>1.5</v>
      </c>
      <c r="T1619" s="231">
        <v>0.13524999999999998</v>
      </c>
      <c r="U1619" s="259">
        <v>-26.313490099010135</v>
      </c>
      <c r="V1619" s="260">
        <v>30.25</v>
      </c>
      <c r="W1619" s="225">
        <v>2.5</v>
      </c>
      <c r="X1619" s="227">
        <v>65.783725247525339</v>
      </c>
      <c r="Y1619" s="261"/>
      <c r="Z1619" s="261"/>
    </row>
    <row r="1620" spans="3:26" ht="22">
      <c r="C1620" s="218"/>
      <c r="D1620" s="530">
        <v>45559</v>
      </c>
      <c r="E1620" s="366">
        <v>98.7</v>
      </c>
      <c r="F1620" s="366" t="s">
        <v>874</v>
      </c>
      <c r="G1620" s="366">
        <v>105.6</v>
      </c>
      <c r="H1620" s="902">
        <v>0.58333333333333337</v>
      </c>
      <c r="I1620" s="1246"/>
      <c r="J1620" s="1246"/>
      <c r="K1620" s="1247"/>
      <c r="L1620" s="894"/>
      <c r="M1620" s="336"/>
      <c r="N1620" s="219"/>
      <c r="O1620" s="221" t="s">
        <v>813</v>
      </c>
      <c r="P1620" s="222">
        <v>-0.05</v>
      </c>
      <c r="Q1620" s="257">
        <v>7.5499999999999998E-2</v>
      </c>
      <c r="R1620" s="258">
        <v>2.1999999999999999E-2</v>
      </c>
      <c r="S1620" s="225">
        <v>-1.5</v>
      </c>
      <c r="T1620" s="231">
        <v>0.13524999999999998</v>
      </c>
      <c r="U1620" s="259">
        <v>-26.313490099010135</v>
      </c>
      <c r="V1620" s="260">
        <v>-30.25</v>
      </c>
      <c r="W1620" s="225">
        <v>2.5</v>
      </c>
      <c r="X1620" s="227">
        <v>65.783725247525339</v>
      </c>
      <c r="Y1620" s="261"/>
      <c r="Z1620" s="261"/>
    </row>
    <row r="1621" spans="3:26" ht="22">
      <c r="C1621" s="218"/>
      <c r="D1621" s="530">
        <v>45531</v>
      </c>
      <c r="E1621" s="366">
        <v>103.3</v>
      </c>
      <c r="F1621" s="366" t="s">
        <v>875</v>
      </c>
      <c r="G1621" s="366">
        <v>101.9</v>
      </c>
      <c r="H1621" s="902">
        <v>0.58333333333333337</v>
      </c>
      <c r="I1621" s="1246"/>
      <c r="J1621" s="1246"/>
      <c r="K1621" s="1247"/>
      <c r="L1621" s="894"/>
      <c r="M1621" s="336"/>
      <c r="N1621" s="219"/>
      <c r="O1621" s="221"/>
      <c r="P1621" s="262"/>
      <c r="Q1621" s="257"/>
      <c r="R1621" s="258"/>
      <c r="S1621" s="225"/>
      <c r="T1621" s="262"/>
      <c r="U1621" s="259"/>
      <c r="V1621" s="260"/>
      <c r="W1621" s="225"/>
      <c r="X1621" s="227"/>
      <c r="Y1621" s="261"/>
      <c r="Z1621" s="261"/>
    </row>
    <row r="1622" spans="3:26" ht="22">
      <c r="C1622" s="218"/>
      <c r="D1622" s="530">
        <v>45503</v>
      </c>
      <c r="E1622" s="366">
        <v>100.3</v>
      </c>
      <c r="F1622" s="366" t="s">
        <v>876</v>
      </c>
      <c r="G1622" s="366">
        <v>97.8</v>
      </c>
      <c r="H1622" s="902">
        <v>0.58333333333333337</v>
      </c>
      <c r="I1622" s="1246"/>
      <c r="J1622" s="1246"/>
      <c r="K1622" s="1247"/>
      <c r="L1622" s="894"/>
      <c r="M1622" s="336"/>
      <c r="N1622" s="219"/>
      <c r="O1622" s="263"/>
      <c r="P1622" s="263"/>
      <c r="Q1622" s="263"/>
      <c r="R1622" s="263"/>
      <c r="S1622" s="263"/>
      <c r="T1622" s="263"/>
      <c r="U1622" s="263"/>
      <c r="V1622" s="263"/>
      <c r="W1622" s="263"/>
      <c r="X1622" s="263"/>
      <c r="Y1622" s="263"/>
      <c r="Z1622" s="263"/>
    </row>
    <row r="1623" spans="3:26" ht="23" thickBot="1">
      <c r="C1623" s="218"/>
      <c r="D1623" s="530">
        <v>45468</v>
      </c>
      <c r="E1623" s="366">
        <v>100.4</v>
      </c>
      <c r="F1623" s="366" t="s">
        <v>877</v>
      </c>
      <c r="G1623" s="366">
        <v>101.3</v>
      </c>
      <c r="H1623" s="902">
        <v>0.58333333333333337</v>
      </c>
      <c r="I1623" s="1249"/>
      <c r="J1623" s="1249"/>
      <c r="K1623" s="1250"/>
      <c r="L1623" s="894"/>
      <c r="M1623" s="344"/>
      <c r="N1623" s="219"/>
      <c r="O1623" s="263"/>
      <c r="P1623" s="263"/>
      <c r="Q1623" s="263"/>
      <c r="R1623" s="263"/>
      <c r="S1623" s="263"/>
      <c r="T1623" s="263"/>
      <c r="U1623" s="263"/>
      <c r="V1623" s="263"/>
      <c r="W1623" s="263"/>
      <c r="X1623" s="263"/>
      <c r="Y1623" s="263"/>
      <c r="Z1623" s="263"/>
    </row>
    <row r="1624" spans="3:26" ht="23" thickBot="1">
      <c r="C1624" s="218"/>
      <c r="D1624" s="525" t="s">
        <v>30</v>
      </c>
      <c r="E1624" s="1534" t="s">
        <v>1301</v>
      </c>
      <c r="F1624" s="1535"/>
      <c r="G1624" s="1536"/>
      <c r="H1624" s="898" t="s">
        <v>790</v>
      </c>
      <c r="I1624" s="1256" t="s">
        <v>633</v>
      </c>
      <c r="J1624" s="1256"/>
      <c r="K1624" s="1257"/>
      <c r="L1624" s="890" t="s">
        <v>430</v>
      </c>
      <c r="M1624" s="333" t="s">
        <v>431</v>
      </c>
      <c r="N1624" s="219" t="s">
        <v>105</v>
      </c>
      <c r="O1624" s="220" t="s">
        <v>800</v>
      </c>
      <c r="P1624" s="220" t="s">
        <v>801</v>
      </c>
      <c r="Q1624" s="220" t="s">
        <v>802</v>
      </c>
      <c r="R1624" s="220" t="s">
        <v>803</v>
      </c>
      <c r="S1624" s="220" t="s">
        <v>804</v>
      </c>
      <c r="T1624" s="220" t="s">
        <v>805</v>
      </c>
      <c r="U1624" s="220" t="s">
        <v>806</v>
      </c>
      <c r="V1624" s="220" t="s">
        <v>807</v>
      </c>
      <c r="W1624" s="220" t="s">
        <v>808</v>
      </c>
      <c r="X1624" s="220" t="s">
        <v>809</v>
      </c>
      <c r="Y1624" s="220" t="s">
        <v>75</v>
      </c>
      <c r="Z1624" s="220" t="s">
        <v>75</v>
      </c>
    </row>
    <row r="1625" spans="3:26" ht="22">
      <c r="C1625" s="218"/>
      <c r="D1625" s="526" t="s">
        <v>432</v>
      </c>
      <c r="E1625" s="1549"/>
      <c r="F1625" s="1550"/>
      <c r="G1625" s="1551"/>
      <c r="H1625" s="899" t="s">
        <v>1056</v>
      </c>
      <c r="I1625" s="1243">
        <v>0</v>
      </c>
      <c r="J1625" s="1243"/>
      <c r="K1625" s="1244"/>
      <c r="L1625" s="891"/>
      <c r="M1625" s="335" t="s">
        <v>1301</v>
      </c>
      <c r="N1625" s="219"/>
      <c r="O1625" s="221" t="s">
        <v>810</v>
      </c>
      <c r="P1625" s="222">
        <v>0.1</v>
      </c>
      <c r="Q1625" s="223">
        <v>1.4E-2</v>
      </c>
      <c r="R1625" s="224">
        <v>2.2999999999996135E-2</v>
      </c>
      <c r="S1625" s="225"/>
      <c r="T1625" s="221">
        <v>4.3999999999996139E-2</v>
      </c>
      <c r="U1625" s="223">
        <v>-10.93</v>
      </c>
      <c r="V1625" s="222">
        <v>60.5</v>
      </c>
      <c r="W1625" s="226">
        <v>2</v>
      </c>
      <c r="X1625" s="227">
        <v>21.86</v>
      </c>
      <c r="Y1625" s="225"/>
      <c r="Z1625" s="225"/>
    </row>
    <row r="1626" spans="3:26" ht="44">
      <c r="C1626" s="218"/>
      <c r="D1626" s="527" t="s">
        <v>433</v>
      </c>
      <c r="E1626" s="1522">
        <v>0</v>
      </c>
      <c r="F1626" s="1523"/>
      <c r="G1626" s="1524"/>
      <c r="H1626" s="899" t="s">
        <v>1057</v>
      </c>
      <c r="I1626" s="1246"/>
      <c r="J1626" s="1246"/>
      <c r="K1626" s="1247"/>
      <c r="L1626" s="891"/>
      <c r="M1626" s="336"/>
      <c r="N1626" s="219"/>
      <c r="O1626" s="219"/>
      <c r="P1626" s="219"/>
      <c r="Q1626" s="219"/>
      <c r="R1626" s="228"/>
      <c r="S1626" s="229"/>
      <c r="T1626" s="219"/>
      <c r="U1626" s="219"/>
      <c r="V1626" s="219"/>
      <c r="W1626" s="229"/>
      <c r="X1626" s="229"/>
      <c r="Y1626" s="230"/>
      <c r="Z1626" s="230"/>
    </row>
    <row r="1627" spans="3:26" ht="22">
      <c r="C1627" s="218"/>
      <c r="D1627" s="527" t="s">
        <v>434</v>
      </c>
      <c r="E1627" s="1522">
        <v>0</v>
      </c>
      <c r="F1627" s="1523"/>
      <c r="G1627" s="1524"/>
      <c r="H1627" s="899"/>
      <c r="I1627" s="1246"/>
      <c r="J1627" s="1246"/>
      <c r="K1627" s="1247"/>
      <c r="L1627" s="891"/>
      <c r="M1627" s="336"/>
      <c r="N1627" s="219"/>
      <c r="O1627" s="231" t="s">
        <v>811</v>
      </c>
      <c r="P1627" s="232">
        <v>0.1</v>
      </c>
      <c r="Q1627" s="233">
        <v>6.4699999999999994E-2</v>
      </c>
      <c r="R1627" s="234">
        <v>5.0999999999999997E-2</v>
      </c>
      <c r="S1627" s="235">
        <v>1</v>
      </c>
      <c r="T1627" s="231">
        <v>0.14804999999999999</v>
      </c>
      <c r="U1627" s="236">
        <v>-36.77696590909413</v>
      </c>
      <c r="V1627" s="237">
        <v>60.5</v>
      </c>
      <c r="W1627" s="238">
        <v>4.26</v>
      </c>
      <c r="X1627" s="239">
        <v>156.669874772741</v>
      </c>
      <c r="Y1627" s="240"/>
      <c r="Z1627" s="240"/>
    </row>
    <row r="1628" spans="3:26" ht="23" thickBot="1">
      <c r="C1628" s="218"/>
      <c r="D1628" s="528" t="s">
        <v>435</v>
      </c>
      <c r="E1628" s="1525">
        <v>0</v>
      </c>
      <c r="F1628" s="1526"/>
      <c r="G1628" s="1527"/>
      <c r="H1628" s="900"/>
      <c r="I1628" s="1246"/>
      <c r="J1628" s="1246"/>
      <c r="K1628" s="1247"/>
      <c r="L1628" s="892">
        <v>0.22916666666666666</v>
      </c>
      <c r="M1628" s="338">
        <v>0.375</v>
      </c>
      <c r="N1628" s="219"/>
      <c r="O1628" s="241" t="s">
        <v>812</v>
      </c>
      <c r="P1628" s="242">
        <v>0.1</v>
      </c>
      <c r="Q1628" s="243">
        <v>7.2133333333333341E-2</v>
      </c>
      <c r="R1628" s="244">
        <v>5.0999999999999997E-2</v>
      </c>
      <c r="S1628" s="245">
        <v>1</v>
      </c>
      <c r="T1628" s="246">
        <v>0.15920000000000001</v>
      </c>
      <c r="U1628" s="247">
        <v>-39.546727272730742</v>
      </c>
      <c r="V1628" s="248">
        <v>60.5</v>
      </c>
      <c r="W1628" s="249">
        <v>3.07</v>
      </c>
      <c r="X1628" s="250">
        <v>121.40845272728338</v>
      </c>
      <c r="Y1628" s="251"/>
      <c r="Z1628" s="251"/>
    </row>
    <row r="1629" spans="3:26" ht="23" thickBot="1">
      <c r="C1629" s="218"/>
      <c r="D1629" s="529" t="s">
        <v>436</v>
      </c>
      <c r="E1629" s="363" t="s">
        <v>29</v>
      </c>
      <c r="F1629" s="363" t="s">
        <v>28</v>
      </c>
      <c r="G1629" s="364" t="s">
        <v>27</v>
      </c>
      <c r="H1629" s="901" t="s">
        <v>793</v>
      </c>
      <c r="I1629" s="1246"/>
      <c r="J1629" s="1246"/>
      <c r="K1629" s="1247"/>
      <c r="L1629" s="893" t="s">
        <v>1246</v>
      </c>
      <c r="M1629" s="340"/>
      <c r="N1629" s="219"/>
      <c r="O1629" s="229"/>
      <c r="P1629" s="230"/>
      <c r="Q1629" s="229"/>
      <c r="R1629" s="229"/>
      <c r="S1629" s="229"/>
      <c r="T1629" s="229"/>
      <c r="U1629" s="254"/>
      <c r="V1629" s="255"/>
      <c r="W1629" s="229"/>
      <c r="X1629" s="254"/>
      <c r="Y1629" s="230"/>
      <c r="Z1629" s="230"/>
    </row>
    <row r="1630" spans="3:26" ht="22">
      <c r="C1630" s="218"/>
      <c r="D1630" s="530">
        <v>45615</v>
      </c>
      <c r="E1630" s="365">
        <v>4.0000000000000001E-3</v>
      </c>
      <c r="F1630" s="365" t="s">
        <v>467</v>
      </c>
      <c r="G1630" s="365">
        <v>-4.0000000000000001E-3</v>
      </c>
      <c r="H1630" s="902">
        <v>0</v>
      </c>
      <c r="I1630" s="1246"/>
      <c r="J1630" s="1246"/>
      <c r="K1630" s="1247"/>
      <c r="L1630" s="894"/>
      <c r="M1630" s="342"/>
      <c r="N1630" s="219"/>
      <c r="O1630" s="229"/>
      <c r="P1630" s="230"/>
      <c r="Q1630" s="229"/>
      <c r="R1630" s="229"/>
      <c r="S1630" s="229"/>
      <c r="T1630" s="229"/>
      <c r="U1630" s="229"/>
      <c r="V1630" s="229"/>
      <c r="W1630" s="229"/>
      <c r="X1630" s="229"/>
      <c r="Y1630" s="230"/>
      <c r="Z1630" s="230"/>
    </row>
    <row r="1631" spans="3:26" ht="22">
      <c r="C1631" s="218"/>
      <c r="D1631" s="530">
        <v>45580</v>
      </c>
      <c r="E1631" s="365">
        <v>-4.0000000000000001E-3</v>
      </c>
      <c r="F1631" s="365" t="s">
        <v>461</v>
      </c>
      <c r="G1631" s="365">
        <v>-2E-3</v>
      </c>
      <c r="H1631" s="902">
        <v>0.52083333333333337</v>
      </c>
      <c r="I1631" s="1246"/>
      <c r="J1631" s="1246"/>
      <c r="K1631" s="1247"/>
      <c r="L1631" s="894"/>
      <c r="M1631" s="343"/>
      <c r="N1631" s="219"/>
      <c r="O1631" s="221" t="s">
        <v>813</v>
      </c>
      <c r="P1631" s="222">
        <v>0.02</v>
      </c>
      <c r="Q1631" s="257">
        <v>6.8416666666666667E-2</v>
      </c>
      <c r="R1631" s="258">
        <v>5.0999999999999997E-2</v>
      </c>
      <c r="S1631" s="225">
        <v>1.5</v>
      </c>
      <c r="T1631" s="231">
        <v>0.15362499999999998</v>
      </c>
      <c r="U1631" s="259">
        <v>-11.448553977273731</v>
      </c>
      <c r="V1631" s="260">
        <v>12.1</v>
      </c>
      <c r="W1631" s="225">
        <v>2</v>
      </c>
      <c r="X1631" s="227">
        <v>22.897107954547462</v>
      </c>
      <c r="Y1631" s="261"/>
      <c r="Z1631" s="261"/>
    </row>
    <row r="1632" spans="3:26" ht="22">
      <c r="C1632" s="218"/>
      <c r="D1632" s="530">
        <v>45552</v>
      </c>
      <c r="E1632" s="365">
        <v>-2E-3</v>
      </c>
      <c r="F1632" s="365" t="s">
        <v>458</v>
      </c>
      <c r="G1632" s="365">
        <v>4.0000000000000001E-3</v>
      </c>
      <c r="H1632" s="902">
        <v>0.52083333333333337</v>
      </c>
      <c r="I1632" s="1246"/>
      <c r="J1632" s="1246"/>
      <c r="K1632" s="1247"/>
      <c r="L1632" s="894"/>
      <c r="M1632" s="336"/>
      <c r="N1632" s="219"/>
      <c r="O1632" s="221" t="s">
        <v>813</v>
      </c>
      <c r="P1632" s="222">
        <v>-0.02</v>
      </c>
      <c r="Q1632" s="257">
        <v>6.8416666666666667E-2</v>
      </c>
      <c r="R1632" s="258">
        <v>5.0999999999999997E-2</v>
      </c>
      <c r="S1632" s="225">
        <v>-1.5</v>
      </c>
      <c r="T1632" s="231">
        <v>0.15362499999999998</v>
      </c>
      <c r="U1632" s="259">
        <v>-11.448553977273731</v>
      </c>
      <c r="V1632" s="260">
        <v>-12.1</v>
      </c>
      <c r="W1632" s="225">
        <v>2</v>
      </c>
      <c r="X1632" s="227">
        <v>22.897107954547462</v>
      </c>
      <c r="Y1632" s="261"/>
      <c r="Z1632" s="261"/>
    </row>
    <row r="1633" spans="3:26" ht="22">
      <c r="C1633" s="218"/>
      <c r="D1633" s="530">
        <v>45524</v>
      </c>
      <c r="E1633" s="365">
        <v>4.0000000000000001E-3</v>
      </c>
      <c r="F1633" s="365" t="s">
        <v>452</v>
      </c>
      <c r="G1633" s="365">
        <v>-1E-3</v>
      </c>
      <c r="H1633" s="902">
        <v>0.52083333333333337</v>
      </c>
      <c r="I1633" s="1246"/>
      <c r="J1633" s="1246"/>
      <c r="K1633" s="1247"/>
      <c r="L1633" s="894"/>
      <c r="M1633" s="336"/>
      <c r="N1633" s="219"/>
      <c r="O1633" s="221"/>
      <c r="P1633" s="262"/>
      <c r="Q1633" s="257"/>
      <c r="R1633" s="258"/>
      <c r="S1633" s="225"/>
      <c r="T1633" s="262"/>
      <c r="U1633" s="259"/>
      <c r="V1633" s="260"/>
      <c r="W1633" s="225"/>
      <c r="X1633" s="227"/>
      <c r="Y1633" s="261"/>
      <c r="Z1633" s="261"/>
    </row>
    <row r="1634" spans="3:26" ht="22">
      <c r="C1634" s="218"/>
      <c r="D1634" s="530">
        <v>45489</v>
      </c>
      <c r="E1634" s="365">
        <v>-1E-3</v>
      </c>
      <c r="F1634" s="365" t="s">
        <v>462</v>
      </c>
      <c r="G1634" s="365">
        <v>6.0000000000000001E-3</v>
      </c>
      <c r="H1634" s="902">
        <v>0.52083333333333337</v>
      </c>
      <c r="I1634" s="1246"/>
      <c r="J1634" s="1246"/>
      <c r="K1634" s="1247"/>
      <c r="L1634" s="894"/>
      <c r="M1634" s="336"/>
      <c r="N1634" s="219"/>
      <c r="O1634" s="263"/>
      <c r="P1634" s="263"/>
      <c r="Q1634" s="263"/>
      <c r="R1634" s="263"/>
      <c r="S1634" s="263"/>
      <c r="T1634" s="263"/>
      <c r="U1634" s="263"/>
      <c r="V1634" s="263"/>
      <c r="W1634" s="263"/>
      <c r="X1634" s="263"/>
      <c r="Y1634" s="263"/>
      <c r="Z1634" s="263"/>
    </row>
    <row r="1635" spans="3:26" ht="23" thickBot="1">
      <c r="C1635" s="218"/>
      <c r="D1635" s="530">
        <v>45468</v>
      </c>
      <c r="E1635" s="365">
        <v>6.0000000000000001E-3</v>
      </c>
      <c r="F1635" s="365" t="s">
        <v>467</v>
      </c>
      <c r="G1635" s="365">
        <v>5.0000000000000001E-3</v>
      </c>
      <c r="H1635" s="902">
        <v>0.52083333333333337</v>
      </c>
      <c r="I1635" s="1249"/>
      <c r="J1635" s="1249"/>
      <c r="K1635" s="1250"/>
      <c r="L1635" s="894"/>
      <c r="M1635" s="344"/>
      <c r="N1635" s="219"/>
      <c r="O1635" s="263"/>
      <c r="P1635" s="263"/>
      <c r="Q1635" s="263"/>
      <c r="R1635" s="263"/>
      <c r="S1635" s="263"/>
      <c r="T1635" s="263"/>
      <c r="U1635" s="263"/>
      <c r="V1635" s="263"/>
      <c r="W1635" s="263"/>
      <c r="X1635" s="263"/>
      <c r="Y1635" s="263"/>
      <c r="Z1635" s="263"/>
    </row>
    <row r="1636" spans="3:26" ht="23" thickBot="1">
      <c r="C1636" s="218">
        <v>2</v>
      </c>
      <c r="D1636" s="525" t="s">
        <v>30</v>
      </c>
      <c r="E1636" s="1534" t="s">
        <v>1302</v>
      </c>
      <c r="F1636" s="1535"/>
      <c r="G1636" s="1536"/>
      <c r="H1636" s="898" t="s">
        <v>790</v>
      </c>
      <c r="I1636" s="1256" t="s">
        <v>633</v>
      </c>
      <c r="J1636" s="1256"/>
      <c r="K1636" s="1257"/>
      <c r="L1636" s="890" t="s">
        <v>430</v>
      </c>
      <c r="M1636" s="333" t="s">
        <v>431</v>
      </c>
      <c r="N1636" s="219" t="s">
        <v>105</v>
      </c>
      <c r="O1636" s="220" t="s">
        <v>800</v>
      </c>
      <c r="P1636" s="220" t="s">
        <v>801</v>
      </c>
      <c r="Q1636" s="220" t="s">
        <v>802</v>
      </c>
      <c r="R1636" s="220" t="s">
        <v>803</v>
      </c>
      <c r="S1636" s="220" t="s">
        <v>804</v>
      </c>
      <c r="T1636" s="220" t="s">
        <v>805</v>
      </c>
      <c r="U1636" s="220" t="s">
        <v>806</v>
      </c>
      <c r="V1636" s="220" t="s">
        <v>807</v>
      </c>
      <c r="W1636" s="220" t="s">
        <v>808</v>
      </c>
      <c r="X1636" s="220" t="s">
        <v>809</v>
      </c>
      <c r="Y1636" s="220" t="s">
        <v>75</v>
      </c>
      <c r="Z1636" s="220" t="s">
        <v>75</v>
      </c>
    </row>
    <row r="1637" spans="3:26" ht="22">
      <c r="C1637" s="218"/>
      <c r="D1637" s="532" t="s">
        <v>432</v>
      </c>
      <c r="E1637" s="1537"/>
      <c r="F1637" s="1538"/>
      <c r="G1637" s="1539"/>
      <c r="H1637" s="899" t="s">
        <v>794</v>
      </c>
      <c r="I1637" s="1243" t="s">
        <v>1303</v>
      </c>
      <c r="J1637" s="1243"/>
      <c r="K1637" s="1244"/>
      <c r="L1637" s="891"/>
      <c r="M1637" s="335" t="s">
        <v>1302</v>
      </c>
      <c r="N1637" s="219"/>
      <c r="O1637" s="221" t="s">
        <v>810</v>
      </c>
      <c r="P1637" s="222">
        <v>0.1</v>
      </c>
      <c r="Q1637" s="223">
        <v>2.5999999999999999E-2</v>
      </c>
      <c r="R1637" s="224">
        <v>1.8000000000000682E-2</v>
      </c>
      <c r="S1637" s="225"/>
      <c r="T1637" s="221">
        <v>5.7000000000000682E-2</v>
      </c>
      <c r="U1637" s="223">
        <v>-13.52</v>
      </c>
      <c r="V1637" s="222">
        <v>60.5</v>
      </c>
      <c r="W1637" s="226">
        <v>2</v>
      </c>
      <c r="X1637" s="227">
        <v>27.04</v>
      </c>
      <c r="Y1637" s="225"/>
      <c r="Z1637" s="225"/>
    </row>
    <row r="1638" spans="3:26" ht="22">
      <c r="C1638" s="218"/>
      <c r="D1638" s="533" t="s">
        <v>433</v>
      </c>
      <c r="E1638" s="1540">
        <v>-4.0000000000000001E-3</v>
      </c>
      <c r="F1638" s="1541"/>
      <c r="G1638" s="1542"/>
      <c r="H1638" s="899" t="s">
        <v>795</v>
      </c>
      <c r="I1638" s="1246"/>
      <c r="J1638" s="1246"/>
      <c r="K1638" s="1247"/>
      <c r="L1638" s="891"/>
      <c r="M1638" s="336"/>
      <c r="N1638" s="219"/>
      <c r="O1638" s="219"/>
      <c r="P1638" s="219"/>
      <c r="Q1638" s="219"/>
      <c r="R1638" s="228"/>
      <c r="S1638" s="229"/>
      <c r="T1638" s="219"/>
      <c r="U1638" s="219"/>
      <c r="V1638" s="219"/>
      <c r="W1638" s="229"/>
      <c r="X1638" s="229"/>
      <c r="Y1638" s="230"/>
      <c r="Z1638" s="230"/>
    </row>
    <row r="1639" spans="3:26" ht="22">
      <c r="C1639" s="218"/>
      <c r="D1639" s="533" t="s">
        <v>434</v>
      </c>
      <c r="E1639" s="1540">
        <v>2E-3</v>
      </c>
      <c r="F1639" s="1541"/>
      <c r="G1639" s="1542"/>
      <c r="H1639" s="899"/>
      <c r="I1639" s="1246"/>
      <c r="J1639" s="1246"/>
      <c r="K1639" s="1247"/>
      <c r="L1639" s="891"/>
      <c r="M1639" s="336"/>
      <c r="N1639" s="219"/>
      <c r="O1639" s="231" t="s">
        <v>811</v>
      </c>
      <c r="P1639" s="232">
        <v>0.1</v>
      </c>
      <c r="Q1639" s="233">
        <v>6.8900000000000003E-2</v>
      </c>
      <c r="R1639" s="234">
        <v>2.8000000000000001E-2</v>
      </c>
      <c r="S1639" s="235">
        <v>1.6</v>
      </c>
      <c r="T1639" s="231">
        <v>0.13134999999999999</v>
      </c>
      <c r="U1639" s="236">
        <v>-31.155298245613661</v>
      </c>
      <c r="V1639" s="237">
        <v>60.5</v>
      </c>
      <c r="W1639" s="238">
        <v>3.1</v>
      </c>
      <c r="X1639" s="239">
        <v>96.581424561402358</v>
      </c>
      <c r="Y1639" s="240"/>
      <c r="Z1639" s="240"/>
    </row>
    <row r="1640" spans="3:26" ht="23" thickBot="1">
      <c r="C1640" s="218"/>
      <c r="D1640" s="534" t="s">
        <v>435</v>
      </c>
      <c r="E1640" s="1543">
        <v>0.5625</v>
      </c>
      <c r="F1640" s="1544"/>
      <c r="G1640" s="1545"/>
      <c r="H1640" s="900">
        <v>0.35416666666666663</v>
      </c>
      <c r="I1640" s="1246"/>
      <c r="J1640" s="1246"/>
      <c r="K1640" s="1247"/>
      <c r="L1640" s="892">
        <v>0.79166666666666663</v>
      </c>
      <c r="M1640" s="338">
        <v>0.64583333333333326</v>
      </c>
      <c r="N1640" s="219"/>
      <c r="O1640" s="241" t="s">
        <v>812</v>
      </c>
      <c r="P1640" s="242">
        <v>0.1</v>
      </c>
      <c r="Q1640" s="243">
        <v>-1.4933333333333335E-2</v>
      </c>
      <c r="R1640" s="244">
        <v>0.1353</v>
      </c>
      <c r="S1640" s="245">
        <v>1.6</v>
      </c>
      <c r="T1640" s="246">
        <v>0.1129</v>
      </c>
      <c r="U1640" s="247">
        <v>-42.846540350876687</v>
      </c>
      <c r="V1640" s="248">
        <v>60.5</v>
      </c>
      <c r="W1640" s="249">
        <v>5.92</v>
      </c>
      <c r="X1640" s="250">
        <v>253.65151887718997</v>
      </c>
      <c r="Y1640" s="251"/>
      <c r="Z1640" s="251"/>
    </row>
    <row r="1641" spans="3:26" ht="23" thickBot="1">
      <c r="C1641" s="218"/>
      <c r="D1641" s="535" t="s">
        <v>436</v>
      </c>
      <c r="E1641" s="367" t="s">
        <v>29</v>
      </c>
      <c r="F1641" s="367" t="s">
        <v>28</v>
      </c>
      <c r="G1641" s="368" t="s">
        <v>27</v>
      </c>
      <c r="H1641" s="901" t="s">
        <v>793</v>
      </c>
      <c r="I1641" s="1246"/>
      <c r="J1641" s="1246"/>
      <c r="K1641" s="1247"/>
      <c r="L1641" s="893" t="s">
        <v>1246</v>
      </c>
      <c r="M1641" s="340"/>
      <c r="N1641" s="219"/>
      <c r="O1641" s="229"/>
      <c r="P1641" s="230"/>
      <c r="Q1641" s="229"/>
      <c r="R1641" s="229"/>
      <c r="S1641" s="229"/>
      <c r="T1641" s="229"/>
      <c r="U1641" s="254"/>
      <c r="V1641" s="255"/>
      <c r="W1641" s="229"/>
      <c r="X1641" s="254"/>
      <c r="Y1641" s="230"/>
      <c r="Z1641" s="230"/>
    </row>
    <row r="1642" spans="3:26" ht="22">
      <c r="C1642" s="218"/>
      <c r="D1642" s="536">
        <v>45623</v>
      </c>
      <c r="E1642" s="369">
        <v>2E-3</v>
      </c>
      <c r="F1642" s="369" t="s">
        <v>1315</v>
      </c>
      <c r="G1642" s="369">
        <v>-4.0000000000000001E-3</v>
      </c>
      <c r="H1642" s="902">
        <v>0.5625</v>
      </c>
      <c r="I1642" s="1246"/>
      <c r="J1642" s="1246"/>
      <c r="K1642" s="1247"/>
      <c r="L1642" s="894">
        <v>0.52083333333333337</v>
      </c>
      <c r="M1642" s="342"/>
      <c r="N1642" s="219"/>
      <c r="O1642" s="229"/>
      <c r="P1642" s="230"/>
      <c r="Q1642" s="229"/>
      <c r="R1642" s="229"/>
      <c r="S1642" s="229"/>
      <c r="T1642" s="229"/>
      <c r="U1642" s="229"/>
      <c r="V1642" s="229"/>
      <c r="W1642" s="229"/>
      <c r="X1642" s="229"/>
      <c r="Y1642" s="230"/>
      <c r="Z1642" s="230"/>
    </row>
    <row r="1643" spans="3:26" ht="22">
      <c r="C1643" s="218"/>
      <c r="D1643" s="536">
        <v>45590</v>
      </c>
      <c r="E1643" s="369">
        <v>-8.0000000000000002E-3</v>
      </c>
      <c r="F1643" s="369" t="s">
        <v>1110</v>
      </c>
      <c r="G1643" s="369">
        <v>-8.0000000000000002E-3</v>
      </c>
      <c r="H1643" s="902">
        <v>0.52083333333333337</v>
      </c>
      <c r="I1643" s="1246"/>
      <c r="J1643" s="1246"/>
      <c r="K1643" s="1247"/>
      <c r="L1643" s="894">
        <v>0.52083333333333337</v>
      </c>
      <c r="M1643" s="343"/>
      <c r="N1643" s="219"/>
      <c r="O1643" s="221" t="s">
        <v>813</v>
      </c>
      <c r="P1643" s="222">
        <v>0.05</v>
      </c>
      <c r="Q1643" s="257">
        <v>2.6983333333333335E-2</v>
      </c>
      <c r="R1643" s="258">
        <v>0.1353</v>
      </c>
      <c r="S1643" s="225">
        <v>1.6</v>
      </c>
      <c r="T1643" s="231">
        <v>0.17577500000000001</v>
      </c>
      <c r="U1643" s="259">
        <v>-33.354077192982061</v>
      </c>
      <c r="V1643" s="260">
        <v>30.25</v>
      </c>
      <c r="W1643" s="361">
        <v>1.8</v>
      </c>
      <c r="X1643" s="227">
        <v>60.037338947367708</v>
      </c>
      <c r="Y1643" s="261"/>
      <c r="Z1643" s="261"/>
    </row>
    <row r="1644" spans="3:26" ht="22">
      <c r="C1644" s="218"/>
      <c r="D1644" s="536">
        <v>45561</v>
      </c>
      <c r="E1644" s="369">
        <v>0</v>
      </c>
      <c r="F1644" s="369" t="s">
        <v>778</v>
      </c>
      <c r="G1644" s="369">
        <v>9.9000000000000005E-2</v>
      </c>
      <c r="H1644" s="902">
        <v>0.52083333333333337</v>
      </c>
      <c r="I1644" s="1246"/>
      <c r="J1644" s="1246"/>
      <c r="K1644" s="1247"/>
      <c r="L1644" s="894">
        <v>0.52083333333333337</v>
      </c>
      <c r="M1644" s="336"/>
      <c r="N1644" s="219"/>
      <c r="O1644" s="221" t="s">
        <v>813</v>
      </c>
      <c r="P1644" s="222">
        <v>0.05</v>
      </c>
      <c r="Q1644" s="257">
        <v>2.6983333333333335E-2</v>
      </c>
      <c r="R1644" s="258">
        <v>0.1353</v>
      </c>
      <c r="S1644" s="225">
        <v>1.6</v>
      </c>
      <c r="T1644" s="231">
        <v>0.17577500000000001</v>
      </c>
      <c r="U1644" s="259">
        <v>-33.354077192982061</v>
      </c>
      <c r="V1644" s="260">
        <v>30.25</v>
      </c>
      <c r="W1644" s="361">
        <v>1.8</v>
      </c>
      <c r="X1644" s="227">
        <v>60.037338947367708</v>
      </c>
      <c r="Y1644" s="261"/>
      <c r="Z1644" s="261"/>
    </row>
    <row r="1645" spans="3:26" ht="22">
      <c r="C1645" s="218"/>
      <c r="D1645" s="536">
        <v>45530</v>
      </c>
      <c r="E1645" s="369">
        <v>9.9000000000000005E-2</v>
      </c>
      <c r="F1645" s="369" t="s">
        <v>630</v>
      </c>
      <c r="G1645" s="369">
        <v>-6.9000000000000006E-2</v>
      </c>
      <c r="H1645" s="902">
        <v>0.52083333333333337</v>
      </c>
      <c r="I1645" s="1246"/>
      <c r="J1645" s="1246"/>
      <c r="K1645" s="1247"/>
      <c r="L1645" s="894">
        <v>0.52083333333333337</v>
      </c>
      <c r="M1645" s="336"/>
      <c r="N1645" s="219"/>
      <c r="O1645" s="221"/>
      <c r="P1645" s="262"/>
      <c r="Q1645" s="257"/>
      <c r="R1645" s="258"/>
      <c r="S1645" s="225"/>
      <c r="T1645" s="262"/>
      <c r="U1645" s="259"/>
      <c r="V1645" s="260"/>
      <c r="W1645" s="225"/>
      <c r="X1645" s="227"/>
      <c r="Y1645" s="261"/>
      <c r="Z1645" s="261"/>
    </row>
    <row r="1646" spans="3:26" ht="22">
      <c r="C1646" s="218"/>
      <c r="D1646" s="536">
        <v>45498</v>
      </c>
      <c r="E1646" s="369">
        <v>-6.6000000000000003E-2</v>
      </c>
      <c r="F1646" s="369" t="s">
        <v>467</v>
      </c>
      <c r="G1646" s="369">
        <v>1E-3</v>
      </c>
      <c r="H1646" s="902">
        <v>0.52083333333333337</v>
      </c>
      <c r="I1646" s="1246"/>
      <c r="J1646" s="1246"/>
      <c r="K1646" s="1247"/>
      <c r="L1646" s="894">
        <v>0.52083333333333337</v>
      </c>
      <c r="M1646" s="336"/>
      <c r="N1646" s="219"/>
      <c r="O1646" s="263"/>
      <c r="P1646" s="263"/>
      <c r="Q1646" s="263"/>
      <c r="R1646" s="263"/>
      <c r="S1646" s="263"/>
      <c r="T1646" s="263"/>
      <c r="U1646" s="263"/>
      <c r="V1646" s="263"/>
      <c r="W1646" s="263"/>
      <c r="X1646" s="263"/>
      <c r="Y1646" s="263"/>
      <c r="Z1646" s="263"/>
    </row>
    <row r="1647" spans="3:26" ht="23" thickBot="1">
      <c r="C1647" s="218"/>
      <c r="D1647" s="536">
        <v>45470</v>
      </c>
      <c r="E1647" s="369">
        <v>1E-3</v>
      </c>
      <c r="F1647" s="369" t="s">
        <v>782</v>
      </c>
      <c r="G1647" s="369">
        <v>2E-3</v>
      </c>
      <c r="H1647" s="902">
        <v>0.52083333333333337</v>
      </c>
      <c r="I1647" s="1249"/>
      <c r="J1647" s="1249"/>
      <c r="K1647" s="1250"/>
      <c r="L1647" s="894">
        <v>0.52083333333333337</v>
      </c>
      <c r="M1647" s="344"/>
      <c r="N1647" s="219"/>
      <c r="O1647" s="263"/>
      <c r="P1647" s="267"/>
      <c r="Q1647" s="263"/>
      <c r="R1647" s="263"/>
      <c r="S1647" s="263"/>
      <c r="T1647" s="263"/>
      <c r="U1647" s="263"/>
      <c r="V1647" s="263"/>
      <c r="W1647" s="263"/>
      <c r="X1647" s="263"/>
      <c r="Y1647" s="263"/>
      <c r="Z1647" s="263"/>
    </row>
    <row r="1648" spans="3:26" ht="23" thickBot="1">
      <c r="C1648" s="218">
        <v>3</v>
      </c>
      <c r="D1648" s="537" t="s">
        <v>30</v>
      </c>
      <c r="E1648" s="1546" t="s">
        <v>1304</v>
      </c>
      <c r="F1648" s="1547"/>
      <c r="G1648" s="1548"/>
      <c r="H1648" s="898" t="s">
        <v>790</v>
      </c>
      <c r="I1648" s="1256" t="s">
        <v>633</v>
      </c>
      <c r="J1648" s="1256"/>
      <c r="K1648" s="1257"/>
      <c r="L1648" s="890" t="s">
        <v>430</v>
      </c>
      <c r="M1648" s="347" t="s">
        <v>431</v>
      </c>
      <c r="N1648" s="219" t="s">
        <v>105</v>
      </c>
      <c r="O1648" s="220" t="s">
        <v>800</v>
      </c>
      <c r="P1648" s="220" t="s">
        <v>801</v>
      </c>
      <c r="Q1648" s="220" t="s">
        <v>802</v>
      </c>
      <c r="R1648" s="220" t="s">
        <v>803</v>
      </c>
      <c r="S1648" s="220" t="s">
        <v>804</v>
      </c>
      <c r="T1648" s="220" t="s">
        <v>805</v>
      </c>
      <c r="U1648" s="220" t="s">
        <v>806</v>
      </c>
      <c r="V1648" s="220" t="s">
        <v>807</v>
      </c>
      <c r="W1648" s="220" t="s">
        <v>808</v>
      </c>
      <c r="X1648" s="220" t="s">
        <v>809</v>
      </c>
      <c r="Y1648" s="220" t="s">
        <v>75</v>
      </c>
      <c r="Z1648" s="220" t="s">
        <v>75</v>
      </c>
    </row>
    <row r="1649" spans="3:26" ht="22">
      <c r="C1649" s="218"/>
      <c r="D1649" s="532" t="s">
        <v>432</v>
      </c>
      <c r="E1649" s="1537"/>
      <c r="F1649" s="1538"/>
      <c r="G1649" s="1539"/>
      <c r="H1649" s="899" t="s">
        <v>794</v>
      </c>
      <c r="I1649" s="1243" t="s">
        <v>1307</v>
      </c>
      <c r="J1649" s="1243"/>
      <c r="K1649" s="1244"/>
      <c r="L1649" s="891"/>
      <c r="M1649" s="335" t="s">
        <v>1304</v>
      </c>
      <c r="N1649" s="219"/>
      <c r="O1649" s="221" t="s">
        <v>810</v>
      </c>
      <c r="P1649" s="222">
        <v>0.1</v>
      </c>
      <c r="Q1649" s="223">
        <v>2.5000000000000001E-2</v>
      </c>
      <c r="R1649" s="224">
        <v>2.1000000000015007E-2</v>
      </c>
      <c r="S1649" s="225"/>
      <c r="T1649" s="221">
        <v>5.8500000000015012E-2</v>
      </c>
      <c r="U1649" s="223">
        <v>-14.31</v>
      </c>
      <c r="V1649" s="222">
        <v>60.5</v>
      </c>
      <c r="W1649" s="226">
        <v>2</v>
      </c>
      <c r="X1649" s="227">
        <v>28.62</v>
      </c>
      <c r="Y1649" s="225"/>
      <c r="Z1649" s="225"/>
    </row>
    <row r="1650" spans="3:26" ht="22">
      <c r="C1650" s="218"/>
      <c r="D1650" s="533" t="s">
        <v>433</v>
      </c>
      <c r="E1650" s="1540" t="s">
        <v>1305</v>
      </c>
      <c r="F1650" s="1541"/>
      <c r="G1650" s="1542"/>
      <c r="H1650" s="899" t="s">
        <v>795</v>
      </c>
      <c r="I1650" s="1246"/>
      <c r="J1650" s="1246"/>
      <c r="K1650" s="1247"/>
      <c r="L1650" s="891"/>
      <c r="M1650" s="336"/>
      <c r="N1650" s="219"/>
      <c r="O1650" s="219"/>
      <c r="P1650" s="219"/>
      <c r="Q1650" s="219"/>
      <c r="R1650" s="228"/>
      <c r="S1650" s="229"/>
      <c r="T1650" s="219"/>
      <c r="U1650" s="219"/>
      <c r="V1650" s="219"/>
      <c r="W1650" s="229"/>
      <c r="X1650" s="229"/>
      <c r="Y1650" s="230"/>
      <c r="Z1650" s="230"/>
    </row>
    <row r="1651" spans="3:26" ht="22">
      <c r="C1651" s="218"/>
      <c r="D1651" s="533" t="s">
        <v>434</v>
      </c>
      <c r="E1651" s="1540" t="s">
        <v>1306</v>
      </c>
      <c r="F1651" s="1541"/>
      <c r="G1651" s="1542"/>
      <c r="H1651" s="899"/>
      <c r="I1651" s="1246"/>
      <c r="J1651" s="1246"/>
      <c r="K1651" s="1247"/>
      <c r="L1651" s="891"/>
      <c r="M1651" s="336"/>
      <c r="N1651" s="219"/>
      <c r="O1651" s="231" t="s">
        <v>811</v>
      </c>
      <c r="P1651" s="232">
        <v>0.1</v>
      </c>
      <c r="Q1651" s="233">
        <v>6.8099999999999994E-2</v>
      </c>
      <c r="R1651" s="234">
        <v>4.8000000000000001E-2</v>
      </c>
      <c r="S1651" s="235">
        <v>1</v>
      </c>
      <c r="T1651" s="231">
        <v>0.15015000000000001</v>
      </c>
      <c r="U1651" s="236">
        <v>-36.728999999990577</v>
      </c>
      <c r="V1651" s="237">
        <v>60.5</v>
      </c>
      <c r="W1651" s="238">
        <v>3.83</v>
      </c>
      <c r="X1651" s="239">
        <v>140.67206999996392</v>
      </c>
      <c r="Y1651" s="240"/>
      <c r="Z1651" s="240"/>
    </row>
    <row r="1652" spans="3:26" ht="23" thickBot="1">
      <c r="C1652" s="218"/>
      <c r="D1652" s="534" t="s">
        <v>435</v>
      </c>
      <c r="E1652" s="1543">
        <v>0.625</v>
      </c>
      <c r="F1652" s="1544"/>
      <c r="G1652" s="1545"/>
      <c r="H1652" s="900">
        <v>0.41666666666666663</v>
      </c>
      <c r="I1652" s="1246"/>
      <c r="J1652" s="1246"/>
      <c r="K1652" s="1247"/>
      <c r="L1652" s="892">
        <v>0.85416666666666663</v>
      </c>
      <c r="M1652" s="338">
        <v>-0.14583333333333334</v>
      </c>
      <c r="N1652" s="219"/>
      <c r="O1652" s="241" t="s">
        <v>812</v>
      </c>
      <c r="P1652" s="242">
        <v>0.1</v>
      </c>
      <c r="Q1652" s="243">
        <v>9.7799999999999998E-2</v>
      </c>
      <c r="R1652" s="244">
        <v>4.8000000000000001E-2</v>
      </c>
      <c r="S1652" s="245">
        <v>1</v>
      </c>
      <c r="T1652" s="246">
        <v>0.19470000000000001</v>
      </c>
      <c r="U1652" s="247">
        <v>-47.62661538460317</v>
      </c>
      <c r="V1652" s="248">
        <v>60.5</v>
      </c>
      <c r="W1652" s="249">
        <v>8.1300000000000008</v>
      </c>
      <c r="X1652" s="250">
        <v>387.20438307682383</v>
      </c>
      <c r="Y1652" s="251"/>
      <c r="Z1652" s="251"/>
    </row>
    <row r="1653" spans="3:26" ht="23" thickBot="1">
      <c r="C1653" s="218"/>
      <c r="D1653" s="535" t="s">
        <v>436</v>
      </c>
      <c r="E1653" s="367" t="s">
        <v>29</v>
      </c>
      <c r="F1653" s="367" t="s">
        <v>28</v>
      </c>
      <c r="G1653" s="368" t="s">
        <v>27</v>
      </c>
      <c r="H1653" s="901" t="s">
        <v>793</v>
      </c>
      <c r="I1653" s="1246"/>
      <c r="J1653" s="1246"/>
      <c r="K1653" s="1247"/>
      <c r="L1653" s="893"/>
      <c r="M1653" s="340"/>
      <c r="N1653" s="219"/>
      <c r="O1653" s="229"/>
      <c r="P1653" s="230"/>
      <c r="Q1653" s="229"/>
      <c r="R1653" s="229"/>
      <c r="S1653" s="229"/>
      <c r="T1653" s="229"/>
      <c r="U1653" s="254"/>
      <c r="V1653" s="255"/>
      <c r="W1653" s="229"/>
      <c r="X1653" s="254"/>
      <c r="Y1653" s="230"/>
      <c r="Z1653" s="230"/>
    </row>
    <row r="1654" spans="3:26" ht="22">
      <c r="C1654" s="218"/>
      <c r="D1654" s="536">
        <v>45622</v>
      </c>
      <c r="E1654" s="369" t="s">
        <v>1316</v>
      </c>
      <c r="F1654" s="369" t="s">
        <v>1317</v>
      </c>
      <c r="G1654" s="369" t="s">
        <v>1092</v>
      </c>
      <c r="H1654" s="902">
        <v>0.5625</v>
      </c>
      <c r="I1654" s="1246"/>
      <c r="J1654" s="1246"/>
      <c r="K1654" s="1247"/>
      <c r="L1654" s="894"/>
      <c r="M1654" s="342"/>
      <c r="N1654" s="219"/>
      <c r="O1654" s="229"/>
      <c r="P1654" s="230"/>
      <c r="Q1654" s="229"/>
      <c r="R1654" s="229"/>
      <c r="S1654" s="229"/>
      <c r="T1654" s="229"/>
      <c r="U1654" s="229"/>
      <c r="V1654" s="229"/>
      <c r="W1654" s="229"/>
      <c r="X1654" s="229"/>
      <c r="Y1654" s="230"/>
      <c r="Z1654" s="230"/>
    </row>
    <row r="1655" spans="3:26" ht="22">
      <c r="C1655" s="218"/>
      <c r="D1655" s="536">
        <v>45589</v>
      </c>
      <c r="E1655" s="369" t="s">
        <v>1092</v>
      </c>
      <c r="F1655" s="369" t="s">
        <v>1093</v>
      </c>
      <c r="G1655" s="369" t="s">
        <v>1094</v>
      </c>
      <c r="H1655" s="902">
        <v>0.52083333333333337</v>
      </c>
      <c r="I1655" s="1246"/>
      <c r="J1655" s="1246"/>
      <c r="K1655" s="1247"/>
      <c r="L1655" s="894"/>
      <c r="M1655" s="343"/>
      <c r="N1655" s="219"/>
      <c r="O1655" s="221" t="s">
        <v>813</v>
      </c>
      <c r="P1655" s="222">
        <v>0.1</v>
      </c>
      <c r="Q1655" s="257">
        <v>8.2949999999999996E-2</v>
      </c>
      <c r="R1655" s="258">
        <v>4.8000000000000001E-2</v>
      </c>
      <c r="S1655" s="225">
        <v>1.5</v>
      </c>
      <c r="T1655" s="231">
        <v>0.17242499999999999</v>
      </c>
      <c r="U1655" s="259">
        <v>-63.2667115384453</v>
      </c>
      <c r="V1655" s="260">
        <v>60.5</v>
      </c>
      <c r="W1655" s="225">
        <v>2</v>
      </c>
      <c r="X1655" s="227">
        <v>126.5334230768906</v>
      </c>
      <c r="Y1655" s="261"/>
      <c r="Z1655" s="261"/>
    </row>
    <row r="1656" spans="3:26" ht="22">
      <c r="C1656" s="218"/>
      <c r="D1656" s="536">
        <v>45560</v>
      </c>
      <c r="E1656" s="369" t="s">
        <v>1095</v>
      </c>
      <c r="F1656" s="369" t="s">
        <v>1096</v>
      </c>
      <c r="G1656" s="369" t="s">
        <v>1097</v>
      </c>
      <c r="H1656" s="902">
        <v>0.52083333333333337</v>
      </c>
      <c r="I1656" s="1246"/>
      <c r="J1656" s="1246"/>
      <c r="K1656" s="1247"/>
      <c r="L1656" s="894"/>
      <c r="M1656" s="336"/>
      <c r="N1656" s="219"/>
      <c r="O1656" s="221" t="s">
        <v>813</v>
      </c>
      <c r="P1656" s="222">
        <v>0.1</v>
      </c>
      <c r="Q1656" s="257">
        <v>8.2949999999999996E-2</v>
      </c>
      <c r="R1656" s="258">
        <v>4.8000000000000001E-2</v>
      </c>
      <c r="S1656" s="225">
        <v>1.5</v>
      </c>
      <c r="T1656" s="231">
        <v>0.17242499999999999</v>
      </c>
      <c r="U1656" s="259">
        <v>-63.2667115384453</v>
      </c>
      <c r="V1656" s="260">
        <v>60.5</v>
      </c>
      <c r="W1656" s="225">
        <v>2</v>
      </c>
      <c r="X1656" s="227">
        <v>126.5334230768906</v>
      </c>
      <c r="Y1656" s="261"/>
      <c r="Z1656" s="261"/>
    </row>
    <row r="1657" spans="3:26" ht="22">
      <c r="C1657" s="218"/>
      <c r="D1657" s="536">
        <v>45527</v>
      </c>
      <c r="E1657" s="369" t="s">
        <v>1098</v>
      </c>
      <c r="F1657" s="369" t="s">
        <v>1099</v>
      </c>
      <c r="G1657" s="369" t="s">
        <v>1100</v>
      </c>
      <c r="H1657" s="902">
        <v>0.52083333333333337</v>
      </c>
      <c r="I1657" s="1246"/>
      <c r="J1657" s="1246"/>
      <c r="K1657" s="1247"/>
      <c r="L1657" s="894"/>
      <c r="M1657" s="336"/>
      <c r="N1657" s="219"/>
      <c r="O1657" s="221"/>
      <c r="P1657" s="262"/>
      <c r="Q1657" s="257"/>
      <c r="R1657" s="258"/>
      <c r="S1657" s="225"/>
      <c r="T1657" s="262"/>
      <c r="U1657" s="259"/>
      <c r="V1657" s="260"/>
      <c r="W1657" s="225"/>
      <c r="X1657" s="227"/>
      <c r="Y1657" s="261"/>
      <c r="Z1657" s="261"/>
    </row>
    <row r="1658" spans="3:26" ht="22">
      <c r="C1658" s="218"/>
      <c r="D1658" s="536">
        <v>45497</v>
      </c>
      <c r="E1658" s="369" t="s">
        <v>1101</v>
      </c>
      <c r="F1658" s="369" t="s">
        <v>1102</v>
      </c>
      <c r="G1658" s="369" t="s">
        <v>1103</v>
      </c>
      <c r="H1658" s="902">
        <v>0.52083333333333337</v>
      </c>
      <c r="I1658" s="1246"/>
      <c r="J1658" s="1246"/>
      <c r="K1658" s="1247"/>
      <c r="L1658" s="894"/>
      <c r="M1658" s="336"/>
      <c r="N1658" s="219"/>
      <c r="O1658" s="263"/>
      <c r="P1658" s="263"/>
      <c r="Q1658" s="263"/>
      <c r="R1658" s="263"/>
      <c r="S1658" s="263"/>
      <c r="T1658" s="263"/>
      <c r="U1658" s="263"/>
      <c r="V1658" s="263"/>
      <c r="W1658" s="263"/>
      <c r="X1658" s="263"/>
      <c r="Y1658" s="263"/>
      <c r="Z1658" s="263"/>
    </row>
    <row r="1659" spans="3:26" ht="23" thickBot="1">
      <c r="C1659" s="218"/>
      <c r="D1659" s="538">
        <v>45469</v>
      </c>
      <c r="E1659" s="370" t="s">
        <v>1104</v>
      </c>
      <c r="F1659" s="370" t="s">
        <v>1105</v>
      </c>
      <c r="G1659" s="370" t="s">
        <v>1106</v>
      </c>
      <c r="H1659" s="902">
        <v>0.52083333333333337</v>
      </c>
      <c r="I1659" s="1249"/>
      <c r="J1659" s="1249"/>
      <c r="K1659" s="1250"/>
      <c r="L1659" s="895"/>
      <c r="M1659" s="344"/>
      <c r="N1659" s="219"/>
      <c r="O1659" s="263"/>
      <c r="P1659" s="263"/>
      <c r="Q1659" s="263"/>
      <c r="R1659" s="263"/>
      <c r="S1659" s="263"/>
      <c r="T1659" s="263"/>
      <c r="U1659" s="263"/>
      <c r="V1659" s="263"/>
      <c r="W1659" s="263"/>
      <c r="X1659" s="263"/>
      <c r="Y1659" s="263"/>
      <c r="Z1659" s="263"/>
    </row>
    <row r="1660" spans="3:26" ht="23" thickBot="1">
      <c r="C1660" s="218">
        <v>4</v>
      </c>
      <c r="D1660" s="525" t="s">
        <v>30</v>
      </c>
      <c r="E1660" s="1534" t="s">
        <v>1308</v>
      </c>
      <c r="F1660" s="1535"/>
      <c r="G1660" s="1536"/>
      <c r="H1660" s="898" t="s">
        <v>790</v>
      </c>
      <c r="I1660" s="1256" t="s">
        <v>633</v>
      </c>
      <c r="J1660" s="1256"/>
      <c r="K1660" s="1257"/>
      <c r="L1660" s="890" t="s">
        <v>430</v>
      </c>
      <c r="M1660" s="333" t="s">
        <v>431</v>
      </c>
      <c r="N1660" s="219" t="s">
        <v>105</v>
      </c>
      <c r="O1660" s="220" t="s">
        <v>800</v>
      </c>
      <c r="P1660" s="220" t="s">
        <v>801</v>
      </c>
      <c r="Q1660" s="220" t="s">
        <v>802</v>
      </c>
      <c r="R1660" s="220" t="s">
        <v>803</v>
      </c>
      <c r="S1660" s="220" t="s">
        <v>804</v>
      </c>
      <c r="T1660" s="220" t="s">
        <v>805</v>
      </c>
      <c r="U1660" s="220" t="s">
        <v>806</v>
      </c>
      <c r="V1660" s="220" t="s">
        <v>807</v>
      </c>
      <c r="W1660" s="220" t="s">
        <v>808</v>
      </c>
      <c r="X1660" s="220" t="s">
        <v>809</v>
      </c>
      <c r="Y1660" s="220" t="s">
        <v>75</v>
      </c>
      <c r="Z1660" s="220" t="s">
        <v>75</v>
      </c>
    </row>
    <row r="1661" spans="3:26" ht="22">
      <c r="C1661" s="218"/>
      <c r="D1661" s="532" t="s">
        <v>432</v>
      </c>
      <c r="E1661" s="1552"/>
      <c r="F1661" s="1553"/>
      <c r="G1661" s="1554"/>
      <c r="H1661" s="899" t="s">
        <v>947</v>
      </c>
      <c r="I1661" s="1243">
        <v>0</v>
      </c>
      <c r="J1661" s="1243"/>
      <c r="K1661" s="1244"/>
      <c r="L1661" s="891"/>
      <c r="M1661" s="335" t="s">
        <v>1308</v>
      </c>
      <c r="N1661" s="219"/>
      <c r="O1661" s="221" t="s">
        <v>810</v>
      </c>
      <c r="P1661" s="222">
        <v>0.1</v>
      </c>
      <c r="Q1661" s="223">
        <v>3.4000000000000002E-2</v>
      </c>
      <c r="R1661" s="224">
        <v>1.5000000000014779E-2</v>
      </c>
      <c r="S1661" s="225"/>
      <c r="T1661" s="221">
        <v>6.6000000000014783E-2</v>
      </c>
      <c r="U1661" s="223">
        <v>-16.5</v>
      </c>
      <c r="V1661" s="222">
        <v>60.5</v>
      </c>
      <c r="W1661" s="226">
        <v>2</v>
      </c>
      <c r="X1661" s="227">
        <v>33</v>
      </c>
      <c r="Y1661" s="225"/>
      <c r="Z1661" s="225"/>
    </row>
    <row r="1662" spans="3:26" ht="44">
      <c r="C1662" s="218"/>
      <c r="D1662" s="533" t="s">
        <v>433</v>
      </c>
      <c r="E1662" s="1558">
        <v>0</v>
      </c>
      <c r="F1662" s="1559"/>
      <c r="G1662" s="1560"/>
      <c r="H1662" s="899" t="s">
        <v>908</v>
      </c>
      <c r="I1662" s="1246"/>
      <c r="J1662" s="1246"/>
      <c r="K1662" s="1247"/>
      <c r="L1662" s="891"/>
      <c r="M1662" s="336"/>
      <c r="N1662" s="219"/>
      <c r="O1662" s="219"/>
      <c r="P1662" s="219"/>
      <c r="Q1662" s="219"/>
      <c r="R1662" s="228"/>
      <c r="S1662" s="229"/>
      <c r="T1662" s="219"/>
      <c r="U1662" s="219"/>
      <c r="V1662" s="219"/>
      <c r="W1662" s="229"/>
      <c r="X1662" s="229"/>
      <c r="Y1662" s="230"/>
      <c r="Z1662" s="230"/>
    </row>
    <row r="1663" spans="3:26" ht="22">
      <c r="C1663" s="218"/>
      <c r="D1663" s="533" t="s">
        <v>434</v>
      </c>
      <c r="E1663" s="1558" t="s">
        <v>931</v>
      </c>
      <c r="F1663" s="1559"/>
      <c r="G1663" s="1560"/>
      <c r="H1663" s="899"/>
      <c r="I1663" s="1246"/>
      <c r="J1663" s="1246"/>
      <c r="K1663" s="1247"/>
      <c r="L1663" s="891"/>
      <c r="M1663" s="336"/>
      <c r="N1663" s="219"/>
      <c r="O1663" s="231" t="s">
        <v>811</v>
      </c>
      <c r="P1663" s="232">
        <v>0.06</v>
      </c>
      <c r="Q1663" s="233">
        <v>8.6699999999999999E-2</v>
      </c>
      <c r="R1663" s="234">
        <v>1.9E-2</v>
      </c>
      <c r="S1663" s="235">
        <v>1</v>
      </c>
      <c r="T1663" s="231">
        <v>0.14904999999999999</v>
      </c>
      <c r="U1663" s="236">
        <v>-22.357499999994992</v>
      </c>
      <c r="V1663" s="237">
        <v>36.299999999999997</v>
      </c>
      <c r="W1663" s="238">
        <v>4.58</v>
      </c>
      <c r="X1663" s="239">
        <v>102.39734999997707</v>
      </c>
      <c r="Y1663" s="240"/>
      <c r="Z1663" s="240">
        <v>4.4350000000000005</v>
      </c>
    </row>
    <row r="1664" spans="3:26" ht="23" thickBot="1">
      <c r="C1664" s="218"/>
      <c r="D1664" s="534" t="s">
        <v>435</v>
      </c>
      <c r="E1664" s="1543">
        <v>0</v>
      </c>
      <c r="F1664" s="1544"/>
      <c r="G1664" s="1545"/>
      <c r="H1664" s="900"/>
      <c r="I1664" s="1246"/>
      <c r="J1664" s="1246"/>
      <c r="K1664" s="1247"/>
      <c r="L1664" s="892"/>
      <c r="M1664" s="338">
        <v>8.3333333333333315E-2</v>
      </c>
      <c r="N1664" s="219"/>
      <c r="O1664" s="241" t="s">
        <v>812</v>
      </c>
      <c r="P1664" s="242">
        <v>0.06</v>
      </c>
      <c r="Q1664" s="243">
        <v>7.9733333333333337E-2</v>
      </c>
      <c r="R1664" s="244">
        <v>1.9E-2</v>
      </c>
      <c r="S1664" s="245">
        <v>1</v>
      </c>
      <c r="T1664" s="246">
        <v>0.1386</v>
      </c>
      <c r="U1664" s="247">
        <v>-20.789999999995342</v>
      </c>
      <c r="V1664" s="248">
        <v>36.299999999999997</v>
      </c>
      <c r="W1664" s="249">
        <v>3.37</v>
      </c>
      <c r="X1664" s="250">
        <v>70.062299999984305</v>
      </c>
      <c r="Y1664" s="251"/>
      <c r="Z1664" s="251"/>
    </row>
    <row r="1665" spans="3:26" ht="23" thickBot="1">
      <c r="C1665" s="218"/>
      <c r="D1665" s="535" t="s">
        <v>436</v>
      </c>
      <c r="E1665" s="367" t="s">
        <v>29</v>
      </c>
      <c r="F1665" s="367" t="s">
        <v>28</v>
      </c>
      <c r="G1665" s="368" t="s">
        <v>27</v>
      </c>
      <c r="H1665" s="901" t="s">
        <v>793</v>
      </c>
      <c r="I1665" s="1246"/>
      <c r="J1665" s="1246"/>
      <c r="K1665" s="1247"/>
      <c r="L1665" s="893"/>
      <c r="M1665" s="340"/>
      <c r="N1665" s="219"/>
      <c r="O1665" s="229"/>
      <c r="P1665" s="230"/>
      <c r="Q1665" s="229"/>
      <c r="R1665" s="229"/>
      <c r="S1665" s="229"/>
      <c r="T1665" s="229"/>
      <c r="U1665" s="254"/>
      <c r="V1665" s="255"/>
      <c r="W1665" s="229"/>
      <c r="X1665" s="254"/>
      <c r="Y1665" s="230"/>
      <c r="Z1665" s="230"/>
    </row>
    <row r="1666" spans="3:26" ht="22">
      <c r="C1666" s="218"/>
      <c r="D1666" s="539">
        <v>45616</v>
      </c>
      <c r="E1666" s="371">
        <v>2.3E-2</v>
      </c>
      <c r="F1666" s="371" t="s">
        <v>490</v>
      </c>
      <c r="G1666" s="371">
        <v>1.7000000000000001E-2</v>
      </c>
      <c r="H1666" s="902">
        <v>0</v>
      </c>
      <c r="I1666" s="1246"/>
      <c r="J1666" s="1246"/>
      <c r="K1666" s="1247"/>
      <c r="L1666" s="894"/>
      <c r="M1666" s="342"/>
      <c r="N1666" s="219"/>
      <c r="O1666" s="229"/>
      <c r="P1666" s="230"/>
      <c r="Q1666" s="229"/>
      <c r="R1666" s="229"/>
      <c r="S1666" s="229"/>
      <c r="T1666" s="229"/>
      <c r="U1666" s="229"/>
      <c r="V1666" s="229"/>
      <c r="W1666" s="229"/>
      <c r="X1666" s="229"/>
      <c r="Y1666" s="230"/>
      <c r="Z1666" s="230"/>
    </row>
    <row r="1667" spans="3:26" ht="22">
      <c r="C1667" s="218"/>
      <c r="D1667" s="539">
        <v>45581</v>
      </c>
      <c r="E1667" s="371">
        <v>1.7000000000000001E-2</v>
      </c>
      <c r="F1667" s="371" t="s">
        <v>789</v>
      </c>
      <c r="G1667" s="371">
        <v>2.1999999999999999E-2</v>
      </c>
      <c r="H1667" s="902">
        <v>0.25</v>
      </c>
      <c r="I1667" s="1246"/>
      <c r="J1667" s="1246"/>
      <c r="K1667" s="1247"/>
      <c r="L1667" s="894"/>
      <c r="M1667" s="343"/>
      <c r="N1667" s="219"/>
      <c r="O1667" s="221" t="s">
        <v>813</v>
      </c>
      <c r="P1667" s="222">
        <v>0.06</v>
      </c>
      <c r="Q1667" s="257">
        <v>8.3216666666666661E-2</v>
      </c>
      <c r="R1667" s="258">
        <v>1.9E-2</v>
      </c>
      <c r="S1667" s="225">
        <v>1</v>
      </c>
      <c r="T1667" s="231">
        <v>0.14382499999999998</v>
      </c>
      <c r="U1667" s="259">
        <v>-21.573749999995162</v>
      </c>
      <c r="V1667" s="260">
        <v>36.299999999999997</v>
      </c>
      <c r="W1667" s="225">
        <v>2</v>
      </c>
      <c r="X1667" s="227">
        <v>43.147499999990323</v>
      </c>
      <c r="Y1667" s="261"/>
      <c r="Z1667" s="261"/>
    </row>
    <row r="1668" spans="3:26" ht="22">
      <c r="C1668" s="218"/>
      <c r="D1668" s="539">
        <v>45553</v>
      </c>
      <c r="E1668" s="371">
        <v>2.1999999999999999E-2</v>
      </c>
      <c r="F1668" s="371" t="s">
        <v>490</v>
      </c>
      <c r="G1668" s="371">
        <v>2.1999999999999999E-2</v>
      </c>
      <c r="H1668" s="902">
        <v>0.25</v>
      </c>
      <c r="I1668" s="1246"/>
      <c r="J1668" s="1246"/>
      <c r="K1668" s="1247"/>
      <c r="L1668" s="894"/>
      <c r="M1668" s="336"/>
      <c r="N1668" s="219"/>
      <c r="O1668" s="221" t="s">
        <v>813</v>
      </c>
      <c r="P1668" s="222">
        <v>0.06</v>
      </c>
      <c r="Q1668" s="257">
        <v>8.3216666666666661E-2</v>
      </c>
      <c r="R1668" s="258">
        <v>1.9E-2</v>
      </c>
      <c r="S1668" s="225">
        <v>1</v>
      </c>
      <c r="T1668" s="231">
        <v>0.14382499999999998</v>
      </c>
      <c r="U1668" s="259">
        <v>-21.573749999995162</v>
      </c>
      <c r="V1668" s="260">
        <v>36.299999999999997</v>
      </c>
      <c r="W1668" s="225">
        <v>2</v>
      </c>
      <c r="X1668" s="227">
        <v>43.147499999990323</v>
      </c>
      <c r="Y1668" s="261"/>
      <c r="Z1668" s="261"/>
    </row>
    <row r="1669" spans="3:26" ht="22">
      <c r="C1669" s="218"/>
      <c r="D1669" s="539">
        <v>45518</v>
      </c>
      <c r="E1669" s="371">
        <v>2.1999999999999999E-2</v>
      </c>
      <c r="F1669" s="371" t="s">
        <v>971</v>
      </c>
      <c r="G1669" s="371">
        <v>0.02</v>
      </c>
      <c r="H1669" s="902">
        <v>0.25</v>
      </c>
      <c r="I1669" s="1246"/>
      <c r="J1669" s="1246"/>
      <c r="K1669" s="1247"/>
      <c r="L1669" s="894"/>
      <c r="M1669" s="336"/>
      <c r="N1669" s="219"/>
      <c r="O1669" s="221" t="s">
        <v>816</v>
      </c>
      <c r="P1669" s="262"/>
      <c r="Q1669" s="257"/>
      <c r="R1669" s="258"/>
      <c r="S1669" s="225"/>
      <c r="T1669" s="262"/>
      <c r="U1669" s="259"/>
      <c r="V1669" s="260"/>
      <c r="W1669" s="225"/>
      <c r="X1669" s="227"/>
      <c r="Y1669" s="261"/>
      <c r="Z1669" s="261"/>
    </row>
    <row r="1670" spans="3:26" ht="22">
      <c r="C1670" s="218"/>
      <c r="D1670" s="539">
        <v>45490</v>
      </c>
      <c r="E1670" s="371">
        <v>0.02</v>
      </c>
      <c r="F1670" s="371" t="s">
        <v>789</v>
      </c>
      <c r="G1670" s="371">
        <v>0.02</v>
      </c>
      <c r="H1670" s="902">
        <v>0.25</v>
      </c>
      <c r="I1670" s="1246"/>
      <c r="J1670" s="1246"/>
      <c r="K1670" s="1247"/>
      <c r="L1670" s="894"/>
      <c r="M1670" s="336"/>
      <c r="N1670" s="219"/>
      <c r="O1670" s="263"/>
      <c r="P1670" s="263"/>
      <c r="Q1670" s="263"/>
      <c r="R1670" s="263"/>
      <c r="S1670" s="263"/>
      <c r="T1670" s="263"/>
      <c r="U1670" s="263"/>
      <c r="V1670" s="263"/>
      <c r="W1670" s="263"/>
      <c r="X1670" s="263"/>
      <c r="Y1670" s="263"/>
      <c r="Z1670" s="263"/>
    </row>
    <row r="1671" spans="3:26" ht="23" thickBot="1">
      <c r="C1671" s="218"/>
      <c r="D1671" s="540">
        <v>45462</v>
      </c>
      <c r="E1671" s="372">
        <v>0.02</v>
      </c>
      <c r="F1671" s="372" t="s">
        <v>788</v>
      </c>
      <c r="G1671" s="372">
        <v>2.3E-2</v>
      </c>
      <c r="H1671" s="902">
        <v>0.25</v>
      </c>
      <c r="I1671" s="1249"/>
      <c r="J1671" s="1249"/>
      <c r="K1671" s="1250"/>
      <c r="L1671" s="895"/>
      <c r="M1671" s="344"/>
      <c r="N1671" s="219"/>
      <c r="O1671" s="263"/>
      <c r="P1671" s="263"/>
      <c r="Q1671" s="263"/>
      <c r="R1671" s="263"/>
      <c r="S1671" s="263"/>
      <c r="T1671" s="263"/>
      <c r="U1671" s="263"/>
      <c r="V1671" s="263"/>
      <c r="W1671" s="263"/>
      <c r="X1671" s="263"/>
      <c r="Y1671" s="263"/>
      <c r="Z1671" s="263"/>
    </row>
    <row r="1672" spans="3:26" ht="23" thickBot="1">
      <c r="C1672" s="218">
        <v>5</v>
      </c>
      <c r="D1672" s="525" t="s">
        <v>30</v>
      </c>
      <c r="E1672" s="1534" t="s">
        <v>1309</v>
      </c>
      <c r="F1672" s="1535"/>
      <c r="G1672" s="1536"/>
      <c r="H1672" s="898" t="s">
        <v>790</v>
      </c>
      <c r="I1672" s="1256" t="s">
        <v>633</v>
      </c>
      <c r="J1672" s="1256"/>
      <c r="K1672" s="1257"/>
      <c r="L1672" s="890" t="s">
        <v>430</v>
      </c>
      <c r="M1672" s="333" t="s">
        <v>431</v>
      </c>
      <c r="N1672" s="219" t="s">
        <v>105</v>
      </c>
      <c r="O1672" s="220" t="s">
        <v>800</v>
      </c>
      <c r="P1672" s="220" t="s">
        <v>801</v>
      </c>
      <c r="Q1672" s="220" t="s">
        <v>802</v>
      </c>
      <c r="R1672" s="220" t="s">
        <v>803</v>
      </c>
      <c r="S1672" s="220" t="s">
        <v>804</v>
      </c>
      <c r="T1672" s="220" t="s">
        <v>805</v>
      </c>
      <c r="U1672" s="220" t="s">
        <v>806</v>
      </c>
      <c r="V1672" s="220" t="s">
        <v>807</v>
      </c>
      <c r="W1672" s="220" t="s">
        <v>808</v>
      </c>
      <c r="X1672" s="220" t="s">
        <v>809</v>
      </c>
      <c r="Y1672" s="220" t="s">
        <v>75</v>
      </c>
      <c r="Z1672" s="220" t="s">
        <v>75</v>
      </c>
    </row>
    <row r="1673" spans="3:26" ht="22">
      <c r="C1673" s="218"/>
      <c r="D1673" s="532" t="s">
        <v>432</v>
      </c>
      <c r="E1673" s="1552"/>
      <c r="F1673" s="1553"/>
      <c r="G1673" s="1554"/>
      <c r="H1673" s="899" t="s">
        <v>794</v>
      </c>
      <c r="I1673" s="1243" t="s">
        <v>1310</v>
      </c>
      <c r="J1673" s="1243"/>
      <c r="K1673" s="1244"/>
      <c r="L1673" s="891"/>
      <c r="M1673" s="335" t="s">
        <v>1309</v>
      </c>
      <c r="N1673" s="219"/>
      <c r="O1673" s="221" t="s">
        <v>810</v>
      </c>
      <c r="P1673" s="222">
        <v>0.1</v>
      </c>
      <c r="Q1673" s="223">
        <v>3.4000000000000002E-2</v>
      </c>
      <c r="R1673" s="224">
        <v>1.5000000000014779E-2</v>
      </c>
      <c r="S1673" s="225"/>
      <c r="T1673" s="221">
        <v>6.6000000000014783E-2</v>
      </c>
      <c r="U1673" s="223">
        <v>-16.5</v>
      </c>
      <c r="V1673" s="222">
        <v>60.5</v>
      </c>
      <c r="W1673" s="226">
        <v>2</v>
      </c>
      <c r="X1673" s="227">
        <v>33</v>
      </c>
      <c r="Y1673" s="225"/>
      <c r="Z1673" s="225"/>
    </row>
    <row r="1674" spans="3:26" ht="22">
      <c r="C1674" s="218"/>
      <c r="D1674" s="533" t="s">
        <v>433</v>
      </c>
      <c r="E1674" s="1555"/>
      <c r="F1674" s="1556"/>
      <c r="G1674" s="1557"/>
      <c r="H1674" s="899" t="s">
        <v>795</v>
      </c>
      <c r="I1674" s="1246"/>
      <c r="J1674" s="1246"/>
      <c r="K1674" s="1247"/>
      <c r="L1674" s="891"/>
      <c r="M1674" s="336"/>
      <c r="N1674" s="219"/>
      <c r="O1674" s="219"/>
      <c r="P1674" s="219"/>
      <c r="Q1674" s="219"/>
      <c r="R1674" s="228"/>
      <c r="S1674" s="229"/>
      <c r="T1674" s="219"/>
      <c r="U1674" s="219"/>
      <c r="V1674" s="219"/>
      <c r="W1674" s="229"/>
      <c r="X1674" s="229"/>
      <c r="Y1674" s="230"/>
      <c r="Z1674" s="230"/>
    </row>
    <row r="1675" spans="3:26" ht="22">
      <c r="C1675" s="218"/>
      <c r="D1675" s="533" t="s">
        <v>434</v>
      </c>
      <c r="E1675" s="1555" t="s">
        <v>931</v>
      </c>
      <c r="F1675" s="1556"/>
      <c r="G1675" s="1557"/>
      <c r="H1675" s="899"/>
      <c r="I1675" s="1246"/>
      <c r="J1675" s="1246"/>
      <c r="K1675" s="1247"/>
      <c r="L1675" s="891"/>
      <c r="M1675" s="336"/>
      <c r="N1675" s="219"/>
      <c r="O1675" s="231" t="s">
        <v>811</v>
      </c>
      <c r="P1675" s="232">
        <v>0.1</v>
      </c>
      <c r="Q1675" s="233">
        <v>5.9400000000000001E-2</v>
      </c>
      <c r="R1675" s="234">
        <v>6.9999999999999999E-4</v>
      </c>
      <c r="S1675" s="235">
        <v>1</v>
      </c>
      <c r="T1675" s="231">
        <v>8.9800000000000005E-2</v>
      </c>
      <c r="U1675" s="236">
        <v>-22.449999999994972</v>
      </c>
      <c r="V1675" s="237">
        <v>60.5</v>
      </c>
      <c r="W1675" s="238">
        <v>4.38</v>
      </c>
      <c r="X1675" s="239">
        <v>98.330999999977976</v>
      </c>
      <c r="Y1675" s="240"/>
      <c r="Z1675" s="240"/>
    </row>
    <row r="1676" spans="3:26" ht="23" thickBot="1">
      <c r="C1676" s="218"/>
      <c r="D1676" s="534" t="s">
        <v>435</v>
      </c>
      <c r="E1676" s="1543">
        <v>0.5625</v>
      </c>
      <c r="F1676" s="1544"/>
      <c r="G1676" s="1545"/>
      <c r="H1676" s="900"/>
      <c r="I1676" s="1246"/>
      <c r="J1676" s="1246"/>
      <c r="K1676" s="1247"/>
      <c r="L1676" s="892">
        <v>0.79166666666666663</v>
      </c>
      <c r="M1676" s="338">
        <v>0.64583333333333326</v>
      </c>
      <c r="N1676" s="219"/>
      <c r="O1676" s="241" t="s">
        <v>812</v>
      </c>
      <c r="P1676" s="242">
        <v>0.1</v>
      </c>
      <c r="Q1676" s="243">
        <v>7.1533333333333324E-2</v>
      </c>
      <c r="R1676" s="244">
        <v>6.9999999999999999E-4</v>
      </c>
      <c r="S1676" s="245">
        <v>1</v>
      </c>
      <c r="T1676" s="246">
        <v>0.108</v>
      </c>
      <c r="U1676" s="247">
        <v>-26.999999999993953</v>
      </c>
      <c r="V1676" s="248">
        <v>60.5</v>
      </c>
      <c r="W1676" s="249">
        <v>8</v>
      </c>
      <c r="X1676" s="250">
        <v>215.99999999995163</v>
      </c>
      <c r="Y1676" s="251"/>
      <c r="Z1676" s="251"/>
    </row>
    <row r="1677" spans="3:26" ht="23" thickBot="1">
      <c r="C1677" s="218"/>
      <c r="D1677" s="535" t="s">
        <v>436</v>
      </c>
      <c r="E1677" s="367" t="s">
        <v>29</v>
      </c>
      <c r="F1677" s="367" t="s">
        <v>28</v>
      </c>
      <c r="G1677" s="368" t="s">
        <v>27</v>
      </c>
      <c r="H1677" s="901" t="s">
        <v>793</v>
      </c>
      <c r="I1677" s="1246"/>
      <c r="J1677" s="1246"/>
      <c r="K1677" s="1247"/>
      <c r="L1677" s="893" t="s">
        <v>1246</v>
      </c>
      <c r="M1677" s="340"/>
      <c r="N1677" s="219"/>
      <c r="O1677" s="229"/>
      <c r="P1677" s="230"/>
      <c r="Q1677" s="229"/>
      <c r="R1677" s="229"/>
      <c r="S1677" s="229"/>
      <c r="T1677" s="229"/>
      <c r="U1677" s="254"/>
      <c r="V1677" s="255"/>
      <c r="W1677" s="229"/>
      <c r="X1677" s="254"/>
      <c r="Y1677" s="230"/>
      <c r="Z1677" s="230"/>
    </row>
    <row r="1678" spans="3:26" ht="22">
      <c r="C1678" s="218"/>
      <c r="D1678" s="536">
        <v>45645</v>
      </c>
      <c r="E1678" s="371" t="s">
        <v>1112</v>
      </c>
      <c r="F1678" s="371" t="s">
        <v>976</v>
      </c>
      <c r="G1678" s="371" t="s">
        <v>980</v>
      </c>
      <c r="H1678" s="902">
        <v>0.5625</v>
      </c>
      <c r="I1678" s="1246"/>
      <c r="J1678" s="1246"/>
      <c r="K1678" s="1247"/>
      <c r="L1678" s="894"/>
      <c r="M1678" s="342"/>
      <c r="N1678" s="219"/>
      <c r="O1678" s="229"/>
      <c r="P1678" s="230"/>
      <c r="Q1678" s="229"/>
      <c r="R1678" s="229"/>
      <c r="S1678" s="229"/>
      <c r="T1678" s="229"/>
      <c r="U1678" s="229"/>
      <c r="V1678" s="229"/>
      <c r="W1678" s="229"/>
      <c r="X1678" s="229"/>
      <c r="Y1678" s="230"/>
      <c r="Z1678" s="230"/>
    </row>
    <row r="1679" spans="3:26" ht="22">
      <c r="C1679" s="218"/>
      <c r="D1679" s="536">
        <v>45638</v>
      </c>
      <c r="E1679" s="371" t="s">
        <v>980</v>
      </c>
      <c r="F1679" s="371" t="s">
        <v>972</v>
      </c>
      <c r="G1679" s="371" t="s">
        <v>985</v>
      </c>
      <c r="H1679" s="902">
        <v>0.5625</v>
      </c>
      <c r="I1679" s="1246"/>
      <c r="J1679" s="1246"/>
      <c r="K1679" s="1247"/>
      <c r="L1679" s="894"/>
      <c r="M1679" s="343"/>
      <c r="N1679" s="219"/>
      <c r="O1679" s="221" t="s">
        <v>813</v>
      </c>
      <c r="P1679" s="222">
        <v>0.1</v>
      </c>
      <c r="Q1679" s="257">
        <v>6.5466666666666659E-2</v>
      </c>
      <c r="R1679" s="258">
        <v>6.9999999999999999E-4</v>
      </c>
      <c r="S1679" s="225">
        <v>1</v>
      </c>
      <c r="T1679" s="231">
        <v>9.8899999999999988E-2</v>
      </c>
      <c r="U1679" s="259">
        <v>-24.724999999994459</v>
      </c>
      <c r="V1679" s="260">
        <v>60.5</v>
      </c>
      <c r="W1679" s="225">
        <v>3</v>
      </c>
      <c r="X1679" s="227">
        <v>74.174999999983385</v>
      </c>
      <c r="Y1679" s="261"/>
      <c r="Z1679" s="261"/>
    </row>
    <row r="1680" spans="3:26" ht="22">
      <c r="C1680" s="218"/>
      <c r="D1680" s="536">
        <v>45631</v>
      </c>
      <c r="E1680" s="371" t="s">
        <v>1032</v>
      </c>
      <c r="F1680" s="371" t="s">
        <v>1232</v>
      </c>
      <c r="G1680" s="371" t="s">
        <v>1232</v>
      </c>
      <c r="H1680" s="902">
        <v>0.5625</v>
      </c>
      <c r="I1680" s="1246"/>
      <c r="J1680" s="1246"/>
      <c r="K1680" s="1247"/>
      <c r="L1680" s="894"/>
      <c r="M1680" s="336"/>
      <c r="N1680" s="219"/>
      <c r="O1680" s="221" t="s">
        <v>813</v>
      </c>
      <c r="P1680" s="222">
        <v>0.1</v>
      </c>
      <c r="Q1680" s="257">
        <v>6.5466666666666659E-2</v>
      </c>
      <c r="R1680" s="258">
        <v>6.9999999999999999E-4</v>
      </c>
      <c r="S1680" s="225">
        <v>1</v>
      </c>
      <c r="T1680" s="231">
        <v>9.8899999999999988E-2</v>
      </c>
      <c r="U1680" s="259">
        <v>-24.724999999994459</v>
      </c>
      <c r="V1680" s="260">
        <v>60.5</v>
      </c>
      <c r="W1680" s="225">
        <v>3</v>
      </c>
      <c r="X1680" s="227">
        <v>74.174999999983385</v>
      </c>
      <c r="Y1680" s="261"/>
      <c r="Z1680" s="261"/>
    </row>
    <row r="1681" spans="2:26" ht="22">
      <c r="C1681" s="218"/>
      <c r="D1681" s="536">
        <v>45623</v>
      </c>
      <c r="E1681" s="371" t="s">
        <v>1111</v>
      </c>
      <c r="F1681" s="371" t="s">
        <v>1232</v>
      </c>
      <c r="G1681" s="371" t="s">
        <v>1232</v>
      </c>
      <c r="H1681" s="902">
        <v>0.5625</v>
      </c>
      <c r="I1681" s="1246"/>
      <c r="J1681" s="1246"/>
      <c r="K1681" s="1247"/>
      <c r="L1681" s="894"/>
      <c r="M1681" s="336"/>
      <c r="N1681" s="219"/>
      <c r="O1681" s="221"/>
      <c r="P1681" s="262"/>
      <c r="Q1681" s="257"/>
      <c r="R1681" s="258"/>
      <c r="S1681" s="225"/>
      <c r="T1681" s="262"/>
      <c r="U1681" s="259"/>
      <c r="V1681" s="260"/>
      <c r="W1681" s="225"/>
      <c r="X1681" s="227"/>
      <c r="Y1681" s="261"/>
      <c r="Z1681" s="261"/>
    </row>
    <row r="1682" spans="2:26" ht="22">
      <c r="C1682" s="218"/>
      <c r="D1682" s="536">
        <v>45617</v>
      </c>
      <c r="E1682" s="371" t="s">
        <v>1111</v>
      </c>
      <c r="F1682" s="371" t="s">
        <v>1112</v>
      </c>
      <c r="G1682" s="371" t="s">
        <v>987</v>
      </c>
      <c r="H1682" s="902">
        <v>0.5625</v>
      </c>
      <c r="I1682" s="1246"/>
      <c r="J1682" s="1246"/>
      <c r="K1682" s="1247"/>
      <c r="L1682" s="894"/>
      <c r="M1682" s="336"/>
      <c r="N1682" s="219"/>
      <c r="O1682" s="263"/>
      <c r="P1682" s="263"/>
      <c r="Q1682" s="263"/>
      <c r="R1682" s="263"/>
      <c r="S1682" s="263"/>
      <c r="T1682" s="263"/>
      <c r="U1682" s="263"/>
      <c r="V1682" s="263"/>
      <c r="W1682" s="263"/>
      <c r="X1682" s="263"/>
      <c r="Y1682" s="263"/>
      <c r="Z1682" s="263"/>
    </row>
    <row r="1683" spans="2:26" ht="23" thickBot="1">
      <c r="C1683" s="218"/>
      <c r="D1683" s="538">
        <v>45610</v>
      </c>
      <c r="E1683" s="372" t="s">
        <v>1031</v>
      </c>
      <c r="F1683" s="372" t="s">
        <v>1032</v>
      </c>
      <c r="G1683" s="372" t="s">
        <v>972</v>
      </c>
      <c r="H1683" s="902">
        <v>0.5625</v>
      </c>
      <c r="I1683" s="1249"/>
      <c r="J1683" s="1249"/>
      <c r="K1683" s="1250"/>
      <c r="L1683" s="895"/>
      <c r="M1683" s="344"/>
      <c r="N1683" s="219"/>
      <c r="O1683" s="263"/>
      <c r="P1683" s="263"/>
      <c r="Q1683" s="263"/>
      <c r="R1683" s="263"/>
      <c r="S1683" s="263"/>
      <c r="T1683" s="263"/>
      <c r="U1683" s="263"/>
      <c r="V1683" s="263"/>
      <c r="W1683" s="263"/>
      <c r="X1683" s="263"/>
      <c r="Y1683" s="263"/>
      <c r="Z1683" s="263"/>
    </row>
    <row r="1684" spans="2:26" ht="23" thickBot="1">
      <c r="C1684" s="218">
        <v>6</v>
      </c>
      <c r="D1684" s="525" t="s">
        <v>30</v>
      </c>
      <c r="E1684" s="1534" t="s">
        <v>9</v>
      </c>
      <c r="F1684" s="1535"/>
      <c r="G1684" s="1536"/>
      <c r="H1684" s="898" t="s">
        <v>790</v>
      </c>
      <c r="I1684" s="1256" t="s">
        <v>633</v>
      </c>
      <c r="J1684" s="1256"/>
      <c r="K1684" s="1257"/>
      <c r="L1684" s="890" t="s">
        <v>430</v>
      </c>
      <c r="M1684" s="333" t="s">
        <v>431</v>
      </c>
      <c r="N1684" s="219" t="s">
        <v>105</v>
      </c>
      <c r="O1684" s="220" t="s">
        <v>800</v>
      </c>
      <c r="P1684" s="220" t="s">
        <v>801</v>
      </c>
      <c r="Q1684" s="220" t="s">
        <v>802</v>
      </c>
      <c r="R1684" s="220" t="s">
        <v>803</v>
      </c>
      <c r="S1684" s="220" t="s">
        <v>804</v>
      </c>
      <c r="T1684" s="220" t="s">
        <v>805</v>
      </c>
      <c r="U1684" s="220" t="s">
        <v>806</v>
      </c>
      <c r="V1684" s="220" t="s">
        <v>807</v>
      </c>
      <c r="W1684" s="220" t="s">
        <v>808</v>
      </c>
      <c r="X1684" s="220" t="s">
        <v>809</v>
      </c>
      <c r="Y1684" s="220" t="s">
        <v>75</v>
      </c>
      <c r="Z1684" s="220" t="s">
        <v>75</v>
      </c>
    </row>
    <row r="1685" spans="2:26" ht="22">
      <c r="C1685" s="218"/>
      <c r="D1685" s="532" t="s">
        <v>432</v>
      </c>
      <c r="E1685" s="1552"/>
      <c r="F1685" s="1553"/>
      <c r="G1685" s="1554"/>
      <c r="H1685" s="899" t="s">
        <v>796</v>
      </c>
      <c r="I1685" s="1243" t="s">
        <v>1312</v>
      </c>
      <c r="J1685" s="1243"/>
      <c r="K1685" s="1244"/>
      <c r="L1685" s="891"/>
      <c r="M1685" s="335" t="s">
        <v>9</v>
      </c>
      <c r="N1685" s="219"/>
      <c r="O1685" s="221" t="s">
        <v>810</v>
      </c>
      <c r="P1685" s="222">
        <v>0.1</v>
      </c>
      <c r="Q1685" s="223">
        <v>3.4000000000000002E-2</v>
      </c>
      <c r="R1685" s="224">
        <v>1.5000000000014779E-2</v>
      </c>
      <c r="S1685" s="225"/>
      <c r="T1685" s="221">
        <v>6.6000000000014783E-2</v>
      </c>
      <c r="U1685" s="223">
        <v>-16.5</v>
      </c>
      <c r="V1685" s="222">
        <v>60.5</v>
      </c>
      <c r="W1685" s="226">
        <v>2</v>
      </c>
      <c r="X1685" s="227">
        <v>33</v>
      </c>
      <c r="Y1685" s="225"/>
      <c r="Z1685" s="225"/>
    </row>
    <row r="1686" spans="2:26" ht="22">
      <c r="C1686" s="218"/>
      <c r="D1686" s="533" t="s">
        <v>433</v>
      </c>
      <c r="E1686" s="1555"/>
      <c r="F1686" s="1556"/>
      <c r="G1686" s="1557"/>
      <c r="H1686" s="899" t="s">
        <v>796</v>
      </c>
      <c r="I1686" s="1246"/>
      <c r="J1686" s="1246"/>
      <c r="K1686" s="1247"/>
      <c r="L1686" s="891"/>
      <c r="M1686" s="336"/>
      <c r="N1686" s="219"/>
      <c r="O1686" s="219"/>
      <c r="P1686" s="219"/>
      <c r="Q1686" s="219"/>
      <c r="R1686" s="228"/>
      <c r="S1686" s="229"/>
      <c r="T1686" s="219"/>
      <c r="U1686" s="219"/>
      <c r="V1686" s="219"/>
      <c r="W1686" s="229"/>
      <c r="X1686" s="229"/>
      <c r="Y1686" s="230"/>
      <c r="Z1686" s="230"/>
    </row>
    <row r="1687" spans="2:26" ht="22">
      <c r="C1687" s="218"/>
      <c r="D1687" s="533" t="s">
        <v>434</v>
      </c>
      <c r="E1687" s="1555" t="s">
        <v>1311</v>
      </c>
      <c r="F1687" s="1556"/>
      <c r="G1687" s="1557"/>
      <c r="H1687" s="899"/>
      <c r="I1687" s="1246"/>
      <c r="J1687" s="1246"/>
      <c r="K1687" s="1247"/>
      <c r="L1687" s="891"/>
      <c r="M1687" s="336"/>
      <c r="N1687" s="219"/>
      <c r="O1687" s="231" t="s">
        <v>811</v>
      </c>
      <c r="P1687" s="232">
        <v>0.1</v>
      </c>
      <c r="Q1687" s="233">
        <v>5.9400000000000001E-2</v>
      </c>
      <c r="R1687" s="234">
        <v>6.9999999999999999E-4</v>
      </c>
      <c r="S1687" s="235">
        <v>1</v>
      </c>
      <c r="T1687" s="231">
        <v>8.9800000000000005E-2</v>
      </c>
      <c r="U1687" s="236">
        <v>-22.449999999994972</v>
      </c>
      <c r="V1687" s="237">
        <v>60.5</v>
      </c>
      <c r="W1687" s="238">
        <v>4.38</v>
      </c>
      <c r="X1687" s="239">
        <v>98.330999999977976</v>
      </c>
      <c r="Y1687" s="240"/>
      <c r="Z1687" s="240"/>
    </row>
    <row r="1688" spans="2:26" ht="23" thickBot="1">
      <c r="C1688" s="218"/>
      <c r="D1688" s="534" t="s">
        <v>435</v>
      </c>
      <c r="E1688" s="1543">
        <v>0.66666666666666674</v>
      </c>
      <c r="F1688" s="1544"/>
      <c r="G1688" s="1545"/>
      <c r="H1688" s="900"/>
      <c r="I1688" s="1246"/>
      <c r="J1688" s="1246"/>
      <c r="K1688" s="1247"/>
      <c r="L1688" s="892">
        <v>0.89583333333333337</v>
      </c>
      <c r="M1688" s="338">
        <v>0.75</v>
      </c>
      <c r="N1688" s="219"/>
      <c r="O1688" s="241" t="s">
        <v>812</v>
      </c>
      <c r="P1688" s="242">
        <v>0.1</v>
      </c>
      <c r="Q1688" s="243">
        <v>7.1533333333333324E-2</v>
      </c>
      <c r="R1688" s="244">
        <v>6.9999999999999999E-4</v>
      </c>
      <c r="S1688" s="245">
        <v>1</v>
      </c>
      <c r="T1688" s="246">
        <v>0.108</v>
      </c>
      <c r="U1688" s="247">
        <v>-26.999999999993953</v>
      </c>
      <c r="V1688" s="248">
        <v>60.5</v>
      </c>
      <c r="W1688" s="249">
        <v>8</v>
      </c>
      <c r="X1688" s="250">
        <v>215.99999999995163</v>
      </c>
      <c r="Y1688" s="251"/>
      <c r="Z1688" s="251"/>
    </row>
    <row r="1689" spans="2:26" ht="23" thickBot="1">
      <c r="C1689" s="218"/>
      <c r="D1689" s="535" t="s">
        <v>436</v>
      </c>
      <c r="E1689" s="367" t="s">
        <v>29</v>
      </c>
      <c r="F1689" s="367" t="s">
        <v>28</v>
      </c>
      <c r="G1689" s="368" t="s">
        <v>27</v>
      </c>
      <c r="H1689" s="901" t="s">
        <v>793</v>
      </c>
      <c r="I1689" s="1246"/>
      <c r="J1689" s="1246"/>
      <c r="K1689" s="1247"/>
      <c r="L1689" s="893" t="s">
        <v>1246</v>
      </c>
      <c r="M1689" s="340"/>
      <c r="N1689" s="219"/>
      <c r="O1689" s="229"/>
      <c r="P1689" s="230"/>
      <c r="Q1689" s="229"/>
      <c r="R1689" s="229"/>
      <c r="S1689" s="229"/>
      <c r="T1689" s="229"/>
      <c r="U1689" s="254"/>
      <c r="V1689" s="255"/>
      <c r="W1689" s="229"/>
      <c r="X1689" s="254"/>
      <c r="Y1689" s="230"/>
      <c r="Z1689" s="230"/>
    </row>
    <row r="1690" spans="2:26" ht="22">
      <c r="C1690" s="218"/>
      <c r="D1690" s="536">
        <v>45644</v>
      </c>
      <c r="E1690" s="371" t="s">
        <v>1318</v>
      </c>
      <c r="F1690" s="371" t="s">
        <v>1289</v>
      </c>
      <c r="G1690" s="371" t="s">
        <v>1286</v>
      </c>
      <c r="H1690" s="903">
        <v>0.72916666666666674</v>
      </c>
      <c r="I1690" s="1246"/>
      <c r="J1690" s="1246"/>
      <c r="K1690" s="1247"/>
      <c r="L1690" s="894">
        <v>0.64583333333333337</v>
      </c>
      <c r="M1690" s="342"/>
      <c r="N1690" s="219"/>
      <c r="O1690" s="229"/>
      <c r="P1690" s="230"/>
      <c r="Q1690" s="229"/>
      <c r="R1690" s="229"/>
      <c r="S1690" s="229"/>
      <c r="T1690" s="229"/>
      <c r="U1690" s="229"/>
      <c r="V1690" s="229"/>
      <c r="W1690" s="229"/>
      <c r="X1690" s="229"/>
      <c r="Y1690" s="230"/>
      <c r="Z1690" s="230"/>
    </row>
    <row r="1691" spans="2:26" ht="22">
      <c r="C1691" s="218"/>
      <c r="D1691" s="536">
        <v>45637</v>
      </c>
      <c r="E1691" s="371" t="s">
        <v>1286</v>
      </c>
      <c r="F1691" s="371" t="s">
        <v>1287</v>
      </c>
      <c r="G1691" s="371" t="s">
        <v>1288</v>
      </c>
      <c r="H1691" s="903">
        <v>0.72916666666666674</v>
      </c>
      <c r="I1691" s="1246"/>
      <c r="J1691" s="1246"/>
      <c r="K1691" s="1247"/>
      <c r="L1691" s="894">
        <v>0.64583333333333337</v>
      </c>
      <c r="M1691" s="343"/>
      <c r="N1691" s="219"/>
      <c r="O1691" s="221" t="s">
        <v>813</v>
      </c>
      <c r="P1691" s="222">
        <v>0.1</v>
      </c>
      <c r="Q1691" s="257">
        <v>6.5466666666666659E-2</v>
      </c>
      <c r="R1691" s="258">
        <v>6.9999999999999999E-4</v>
      </c>
      <c r="S1691" s="225">
        <v>1</v>
      </c>
      <c r="T1691" s="231">
        <v>9.8899999999999988E-2</v>
      </c>
      <c r="U1691" s="259">
        <v>-24.724999999994459</v>
      </c>
      <c r="V1691" s="260">
        <v>60.5</v>
      </c>
      <c r="W1691" s="225">
        <v>3</v>
      </c>
      <c r="X1691" s="227">
        <v>74.174999999983385</v>
      </c>
      <c r="Y1691" s="261"/>
      <c r="Z1691" s="261"/>
    </row>
    <row r="1692" spans="2:26" ht="22">
      <c r="C1692" s="218"/>
      <c r="D1692" s="536">
        <v>45630</v>
      </c>
      <c r="E1692" s="371" t="s">
        <v>1288</v>
      </c>
      <c r="F1692" s="371" t="s">
        <v>1289</v>
      </c>
      <c r="G1692" s="371" t="s">
        <v>1230</v>
      </c>
      <c r="H1692" s="903">
        <v>0.72916666666666674</v>
      </c>
      <c r="I1692" s="1246"/>
      <c r="J1692" s="1246"/>
      <c r="K1692" s="1247"/>
      <c r="L1692" s="894">
        <v>0.64583333333333337</v>
      </c>
      <c r="M1692" s="336"/>
      <c r="N1692" s="219"/>
      <c r="O1692" s="221" t="s">
        <v>813</v>
      </c>
      <c r="P1692" s="222">
        <v>0.1</v>
      </c>
      <c r="Q1692" s="257">
        <v>6.5466666666666659E-2</v>
      </c>
      <c r="R1692" s="258">
        <v>6.9999999999999999E-4</v>
      </c>
      <c r="S1692" s="225">
        <v>1</v>
      </c>
      <c r="T1692" s="231">
        <v>9.8899999999999988E-2</v>
      </c>
      <c r="U1692" s="259">
        <v>-24.724999999994459</v>
      </c>
      <c r="V1692" s="260">
        <v>60.5</v>
      </c>
      <c r="W1692" s="225">
        <v>3</v>
      </c>
      <c r="X1692" s="227">
        <v>74.174999999983385</v>
      </c>
      <c r="Y1692" s="261"/>
      <c r="Z1692" s="261"/>
    </row>
    <row r="1693" spans="2:26" ht="22">
      <c r="C1693" s="218"/>
      <c r="D1693" s="536">
        <v>45623</v>
      </c>
      <c r="E1693" s="371" t="s">
        <v>1230</v>
      </c>
      <c r="F1693" s="371" t="s">
        <v>1231</v>
      </c>
      <c r="G1693" s="371" t="s">
        <v>1125</v>
      </c>
      <c r="H1693" s="903">
        <v>0.72916666666666674</v>
      </c>
      <c r="I1693" s="1246"/>
      <c r="J1693" s="1246"/>
      <c r="K1693" s="1247"/>
      <c r="L1693" s="894">
        <v>0.64583333333333337</v>
      </c>
      <c r="M1693" s="336"/>
      <c r="N1693" s="219"/>
      <c r="O1693" s="221"/>
      <c r="P1693" s="262"/>
      <c r="Q1693" s="257"/>
      <c r="R1693" s="258"/>
      <c r="S1693" s="225"/>
      <c r="T1693" s="262"/>
      <c r="U1693" s="259"/>
      <c r="V1693" s="260"/>
      <c r="W1693" s="225"/>
      <c r="X1693" s="227"/>
      <c r="Y1693" s="261"/>
      <c r="Z1693" s="261"/>
    </row>
    <row r="1694" spans="2:26" ht="22">
      <c r="C1694" s="218"/>
      <c r="D1694" s="536">
        <v>45616</v>
      </c>
      <c r="E1694" s="371" t="s">
        <v>1125</v>
      </c>
      <c r="F1694" s="371" t="s">
        <v>1030</v>
      </c>
      <c r="G1694" s="371" t="s">
        <v>1029</v>
      </c>
      <c r="H1694" s="903">
        <v>0.72916666666666674</v>
      </c>
      <c r="I1694" s="1246"/>
      <c r="J1694" s="1246"/>
      <c r="K1694" s="1247"/>
      <c r="L1694" s="894">
        <v>0.64583333333333337</v>
      </c>
      <c r="M1694" s="336"/>
      <c r="N1694" s="219"/>
      <c r="O1694" s="263"/>
      <c r="P1694" s="263"/>
      <c r="Q1694" s="263"/>
      <c r="R1694" s="263"/>
      <c r="S1694" s="263"/>
      <c r="T1694" s="263"/>
      <c r="U1694" s="263"/>
      <c r="V1694" s="263"/>
      <c r="W1694" s="263"/>
      <c r="X1694" s="263"/>
      <c r="Y1694" s="263"/>
      <c r="Z1694" s="263"/>
    </row>
    <row r="1695" spans="2:26" ht="23" thickBot="1">
      <c r="C1695" s="218"/>
      <c r="D1695" s="538">
        <v>45610</v>
      </c>
      <c r="E1695" s="372" t="s">
        <v>1029</v>
      </c>
      <c r="F1695" s="372" t="s">
        <v>1030</v>
      </c>
      <c r="G1695" s="372" t="s">
        <v>988</v>
      </c>
      <c r="H1695" s="903">
        <v>0.75</v>
      </c>
      <c r="I1695" s="1249"/>
      <c r="J1695" s="1249"/>
      <c r="K1695" s="1250"/>
      <c r="L1695" s="895">
        <v>0.66666666666666663</v>
      </c>
      <c r="M1695" s="344"/>
      <c r="N1695" s="219"/>
      <c r="O1695" s="263"/>
      <c r="P1695" s="263"/>
      <c r="Q1695" s="263"/>
      <c r="R1695" s="263"/>
      <c r="S1695" s="263"/>
      <c r="T1695" s="263"/>
      <c r="U1695" s="263"/>
      <c r="V1695" s="263"/>
      <c r="W1695" s="263"/>
      <c r="X1695" s="263"/>
      <c r="Y1695" s="263"/>
      <c r="Z1695" s="263"/>
    </row>
    <row r="1696" spans="2:26" ht="18" thickBot="1">
      <c r="B1696" s="90" t="s">
        <v>105</v>
      </c>
      <c r="C1696" s="90">
        <v>1</v>
      </c>
      <c r="D1696" s="541" t="s">
        <v>30</v>
      </c>
      <c r="E1696" s="1358" t="s">
        <v>1319</v>
      </c>
      <c r="F1696" s="1359"/>
      <c r="G1696" s="1360"/>
      <c r="H1696" s="904" t="s">
        <v>790</v>
      </c>
      <c r="I1696" s="1293" t="s">
        <v>633</v>
      </c>
      <c r="J1696" s="1293"/>
      <c r="K1696" s="1294"/>
      <c r="L1696" s="906" t="s">
        <v>430</v>
      </c>
      <c r="M1696" s="375" t="s">
        <v>431</v>
      </c>
    </row>
    <row r="1697" spans="3:13" ht="17">
      <c r="C1697" s="90"/>
      <c r="D1697" s="542" t="s">
        <v>432</v>
      </c>
      <c r="E1697" s="1307"/>
      <c r="F1697" s="1308"/>
      <c r="G1697" s="1309"/>
      <c r="H1697" s="907" t="s">
        <v>794</v>
      </c>
      <c r="I1697" s="1295" t="s">
        <v>1320</v>
      </c>
      <c r="J1697" s="1295"/>
      <c r="K1697" s="1296"/>
      <c r="L1697" s="908"/>
      <c r="M1697" s="376" t="s">
        <v>1319</v>
      </c>
    </row>
    <row r="1698" spans="3:13" ht="17">
      <c r="C1698" s="90"/>
      <c r="D1698" s="543" t="s">
        <v>433</v>
      </c>
      <c r="E1698" s="1367">
        <v>42.7</v>
      </c>
      <c r="F1698" s="1368"/>
      <c r="G1698" s="1369"/>
      <c r="H1698" s="907" t="s">
        <v>795</v>
      </c>
      <c r="I1698" s="1297"/>
      <c r="J1698" s="1297"/>
      <c r="K1698" s="1298"/>
      <c r="L1698" s="908"/>
      <c r="M1698" s="377"/>
    </row>
    <row r="1699" spans="3:13" ht="17">
      <c r="C1699" s="90"/>
      <c r="D1699" s="543" t="s">
        <v>434</v>
      </c>
      <c r="E1699" s="1367">
        <v>40.200000000000003</v>
      </c>
      <c r="F1699" s="1368"/>
      <c r="G1699" s="1369"/>
      <c r="H1699" s="907"/>
      <c r="I1699" s="1297"/>
      <c r="J1699" s="1297"/>
      <c r="K1699" s="1298"/>
      <c r="L1699" s="908"/>
      <c r="M1699" s="377"/>
    </row>
    <row r="1700" spans="3:13" ht="18" thickBot="1">
      <c r="C1700" s="90"/>
      <c r="D1700" s="544" t="s">
        <v>435</v>
      </c>
      <c r="E1700" s="1313">
        <v>0.61458333333333337</v>
      </c>
      <c r="F1700" s="1314"/>
      <c r="G1700" s="1315"/>
      <c r="H1700" s="909"/>
      <c r="I1700" s="1297"/>
      <c r="J1700" s="1297"/>
      <c r="K1700" s="1298"/>
      <c r="L1700" s="910">
        <v>0.84375</v>
      </c>
      <c r="M1700" s="379">
        <v>0.69791666666666663</v>
      </c>
    </row>
    <row r="1701" spans="3:13" ht="18" thickBot="1">
      <c r="C1701" s="90"/>
      <c r="D1701" s="545" t="s">
        <v>436</v>
      </c>
      <c r="E1701" s="380" t="s">
        <v>29</v>
      </c>
      <c r="F1701" s="380" t="s">
        <v>28</v>
      </c>
      <c r="G1701" s="381" t="s">
        <v>27</v>
      </c>
      <c r="H1701" s="911" t="s">
        <v>793</v>
      </c>
      <c r="I1701" s="1297"/>
      <c r="J1701" s="1297"/>
      <c r="K1701" s="1298"/>
      <c r="L1701" s="912" t="s">
        <v>1246</v>
      </c>
      <c r="M1701" s="382"/>
    </row>
    <row r="1702" spans="3:13" ht="17">
      <c r="C1702" s="90"/>
      <c r="D1702" s="546">
        <v>45625</v>
      </c>
      <c r="E1702" s="383">
        <v>40.200000000000003</v>
      </c>
      <c r="F1702" s="383" t="s">
        <v>477</v>
      </c>
      <c r="G1702" s="383">
        <v>41.6</v>
      </c>
      <c r="H1702" s="913">
        <v>0.57291666666666674</v>
      </c>
      <c r="I1702" s="1297"/>
      <c r="J1702" s="1297"/>
      <c r="K1702" s="1298"/>
      <c r="L1702" s="914">
        <v>0.80208333333333337</v>
      </c>
      <c r="M1702" s="384"/>
    </row>
    <row r="1703" spans="3:13" ht="17">
      <c r="C1703" s="90"/>
      <c r="D1703" s="546">
        <v>45596</v>
      </c>
      <c r="E1703" s="383">
        <v>41.6</v>
      </c>
      <c r="F1703" s="383" t="s">
        <v>1126</v>
      </c>
      <c r="G1703" s="383">
        <v>46.6</v>
      </c>
      <c r="H1703" s="913">
        <v>0.57291666666666674</v>
      </c>
      <c r="I1703" s="1297"/>
      <c r="J1703" s="1297"/>
      <c r="K1703" s="1298"/>
      <c r="L1703" s="914">
        <v>0.80208333333333337</v>
      </c>
      <c r="M1703" s="385"/>
    </row>
    <row r="1704" spans="3:13" ht="17">
      <c r="C1704" s="90"/>
      <c r="D1704" s="546">
        <v>45565</v>
      </c>
      <c r="E1704" s="383">
        <v>46.6</v>
      </c>
      <c r="F1704" s="383" t="s">
        <v>899</v>
      </c>
      <c r="G1704" s="383">
        <v>46.1</v>
      </c>
      <c r="H1704" s="913">
        <v>0.57291666666666674</v>
      </c>
      <c r="I1704" s="1297"/>
      <c r="J1704" s="1297"/>
      <c r="K1704" s="1298"/>
      <c r="L1704" s="914">
        <v>0.80208333333333337</v>
      </c>
      <c r="M1704" s="377"/>
    </row>
    <row r="1705" spans="3:13" ht="17">
      <c r="C1705" s="90"/>
      <c r="D1705" s="546">
        <v>45534</v>
      </c>
      <c r="E1705" s="383">
        <v>46.1</v>
      </c>
      <c r="F1705" s="383" t="s">
        <v>473</v>
      </c>
      <c r="G1705" s="383">
        <v>45.3</v>
      </c>
      <c r="H1705" s="913">
        <v>0.57291666666666674</v>
      </c>
      <c r="I1705" s="1297"/>
      <c r="J1705" s="1297"/>
      <c r="K1705" s="1298"/>
      <c r="L1705" s="914">
        <v>0.80208333333333337</v>
      </c>
      <c r="M1705" s="377"/>
    </row>
    <row r="1706" spans="3:13" ht="17">
      <c r="C1706" s="90"/>
      <c r="D1706" s="546">
        <v>45504</v>
      </c>
      <c r="E1706" s="383">
        <v>45.3</v>
      </c>
      <c r="F1706" s="383" t="s">
        <v>474</v>
      </c>
      <c r="G1706" s="383">
        <v>47.4</v>
      </c>
      <c r="H1706" s="913">
        <v>0.57291666666666674</v>
      </c>
      <c r="I1706" s="1297"/>
      <c r="J1706" s="1297"/>
      <c r="K1706" s="1298"/>
      <c r="L1706" s="914">
        <v>0.80208333333333337</v>
      </c>
      <c r="M1706" s="377"/>
    </row>
    <row r="1707" spans="3:13" ht="18" thickBot="1">
      <c r="C1707" s="90"/>
      <c r="D1707" s="546">
        <v>45471</v>
      </c>
      <c r="E1707" s="383">
        <v>47.4</v>
      </c>
      <c r="F1707" s="383" t="s">
        <v>475</v>
      </c>
      <c r="G1707" s="383">
        <v>35.4</v>
      </c>
      <c r="H1707" s="913">
        <v>0.57291666666666674</v>
      </c>
      <c r="I1707" s="1299"/>
      <c r="J1707" s="1299"/>
      <c r="K1707" s="1300"/>
      <c r="L1707" s="914">
        <v>0.80208333333333337</v>
      </c>
      <c r="M1707" s="386"/>
    </row>
    <row r="1708" spans="3:13" ht="18" thickBot="1">
      <c r="C1708" s="90">
        <v>2</v>
      </c>
      <c r="D1708" s="541" t="s">
        <v>30</v>
      </c>
      <c r="E1708" s="1358" t="s">
        <v>1321</v>
      </c>
      <c r="F1708" s="1359"/>
      <c r="G1708" s="1360"/>
      <c r="H1708" s="904" t="s">
        <v>790</v>
      </c>
      <c r="I1708" s="1293" t="s">
        <v>633</v>
      </c>
      <c r="J1708" s="1293"/>
      <c r="K1708" s="1294"/>
      <c r="L1708" s="906" t="s">
        <v>430</v>
      </c>
      <c r="M1708" s="375" t="s">
        <v>431</v>
      </c>
    </row>
    <row r="1709" spans="3:13" ht="17">
      <c r="C1709" s="90"/>
      <c r="D1709" s="542" t="s">
        <v>432</v>
      </c>
      <c r="E1709" s="1307"/>
      <c r="F1709" s="1308"/>
      <c r="G1709" s="1309"/>
      <c r="H1709" s="907" t="s">
        <v>906</v>
      </c>
      <c r="I1709" s="1295">
        <v>0</v>
      </c>
      <c r="J1709" s="1295"/>
      <c r="K1709" s="1296"/>
      <c r="L1709" s="908"/>
      <c r="M1709" s="376" t="s">
        <v>1321</v>
      </c>
    </row>
    <row r="1710" spans="3:13" ht="17">
      <c r="C1710" s="90"/>
      <c r="D1710" s="543" t="s">
        <v>433</v>
      </c>
      <c r="E1710" s="1341" t="s">
        <v>1090</v>
      </c>
      <c r="F1710" s="1339"/>
      <c r="G1710" s="1340"/>
      <c r="H1710" s="907" t="s">
        <v>907</v>
      </c>
      <c r="I1710" s="1297"/>
      <c r="J1710" s="1297"/>
      <c r="K1710" s="1298"/>
      <c r="L1710" s="908"/>
      <c r="M1710" s="377"/>
    </row>
    <row r="1711" spans="3:13" ht="17">
      <c r="C1711" s="90"/>
      <c r="D1711" s="543" t="s">
        <v>434</v>
      </c>
      <c r="E1711" s="1341">
        <v>0</v>
      </c>
      <c r="F1711" s="1339"/>
      <c r="G1711" s="1340"/>
      <c r="H1711" s="907"/>
      <c r="I1711" s="1297"/>
      <c r="J1711" s="1297"/>
      <c r="K1711" s="1298"/>
      <c r="L1711" s="908"/>
      <c r="M1711" s="377"/>
    </row>
    <row r="1712" spans="3:13" ht="18" thickBot="1">
      <c r="C1712" s="90"/>
      <c r="D1712" s="544" t="s">
        <v>435</v>
      </c>
      <c r="E1712" s="1313">
        <v>0</v>
      </c>
      <c r="F1712" s="1314"/>
      <c r="G1712" s="1315"/>
      <c r="H1712" s="909"/>
      <c r="I1712" s="1297"/>
      <c r="J1712" s="1297"/>
      <c r="K1712" s="1298"/>
      <c r="L1712" s="910">
        <v>0.22916666666666666</v>
      </c>
      <c r="M1712" s="379">
        <v>8.3333333333333315E-2</v>
      </c>
    </row>
    <row r="1713" spans="3:13" ht="18" thickBot="1">
      <c r="C1713" s="90"/>
      <c r="D1713" s="545" t="s">
        <v>436</v>
      </c>
      <c r="E1713" s="380" t="s">
        <v>29</v>
      </c>
      <c r="F1713" s="380" t="s">
        <v>28</v>
      </c>
      <c r="G1713" s="381" t="s">
        <v>27</v>
      </c>
      <c r="H1713" s="911" t="s">
        <v>793</v>
      </c>
      <c r="I1713" s="1297"/>
      <c r="J1713" s="1297"/>
      <c r="K1713" s="1298"/>
      <c r="L1713" s="912" t="s">
        <v>1246</v>
      </c>
      <c r="M1713" s="382"/>
    </row>
    <row r="1714" spans="3:13" ht="17">
      <c r="C1714" s="90"/>
      <c r="D1714" s="546">
        <v>45642</v>
      </c>
      <c r="E1714" s="387">
        <v>58.5</v>
      </c>
      <c r="F1714" s="387" t="s">
        <v>1339</v>
      </c>
      <c r="G1714" s="387">
        <v>56.1</v>
      </c>
      <c r="H1714" s="913">
        <v>0.1875</v>
      </c>
      <c r="I1714" s="1297"/>
      <c r="J1714" s="1297"/>
      <c r="K1714" s="1298"/>
      <c r="L1714" s="914">
        <v>0.14583333333333334</v>
      </c>
      <c r="M1714" s="384"/>
    </row>
    <row r="1715" spans="3:13" ht="17">
      <c r="C1715" s="90"/>
      <c r="D1715" s="546">
        <v>45630</v>
      </c>
      <c r="E1715" s="387">
        <v>56.1</v>
      </c>
      <c r="F1715" s="387" t="s">
        <v>1285</v>
      </c>
      <c r="G1715" s="387">
        <v>55</v>
      </c>
      <c r="H1715" s="913">
        <v>0.22916666666666666</v>
      </c>
      <c r="I1715" s="1297"/>
      <c r="J1715" s="1297"/>
      <c r="K1715" s="1298"/>
      <c r="L1715" s="914">
        <v>0.1875</v>
      </c>
      <c r="M1715" s="385"/>
    </row>
    <row r="1716" spans="3:13" ht="17">
      <c r="C1716" s="90"/>
      <c r="D1716" s="546">
        <v>45618</v>
      </c>
      <c r="E1716" s="387">
        <v>57</v>
      </c>
      <c r="F1716" s="387" t="s">
        <v>586</v>
      </c>
      <c r="G1716" s="387">
        <v>55</v>
      </c>
      <c r="H1716" s="913">
        <v>0.22916666666666666</v>
      </c>
      <c r="I1716" s="1297"/>
      <c r="J1716" s="1297"/>
      <c r="K1716" s="1298"/>
      <c r="L1716" s="914">
        <v>0.1875</v>
      </c>
      <c r="M1716" s="377"/>
    </row>
    <row r="1717" spans="3:13" ht="17">
      <c r="C1717" s="90"/>
      <c r="D1717" s="546">
        <v>45601</v>
      </c>
      <c r="E1717" s="387">
        <v>55</v>
      </c>
      <c r="F1717" s="387" t="s">
        <v>585</v>
      </c>
      <c r="G1717" s="387">
        <v>55.2</v>
      </c>
      <c r="H1717" s="913">
        <v>0.22916666666666666</v>
      </c>
      <c r="I1717" s="1297"/>
      <c r="J1717" s="1297"/>
      <c r="K1717" s="1298"/>
      <c r="L1717" s="914">
        <v>0.1875</v>
      </c>
      <c r="M1717" s="377"/>
    </row>
    <row r="1718" spans="3:13" ht="17">
      <c r="C1718" s="90"/>
      <c r="D1718" s="546">
        <v>45589</v>
      </c>
      <c r="E1718" s="387">
        <v>55.3</v>
      </c>
      <c r="F1718" s="387" t="s">
        <v>604</v>
      </c>
      <c r="G1718" s="387">
        <v>55.2</v>
      </c>
      <c r="H1718" s="913">
        <v>0.22916666666666666</v>
      </c>
      <c r="I1718" s="1297"/>
      <c r="J1718" s="1297"/>
      <c r="K1718" s="1298"/>
      <c r="L1718" s="914">
        <v>0.1875</v>
      </c>
      <c r="M1718" s="377"/>
    </row>
    <row r="1719" spans="3:13" ht="18" thickBot="1">
      <c r="C1719" s="90"/>
      <c r="D1719" s="546">
        <v>45568</v>
      </c>
      <c r="E1719" s="387">
        <v>55.2</v>
      </c>
      <c r="F1719" s="387" t="s">
        <v>759</v>
      </c>
      <c r="G1719" s="387">
        <v>55.7</v>
      </c>
      <c r="H1719" s="913">
        <v>0.1875</v>
      </c>
      <c r="I1719" s="1299"/>
      <c r="J1719" s="1299"/>
      <c r="K1719" s="1300"/>
      <c r="L1719" s="914">
        <v>0.14583333333333334</v>
      </c>
      <c r="M1719" s="386"/>
    </row>
    <row r="1720" spans="3:13" ht="18" thickBot="1">
      <c r="C1720" s="90">
        <v>3</v>
      </c>
      <c r="D1720" s="541" t="s">
        <v>30</v>
      </c>
      <c r="E1720" s="1358" t="s">
        <v>1322</v>
      </c>
      <c r="F1720" s="1359"/>
      <c r="G1720" s="1360"/>
      <c r="H1720" s="904" t="s">
        <v>790</v>
      </c>
      <c r="I1720" s="1293" t="s">
        <v>633</v>
      </c>
      <c r="J1720" s="1293"/>
      <c r="K1720" s="1294"/>
      <c r="L1720" s="906" t="s">
        <v>430</v>
      </c>
      <c r="M1720" s="375" t="s">
        <v>431</v>
      </c>
    </row>
    <row r="1721" spans="3:13" ht="17">
      <c r="C1721" s="90"/>
      <c r="D1721" s="542" t="s">
        <v>432</v>
      </c>
      <c r="E1721" s="1307"/>
      <c r="F1721" s="1308"/>
      <c r="G1721" s="1309"/>
      <c r="H1721" s="907" t="s">
        <v>794</v>
      </c>
      <c r="I1721" s="1295" t="s">
        <v>1323</v>
      </c>
      <c r="J1721" s="1295"/>
      <c r="K1721" s="1296"/>
      <c r="L1721" s="908"/>
      <c r="M1721" s="376" t="s">
        <v>1322</v>
      </c>
    </row>
    <row r="1722" spans="3:13" ht="17">
      <c r="C1722" s="90"/>
      <c r="D1722" s="543" t="s">
        <v>433</v>
      </c>
      <c r="E1722" s="1367">
        <v>50.3</v>
      </c>
      <c r="F1722" s="1368"/>
      <c r="G1722" s="1369"/>
      <c r="H1722" s="907" t="s">
        <v>795</v>
      </c>
      <c r="I1722" s="1297"/>
      <c r="J1722" s="1297"/>
      <c r="K1722" s="1298"/>
      <c r="L1722" s="908"/>
      <c r="M1722" s="377"/>
    </row>
    <row r="1723" spans="3:13" ht="17">
      <c r="C1723" s="90"/>
      <c r="D1723" s="543" t="s">
        <v>434</v>
      </c>
      <c r="E1723" s="1367">
        <v>50.3</v>
      </c>
      <c r="F1723" s="1368"/>
      <c r="G1723" s="1369"/>
      <c r="H1723" s="907"/>
      <c r="I1723" s="1297"/>
      <c r="J1723" s="1297"/>
      <c r="K1723" s="1298"/>
      <c r="L1723" s="908"/>
      <c r="M1723" s="377"/>
    </row>
    <row r="1724" spans="3:13" ht="18" thickBot="1">
      <c r="C1724" s="90"/>
      <c r="D1724" s="544" t="s">
        <v>435</v>
      </c>
      <c r="E1724" s="1313">
        <v>6.2500000000000028E-2</v>
      </c>
      <c r="F1724" s="1314"/>
      <c r="G1724" s="1315"/>
      <c r="H1724" s="909"/>
      <c r="I1724" s="1297"/>
      <c r="J1724" s="1297"/>
      <c r="K1724" s="1298"/>
      <c r="L1724" s="910">
        <v>0.29166666666666669</v>
      </c>
      <c r="M1724" s="379">
        <v>0.14583333333333334</v>
      </c>
    </row>
    <row r="1725" spans="3:13" ht="18" thickBot="1">
      <c r="C1725" s="90"/>
      <c r="D1725" s="545" t="s">
        <v>436</v>
      </c>
      <c r="E1725" s="380" t="s">
        <v>29</v>
      </c>
      <c r="F1725" s="380" t="s">
        <v>28</v>
      </c>
      <c r="G1725" s="381" t="s">
        <v>27</v>
      </c>
      <c r="H1725" s="911" t="s">
        <v>793</v>
      </c>
      <c r="I1725" s="1297"/>
      <c r="J1725" s="1297"/>
      <c r="K1725" s="1298"/>
      <c r="L1725" s="912" t="s">
        <v>1246</v>
      </c>
      <c r="M1725" s="382"/>
    </row>
    <row r="1726" spans="3:13" ht="17">
      <c r="C1726" s="90"/>
      <c r="D1726" s="546">
        <v>45626</v>
      </c>
      <c r="E1726" s="383">
        <v>50.3</v>
      </c>
      <c r="F1726" s="383" t="s">
        <v>1340</v>
      </c>
      <c r="G1726" s="383">
        <v>50.1</v>
      </c>
      <c r="H1726" s="913">
        <v>6.2500000000000028E-2</v>
      </c>
      <c r="I1726" s="1297"/>
      <c r="J1726" s="1297"/>
      <c r="K1726" s="1298"/>
      <c r="L1726" s="914">
        <v>0.29166666666666669</v>
      </c>
      <c r="M1726" s="384"/>
    </row>
    <row r="1727" spans="3:13" ht="17">
      <c r="C1727" s="90"/>
      <c r="D1727" s="546">
        <v>45596</v>
      </c>
      <c r="E1727" s="383">
        <v>50.1</v>
      </c>
      <c r="F1727" s="383" t="s">
        <v>513</v>
      </c>
      <c r="G1727" s="383">
        <v>49.8</v>
      </c>
      <c r="H1727" s="913">
        <v>6.2500000000000028E-2</v>
      </c>
      <c r="I1727" s="1297"/>
      <c r="J1727" s="1297"/>
      <c r="K1727" s="1298"/>
      <c r="L1727" s="914">
        <v>0.29166666666666669</v>
      </c>
      <c r="M1727" s="385"/>
    </row>
    <row r="1728" spans="3:13" ht="17">
      <c r="C1728" s="90"/>
      <c r="D1728" s="546">
        <v>45565</v>
      </c>
      <c r="E1728" s="383">
        <v>49.8</v>
      </c>
      <c r="F1728" s="383" t="s">
        <v>440</v>
      </c>
      <c r="G1728" s="383">
        <v>49.1</v>
      </c>
      <c r="H1728" s="913">
        <v>6.2500000000000028E-2</v>
      </c>
      <c r="I1728" s="1297"/>
      <c r="J1728" s="1297"/>
      <c r="K1728" s="1298"/>
      <c r="L1728" s="914">
        <v>0.29166666666666669</v>
      </c>
      <c r="M1728" s="377"/>
    </row>
    <row r="1729" spans="3:13" ht="17">
      <c r="C1729" s="90"/>
      <c r="D1729" s="546">
        <v>45535</v>
      </c>
      <c r="E1729" s="383">
        <v>49.1</v>
      </c>
      <c r="F1729" s="383" t="s">
        <v>438</v>
      </c>
      <c r="G1729" s="383">
        <v>49.4</v>
      </c>
      <c r="H1729" s="913">
        <v>6.2500000000000028E-2</v>
      </c>
      <c r="I1729" s="1297"/>
      <c r="J1729" s="1297"/>
      <c r="K1729" s="1298"/>
      <c r="L1729" s="914">
        <v>0.29166666666666669</v>
      </c>
      <c r="M1729" s="377"/>
    </row>
    <row r="1730" spans="3:13" ht="17">
      <c r="C1730" s="90"/>
      <c r="D1730" s="546">
        <v>45504</v>
      </c>
      <c r="E1730" s="383">
        <v>49.4</v>
      </c>
      <c r="F1730" s="383" t="s">
        <v>440</v>
      </c>
      <c r="G1730" s="383">
        <v>49.5</v>
      </c>
      <c r="H1730" s="913">
        <v>6.2500000000000028E-2</v>
      </c>
      <c r="I1730" s="1297"/>
      <c r="J1730" s="1297"/>
      <c r="K1730" s="1298"/>
      <c r="L1730" s="914">
        <v>0.29166666666666669</v>
      </c>
      <c r="M1730" s="377"/>
    </row>
    <row r="1731" spans="3:13" ht="18" thickBot="1">
      <c r="C1731" s="90"/>
      <c r="D1731" s="546">
        <v>45473</v>
      </c>
      <c r="E1731" s="383">
        <v>49.5</v>
      </c>
      <c r="F1731" s="383" t="s">
        <v>438</v>
      </c>
      <c r="G1731" s="383">
        <v>49.5</v>
      </c>
      <c r="H1731" s="913">
        <v>6.2500000000000028E-2</v>
      </c>
      <c r="I1731" s="1299"/>
      <c r="J1731" s="1299"/>
      <c r="K1731" s="1300"/>
      <c r="L1731" s="914">
        <v>0.29166666666666669</v>
      </c>
      <c r="M1731" s="386"/>
    </row>
    <row r="1732" spans="3:13" ht="18" thickBot="1">
      <c r="C1732" s="90">
        <v>5</v>
      </c>
      <c r="D1732" s="541" t="s">
        <v>30</v>
      </c>
      <c r="E1732" s="1358" t="s">
        <v>1309</v>
      </c>
      <c r="F1732" s="1359"/>
      <c r="G1732" s="1360"/>
      <c r="H1732" s="904" t="s">
        <v>790</v>
      </c>
      <c r="I1732" s="1293" t="s">
        <v>633</v>
      </c>
      <c r="J1732" s="1293"/>
      <c r="K1732" s="1294"/>
      <c r="L1732" s="906" t="s">
        <v>430</v>
      </c>
      <c r="M1732" s="375" t="s">
        <v>431</v>
      </c>
    </row>
    <row r="1733" spans="3:13" ht="17">
      <c r="C1733" s="90"/>
      <c r="D1733" s="542" t="s">
        <v>432</v>
      </c>
      <c r="E1733" s="1307"/>
      <c r="F1733" s="1308"/>
      <c r="G1733" s="1309"/>
      <c r="H1733" s="907" t="s">
        <v>794</v>
      </c>
      <c r="I1733" s="1295" t="e">
        <v>#REF!</v>
      </c>
      <c r="J1733" s="1295"/>
      <c r="K1733" s="1296"/>
      <c r="L1733" s="908"/>
      <c r="M1733" s="376" t="s">
        <v>1309</v>
      </c>
    </row>
    <row r="1734" spans="3:13" ht="17">
      <c r="C1734" s="90"/>
      <c r="D1734" s="543" t="s">
        <v>433</v>
      </c>
      <c r="E1734" s="1367" t="s">
        <v>931</v>
      </c>
      <c r="F1734" s="1368"/>
      <c r="G1734" s="1369"/>
      <c r="H1734" s="907" t="s">
        <v>795</v>
      </c>
      <c r="I1734" s="1297"/>
      <c r="J1734" s="1297"/>
      <c r="K1734" s="1298"/>
      <c r="L1734" s="908"/>
      <c r="M1734" s="377"/>
    </row>
    <row r="1735" spans="3:13" ht="17">
      <c r="C1735" s="90"/>
      <c r="D1735" s="543" t="s">
        <v>434</v>
      </c>
      <c r="E1735" s="1367" t="s">
        <v>345</v>
      </c>
      <c r="F1735" s="1368"/>
      <c r="G1735" s="1369"/>
      <c r="H1735" s="907"/>
      <c r="I1735" s="1297"/>
      <c r="J1735" s="1297"/>
      <c r="K1735" s="1298"/>
      <c r="L1735" s="908"/>
      <c r="M1735" s="377"/>
    </row>
    <row r="1736" spans="3:13" ht="18" thickBot="1">
      <c r="C1736" s="90"/>
      <c r="D1736" s="544" t="s">
        <v>435</v>
      </c>
      <c r="E1736" s="1313">
        <v>0.5625</v>
      </c>
      <c r="F1736" s="1314"/>
      <c r="G1736" s="1315"/>
      <c r="H1736" s="909"/>
      <c r="I1736" s="1297"/>
      <c r="J1736" s="1297"/>
      <c r="K1736" s="1298"/>
      <c r="L1736" s="910">
        <v>0.79166666666666663</v>
      </c>
      <c r="M1736" s="378">
        <v>0.64583333333333326</v>
      </c>
    </row>
    <row r="1737" spans="3:13" ht="18" thickBot="1">
      <c r="C1737" s="90"/>
      <c r="D1737" s="545" t="s">
        <v>436</v>
      </c>
      <c r="E1737" s="380" t="s">
        <v>29</v>
      </c>
      <c r="F1737" s="380" t="s">
        <v>28</v>
      </c>
      <c r="G1737" s="381" t="s">
        <v>27</v>
      </c>
      <c r="H1737" s="911" t="s">
        <v>793</v>
      </c>
      <c r="I1737" s="1297"/>
      <c r="J1737" s="1297"/>
      <c r="K1737" s="1298"/>
      <c r="L1737" s="912" t="s">
        <v>1246</v>
      </c>
      <c r="M1737" s="382"/>
    </row>
    <row r="1738" spans="3:13" ht="17">
      <c r="C1738" s="90"/>
      <c r="D1738" s="546">
        <v>45652</v>
      </c>
      <c r="E1738" s="383" t="s">
        <v>987</v>
      </c>
      <c r="F1738" s="383" t="s">
        <v>973</v>
      </c>
      <c r="G1738" s="383" t="s">
        <v>1112</v>
      </c>
      <c r="H1738" s="913">
        <v>0.5625</v>
      </c>
      <c r="I1738" s="1297"/>
      <c r="J1738" s="1297"/>
      <c r="K1738" s="1298"/>
      <c r="L1738" s="914">
        <v>0.79166666666666663</v>
      </c>
      <c r="M1738" s="384"/>
    </row>
    <row r="1739" spans="3:13" ht="17">
      <c r="C1739" s="90"/>
      <c r="D1739" s="546">
        <v>45645</v>
      </c>
      <c r="E1739" s="383" t="s">
        <v>1112</v>
      </c>
      <c r="F1739" s="383" t="s">
        <v>976</v>
      </c>
      <c r="G1739" s="383" t="s">
        <v>980</v>
      </c>
      <c r="H1739" s="913">
        <v>0.5625</v>
      </c>
      <c r="I1739" s="1297"/>
      <c r="J1739" s="1297"/>
      <c r="K1739" s="1298"/>
      <c r="L1739" s="914">
        <v>0.79166666666666663</v>
      </c>
      <c r="M1739" s="385"/>
    </row>
    <row r="1740" spans="3:13" ht="17">
      <c r="C1740" s="90"/>
      <c r="D1740" s="546">
        <v>45638</v>
      </c>
      <c r="E1740" s="383" t="s">
        <v>980</v>
      </c>
      <c r="F1740" s="383" t="s">
        <v>972</v>
      </c>
      <c r="G1740" s="383" t="s">
        <v>985</v>
      </c>
      <c r="H1740" s="913">
        <v>0.5625</v>
      </c>
      <c r="I1740" s="1297"/>
      <c r="J1740" s="1297"/>
      <c r="K1740" s="1298"/>
      <c r="L1740" s="914">
        <v>0.79166666666666663</v>
      </c>
      <c r="M1740" s="377"/>
    </row>
    <row r="1741" spans="3:13" ht="17">
      <c r="C1741" s="90"/>
      <c r="D1741" s="546">
        <v>45631</v>
      </c>
      <c r="E1741" s="383" t="s">
        <v>1032</v>
      </c>
      <c r="F1741" s="383" t="s">
        <v>1232</v>
      </c>
      <c r="G1741" s="383" t="s">
        <v>1232</v>
      </c>
      <c r="H1741" s="913">
        <v>0.5625</v>
      </c>
      <c r="I1741" s="1297"/>
      <c r="J1741" s="1297"/>
      <c r="K1741" s="1298"/>
      <c r="L1741" s="914">
        <v>0.79166666666666663</v>
      </c>
      <c r="M1741" s="377"/>
    </row>
    <row r="1742" spans="3:13" ht="17">
      <c r="C1742" s="90"/>
      <c r="D1742" s="546">
        <v>45623</v>
      </c>
      <c r="E1742" s="383" t="s">
        <v>1111</v>
      </c>
      <c r="F1742" s="383" t="s">
        <v>1232</v>
      </c>
      <c r="G1742" s="383" t="s">
        <v>1232</v>
      </c>
      <c r="H1742" s="913">
        <v>0.5625</v>
      </c>
      <c r="I1742" s="1297"/>
      <c r="J1742" s="1297"/>
      <c r="K1742" s="1298"/>
      <c r="L1742" s="914">
        <v>0.79166666666666663</v>
      </c>
      <c r="M1742" s="377"/>
    </row>
    <row r="1743" spans="3:13" ht="18" thickBot="1">
      <c r="C1743" s="90"/>
      <c r="D1743" s="546">
        <v>45617</v>
      </c>
      <c r="E1743" s="383" t="s">
        <v>1111</v>
      </c>
      <c r="F1743" s="383" t="s">
        <v>1112</v>
      </c>
      <c r="G1743" s="383" t="s">
        <v>987</v>
      </c>
      <c r="H1743" s="913">
        <v>0.5625</v>
      </c>
      <c r="I1743" s="1299"/>
      <c r="J1743" s="1299"/>
      <c r="K1743" s="1300"/>
      <c r="L1743" s="914">
        <v>0.79166666666666663</v>
      </c>
      <c r="M1743" s="386"/>
    </row>
    <row r="1744" spans="3:13" ht="18" thickBot="1">
      <c r="C1744" s="90">
        <v>7</v>
      </c>
      <c r="D1744" s="541" t="s">
        <v>30</v>
      </c>
      <c r="E1744" s="1358" t="s">
        <v>1309</v>
      </c>
      <c r="F1744" s="1359"/>
      <c r="G1744" s="1360"/>
      <c r="H1744" s="904" t="s">
        <v>790</v>
      </c>
      <c r="I1744" s="1293" t="s">
        <v>633</v>
      </c>
      <c r="J1744" s="1293"/>
      <c r="K1744" s="1294"/>
      <c r="L1744" s="906" t="s">
        <v>430</v>
      </c>
      <c r="M1744" s="375" t="s">
        <v>431</v>
      </c>
    </row>
    <row r="1745" spans="3:13" ht="17">
      <c r="C1745" s="90"/>
      <c r="D1745" s="542" t="s">
        <v>432</v>
      </c>
      <c r="E1745" s="1307"/>
      <c r="F1745" s="1308"/>
      <c r="G1745" s="1309"/>
      <c r="H1745" s="907" t="s">
        <v>906</v>
      </c>
      <c r="I1745" s="1295" t="s">
        <v>1327</v>
      </c>
      <c r="J1745" s="1295"/>
      <c r="K1745" s="1296"/>
      <c r="L1745" s="908"/>
      <c r="M1745" s="376" t="s">
        <v>1309</v>
      </c>
    </row>
    <row r="1746" spans="3:13" ht="17">
      <c r="C1746" s="90"/>
      <c r="D1746" s="543" t="s">
        <v>433</v>
      </c>
      <c r="E1746" s="1367" t="s">
        <v>931</v>
      </c>
      <c r="F1746" s="1368"/>
      <c r="G1746" s="1369"/>
      <c r="H1746" s="907" t="s">
        <v>907</v>
      </c>
      <c r="I1746" s="1297"/>
      <c r="J1746" s="1297"/>
      <c r="K1746" s="1298"/>
      <c r="L1746" s="908"/>
      <c r="M1746" s="377"/>
    </row>
    <row r="1747" spans="3:13" ht="17">
      <c r="C1747" s="90"/>
      <c r="D1747" s="543" t="s">
        <v>434</v>
      </c>
      <c r="E1747" s="1370" t="s">
        <v>345</v>
      </c>
      <c r="F1747" s="1368"/>
      <c r="G1747" s="1369"/>
      <c r="H1747" s="907"/>
      <c r="I1747" s="1297"/>
      <c r="J1747" s="1297"/>
      <c r="K1747" s="1298"/>
      <c r="L1747" s="908"/>
      <c r="M1747" s="377"/>
    </row>
    <row r="1748" spans="3:13" ht="18" thickBot="1">
      <c r="C1748" s="90"/>
      <c r="D1748" s="544" t="s">
        <v>435</v>
      </c>
      <c r="E1748" s="1313">
        <v>0.5625</v>
      </c>
      <c r="F1748" s="1314"/>
      <c r="G1748" s="1315"/>
      <c r="H1748" s="909">
        <v>0.35416666666666663</v>
      </c>
      <c r="I1748" s="1297"/>
      <c r="J1748" s="1297"/>
      <c r="K1748" s="1298"/>
      <c r="L1748" s="910">
        <v>0.79166666666666663</v>
      </c>
      <c r="M1748" s="379">
        <v>0.64583333333333326</v>
      </c>
    </row>
    <row r="1749" spans="3:13" ht="18" thickBot="1">
      <c r="C1749" s="90"/>
      <c r="D1749" s="545" t="s">
        <v>436</v>
      </c>
      <c r="E1749" s="380" t="s">
        <v>29</v>
      </c>
      <c r="F1749" s="380" t="s">
        <v>28</v>
      </c>
      <c r="G1749" s="381" t="s">
        <v>27</v>
      </c>
      <c r="H1749" s="911" t="s">
        <v>793</v>
      </c>
      <c r="I1749" s="1297"/>
      <c r="J1749" s="1297"/>
      <c r="K1749" s="1298"/>
      <c r="L1749" s="912" t="s">
        <v>1246</v>
      </c>
      <c r="M1749" s="382"/>
    </row>
    <row r="1750" spans="3:13" ht="17">
      <c r="C1750" s="90"/>
      <c r="D1750" s="546">
        <v>45652</v>
      </c>
      <c r="E1750" s="389" t="s">
        <v>987</v>
      </c>
      <c r="F1750" s="389" t="s">
        <v>973</v>
      </c>
      <c r="G1750" s="389" t="s">
        <v>1112</v>
      </c>
      <c r="H1750" s="913">
        <v>0.57291666666666663</v>
      </c>
      <c r="I1750" s="1297"/>
      <c r="J1750" s="1297"/>
      <c r="K1750" s="1298"/>
      <c r="L1750" s="914"/>
      <c r="M1750" s="384"/>
    </row>
    <row r="1751" spans="3:13" ht="17">
      <c r="C1751" s="90"/>
      <c r="D1751" s="546">
        <v>45645</v>
      </c>
      <c r="E1751" s="389" t="s">
        <v>1112</v>
      </c>
      <c r="F1751" s="389" t="s">
        <v>976</v>
      </c>
      <c r="G1751" s="389" t="s">
        <v>980</v>
      </c>
      <c r="H1751" s="913">
        <v>0.57291666666666663</v>
      </c>
      <c r="I1751" s="1297"/>
      <c r="J1751" s="1297"/>
      <c r="K1751" s="1298"/>
      <c r="L1751" s="914"/>
      <c r="M1751" s="385"/>
    </row>
    <row r="1752" spans="3:13" ht="17">
      <c r="C1752" s="90"/>
      <c r="D1752" s="546">
        <v>45638</v>
      </c>
      <c r="E1752" s="389" t="s">
        <v>980</v>
      </c>
      <c r="F1752" s="389" t="s">
        <v>972</v>
      </c>
      <c r="G1752" s="389" t="s">
        <v>985</v>
      </c>
      <c r="H1752" s="913">
        <v>0.57291666666666663</v>
      </c>
      <c r="I1752" s="1297"/>
      <c r="J1752" s="1297"/>
      <c r="K1752" s="1298"/>
      <c r="L1752" s="914"/>
      <c r="M1752" s="377"/>
    </row>
    <row r="1753" spans="3:13" ht="17">
      <c r="C1753" s="90"/>
      <c r="D1753" s="546">
        <v>45631</v>
      </c>
      <c r="E1753" s="389" t="s">
        <v>1032</v>
      </c>
      <c r="F1753" s="389" t="s">
        <v>1232</v>
      </c>
      <c r="G1753" s="389" t="s">
        <v>1232</v>
      </c>
      <c r="H1753" s="913">
        <v>0.57291666666666663</v>
      </c>
      <c r="I1753" s="1297"/>
      <c r="J1753" s="1297"/>
      <c r="K1753" s="1298"/>
      <c r="L1753" s="914"/>
      <c r="M1753" s="377"/>
    </row>
    <row r="1754" spans="3:13" ht="17">
      <c r="C1754" s="90"/>
      <c r="D1754" s="546">
        <v>45623</v>
      </c>
      <c r="E1754" s="389" t="s">
        <v>1111</v>
      </c>
      <c r="F1754" s="389" t="s">
        <v>1232</v>
      </c>
      <c r="G1754" s="389" t="s">
        <v>1232</v>
      </c>
      <c r="H1754" s="913">
        <v>0.57291666666666663</v>
      </c>
      <c r="I1754" s="1297"/>
      <c r="J1754" s="1297"/>
      <c r="K1754" s="1298"/>
      <c r="L1754" s="914"/>
      <c r="M1754" s="377"/>
    </row>
    <row r="1755" spans="3:13" ht="18" thickBot="1">
      <c r="C1755" s="90"/>
      <c r="D1755" s="546">
        <v>45617</v>
      </c>
      <c r="E1755" s="389" t="s">
        <v>1111</v>
      </c>
      <c r="F1755" s="389" t="s">
        <v>1112</v>
      </c>
      <c r="G1755" s="389" t="s">
        <v>987</v>
      </c>
      <c r="H1755" s="913">
        <v>0.61458333333333337</v>
      </c>
      <c r="I1755" s="1299"/>
      <c r="J1755" s="1299"/>
      <c r="K1755" s="1300"/>
      <c r="L1755" s="915"/>
      <c r="M1755" s="386"/>
    </row>
    <row r="1756" spans="3:13" ht="18" thickBot="1">
      <c r="C1756" s="90">
        <v>8</v>
      </c>
      <c r="D1756" s="541" t="s">
        <v>30</v>
      </c>
      <c r="E1756" s="1358" t="s">
        <v>1328</v>
      </c>
      <c r="F1756" s="1359"/>
      <c r="G1756" s="1360"/>
      <c r="H1756" s="904" t="s">
        <v>790</v>
      </c>
      <c r="I1756" s="1293" t="s">
        <v>633</v>
      </c>
      <c r="J1756" s="1293"/>
      <c r="K1756" s="1294"/>
      <c r="L1756" s="906" t="s">
        <v>430</v>
      </c>
      <c r="M1756" s="375" t="s">
        <v>431</v>
      </c>
    </row>
    <row r="1757" spans="3:13" ht="17">
      <c r="C1757" s="90"/>
      <c r="D1757" s="542" t="s">
        <v>432</v>
      </c>
      <c r="E1757" s="1307"/>
      <c r="F1757" s="1308"/>
      <c r="G1757" s="1309"/>
      <c r="H1757" s="907" t="s">
        <v>794</v>
      </c>
      <c r="I1757" s="1295" t="s">
        <v>1329</v>
      </c>
      <c r="J1757" s="1295"/>
      <c r="K1757" s="1296"/>
      <c r="L1757" s="908"/>
      <c r="M1757" s="376" t="s">
        <v>1328</v>
      </c>
    </row>
    <row r="1758" spans="3:13" ht="17">
      <c r="C1758" s="90"/>
      <c r="D1758" s="543" t="s">
        <v>433</v>
      </c>
      <c r="E1758" s="1341"/>
      <c r="F1758" s="1339"/>
      <c r="G1758" s="1340"/>
      <c r="H1758" s="907" t="s">
        <v>795</v>
      </c>
      <c r="I1758" s="1297"/>
      <c r="J1758" s="1297"/>
      <c r="K1758" s="1298"/>
      <c r="L1758" s="908"/>
      <c r="M1758" s="377"/>
    </row>
    <row r="1759" spans="3:13" ht="17">
      <c r="C1759" s="90"/>
      <c r="D1759" s="543" t="s">
        <v>434</v>
      </c>
      <c r="E1759" s="1341">
        <v>49.7</v>
      </c>
      <c r="F1759" s="1339"/>
      <c r="G1759" s="1340"/>
      <c r="H1759" s="907"/>
      <c r="I1759" s="1297"/>
      <c r="J1759" s="1297"/>
      <c r="K1759" s="1298"/>
      <c r="L1759" s="908"/>
      <c r="M1759" s="377"/>
    </row>
    <row r="1760" spans="3:13" ht="18" thickBot="1">
      <c r="C1760" s="90"/>
      <c r="D1760" s="544" t="s">
        <v>435</v>
      </c>
      <c r="E1760" s="1313">
        <v>0.61458333333333337</v>
      </c>
      <c r="F1760" s="1314"/>
      <c r="G1760" s="1315"/>
      <c r="H1760" s="909">
        <v>0.40625</v>
      </c>
      <c r="I1760" s="1297"/>
      <c r="J1760" s="1297"/>
      <c r="K1760" s="1298"/>
      <c r="L1760" s="910">
        <v>0.84375</v>
      </c>
      <c r="M1760" s="379">
        <v>0.69791666666666663</v>
      </c>
    </row>
    <row r="1761" spans="3:13" ht="18" thickBot="1">
      <c r="C1761" s="90"/>
      <c r="D1761" s="545" t="s">
        <v>436</v>
      </c>
      <c r="E1761" s="380" t="s">
        <v>29</v>
      </c>
      <c r="F1761" s="380" t="s">
        <v>28</v>
      </c>
      <c r="G1761" s="381" t="s">
        <v>27</v>
      </c>
      <c r="H1761" s="911" t="s">
        <v>793</v>
      </c>
      <c r="I1761" s="1297"/>
      <c r="J1761" s="1297"/>
      <c r="K1761" s="1298"/>
      <c r="L1761" s="912" t="s">
        <v>1246</v>
      </c>
      <c r="M1761" s="382"/>
    </row>
    <row r="1762" spans="3:13" ht="17">
      <c r="C1762" s="90"/>
      <c r="D1762" s="546">
        <v>45642</v>
      </c>
      <c r="E1762" s="387">
        <v>48.3</v>
      </c>
      <c r="F1762" s="387" t="s">
        <v>440</v>
      </c>
      <c r="G1762" s="387">
        <v>49.7</v>
      </c>
      <c r="H1762" s="913">
        <v>0.61458333333333337</v>
      </c>
      <c r="I1762" s="1297"/>
      <c r="J1762" s="1297"/>
      <c r="K1762" s="1298"/>
      <c r="L1762" s="914">
        <v>0.84375</v>
      </c>
      <c r="M1762" s="384"/>
    </row>
    <row r="1763" spans="3:13" ht="17">
      <c r="C1763" s="90"/>
      <c r="D1763" s="546">
        <v>45628</v>
      </c>
      <c r="E1763" s="387">
        <v>49.7</v>
      </c>
      <c r="F1763" s="387" t="s">
        <v>510</v>
      </c>
      <c r="G1763" s="387">
        <v>48.5</v>
      </c>
      <c r="H1763" s="913">
        <v>0.61458333333333337</v>
      </c>
      <c r="I1763" s="1297"/>
      <c r="J1763" s="1297"/>
      <c r="K1763" s="1298"/>
      <c r="L1763" s="914">
        <v>0.84375</v>
      </c>
      <c r="M1763" s="385"/>
    </row>
    <row r="1764" spans="3:13" ht="17">
      <c r="C1764" s="90"/>
      <c r="D1764" s="546">
        <v>45618</v>
      </c>
      <c r="E1764" s="387">
        <v>48.8</v>
      </c>
      <c r="F1764" s="387" t="s">
        <v>510</v>
      </c>
      <c r="G1764" s="387">
        <v>48.5</v>
      </c>
      <c r="H1764" s="913">
        <v>0.61458333333333337</v>
      </c>
      <c r="I1764" s="1297"/>
      <c r="J1764" s="1297"/>
      <c r="K1764" s="1298"/>
      <c r="L1764" s="914">
        <v>0.84375</v>
      </c>
      <c r="M1764" s="377"/>
    </row>
    <row r="1765" spans="3:13" ht="17">
      <c r="C1765" s="90"/>
      <c r="D1765" s="546">
        <v>45597</v>
      </c>
      <c r="E1765" s="387">
        <v>48.5</v>
      </c>
      <c r="F1765" s="387" t="s">
        <v>1054</v>
      </c>
      <c r="G1765" s="387">
        <v>47.8</v>
      </c>
      <c r="H1765" s="913">
        <v>0.57291666666666674</v>
      </c>
      <c r="I1765" s="1297"/>
      <c r="J1765" s="1297"/>
      <c r="K1765" s="1298"/>
      <c r="L1765" s="914">
        <v>0.80208333333333337</v>
      </c>
      <c r="M1765" s="377"/>
    </row>
    <row r="1766" spans="3:13" ht="17">
      <c r="C1766" s="90"/>
      <c r="D1766" s="546">
        <v>45589</v>
      </c>
      <c r="E1766" s="387">
        <v>47.8</v>
      </c>
      <c r="F1766" s="387" t="s">
        <v>509</v>
      </c>
      <c r="G1766" s="387">
        <v>47.3</v>
      </c>
      <c r="H1766" s="913">
        <v>0.57291666666666674</v>
      </c>
      <c r="I1766" s="1297"/>
      <c r="J1766" s="1297"/>
      <c r="K1766" s="1298"/>
      <c r="L1766" s="914">
        <v>0.80208333333333337</v>
      </c>
      <c r="M1766" s="377"/>
    </row>
    <row r="1767" spans="3:13" ht="18" thickBot="1">
      <c r="C1767" s="90"/>
      <c r="D1767" s="546">
        <v>45566</v>
      </c>
      <c r="E1767" s="387">
        <v>47.3</v>
      </c>
      <c r="F1767" s="387" t="s">
        <v>758</v>
      </c>
      <c r="G1767" s="387">
        <v>47.9</v>
      </c>
      <c r="H1767" s="913">
        <v>0.57291666666666674</v>
      </c>
      <c r="I1767" s="1299"/>
      <c r="J1767" s="1299"/>
      <c r="K1767" s="1300"/>
      <c r="L1767" s="914">
        <v>0.80208333333333337</v>
      </c>
      <c r="M1767" s="386"/>
    </row>
    <row r="1768" spans="3:13" ht="18" thickBot="1">
      <c r="C1768" s="90">
        <v>12</v>
      </c>
      <c r="D1768" s="541" t="s">
        <v>30</v>
      </c>
      <c r="E1768" s="1358" t="s">
        <v>1334</v>
      </c>
      <c r="F1768" s="1359"/>
      <c r="G1768" s="1360"/>
      <c r="H1768" s="904" t="s">
        <v>790</v>
      </c>
      <c r="I1768" s="1293" t="s">
        <v>633</v>
      </c>
      <c r="J1768" s="1293"/>
      <c r="K1768" s="1294"/>
      <c r="L1768" s="906" t="s">
        <v>430</v>
      </c>
      <c r="M1768" s="388" t="s">
        <v>431</v>
      </c>
    </row>
    <row r="1769" spans="3:13" ht="17">
      <c r="C1769" s="162"/>
      <c r="D1769" s="542" t="s">
        <v>432</v>
      </c>
      <c r="E1769" s="1307"/>
      <c r="F1769" s="1308"/>
      <c r="G1769" s="1309"/>
      <c r="H1769" s="907" t="s">
        <v>796</v>
      </c>
      <c r="I1769" s="1295" t="s">
        <v>1336</v>
      </c>
      <c r="J1769" s="1295"/>
      <c r="K1769" s="1296"/>
      <c r="L1769" s="908"/>
      <c r="M1769" s="376" t="s">
        <v>1334</v>
      </c>
    </row>
    <row r="1770" spans="3:13" ht="17">
      <c r="C1770" s="162"/>
      <c r="D1770" s="543" t="s">
        <v>433</v>
      </c>
      <c r="E1770" s="1367"/>
      <c r="F1770" s="1368"/>
      <c r="G1770" s="1369"/>
      <c r="H1770" s="907" t="s">
        <v>796</v>
      </c>
      <c r="I1770" s="1297"/>
      <c r="J1770" s="1297"/>
      <c r="K1770" s="1298"/>
      <c r="L1770" s="908"/>
      <c r="M1770" s="377"/>
    </row>
    <row r="1771" spans="3:13" ht="17">
      <c r="C1771" s="162"/>
      <c r="D1771" s="543" t="s">
        <v>434</v>
      </c>
      <c r="E1771" s="1361" t="s">
        <v>1335</v>
      </c>
      <c r="F1771" s="1362"/>
      <c r="G1771" s="1363"/>
      <c r="H1771" s="907"/>
      <c r="I1771" s="1297"/>
      <c r="J1771" s="1297"/>
      <c r="K1771" s="1298"/>
      <c r="L1771" s="908"/>
      <c r="M1771" s="377"/>
    </row>
    <row r="1772" spans="3:13" ht="18" thickBot="1">
      <c r="C1772" s="162"/>
      <c r="D1772" s="544" t="s">
        <v>435</v>
      </c>
      <c r="E1772" s="1313">
        <v>0.66666666666666674</v>
      </c>
      <c r="F1772" s="1314"/>
      <c r="G1772" s="1315"/>
      <c r="H1772" s="909"/>
      <c r="I1772" s="1297"/>
      <c r="J1772" s="1297"/>
      <c r="K1772" s="1298"/>
      <c r="L1772" s="910">
        <v>0.89583333333333337</v>
      </c>
      <c r="M1772" s="379">
        <v>0.75</v>
      </c>
    </row>
    <row r="1773" spans="3:13" ht="18" thickBot="1">
      <c r="C1773" s="162"/>
      <c r="D1773" s="545" t="s">
        <v>436</v>
      </c>
      <c r="E1773" s="380" t="s">
        <v>29</v>
      </c>
      <c r="F1773" s="380" t="s">
        <v>28</v>
      </c>
      <c r="G1773" s="381" t="s">
        <v>27</v>
      </c>
      <c r="H1773" s="911" t="s">
        <v>793</v>
      </c>
      <c r="I1773" s="1297"/>
      <c r="J1773" s="1297"/>
      <c r="K1773" s="1298"/>
      <c r="L1773" s="912" t="s">
        <v>1246</v>
      </c>
      <c r="M1773" s="391"/>
    </row>
    <row r="1774" spans="3:13" ht="17">
      <c r="C1774" s="162"/>
      <c r="D1774" s="546">
        <v>45653</v>
      </c>
      <c r="E1774" s="392" t="s">
        <v>1342</v>
      </c>
      <c r="F1774" s="392" t="s">
        <v>1343</v>
      </c>
      <c r="G1774" s="392" t="s">
        <v>1318</v>
      </c>
      <c r="H1774" s="913">
        <v>0.83333333333333315</v>
      </c>
      <c r="I1774" s="1297"/>
      <c r="J1774" s="1297"/>
      <c r="K1774" s="1298"/>
      <c r="L1774" s="914">
        <v>0.97916666666666663</v>
      </c>
      <c r="M1774" s="384"/>
    </row>
    <row r="1775" spans="3:13" ht="17">
      <c r="C1775" s="162"/>
      <c r="D1775" s="546">
        <v>45644</v>
      </c>
      <c r="E1775" s="392" t="s">
        <v>1318</v>
      </c>
      <c r="F1775" s="392" t="s">
        <v>1289</v>
      </c>
      <c r="G1775" s="392" t="s">
        <v>1286</v>
      </c>
      <c r="H1775" s="913">
        <v>0.72916666666666663</v>
      </c>
      <c r="I1775" s="1297"/>
      <c r="J1775" s="1297"/>
      <c r="K1775" s="1298"/>
      <c r="L1775" s="914">
        <v>0.875</v>
      </c>
      <c r="M1775" s="385"/>
    </row>
    <row r="1776" spans="3:13" ht="17">
      <c r="C1776" s="162"/>
      <c r="D1776" s="546">
        <v>45637</v>
      </c>
      <c r="E1776" s="392" t="s">
        <v>1286</v>
      </c>
      <c r="F1776" s="392" t="s">
        <v>1287</v>
      </c>
      <c r="G1776" s="392" t="s">
        <v>1288</v>
      </c>
      <c r="H1776" s="913">
        <v>0.72916666666666663</v>
      </c>
      <c r="I1776" s="1297"/>
      <c r="J1776" s="1297"/>
      <c r="K1776" s="1298"/>
      <c r="L1776" s="914">
        <v>0.875</v>
      </c>
      <c r="M1776" s="377"/>
    </row>
    <row r="1777" spans="3:13" ht="17">
      <c r="C1777" s="162"/>
      <c r="D1777" s="546">
        <v>45630</v>
      </c>
      <c r="E1777" s="392" t="s">
        <v>1288</v>
      </c>
      <c r="F1777" s="392" t="s">
        <v>1289</v>
      </c>
      <c r="G1777" s="392" t="s">
        <v>1290</v>
      </c>
      <c r="H1777" s="913">
        <v>0.72916666666666663</v>
      </c>
      <c r="I1777" s="1297"/>
      <c r="J1777" s="1297"/>
      <c r="K1777" s="1298"/>
      <c r="L1777" s="914">
        <v>0.875</v>
      </c>
      <c r="M1777" s="377"/>
    </row>
    <row r="1778" spans="3:13" ht="17">
      <c r="C1778" s="162"/>
      <c r="D1778" s="546">
        <v>45623</v>
      </c>
      <c r="E1778" s="392" t="s">
        <v>1290</v>
      </c>
      <c r="F1778" s="392" t="s">
        <v>1291</v>
      </c>
      <c r="G1778" s="392" t="s">
        <v>1125</v>
      </c>
      <c r="H1778" s="913">
        <v>0.72916666666666663</v>
      </c>
      <c r="I1778" s="1297"/>
      <c r="J1778" s="1297"/>
      <c r="K1778" s="1298"/>
      <c r="L1778" s="914">
        <v>0.875</v>
      </c>
      <c r="M1778" s="377"/>
    </row>
    <row r="1779" spans="3:13" ht="18" thickBot="1">
      <c r="C1779" s="162"/>
      <c r="D1779" s="547">
        <v>45616</v>
      </c>
      <c r="E1779" s="393" t="s">
        <v>1125</v>
      </c>
      <c r="F1779" s="393" t="s">
        <v>1030</v>
      </c>
      <c r="G1779" s="393" t="s">
        <v>1029</v>
      </c>
      <c r="H1779" s="916">
        <v>0.72916666666666663</v>
      </c>
      <c r="I1779" s="1299"/>
      <c r="J1779" s="1299"/>
      <c r="K1779" s="1300"/>
      <c r="L1779" s="915">
        <v>0.875</v>
      </c>
      <c r="M1779" s="386"/>
    </row>
    <row r="1780" spans="3:13" ht="18" thickBot="1">
      <c r="C1780" s="90">
        <v>10</v>
      </c>
      <c r="D1780" s="541" t="s">
        <v>30</v>
      </c>
      <c r="E1780" s="1358" t="s">
        <v>1330</v>
      </c>
      <c r="F1780" s="1359"/>
      <c r="G1780" s="1360"/>
      <c r="H1780" s="904" t="s">
        <v>790</v>
      </c>
      <c r="I1780" s="1293" t="s">
        <v>633</v>
      </c>
      <c r="J1780" s="1293"/>
      <c r="K1780" s="1294"/>
      <c r="L1780" s="906" t="s">
        <v>430</v>
      </c>
      <c r="M1780" s="375" t="s">
        <v>431</v>
      </c>
    </row>
    <row r="1781" spans="3:13" ht="17">
      <c r="C1781" s="162"/>
      <c r="D1781" s="542" t="s">
        <v>432</v>
      </c>
      <c r="E1781" s="1307"/>
      <c r="F1781" s="1308"/>
      <c r="G1781" s="1309"/>
      <c r="H1781" s="907" t="s">
        <v>794</v>
      </c>
      <c r="I1781" s="1295" t="s">
        <v>1331</v>
      </c>
      <c r="J1781" s="1295"/>
      <c r="K1781" s="1296"/>
      <c r="L1781" s="908"/>
      <c r="M1781" s="376" t="s">
        <v>1330</v>
      </c>
    </row>
    <row r="1782" spans="3:13" ht="17">
      <c r="C1782" s="162"/>
      <c r="D1782" s="543" t="s">
        <v>433</v>
      </c>
      <c r="E1782" s="1341"/>
      <c r="F1782" s="1339"/>
      <c r="G1782" s="1340"/>
      <c r="H1782" s="907" t="s">
        <v>795</v>
      </c>
      <c r="I1782" s="1297"/>
      <c r="J1782" s="1297"/>
      <c r="K1782" s="1298"/>
      <c r="L1782" s="908"/>
      <c r="M1782" s="377"/>
    </row>
    <row r="1783" spans="3:13" ht="17">
      <c r="C1783" s="162"/>
      <c r="D1783" s="543" t="s">
        <v>434</v>
      </c>
      <c r="E1783" s="1341">
        <v>48.4</v>
      </c>
      <c r="F1783" s="1339"/>
      <c r="G1783" s="1340"/>
      <c r="H1783" s="907"/>
      <c r="I1783" s="1297"/>
      <c r="J1783" s="1297"/>
      <c r="K1783" s="1298"/>
      <c r="L1783" s="908"/>
      <c r="M1783" s="377"/>
    </row>
    <row r="1784" spans="3:13" ht="18" thickBot="1">
      <c r="C1784" s="162"/>
      <c r="D1784" s="544" t="s">
        <v>435</v>
      </c>
      <c r="E1784" s="1313">
        <v>0.625</v>
      </c>
      <c r="F1784" s="1314"/>
      <c r="G1784" s="1315"/>
      <c r="H1784" s="909">
        <v>0.41666666666666663</v>
      </c>
      <c r="I1784" s="1297"/>
      <c r="J1784" s="1297"/>
      <c r="K1784" s="1298"/>
      <c r="L1784" s="910">
        <v>0.85416666666666663</v>
      </c>
      <c r="M1784" s="379">
        <v>0.70833333333333326</v>
      </c>
    </row>
    <row r="1785" spans="3:13" ht="18" thickBot="1">
      <c r="C1785" s="162"/>
      <c r="D1785" s="545" t="s">
        <v>436</v>
      </c>
      <c r="E1785" s="380" t="s">
        <v>29</v>
      </c>
      <c r="F1785" s="380" t="s">
        <v>28</v>
      </c>
      <c r="G1785" s="381" t="s">
        <v>27</v>
      </c>
      <c r="H1785" s="911" t="s">
        <v>793</v>
      </c>
      <c r="I1785" s="1297"/>
      <c r="J1785" s="1297"/>
      <c r="K1785" s="1298"/>
      <c r="L1785" s="912" t="s">
        <v>1246</v>
      </c>
      <c r="M1785" s="382"/>
    </row>
    <row r="1786" spans="3:13" ht="17">
      <c r="C1786" s="162"/>
      <c r="D1786" s="546">
        <v>45628</v>
      </c>
      <c r="E1786" s="387">
        <v>48.4</v>
      </c>
      <c r="F1786" s="387" t="s">
        <v>1341</v>
      </c>
      <c r="G1786" s="387">
        <v>46.5</v>
      </c>
      <c r="H1786" s="913">
        <v>0.625</v>
      </c>
      <c r="I1786" s="1297"/>
      <c r="J1786" s="1297"/>
      <c r="K1786" s="1298"/>
      <c r="L1786" s="914">
        <v>0.85416666666666663</v>
      </c>
      <c r="M1786" s="390"/>
    </row>
    <row r="1787" spans="3:13" ht="17">
      <c r="C1787" s="162"/>
      <c r="D1787" s="546">
        <v>45597</v>
      </c>
      <c r="E1787" s="387">
        <v>46.5</v>
      </c>
      <c r="F1787" s="387" t="s">
        <v>901</v>
      </c>
      <c r="G1787" s="387">
        <v>47.2</v>
      </c>
      <c r="H1787" s="913">
        <v>0.58333333333333337</v>
      </c>
      <c r="I1787" s="1297"/>
      <c r="J1787" s="1297"/>
      <c r="K1787" s="1298"/>
      <c r="L1787" s="914">
        <v>0.8125</v>
      </c>
      <c r="M1787" s="390"/>
    </row>
    <row r="1788" spans="3:13" ht="17">
      <c r="C1788" s="162"/>
      <c r="D1788" s="546">
        <v>45566</v>
      </c>
      <c r="E1788" s="387">
        <v>47.2</v>
      </c>
      <c r="F1788" s="387" t="s">
        <v>901</v>
      </c>
      <c r="G1788" s="387">
        <v>47.2</v>
      </c>
      <c r="H1788" s="913">
        <v>0.58333333333333337</v>
      </c>
      <c r="I1788" s="1297"/>
      <c r="J1788" s="1297"/>
      <c r="K1788" s="1298"/>
      <c r="L1788" s="914">
        <v>0.8125</v>
      </c>
      <c r="M1788" s="390"/>
    </row>
    <row r="1789" spans="3:13" ht="17">
      <c r="C1789" s="162"/>
      <c r="D1789" s="546">
        <v>45538</v>
      </c>
      <c r="E1789" s="387">
        <v>47.2</v>
      </c>
      <c r="F1789" s="387" t="s">
        <v>509</v>
      </c>
      <c r="G1789" s="387">
        <v>46.8</v>
      </c>
      <c r="H1789" s="913">
        <v>0.58333333333333337</v>
      </c>
      <c r="I1789" s="1297"/>
      <c r="J1789" s="1297"/>
      <c r="K1789" s="1298"/>
      <c r="L1789" s="914">
        <v>0.8125</v>
      </c>
      <c r="M1789" s="390"/>
    </row>
    <row r="1790" spans="3:13" ht="17">
      <c r="C1790" s="162"/>
      <c r="D1790" s="546">
        <v>45505</v>
      </c>
      <c r="E1790" s="387">
        <v>46.8</v>
      </c>
      <c r="F1790" s="387" t="s">
        <v>510</v>
      </c>
      <c r="G1790" s="387">
        <v>48.5</v>
      </c>
      <c r="H1790" s="913">
        <v>0.58333333333333337</v>
      </c>
      <c r="I1790" s="1297"/>
      <c r="J1790" s="1297"/>
      <c r="K1790" s="1298"/>
      <c r="L1790" s="914">
        <v>0.8125</v>
      </c>
      <c r="M1790" s="390"/>
    </row>
    <row r="1791" spans="3:13" ht="18" thickBot="1">
      <c r="C1791" s="162"/>
      <c r="D1791" s="546">
        <v>45474</v>
      </c>
      <c r="E1791" s="387">
        <v>48.5</v>
      </c>
      <c r="F1791" s="387" t="s">
        <v>511</v>
      </c>
      <c r="G1791" s="387">
        <v>48.7</v>
      </c>
      <c r="H1791" s="913">
        <v>0.58333333333333337</v>
      </c>
      <c r="I1791" s="1299"/>
      <c r="J1791" s="1299"/>
      <c r="K1791" s="1300"/>
      <c r="L1791" s="914">
        <v>0.8125</v>
      </c>
      <c r="M1791" s="390"/>
    </row>
    <row r="1792" spans="3:13" ht="18" thickBot="1">
      <c r="C1792" s="90">
        <v>11</v>
      </c>
      <c r="D1792" s="541" t="s">
        <v>30</v>
      </c>
      <c r="E1792" s="1358" t="s">
        <v>1332</v>
      </c>
      <c r="F1792" s="1359"/>
      <c r="G1792" s="1360"/>
      <c r="H1792" s="904" t="s">
        <v>790</v>
      </c>
      <c r="I1792" s="1293" t="s">
        <v>633</v>
      </c>
      <c r="J1792" s="1293"/>
      <c r="K1792" s="1294"/>
      <c r="L1792" s="906" t="s">
        <v>430</v>
      </c>
      <c r="M1792" s="375" t="s">
        <v>431</v>
      </c>
    </row>
    <row r="1793" spans="3:26" ht="17">
      <c r="C1793" s="162"/>
      <c r="D1793" s="542" t="s">
        <v>432</v>
      </c>
      <c r="E1793" s="1307"/>
      <c r="F1793" s="1308"/>
      <c r="G1793" s="1309"/>
      <c r="H1793" s="907" t="s">
        <v>794</v>
      </c>
      <c r="I1793" s="1295" t="s">
        <v>1333</v>
      </c>
      <c r="J1793" s="1295"/>
      <c r="K1793" s="1296"/>
      <c r="L1793" s="908"/>
      <c r="M1793" s="376" t="s">
        <v>1332</v>
      </c>
    </row>
    <row r="1794" spans="3:26" ht="17">
      <c r="C1794" s="162"/>
      <c r="D1794" s="543" t="s">
        <v>433</v>
      </c>
      <c r="E1794" s="1341"/>
      <c r="F1794" s="1339"/>
      <c r="G1794" s="1340"/>
      <c r="H1794" s="907" t="s">
        <v>795</v>
      </c>
      <c r="I1794" s="1297"/>
      <c r="J1794" s="1297"/>
      <c r="K1794" s="1298"/>
      <c r="L1794" s="908"/>
      <c r="M1794" s="377"/>
    </row>
    <row r="1795" spans="3:26" ht="17">
      <c r="C1795" s="162"/>
      <c r="D1795" s="543" t="s">
        <v>434</v>
      </c>
      <c r="E1795" s="1341">
        <v>50.3</v>
      </c>
      <c r="F1795" s="1339"/>
      <c r="G1795" s="1340"/>
      <c r="H1795" s="907"/>
      <c r="I1795" s="1297"/>
      <c r="J1795" s="1297"/>
      <c r="K1795" s="1298"/>
      <c r="L1795" s="908"/>
      <c r="M1795" s="377"/>
    </row>
    <row r="1796" spans="3:26" ht="18" thickBot="1">
      <c r="C1796" s="162"/>
      <c r="D1796" s="544" t="s">
        <v>435</v>
      </c>
      <c r="E1796" s="1313">
        <v>0.625</v>
      </c>
      <c r="F1796" s="1314"/>
      <c r="G1796" s="1315"/>
      <c r="H1796" s="909">
        <v>0.41666666666666663</v>
      </c>
      <c r="I1796" s="1297"/>
      <c r="J1796" s="1297"/>
      <c r="K1796" s="1298"/>
      <c r="L1796" s="910">
        <v>0.85416666666666663</v>
      </c>
      <c r="M1796" s="379">
        <v>0.70833333333333326</v>
      </c>
    </row>
    <row r="1797" spans="3:26" ht="18" thickBot="1">
      <c r="C1797" s="162"/>
      <c r="D1797" s="545" t="s">
        <v>436</v>
      </c>
      <c r="E1797" s="380" t="s">
        <v>29</v>
      </c>
      <c r="F1797" s="380" t="s">
        <v>28</v>
      </c>
      <c r="G1797" s="381" t="s">
        <v>27</v>
      </c>
      <c r="H1797" s="911" t="s">
        <v>793</v>
      </c>
      <c r="I1797" s="1297"/>
      <c r="J1797" s="1297"/>
      <c r="K1797" s="1298"/>
      <c r="L1797" s="912" t="s">
        <v>1246</v>
      </c>
      <c r="M1797" s="382"/>
    </row>
    <row r="1798" spans="3:26" ht="17">
      <c r="C1798" s="162"/>
      <c r="D1798" s="546">
        <v>45628</v>
      </c>
      <c r="E1798" s="387">
        <v>50.3</v>
      </c>
      <c r="F1798" s="387" t="s">
        <v>586</v>
      </c>
      <c r="G1798" s="387">
        <v>54.8</v>
      </c>
      <c r="H1798" s="913">
        <v>0.625</v>
      </c>
      <c r="I1798" s="1297"/>
      <c r="J1798" s="1297"/>
      <c r="K1798" s="1298"/>
      <c r="L1798" s="914">
        <v>0.85416666666666663</v>
      </c>
      <c r="M1798" s="384"/>
    </row>
    <row r="1799" spans="3:26" ht="17">
      <c r="C1799" s="162"/>
      <c r="D1799" s="546">
        <v>45597</v>
      </c>
      <c r="E1799" s="387">
        <v>54.8</v>
      </c>
      <c r="F1799" s="387" t="s">
        <v>1173</v>
      </c>
      <c r="G1799" s="387">
        <v>48.3</v>
      </c>
      <c r="H1799" s="913">
        <v>0.58333333333333337</v>
      </c>
      <c r="I1799" s="1297"/>
      <c r="J1799" s="1297"/>
      <c r="K1799" s="1298"/>
      <c r="L1799" s="914">
        <v>0.8125</v>
      </c>
      <c r="M1799" s="385"/>
    </row>
    <row r="1800" spans="3:26" ht="17">
      <c r="C1800" s="162"/>
      <c r="D1800" s="546">
        <v>45566</v>
      </c>
      <c r="E1800" s="387">
        <v>48.3</v>
      </c>
      <c r="F1800" s="387" t="s">
        <v>902</v>
      </c>
      <c r="G1800" s="387">
        <v>54</v>
      </c>
      <c r="H1800" s="913">
        <v>0.58333333333333337</v>
      </c>
      <c r="I1800" s="1297"/>
      <c r="J1800" s="1297"/>
      <c r="K1800" s="1298"/>
      <c r="L1800" s="914">
        <v>0.8125</v>
      </c>
      <c r="M1800" s="377"/>
    </row>
    <row r="1801" spans="3:26" ht="17">
      <c r="C1801" s="162"/>
      <c r="D1801" s="546">
        <v>45538</v>
      </c>
      <c r="E1801" s="387">
        <v>54</v>
      </c>
      <c r="F1801" s="387" t="s">
        <v>519</v>
      </c>
      <c r="G1801" s="387">
        <v>52.9</v>
      </c>
      <c r="H1801" s="913">
        <v>0.58333333333333337</v>
      </c>
      <c r="I1801" s="1297"/>
      <c r="J1801" s="1297"/>
      <c r="K1801" s="1298"/>
      <c r="L1801" s="914">
        <v>0.8125</v>
      </c>
      <c r="M1801" s="377"/>
    </row>
    <row r="1802" spans="3:26" ht="17">
      <c r="C1802" s="162"/>
      <c r="D1802" s="546">
        <v>45505</v>
      </c>
      <c r="E1802" s="387">
        <v>52.9</v>
      </c>
      <c r="F1802" s="387" t="s">
        <v>520</v>
      </c>
      <c r="G1802" s="387">
        <v>52.1</v>
      </c>
      <c r="H1802" s="913">
        <v>0.58333333333333337</v>
      </c>
      <c r="I1802" s="1297"/>
      <c r="J1802" s="1297"/>
      <c r="K1802" s="1298"/>
      <c r="L1802" s="914">
        <v>0.8125</v>
      </c>
      <c r="M1802" s="377"/>
    </row>
    <row r="1803" spans="3:26" ht="18" thickBot="1">
      <c r="C1803" s="162"/>
      <c r="D1803" s="547">
        <v>45474</v>
      </c>
      <c r="E1803" s="394">
        <v>52.1</v>
      </c>
      <c r="F1803" s="394" t="s">
        <v>521</v>
      </c>
      <c r="G1803" s="394">
        <v>57</v>
      </c>
      <c r="H1803" s="916">
        <v>0.58333333333333337</v>
      </c>
      <c r="I1803" s="1299"/>
      <c r="J1803" s="1299"/>
      <c r="K1803" s="1300"/>
      <c r="L1803" s="915">
        <v>0.8125</v>
      </c>
      <c r="M1803" s="386"/>
    </row>
    <row r="1804" spans="3:26" ht="18" thickBot="1">
      <c r="C1804" s="90">
        <v>1</v>
      </c>
      <c r="D1804" s="541" t="s">
        <v>30</v>
      </c>
      <c r="E1804" s="1358" t="s">
        <v>1319</v>
      </c>
      <c r="F1804" s="1359"/>
      <c r="G1804" s="1360"/>
      <c r="H1804" s="904" t="s">
        <v>790</v>
      </c>
      <c r="I1804" s="1293" t="s">
        <v>633</v>
      </c>
      <c r="J1804" s="1293"/>
      <c r="K1804" s="1294"/>
      <c r="L1804" s="906" t="s">
        <v>430</v>
      </c>
      <c r="M1804" s="375" t="s">
        <v>431</v>
      </c>
      <c r="N1804" s="162" t="s">
        <v>105</v>
      </c>
      <c r="O1804" s="114" t="s">
        <v>800</v>
      </c>
      <c r="P1804" s="114" t="s">
        <v>801</v>
      </c>
      <c r="Q1804" s="114" t="s">
        <v>802</v>
      </c>
      <c r="R1804" s="114" t="s">
        <v>803</v>
      </c>
      <c r="S1804" s="114" t="s">
        <v>804</v>
      </c>
      <c r="T1804" s="114" t="s">
        <v>805</v>
      </c>
      <c r="U1804" s="114" t="s">
        <v>806</v>
      </c>
      <c r="V1804" s="114" t="s">
        <v>807</v>
      </c>
      <c r="W1804" s="114" t="s">
        <v>808</v>
      </c>
      <c r="X1804" s="114" t="s">
        <v>809</v>
      </c>
      <c r="Y1804" s="114" t="s">
        <v>75</v>
      </c>
      <c r="Z1804" s="114" t="s">
        <v>75</v>
      </c>
    </row>
    <row r="1805" spans="3:26" ht="17">
      <c r="C1805" s="90"/>
      <c r="D1805" s="542" t="s">
        <v>432</v>
      </c>
      <c r="E1805" s="1307"/>
      <c r="F1805" s="1308"/>
      <c r="G1805" s="1309"/>
      <c r="H1805" s="907" t="s">
        <v>794</v>
      </c>
      <c r="I1805" s="1295" t="s">
        <v>1320</v>
      </c>
      <c r="J1805" s="1295"/>
      <c r="K1805" s="1296"/>
      <c r="L1805" s="908"/>
      <c r="M1805" s="376" t="s">
        <v>1319</v>
      </c>
      <c r="N1805" s="162"/>
      <c r="O1805" s="395" t="s">
        <v>810</v>
      </c>
      <c r="P1805" s="396">
        <v>0.1</v>
      </c>
      <c r="Q1805" s="397">
        <v>3.5999999999999997E-2</v>
      </c>
      <c r="R1805" s="398">
        <v>2.2000000000005571E-2</v>
      </c>
      <c r="S1805" s="120"/>
      <c r="T1805" s="395">
        <v>7.6000000000005563E-2</v>
      </c>
      <c r="U1805" s="397">
        <v>-20.059999999999999</v>
      </c>
      <c r="V1805" s="396">
        <v>60.5</v>
      </c>
      <c r="W1805" s="399">
        <v>2</v>
      </c>
      <c r="X1805" s="400">
        <v>40.119999999999997</v>
      </c>
      <c r="Y1805" s="120"/>
      <c r="Z1805" s="120"/>
    </row>
    <row r="1806" spans="3:26" ht="17">
      <c r="C1806" s="90"/>
      <c r="D1806" s="543" t="s">
        <v>433</v>
      </c>
      <c r="E1806" s="1367">
        <v>42.7</v>
      </c>
      <c r="F1806" s="1368"/>
      <c r="G1806" s="1369"/>
      <c r="H1806" s="907" t="s">
        <v>795</v>
      </c>
      <c r="I1806" s="1297"/>
      <c r="J1806" s="1297"/>
      <c r="K1806" s="1298"/>
      <c r="L1806" s="908"/>
      <c r="M1806" s="377"/>
      <c r="N1806" s="162"/>
      <c r="O1806" s="162"/>
      <c r="P1806" s="162"/>
      <c r="Q1806" s="162"/>
      <c r="R1806" s="401"/>
      <c r="S1806" s="148"/>
      <c r="T1806" s="162"/>
      <c r="U1806" s="162"/>
      <c r="V1806" s="162"/>
      <c r="W1806" s="148"/>
      <c r="X1806" s="148"/>
      <c r="Y1806" s="124"/>
      <c r="Z1806" s="124"/>
    </row>
    <row r="1807" spans="3:26" ht="17">
      <c r="C1807" s="90"/>
      <c r="D1807" s="543" t="s">
        <v>434</v>
      </c>
      <c r="E1807" s="1367">
        <v>40.200000000000003</v>
      </c>
      <c r="F1807" s="1368"/>
      <c r="G1807" s="1369"/>
      <c r="H1807" s="907"/>
      <c r="I1807" s="1297"/>
      <c r="J1807" s="1297"/>
      <c r="K1807" s="1298"/>
      <c r="L1807" s="908"/>
      <c r="M1807" s="377"/>
      <c r="N1807" s="162"/>
      <c r="O1807" s="402" t="s">
        <v>811</v>
      </c>
      <c r="P1807" s="403">
        <v>0.1</v>
      </c>
      <c r="Q1807" s="404">
        <v>9.2700000000000005E-2</v>
      </c>
      <c r="R1807" s="405">
        <v>2.5999999999999999E-2</v>
      </c>
      <c r="S1807" s="406">
        <v>1</v>
      </c>
      <c r="T1807" s="402">
        <v>0.16505</v>
      </c>
      <c r="U1807" s="407">
        <v>-43.564513157891547</v>
      </c>
      <c r="V1807" s="408">
        <v>60.5</v>
      </c>
      <c r="W1807" s="409">
        <v>4.8899999999999997</v>
      </c>
      <c r="X1807" s="410">
        <v>213.03046934208965</v>
      </c>
      <c r="Y1807" s="134"/>
      <c r="Z1807" s="134"/>
    </row>
    <row r="1808" spans="3:26" ht="18" thickBot="1">
      <c r="C1808" s="90"/>
      <c r="D1808" s="544" t="s">
        <v>435</v>
      </c>
      <c r="E1808" s="1313">
        <v>0.61458333333333337</v>
      </c>
      <c r="F1808" s="1314"/>
      <c r="G1808" s="1315"/>
      <c r="H1808" s="909"/>
      <c r="I1808" s="1297"/>
      <c r="J1808" s="1297"/>
      <c r="K1808" s="1298"/>
      <c r="L1808" s="910">
        <v>0.84375</v>
      </c>
      <c r="M1808" s="379">
        <v>0.69791666666666663</v>
      </c>
      <c r="N1808" s="162"/>
      <c r="O1808" s="411" t="s">
        <v>812</v>
      </c>
      <c r="P1808" s="412">
        <v>0.1</v>
      </c>
      <c r="Q1808" s="413">
        <v>5.8733333333333332E-2</v>
      </c>
      <c r="R1808" s="414">
        <v>2.5999999999999999E-2</v>
      </c>
      <c r="S1808" s="415">
        <v>1</v>
      </c>
      <c r="T1808" s="416">
        <v>0.11409999999999999</v>
      </c>
      <c r="U1808" s="417">
        <v>-30.116394736839897</v>
      </c>
      <c r="V1808" s="418">
        <v>60.5</v>
      </c>
      <c r="W1808" s="419">
        <v>2</v>
      </c>
      <c r="X1808" s="420">
        <v>60.232789473679794</v>
      </c>
      <c r="Y1808" s="144"/>
      <c r="Z1808" s="144"/>
    </row>
    <row r="1809" spans="3:26" ht="18" thickBot="1">
      <c r="C1809" s="90"/>
      <c r="D1809" s="545" t="s">
        <v>436</v>
      </c>
      <c r="E1809" s="380" t="s">
        <v>29</v>
      </c>
      <c r="F1809" s="380" t="s">
        <v>28</v>
      </c>
      <c r="G1809" s="381" t="s">
        <v>27</v>
      </c>
      <c r="H1809" s="911" t="s">
        <v>793</v>
      </c>
      <c r="I1809" s="1297"/>
      <c r="J1809" s="1297"/>
      <c r="K1809" s="1298"/>
      <c r="L1809" s="912" t="s">
        <v>1246</v>
      </c>
      <c r="M1809" s="382"/>
      <c r="N1809" s="162"/>
      <c r="O1809" s="148"/>
      <c r="P1809" s="124"/>
      <c r="Q1809" s="148"/>
      <c r="R1809" s="148"/>
      <c r="S1809" s="148"/>
      <c r="T1809" s="148"/>
      <c r="U1809" s="421"/>
      <c r="V1809" s="422"/>
      <c r="W1809" s="148"/>
      <c r="X1809" s="421"/>
      <c r="Y1809" s="124"/>
      <c r="Z1809" s="124"/>
    </row>
    <row r="1810" spans="3:26" ht="17">
      <c r="C1810" s="90"/>
      <c r="D1810" s="546">
        <v>45625</v>
      </c>
      <c r="E1810" s="383">
        <v>40.200000000000003</v>
      </c>
      <c r="F1810" s="383" t="s">
        <v>477</v>
      </c>
      <c r="G1810" s="383">
        <v>41.6</v>
      </c>
      <c r="H1810" s="913">
        <v>0.57291666666666674</v>
      </c>
      <c r="I1810" s="1297"/>
      <c r="J1810" s="1297"/>
      <c r="K1810" s="1298"/>
      <c r="L1810" s="914">
        <v>0.80208333333333337</v>
      </c>
      <c r="M1810" s="384"/>
      <c r="N1810" s="162"/>
      <c r="O1810" s="148"/>
      <c r="P1810" s="124"/>
      <c r="Q1810" s="148"/>
      <c r="R1810" s="148"/>
      <c r="S1810" s="148"/>
      <c r="T1810" s="148"/>
      <c r="U1810" s="148"/>
      <c r="V1810" s="148"/>
      <c r="W1810" s="148"/>
      <c r="X1810" s="148"/>
      <c r="Y1810" s="124"/>
      <c r="Z1810" s="124"/>
    </row>
    <row r="1811" spans="3:26" ht="17">
      <c r="C1811" s="90"/>
      <c r="D1811" s="546">
        <v>45596</v>
      </c>
      <c r="E1811" s="383">
        <v>41.6</v>
      </c>
      <c r="F1811" s="383" t="s">
        <v>1126</v>
      </c>
      <c r="G1811" s="383">
        <v>46.6</v>
      </c>
      <c r="H1811" s="913">
        <v>0.57291666666666674</v>
      </c>
      <c r="I1811" s="1297"/>
      <c r="J1811" s="1297"/>
      <c r="K1811" s="1298"/>
      <c r="L1811" s="914">
        <v>0.80208333333333337</v>
      </c>
      <c r="M1811" s="385"/>
      <c r="N1811" s="162"/>
      <c r="O1811" s="395" t="s">
        <v>813</v>
      </c>
      <c r="P1811" s="396">
        <v>0.05</v>
      </c>
      <c r="Q1811" s="423">
        <v>7.5716666666666668E-2</v>
      </c>
      <c r="R1811" s="424">
        <v>2.5999999999999999E-2</v>
      </c>
      <c r="S1811" s="120">
        <v>1</v>
      </c>
      <c r="T1811" s="402">
        <v>0.139575</v>
      </c>
      <c r="U1811" s="425">
        <v>-18.420226973682862</v>
      </c>
      <c r="V1811" s="426">
        <v>30.25</v>
      </c>
      <c r="W1811" s="120">
        <v>1.5</v>
      </c>
      <c r="X1811" s="400">
        <v>27.630340460524295</v>
      </c>
      <c r="Y1811" s="154"/>
      <c r="Z1811" s="154"/>
    </row>
    <row r="1812" spans="3:26" ht="17">
      <c r="C1812" s="90"/>
      <c r="D1812" s="546">
        <v>45565</v>
      </c>
      <c r="E1812" s="383">
        <v>46.6</v>
      </c>
      <c r="F1812" s="383" t="s">
        <v>899</v>
      </c>
      <c r="G1812" s="383">
        <v>46.1</v>
      </c>
      <c r="H1812" s="913">
        <v>0.57291666666666674</v>
      </c>
      <c r="I1812" s="1297"/>
      <c r="J1812" s="1297"/>
      <c r="K1812" s="1298"/>
      <c r="L1812" s="914">
        <v>0.80208333333333337</v>
      </c>
      <c r="M1812" s="377"/>
      <c r="N1812" s="162"/>
      <c r="O1812" s="395" t="s">
        <v>813</v>
      </c>
      <c r="P1812" s="396">
        <v>-0.05</v>
      </c>
      <c r="Q1812" s="423">
        <v>7.5716666666666668E-2</v>
      </c>
      <c r="R1812" s="424">
        <v>2.5999999999999999E-2</v>
      </c>
      <c r="S1812" s="120">
        <v>-1</v>
      </c>
      <c r="T1812" s="402">
        <v>0.139575</v>
      </c>
      <c r="U1812" s="425">
        <v>-18.420226973682862</v>
      </c>
      <c r="V1812" s="426">
        <v>-30.25</v>
      </c>
      <c r="W1812" s="120">
        <v>1.5</v>
      </c>
      <c r="X1812" s="400">
        <v>27.630340460524295</v>
      </c>
      <c r="Y1812" s="154"/>
      <c r="Z1812" s="154"/>
    </row>
    <row r="1813" spans="3:26" ht="17">
      <c r="C1813" s="90"/>
      <c r="D1813" s="546">
        <v>45534</v>
      </c>
      <c r="E1813" s="383">
        <v>46.1</v>
      </c>
      <c r="F1813" s="383" t="s">
        <v>473</v>
      </c>
      <c r="G1813" s="383">
        <v>45.3</v>
      </c>
      <c r="H1813" s="913">
        <v>0.57291666666666674</v>
      </c>
      <c r="I1813" s="1297"/>
      <c r="J1813" s="1297"/>
      <c r="K1813" s="1298"/>
      <c r="L1813" s="914">
        <v>0.80208333333333337</v>
      </c>
      <c r="M1813" s="377"/>
      <c r="N1813" s="162"/>
      <c r="O1813" s="395"/>
      <c r="P1813" s="427"/>
      <c r="Q1813" s="423"/>
      <c r="R1813" s="424"/>
      <c r="S1813" s="120"/>
      <c r="T1813" s="427"/>
      <c r="U1813" s="425"/>
      <c r="V1813" s="426"/>
      <c r="W1813" s="120"/>
      <c r="X1813" s="400"/>
      <c r="Y1813" s="154"/>
      <c r="Z1813" s="154"/>
    </row>
    <row r="1814" spans="3:26" ht="17">
      <c r="C1814" s="90"/>
      <c r="D1814" s="546">
        <v>45504</v>
      </c>
      <c r="E1814" s="383">
        <v>45.3</v>
      </c>
      <c r="F1814" s="383" t="s">
        <v>474</v>
      </c>
      <c r="G1814" s="383">
        <v>47.4</v>
      </c>
      <c r="H1814" s="913">
        <v>0.57291666666666674</v>
      </c>
      <c r="I1814" s="1297"/>
      <c r="J1814" s="1297"/>
      <c r="K1814" s="1298"/>
      <c r="L1814" s="914">
        <v>0.80208333333333337</v>
      </c>
      <c r="M1814" s="377"/>
      <c r="N1814" s="162"/>
      <c r="O1814" s="89"/>
      <c r="P1814" s="89"/>
      <c r="Q1814" s="89"/>
      <c r="R1814" s="89"/>
      <c r="S1814" s="89"/>
      <c r="T1814" s="89"/>
      <c r="U1814" s="89"/>
      <c r="V1814" s="89"/>
      <c r="W1814" s="89"/>
      <c r="X1814" s="89"/>
      <c r="Y1814" s="89"/>
      <c r="Z1814" s="89"/>
    </row>
    <row r="1815" spans="3:26" ht="18" thickBot="1">
      <c r="C1815" s="90"/>
      <c r="D1815" s="546">
        <v>45471</v>
      </c>
      <c r="E1815" s="383">
        <v>47.4</v>
      </c>
      <c r="F1815" s="383" t="s">
        <v>475</v>
      </c>
      <c r="G1815" s="383">
        <v>35.4</v>
      </c>
      <c r="H1815" s="913">
        <v>0.57291666666666674</v>
      </c>
      <c r="I1815" s="1299"/>
      <c r="J1815" s="1299"/>
      <c r="K1815" s="1300"/>
      <c r="L1815" s="914">
        <v>0.80208333333333337</v>
      </c>
      <c r="M1815" s="386"/>
      <c r="N1815" s="162"/>
      <c r="O1815" s="89"/>
      <c r="P1815" s="89"/>
      <c r="Q1815" s="89"/>
      <c r="R1815" s="89"/>
      <c r="S1815" s="89"/>
      <c r="T1815" s="89"/>
      <c r="U1815" s="89"/>
      <c r="V1815" s="89"/>
      <c r="W1815" s="89"/>
      <c r="X1815" s="89"/>
      <c r="Y1815" s="89"/>
      <c r="Z1815" s="89"/>
    </row>
    <row r="1816" spans="3:26" ht="18" thickBot="1">
      <c r="C1816" s="90">
        <v>2</v>
      </c>
      <c r="D1816" s="541" t="s">
        <v>30</v>
      </c>
      <c r="E1816" s="1358" t="s">
        <v>1321</v>
      </c>
      <c r="F1816" s="1359"/>
      <c r="G1816" s="1360"/>
      <c r="H1816" s="904" t="s">
        <v>790</v>
      </c>
      <c r="I1816" s="1293" t="s">
        <v>633</v>
      </c>
      <c r="J1816" s="1293"/>
      <c r="K1816" s="1294"/>
      <c r="L1816" s="906" t="s">
        <v>430</v>
      </c>
      <c r="M1816" s="375" t="s">
        <v>431</v>
      </c>
      <c r="N1816" s="162" t="s">
        <v>105</v>
      </c>
      <c r="O1816" s="114" t="s">
        <v>800</v>
      </c>
      <c r="P1816" s="114" t="s">
        <v>801</v>
      </c>
      <c r="Q1816" s="114" t="s">
        <v>802</v>
      </c>
      <c r="R1816" s="114" t="s">
        <v>803</v>
      </c>
      <c r="S1816" s="114" t="s">
        <v>804</v>
      </c>
      <c r="T1816" s="114" t="s">
        <v>805</v>
      </c>
      <c r="U1816" s="114" t="s">
        <v>806</v>
      </c>
      <c r="V1816" s="114" t="s">
        <v>807</v>
      </c>
      <c r="W1816" s="114" t="s">
        <v>808</v>
      </c>
      <c r="X1816" s="114" t="s">
        <v>809</v>
      </c>
      <c r="Y1816" s="114" t="s">
        <v>75</v>
      </c>
      <c r="Z1816" s="114" t="s">
        <v>75</v>
      </c>
    </row>
    <row r="1817" spans="3:26" ht="17">
      <c r="C1817" s="90"/>
      <c r="D1817" s="542" t="s">
        <v>432</v>
      </c>
      <c r="E1817" s="1307"/>
      <c r="F1817" s="1308"/>
      <c r="G1817" s="1309"/>
      <c r="H1817" s="907" t="s">
        <v>906</v>
      </c>
      <c r="I1817" s="1295">
        <v>0</v>
      </c>
      <c r="J1817" s="1295"/>
      <c r="K1817" s="1296"/>
      <c r="L1817" s="908"/>
      <c r="M1817" s="376" t="s">
        <v>1321</v>
      </c>
      <c r="N1817" s="162"/>
      <c r="O1817" s="395" t="s">
        <v>810</v>
      </c>
      <c r="P1817" s="396">
        <v>0.1</v>
      </c>
      <c r="Q1817" s="397">
        <v>3.4000000000000002E-2</v>
      </c>
      <c r="R1817" s="398">
        <v>1.5000000000014779E-2</v>
      </c>
      <c r="S1817" s="120"/>
      <c r="T1817" s="395">
        <v>6.6000000000014783E-2</v>
      </c>
      <c r="U1817" s="397">
        <v>-16.5</v>
      </c>
      <c r="V1817" s="396">
        <v>60.5</v>
      </c>
      <c r="W1817" s="399">
        <v>2</v>
      </c>
      <c r="X1817" s="400">
        <v>33</v>
      </c>
      <c r="Y1817" s="120"/>
      <c r="Z1817" s="120"/>
    </row>
    <row r="1818" spans="3:26" ht="17">
      <c r="C1818" s="90"/>
      <c r="D1818" s="543" t="s">
        <v>433</v>
      </c>
      <c r="E1818" s="1341" t="s">
        <v>1090</v>
      </c>
      <c r="F1818" s="1339"/>
      <c r="G1818" s="1340"/>
      <c r="H1818" s="907" t="s">
        <v>907</v>
      </c>
      <c r="I1818" s="1297"/>
      <c r="J1818" s="1297"/>
      <c r="K1818" s="1298"/>
      <c r="L1818" s="908"/>
      <c r="M1818" s="377"/>
      <c r="N1818" s="162"/>
      <c r="O1818" s="162"/>
      <c r="P1818" s="162"/>
      <c r="Q1818" s="162"/>
      <c r="R1818" s="401"/>
      <c r="S1818" s="148"/>
      <c r="T1818" s="162"/>
      <c r="U1818" s="162"/>
      <c r="V1818" s="162"/>
      <c r="W1818" s="148"/>
      <c r="X1818" s="148"/>
      <c r="Y1818" s="124"/>
      <c r="Z1818" s="124"/>
    </row>
    <row r="1819" spans="3:26" ht="17">
      <c r="C1819" s="90"/>
      <c r="D1819" s="543" t="s">
        <v>434</v>
      </c>
      <c r="E1819" s="1341">
        <v>0</v>
      </c>
      <c r="F1819" s="1339"/>
      <c r="G1819" s="1340"/>
      <c r="H1819" s="907"/>
      <c r="I1819" s="1297"/>
      <c r="J1819" s="1297"/>
      <c r="K1819" s="1298"/>
      <c r="L1819" s="908"/>
      <c r="M1819" s="377"/>
      <c r="N1819" s="162"/>
      <c r="O1819" s="402" t="s">
        <v>811</v>
      </c>
      <c r="P1819" s="403">
        <v>0.1</v>
      </c>
      <c r="Q1819" s="404">
        <v>6.4899999999999999E-2</v>
      </c>
      <c r="R1819" s="405">
        <v>1.9E-2</v>
      </c>
      <c r="S1819" s="406">
        <v>1</v>
      </c>
      <c r="T1819" s="402">
        <v>0.11635</v>
      </c>
      <c r="U1819" s="407">
        <v>-29.087499999993483</v>
      </c>
      <c r="V1819" s="408">
        <v>60.5</v>
      </c>
      <c r="W1819" s="409">
        <v>3.22</v>
      </c>
      <c r="X1819" s="410">
        <v>93.661749999979023</v>
      </c>
      <c r="Y1819" s="134"/>
      <c r="Z1819" s="134"/>
    </row>
    <row r="1820" spans="3:26" ht="18" thickBot="1">
      <c r="C1820" s="90"/>
      <c r="D1820" s="544" t="s">
        <v>435</v>
      </c>
      <c r="E1820" s="1313">
        <v>0</v>
      </c>
      <c r="F1820" s="1314"/>
      <c r="G1820" s="1315"/>
      <c r="H1820" s="909"/>
      <c r="I1820" s="1297"/>
      <c r="J1820" s="1297"/>
      <c r="K1820" s="1298"/>
      <c r="L1820" s="910">
        <v>0.22916666666666666</v>
      </c>
      <c r="M1820" s="379">
        <v>8.3333333333333315E-2</v>
      </c>
      <c r="N1820" s="162"/>
      <c r="O1820" s="411" t="s">
        <v>812</v>
      </c>
      <c r="P1820" s="412">
        <v>0.1</v>
      </c>
      <c r="Q1820" s="413">
        <v>9.1666666666666674E-2</v>
      </c>
      <c r="R1820" s="414">
        <v>1.9E-2</v>
      </c>
      <c r="S1820" s="415">
        <v>1</v>
      </c>
      <c r="T1820" s="416">
        <v>0.1565</v>
      </c>
      <c r="U1820" s="417">
        <v>-39.124999999991232</v>
      </c>
      <c r="V1820" s="418">
        <v>60.5</v>
      </c>
      <c r="W1820" s="419">
        <v>3.51</v>
      </c>
      <c r="X1820" s="420">
        <v>137.3287499999692</v>
      </c>
      <c r="Y1820" s="144"/>
      <c r="Z1820" s="144"/>
    </row>
    <row r="1821" spans="3:26" ht="18" thickBot="1">
      <c r="C1821" s="90"/>
      <c r="D1821" s="545" t="s">
        <v>436</v>
      </c>
      <c r="E1821" s="380" t="s">
        <v>29</v>
      </c>
      <c r="F1821" s="380" t="s">
        <v>28</v>
      </c>
      <c r="G1821" s="381" t="s">
        <v>27</v>
      </c>
      <c r="H1821" s="911" t="s">
        <v>793</v>
      </c>
      <c r="I1821" s="1297"/>
      <c r="J1821" s="1297"/>
      <c r="K1821" s="1298"/>
      <c r="L1821" s="912" t="s">
        <v>1246</v>
      </c>
      <c r="M1821" s="382"/>
      <c r="N1821" s="162"/>
      <c r="O1821" s="148"/>
      <c r="P1821" s="124"/>
      <c r="Q1821" s="148"/>
      <c r="R1821" s="148"/>
      <c r="S1821" s="148"/>
      <c r="T1821" s="148"/>
      <c r="U1821" s="421"/>
      <c r="V1821" s="422"/>
      <c r="W1821" s="148"/>
      <c r="X1821" s="421"/>
      <c r="Y1821" s="124"/>
      <c r="Z1821" s="124"/>
    </row>
    <row r="1822" spans="3:26" ht="17">
      <c r="C1822" s="90"/>
      <c r="D1822" s="546">
        <v>45642</v>
      </c>
      <c r="E1822" s="387">
        <v>58.5</v>
      </c>
      <c r="F1822" s="387" t="s">
        <v>1339</v>
      </c>
      <c r="G1822" s="387">
        <v>56.1</v>
      </c>
      <c r="H1822" s="913">
        <v>0.1875</v>
      </c>
      <c r="I1822" s="1297"/>
      <c r="J1822" s="1297"/>
      <c r="K1822" s="1298"/>
      <c r="L1822" s="914">
        <v>0.14583333333333334</v>
      </c>
      <c r="M1822" s="384"/>
      <c r="N1822" s="162"/>
      <c r="O1822" s="148"/>
      <c r="P1822" s="124"/>
      <c r="Q1822" s="148"/>
      <c r="R1822" s="148"/>
      <c r="S1822" s="148"/>
      <c r="T1822" s="148"/>
      <c r="U1822" s="148"/>
      <c r="V1822" s="148"/>
      <c r="W1822" s="148"/>
      <c r="X1822" s="148"/>
      <c r="Y1822" s="124"/>
      <c r="Z1822" s="124"/>
    </row>
    <row r="1823" spans="3:26" ht="17">
      <c r="C1823" s="90"/>
      <c r="D1823" s="546">
        <v>45630</v>
      </c>
      <c r="E1823" s="387">
        <v>56.1</v>
      </c>
      <c r="F1823" s="387" t="s">
        <v>1285</v>
      </c>
      <c r="G1823" s="387">
        <v>55</v>
      </c>
      <c r="H1823" s="913">
        <v>0.22916666666666666</v>
      </c>
      <c r="I1823" s="1297"/>
      <c r="J1823" s="1297"/>
      <c r="K1823" s="1298"/>
      <c r="L1823" s="914">
        <v>0.1875</v>
      </c>
      <c r="M1823" s="385"/>
      <c r="N1823" s="162"/>
      <c r="O1823" s="395" t="s">
        <v>813</v>
      </c>
      <c r="P1823" s="396">
        <v>0.05</v>
      </c>
      <c r="Q1823" s="423">
        <v>7.8283333333333344E-2</v>
      </c>
      <c r="R1823" s="424">
        <v>1.9E-2</v>
      </c>
      <c r="S1823" s="120">
        <v>1.5</v>
      </c>
      <c r="T1823" s="402">
        <v>0.13642500000000002</v>
      </c>
      <c r="U1823" s="425">
        <v>-25.579687499994272</v>
      </c>
      <c r="V1823" s="426">
        <v>30.25</v>
      </c>
      <c r="W1823" s="120">
        <v>2</v>
      </c>
      <c r="X1823" s="400">
        <v>51.159374999988543</v>
      </c>
      <c r="Y1823" s="154"/>
      <c r="Z1823" s="154"/>
    </row>
    <row r="1824" spans="3:26" ht="17">
      <c r="C1824" s="90"/>
      <c r="D1824" s="546">
        <v>45618</v>
      </c>
      <c r="E1824" s="387">
        <v>57</v>
      </c>
      <c r="F1824" s="387" t="s">
        <v>586</v>
      </c>
      <c r="G1824" s="387">
        <v>55</v>
      </c>
      <c r="H1824" s="913">
        <v>0.22916666666666666</v>
      </c>
      <c r="I1824" s="1297"/>
      <c r="J1824" s="1297"/>
      <c r="K1824" s="1298"/>
      <c r="L1824" s="914">
        <v>0.1875</v>
      </c>
      <c r="M1824" s="377"/>
      <c r="N1824" s="162"/>
      <c r="O1824" s="395" t="s">
        <v>813</v>
      </c>
      <c r="P1824" s="396">
        <v>-0.05</v>
      </c>
      <c r="Q1824" s="423">
        <v>7.8283333333333344E-2</v>
      </c>
      <c r="R1824" s="424">
        <v>1.9E-2</v>
      </c>
      <c r="S1824" s="120">
        <v>-1.5</v>
      </c>
      <c r="T1824" s="402">
        <v>0.13642500000000002</v>
      </c>
      <c r="U1824" s="425">
        <v>-25.579687499994272</v>
      </c>
      <c r="V1824" s="426">
        <v>-30.25</v>
      </c>
      <c r="W1824" s="120">
        <v>2</v>
      </c>
      <c r="X1824" s="400">
        <v>51.159374999988543</v>
      </c>
      <c r="Y1824" s="154"/>
      <c r="Z1824" s="154"/>
    </row>
    <row r="1825" spans="3:26" ht="17">
      <c r="C1825" s="90"/>
      <c r="D1825" s="546">
        <v>45601</v>
      </c>
      <c r="E1825" s="387">
        <v>55</v>
      </c>
      <c r="F1825" s="387" t="s">
        <v>585</v>
      </c>
      <c r="G1825" s="387">
        <v>55.2</v>
      </c>
      <c r="H1825" s="913">
        <v>0.22916666666666666</v>
      </c>
      <c r="I1825" s="1297"/>
      <c r="J1825" s="1297"/>
      <c r="K1825" s="1298"/>
      <c r="L1825" s="914">
        <v>0.1875</v>
      </c>
      <c r="M1825" s="377"/>
      <c r="N1825" s="162"/>
      <c r="O1825" s="395"/>
      <c r="P1825" s="427"/>
      <c r="Q1825" s="423"/>
      <c r="R1825" s="424"/>
      <c r="S1825" s="120"/>
      <c r="T1825" s="427"/>
      <c r="U1825" s="425"/>
      <c r="V1825" s="426"/>
      <c r="W1825" s="120"/>
      <c r="X1825" s="400"/>
      <c r="Y1825" s="154"/>
      <c r="Z1825" s="154"/>
    </row>
    <row r="1826" spans="3:26" ht="17">
      <c r="C1826" s="90"/>
      <c r="D1826" s="546">
        <v>45589</v>
      </c>
      <c r="E1826" s="387">
        <v>55.3</v>
      </c>
      <c r="F1826" s="387" t="s">
        <v>604</v>
      </c>
      <c r="G1826" s="387">
        <v>55.2</v>
      </c>
      <c r="H1826" s="913">
        <v>0.22916666666666666</v>
      </c>
      <c r="I1826" s="1297"/>
      <c r="J1826" s="1297"/>
      <c r="K1826" s="1298"/>
      <c r="L1826" s="914">
        <v>0.1875</v>
      </c>
      <c r="M1826" s="377"/>
      <c r="N1826" s="162"/>
      <c r="O1826" s="89"/>
      <c r="P1826" s="89"/>
      <c r="Q1826" s="89"/>
      <c r="R1826" s="89"/>
      <c r="S1826" s="89"/>
      <c r="T1826" s="89"/>
      <c r="U1826" s="89"/>
      <c r="V1826" s="89"/>
      <c r="W1826" s="89"/>
      <c r="X1826" s="89"/>
      <c r="Y1826" s="89"/>
      <c r="Z1826" s="89"/>
    </row>
    <row r="1827" spans="3:26" ht="18" thickBot="1">
      <c r="C1827" s="90"/>
      <c r="D1827" s="546">
        <v>45568</v>
      </c>
      <c r="E1827" s="387">
        <v>55.2</v>
      </c>
      <c r="F1827" s="387" t="s">
        <v>759</v>
      </c>
      <c r="G1827" s="387">
        <v>55.7</v>
      </c>
      <c r="H1827" s="913">
        <v>0.1875</v>
      </c>
      <c r="I1827" s="1299"/>
      <c r="J1827" s="1299"/>
      <c r="K1827" s="1300"/>
      <c r="L1827" s="914">
        <v>0.14583333333333334</v>
      </c>
      <c r="M1827" s="386"/>
      <c r="N1827" s="162"/>
      <c r="O1827" s="89"/>
      <c r="P1827" s="89"/>
      <c r="Q1827" s="89"/>
      <c r="R1827" s="89"/>
      <c r="S1827" s="89"/>
      <c r="T1827" s="89"/>
      <c r="U1827" s="89"/>
      <c r="V1827" s="89"/>
      <c r="W1827" s="89"/>
      <c r="X1827" s="89"/>
      <c r="Y1827" s="89"/>
      <c r="Z1827" s="89"/>
    </row>
    <row r="1828" spans="3:26" ht="18" thickBot="1">
      <c r="C1828" s="90">
        <v>3</v>
      </c>
      <c r="D1828" s="541" t="s">
        <v>30</v>
      </c>
      <c r="E1828" s="1358" t="s">
        <v>1322</v>
      </c>
      <c r="F1828" s="1359"/>
      <c r="G1828" s="1360"/>
      <c r="H1828" s="904" t="s">
        <v>790</v>
      </c>
      <c r="I1828" s="1293" t="s">
        <v>633</v>
      </c>
      <c r="J1828" s="1293"/>
      <c r="K1828" s="1294"/>
      <c r="L1828" s="906" t="s">
        <v>430</v>
      </c>
      <c r="M1828" s="375" t="s">
        <v>431</v>
      </c>
      <c r="N1828" s="162" t="s">
        <v>105</v>
      </c>
      <c r="O1828" s="114" t="s">
        <v>800</v>
      </c>
      <c r="P1828" s="114" t="s">
        <v>801</v>
      </c>
      <c r="Q1828" s="114" t="s">
        <v>802</v>
      </c>
      <c r="R1828" s="114" t="s">
        <v>803</v>
      </c>
      <c r="S1828" s="114" t="s">
        <v>804</v>
      </c>
      <c r="T1828" s="114" t="s">
        <v>805</v>
      </c>
      <c r="U1828" s="114" t="s">
        <v>806</v>
      </c>
      <c r="V1828" s="114" t="s">
        <v>807</v>
      </c>
      <c r="W1828" s="114" t="s">
        <v>808</v>
      </c>
      <c r="X1828" s="114" t="s">
        <v>809</v>
      </c>
      <c r="Y1828" s="114" t="s">
        <v>75</v>
      </c>
      <c r="Z1828" s="114" t="s">
        <v>75</v>
      </c>
    </row>
    <row r="1829" spans="3:26" ht="17">
      <c r="C1829" s="90"/>
      <c r="D1829" s="542" t="s">
        <v>432</v>
      </c>
      <c r="E1829" s="1307"/>
      <c r="F1829" s="1308"/>
      <c r="G1829" s="1309"/>
      <c r="H1829" s="907" t="s">
        <v>794</v>
      </c>
      <c r="I1829" s="1295" t="s">
        <v>1323</v>
      </c>
      <c r="J1829" s="1295"/>
      <c r="K1829" s="1296"/>
      <c r="L1829" s="908"/>
      <c r="M1829" s="376" t="s">
        <v>1322</v>
      </c>
      <c r="N1829" s="162"/>
      <c r="O1829" s="395" t="s">
        <v>810</v>
      </c>
      <c r="P1829" s="396">
        <v>0.1</v>
      </c>
      <c r="Q1829" s="397">
        <v>0.03</v>
      </c>
      <c r="R1829" s="398">
        <v>1.4000000000010004E-2</v>
      </c>
      <c r="S1829" s="120"/>
      <c r="T1829" s="395">
        <v>5.9000000000010003E-2</v>
      </c>
      <c r="U1829" s="397">
        <v>-14.72</v>
      </c>
      <c r="V1829" s="396">
        <v>60.5</v>
      </c>
      <c r="W1829" s="399">
        <v>2</v>
      </c>
      <c r="X1829" s="400">
        <v>29.44</v>
      </c>
      <c r="Y1829" s="120"/>
      <c r="Z1829" s="120"/>
    </row>
    <row r="1830" spans="3:26" ht="17">
      <c r="C1830" s="90"/>
      <c r="D1830" s="543" t="s">
        <v>433</v>
      </c>
      <c r="E1830" s="1367">
        <v>50.3</v>
      </c>
      <c r="F1830" s="1368"/>
      <c r="G1830" s="1369"/>
      <c r="H1830" s="907" t="s">
        <v>795</v>
      </c>
      <c r="I1830" s="1297"/>
      <c r="J1830" s="1297"/>
      <c r="K1830" s="1298"/>
      <c r="L1830" s="908"/>
      <c r="M1830" s="377"/>
      <c r="N1830" s="162"/>
      <c r="O1830" s="162"/>
      <c r="P1830" s="162"/>
      <c r="Q1830" s="162"/>
      <c r="R1830" s="401"/>
      <c r="S1830" s="148"/>
      <c r="T1830" s="162"/>
      <c r="U1830" s="162"/>
      <c r="V1830" s="162"/>
      <c r="W1830" s="148"/>
      <c r="X1830" s="148"/>
      <c r="Y1830" s="124"/>
      <c r="Z1830" s="124"/>
    </row>
    <row r="1831" spans="3:26" ht="17">
      <c r="C1831" s="90"/>
      <c r="D1831" s="543" t="s">
        <v>434</v>
      </c>
      <c r="E1831" s="1367">
        <v>50.3</v>
      </c>
      <c r="F1831" s="1368"/>
      <c r="G1831" s="1369"/>
      <c r="H1831" s="907"/>
      <c r="I1831" s="1297"/>
      <c r="J1831" s="1297"/>
      <c r="K1831" s="1298"/>
      <c r="L1831" s="908"/>
      <c r="M1831" s="377"/>
      <c r="N1831" s="162"/>
      <c r="O1831" s="402" t="s">
        <v>811</v>
      </c>
      <c r="P1831" s="403">
        <v>0.1</v>
      </c>
      <c r="Q1831" s="404">
        <v>5.7000000000000002E-2</v>
      </c>
      <c r="R1831" s="405">
        <v>1.7999999999999999E-2</v>
      </c>
      <c r="S1831" s="406">
        <v>1</v>
      </c>
      <c r="T1831" s="402">
        <v>0.10350000000000001</v>
      </c>
      <c r="U1831" s="407">
        <v>-25.822372881351555</v>
      </c>
      <c r="V1831" s="408">
        <v>60.5</v>
      </c>
      <c r="W1831" s="409">
        <v>4.12</v>
      </c>
      <c r="X1831" s="410">
        <v>106.3881762711684</v>
      </c>
      <c r="Y1831" s="134"/>
      <c r="Z1831" s="134"/>
    </row>
    <row r="1832" spans="3:26" ht="18" thickBot="1">
      <c r="C1832" s="90"/>
      <c r="D1832" s="544" t="s">
        <v>435</v>
      </c>
      <c r="E1832" s="1313">
        <v>6.2500000000000028E-2</v>
      </c>
      <c r="F1832" s="1314"/>
      <c r="G1832" s="1315"/>
      <c r="H1832" s="909"/>
      <c r="I1832" s="1297"/>
      <c r="J1832" s="1297"/>
      <c r="K1832" s="1298"/>
      <c r="L1832" s="910">
        <v>0.29166666666666669</v>
      </c>
      <c r="M1832" s="379">
        <v>0.14583333333333334</v>
      </c>
      <c r="N1832" s="162"/>
      <c r="O1832" s="411" t="s">
        <v>812</v>
      </c>
      <c r="P1832" s="412">
        <v>0.1</v>
      </c>
      <c r="Q1832" s="413">
        <v>6.3266666666666665E-2</v>
      </c>
      <c r="R1832" s="414">
        <v>1.7999999999999999E-2</v>
      </c>
      <c r="S1832" s="415">
        <v>1</v>
      </c>
      <c r="T1832" s="416">
        <v>0.1129</v>
      </c>
      <c r="U1832" s="417">
        <v>-28.167593220334208</v>
      </c>
      <c r="V1832" s="418">
        <v>60.5</v>
      </c>
      <c r="W1832" s="419">
        <v>2.46</v>
      </c>
      <c r="X1832" s="420">
        <v>69.292279322022154</v>
      </c>
      <c r="Y1832" s="144"/>
      <c r="Z1832" s="144"/>
    </row>
    <row r="1833" spans="3:26" ht="18" thickBot="1">
      <c r="C1833" s="90"/>
      <c r="D1833" s="545" t="s">
        <v>436</v>
      </c>
      <c r="E1833" s="380" t="s">
        <v>29</v>
      </c>
      <c r="F1833" s="380" t="s">
        <v>28</v>
      </c>
      <c r="G1833" s="381" t="s">
        <v>27</v>
      </c>
      <c r="H1833" s="911" t="s">
        <v>793</v>
      </c>
      <c r="I1833" s="1297"/>
      <c r="J1833" s="1297"/>
      <c r="K1833" s="1298"/>
      <c r="L1833" s="912" t="s">
        <v>1246</v>
      </c>
      <c r="M1833" s="382"/>
      <c r="N1833" s="162"/>
      <c r="O1833" s="148"/>
      <c r="P1833" s="124"/>
      <c r="Q1833" s="148"/>
      <c r="R1833" s="148"/>
      <c r="S1833" s="148"/>
      <c r="T1833" s="148"/>
      <c r="U1833" s="421"/>
      <c r="V1833" s="422"/>
      <c r="W1833" s="148"/>
      <c r="X1833" s="421"/>
      <c r="Y1833" s="124"/>
      <c r="Z1833" s="124"/>
    </row>
    <row r="1834" spans="3:26" ht="17">
      <c r="C1834" s="90"/>
      <c r="D1834" s="546">
        <v>45626</v>
      </c>
      <c r="E1834" s="383">
        <v>50.3</v>
      </c>
      <c r="F1834" s="383" t="s">
        <v>1340</v>
      </c>
      <c r="G1834" s="383">
        <v>50.1</v>
      </c>
      <c r="H1834" s="913">
        <v>6.2500000000000028E-2</v>
      </c>
      <c r="I1834" s="1297"/>
      <c r="J1834" s="1297"/>
      <c r="K1834" s="1298"/>
      <c r="L1834" s="914">
        <v>0.29166666666666669</v>
      </c>
      <c r="M1834" s="384"/>
      <c r="N1834" s="162"/>
      <c r="O1834" s="148"/>
      <c r="P1834" s="124"/>
      <c r="Q1834" s="148"/>
      <c r="R1834" s="148"/>
      <c r="S1834" s="148"/>
      <c r="T1834" s="148"/>
      <c r="U1834" s="148"/>
      <c r="V1834" s="148"/>
      <c r="W1834" s="148"/>
      <c r="X1834" s="148"/>
      <c r="Y1834" s="124"/>
      <c r="Z1834" s="124"/>
    </row>
    <row r="1835" spans="3:26" ht="17">
      <c r="C1835" s="90"/>
      <c r="D1835" s="546">
        <v>45596</v>
      </c>
      <c r="E1835" s="383">
        <v>50.1</v>
      </c>
      <c r="F1835" s="383" t="s">
        <v>513</v>
      </c>
      <c r="G1835" s="383">
        <v>49.8</v>
      </c>
      <c r="H1835" s="913">
        <v>6.2500000000000028E-2</v>
      </c>
      <c r="I1835" s="1297"/>
      <c r="J1835" s="1297"/>
      <c r="K1835" s="1298"/>
      <c r="L1835" s="914">
        <v>0.29166666666666669</v>
      </c>
      <c r="M1835" s="385"/>
      <c r="N1835" s="162"/>
      <c r="O1835" s="395" t="s">
        <v>813</v>
      </c>
      <c r="P1835" s="396">
        <v>0.1</v>
      </c>
      <c r="Q1835" s="423">
        <v>6.013333333333333E-2</v>
      </c>
      <c r="R1835" s="424">
        <v>1.7999999999999999E-2</v>
      </c>
      <c r="S1835" s="120">
        <v>1</v>
      </c>
      <c r="T1835" s="402">
        <v>0.1082</v>
      </c>
      <c r="U1835" s="425">
        <v>-26.994983050842883</v>
      </c>
      <c r="V1835" s="426">
        <v>60.5</v>
      </c>
      <c r="W1835" s="120">
        <v>2</v>
      </c>
      <c r="X1835" s="400">
        <v>53.989966101685766</v>
      </c>
      <c r="Y1835" s="154"/>
      <c r="Z1835" s="154"/>
    </row>
    <row r="1836" spans="3:26" ht="17">
      <c r="C1836" s="90"/>
      <c r="D1836" s="546">
        <v>45565</v>
      </c>
      <c r="E1836" s="383">
        <v>49.8</v>
      </c>
      <c r="F1836" s="383" t="s">
        <v>440</v>
      </c>
      <c r="G1836" s="383">
        <v>49.1</v>
      </c>
      <c r="H1836" s="913">
        <v>6.2500000000000028E-2</v>
      </c>
      <c r="I1836" s="1297"/>
      <c r="J1836" s="1297"/>
      <c r="K1836" s="1298"/>
      <c r="L1836" s="914">
        <v>0.29166666666666669</v>
      </c>
      <c r="M1836" s="377"/>
      <c r="N1836" s="162"/>
      <c r="O1836" s="395" t="s">
        <v>813</v>
      </c>
      <c r="P1836" s="396">
        <v>0.1</v>
      </c>
      <c r="Q1836" s="423">
        <v>6.013333333333333E-2</v>
      </c>
      <c r="R1836" s="424">
        <v>1.7999999999999999E-2</v>
      </c>
      <c r="S1836" s="120">
        <v>1</v>
      </c>
      <c r="T1836" s="402">
        <v>0.1082</v>
      </c>
      <c r="U1836" s="425">
        <v>-26.994983050842883</v>
      </c>
      <c r="V1836" s="426">
        <v>60.5</v>
      </c>
      <c r="W1836" s="120">
        <v>2</v>
      </c>
      <c r="X1836" s="400">
        <v>53.989966101685766</v>
      </c>
      <c r="Y1836" s="154"/>
      <c r="Z1836" s="154"/>
    </row>
    <row r="1837" spans="3:26" ht="17">
      <c r="C1837" s="90"/>
      <c r="D1837" s="546">
        <v>45535</v>
      </c>
      <c r="E1837" s="383">
        <v>49.1</v>
      </c>
      <c r="F1837" s="383" t="s">
        <v>438</v>
      </c>
      <c r="G1837" s="383">
        <v>49.4</v>
      </c>
      <c r="H1837" s="913">
        <v>6.2500000000000028E-2</v>
      </c>
      <c r="I1837" s="1297"/>
      <c r="J1837" s="1297"/>
      <c r="K1837" s="1298"/>
      <c r="L1837" s="914">
        <v>0.29166666666666669</v>
      </c>
      <c r="M1837" s="377"/>
      <c r="N1837" s="162"/>
      <c r="O1837" s="395"/>
      <c r="P1837" s="427"/>
      <c r="Q1837" s="423"/>
      <c r="R1837" s="424"/>
      <c r="S1837" s="120"/>
      <c r="T1837" s="427"/>
      <c r="U1837" s="425"/>
      <c r="V1837" s="426"/>
      <c r="W1837" s="120"/>
      <c r="X1837" s="400"/>
      <c r="Y1837" s="154"/>
      <c r="Z1837" s="154"/>
    </row>
    <row r="1838" spans="3:26" ht="17">
      <c r="C1838" s="90"/>
      <c r="D1838" s="546">
        <v>45504</v>
      </c>
      <c r="E1838" s="383">
        <v>49.4</v>
      </c>
      <c r="F1838" s="383" t="s">
        <v>440</v>
      </c>
      <c r="G1838" s="383">
        <v>49.5</v>
      </c>
      <c r="H1838" s="913">
        <v>6.2500000000000028E-2</v>
      </c>
      <c r="I1838" s="1297"/>
      <c r="J1838" s="1297"/>
      <c r="K1838" s="1298"/>
      <c r="L1838" s="914">
        <v>0.29166666666666669</v>
      </c>
      <c r="M1838" s="377"/>
      <c r="N1838" s="162"/>
      <c r="O1838" s="89"/>
      <c r="P1838" s="89"/>
      <c r="Q1838" s="89"/>
      <c r="R1838" s="89"/>
      <c r="S1838" s="89"/>
      <c r="T1838" s="89"/>
      <c r="U1838" s="89"/>
      <c r="V1838" s="89"/>
      <c r="W1838" s="89"/>
      <c r="X1838" s="89"/>
      <c r="Y1838" s="89"/>
      <c r="Z1838" s="89"/>
    </row>
    <row r="1839" spans="3:26" ht="18" thickBot="1">
      <c r="C1839" s="90"/>
      <c r="D1839" s="546">
        <v>45473</v>
      </c>
      <c r="E1839" s="383">
        <v>49.5</v>
      </c>
      <c r="F1839" s="383" t="s">
        <v>438</v>
      </c>
      <c r="G1839" s="383">
        <v>49.5</v>
      </c>
      <c r="H1839" s="913">
        <v>6.2500000000000028E-2</v>
      </c>
      <c r="I1839" s="1299"/>
      <c r="J1839" s="1299"/>
      <c r="K1839" s="1300"/>
      <c r="L1839" s="914">
        <v>0.29166666666666669</v>
      </c>
      <c r="M1839" s="386"/>
      <c r="N1839" s="162"/>
      <c r="O1839" s="89"/>
      <c r="P1839" s="428"/>
      <c r="Q1839" s="89"/>
      <c r="R1839" s="89"/>
      <c r="S1839" s="89"/>
      <c r="T1839" s="89"/>
      <c r="U1839" s="89"/>
      <c r="V1839" s="89"/>
      <c r="W1839" s="89"/>
      <c r="X1839" s="89"/>
      <c r="Y1839" s="89"/>
      <c r="Z1839" s="89"/>
    </row>
    <row r="1840" spans="3:26" ht="18" thickBot="1">
      <c r="C1840" s="90">
        <v>4</v>
      </c>
      <c r="D1840" s="541" t="s">
        <v>30</v>
      </c>
      <c r="E1840" s="1358" t="s">
        <v>1324</v>
      </c>
      <c r="F1840" s="1359"/>
      <c r="G1840" s="1360"/>
      <c r="H1840" s="904" t="s">
        <v>790</v>
      </c>
      <c r="I1840" s="1293" t="s">
        <v>633</v>
      </c>
      <c r="J1840" s="1293"/>
      <c r="K1840" s="1294"/>
      <c r="L1840" s="906" t="s">
        <v>430</v>
      </c>
      <c r="M1840" s="388" t="s">
        <v>431</v>
      </c>
      <c r="N1840" s="162" t="s">
        <v>105</v>
      </c>
      <c r="O1840" s="114" t="s">
        <v>800</v>
      </c>
      <c r="P1840" s="114" t="s">
        <v>801</v>
      </c>
      <c r="Q1840" s="114" t="s">
        <v>802</v>
      </c>
      <c r="R1840" s="114" t="s">
        <v>803</v>
      </c>
      <c r="S1840" s="114" t="s">
        <v>804</v>
      </c>
      <c r="T1840" s="114" t="s">
        <v>805</v>
      </c>
      <c r="U1840" s="114" t="s">
        <v>806</v>
      </c>
      <c r="V1840" s="114" t="s">
        <v>807</v>
      </c>
      <c r="W1840" s="114" t="s">
        <v>808</v>
      </c>
      <c r="X1840" s="114" t="s">
        <v>809</v>
      </c>
      <c r="Y1840" s="114" t="s">
        <v>75</v>
      </c>
      <c r="Z1840" s="114" t="s">
        <v>75</v>
      </c>
    </row>
    <row r="1841" spans="3:26" ht="17">
      <c r="C1841" s="90"/>
      <c r="D1841" s="542" t="s">
        <v>432</v>
      </c>
      <c r="E1841" s="1307"/>
      <c r="F1841" s="1308"/>
      <c r="G1841" s="1309"/>
      <c r="H1841" s="907" t="s">
        <v>906</v>
      </c>
      <c r="I1841" s="1295">
        <v>0</v>
      </c>
      <c r="J1841" s="1295"/>
      <c r="K1841" s="1296"/>
      <c r="L1841" s="908"/>
      <c r="M1841" s="376" t="s">
        <v>1324</v>
      </c>
      <c r="N1841" s="162"/>
      <c r="O1841" s="395" t="s">
        <v>810</v>
      </c>
      <c r="P1841" s="396">
        <v>0.1</v>
      </c>
      <c r="Q1841" s="397">
        <v>0.03</v>
      </c>
      <c r="R1841" s="398">
        <v>1.4000000000010004E-2</v>
      </c>
      <c r="S1841" s="120"/>
      <c r="T1841" s="395">
        <v>5.9000000000010003E-2</v>
      </c>
      <c r="U1841" s="397">
        <v>-14.72</v>
      </c>
      <c r="V1841" s="396">
        <v>60.5</v>
      </c>
      <c r="W1841" s="399">
        <v>2</v>
      </c>
      <c r="X1841" s="400">
        <v>29.44</v>
      </c>
      <c r="Y1841" s="120"/>
      <c r="Z1841" s="120"/>
    </row>
    <row r="1842" spans="3:26" ht="17">
      <c r="C1842" s="90"/>
      <c r="D1842" s="543" t="s">
        <v>433</v>
      </c>
      <c r="E1842" s="1367">
        <v>0</v>
      </c>
      <c r="F1842" s="1368"/>
      <c r="G1842" s="1369"/>
      <c r="H1842" s="907" t="s">
        <v>907</v>
      </c>
      <c r="I1842" s="1297"/>
      <c r="J1842" s="1297"/>
      <c r="K1842" s="1298"/>
      <c r="L1842" s="908"/>
      <c r="M1842" s="377"/>
      <c r="N1842" s="162"/>
      <c r="O1842" s="162"/>
      <c r="P1842" s="162"/>
      <c r="Q1842" s="162"/>
      <c r="R1842" s="401"/>
      <c r="S1842" s="148"/>
      <c r="T1842" s="162"/>
      <c r="U1842" s="162"/>
      <c r="V1842" s="162"/>
      <c r="W1842" s="148"/>
      <c r="X1842" s="148"/>
      <c r="Y1842" s="124"/>
      <c r="Z1842" s="124"/>
    </row>
    <row r="1843" spans="3:26" ht="17">
      <c r="C1843" s="90"/>
      <c r="D1843" s="543" t="s">
        <v>434</v>
      </c>
      <c r="E1843" s="1361">
        <v>0</v>
      </c>
      <c r="F1843" s="1362"/>
      <c r="G1843" s="1363"/>
      <c r="H1843" s="907"/>
      <c r="I1843" s="1297"/>
      <c r="J1843" s="1297"/>
      <c r="K1843" s="1298"/>
      <c r="L1843" s="908"/>
      <c r="M1843" s="377"/>
      <c r="N1843" s="162"/>
      <c r="O1843" s="402" t="s">
        <v>811</v>
      </c>
      <c r="P1843" s="403">
        <v>0.1</v>
      </c>
      <c r="Q1843" s="404">
        <v>2.7400000000000001E-2</v>
      </c>
      <c r="R1843" s="405">
        <v>1.7000000000000001E-2</v>
      </c>
      <c r="S1843" s="406">
        <v>1</v>
      </c>
      <c r="T1843" s="402">
        <v>5.8099999999999999E-2</v>
      </c>
      <c r="U1843" s="407">
        <v>-14.495457627116187</v>
      </c>
      <c r="V1843" s="408">
        <v>60.5</v>
      </c>
      <c r="W1843" s="409">
        <v>2.95</v>
      </c>
      <c r="X1843" s="410">
        <v>42.761599999992754</v>
      </c>
      <c r="Y1843" s="134"/>
      <c r="Z1843" s="134"/>
    </row>
    <row r="1844" spans="3:26" ht="18" thickBot="1">
      <c r="C1844" s="90"/>
      <c r="D1844" s="544" t="s">
        <v>435</v>
      </c>
      <c r="E1844" s="1313">
        <v>0</v>
      </c>
      <c r="F1844" s="1314"/>
      <c r="G1844" s="1315"/>
      <c r="H1844" s="909">
        <v>-0.20833333333333334</v>
      </c>
      <c r="I1844" s="1297"/>
      <c r="J1844" s="1297"/>
      <c r="K1844" s="1298"/>
      <c r="L1844" s="910">
        <v>0.22916666666666666</v>
      </c>
      <c r="M1844" s="379">
        <v>0.70833333333333326</v>
      </c>
      <c r="N1844" s="162"/>
      <c r="O1844" s="411" t="s">
        <v>812</v>
      </c>
      <c r="P1844" s="412">
        <v>0.1</v>
      </c>
      <c r="Q1844" s="413">
        <v>2.9466666666666665E-2</v>
      </c>
      <c r="R1844" s="414">
        <v>1.7000000000000001E-2</v>
      </c>
      <c r="S1844" s="415">
        <v>1</v>
      </c>
      <c r="T1844" s="416">
        <v>6.1199999999999997E-2</v>
      </c>
      <c r="U1844" s="417">
        <v>-15.268881355929613</v>
      </c>
      <c r="V1844" s="418">
        <v>60.5</v>
      </c>
      <c r="W1844" s="419">
        <v>3.35</v>
      </c>
      <c r="X1844" s="420">
        <v>51.150752542364209</v>
      </c>
      <c r="Y1844" s="144"/>
      <c r="Z1844" s="144"/>
    </row>
    <row r="1845" spans="3:26" ht="18" thickBot="1">
      <c r="C1845" s="90"/>
      <c r="D1845" s="545" t="s">
        <v>436</v>
      </c>
      <c r="E1845" s="380" t="s">
        <v>29</v>
      </c>
      <c r="F1845" s="380" t="s">
        <v>28</v>
      </c>
      <c r="G1845" s="381" t="s">
        <v>27</v>
      </c>
      <c r="H1845" s="911" t="s">
        <v>793</v>
      </c>
      <c r="I1845" s="1297"/>
      <c r="J1845" s="1297"/>
      <c r="K1845" s="1298"/>
      <c r="L1845" s="912"/>
      <c r="M1845" s="382"/>
      <c r="N1845" s="162"/>
      <c r="O1845" s="148"/>
      <c r="P1845" s="124"/>
      <c r="Q1845" s="148"/>
      <c r="R1845" s="148"/>
      <c r="S1845" s="148"/>
      <c r="T1845" s="148"/>
      <c r="U1845" s="421"/>
      <c r="V1845" s="422"/>
      <c r="W1845" s="148"/>
      <c r="X1845" s="421"/>
      <c r="Y1845" s="124"/>
      <c r="Z1845" s="124"/>
    </row>
    <row r="1846" spans="3:26" ht="17">
      <c r="C1846" s="90"/>
      <c r="D1846" s="546">
        <v>45630</v>
      </c>
      <c r="E1846" s="429">
        <v>52.1</v>
      </c>
      <c r="F1846" s="429" t="s">
        <v>523</v>
      </c>
      <c r="G1846" s="429">
        <v>56</v>
      </c>
      <c r="H1846" s="913">
        <v>0.5625</v>
      </c>
      <c r="I1846" s="1297"/>
      <c r="J1846" s="1297"/>
      <c r="K1846" s="1298"/>
      <c r="L1846" s="914"/>
      <c r="M1846" s="384"/>
      <c r="N1846" s="162"/>
      <c r="O1846" s="148"/>
      <c r="P1846" s="124"/>
      <c r="Q1846" s="148"/>
      <c r="R1846" s="148"/>
      <c r="S1846" s="148"/>
      <c r="T1846" s="148"/>
      <c r="U1846" s="148"/>
      <c r="V1846" s="148"/>
      <c r="W1846" s="148"/>
      <c r="X1846" s="148"/>
      <c r="Y1846" s="124"/>
      <c r="Z1846" s="124"/>
    </row>
    <row r="1847" spans="3:26" ht="17">
      <c r="C1847" s="90"/>
      <c r="D1847" s="546">
        <v>45601</v>
      </c>
      <c r="E1847" s="429">
        <v>56</v>
      </c>
      <c r="F1847" s="429" t="s">
        <v>1344</v>
      </c>
      <c r="G1847" s="429">
        <v>54.9</v>
      </c>
      <c r="H1847" s="913">
        <v>0.52083333333333337</v>
      </c>
      <c r="I1847" s="1297"/>
      <c r="J1847" s="1297"/>
      <c r="K1847" s="1298"/>
      <c r="L1847" s="914"/>
      <c r="M1847" s="385"/>
      <c r="N1847" s="162"/>
      <c r="O1847" s="395" t="s">
        <v>813</v>
      </c>
      <c r="P1847" s="396">
        <v>0.2</v>
      </c>
      <c r="Q1847" s="423">
        <v>2.8433333333333331E-2</v>
      </c>
      <c r="R1847" s="424">
        <v>1.7000000000000001E-2</v>
      </c>
      <c r="S1847" s="120">
        <v>1</v>
      </c>
      <c r="T1847" s="402">
        <v>5.9649999999999995E-2</v>
      </c>
      <c r="U1847" s="425">
        <v>-29.7643389830458</v>
      </c>
      <c r="V1847" s="426">
        <v>121</v>
      </c>
      <c r="W1847" s="120">
        <v>2</v>
      </c>
      <c r="X1847" s="400">
        <v>59.5286779660916</v>
      </c>
      <c r="Y1847" s="154"/>
      <c r="Z1847" s="154"/>
    </row>
    <row r="1848" spans="3:26" ht="17">
      <c r="C1848" s="90"/>
      <c r="D1848" s="546">
        <v>45568</v>
      </c>
      <c r="E1848" s="429">
        <v>54.9</v>
      </c>
      <c r="F1848" s="429" t="s">
        <v>506</v>
      </c>
      <c r="G1848" s="429">
        <v>51.5</v>
      </c>
      <c r="H1848" s="913">
        <v>0.52083333333333337</v>
      </c>
      <c r="I1848" s="1297"/>
      <c r="J1848" s="1297"/>
      <c r="K1848" s="1298"/>
      <c r="L1848" s="914"/>
      <c r="M1848" s="377"/>
      <c r="N1848" s="162"/>
      <c r="O1848" s="395" t="s">
        <v>813</v>
      </c>
      <c r="P1848" s="396">
        <v>0.2</v>
      </c>
      <c r="Q1848" s="423">
        <v>2.8433333333333331E-2</v>
      </c>
      <c r="R1848" s="424">
        <v>1.7000000000000001E-2</v>
      </c>
      <c r="S1848" s="120">
        <v>1</v>
      </c>
      <c r="T1848" s="402">
        <v>5.9649999999999995E-2</v>
      </c>
      <c r="U1848" s="425">
        <v>-29.7643389830458</v>
      </c>
      <c r="V1848" s="426">
        <v>121</v>
      </c>
      <c r="W1848" s="120">
        <v>2</v>
      </c>
      <c r="X1848" s="400">
        <v>59.5286779660916</v>
      </c>
      <c r="Y1848" s="154"/>
      <c r="Z1848" s="154"/>
    </row>
    <row r="1849" spans="3:26" ht="17">
      <c r="C1849" s="90"/>
      <c r="D1849" s="546">
        <v>45540</v>
      </c>
      <c r="E1849" s="429">
        <v>51.5</v>
      </c>
      <c r="F1849" s="429" t="s">
        <v>594</v>
      </c>
      <c r="G1849" s="429">
        <v>51.4</v>
      </c>
      <c r="H1849" s="913">
        <v>0.52083333333333337</v>
      </c>
      <c r="I1849" s="1297"/>
      <c r="J1849" s="1297"/>
      <c r="K1849" s="1298"/>
      <c r="L1849" s="914"/>
      <c r="M1849" s="377"/>
      <c r="N1849" s="162"/>
      <c r="O1849" s="395"/>
      <c r="P1849" s="427"/>
      <c r="Q1849" s="423"/>
      <c r="R1849" s="424"/>
      <c r="S1849" s="120"/>
      <c r="T1849" s="427"/>
      <c r="U1849" s="425"/>
      <c r="V1849" s="426"/>
      <c r="W1849" s="120"/>
      <c r="X1849" s="400"/>
      <c r="Y1849" s="154"/>
      <c r="Z1849" s="154"/>
    </row>
    <row r="1850" spans="3:26" ht="17">
      <c r="C1850" s="90"/>
      <c r="D1850" s="546">
        <v>45509</v>
      </c>
      <c r="E1850" s="429">
        <v>51.4</v>
      </c>
      <c r="F1850" s="429" t="s">
        <v>595</v>
      </c>
      <c r="G1850" s="429">
        <v>48.8</v>
      </c>
      <c r="H1850" s="913">
        <v>0.52083333333333337</v>
      </c>
      <c r="I1850" s="1297"/>
      <c r="J1850" s="1297"/>
      <c r="K1850" s="1298"/>
      <c r="L1850" s="914"/>
      <c r="M1850" s="377"/>
      <c r="N1850" s="162"/>
      <c r="O1850" s="89"/>
      <c r="P1850" s="89"/>
      <c r="Q1850" s="89"/>
      <c r="R1850" s="89"/>
      <c r="S1850" s="89"/>
      <c r="T1850" s="89"/>
      <c r="U1850" s="89"/>
      <c r="V1850" s="89"/>
      <c r="W1850" s="89"/>
      <c r="X1850" s="89"/>
      <c r="Y1850" s="89"/>
      <c r="Z1850" s="89"/>
    </row>
    <row r="1851" spans="3:26" ht="18" thickBot="1">
      <c r="C1851" s="90"/>
      <c r="D1851" s="546">
        <v>45476</v>
      </c>
      <c r="E1851" s="429">
        <v>48.8</v>
      </c>
      <c r="F1851" s="429" t="s">
        <v>596</v>
      </c>
      <c r="G1851" s="429">
        <v>53.8</v>
      </c>
      <c r="H1851" s="913">
        <v>0.52083333333333337</v>
      </c>
      <c r="I1851" s="1299"/>
      <c r="J1851" s="1299"/>
      <c r="K1851" s="1300"/>
      <c r="L1851" s="915"/>
      <c r="M1851" s="386"/>
      <c r="N1851" s="162"/>
      <c r="O1851" s="89"/>
      <c r="P1851" s="89"/>
      <c r="Q1851" s="89"/>
      <c r="R1851" s="89"/>
      <c r="S1851" s="89"/>
      <c r="T1851" s="89"/>
      <c r="U1851" s="89"/>
      <c r="V1851" s="89"/>
      <c r="W1851" s="89"/>
      <c r="X1851" s="89"/>
      <c r="Y1851" s="89"/>
      <c r="Z1851" s="89"/>
    </row>
    <row r="1852" spans="3:26" ht="18" thickBot="1">
      <c r="C1852" s="90">
        <v>5</v>
      </c>
      <c r="D1852" s="541" t="s">
        <v>30</v>
      </c>
      <c r="E1852" s="1358" t="s">
        <v>1309</v>
      </c>
      <c r="F1852" s="1359"/>
      <c r="G1852" s="1360"/>
      <c r="H1852" s="904" t="s">
        <v>790</v>
      </c>
      <c r="I1852" s="1293" t="s">
        <v>633</v>
      </c>
      <c r="J1852" s="1293"/>
      <c r="K1852" s="1294"/>
      <c r="L1852" s="906" t="s">
        <v>430</v>
      </c>
      <c r="M1852" s="375" t="s">
        <v>431</v>
      </c>
      <c r="N1852" s="162" t="s">
        <v>105</v>
      </c>
      <c r="O1852" s="114" t="s">
        <v>800</v>
      </c>
      <c r="P1852" s="114" t="s">
        <v>801</v>
      </c>
      <c r="Q1852" s="114" t="s">
        <v>802</v>
      </c>
      <c r="R1852" s="114" t="s">
        <v>803</v>
      </c>
      <c r="S1852" s="114" t="s">
        <v>804</v>
      </c>
      <c r="T1852" s="114" t="s">
        <v>805</v>
      </c>
      <c r="U1852" s="114" t="s">
        <v>806</v>
      </c>
      <c r="V1852" s="114" t="s">
        <v>807</v>
      </c>
      <c r="W1852" s="114" t="s">
        <v>808</v>
      </c>
      <c r="X1852" s="114" t="s">
        <v>809</v>
      </c>
      <c r="Y1852" s="114" t="s">
        <v>75</v>
      </c>
      <c r="Z1852" s="114" t="s">
        <v>75</v>
      </c>
    </row>
    <row r="1853" spans="3:26" ht="17">
      <c r="C1853" s="90"/>
      <c r="D1853" s="542" t="s">
        <v>432</v>
      </c>
      <c r="E1853" s="1307"/>
      <c r="F1853" s="1308"/>
      <c r="G1853" s="1309"/>
      <c r="H1853" s="907" t="s">
        <v>794</v>
      </c>
      <c r="I1853" s="1295" t="e">
        <v>#REF!</v>
      </c>
      <c r="J1853" s="1295"/>
      <c r="K1853" s="1296"/>
      <c r="L1853" s="908"/>
      <c r="M1853" s="376" t="s">
        <v>1309</v>
      </c>
      <c r="N1853" s="162"/>
      <c r="O1853" s="395" t="s">
        <v>810</v>
      </c>
      <c r="P1853" s="396">
        <v>0.1</v>
      </c>
      <c r="Q1853" s="397">
        <v>1.6E-2</v>
      </c>
      <c r="R1853" s="398">
        <v>2.4000000000000909E-2</v>
      </c>
      <c r="S1853" s="120"/>
      <c r="T1853" s="395">
        <v>4.800000000000091E-2</v>
      </c>
      <c r="U1853" s="397">
        <v>-10.88</v>
      </c>
      <c r="V1853" s="396">
        <v>91.8</v>
      </c>
      <c r="W1853" s="399">
        <v>2</v>
      </c>
      <c r="X1853" s="400">
        <v>21.76</v>
      </c>
      <c r="Y1853" s="120"/>
      <c r="Z1853" s="120"/>
    </row>
    <row r="1854" spans="3:26" ht="17">
      <c r="C1854" s="90"/>
      <c r="D1854" s="543" t="s">
        <v>433</v>
      </c>
      <c r="E1854" s="1367" t="s">
        <v>931</v>
      </c>
      <c r="F1854" s="1368"/>
      <c r="G1854" s="1369"/>
      <c r="H1854" s="907" t="s">
        <v>795</v>
      </c>
      <c r="I1854" s="1297"/>
      <c r="J1854" s="1297"/>
      <c r="K1854" s="1298"/>
      <c r="L1854" s="908"/>
      <c r="M1854" s="377"/>
      <c r="N1854" s="162"/>
      <c r="O1854" s="162"/>
      <c r="P1854" s="162"/>
      <c r="Q1854" s="162"/>
      <c r="R1854" s="401"/>
      <c r="S1854" s="148"/>
      <c r="T1854" s="162"/>
      <c r="U1854" s="162"/>
      <c r="V1854" s="162"/>
      <c r="W1854" s="148"/>
      <c r="X1854" s="148"/>
      <c r="Y1854" s="124"/>
      <c r="Z1854" s="124"/>
    </row>
    <row r="1855" spans="3:26" ht="17">
      <c r="C1855" s="90"/>
      <c r="D1855" s="543" t="s">
        <v>434</v>
      </c>
      <c r="E1855" s="1367" t="s">
        <v>345</v>
      </c>
      <c r="F1855" s="1368"/>
      <c r="G1855" s="1369"/>
      <c r="H1855" s="907"/>
      <c r="I1855" s="1297"/>
      <c r="J1855" s="1297"/>
      <c r="K1855" s="1298"/>
      <c r="L1855" s="908"/>
      <c r="M1855" s="377"/>
      <c r="N1855" s="162"/>
      <c r="O1855" s="402" t="s">
        <v>811</v>
      </c>
      <c r="P1855" s="403">
        <v>0.15</v>
      </c>
      <c r="Q1855" s="404">
        <v>9.2399999999999996E-2</v>
      </c>
      <c r="R1855" s="405">
        <v>2.1999999999999999E-2</v>
      </c>
      <c r="S1855" s="406">
        <v>1</v>
      </c>
      <c r="T1855" s="402">
        <v>0.16059999999999999</v>
      </c>
      <c r="U1855" s="407">
        <v>-54.603999999998962</v>
      </c>
      <c r="V1855" s="408">
        <v>90.749999999999986</v>
      </c>
      <c r="W1855" s="409">
        <v>3.43</v>
      </c>
      <c r="X1855" s="410">
        <v>187.29171999999645</v>
      </c>
      <c r="Y1855" s="134"/>
      <c r="Z1855" s="134">
        <v>4.4350000000000005</v>
      </c>
    </row>
    <row r="1856" spans="3:26" ht="18" thickBot="1">
      <c r="C1856" s="90"/>
      <c r="D1856" s="544" t="s">
        <v>435</v>
      </c>
      <c r="E1856" s="1313">
        <v>0.5625</v>
      </c>
      <c r="F1856" s="1314"/>
      <c r="G1856" s="1315"/>
      <c r="H1856" s="909"/>
      <c r="I1856" s="1297"/>
      <c r="J1856" s="1297"/>
      <c r="K1856" s="1298"/>
      <c r="L1856" s="910">
        <v>0.79166666666666663</v>
      </c>
      <c r="M1856" s="378">
        <v>0.64583333333333326</v>
      </c>
      <c r="N1856" s="162"/>
      <c r="O1856" s="411" t="s">
        <v>812</v>
      </c>
      <c r="P1856" s="412">
        <v>0.15</v>
      </c>
      <c r="Q1856" s="413">
        <v>0.10386666666666668</v>
      </c>
      <c r="R1856" s="414">
        <v>2.1999999999999999E-2</v>
      </c>
      <c r="S1856" s="415">
        <v>1</v>
      </c>
      <c r="T1856" s="416">
        <v>0.17780000000000001</v>
      </c>
      <c r="U1856" s="417">
        <v>-60.451999999998861</v>
      </c>
      <c r="V1856" s="418">
        <v>90.749999999999986</v>
      </c>
      <c r="W1856" s="419">
        <v>3.55</v>
      </c>
      <c r="X1856" s="420">
        <v>214.60459999999594</v>
      </c>
      <c r="Y1856" s="144"/>
      <c r="Z1856" s="144"/>
    </row>
    <row r="1857" spans="3:26" ht="18" thickBot="1">
      <c r="C1857" s="90"/>
      <c r="D1857" s="545" t="s">
        <v>436</v>
      </c>
      <c r="E1857" s="380" t="s">
        <v>29</v>
      </c>
      <c r="F1857" s="380" t="s">
        <v>28</v>
      </c>
      <c r="G1857" s="381" t="s">
        <v>27</v>
      </c>
      <c r="H1857" s="911" t="s">
        <v>793</v>
      </c>
      <c r="I1857" s="1297"/>
      <c r="J1857" s="1297"/>
      <c r="K1857" s="1298"/>
      <c r="L1857" s="912" t="s">
        <v>1246</v>
      </c>
      <c r="M1857" s="382"/>
      <c r="N1857" s="162"/>
      <c r="O1857" s="148"/>
      <c r="P1857" s="124"/>
      <c r="Q1857" s="148"/>
      <c r="R1857" s="148"/>
      <c r="S1857" s="148"/>
      <c r="T1857" s="148"/>
      <c r="U1857" s="421"/>
      <c r="V1857" s="422"/>
      <c r="W1857" s="148"/>
      <c r="X1857" s="421"/>
      <c r="Y1857" s="124"/>
      <c r="Z1857" s="124"/>
    </row>
    <row r="1858" spans="3:26" ht="17">
      <c r="C1858" s="90"/>
      <c r="D1858" s="546">
        <v>45652</v>
      </c>
      <c r="E1858" s="383" t="s">
        <v>987</v>
      </c>
      <c r="F1858" s="383" t="s">
        <v>973</v>
      </c>
      <c r="G1858" s="383" t="s">
        <v>1112</v>
      </c>
      <c r="H1858" s="913">
        <v>0.5625</v>
      </c>
      <c r="I1858" s="1297"/>
      <c r="J1858" s="1297"/>
      <c r="K1858" s="1298"/>
      <c r="L1858" s="914">
        <v>0.79166666666666663</v>
      </c>
      <c r="M1858" s="384"/>
      <c r="N1858" s="162"/>
      <c r="O1858" s="148"/>
      <c r="P1858" s="124"/>
      <c r="Q1858" s="148"/>
      <c r="R1858" s="148"/>
      <c r="S1858" s="148"/>
      <c r="T1858" s="148"/>
      <c r="U1858" s="148"/>
      <c r="V1858" s="148"/>
      <c r="W1858" s="148"/>
      <c r="X1858" s="148"/>
      <c r="Y1858" s="124"/>
      <c r="Z1858" s="124"/>
    </row>
    <row r="1859" spans="3:26" ht="17">
      <c r="C1859" s="90"/>
      <c r="D1859" s="546">
        <v>45645</v>
      </c>
      <c r="E1859" s="383" t="s">
        <v>1112</v>
      </c>
      <c r="F1859" s="383" t="s">
        <v>976</v>
      </c>
      <c r="G1859" s="383" t="s">
        <v>980</v>
      </c>
      <c r="H1859" s="913">
        <v>0.5625</v>
      </c>
      <c r="I1859" s="1297"/>
      <c r="J1859" s="1297"/>
      <c r="K1859" s="1298"/>
      <c r="L1859" s="914">
        <v>0.79166666666666663</v>
      </c>
      <c r="M1859" s="385"/>
      <c r="N1859" s="162"/>
      <c r="O1859" s="395" t="s">
        <v>813</v>
      </c>
      <c r="P1859" s="396">
        <v>0.15</v>
      </c>
      <c r="Q1859" s="423">
        <v>9.8133333333333336E-2</v>
      </c>
      <c r="R1859" s="424">
        <v>2.1999999999999999E-2</v>
      </c>
      <c r="S1859" s="120">
        <v>1</v>
      </c>
      <c r="T1859" s="402">
        <v>0.16919999999999999</v>
      </c>
      <c r="U1859" s="425">
        <v>-57.527999999998897</v>
      </c>
      <c r="V1859" s="426">
        <v>90.749999999999986</v>
      </c>
      <c r="W1859" s="120">
        <v>2.5</v>
      </c>
      <c r="X1859" s="400">
        <v>143.81999999999724</v>
      </c>
      <c r="Y1859" s="154"/>
      <c r="Z1859" s="154"/>
    </row>
    <row r="1860" spans="3:26" ht="17">
      <c r="C1860" s="90"/>
      <c r="D1860" s="546">
        <v>45638</v>
      </c>
      <c r="E1860" s="383" t="s">
        <v>980</v>
      </c>
      <c r="F1860" s="383" t="s">
        <v>972</v>
      </c>
      <c r="G1860" s="383" t="s">
        <v>985</v>
      </c>
      <c r="H1860" s="913">
        <v>0.5625</v>
      </c>
      <c r="I1860" s="1297"/>
      <c r="J1860" s="1297"/>
      <c r="K1860" s="1298"/>
      <c r="L1860" s="914">
        <v>0.79166666666666663</v>
      </c>
      <c r="M1860" s="377"/>
      <c r="N1860" s="162"/>
      <c r="O1860" s="395"/>
      <c r="P1860" s="395"/>
      <c r="Q1860" s="423"/>
      <c r="R1860" s="424"/>
      <c r="S1860" s="120"/>
      <c r="T1860" s="396"/>
      <c r="U1860" s="425"/>
      <c r="V1860" s="426"/>
      <c r="W1860" s="120"/>
      <c r="X1860" s="400"/>
      <c r="Y1860" s="154"/>
      <c r="Z1860" s="154"/>
    </row>
    <row r="1861" spans="3:26" ht="17">
      <c r="C1861" s="90"/>
      <c r="D1861" s="546">
        <v>45631</v>
      </c>
      <c r="E1861" s="383" t="s">
        <v>1032</v>
      </c>
      <c r="F1861" s="383" t="s">
        <v>1232</v>
      </c>
      <c r="G1861" s="383" t="s">
        <v>1232</v>
      </c>
      <c r="H1861" s="913">
        <v>0.5625</v>
      </c>
      <c r="I1861" s="1297"/>
      <c r="J1861" s="1297"/>
      <c r="K1861" s="1298"/>
      <c r="L1861" s="914">
        <v>0.79166666666666663</v>
      </c>
      <c r="M1861" s="377"/>
      <c r="N1861" s="162"/>
      <c r="O1861" s="395" t="s">
        <v>816</v>
      </c>
      <c r="P1861" s="427"/>
      <c r="Q1861" s="423"/>
      <c r="R1861" s="424"/>
      <c r="S1861" s="120"/>
      <c r="T1861" s="427"/>
      <c r="U1861" s="425">
        <v>0</v>
      </c>
      <c r="V1861" s="426"/>
      <c r="W1861" s="120"/>
      <c r="X1861" s="400">
        <v>0</v>
      </c>
      <c r="Y1861" s="154"/>
      <c r="Z1861" s="154"/>
    </row>
    <row r="1862" spans="3:26" ht="17">
      <c r="C1862" s="90"/>
      <c r="D1862" s="546">
        <v>45623</v>
      </c>
      <c r="E1862" s="383" t="s">
        <v>1111</v>
      </c>
      <c r="F1862" s="383" t="s">
        <v>1232</v>
      </c>
      <c r="G1862" s="383" t="s">
        <v>1232</v>
      </c>
      <c r="H1862" s="913">
        <v>0.5625</v>
      </c>
      <c r="I1862" s="1297"/>
      <c r="J1862" s="1297"/>
      <c r="K1862" s="1298"/>
      <c r="L1862" s="914">
        <v>0.79166666666666663</v>
      </c>
      <c r="M1862" s="377"/>
      <c r="N1862" s="162"/>
      <c r="O1862" s="89"/>
      <c r="P1862" s="89"/>
      <c r="Q1862" s="89"/>
      <c r="R1862" s="89"/>
      <c r="S1862" s="89"/>
      <c r="T1862" s="89"/>
      <c r="U1862" s="89"/>
      <c r="V1862" s="89"/>
      <c r="W1862" s="89"/>
      <c r="X1862" s="89"/>
      <c r="Y1862" s="89"/>
      <c r="Z1862" s="89"/>
    </row>
    <row r="1863" spans="3:26" ht="18" thickBot="1">
      <c r="C1863" s="90"/>
      <c r="D1863" s="546">
        <v>45617</v>
      </c>
      <c r="E1863" s="383" t="s">
        <v>1111</v>
      </c>
      <c r="F1863" s="383" t="s">
        <v>1112</v>
      </c>
      <c r="G1863" s="383" t="s">
        <v>987</v>
      </c>
      <c r="H1863" s="913">
        <v>0.5625</v>
      </c>
      <c r="I1863" s="1299"/>
      <c r="J1863" s="1299"/>
      <c r="K1863" s="1300"/>
      <c r="L1863" s="914">
        <v>0.79166666666666663</v>
      </c>
      <c r="M1863" s="386"/>
      <c r="N1863" s="162"/>
      <c r="O1863" s="89"/>
      <c r="P1863" s="89"/>
      <c r="Q1863" s="89"/>
      <c r="R1863" s="89"/>
      <c r="S1863" s="89"/>
      <c r="T1863" s="89"/>
      <c r="U1863" s="89"/>
      <c r="V1863" s="89"/>
      <c r="W1863" s="89"/>
      <c r="X1863" s="89"/>
      <c r="Y1863" s="89"/>
      <c r="Z1863" s="89"/>
    </row>
    <row r="1864" spans="3:26" ht="18" thickBot="1">
      <c r="C1864" s="90">
        <v>6</v>
      </c>
      <c r="D1864" s="541" t="s">
        <v>30</v>
      </c>
      <c r="E1864" s="1358" t="s">
        <v>1326</v>
      </c>
      <c r="F1864" s="1359"/>
      <c r="G1864" s="1360"/>
      <c r="H1864" s="904" t="s">
        <v>790</v>
      </c>
      <c r="I1864" s="1293" t="s">
        <v>633</v>
      </c>
      <c r="J1864" s="1293"/>
      <c r="K1864" s="1294"/>
      <c r="L1864" s="906" t="s">
        <v>430</v>
      </c>
      <c r="M1864" s="375" t="s">
        <v>431</v>
      </c>
      <c r="N1864" s="162" t="s">
        <v>105</v>
      </c>
      <c r="O1864" s="114" t="s">
        <v>800</v>
      </c>
      <c r="P1864" s="114" t="s">
        <v>801</v>
      </c>
      <c r="Q1864" s="114" t="s">
        <v>802</v>
      </c>
      <c r="R1864" s="114" t="s">
        <v>803</v>
      </c>
      <c r="S1864" s="114" t="s">
        <v>804</v>
      </c>
      <c r="T1864" s="114" t="s">
        <v>805</v>
      </c>
      <c r="U1864" s="114" t="s">
        <v>806</v>
      </c>
      <c r="V1864" s="114" t="s">
        <v>807</v>
      </c>
      <c r="W1864" s="114" t="s">
        <v>808</v>
      </c>
      <c r="X1864" s="114" t="s">
        <v>809</v>
      </c>
      <c r="Y1864" s="114" t="s">
        <v>75</v>
      </c>
      <c r="Z1864" s="114" t="s">
        <v>75</v>
      </c>
    </row>
    <row r="1865" spans="3:26" ht="17">
      <c r="C1865" s="90"/>
      <c r="D1865" s="542" t="s">
        <v>432</v>
      </c>
      <c r="E1865" s="1307"/>
      <c r="F1865" s="1308"/>
      <c r="G1865" s="1309"/>
      <c r="H1865" s="907" t="s">
        <v>906</v>
      </c>
      <c r="I1865" s="1295">
        <v>0</v>
      </c>
      <c r="J1865" s="1295"/>
      <c r="K1865" s="1296"/>
      <c r="L1865" s="908"/>
      <c r="M1865" s="376" t="s">
        <v>1326</v>
      </c>
      <c r="N1865" s="162"/>
      <c r="O1865" s="395" t="s">
        <v>810</v>
      </c>
      <c r="P1865" s="396">
        <v>0.1</v>
      </c>
      <c r="Q1865" s="397">
        <v>0.03</v>
      </c>
      <c r="R1865" s="398">
        <v>1.4000000000010004E-2</v>
      </c>
      <c r="S1865" s="120"/>
      <c r="T1865" s="395">
        <v>5.9000000000010003E-2</v>
      </c>
      <c r="U1865" s="397">
        <v>-14.72</v>
      </c>
      <c r="V1865" s="396">
        <v>60.5</v>
      </c>
      <c r="W1865" s="399">
        <v>2</v>
      </c>
      <c r="X1865" s="400">
        <v>29.44</v>
      </c>
      <c r="Y1865" s="120"/>
      <c r="Z1865" s="120"/>
    </row>
    <row r="1866" spans="3:26" ht="17">
      <c r="C1866" s="90"/>
      <c r="D1866" s="543" t="s">
        <v>433</v>
      </c>
      <c r="E1866" s="1367"/>
      <c r="F1866" s="1368"/>
      <c r="G1866" s="1369"/>
      <c r="H1866" s="907" t="s">
        <v>907</v>
      </c>
      <c r="I1866" s="1297"/>
      <c r="J1866" s="1297"/>
      <c r="K1866" s="1298"/>
      <c r="L1866" s="908"/>
      <c r="M1866" s="377"/>
      <c r="N1866" s="162"/>
      <c r="O1866" s="162"/>
      <c r="P1866" s="162"/>
      <c r="Q1866" s="162"/>
      <c r="R1866" s="401"/>
      <c r="S1866" s="148"/>
      <c r="T1866" s="162"/>
      <c r="U1866" s="162"/>
      <c r="V1866" s="162"/>
      <c r="W1866" s="148"/>
      <c r="X1866" s="148"/>
      <c r="Y1866" s="124"/>
      <c r="Z1866" s="124"/>
    </row>
    <row r="1867" spans="3:26" ht="17">
      <c r="C1867" s="90"/>
      <c r="D1867" s="543" t="s">
        <v>434</v>
      </c>
      <c r="E1867" s="1341">
        <v>0</v>
      </c>
      <c r="F1867" s="1339"/>
      <c r="G1867" s="1340"/>
      <c r="H1867" s="907"/>
      <c r="I1867" s="1297"/>
      <c r="J1867" s="1297"/>
      <c r="K1867" s="1298"/>
      <c r="L1867" s="908"/>
      <c r="M1867" s="377"/>
      <c r="N1867" s="162"/>
      <c r="O1867" s="402" t="s">
        <v>811</v>
      </c>
      <c r="P1867" s="403">
        <v>0.15</v>
      </c>
      <c r="Q1867" s="404">
        <v>20.9971</v>
      </c>
      <c r="R1867" s="405">
        <v>3</v>
      </c>
      <c r="S1867" s="406">
        <v>1</v>
      </c>
      <c r="T1867" s="402">
        <v>34.495649999999998</v>
      </c>
      <c r="U1867" s="407">
        <v>-12909.558508472384</v>
      </c>
      <c r="V1867" s="408">
        <v>90.749999999999986</v>
      </c>
      <c r="W1867" s="409">
        <v>8.0299999999999994</v>
      </c>
      <c r="X1867" s="410">
        <v>103663.75482303323</v>
      </c>
      <c r="Y1867" s="134"/>
      <c r="Z1867" s="134"/>
    </row>
    <row r="1868" spans="3:26" ht="18" thickBot="1">
      <c r="C1868" s="90"/>
      <c r="D1868" s="544" t="s">
        <v>435</v>
      </c>
      <c r="E1868" s="1313">
        <v>0</v>
      </c>
      <c r="F1868" s="1314"/>
      <c r="G1868" s="1315"/>
      <c r="H1868" s="909"/>
      <c r="I1868" s="1297"/>
      <c r="J1868" s="1297"/>
      <c r="K1868" s="1298"/>
      <c r="L1868" s="910">
        <v>0.22916666666666666</v>
      </c>
      <c r="M1868" s="379">
        <v>0.125</v>
      </c>
      <c r="N1868" s="162"/>
      <c r="O1868" s="411" t="s">
        <v>812</v>
      </c>
      <c r="P1868" s="412">
        <v>0.25</v>
      </c>
      <c r="Q1868" s="413">
        <v>13.426666666666668</v>
      </c>
      <c r="R1868" s="414">
        <v>3</v>
      </c>
      <c r="S1868" s="415">
        <v>1</v>
      </c>
      <c r="T1868" s="416">
        <v>23.14</v>
      </c>
      <c r="U1868" s="417">
        <v>-14433.084745760265</v>
      </c>
      <c r="V1868" s="418">
        <v>151.25</v>
      </c>
      <c r="W1868" s="419">
        <v>4.75</v>
      </c>
      <c r="X1868" s="420">
        <v>68557.152542361262</v>
      </c>
      <c r="Y1868" s="144"/>
      <c r="Z1868" s="144"/>
    </row>
    <row r="1869" spans="3:26" ht="18" thickBot="1">
      <c r="C1869" s="90"/>
      <c r="D1869" s="545" t="s">
        <v>436</v>
      </c>
      <c r="E1869" s="380" t="s">
        <v>29</v>
      </c>
      <c r="F1869" s="380" t="s">
        <v>28</v>
      </c>
      <c r="G1869" s="381" t="s">
        <v>27</v>
      </c>
      <c r="H1869" s="911" t="s">
        <v>793</v>
      </c>
      <c r="I1869" s="1297"/>
      <c r="J1869" s="1297"/>
      <c r="K1869" s="1298"/>
      <c r="L1869" s="912" t="s">
        <v>1246</v>
      </c>
      <c r="M1869" s="382"/>
      <c r="N1869" s="162"/>
      <c r="O1869" s="148"/>
      <c r="P1869" s="124"/>
      <c r="Q1869" s="148"/>
      <c r="R1869" s="148"/>
      <c r="S1869" s="148"/>
      <c r="T1869" s="148"/>
      <c r="U1869" s="421"/>
      <c r="V1869" s="422"/>
      <c r="W1869" s="148"/>
      <c r="X1869" s="421"/>
      <c r="Y1869" s="124"/>
      <c r="Z1869" s="124"/>
    </row>
    <row r="1870" spans="3:26" ht="17">
      <c r="C1870" s="90"/>
      <c r="D1870" s="546">
        <v>45630</v>
      </c>
      <c r="E1870" s="430">
        <v>58.2</v>
      </c>
      <c r="F1870" s="430" t="s">
        <v>1345</v>
      </c>
      <c r="G1870" s="430">
        <v>58.1</v>
      </c>
      <c r="H1870" s="913">
        <v>0.5625</v>
      </c>
      <c r="I1870" s="1297"/>
      <c r="J1870" s="1297"/>
      <c r="K1870" s="1298"/>
      <c r="L1870" s="914">
        <v>0</v>
      </c>
      <c r="M1870" s="384"/>
      <c r="N1870" s="162"/>
      <c r="O1870" s="148"/>
      <c r="P1870" s="124"/>
      <c r="Q1870" s="148"/>
      <c r="R1870" s="148"/>
      <c r="S1870" s="148"/>
      <c r="T1870" s="148"/>
      <c r="U1870" s="148"/>
      <c r="V1870" s="148"/>
      <c r="W1870" s="148"/>
      <c r="X1870" s="148"/>
      <c r="Y1870" s="124"/>
      <c r="Z1870" s="124"/>
    </row>
    <row r="1871" spans="3:26" ht="17">
      <c r="C1871" s="90"/>
      <c r="D1871" s="546">
        <v>45601</v>
      </c>
      <c r="E1871" s="430">
        <v>58.1</v>
      </c>
      <c r="F1871" s="430" t="s">
        <v>1346</v>
      </c>
      <c r="G1871" s="430">
        <v>59.4</v>
      </c>
      <c r="H1871" s="913">
        <v>0.52083333333333337</v>
      </c>
      <c r="I1871" s="1297"/>
      <c r="J1871" s="1297"/>
      <c r="K1871" s="1298"/>
      <c r="L1871" s="914">
        <v>0</v>
      </c>
      <c r="M1871" s="385"/>
      <c r="N1871" s="162"/>
      <c r="O1871" s="395" t="s">
        <v>813</v>
      </c>
      <c r="P1871" s="396">
        <v>0.1</v>
      </c>
      <c r="Q1871" s="423">
        <v>17.211883333333333</v>
      </c>
      <c r="R1871" s="424">
        <v>3</v>
      </c>
      <c r="S1871" s="120">
        <v>1.5</v>
      </c>
      <c r="T1871" s="402">
        <v>28.817824999999999</v>
      </c>
      <c r="U1871" s="425">
        <v>-10784.704677964273</v>
      </c>
      <c r="V1871" s="426">
        <v>60.5</v>
      </c>
      <c r="W1871" s="120">
        <v>2</v>
      </c>
      <c r="X1871" s="400">
        <v>21569.409355928547</v>
      </c>
      <c r="Y1871" s="154"/>
      <c r="Z1871" s="154"/>
    </row>
    <row r="1872" spans="3:26" ht="17">
      <c r="C1872" s="90"/>
      <c r="D1872" s="546">
        <v>45568</v>
      </c>
      <c r="E1872" s="430">
        <v>59.4</v>
      </c>
      <c r="F1872" s="430" t="s">
        <v>943</v>
      </c>
      <c r="G1872" s="430">
        <v>57.3</v>
      </c>
      <c r="H1872" s="913">
        <v>0.52083333333333337</v>
      </c>
      <c r="I1872" s="1297"/>
      <c r="J1872" s="1297"/>
      <c r="K1872" s="1298"/>
      <c r="L1872" s="914">
        <v>0</v>
      </c>
      <c r="M1872" s="377"/>
      <c r="N1872" s="162"/>
      <c r="O1872" s="395" t="s">
        <v>813</v>
      </c>
      <c r="P1872" s="396">
        <v>0.1</v>
      </c>
      <c r="Q1872" s="423">
        <v>17.211883333333333</v>
      </c>
      <c r="R1872" s="424">
        <v>3</v>
      </c>
      <c r="S1872" s="120">
        <v>1.5</v>
      </c>
      <c r="T1872" s="402">
        <v>28.817824999999999</v>
      </c>
      <c r="U1872" s="425">
        <v>-10784.704677964273</v>
      </c>
      <c r="V1872" s="426">
        <v>60.5</v>
      </c>
      <c r="W1872" s="120">
        <v>2</v>
      </c>
      <c r="X1872" s="400">
        <v>21569.409355928547</v>
      </c>
      <c r="Y1872" s="154"/>
      <c r="Z1872" s="154"/>
    </row>
    <row r="1873" spans="3:26" ht="17">
      <c r="C1873" s="90"/>
      <c r="D1873" s="546">
        <v>45540</v>
      </c>
      <c r="E1873" s="430">
        <v>57.3</v>
      </c>
      <c r="F1873" s="430" t="s">
        <v>589</v>
      </c>
      <c r="G1873" s="430">
        <v>57</v>
      </c>
      <c r="H1873" s="913">
        <v>0.52083333333333337</v>
      </c>
      <c r="I1873" s="1297"/>
      <c r="J1873" s="1297"/>
      <c r="K1873" s="1298"/>
      <c r="L1873" s="914">
        <v>0</v>
      </c>
      <c r="M1873" s="377"/>
      <c r="N1873" s="162"/>
      <c r="O1873" s="395"/>
      <c r="P1873" s="427"/>
      <c r="Q1873" s="423"/>
      <c r="R1873" s="424"/>
      <c r="S1873" s="120"/>
      <c r="T1873" s="427"/>
      <c r="U1873" s="425"/>
      <c r="V1873" s="426"/>
      <c r="W1873" s="120"/>
      <c r="X1873" s="400"/>
      <c r="Y1873" s="154"/>
      <c r="Z1873" s="154"/>
    </row>
    <row r="1874" spans="3:26" ht="17">
      <c r="C1874" s="90"/>
      <c r="D1874" s="546">
        <v>45509</v>
      </c>
      <c r="E1874" s="430">
        <v>57</v>
      </c>
      <c r="F1874" s="430" t="s">
        <v>589</v>
      </c>
      <c r="G1874" s="430">
        <v>56.3</v>
      </c>
      <c r="H1874" s="913">
        <v>0.52083333333333337</v>
      </c>
      <c r="I1874" s="1297"/>
      <c r="J1874" s="1297"/>
      <c r="K1874" s="1298"/>
      <c r="L1874" s="914">
        <v>0</v>
      </c>
      <c r="M1874" s="377"/>
      <c r="N1874" s="162"/>
      <c r="O1874" s="89"/>
      <c r="P1874" s="89"/>
      <c r="Q1874" s="89"/>
      <c r="R1874" s="89"/>
      <c r="S1874" s="89"/>
      <c r="T1874" s="89"/>
      <c r="U1874" s="89"/>
      <c r="V1874" s="89"/>
      <c r="W1874" s="89"/>
      <c r="X1874" s="89"/>
      <c r="Y1874" s="89"/>
      <c r="Z1874" s="89"/>
    </row>
    <row r="1875" spans="3:26" ht="18" thickBot="1">
      <c r="C1875" s="90"/>
      <c r="D1875" s="546">
        <v>45476</v>
      </c>
      <c r="E1875" s="430">
        <v>56.3</v>
      </c>
      <c r="F1875" s="430" t="s">
        <v>602</v>
      </c>
      <c r="G1875" s="430">
        <v>58.1</v>
      </c>
      <c r="H1875" s="913">
        <v>0.52083333333333337</v>
      </c>
      <c r="I1875" s="1299"/>
      <c r="J1875" s="1299"/>
      <c r="K1875" s="1300"/>
      <c r="L1875" s="915">
        <v>0</v>
      </c>
      <c r="M1875" s="386"/>
      <c r="N1875" s="162"/>
      <c r="O1875" s="89"/>
      <c r="P1875" s="89"/>
      <c r="Q1875" s="89"/>
      <c r="R1875" s="89"/>
      <c r="S1875" s="89"/>
      <c r="T1875" s="89"/>
      <c r="U1875" s="89"/>
      <c r="V1875" s="89"/>
      <c r="W1875" s="89"/>
      <c r="X1875" s="89"/>
      <c r="Y1875" s="89"/>
      <c r="Z1875" s="89"/>
    </row>
    <row r="1876" spans="3:26" ht="18" thickBot="1">
      <c r="C1876" s="90">
        <v>7</v>
      </c>
      <c r="D1876" s="541" t="s">
        <v>30</v>
      </c>
      <c r="E1876" s="1358" t="s">
        <v>1309</v>
      </c>
      <c r="F1876" s="1359"/>
      <c r="G1876" s="1360"/>
      <c r="H1876" s="904" t="s">
        <v>790</v>
      </c>
      <c r="I1876" s="1293" t="s">
        <v>633</v>
      </c>
      <c r="J1876" s="1293"/>
      <c r="K1876" s="1294"/>
      <c r="L1876" s="906" t="s">
        <v>430</v>
      </c>
      <c r="M1876" s="375" t="s">
        <v>431</v>
      </c>
      <c r="N1876" s="162" t="s">
        <v>105</v>
      </c>
      <c r="O1876" s="114" t="s">
        <v>800</v>
      </c>
      <c r="P1876" s="114" t="s">
        <v>801</v>
      </c>
      <c r="Q1876" s="114" t="s">
        <v>802</v>
      </c>
      <c r="R1876" s="114" t="s">
        <v>803</v>
      </c>
      <c r="S1876" s="114" t="s">
        <v>804</v>
      </c>
      <c r="T1876" s="114" t="s">
        <v>805</v>
      </c>
      <c r="U1876" s="114" t="s">
        <v>806</v>
      </c>
      <c r="V1876" s="114" t="s">
        <v>807</v>
      </c>
      <c r="W1876" s="114" t="s">
        <v>808</v>
      </c>
      <c r="X1876" s="114" t="s">
        <v>809</v>
      </c>
      <c r="Y1876" s="114" t="s">
        <v>75</v>
      </c>
      <c r="Z1876" s="114" t="s">
        <v>75</v>
      </c>
    </row>
    <row r="1877" spans="3:26" ht="17">
      <c r="C1877" s="90"/>
      <c r="D1877" s="542" t="s">
        <v>432</v>
      </c>
      <c r="E1877" s="1307"/>
      <c r="F1877" s="1308"/>
      <c r="G1877" s="1309"/>
      <c r="H1877" s="907" t="s">
        <v>906</v>
      </c>
      <c r="I1877" s="1295" t="s">
        <v>1327</v>
      </c>
      <c r="J1877" s="1295"/>
      <c r="K1877" s="1296"/>
      <c r="L1877" s="908"/>
      <c r="M1877" s="376" t="s">
        <v>1309</v>
      </c>
      <c r="N1877" s="162"/>
      <c r="O1877" s="395" t="s">
        <v>810</v>
      </c>
      <c r="P1877" s="396">
        <v>0.1</v>
      </c>
      <c r="Q1877" s="397">
        <v>0.03</v>
      </c>
      <c r="R1877" s="398">
        <v>1.5999999999991132E-2</v>
      </c>
      <c r="S1877" s="120"/>
      <c r="T1877" s="395">
        <v>6.0999999999991131E-2</v>
      </c>
      <c r="U1877" s="397">
        <v>-14.17</v>
      </c>
      <c r="V1877" s="396">
        <v>91.8</v>
      </c>
      <c r="W1877" s="399">
        <v>2</v>
      </c>
      <c r="X1877" s="400">
        <v>28.34</v>
      </c>
      <c r="Y1877" s="120"/>
      <c r="Z1877" s="120"/>
    </row>
    <row r="1878" spans="3:26" ht="17">
      <c r="C1878" s="90"/>
      <c r="D1878" s="543" t="s">
        <v>433</v>
      </c>
      <c r="E1878" s="1367" t="s">
        <v>931</v>
      </c>
      <c r="F1878" s="1368"/>
      <c r="G1878" s="1369"/>
      <c r="H1878" s="907" t="s">
        <v>907</v>
      </c>
      <c r="I1878" s="1297"/>
      <c r="J1878" s="1297"/>
      <c r="K1878" s="1298"/>
      <c r="L1878" s="908"/>
      <c r="M1878" s="377"/>
      <c r="N1878" s="162"/>
      <c r="O1878" s="162"/>
      <c r="P1878" s="162"/>
      <c r="Q1878" s="162"/>
      <c r="R1878" s="401"/>
      <c r="S1878" s="148"/>
      <c r="T1878" s="162"/>
      <c r="U1878" s="162"/>
      <c r="V1878" s="162"/>
      <c r="W1878" s="148"/>
      <c r="X1878" s="148"/>
      <c r="Y1878" s="124"/>
      <c r="Z1878" s="124"/>
    </row>
    <row r="1879" spans="3:26" ht="17">
      <c r="C1879" s="90"/>
      <c r="D1879" s="543" t="s">
        <v>434</v>
      </c>
      <c r="E1879" s="1370" t="s">
        <v>345</v>
      </c>
      <c r="F1879" s="1368"/>
      <c r="G1879" s="1369"/>
      <c r="H1879" s="907"/>
      <c r="I1879" s="1297"/>
      <c r="J1879" s="1297"/>
      <c r="K1879" s="1298"/>
      <c r="L1879" s="908"/>
      <c r="M1879" s="377"/>
      <c r="N1879" s="162"/>
      <c r="O1879" s="402" t="s">
        <v>811</v>
      </c>
      <c r="P1879" s="403">
        <v>0.1</v>
      </c>
      <c r="Q1879" s="404">
        <v>7.9100000000000004E-2</v>
      </c>
      <c r="R1879" s="405">
        <v>1.6E-2</v>
      </c>
      <c r="S1879" s="406">
        <v>1</v>
      </c>
      <c r="T1879" s="402">
        <v>0.13464999999999999</v>
      </c>
      <c r="U1879" s="407">
        <v>-31.278532786889791</v>
      </c>
      <c r="V1879" s="408">
        <v>60.5</v>
      </c>
      <c r="W1879" s="409">
        <v>3.81</v>
      </c>
      <c r="X1879" s="410">
        <v>119.17120991805011</v>
      </c>
      <c r="Y1879" s="134"/>
      <c r="Z1879" s="134">
        <v>4.4350000000000005</v>
      </c>
    </row>
    <row r="1880" spans="3:26" ht="18" thickBot="1">
      <c r="C1880" s="90"/>
      <c r="D1880" s="544" t="s">
        <v>435</v>
      </c>
      <c r="E1880" s="1313">
        <v>0.5625</v>
      </c>
      <c r="F1880" s="1314"/>
      <c r="G1880" s="1315"/>
      <c r="H1880" s="909">
        <v>0.35416666666666663</v>
      </c>
      <c r="I1880" s="1297"/>
      <c r="J1880" s="1297"/>
      <c r="K1880" s="1298"/>
      <c r="L1880" s="910">
        <v>0.79166666666666663</v>
      </c>
      <c r="M1880" s="379">
        <v>0.64583333333333326</v>
      </c>
      <c r="N1880" s="162"/>
      <c r="O1880" s="411" t="s">
        <v>812</v>
      </c>
      <c r="P1880" s="412">
        <v>0.1</v>
      </c>
      <c r="Q1880" s="413">
        <v>6.3266666666666665E-2</v>
      </c>
      <c r="R1880" s="414">
        <v>1.6E-2</v>
      </c>
      <c r="S1880" s="415">
        <v>1</v>
      </c>
      <c r="T1880" s="416">
        <v>0.1109</v>
      </c>
      <c r="U1880" s="417">
        <v>-25.761524590167678</v>
      </c>
      <c r="V1880" s="418">
        <v>60.5</v>
      </c>
      <c r="W1880" s="419">
        <v>5.21</v>
      </c>
      <c r="X1880" s="420">
        <v>134.2175431147736</v>
      </c>
      <c r="Y1880" s="144"/>
      <c r="Z1880" s="144"/>
    </row>
    <row r="1881" spans="3:26" ht="18" thickBot="1">
      <c r="C1881" s="90"/>
      <c r="D1881" s="545" t="s">
        <v>436</v>
      </c>
      <c r="E1881" s="380" t="s">
        <v>29</v>
      </c>
      <c r="F1881" s="380" t="s">
        <v>28</v>
      </c>
      <c r="G1881" s="381" t="s">
        <v>27</v>
      </c>
      <c r="H1881" s="911" t="s">
        <v>793</v>
      </c>
      <c r="I1881" s="1297"/>
      <c r="J1881" s="1297"/>
      <c r="K1881" s="1298"/>
      <c r="L1881" s="912" t="s">
        <v>1246</v>
      </c>
      <c r="M1881" s="382"/>
      <c r="N1881" s="162"/>
      <c r="O1881" s="148"/>
      <c r="P1881" s="124"/>
      <c r="Q1881" s="148"/>
      <c r="R1881" s="148"/>
      <c r="S1881" s="148"/>
      <c r="T1881" s="148"/>
      <c r="U1881" s="421"/>
      <c r="V1881" s="422"/>
      <c r="W1881" s="148"/>
      <c r="X1881" s="421"/>
      <c r="Y1881" s="124"/>
      <c r="Z1881" s="124"/>
    </row>
    <row r="1882" spans="3:26" ht="17">
      <c r="C1882" s="90"/>
      <c r="D1882" s="546">
        <v>45652</v>
      </c>
      <c r="E1882" s="389" t="s">
        <v>987</v>
      </c>
      <c r="F1882" s="389" t="s">
        <v>973</v>
      </c>
      <c r="G1882" s="389" t="s">
        <v>1112</v>
      </c>
      <c r="H1882" s="913">
        <v>0.57291666666666663</v>
      </c>
      <c r="I1882" s="1297"/>
      <c r="J1882" s="1297"/>
      <c r="K1882" s="1298"/>
      <c r="L1882" s="914"/>
      <c r="M1882" s="384"/>
      <c r="N1882" s="162"/>
      <c r="O1882" s="148"/>
      <c r="P1882" s="124"/>
      <c r="Q1882" s="148"/>
      <c r="R1882" s="148"/>
      <c r="S1882" s="148"/>
      <c r="T1882" s="148"/>
      <c r="U1882" s="148"/>
      <c r="V1882" s="148"/>
      <c r="W1882" s="148"/>
      <c r="X1882" s="148"/>
      <c r="Y1882" s="124"/>
      <c r="Z1882" s="124"/>
    </row>
    <row r="1883" spans="3:26" ht="17">
      <c r="C1883" s="90"/>
      <c r="D1883" s="546">
        <v>45645</v>
      </c>
      <c r="E1883" s="389" t="s">
        <v>1112</v>
      </c>
      <c r="F1883" s="389" t="s">
        <v>976</v>
      </c>
      <c r="G1883" s="389" t="s">
        <v>980</v>
      </c>
      <c r="H1883" s="913">
        <v>0.57291666666666663</v>
      </c>
      <c r="I1883" s="1297"/>
      <c r="J1883" s="1297"/>
      <c r="K1883" s="1298"/>
      <c r="L1883" s="914"/>
      <c r="M1883" s="385"/>
      <c r="N1883" s="162"/>
      <c r="O1883" s="395" t="s">
        <v>813</v>
      </c>
      <c r="P1883" s="396">
        <v>-0.06</v>
      </c>
      <c r="Q1883" s="423">
        <v>7.1183333333333335E-2</v>
      </c>
      <c r="R1883" s="424">
        <v>1.6E-2</v>
      </c>
      <c r="S1883" s="120">
        <v>-1.5</v>
      </c>
      <c r="T1883" s="402">
        <v>0.12277500000000001</v>
      </c>
      <c r="U1883" s="425">
        <v>-25.668025819675861</v>
      </c>
      <c r="V1883" s="426">
        <v>-36.299999999999997</v>
      </c>
      <c r="W1883" s="120">
        <v>2</v>
      </c>
      <c r="X1883" s="400">
        <v>51.336051639351723</v>
      </c>
      <c r="Y1883" s="154"/>
      <c r="Z1883" s="154"/>
    </row>
    <row r="1884" spans="3:26" ht="17">
      <c r="C1884" s="90"/>
      <c r="D1884" s="546">
        <v>45638</v>
      </c>
      <c r="E1884" s="389" t="s">
        <v>980</v>
      </c>
      <c r="F1884" s="389" t="s">
        <v>972</v>
      </c>
      <c r="G1884" s="389" t="s">
        <v>985</v>
      </c>
      <c r="H1884" s="913">
        <v>0.57291666666666663</v>
      </c>
      <c r="I1884" s="1297"/>
      <c r="J1884" s="1297"/>
      <c r="K1884" s="1298"/>
      <c r="L1884" s="914"/>
      <c r="M1884" s="377"/>
      <c r="N1884" s="162"/>
      <c r="O1884" s="395" t="s">
        <v>813</v>
      </c>
      <c r="P1884" s="396">
        <v>0.06</v>
      </c>
      <c r="Q1884" s="423">
        <v>7.1183333333333335E-2</v>
      </c>
      <c r="R1884" s="424">
        <v>1.6E-2</v>
      </c>
      <c r="S1884" s="120">
        <v>1.5</v>
      </c>
      <c r="T1884" s="402">
        <v>0.12277500000000001</v>
      </c>
      <c r="U1884" s="425">
        <v>-25.668025819675861</v>
      </c>
      <c r="V1884" s="426">
        <v>36.299999999999997</v>
      </c>
      <c r="W1884" s="120">
        <v>2</v>
      </c>
      <c r="X1884" s="400">
        <v>51.336051639351723</v>
      </c>
      <c r="Y1884" s="154"/>
      <c r="Z1884" s="154"/>
    </row>
    <row r="1885" spans="3:26" ht="17">
      <c r="C1885" s="90"/>
      <c r="D1885" s="546">
        <v>45631</v>
      </c>
      <c r="E1885" s="389" t="s">
        <v>1032</v>
      </c>
      <c r="F1885" s="389" t="s">
        <v>1232</v>
      </c>
      <c r="G1885" s="389" t="s">
        <v>1232</v>
      </c>
      <c r="H1885" s="913">
        <v>0.57291666666666663</v>
      </c>
      <c r="I1885" s="1297"/>
      <c r="J1885" s="1297"/>
      <c r="K1885" s="1298"/>
      <c r="L1885" s="914"/>
      <c r="M1885" s="377"/>
      <c r="N1885" s="162"/>
      <c r="O1885" s="395" t="s">
        <v>816</v>
      </c>
      <c r="P1885" s="427"/>
      <c r="Q1885" s="423"/>
      <c r="R1885" s="424"/>
      <c r="S1885" s="120"/>
      <c r="T1885" s="427"/>
      <c r="U1885" s="425"/>
      <c r="V1885" s="426"/>
      <c r="W1885" s="120"/>
      <c r="X1885" s="400"/>
      <c r="Y1885" s="154"/>
      <c r="Z1885" s="154"/>
    </row>
    <row r="1886" spans="3:26" ht="17">
      <c r="C1886" s="90"/>
      <c r="D1886" s="546">
        <v>45623</v>
      </c>
      <c r="E1886" s="389" t="s">
        <v>1111</v>
      </c>
      <c r="F1886" s="389" t="s">
        <v>1232</v>
      </c>
      <c r="G1886" s="389" t="s">
        <v>1232</v>
      </c>
      <c r="H1886" s="913">
        <v>0.57291666666666663</v>
      </c>
      <c r="I1886" s="1297"/>
      <c r="J1886" s="1297"/>
      <c r="K1886" s="1298"/>
      <c r="L1886" s="914"/>
      <c r="M1886" s="377"/>
      <c r="N1886" s="162"/>
      <c r="O1886" s="89"/>
      <c r="P1886" s="89"/>
      <c r="Q1886" s="89"/>
      <c r="R1886" s="89"/>
      <c r="S1886" s="89"/>
      <c r="T1886" s="89"/>
      <c r="U1886" s="89"/>
      <c r="V1886" s="89"/>
      <c r="W1886" s="89"/>
      <c r="X1886" s="89"/>
      <c r="Y1886" s="89"/>
      <c r="Z1886" s="89"/>
    </row>
    <row r="1887" spans="3:26" ht="18" thickBot="1">
      <c r="C1887" s="90"/>
      <c r="D1887" s="546">
        <v>45617</v>
      </c>
      <c r="E1887" s="389" t="s">
        <v>1111</v>
      </c>
      <c r="F1887" s="389" t="s">
        <v>1112</v>
      </c>
      <c r="G1887" s="389" t="s">
        <v>987</v>
      </c>
      <c r="H1887" s="913">
        <v>0.61458333333333337</v>
      </c>
      <c r="I1887" s="1299"/>
      <c r="J1887" s="1299"/>
      <c r="K1887" s="1300"/>
      <c r="L1887" s="915"/>
      <c r="M1887" s="386"/>
      <c r="N1887" s="162"/>
      <c r="O1887" s="89"/>
      <c r="P1887" s="89"/>
      <c r="Q1887" s="89"/>
      <c r="R1887" s="89"/>
      <c r="S1887" s="89"/>
      <c r="T1887" s="89"/>
      <c r="U1887" s="89"/>
      <c r="V1887" s="89"/>
      <c r="W1887" s="89"/>
      <c r="X1887" s="89"/>
      <c r="Y1887" s="89"/>
      <c r="Z1887" s="89"/>
    </row>
    <row r="1888" spans="3:26" ht="18" thickBot="1">
      <c r="C1888" s="90">
        <v>8</v>
      </c>
      <c r="D1888" s="541" t="s">
        <v>30</v>
      </c>
      <c r="E1888" s="1358" t="s">
        <v>1328</v>
      </c>
      <c r="F1888" s="1359"/>
      <c r="G1888" s="1360"/>
      <c r="H1888" s="904" t="s">
        <v>790</v>
      </c>
      <c r="I1888" s="1293" t="s">
        <v>633</v>
      </c>
      <c r="J1888" s="1293"/>
      <c r="K1888" s="1294"/>
      <c r="L1888" s="906" t="s">
        <v>430</v>
      </c>
      <c r="M1888" s="375" t="s">
        <v>431</v>
      </c>
      <c r="N1888" s="162" t="s">
        <v>105</v>
      </c>
      <c r="O1888" s="114" t="s">
        <v>800</v>
      </c>
      <c r="P1888" s="114" t="s">
        <v>801</v>
      </c>
      <c r="Q1888" s="114" t="s">
        <v>802</v>
      </c>
      <c r="R1888" s="114" t="s">
        <v>803</v>
      </c>
      <c r="S1888" s="114" t="s">
        <v>804</v>
      </c>
      <c r="T1888" s="114" t="s">
        <v>805</v>
      </c>
      <c r="U1888" s="114" t="s">
        <v>806</v>
      </c>
      <c r="V1888" s="114" t="s">
        <v>807</v>
      </c>
      <c r="W1888" s="114" t="s">
        <v>808</v>
      </c>
      <c r="X1888" s="114" t="s">
        <v>809</v>
      </c>
      <c r="Y1888" s="114" t="s">
        <v>75</v>
      </c>
      <c r="Z1888" s="114" t="s">
        <v>75</v>
      </c>
    </row>
    <row r="1889" spans="3:26" ht="17">
      <c r="C1889" s="90"/>
      <c r="D1889" s="542" t="s">
        <v>432</v>
      </c>
      <c r="E1889" s="1307"/>
      <c r="F1889" s="1308"/>
      <c r="G1889" s="1309"/>
      <c r="H1889" s="907" t="s">
        <v>794</v>
      </c>
      <c r="I1889" s="1295" t="s">
        <v>1329</v>
      </c>
      <c r="J1889" s="1295"/>
      <c r="K1889" s="1296"/>
      <c r="L1889" s="908"/>
      <c r="M1889" s="376" t="s">
        <v>1328</v>
      </c>
      <c r="N1889" s="162"/>
      <c r="O1889" s="395" t="s">
        <v>810</v>
      </c>
      <c r="P1889" s="396">
        <v>0.1</v>
      </c>
      <c r="Q1889" s="397">
        <v>6.4000000000000001E-2</v>
      </c>
      <c r="R1889" s="398">
        <v>2.2999999999996135E-2</v>
      </c>
      <c r="S1889" s="120"/>
      <c r="T1889" s="395">
        <v>0.11899999999999614</v>
      </c>
      <c r="U1889" s="397">
        <v>-26.62</v>
      </c>
      <c r="V1889" s="396">
        <v>60.23</v>
      </c>
      <c r="W1889" s="396"/>
      <c r="X1889" s="400"/>
      <c r="Y1889" s="120"/>
      <c r="Z1889" s="120"/>
    </row>
    <row r="1890" spans="3:26" ht="17">
      <c r="C1890" s="90"/>
      <c r="D1890" s="543" t="s">
        <v>433</v>
      </c>
      <c r="E1890" s="1341"/>
      <c r="F1890" s="1339"/>
      <c r="G1890" s="1340"/>
      <c r="H1890" s="907" t="s">
        <v>795</v>
      </c>
      <c r="I1890" s="1297"/>
      <c r="J1890" s="1297"/>
      <c r="K1890" s="1298"/>
      <c r="L1890" s="908"/>
      <c r="M1890" s="377"/>
      <c r="N1890" s="162"/>
      <c r="O1890" s="162"/>
      <c r="P1890" s="162"/>
      <c r="Q1890" s="162"/>
      <c r="R1890" s="401"/>
      <c r="S1890" s="148"/>
      <c r="T1890" s="162"/>
      <c r="U1890" s="162"/>
      <c r="V1890" s="162"/>
      <c r="W1890" s="162"/>
      <c r="X1890" s="148"/>
      <c r="Y1890" s="124"/>
      <c r="Z1890" s="124"/>
    </row>
    <row r="1891" spans="3:26" ht="17">
      <c r="C1891" s="90"/>
      <c r="D1891" s="543" t="s">
        <v>434</v>
      </c>
      <c r="E1891" s="1341">
        <v>49.7</v>
      </c>
      <c r="F1891" s="1339"/>
      <c r="G1891" s="1340"/>
      <c r="H1891" s="907"/>
      <c r="I1891" s="1297"/>
      <c r="J1891" s="1297"/>
      <c r="K1891" s="1298"/>
      <c r="L1891" s="908"/>
      <c r="M1891" s="377"/>
      <c r="N1891" s="162"/>
      <c r="O1891" s="402" t="s">
        <v>811</v>
      </c>
      <c r="P1891" s="403">
        <v>0.05</v>
      </c>
      <c r="Q1891" s="404">
        <v>6.8699999999999997E-2</v>
      </c>
      <c r="R1891" s="405">
        <v>9.9000000000000005E-2</v>
      </c>
      <c r="S1891" s="431">
        <v>2</v>
      </c>
      <c r="T1891" s="402">
        <v>0.20205000000000001</v>
      </c>
      <c r="U1891" s="407">
        <v>-22.599037815126788</v>
      </c>
      <c r="V1891" s="408">
        <v>30.25</v>
      </c>
      <c r="W1891" s="432">
        <v>4.95</v>
      </c>
      <c r="X1891" s="410">
        <v>111.8652371848776</v>
      </c>
      <c r="Y1891" s="134"/>
      <c r="Z1891" s="134"/>
    </row>
    <row r="1892" spans="3:26" ht="18" thickBot="1">
      <c r="C1892" s="90"/>
      <c r="D1892" s="544" t="s">
        <v>435</v>
      </c>
      <c r="E1892" s="1313">
        <v>0.61458333333333337</v>
      </c>
      <c r="F1892" s="1314"/>
      <c r="G1892" s="1315"/>
      <c r="H1892" s="909">
        <v>0.40625</v>
      </c>
      <c r="I1892" s="1297"/>
      <c r="J1892" s="1297"/>
      <c r="K1892" s="1298"/>
      <c r="L1892" s="910">
        <v>0.84375</v>
      </c>
      <c r="M1892" s="379">
        <v>0.69791666666666663</v>
      </c>
      <c r="N1892" s="162"/>
      <c r="O1892" s="411" t="s">
        <v>812</v>
      </c>
      <c r="P1892" s="412">
        <v>0.05</v>
      </c>
      <c r="Q1892" s="413">
        <v>1.0599999999999998E-2</v>
      </c>
      <c r="R1892" s="414">
        <v>9.9000000000000005E-2</v>
      </c>
      <c r="S1892" s="433">
        <v>2</v>
      </c>
      <c r="T1892" s="416">
        <v>0.1149</v>
      </c>
      <c r="U1892" s="417">
        <v>-25.702840336135289</v>
      </c>
      <c r="V1892" s="418">
        <v>30.25</v>
      </c>
      <c r="W1892" s="434">
        <v>4.9249999999999998</v>
      </c>
      <c r="X1892" s="420">
        <v>126.5864886554663</v>
      </c>
      <c r="Y1892" s="144"/>
      <c r="Z1892" s="144"/>
    </row>
    <row r="1893" spans="3:26" ht="18" thickBot="1">
      <c r="C1893" s="90"/>
      <c r="D1893" s="545" t="s">
        <v>436</v>
      </c>
      <c r="E1893" s="380" t="s">
        <v>29</v>
      </c>
      <c r="F1893" s="380" t="s">
        <v>28</v>
      </c>
      <c r="G1893" s="381" t="s">
        <v>27</v>
      </c>
      <c r="H1893" s="911" t="s">
        <v>793</v>
      </c>
      <c r="I1893" s="1297"/>
      <c r="J1893" s="1297"/>
      <c r="K1893" s="1298"/>
      <c r="L1893" s="912" t="s">
        <v>1246</v>
      </c>
      <c r="M1893" s="382"/>
      <c r="N1893" s="162"/>
      <c r="O1893" s="148"/>
      <c r="P1893" s="124"/>
      <c r="Q1893" s="148"/>
      <c r="R1893" s="148"/>
      <c r="S1893" s="435"/>
      <c r="T1893" s="148"/>
      <c r="U1893" s="421"/>
      <c r="V1893" s="422"/>
      <c r="W1893" s="186"/>
      <c r="X1893" s="421"/>
      <c r="Y1893" s="124"/>
      <c r="Z1893" s="124"/>
    </row>
    <row r="1894" spans="3:26" ht="17">
      <c r="C1894" s="90"/>
      <c r="D1894" s="546">
        <v>45642</v>
      </c>
      <c r="E1894" s="387">
        <v>48.3</v>
      </c>
      <c r="F1894" s="387" t="s">
        <v>440</v>
      </c>
      <c r="G1894" s="387">
        <v>49.7</v>
      </c>
      <c r="H1894" s="913">
        <v>0.61458333333333337</v>
      </c>
      <c r="I1894" s="1297"/>
      <c r="J1894" s="1297"/>
      <c r="K1894" s="1298"/>
      <c r="L1894" s="914">
        <v>0.84375</v>
      </c>
      <c r="M1894" s="384"/>
      <c r="N1894" s="162"/>
      <c r="O1894" s="148"/>
      <c r="P1894" s="124"/>
      <c r="Q1894" s="148"/>
      <c r="R1894" s="148"/>
      <c r="S1894" s="435"/>
      <c r="T1894" s="148"/>
      <c r="U1894" s="148"/>
      <c r="V1894" s="148"/>
      <c r="W1894" s="186"/>
      <c r="X1894" s="148"/>
      <c r="Y1894" s="124"/>
      <c r="Z1894" s="124"/>
    </row>
    <row r="1895" spans="3:26" ht="17">
      <c r="C1895" s="90"/>
      <c r="D1895" s="546">
        <v>45628</v>
      </c>
      <c r="E1895" s="387">
        <v>49.7</v>
      </c>
      <c r="F1895" s="387" t="s">
        <v>510</v>
      </c>
      <c r="G1895" s="387">
        <v>48.5</v>
      </c>
      <c r="H1895" s="913">
        <v>0.61458333333333337</v>
      </c>
      <c r="I1895" s="1297"/>
      <c r="J1895" s="1297"/>
      <c r="K1895" s="1298"/>
      <c r="L1895" s="914">
        <v>0.84375</v>
      </c>
      <c r="M1895" s="385"/>
      <c r="N1895" s="162"/>
      <c r="O1895" s="395" t="s">
        <v>813</v>
      </c>
      <c r="P1895" s="436">
        <v>0.02</v>
      </c>
      <c r="Q1895" s="423">
        <v>1.0599999999999998E-2</v>
      </c>
      <c r="R1895" s="424">
        <v>9.9000000000000005E-2</v>
      </c>
      <c r="S1895" s="437">
        <v>2</v>
      </c>
      <c r="T1895" s="438">
        <v>0.1149</v>
      </c>
      <c r="U1895" s="425">
        <v>-10.281136134454115</v>
      </c>
      <c r="V1895" s="426">
        <v>12.1</v>
      </c>
      <c r="W1895" s="439">
        <v>2</v>
      </c>
      <c r="X1895" s="400">
        <v>20.562272268908231</v>
      </c>
      <c r="Y1895" s="154"/>
      <c r="Z1895" s="154"/>
    </row>
    <row r="1896" spans="3:26" ht="17">
      <c r="C1896" s="90"/>
      <c r="D1896" s="546">
        <v>45618</v>
      </c>
      <c r="E1896" s="387">
        <v>48.8</v>
      </c>
      <c r="F1896" s="387" t="s">
        <v>510</v>
      </c>
      <c r="G1896" s="387">
        <v>48.5</v>
      </c>
      <c r="H1896" s="913">
        <v>0.61458333333333337</v>
      </c>
      <c r="I1896" s="1297"/>
      <c r="J1896" s="1297"/>
      <c r="K1896" s="1298"/>
      <c r="L1896" s="914">
        <v>0.84375</v>
      </c>
      <c r="M1896" s="377"/>
      <c r="N1896" s="162"/>
      <c r="O1896" s="395" t="s">
        <v>813</v>
      </c>
      <c r="P1896" s="436">
        <v>0.02</v>
      </c>
      <c r="Q1896" s="423">
        <v>1.0599999999999998E-2</v>
      </c>
      <c r="R1896" s="424">
        <v>9.9000000000000005E-2</v>
      </c>
      <c r="S1896" s="437">
        <v>2</v>
      </c>
      <c r="T1896" s="438">
        <v>0.1149</v>
      </c>
      <c r="U1896" s="425">
        <v>-10.281136134454115</v>
      </c>
      <c r="V1896" s="426">
        <v>12.1</v>
      </c>
      <c r="W1896" s="439">
        <v>2</v>
      </c>
      <c r="X1896" s="400">
        <v>20.562272268908231</v>
      </c>
      <c r="Y1896" s="154"/>
      <c r="Z1896" s="154"/>
    </row>
    <row r="1897" spans="3:26" ht="17">
      <c r="C1897" s="90"/>
      <c r="D1897" s="546">
        <v>45597</v>
      </c>
      <c r="E1897" s="387">
        <v>48.5</v>
      </c>
      <c r="F1897" s="387" t="s">
        <v>1054</v>
      </c>
      <c r="G1897" s="387">
        <v>47.8</v>
      </c>
      <c r="H1897" s="913">
        <v>0.57291666666666674</v>
      </c>
      <c r="I1897" s="1297"/>
      <c r="J1897" s="1297"/>
      <c r="K1897" s="1298"/>
      <c r="L1897" s="914">
        <v>0.80208333333333337</v>
      </c>
      <c r="M1897" s="377"/>
      <c r="N1897" s="162"/>
      <c r="O1897" s="395"/>
      <c r="P1897" s="427"/>
      <c r="Q1897" s="423"/>
      <c r="R1897" s="424"/>
      <c r="S1897" s="120"/>
      <c r="T1897" s="427"/>
      <c r="U1897" s="425"/>
      <c r="V1897" s="426"/>
      <c r="W1897" s="120"/>
      <c r="X1897" s="400"/>
      <c r="Y1897" s="154"/>
      <c r="Z1897" s="154"/>
    </row>
    <row r="1898" spans="3:26" ht="17">
      <c r="C1898" s="90"/>
      <c r="D1898" s="546">
        <v>45589</v>
      </c>
      <c r="E1898" s="387">
        <v>47.8</v>
      </c>
      <c r="F1898" s="387" t="s">
        <v>509</v>
      </c>
      <c r="G1898" s="387">
        <v>47.3</v>
      </c>
      <c r="H1898" s="913">
        <v>0.57291666666666674</v>
      </c>
      <c r="I1898" s="1297"/>
      <c r="J1898" s="1297"/>
      <c r="K1898" s="1298"/>
      <c r="L1898" s="914">
        <v>0.80208333333333337</v>
      </c>
      <c r="M1898" s="377"/>
      <c r="N1898" s="162"/>
      <c r="O1898" s="89"/>
      <c r="P1898" s="89"/>
      <c r="Q1898" s="89"/>
      <c r="R1898" s="89"/>
      <c r="S1898" s="89"/>
      <c r="T1898" s="89"/>
      <c r="U1898" s="89"/>
      <c r="V1898" s="89"/>
      <c r="W1898" s="89"/>
      <c r="X1898" s="89"/>
      <c r="Y1898" s="89"/>
      <c r="Z1898" s="89"/>
    </row>
    <row r="1899" spans="3:26" ht="18" thickBot="1">
      <c r="C1899" s="90"/>
      <c r="D1899" s="546">
        <v>45566</v>
      </c>
      <c r="E1899" s="387">
        <v>47.3</v>
      </c>
      <c r="F1899" s="387" t="s">
        <v>758</v>
      </c>
      <c r="G1899" s="387">
        <v>47.9</v>
      </c>
      <c r="H1899" s="913">
        <v>0.57291666666666674</v>
      </c>
      <c r="I1899" s="1299"/>
      <c r="J1899" s="1299"/>
      <c r="K1899" s="1300"/>
      <c r="L1899" s="914">
        <v>0.80208333333333337</v>
      </c>
      <c r="M1899" s="386"/>
      <c r="N1899" s="162"/>
      <c r="O1899" s="89"/>
      <c r="P1899" s="89"/>
      <c r="Q1899" s="89"/>
      <c r="R1899" s="89"/>
      <c r="S1899" s="89"/>
      <c r="T1899" s="89"/>
      <c r="U1899" s="89"/>
      <c r="V1899" s="89"/>
      <c r="W1899" s="89"/>
      <c r="X1899" s="89"/>
      <c r="Y1899" s="89"/>
      <c r="Z1899" s="89"/>
    </row>
    <row r="1900" spans="3:26" ht="18" thickBot="1">
      <c r="C1900" s="90">
        <v>9</v>
      </c>
      <c r="D1900" s="541" t="s">
        <v>30</v>
      </c>
      <c r="E1900" s="1358" t="e">
        <v>#REF!</v>
      </c>
      <c r="F1900" s="1359"/>
      <c r="G1900" s="1360"/>
      <c r="H1900" s="904" t="s">
        <v>790</v>
      </c>
      <c r="I1900" s="1293" t="s">
        <v>633</v>
      </c>
      <c r="J1900" s="1293"/>
      <c r="K1900" s="1294"/>
      <c r="L1900" s="906" t="s">
        <v>430</v>
      </c>
      <c r="M1900" s="375" t="s">
        <v>431</v>
      </c>
      <c r="N1900" s="162" t="s">
        <v>105</v>
      </c>
      <c r="O1900" s="114" t="s">
        <v>800</v>
      </c>
      <c r="P1900" s="114" t="s">
        <v>801</v>
      </c>
      <c r="Q1900" s="114" t="s">
        <v>802</v>
      </c>
      <c r="R1900" s="114" t="s">
        <v>803</v>
      </c>
      <c r="S1900" s="114" t="s">
        <v>804</v>
      </c>
      <c r="T1900" s="114" t="s">
        <v>805</v>
      </c>
      <c r="U1900" s="114" t="s">
        <v>806</v>
      </c>
      <c r="V1900" s="114" t="s">
        <v>807</v>
      </c>
      <c r="W1900" s="114" t="s">
        <v>808</v>
      </c>
      <c r="X1900" s="114" t="s">
        <v>809</v>
      </c>
      <c r="Y1900" s="114" t="s">
        <v>75</v>
      </c>
      <c r="Z1900" s="114" t="s">
        <v>75</v>
      </c>
    </row>
    <row r="1901" spans="3:26" ht="17">
      <c r="C1901" s="162"/>
      <c r="D1901" s="542" t="s">
        <v>432</v>
      </c>
      <c r="E1901" s="1307"/>
      <c r="F1901" s="1308"/>
      <c r="G1901" s="1309"/>
      <c r="H1901" s="907" t="s">
        <v>794</v>
      </c>
      <c r="I1901" s="1295" t="e">
        <v>#REF!</v>
      </c>
      <c r="J1901" s="1295"/>
      <c r="K1901" s="1296"/>
      <c r="L1901" s="908"/>
      <c r="M1901" s="377"/>
      <c r="N1901" s="162"/>
      <c r="O1901" s="395" t="s">
        <v>810</v>
      </c>
      <c r="P1901" s="396">
        <v>0.1</v>
      </c>
      <c r="Q1901" s="397">
        <v>3.9E-2</v>
      </c>
      <c r="R1901" s="398">
        <v>1.7000000000024329E-2</v>
      </c>
      <c r="S1901" s="120"/>
      <c r="T1901" s="395">
        <v>7.5500000000024325E-2</v>
      </c>
      <c r="U1901" s="397">
        <v>-17.670000000000002</v>
      </c>
      <c r="V1901" s="396">
        <v>60.23</v>
      </c>
      <c r="W1901" s="396"/>
      <c r="X1901" s="400"/>
      <c r="Y1901" s="120"/>
      <c r="Z1901" s="120"/>
    </row>
    <row r="1902" spans="3:26" ht="17">
      <c r="C1902" s="162"/>
      <c r="D1902" s="543" t="s">
        <v>433</v>
      </c>
      <c r="E1902" s="1341" t="e">
        <v>#REF!</v>
      </c>
      <c r="F1902" s="1339"/>
      <c r="G1902" s="1340"/>
      <c r="H1902" s="907" t="s">
        <v>795</v>
      </c>
      <c r="I1902" s="1297"/>
      <c r="J1902" s="1297"/>
      <c r="K1902" s="1298"/>
      <c r="L1902" s="908"/>
      <c r="M1902" s="377"/>
      <c r="N1902" s="162"/>
      <c r="O1902" s="162"/>
      <c r="P1902" s="162"/>
      <c r="Q1902" s="162"/>
      <c r="R1902" s="401"/>
      <c r="S1902" s="148"/>
      <c r="T1902" s="162"/>
      <c r="U1902" s="162"/>
      <c r="V1902" s="162"/>
      <c r="W1902" s="162"/>
      <c r="X1902" s="148"/>
      <c r="Y1902" s="124"/>
      <c r="Z1902" s="124"/>
    </row>
    <row r="1903" spans="3:26" ht="17">
      <c r="C1903" s="162"/>
      <c r="D1903" s="543" t="s">
        <v>434</v>
      </c>
      <c r="E1903" s="1341" t="e">
        <v>#REF!</v>
      </c>
      <c r="F1903" s="1339"/>
      <c r="G1903" s="1340"/>
      <c r="H1903" s="907"/>
      <c r="I1903" s="1297"/>
      <c r="J1903" s="1297"/>
      <c r="K1903" s="1298"/>
      <c r="L1903" s="908"/>
      <c r="M1903" s="377"/>
      <c r="N1903" s="162"/>
      <c r="O1903" s="402" t="s">
        <v>811</v>
      </c>
      <c r="P1903" s="403">
        <v>0.1</v>
      </c>
      <c r="Q1903" s="404">
        <v>3.9100000000000003E-2</v>
      </c>
      <c r="R1903" s="405">
        <v>1.4E-2</v>
      </c>
      <c r="S1903" s="431">
        <v>1</v>
      </c>
      <c r="T1903" s="402">
        <v>7.2650000000000006E-2</v>
      </c>
      <c r="U1903" s="407">
        <v>-17.002986754961412</v>
      </c>
      <c r="V1903" s="408">
        <v>60.5</v>
      </c>
      <c r="W1903" s="432">
        <v>4.29</v>
      </c>
      <c r="X1903" s="410">
        <v>72.942813178784462</v>
      </c>
      <c r="Y1903" s="134"/>
      <c r="Z1903" s="134"/>
    </row>
    <row r="1904" spans="3:26" ht="18" thickBot="1">
      <c r="C1904" s="162"/>
      <c r="D1904" s="544" t="s">
        <v>435</v>
      </c>
      <c r="E1904" s="1313" t="e">
        <v>#REF!</v>
      </c>
      <c r="F1904" s="1314"/>
      <c r="G1904" s="1315"/>
      <c r="H1904" s="909"/>
      <c r="I1904" s="1297"/>
      <c r="J1904" s="1297"/>
      <c r="K1904" s="1298"/>
      <c r="L1904" s="910" t="e">
        <v>#REF!</v>
      </c>
      <c r="M1904" s="379" t="e">
        <v>#REF!</v>
      </c>
      <c r="N1904" s="162"/>
      <c r="O1904" s="411" t="s">
        <v>812</v>
      </c>
      <c r="P1904" s="412">
        <v>0.1</v>
      </c>
      <c r="Q1904" s="413">
        <v>4.9933333333333337E-2</v>
      </c>
      <c r="R1904" s="414">
        <v>1.4E-2</v>
      </c>
      <c r="S1904" s="433">
        <v>1</v>
      </c>
      <c r="T1904" s="416">
        <v>8.8900000000000007E-2</v>
      </c>
      <c r="U1904" s="417">
        <v>-20.806132450324426</v>
      </c>
      <c r="V1904" s="418">
        <v>60.5</v>
      </c>
      <c r="W1904" s="434">
        <v>4.9249999999999998</v>
      </c>
      <c r="X1904" s="420">
        <v>102.47020231784779</v>
      </c>
      <c r="Y1904" s="144"/>
      <c r="Z1904" s="144"/>
    </row>
    <row r="1905" spans="3:26" ht="18" thickBot="1">
      <c r="C1905" s="162"/>
      <c r="D1905" s="545" t="s">
        <v>436</v>
      </c>
      <c r="E1905" s="380" t="s">
        <v>29</v>
      </c>
      <c r="F1905" s="380" t="s">
        <v>28</v>
      </c>
      <c r="G1905" s="381" t="s">
        <v>27</v>
      </c>
      <c r="H1905" s="911" t="s">
        <v>793</v>
      </c>
      <c r="I1905" s="1297"/>
      <c r="J1905" s="1297"/>
      <c r="K1905" s="1298"/>
      <c r="L1905" s="912" t="s">
        <v>1246</v>
      </c>
      <c r="M1905" s="382"/>
      <c r="N1905" s="162"/>
      <c r="O1905" s="148"/>
      <c r="P1905" s="124"/>
      <c r="Q1905" s="148"/>
      <c r="R1905" s="148"/>
      <c r="S1905" s="435"/>
      <c r="T1905" s="148"/>
      <c r="U1905" s="421"/>
      <c r="V1905" s="422"/>
      <c r="W1905" s="186"/>
      <c r="X1905" s="421"/>
      <c r="Y1905" s="124"/>
      <c r="Z1905" s="124"/>
    </row>
    <row r="1906" spans="3:26" ht="17">
      <c r="C1906" s="162"/>
      <c r="D1906" s="546">
        <v>45601</v>
      </c>
      <c r="E1906" s="440">
        <v>4.3470000000000002E-2</v>
      </c>
      <c r="F1906" s="440" t="s">
        <v>754</v>
      </c>
      <c r="G1906" s="440">
        <v>4.0660000000000002E-2</v>
      </c>
      <c r="H1906" s="913">
        <v>0.75</v>
      </c>
      <c r="I1906" s="1297"/>
      <c r="J1906" s="1297"/>
      <c r="K1906" s="1298"/>
      <c r="L1906" s="914">
        <v>0.84375</v>
      </c>
      <c r="M1906" s="384"/>
      <c r="N1906" s="162"/>
      <c r="O1906" s="148"/>
      <c r="P1906" s="124"/>
      <c r="Q1906" s="148"/>
      <c r="R1906" s="148"/>
      <c r="S1906" s="435"/>
      <c r="T1906" s="148"/>
      <c r="U1906" s="148"/>
      <c r="V1906" s="148"/>
      <c r="W1906" s="186"/>
      <c r="X1906" s="148"/>
      <c r="Y1906" s="124"/>
      <c r="Z1906" s="124"/>
    </row>
    <row r="1907" spans="3:26" ht="17">
      <c r="C1907" s="162"/>
      <c r="D1907" s="546">
        <v>45574</v>
      </c>
      <c r="E1907" s="440">
        <v>4.0660000000000002E-2</v>
      </c>
      <c r="F1907" s="440" t="s">
        <v>754</v>
      </c>
      <c r="G1907" s="440">
        <v>3.6479999999999999E-2</v>
      </c>
      <c r="H1907" s="913">
        <v>0.70833333333333337</v>
      </c>
      <c r="I1907" s="1297"/>
      <c r="J1907" s="1297"/>
      <c r="K1907" s="1298"/>
      <c r="L1907" s="914">
        <v>0.84375</v>
      </c>
      <c r="M1907" s="385"/>
      <c r="N1907" s="162"/>
      <c r="O1907" s="395" t="s">
        <v>813</v>
      </c>
      <c r="P1907" s="437">
        <v>0.1</v>
      </c>
      <c r="Q1907" s="423">
        <v>4.9933333333333337E-2</v>
      </c>
      <c r="R1907" s="424">
        <v>1.4E-2</v>
      </c>
      <c r="S1907" s="437">
        <v>1</v>
      </c>
      <c r="T1907" s="438">
        <v>8.8900000000000007E-2</v>
      </c>
      <c r="U1907" s="425">
        <v>-20.806132450324426</v>
      </c>
      <c r="V1907" s="426">
        <v>60.5</v>
      </c>
      <c r="W1907" s="439">
        <v>2</v>
      </c>
      <c r="X1907" s="400">
        <v>41.612264900648853</v>
      </c>
      <c r="Y1907" s="154"/>
      <c r="Z1907" s="154"/>
    </row>
    <row r="1908" spans="3:26" ht="17">
      <c r="C1908" s="162"/>
      <c r="D1908" s="546">
        <v>45546</v>
      </c>
      <c r="E1908" s="440">
        <v>3.6479999999999999E-2</v>
      </c>
      <c r="F1908" s="440" t="s">
        <v>754</v>
      </c>
      <c r="G1908" s="440">
        <v>3.9600000000000003E-2</v>
      </c>
      <c r="H1908" s="913">
        <v>0.70833333333333337</v>
      </c>
      <c r="I1908" s="1297"/>
      <c r="J1908" s="1297"/>
      <c r="K1908" s="1298"/>
      <c r="L1908" s="914">
        <v>0.80208333333333337</v>
      </c>
      <c r="M1908" s="377"/>
      <c r="N1908" s="162"/>
      <c r="O1908" s="395" t="s">
        <v>813</v>
      </c>
      <c r="P1908" s="437">
        <v>0.1</v>
      </c>
      <c r="Q1908" s="423">
        <v>4.9933333333333337E-2</v>
      </c>
      <c r="R1908" s="424">
        <v>1.4E-2</v>
      </c>
      <c r="S1908" s="437">
        <v>1</v>
      </c>
      <c r="T1908" s="438">
        <v>8.8900000000000007E-2</v>
      </c>
      <c r="U1908" s="425">
        <v>-20.806132450324426</v>
      </c>
      <c r="V1908" s="426">
        <v>60.5</v>
      </c>
      <c r="W1908" s="439">
        <v>2</v>
      </c>
      <c r="X1908" s="400">
        <v>41.612264900648853</v>
      </c>
      <c r="Y1908" s="154"/>
      <c r="Z1908" s="154"/>
    </row>
    <row r="1909" spans="3:26" ht="17">
      <c r="C1909" s="162"/>
      <c r="D1909" s="546">
        <v>45511</v>
      </c>
      <c r="E1909" s="440">
        <v>3.9600000000000003E-2</v>
      </c>
      <c r="F1909" s="440" t="s">
        <v>754</v>
      </c>
      <c r="G1909" s="440">
        <v>4.2759999999999999E-2</v>
      </c>
      <c r="H1909" s="913">
        <v>0.70833333333333337</v>
      </c>
      <c r="I1909" s="1297"/>
      <c r="J1909" s="1297"/>
      <c r="K1909" s="1298"/>
      <c r="L1909" s="914">
        <v>0.80208333333333337</v>
      </c>
      <c r="M1909" s="377"/>
      <c r="N1909" s="162"/>
      <c r="O1909" s="395"/>
      <c r="P1909" s="427"/>
      <c r="Q1909" s="423"/>
      <c r="R1909" s="424"/>
      <c r="S1909" s="120"/>
      <c r="T1909" s="427"/>
      <c r="U1909" s="425"/>
      <c r="V1909" s="426"/>
      <c r="W1909" s="120"/>
      <c r="X1909" s="400"/>
      <c r="Y1909" s="154"/>
      <c r="Z1909" s="154"/>
    </row>
    <row r="1910" spans="3:26" ht="17">
      <c r="C1910" s="162"/>
      <c r="D1910" s="546">
        <v>45483</v>
      </c>
      <c r="E1910" s="440">
        <v>4.2759999999999999E-2</v>
      </c>
      <c r="F1910" s="440" t="s">
        <v>754</v>
      </c>
      <c r="G1910" s="440">
        <v>4.4380000000000003E-2</v>
      </c>
      <c r="H1910" s="913">
        <v>0.70833333333333337</v>
      </c>
      <c r="I1910" s="1297"/>
      <c r="J1910" s="1297"/>
      <c r="K1910" s="1298"/>
      <c r="L1910" s="914">
        <v>0</v>
      </c>
      <c r="M1910" s="377"/>
      <c r="N1910" s="162"/>
      <c r="O1910" s="89"/>
      <c r="P1910" s="89"/>
      <c r="Q1910" s="89"/>
      <c r="R1910" s="89"/>
      <c r="S1910" s="89"/>
      <c r="T1910" s="89"/>
      <c r="U1910" s="89"/>
      <c r="V1910" s="89"/>
      <c r="W1910" s="89"/>
      <c r="X1910" s="89"/>
      <c r="Y1910" s="89"/>
      <c r="Z1910" s="89"/>
    </row>
    <row r="1911" spans="3:26" ht="18" thickBot="1">
      <c r="C1911" s="162"/>
      <c r="D1911" s="546">
        <v>45454</v>
      </c>
      <c r="E1911" s="440">
        <v>4.4380000000000003E-2</v>
      </c>
      <c r="F1911" s="440" t="s">
        <v>754</v>
      </c>
      <c r="G1911" s="440">
        <v>4.4830000000000002E-2</v>
      </c>
      <c r="H1911" s="913">
        <v>0.70833333333333337</v>
      </c>
      <c r="I1911" s="1299"/>
      <c r="J1911" s="1299"/>
      <c r="K1911" s="1300"/>
      <c r="L1911" s="915">
        <v>0</v>
      </c>
      <c r="M1911" s="386"/>
      <c r="N1911" s="162"/>
      <c r="O1911" s="89"/>
      <c r="P1911" s="89"/>
      <c r="Q1911" s="89"/>
      <c r="R1911" s="89"/>
      <c r="S1911" s="89"/>
      <c r="T1911" s="89"/>
      <c r="U1911" s="89"/>
      <c r="V1911" s="89"/>
      <c r="W1911" s="89"/>
      <c r="X1911" s="89"/>
      <c r="Y1911" s="89"/>
      <c r="Z1911" s="89"/>
    </row>
    <row r="1912" spans="3:26" ht="18" thickBot="1">
      <c r="C1912" s="90">
        <v>10</v>
      </c>
      <c r="D1912" s="541" t="s">
        <v>30</v>
      </c>
      <c r="E1912" s="1358" t="s">
        <v>1330</v>
      </c>
      <c r="F1912" s="1359"/>
      <c r="G1912" s="1360"/>
      <c r="H1912" s="904" t="s">
        <v>790</v>
      </c>
      <c r="I1912" s="1293" t="s">
        <v>633</v>
      </c>
      <c r="J1912" s="1293"/>
      <c r="K1912" s="1294"/>
      <c r="L1912" s="906" t="s">
        <v>430</v>
      </c>
      <c r="M1912" s="375" t="s">
        <v>431</v>
      </c>
      <c r="N1912" s="162" t="s">
        <v>105</v>
      </c>
      <c r="O1912" s="114" t="s">
        <v>800</v>
      </c>
      <c r="P1912" s="114" t="s">
        <v>801</v>
      </c>
      <c r="Q1912" s="114" t="s">
        <v>802</v>
      </c>
      <c r="R1912" s="114" t="s">
        <v>803</v>
      </c>
      <c r="S1912" s="114" t="s">
        <v>804</v>
      </c>
      <c r="T1912" s="114" t="s">
        <v>805</v>
      </c>
      <c r="U1912" s="114" t="s">
        <v>806</v>
      </c>
      <c r="V1912" s="114" t="s">
        <v>807</v>
      </c>
      <c r="W1912" s="114" t="s">
        <v>808</v>
      </c>
      <c r="X1912" s="114" t="s">
        <v>809</v>
      </c>
      <c r="Y1912" s="114" t="s">
        <v>75</v>
      </c>
      <c r="Z1912" s="114" t="s">
        <v>75</v>
      </c>
    </row>
    <row r="1913" spans="3:26" ht="17">
      <c r="C1913" s="162"/>
      <c r="D1913" s="542" t="s">
        <v>432</v>
      </c>
      <c r="E1913" s="1307"/>
      <c r="F1913" s="1308"/>
      <c r="G1913" s="1309"/>
      <c r="H1913" s="907" t="s">
        <v>794</v>
      </c>
      <c r="I1913" s="1295" t="s">
        <v>1331</v>
      </c>
      <c r="J1913" s="1295"/>
      <c r="K1913" s="1296"/>
      <c r="L1913" s="908"/>
      <c r="M1913" s="376" t="s">
        <v>1330</v>
      </c>
      <c r="N1913" s="162"/>
      <c r="O1913" s="395" t="s">
        <v>810</v>
      </c>
      <c r="P1913" s="396">
        <v>0.1</v>
      </c>
      <c r="Q1913" s="397">
        <v>6.4000000000000001E-2</v>
      </c>
      <c r="R1913" s="398">
        <v>2.2999999999996135E-2</v>
      </c>
      <c r="S1913" s="120"/>
      <c r="T1913" s="395">
        <v>0.11899999999999614</v>
      </c>
      <c r="U1913" s="397">
        <v>-26.62</v>
      </c>
      <c r="V1913" s="396">
        <v>60.23</v>
      </c>
      <c r="W1913" s="396"/>
      <c r="X1913" s="400"/>
      <c r="Y1913" s="120"/>
      <c r="Z1913" s="120"/>
    </row>
    <row r="1914" spans="3:26" ht="17">
      <c r="C1914" s="162"/>
      <c r="D1914" s="543" t="s">
        <v>433</v>
      </c>
      <c r="E1914" s="1341"/>
      <c r="F1914" s="1339"/>
      <c r="G1914" s="1340"/>
      <c r="H1914" s="907" t="s">
        <v>795</v>
      </c>
      <c r="I1914" s="1297"/>
      <c r="J1914" s="1297"/>
      <c r="K1914" s="1298"/>
      <c r="L1914" s="908"/>
      <c r="M1914" s="377"/>
      <c r="N1914" s="162"/>
      <c r="O1914" s="162"/>
      <c r="P1914" s="162"/>
      <c r="Q1914" s="162"/>
      <c r="R1914" s="401"/>
      <c r="S1914" s="148"/>
      <c r="T1914" s="162"/>
      <c r="U1914" s="162"/>
      <c r="V1914" s="162"/>
      <c r="W1914" s="162"/>
      <c r="X1914" s="148"/>
      <c r="Y1914" s="124"/>
      <c r="Z1914" s="124"/>
    </row>
    <row r="1915" spans="3:26" ht="17">
      <c r="C1915" s="162"/>
      <c r="D1915" s="543" t="s">
        <v>434</v>
      </c>
      <c r="E1915" s="1341">
        <v>48.4</v>
      </c>
      <c r="F1915" s="1339"/>
      <c r="G1915" s="1340"/>
      <c r="H1915" s="907"/>
      <c r="I1915" s="1297"/>
      <c r="J1915" s="1297"/>
      <c r="K1915" s="1298"/>
      <c r="L1915" s="908"/>
      <c r="M1915" s="377"/>
      <c r="N1915" s="162"/>
      <c r="O1915" s="402" t="s">
        <v>811</v>
      </c>
      <c r="P1915" s="403">
        <v>0.04</v>
      </c>
      <c r="Q1915" s="404">
        <v>6.8699999999999997E-2</v>
      </c>
      <c r="R1915" s="405">
        <v>0.02</v>
      </c>
      <c r="S1915" s="431">
        <v>1</v>
      </c>
      <c r="T1915" s="402">
        <v>0.12305000000000001</v>
      </c>
      <c r="U1915" s="407">
        <v>-11.010389915966744</v>
      </c>
      <c r="V1915" s="408">
        <v>24.2</v>
      </c>
      <c r="W1915" s="432">
        <v>4.95</v>
      </c>
      <c r="X1915" s="410">
        <v>54.501430084035384</v>
      </c>
      <c r="Y1915" s="134"/>
      <c r="Z1915" s="134"/>
    </row>
    <row r="1916" spans="3:26" ht="18" thickBot="1">
      <c r="C1916" s="162"/>
      <c r="D1916" s="544" t="s">
        <v>435</v>
      </c>
      <c r="E1916" s="1313">
        <v>0.625</v>
      </c>
      <c r="F1916" s="1314"/>
      <c r="G1916" s="1315"/>
      <c r="H1916" s="909">
        <v>0.41666666666666663</v>
      </c>
      <c r="I1916" s="1297"/>
      <c r="J1916" s="1297"/>
      <c r="K1916" s="1298"/>
      <c r="L1916" s="910">
        <v>0.85416666666666663</v>
      </c>
      <c r="M1916" s="379">
        <v>0.70833333333333326</v>
      </c>
      <c r="N1916" s="162"/>
      <c r="O1916" s="411" t="s">
        <v>812</v>
      </c>
      <c r="P1916" s="412">
        <v>0.04</v>
      </c>
      <c r="Q1916" s="413">
        <v>6.8699999999999997E-2</v>
      </c>
      <c r="R1916" s="414">
        <v>0.02</v>
      </c>
      <c r="S1916" s="433">
        <v>1</v>
      </c>
      <c r="T1916" s="416">
        <v>0.12305000000000001</v>
      </c>
      <c r="U1916" s="417">
        <v>-11.010389915966744</v>
      </c>
      <c r="V1916" s="418">
        <v>24.2</v>
      </c>
      <c r="W1916" s="434">
        <v>2.12</v>
      </c>
      <c r="X1916" s="420">
        <v>23.342026621849499</v>
      </c>
      <c r="Y1916" s="144"/>
      <c r="Z1916" s="144"/>
    </row>
    <row r="1917" spans="3:26" ht="18" thickBot="1">
      <c r="C1917" s="162"/>
      <c r="D1917" s="545" t="s">
        <v>436</v>
      </c>
      <c r="E1917" s="380" t="s">
        <v>29</v>
      </c>
      <c r="F1917" s="380" t="s">
        <v>28</v>
      </c>
      <c r="G1917" s="381" t="s">
        <v>27</v>
      </c>
      <c r="H1917" s="911" t="s">
        <v>793</v>
      </c>
      <c r="I1917" s="1297"/>
      <c r="J1917" s="1297"/>
      <c r="K1917" s="1298"/>
      <c r="L1917" s="912" t="s">
        <v>1246</v>
      </c>
      <c r="M1917" s="382"/>
      <c r="N1917" s="162"/>
      <c r="O1917" s="148"/>
      <c r="P1917" s="124"/>
      <c r="Q1917" s="148"/>
      <c r="R1917" s="441"/>
      <c r="S1917" s="435"/>
      <c r="T1917" s="148"/>
      <c r="U1917" s="421"/>
      <c r="V1917" s="422"/>
      <c r="W1917" s="186"/>
      <c r="X1917" s="421"/>
      <c r="Y1917" s="124"/>
      <c r="Z1917" s="124"/>
    </row>
    <row r="1918" spans="3:26" ht="17">
      <c r="C1918" s="162"/>
      <c r="D1918" s="546">
        <v>45628</v>
      </c>
      <c r="E1918" s="387">
        <v>48.4</v>
      </c>
      <c r="F1918" s="387" t="s">
        <v>1341</v>
      </c>
      <c r="G1918" s="387">
        <v>46.5</v>
      </c>
      <c r="H1918" s="913">
        <v>0.625</v>
      </c>
      <c r="I1918" s="1297"/>
      <c r="J1918" s="1297"/>
      <c r="K1918" s="1298"/>
      <c r="L1918" s="914">
        <v>0.85416666666666663</v>
      </c>
      <c r="M1918" s="390"/>
      <c r="N1918" s="162"/>
      <c r="O1918" s="148"/>
      <c r="P1918" s="124"/>
      <c r="Q1918" s="148"/>
      <c r="R1918" s="148"/>
      <c r="S1918" s="435"/>
      <c r="T1918" s="148"/>
      <c r="U1918" s="148"/>
      <c r="V1918" s="148"/>
      <c r="W1918" s="186"/>
      <c r="X1918" s="148"/>
      <c r="Y1918" s="124"/>
      <c r="Z1918" s="124"/>
    </row>
    <row r="1919" spans="3:26" ht="17">
      <c r="C1919" s="162"/>
      <c r="D1919" s="546">
        <v>45597</v>
      </c>
      <c r="E1919" s="387">
        <v>46.5</v>
      </c>
      <c r="F1919" s="387" t="s">
        <v>901</v>
      </c>
      <c r="G1919" s="387">
        <v>47.2</v>
      </c>
      <c r="H1919" s="913">
        <v>0.58333333333333337</v>
      </c>
      <c r="I1919" s="1297"/>
      <c r="J1919" s="1297"/>
      <c r="K1919" s="1298"/>
      <c r="L1919" s="914">
        <v>0.8125</v>
      </c>
      <c r="M1919" s="390"/>
      <c r="N1919" s="162"/>
      <c r="O1919" s="395" t="s">
        <v>813</v>
      </c>
      <c r="P1919" s="442">
        <v>0.04</v>
      </c>
      <c r="Q1919" s="423">
        <v>6.8699999999999997E-2</v>
      </c>
      <c r="R1919" s="424">
        <v>0.02</v>
      </c>
      <c r="S1919" s="437">
        <v>1</v>
      </c>
      <c r="T1919" s="438">
        <v>0.12305000000000001</v>
      </c>
      <c r="U1919" s="425">
        <v>-11.010389915966744</v>
      </c>
      <c r="V1919" s="426">
        <v>24.2</v>
      </c>
      <c r="W1919" s="439">
        <v>2</v>
      </c>
      <c r="X1919" s="400">
        <v>22.020779831933488</v>
      </c>
      <c r="Y1919" s="154"/>
      <c r="Z1919" s="154"/>
    </row>
    <row r="1920" spans="3:26" ht="17">
      <c r="C1920" s="162"/>
      <c r="D1920" s="546">
        <v>45566</v>
      </c>
      <c r="E1920" s="387">
        <v>47.2</v>
      </c>
      <c r="F1920" s="387" t="s">
        <v>901</v>
      </c>
      <c r="G1920" s="387">
        <v>47.2</v>
      </c>
      <c r="H1920" s="913">
        <v>0.58333333333333337</v>
      </c>
      <c r="I1920" s="1297"/>
      <c r="J1920" s="1297"/>
      <c r="K1920" s="1298"/>
      <c r="L1920" s="914">
        <v>0.8125</v>
      </c>
      <c r="M1920" s="390"/>
      <c r="N1920" s="162"/>
      <c r="O1920" s="395" t="s">
        <v>813</v>
      </c>
      <c r="P1920" s="442">
        <v>0.04</v>
      </c>
      <c r="Q1920" s="423">
        <v>6.8699999999999997E-2</v>
      </c>
      <c r="R1920" s="424">
        <v>0.02</v>
      </c>
      <c r="S1920" s="437">
        <v>1</v>
      </c>
      <c r="T1920" s="438">
        <v>0.12305000000000001</v>
      </c>
      <c r="U1920" s="425">
        <v>-11.010389915966744</v>
      </c>
      <c r="V1920" s="426">
        <v>24.2</v>
      </c>
      <c r="W1920" s="439">
        <v>2</v>
      </c>
      <c r="X1920" s="400">
        <v>22.020779831933488</v>
      </c>
      <c r="Y1920" s="154"/>
      <c r="Z1920" s="154"/>
    </row>
    <row r="1921" spans="3:26" ht="17">
      <c r="C1921" s="162"/>
      <c r="D1921" s="546">
        <v>45538</v>
      </c>
      <c r="E1921" s="387">
        <v>47.2</v>
      </c>
      <c r="F1921" s="387" t="s">
        <v>509</v>
      </c>
      <c r="G1921" s="387">
        <v>46.8</v>
      </c>
      <c r="H1921" s="913">
        <v>0.58333333333333337</v>
      </c>
      <c r="I1921" s="1297"/>
      <c r="J1921" s="1297"/>
      <c r="K1921" s="1298"/>
      <c r="L1921" s="914">
        <v>0.8125</v>
      </c>
      <c r="M1921" s="390"/>
      <c r="N1921" s="162"/>
      <c r="O1921" s="395"/>
      <c r="P1921" s="427"/>
      <c r="Q1921" s="423"/>
      <c r="R1921" s="424"/>
      <c r="S1921" s="120"/>
      <c r="T1921" s="427"/>
      <c r="U1921" s="425"/>
      <c r="V1921" s="426"/>
      <c r="W1921" s="120"/>
      <c r="X1921" s="400"/>
      <c r="Y1921" s="154"/>
      <c r="Z1921" s="154"/>
    </row>
    <row r="1922" spans="3:26" ht="17">
      <c r="C1922" s="162"/>
      <c r="D1922" s="546">
        <v>45505</v>
      </c>
      <c r="E1922" s="387">
        <v>46.8</v>
      </c>
      <c r="F1922" s="387" t="s">
        <v>510</v>
      </c>
      <c r="G1922" s="387">
        <v>48.5</v>
      </c>
      <c r="H1922" s="913">
        <v>0.58333333333333337</v>
      </c>
      <c r="I1922" s="1297"/>
      <c r="J1922" s="1297"/>
      <c r="K1922" s="1298"/>
      <c r="L1922" s="914">
        <v>0.8125</v>
      </c>
      <c r="M1922" s="390"/>
      <c r="N1922" s="162"/>
      <c r="O1922" s="89"/>
      <c r="P1922" s="89"/>
      <c r="Q1922" s="89"/>
      <c r="R1922" s="89"/>
      <c r="S1922" s="89"/>
      <c r="T1922" s="89"/>
      <c r="U1922" s="89"/>
      <c r="V1922" s="89"/>
      <c r="W1922" s="89"/>
      <c r="X1922" s="89"/>
      <c r="Y1922" s="89"/>
      <c r="Z1922" s="89"/>
    </row>
    <row r="1923" spans="3:26" ht="18" thickBot="1">
      <c r="C1923" s="162"/>
      <c r="D1923" s="546">
        <v>45474</v>
      </c>
      <c r="E1923" s="387">
        <v>48.5</v>
      </c>
      <c r="F1923" s="387" t="s">
        <v>511</v>
      </c>
      <c r="G1923" s="387">
        <v>48.7</v>
      </c>
      <c r="H1923" s="913">
        <v>0.58333333333333337</v>
      </c>
      <c r="I1923" s="1299"/>
      <c r="J1923" s="1299"/>
      <c r="K1923" s="1300"/>
      <c r="L1923" s="914">
        <v>0.8125</v>
      </c>
      <c r="M1923" s="390"/>
      <c r="N1923" s="162"/>
      <c r="O1923" s="89"/>
      <c r="P1923" s="89"/>
      <c r="Q1923" s="89"/>
      <c r="R1923" s="89"/>
      <c r="S1923" s="89"/>
      <c r="T1923" s="89"/>
      <c r="U1923" s="89"/>
      <c r="V1923" s="89"/>
      <c r="W1923" s="89"/>
      <c r="X1923" s="89"/>
      <c r="Y1923" s="89"/>
      <c r="Z1923" s="89"/>
    </row>
    <row r="1924" spans="3:26" ht="18" thickBot="1">
      <c r="C1924" s="90">
        <v>11</v>
      </c>
      <c r="D1924" s="541" t="s">
        <v>30</v>
      </c>
      <c r="E1924" s="1358" t="s">
        <v>1332</v>
      </c>
      <c r="F1924" s="1359"/>
      <c r="G1924" s="1360"/>
      <c r="H1924" s="904" t="s">
        <v>790</v>
      </c>
      <c r="I1924" s="1293" t="s">
        <v>633</v>
      </c>
      <c r="J1924" s="1293"/>
      <c r="K1924" s="1294"/>
      <c r="L1924" s="906" t="s">
        <v>430</v>
      </c>
      <c r="M1924" s="375" t="s">
        <v>431</v>
      </c>
      <c r="N1924" s="162" t="s">
        <v>105</v>
      </c>
      <c r="O1924" s="114" t="s">
        <v>800</v>
      </c>
      <c r="P1924" s="114" t="s">
        <v>801</v>
      </c>
      <c r="Q1924" s="114" t="s">
        <v>802</v>
      </c>
      <c r="R1924" s="114" t="s">
        <v>803</v>
      </c>
      <c r="S1924" s="114" t="s">
        <v>804</v>
      </c>
      <c r="T1924" s="114" t="s">
        <v>805</v>
      </c>
      <c r="U1924" s="114" t="s">
        <v>806</v>
      </c>
      <c r="V1924" s="114" t="s">
        <v>807</v>
      </c>
      <c r="W1924" s="114" t="s">
        <v>808</v>
      </c>
      <c r="X1924" s="114" t="s">
        <v>809</v>
      </c>
      <c r="Y1924" s="114" t="s">
        <v>75</v>
      </c>
      <c r="Z1924" s="114" t="s">
        <v>75</v>
      </c>
    </row>
    <row r="1925" spans="3:26" ht="17">
      <c r="C1925" s="162"/>
      <c r="D1925" s="542" t="s">
        <v>432</v>
      </c>
      <c r="E1925" s="1307"/>
      <c r="F1925" s="1308"/>
      <c r="G1925" s="1309"/>
      <c r="H1925" s="907" t="s">
        <v>794</v>
      </c>
      <c r="I1925" s="1295" t="s">
        <v>1333</v>
      </c>
      <c r="J1925" s="1295"/>
      <c r="K1925" s="1296"/>
      <c r="L1925" s="908"/>
      <c r="M1925" s="376" t="s">
        <v>1332</v>
      </c>
      <c r="N1925" s="162"/>
      <c r="O1925" s="395" t="s">
        <v>810</v>
      </c>
      <c r="P1925" s="396">
        <v>0.1</v>
      </c>
      <c r="Q1925" s="397">
        <v>2.7E-2</v>
      </c>
      <c r="R1925" s="398">
        <v>1.5999999999991132E-2</v>
      </c>
      <c r="S1925" s="120"/>
      <c r="T1925" s="395">
        <v>5.6499999999991134E-2</v>
      </c>
      <c r="U1925" s="397">
        <v>-13.31</v>
      </c>
      <c r="V1925" s="396">
        <v>91.8</v>
      </c>
      <c r="W1925" s="399">
        <v>2</v>
      </c>
      <c r="X1925" s="400">
        <v>26.62</v>
      </c>
      <c r="Y1925" s="120"/>
      <c r="Z1925" s="120"/>
    </row>
    <row r="1926" spans="3:26" ht="17">
      <c r="C1926" s="162"/>
      <c r="D1926" s="543" t="s">
        <v>433</v>
      </c>
      <c r="E1926" s="1341"/>
      <c r="F1926" s="1339"/>
      <c r="G1926" s="1340"/>
      <c r="H1926" s="907" t="s">
        <v>795</v>
      </c>
      <c r="I1926" s="1297"/>
      <c r="J1926" s="1297"/>
      <c r="K1926" s="1298"/>
      <c r="L1926" s="908"/>
      <c r="M1926" s="377"/>
      <c r="N1926" s="162"/>
      <c r="O1926" s="162"/>
      <c r="P1926" s="162"/>
      <c r="Q1926" s="162"/>
      <c r="R1926" s="401"/>
      <c r="S1926" s="148"/>
      <c r="T1926" s="162"/>
      <c r="U1926" s="162"/>
      <c r="V1926" s="162"/>
      <c r="W1926" s="148"/>
      <c r="X1926" s="148"/>
      <c r="Y1926" s="124"/>
      <c r="Z1926" s="124"/>
    </row>
    <row r="1927" spans="3:26" ht="17">
      <c r="C1927" s="162"/>
      <c r="D1927" s="543" t="s">
        <v>434</v>
      </c>
      <c r="E1927" s="1341">
        <v>50.3</v>
      </c>
      <c r="F1927" s="1339"/>
      <c r="G1927" s="1340"/>
      <c r="H1927" s="907"/>
      <c r="I1927" s="1297"/>
      <c r="J1927" s="1297"/>
      <c r="K1927" s="1298"/>
      <c r="L1927" s="908"/>
      <c r="M1927" s="377"/>
      <c r="N1927" s="162"/>
      <c r="O1927" s="402" t="s">
        <v>811</v>
      </c>
      <c r="P1927" s="403">
        <v>0.1</v>
      </c>
      <c r="Q1927" s="404">
        <v>4.0500000000000001E-2</v>
      </c>
      <c r="R1927" s="405">
        <v>1.7000000000000001E-2</v>
      </c>
      <c r="S1927" s="406">
        <v>1</v>
      </c>
      <c r="T1927" s="402">
        <v>7.775E-2</v>
      </c>
      <c r="U1927" s="407">
        <v>-18.315973451330308</v>
      </c>
      <c r="V1927" s="408">
        <v>60.5</v>
      </c>
      <c r="W1927" s="409">
        <v>3.27</v>
      </c>
      <c r="X1927" s="410">
        <v>59.893233185850107</v>
      </c>
      <c r="Y1927" s="134"/>
      <c r="Z1927" s="134">
        <v>4.4350000000000005</v>
      </c>
    </row>
    <row r="1928" spans="3:26" ht="18" thickBot="1">
      <c r="C1928" s="162"/>
      <c r="D1928" s="544" t="s">
        <v>435</v>
      </c>
      <c r="E1928" s="1313">
        <v>0.625</v>
      </c>
      <c r="F1928" s="1314"/>
      <c r="G1928" s="1315"/>
      <c r="H1928" s="909">
        <v>0.41666666666666663</v>
      </c>
      <c r="I1928" s="1297"/>
      <c r="J1928" s="1297"/>
      <c r="K1928" s="1298"/>
      <c r="L1928" s="910">
        <v>0.85416666666666663</v>
      </c>
      <c r="M1928" s="379">
        <v>0.70833333333333326</v>
      </c>
      <c r="N1928" s="162"/>
      <c r="O1928" s="411" t="s">
        <v>812</v>
      </c>
      <c r="P1928" s="412">
        <v>0.1</v>
      </c>
      <c r="Q1928" s="413">
        <v>2.5266666666666663E-2</v>
      </c>
      <c r="R1928" s="414">
        <v>1.7000000000000001E-2</v>
      </c>
      <c r="S1928" s="415">
        <v>1</v>
      </c>
      <c r="T1928" s="416">
        <v>5.4899999999999997E-2</v>
      </c>
      <c r="U1928" s="417">
        <v>-12.933079646019728</v>
      </c>
      <c r="V1928" s="418">
        <v>60.5</v>
      </c>
      <c r="W1928" s="443">
        <v>2.2200000000000002</v>
      </c>
      <c r="X1928" s="420">
        <v>28.711436814163797</v>
      </c>
      <c r="Y1928" s="144"/>
      <c r="Z1928" s="144"/>
    </row>
    <row r="1929" spans="3:26" ht="18" thickBot="1">
      <c r="C1929" s="162"/>
      <c r="D1929" s="545" t="s">
        <v>436</v>
      </c>
      <c r="E1929" s="380" t="s">
        <v>29</v>
      </c>
      <c r="F1929" s="380" t="s">
        <v>28</v>
      </c>
      <c r="G1929" s="381" t="s">
        <v>27</v>
      </c>
      <c r="H1929" s="911" t="s">
        <v>793</v>
      </c>
      <c r="I1929" s="1297"/>
      <c r="J1929" s="1297"/>
      <c r="K1929" s="1298"/>
      <c r="L1929" s="912" t="s">
        <v>1246</v>
      </c>
      <c r="M1929" s="382"/>
      <c r="N1929" s="162"/>
      <c r="O1929" s="148"/>
      <c r="P1929" s="124"/>
      <c r="Q1929" s="148"/>
      <c r="R1929" s="148"/>
      <c r="S1929" s="148"/>
      <c r="T1929" s="148"/>
      <c r="U1929" s="421"/>
      <c r="V1929" s="422"/>
      <c r="W1929" s="148"/>
      <c r="X1929" s="421"/>
      <c r="Y1929" s="124"/>
      <c r="Z1929" s="124"/>
    </row>
    <row r="1930" spans="3:26" ht="17">
      <c r="C1930" s="162"/>
      <c r="D1930" s="546">
        <v>45628</v>
      </c>
      <c r="E1930" s="387">
        <v>50.3</v>
      </c>
      <c r="F1930" s="387" t="s">
        <v>586</v>
      </c>
      <c r="G1930" s="387">
        <v>54.8</v>
      </c>
      <c r="H1930" s="913">
        <v>0.625</v>
      </c>
      <c r="I1930" s="1297"/>
      <c r="J1930" s="1297"/>
      <c r="K1930" s="1298"/>
      <c r="L1930" s="914">
        <v>0.85416666666666663</v>
      </c>
      <c r="M1930" s="384"/>
      <c r="N1930" s="162"/>
      <c r="O1930" s="148"/>
      <c r="P1930" s="124"/>
      <c r="Q1930" s="148"/>
      <c r="R1930" s="148"/>
      <c r="S1930" s="148"/>
      <c r="T1930" s="148"/>
      <c r="U1930" s="148"/>
      <c r="V1930" s="148"/>
      <c r="W1930" s="148"/>
      <c r="X1930" s="148"/>
      <c r="Y1930" s="124"/>
      <c r="Z1930" s="124"/>
    </row>
    <row r="1931" spans="3:26" ht="17">
      <c r="C1931" s="162"/>
      <c r="D1931" s="546">
        <v>45597</v>
      </c>
      <c r="E1931" s="387">
        <v>54.8</v>
      </c>
      <c r="F1931" s="387" t="s">
        <v>1173</v>
      </c>
      <c r="G1931" s="387">
        <v>48.3</v>
      </c>
      <c r="H1931" s="913">
        <v>0.58333333333333337</v>
      </c>
      <c r="I1931" s="1297"/>
      <c r="J1931" s="1297"/>
      <c r="K1931" s="1298"/>
      <c r="L1931" s="914">
        <v>0.8125</v>
      </c>
      <c r="M1931" s="385"/>
      <c r="N1931" s="162"/>
      <c r="O1931" s="395" t="s">
        <v>813</v>
      </c>
      <c r="P1931" s="396">
        <v>0.1</v>
      </c>
      <c r="Q1931" s="423">
        <v>3.2883333333333334E-2</v>
      </c>
      <c r="R1931" s="424">
        <v>1.7000000000000001E-2</v>
      </c>
      <c r="S1931" s="120">
        <v>1</v>
      </c>
      <c r="T1931" s="402">
        <v>6.6324999999999995E-2</v>
      </c>
      <c r="U1931" s="425">
        <v>-15.624526548675018</v>
      </c>
      <c r="V1931" s="426">
        <v>60.5</v>
      </c>
      <c r="W1931" s="120">
        <v>2</v>
      </c>
      <c r="X1931" s="400">
        <v>31.249053097350036</v>
      </c>
      <c r="Y1931" s="154"/>
      <c r="Z1931" s="154"/>
    </row>
    <row r="1932" spans="3:26" ht="17">
      <c r="C1932" s="162"/>
      <c r="D1932" s="546">
        <v>45566</v>
      </c>
      <c r="E1932" s="387">
        <v>48.3</v>
      </c>
      <c r="F1932" s="387" t="s">
        <v>902</v>
      </c>
      <c r="G1932" s="387">
        <v>54</v>
      </c>
      <c r="H1932" s="913">
        <v>0.58333333333333337</v>
      </c>
      <c r="I1932" s="1297"/>
      <c r="J1932" s="1297"/>
      <c r="K1932" s="1298"/>
      <c r="L1932" s="914">
        <v>0.8125</v>
      </c>
      <c r="M1932" s="377"/>
      <c r="N1932" s="162"/>
      <c r="O1932" s="395"/>
      <c r="P1932" s="396"/>
      <c r="Q1932" s="423"/>
      <c r="R1932" s="424"/>
      <c r="S1932" s="120"/>
      <c r="T1932" s="402"/>
      <c r="U1932" s="425"/>
      <c r="V1932" s="426"/>
      <c r="W1932" s="120"/>
      <c r="X1932" s="400"/>
      <c r="Y1932" s="154"/>
      <c r="Z1932" s="154"/>
    </row>
    <row r="1933" spans="3:26" ht="17">
      <c r="C1933" s="162"/>
      <c r="D1933" s="546">
        <v>45538</v>
      </c>
      <c r="E1933" s="387">
        <v>54</v>
      </c>
      <c r="F1933" s="387" t="s">
        <v>519</v>
      </c>
      <c r="G1933" s="387">
        <v>52.9</v>
      </c>
      <c r="H1933" s="913">
        <v>0.58333333333333337</v>
      </c>
      <c r="I1933" s="1297"/>
      <c r="J1933" s="1297"/>
      <c r="K1933" s="1298"/>
      <c r="L1933" s="914">
        <v>0.8125</v>
      </c>
      <c r="M1933" s="377"/>
      <c r="N1933" s="162"/>
      <c r="O1933" s="395"/>
      <c r="P1933" s="427"/>
      <c r="Q1933" s="423"/>
      <c r="R1933" s="424"/>
      <c r="S1933" s="120"/>
      <c r="T1933" s="427"/>
      <c r="U1933" s="425"/>
      <c r="V1933" s="426"/>
      <c r="W1933" s="120"/>
      <c r="X1933" s="400"/>
      <c r="Y1933" s="154"/>
      <c r="Z1933" s="154"/>
    </row>
    <row r="1934" spans="3:26" ht="17">
      <c r="C1934" s="162"/>
      <c r="D1934" s="546">
        <v>45505</v>
      </c>
      <c r="E1934" s="387">
        <v>52.9</v>
      </c>
      <c r="F1934" s="387" t="s">
        <v>520</v>
      </c>
      <c r="G1934" s="387">
        <v>52.1</v>
      </c>
      <c r="H1934" s="913">
        <v>0.58333333333333337</v>
      </c>
      <c r="I1934" s="1297"/>
      <c r="J1934" s="1297"/>
      <c r="K1934" s="1298"/>
      <c r="L1934" s="914">
        <v>0.8125</v>
      </c>
      <c r="M1934" s="377"/>
      <c r="N1934" s="162"/>
      <c r="O1934" s="89"/>
      <c r="P1934" s="89"/>
      <c r="Q1934" s="89"/>
      <c r="R1934" s="89"/>
      <c r="S1934" s="89"/>
      <c r="T1934" s="89"/>
      <c r="U1934" s="89"/>
      <c r="V1934" s="89"/>
      <c r="W1934" s="89"/>
      <c r="X1934" s="89"/>
      <c r="Y1934" s="89"/>
      <c r="Z1934" s="89"/>
    </row>
    <row r="1935" spans="3:26" ht="18" thickBot="1">
      <c r="C1935" s="162"/>
      <c r="D1935" s="546">
        <v>45474</v>
      </c>
      <c r="E1935" s="387">
        <v>52.1</v>
      </c>
      <c r="F1935" s="387" t="s">
        <v>521</v>
      </c>
      <c r="G1935" s="387">
        <v>57</v>
      </c>
      <c r="H1935" s="913">
        <v>0.58333333333333337</v>
      </c>
      <c r="I1935" s="1299"/>
      <c r="J1935" s="1299"/>
      <c r="K1935" s="1300"/>
      <c r="L1935" s="914">
        <v>0.8125</v>
      </c>
      <c r="M1935" s="386"/>
      <c r="N1935" s="162"/>
      <c r="O1935" s="89"/>
      <c r="P1935" s="89"/>
      <c r="Q1935" s="89"/>
      <c r="R1935" s="89"/>
      <c r="S1935" s="89"/>
      <c r="T1935" s="89"/>
      <c r="U1935" s="89"/>
      <c r="V1935" s="89"/>
      <c r="W1935" s="89"/>
      <c r="X1935" s="89"/>
      <c r="Y1935" s="89"/>
      <c r="Z1935" s="89"/>
    </row>
    <row r="1936" spans="3:26" ht="18" thickBot="1">
      <c r="C1936" s="90">
        <v>12</v>
      </c>
      <c r="D1936" s="541" t="s">
        <v>30</v>
      </c>
      <c r="E1936" s="1358" t="s">
        <v>1334</v>
      </c>
      <c r="F1936" s="1359"/>
      <c r="G1936" s="1360"/>
      <c r="H1936" s="904" t="s">
        <v>790</v>
      </c>
      <c r="I1936" s="1293" t="s">
        <v>633</v>
      </c>
      <c r="J1936" s="1293"/>
      <c r="K1936" s="1294"/>
      <c r="L1936" s="906" t="s">
        <v>430</v>
      </c>
      <c r="M1936" s="388" t="s">
        <v>431</v>
      </c>
      <c r="N1936" s="162" t="s">
        <v>105</v>
      </c>
      <c r="O1936" s="444" t="s">
        <v>800</v>
      </c>
      <c r="P1936" s="444" t="s">
        <v>801</v>
      </c>
      <c r="Q1936" s="444" t="s">
        <v>802</v>
      </c>
      <c r="R1936" s="444" t="s">
        <v>803</v>
      </c>
      <c r="S1936" s="444" t="s">
        <v>804</v>
      </c>
      <c r="T1936" s="444" t="s">
        <v>805</v>
      </c>
      <c r="U1936" s="444" t="s">
        <v>806</v>
      </c>
      <c r="V1936" s="444" t="s">
        <v>807</v>
      </c>
      <c r="W1936" s="444" t="s">
        <v>808</v>
      </c>
      <c r="X1936" s="444" t="s">
        <v>809</v>
      </c>
      <c r="Y1936" s="444" t="s">
        <v>75</v>
      </c>
      <c r="Z1936" s="444" t="s">
        <v>75</v>
      </c>
    </row>
    <row r="1937" spans="2:26" ht="17">
      <c r="C1937" s="162"/>
      <c r="D1937" s="542" t="s">
        <v>432</v>
      </c>
      <c r="E1937" s="1307"/>
      <c r="F1937" s="1308"/>
      <c r="G1937" s="1309"/>
      <c r="H1937" s="907" t="s">
        <v>796</v>
      </c>
      <c r="I1937" s="1295" t="s">
        <v>1336</v>
      </c>
      <c r="J1937" s="1295"/>
      <c r="K1937" s="1296"/>
      <c r="L1937" s="908"/>
      <c r="M1937" s="376" t="s">
        <v>1334</v>
      </c>
      <c r="N1937" s="162"/>
      <c r="O1937" s="395" t="s">
        <v>810</v>
      </c>
      <c r="P1937" s="395">
        <v>0.1</v>
      </c>
      <c r="Q1937" s="445">
        <v>3.3E-4</v>
      </c>
      <c r="R1937" s="424">
        <v>1.500000000000945E-4</v>
      </c>
      <c r="S1937" s="120">
        <v>1</v>
      </c>
      <c r="T1937" s="395">
        <v>6.6000000000014783E-2</v>
      </c>
      <c r="U1937" s="445">
        <v>-22.85</v>
      </c>
      <c r="V1937" s="395">
        <v>60.5</v>
      </c>
      <c r="W1937" s="120">
        <v>2</v>
      </c>
      <c r="X1937" s="400"/>
      <c r="Y1937" s="120"/>
      <c r="Z1937" s="120"/>
    </row>
    <row r="1938" spans="2:26" ht="17">
      <c r="C1938" s="162"/>
      <c r="D1938" s="543" t="s">
        <v>433</v>
      </c>
      <c r="E1938" s="1367"/>
      <c r="F1938" s="1368"/>
      <c r="G1938" s="1369"/>
      <c r="H1938" s="907" t="s">
        <v>796</v>
      </c>
      <c r="I1938" s="1297"/>
      <c r="J1938" s="1297"/>
      <c r="K1938" s="1298"/>
      <c r="L1938" s="908"/>
      <c r="M1938" s="377"/>
      <c r="N1938" s="162"/>
      <c r="O1938" s="162"/>
      <c r="P1938" s="162"/>
      <c r="Q1938" s="162"/>
      <c r="R1938" s="401"/>
      <c r="S1938" s="148"/>
      <c r="T1938" s="162"/>
      <c r="U1938" s="162"/>
      <c r="V1938" s="162"/>
      <c r="W1938" s="162"/>
      <c r="X1938" s="148"/>
      <c r="Y1938" s="148"/>
      <c r="Z1938" s="148"/>
    </row>
    <row r="1939" spans="2:26" ht="17">
      <c r="C1939" s="162"/>
      <c r="D1939" s="543" t="s">
        <v>434</v>
      </c>
      <c r="E1939" s="1361" t="s">
        <v>1335</v>
      </c>
      <c r="F1939" s="1362"/>
      <c r="G1939" s="1363"/>
      <c r="H1939" s="907"/>
      <c r="I1939" s="1297"/>
      <c r="J1939" s="1297"/>
      <c r="K1939" s="1298"/>
      <c r="L1939" s="908"/>
      <c r="M1939" s="377"/>
      <c r="N1939" s="162"/>
      <c r="O1939" s="402" t="s">
        <v>811</v>
      </c>
      <c r="P1939" s="402">
        <v>0.1</v>
      </c>
      <c r="Q1939" s="446">
        <v>2.9999999999999997E-4</v>
      </c>
      <c r="R1939" s="447">
        <v>2.0000000000000001E-4</v>
      </c>
      <c r="S1939" s="448">
        <v>1</v>
      </c>
      <c r="T1939" s="402">
        <v>6.4999999999999997E-4</v>
      </c>
      <c r="U1939" s="407">
        <v>-0.22503787878782841</v>
      </c>
      <c r="V1939" s="408">
        <v>60.5</v>
      </c>
      <c r="W1939" s="449">
        <v>2.81</v>
      </c>
      <c r="X1939" s="410">
        <v>0.63235643939379782</v>
      </c>
      <c r="Y1939" s="406"/>
      <c r="Z1939" s="406"/>
    </row>
    <row r="1940" spans="2:26" ht="18" thickBot="1">
      <c r="C1940" s="162"/>
      <c r="D1940" s="544" t="s">
        <v>435</v>
      </c>
      <c r="E1940" s="1313">
        <v>0.66666666666666674</v>
      </c>
      <c r="F1940" s="1314"/>
      <c r="G1940" s="1315"/>
      <c r="H1940" s="909"/>
      <c r="I1940" s="1297"/>
      <c r="J1940" s="1297"/>
      <c r="K1940" s="1298"/>
      <c r="L1940" s="910">
        <v>0.89583333333333337</v>
      </c>
      <c r="M1940" s="379">
        <v>0.75</v>
      </c>
      <c r="N1940" s="162"/>
      <c r="O1940" s="411" t="s">
        <v>812</v>
      </c>
      <c r="P1940" s="411">
        <v>0.1</v>
      </c>
      <c r="Q1940" s="413">
        <v>4.0000000000000002E-4</v>
      </c>
      <c r="R1940" s="450">
        <v>2.0000000000000001E-4</v>
      </c>
      <c r="S1940" s="451">
        <v>1</v>
      </c>
      <c r="T1940" s="452">
        <v>8.0000000000000004E-4</v>
      </c>
      <c r="U1940" s="417">
        <v>-0.27696969696963497</v>
      </c>
      <c r="V1940" s="418">
        <v>60.5</v>
      </c>
      <c r="W1940" s="453">
        <v>2.48</v>
      </c>
      <c r="X1940" s="420">
        <v>0.68688484848469478</v>
      </c>
      <c r="Y1940" s="415"/>
      <c r="Z1940" s="415"/>
    </row>
    <row r="1941" spans="2:26" ht="18" thickBot="1">
      <c r="C1941" s="162"/>
      <c r="D1941" s="545" t="s">
        <v>436</v>
      </c>
      <c r="E1941" s="380" t="s">
        <v>29</v>
      </c>
      <c r="F1941" s="380" t="s">
        <v>28</v>
      </c>
      <c r="G1941" s="381" t="s">
        <v>27</v>
      </c>
      <c r="H1941" s="911" t="s">
        <v>793</v>
      </c>
      <c r="I1941" s="1297"/>
      <c r="J1941" s="1297"/>
      <c r="K1941" s="1298"/>
      <c r="L1941" s="912" t="s">
        <v>1246</v>
      </c>
      <c r="M1941" s="391"/>
      <c r="N1941" s="162"/>
      <c r="O1941" s="148"/>
      <c r="P1941" s="148"/>
      <c r="Q1941" s="148"/>
      <c r="R1941" s="148"/>
      <c r="S1941" s="454"/>
      <c r="T1941" s="148"/>
      <c r="U1941" s="421"/>
      <c r="V1941" s="422"/>
      <c r="W1941" s="186"/>
      <c r="X1941" s="421"/>
      <c r="Y1941" s="148"/>
      <c r="Z1941" s="148"/>
    </row>
    <row r="1942" spans="2:26" ht="17">
      <c r="C1942" s="162"/>
      <c r="D1942" s="546">
        <v>45653</v>
      </c>
      <c r="E1942" s="392" t="s">
        <v>1342</v>
      </c>
      <c r="F1942" s="392" t="s">
        <v>1343</v>
      </c>
      <c r="G1942" s="392" t="s">
        <v>1318</v>
      </c>
      <c r="H1942" s="913">
        <v>0.83333333333333315</v>
      </c>
      <c r="I1942" s="1297"/>
      <c r="J1942" s="1297"/>
      <c r="K1942" s="1298"/>
      <c r="L1942" s="914">
        <v>0.97916666666666663</v>
      </c>
      <c r="M1942" s="384"/>
      <c r="N1942" s="162"/>
      <c r="O1942" s="148"/>
      <c r="P1942" s="148"/>
      <c r="Q1942" s="148"/>
      <c r="R1942" s="148"/>
      <c r="S1942" s="454"/>
      <c r="T1942" s="148"/>
      <c r="U1942" s="148"/>
      <c r="V1942" s="148"/>
      <c r="W1942" s="186"/>
      <c r="X1942" s="148"/>
      <c r="Y1942" s="148"/>
      <c r="Z1942" s="148"/>
    </row>
    <row r="1943" spans="2:26" ht="17">
      <c r="C1943" s="162"/>
      <c r="D1943" s="546">
        <v>45644</v>
      </c>
      <c r="E1943" s="392" t="s">
        <v>1318</v>
      </c>
      <c r="F1943" s="392" t="s">
        <v>1289</v>
      </c>
      <c r="G1943" s="392" t="s">
        <v>1286</v>
      </c>
      <c r="H1943" s="913">
        <v>0.72916666666666663</v>
      </c>
      <c r="I1943" s="1297"/>
      <c r="J1943" s="1297"/>
      <c r="K1943" s="1298"/>
      <c r="L1943" s="914">
        <v>0.875</v>
      </c>
      <c r="M1943" s="385"/>
      <c r="N1943" s="162"/>
      <c r="O1943" s="395" t="s">
        <v>813</v>
      </c>
      <c r="P1943" s="455">
        <v>-0.1</v>
      </c>
      <c r="Q1943" s="456">
        <v>3.4333333333333329E-4</v>
      </c>
      <c r="R1943" s="424">
        <v>2.0000000000000001E-4</v>
      </c>
      <c r="S1943" s="457">
        <v>-1</v>
      </c>
      <c r="T1943" s="402">
        <v>7.1499999999999992E-4</v>
      </c>
      <c r="U1943" s="425">
        <v>-0.2475416666666112</v>
      </c>
      <c r="V1943" s="426">
        <v>60.5</v>
      </c>
      <c r="W1943" s="458">
        <v>2</v>
      </c>
      <c r="X1943" s="400">
        <v>0.49508333333322241</v>
      </c>
      <c r="Y1943" s="120" t="s">
        <v>814</v>
      </c>
      <c r="Z1943" s="120"/>
    </row>
    <row r="1944" spans="2:26" ht="17">
      <c r="C1944" s="162"/>
      <c r="D1944" s="546">
        <v>45637</v>
      </c>
      <c r="E1944" s="392" t="s">
        <v>1286</v>
      </c>
      <c r="F1944" s="392" t="s">
        <v>1287</v>
      </c>
      <c r="G1944" s="392" t="s">
        <v>1288</v>
      </c>
      <c r="H1944" s="913">
        <v>0.72916666666666663</v>
      </c>
      <c r="I1944" s="1297"/>
      <c r="J1944" s="1297"/>
      <c r="K1944" s="1298"/>
      <c r="L1944" s="914">
        <v>0.875</v>
      </c>
      <c r="M1944" s="377"/>
      <c r="N1944" s="162"/>
      <c r="O1944" s="395" t="s">
        <v>813</v>
      </c>
      <c r="P1944" s="455">
        <v>0.1</v>
      </c>
      <c r="Q1944" s="456">
        <v>3.4333333333333329E-4</v>
      </c>
      <c r="R1944" s="424">
        <v>0</v>
      </c>
      <c r="S1944" s="457">
        <v>1</v>
      </c>
      <c r="T1944" s="402">
        <v>7.1499999999999992E-4</v>
      </c>
      <c r="U1944" s="425">
        <v>-0.2475416666666112</v>
      </c>
      <c r="V1944" s="426">
        <v>60.5</v>
      </c>
      <c r="W1944" s="458">
        <v>2</v>
      </c>
      <c r="X1944" s="400">
        <v>0.49508333333322241</v>
      </c>
      <c r="Y1944" s="120" t="s">
        <v>814</v>
      </c>
      <c r="Z1944" s="120"/>
    </row>
    <row r="1945" spans="2:26" ht="17">
      <c r="C1945" s="162"/>
      <c r="D1945" s="546">
        <v>45630</v>
      </c>
      <c r="E1945" s="392" t="s">
        <v>1288</v>
      </c>
      <c r="F1945" s="392" t="s">
        <v>1289</v>
      </c>
      <c r="G1945" s="392" t="s">
        <v>1290</v>
      </c>
      <c r="H1945" s="913">
        <v>0.72916666666666663</v>
      </c>
      <c r="I1945" s="1297"/>
      <c r="J1945" s="1297"/>
      <c r="K1945" s="1298"/>
      <c r="L1945" s="914">
        <v>0.875</v>
      </c>
      <c r="M1945" s="377"/>
      <c r="N1945" s="162"/>
      <c r="O1945" s="395"/>
      <c r="P1945" s="395"/>
      <c r="Q1945" s="456"/>
      <c r="R1945" s="424"/>
      <c r="S1945" s="120"/>
      <c r="T1945" s="395"/>
      <c r="U1945" s="425"/>
      <c r="V1945" s="426"/>
      <c r="W1945" s="120"/>
      <c r="X1945" s="400"/>
      <c r="Y1945" s="120"/>
      <c r="Z1945" s="120"/>
    </row>
    <row r="1946" spans="2:26" ht="17">
      <c r="C1946" s="162"/>
      <c r="D1946" s="546">
        <v>45623</v>
      </c>
      <c r="E1946" s="392" t="s">
        <v>1290</v>
      </c>
      <c r="F1946" s="392" t="s">
        <v>1291</v>
      </c>
      <c r="G1946" s="392" t="s">
        <v>1125</v>
      </c>
      <c r="H1946" s="913">
        <v>0.72916666666666663</v>
      </c>
      <c r="I1946" s="1297"/>
      <c r="J1946" s="1297"/>
      <c r="K1946" s="1298"/>
      <c r="L1946" s="914">
        <v>0.875</v>
      </c>
      <c r="M1946" s="377"/>
      <c r="N1946" s="162"/>
      <c r="O1946" s="89"/>
      <c r="P1946" s="89"/>
      <c r="Q1946" s="89"/>
      <c r="R1946" s="89"/>
      <c r="S1946" s="89"/>
      <c r="T1946" s="89"/>
      <c r="U1946" s="89"/>
      <c r="V1946" s="89"/>
      <c r="W1946" s="89"/>
      <c r="X1946" s="89"/>
      <c r="Y1946" s="89"/>
      <c r="Z1946" s="89"/>
    </row>
    <row r="1947" spans="2:26" ht="18" thickBot="1">
      <c r="C1947" s="162"/>
      <c r="D1947" s="548">
        <v>45616</v>
      </c>
      <c r="E1947" s="549" t="s">
        <v>1125</v>
      </c>
      <c r="F1947" s="549" t="s">
        <v>1030</v>
      </c>
      <c r="G1947" s="549" t="s">
        <v>1029</v>
      </c>
      <c r="H1947" s="917">
        <v>0.72916666666666663</v>
      </c>
      <c r="I1947" s="1561"/>
      <c r="J1947" s="1561"/>
      <c r="K1947" s="1562"/>
      <c r="L1947" s="918">
        <v>0.875</v>
      </c>
      <c r="M1947" s="386"/>
      <c r="N1947" s="162"/>
      <c r="O1947" s="89"/>
      <c r="P1947" s="89"/>
      <c r="Q1947" s="89"/>
      <c r="R1947" s="89"/>
      <c r="S1947" s="89"/>
      <c r="T1947" s="89"/>
      <c r="U1947" s="89"/>
      <c r="V1947" s="89"/>
      <c r="W1947" s="89"/>
      <c r="X1947" s="89"/>
      <c r="Y1947" s="89"/>
      <c r="Z1947" s="89"/>
    </row>
    <row r="1948" spans="2:26" ht="18" thickBot="1">
      <c r="B1948" s="90" t="s">
        <v>105</v>
      </c>
      <c r="C1948" s="90">
        <v>1</v>
      </c>
      <c r="D1948" s="557" t="s">
        <v>30</v>
      </c>
      <c r="E1948" s="1358" t="s">
        <v>1348</v>
      </c>
      <c r="F1948" s="1359"/>
      <c r="G1948" s="1360"/>
      <c r="H1948" s="911" t="s">
        <v>790</v>
      </c>
      <c r="I1948" s="1293" t="s">
        <v>633</v>
      </c>
      <c r="J1948" s="1293"/>
      <c r="K1948" s="1294"/>
      <c r="L1948" s="911" t="s">
        <v>430</v>
      </c>
      <c r="M1948" s="375" t="s">
        <v>431</v>
      </c>
    </row>
    <row r="1949" spans="2:26" ht="17">
      <c r="C1949" s="90"/>
      <c r="D1949" s="559" t="s">
        <v>432</v>
      </c>
      <c r="E1949" s="1307"/>
      <c r="F1949" s="1308"/>
      <c r="G1949" s="1309"/>
      <c r="H1949" s="919" t="s">
        <v>906</v>
      </c>
      <c r="I1949" s="1295" t="s">
        <v>1349</v>
      </c>
      <c r="J1949" s="1295"/>
      <c r="K1949" s="1296"/>
      <c r="L1949" s="920"/>
      <c r="M1949" s="376" t="s">
        <v>1348</v>
      </c>
    </row>
    <row r="1950" spans="2:26" ht="17">
      <c r="C1950" s="90"/>
      <c r="D1950" s="560" t="s">
        <v>433</v>
      </c>
      <c r="E1950" s="1338" t="s">
        <v>1090</v>
      </c>
      <c r="F1950" s="1339"/>
      <c r="G1950" s="1340"/>
      <c r="H1950" s="907" t="s">
        <v>907</v>
      </c>
      <c r="I1950" s="1297"/>
      <c r="J1950" s="1297"/>
      <c r="K1950" s="1298"/>
      <c r="L1950" s="920"/>
      <c r="M1950" s="377"/>
    </row>
    <row r="1951" spans="2:26" ht="17">
      <c r="C1951" s="90"/>
      <c r="D1951" s="560" t="s">
        <v>434</v>
      </c>
      <c r="E1951" s="1338">
        <v>-2E-3</v>
      </c>
      <c r="F1951" s="1339"/>
      <c r="G1951" s="1340"/>
      <c r="H1951" s="907"/>
      <c r="I1951" s="1297"/>
      <c r="J1951" s="1297"/>
      <c r="K1951" s="1298"/>
      <c r="L1951" s="920"/>
      <c r="M1951" s="377"/>
    </row>
    <row r="1952" spans="2:26" ht="18" thickBot="1">
      <c r="C1952" s="90"/>
      <c r="D1952" s="561" t="s">
        <v>435</v>
      </c>
      <c r="E1952" s="1313">
        <v>0.54166666666666674</v>
      </c>
      <c r="F1952" s="1314"/>
      <c r="G1952" s="1315"/>
      <c r="H1952" s="909"/>
      <c r="I1952" s="1297"/>
      <c r="J1952" s="1297"/>
      <c r="K1952" s="1298"/>
      <c r="L1952" s="378">
        <v>0.77083333333333337</v>
      </c>
      <c r="M1952" s="379">
        <v>0.625</v>
      </c>
    </row>
    <row r="1953" spans="3:13" ht="18" thickBot="1">
      <c r="C1953" s="90"/>
      <c r="D1953" s="562" t="s">
        <v>436</v>
      </c>
      <c r="E1953" s="380" t="s">
        <v>29</v>
      </c>
      <c r="F1953" s="380" t="s">
        <v>28</v>
      </c>
      <c r="G1953" s="381" t="s">
        <v>27</v>
      </c>
      <c r="H1953" s="911" t="s">
        <v>793</v>
      </c>
      <c r="I1953" s="1297"/>
      <c r="J1953" s="1297"/>
      <c r="K1953" s="1298"/>
      <c r="L1953" s="921" t="s">
        <v>1246</v>
      </c>
      <c r="M1953" s="382"/>
    </row>
    <row r="1954" spans="3:13" ht="17">
      <c r="C1954" s="90"/>
      <c r="D1954" s="563">
        <v>45636</v>
      </c>
      <c r="E1954" s="564">
        <v>-2E-3</v>
      </c>
      <c r="F1954" s="564" t="s">
        <v>461</v>
      </c>
      <c r="G1954" s="564">
        <v>4.0000000000000001E-3</v>
      </c>
      <c r="H1954" s="922">
        <v>0.29166666666666669</v>
      </c>
      <c r="I1954" s="1297"/>
      <c r="J1954" s="1297"/>
      <c r="K1954" s="1298"/>
      <c r="L1954" s="922"/>
      <c r="M1954" s="384"/>
    </row>
    <row r="1955" spans="3:13" ht="17">
      <c r="C1955" s="90"/>
      <c r="D1955" s="563">
        <v>45624</v>
      </c>
      <c r="E1955" s="564">
        <v>-2E-3</v>
      </c>
      <c r="F1955" s="564" t="s">
        <v>461</v>
      </c>
      <c r="G1955" s="564">
        <v>4.0000000000000001E-3</v>
      </c>
      <c r="H1955" s="922">
        <v>0.54166666666666663</v>
      </c>
      <c r="I1955" s="1297"/>
      <c r="J1955" s="1297"/>
      <c r="K1955" s="1298"/>
      <c r="L1955" s="922"/>
      <c r="M1955" s="385"/>
    </row>
    <row r="1956" spans="3:13" ht="17">
      <c r="C1956" s="90"/>
      <c r="D1956" s="563">
        <v>45608</v>
      </c>
      <c r="E1956" s="564">
        <v>4.0000000000000001E-3</v>
      </c>
      <c r="F1956" s="564" t="s">
        <v>452</v>
      </c>
      <c r="G1956" s="564">
        <v>0</v>
      </c>
      <c r="H1956" s="922">
        <v>0.29166666666666669</v>
      </c>
      <c r="I1956" s="1297"/>
      <c r="J1956" s="1297"/>
      <c r="K1956" s="1298"/>
      <c r="L1956" s="922"/>
      <c r="M1956" s="377"/>
    </row>
    <row r="1957" spans="3:13" ht="17">
      <c r="C1957" s="90"/>
      <c r="D1957" s="563">
        <v>45595</v>
      </c>
      <c r="E1957" s="564">
        <v>4.0000000000000001E-3</v>
      </c>
      <c r="F1957" s="564" t="s">
        <v>460</v>
      </c>
      <c r="G1957" s="564">
        <v>0</v>
      </c>
      <c r="H1957" s="922">
        <v>0.54166666666666663</v>
      </c>
      <c r="I1957" s="1297"/>
      <c r="J1957" s="1297"/>
      <c r="K1957" s="1298"/>
      <c r="L1957" s="922"/>
      <c r="M1957" s="377"/>
    </row>
    <row r="1958" spans="3:13" ht="17">
      <c r="C1958" s="90"/>
      <c r="D1958" s="563">
        <v>45576</v>
      </c>
      <c r="E1958" s="564">
        <v>0</v>
      </c>
      <c r="F1958" s="564" t="s">
        <v>458</v>
      </c>
      <c r="G1958" s="564">
        <v>-1E-3</v>
      </c>
      <c r="H1958" s="922">
        <v>0.25</v>
      </c>
      <c r="I1958" s="1297"/>
      <c r="J1958" s="1297"/>
      <c r="K1958" s="1298"/>
      <c r="L1958" s="922"/>
      <c r="M1958" s="377"/>
    </row>
    <row r="1959" spans="3:13" ht="18" thickBot="1">
      <c r="C1959" s="90"/>
      <c r="D1959" s="563">
        <v>45565</v>
      </c>
      <c r="E1959" s="564">
        <v>0</v>
      </c>
      <c r="F1959" s="564" t="s">
        <v>462</v>
      </c>
      <c r="G1959" s="564">
        <v>-1E-3</v>
      </c>
      <c r="H1959" s="922">
        <v>0.5</v>
      </c>
      <c r="I1959" s="1299"/>
      <c r="J1959" s="1299"/>
      <c r="K1959" s="1300"/>
      <c r="L1959" s="922"/>
      <c r="M1959" s="386"/>
    </row>
    <row r="1960" spans="3:13" ht="18" thickBot="1">
      <c r="C1960" s="90">
        <v>2</v>
      </c>
      <c r="D1960" s="557" t="s">
        <v>30</v>
      </c>
      <c r="E1960" s="1358" t="s">
        <v>1350</v>
      </c>
      <c r="F1960" s="1359"/>
      <c r="G1960" s="1360"/>
      <c r="H1960" s="911" t="s">
        <v>790</v>
      </c>
      <c r="I1960" s="1293" t="s">
        <v>633</v>
      </c>
      <c r="J1960" s="1293"/>
      <c r="K1960" s="1294"/>
      <c r="L1960" s="911" t="s">
        <v>430</v>
      </c>
      <c r="M1960" s="375" t="s">
        <v>431</v>
      </c>
    </row>
    <row r="1961" spans="3:13" ht="17">
      <c r="C1961" s="90"/>
      <c r="D1961" s="559" t="s">
        <v>432</v>
      </c>
      <c r="E1961" s="1307"/>
      <c r="F1961" s="1308"/>
      <c r="G1961" s="1309"/>
      <c r="H1961" s="919" t="s">
        <v>906</v>
      </c>
      <c r="I1961" s="1295" t="s">
        <v>1351</v>
      </c>
      <c r="J1961" s="1295"/>
      <c r="K1961" s="1296"/>
      <c r="L1961" s="920"/>
      <c r="M1961" s="376" t="s">
        <v>1350</v>
      </c>
    </row>
    <row r="1962" spans="3:13" ht="17">
      <c r="C1962" s="90"/>
      <c r="D1962" s="560" t="s">
        <v>433</v>
      </c>
      <c r="E1962" s="1341">
        <v>58.5</v>
      </c>
      <c r="F1962" s="1339"/>
      <c r="G1962" s="1340"/>
      <c r="H1962" s="907" t="s">
        <v>907</v>
      </c>
      <c r="I1962" s="1297"/>
      <c r="J1962" s="1297"/>
      <c r="K1962" s="1298"/>
      <c r="L1962" s="920"/>
      <c r="M1962" s="377"/>
    </row>
    <row r="1963" spans="3:13" ht="17">
      <c r="C1963" s="90"/>
      <c r="D1963" s="560" t="s">
        <v>434</v>
      </c>
      <c r="E1963" s="1341">
        <v>56.1</v>
      </c>
      <c r="F1963" s="1339"/>
      <c r="G1963" s="1340"/>
      <c r="H1963" s="907"/>
      <c r="I1963" s="1297"/>
      <c r="J1963" s="1297"/>
      <c r="K1963" s="1298"/>
      <c r="L1963" s="920"/>
      <c r="M1963" s="377"/>
    </row>
    <row r="1964" spans="3:13" ht="18" thickBot="1">
      <c r="C1964" s="90"/>
      <c r="D1964" s="561" t="s">
        <v>435</v>
      </c>
      <c r="E1964" s="1313">
        <v>0.61458333333333337</v>
      </c>
      <c r="F1964" s="1314"/>
      <c r="G1964" s="1315"/>
      <c r="H1964" s="909"/>
      <c r="I1964" s="1297"/>
      <c r="J1964" s="1297"/>
      <c r="K1964" s="1298"/>
      <c r="L1964" s="378">
        <v>0.84375</v>
      </c>
      <c r="M1964" s="379">
        <v>0.69791666666666663</v>
      </c>
    </row>
    <row r="1965" spans="3:13" ht="18" thickBot="1">
      <c r="C1965" s="90"/>
      <c r="D1965" s="562" t="s">
        <v>436</v>
      </c>
      <c r="E1965" s="380" t="s">
        <v>29</v>
      </c>
      <c r="F1965" s="380" t="s">
        <v>28</v>
      </c>
      <c r="G1965" s="381" t="s">
        <v>27</v>
      </c>
      <c r="H1965" s="911" t="s">
        <v>793</v>
      </c>
      <c r="I1965" s="1297"/>
      <c r="J1965" s="1297"/>
      <c r="K1965" s="1298"/>
      <c r="L1965" s="921" t="s">
        <v>1246</v>
      </c>
      <c r="M1965" s="382"/>
    </row>
    <row r="1966" spans="3:13" ht="17">
      <c r="C1966" s="90"/>
      <c r="D1966" s="563">
        <v>45642</v>
      </c>
      <c r="E1966" s="387">
        <v>58.5</v>
      </c>
      <c r="F1966" s="387" t="s">
        <v>1339</v>
      </c>
      <c r="G1966" s="387">
        <v>56.1</v>
      </c>
      <c r="H1966" s="922">
        <v>0.61458333333333337</v>
      </c>
      <c r="I1966" s="1297"/>
      <c r="J1966" s="1297"/>
      <c r="K1966" s="1298"/>
      <c r="L1966" s="923"/>
      <c r="M1966" s="384"/>
    </row>
    <row r="1967" spans="3:13" ht="17">
      <c r="C1967" s="90"/>
      <c r="D1967" s="563">
        <v>45630</v>
      </c>
      <c r="E1967" s="387">
        <v>56.1</v>
      </c>
      <c r="F1967" s="387" t="s">
        <v>1285</v>
      </c>
      <c r="G1967" s="387">
        <v>55</v>
      </c>
      <c r="H1967" s="922">
        <v>0.61458333333333337</v>
      </c>
      <c r="I1967" s="1297"/>
      <c r="J1967" s="1297"/>
      <c r="K1967" s="1298"/>
      <c r="L1967" s="923"/>
      <c r="M1967" s="385"/>
    </row>
    <row r="1968" spans="3:13" ht="17">
      <c r="C1968" s="90"/>
      <c r="D1968" s="563">
        <v>45618</v>
      </c>
      <c r="E1968" s="387">
        <v>57</v>
      </c>
      <c r="F1968" s="387" t="s">
        <v>586</v>
      </c>
      <c r="G1968" s="387">
        <v>55</v>
      </c>
      <c r="H1968" s="922">
        <v>0.61458333333333337</v>
      </c>
      <c r="I1968" s="1297"/>
      <c r="J1968" s="1297"/>
      <c r="K1968" s="1298"/>
      <c r="L1968" s="923"/>
      <c r="M1968" s="377"/>
    </row>
    <row r="1969" spans="3:13" ht="17">
      <c r="C1969" s="90"/>
      <c r="D1969" s="563">
        <v>45601</v>
      </c>
      <c r="E1969" s="387">
        <v>55</v>
      </c>
      <c r="F1969" s="387" t="s">
        <v>585</v>
      </c>
      <c r="G1969" s="387">
        <v>55.2</v>
      </c>
      <c r="H1969" s="922">
        <v>0.61458333333333337</v>
      </c>
      <c r="I1969" s="1297"/>
      <c r="J1969" s="1297"/>
      <c r="K1969" s="1298"/>
      <c r="L1969" s="923"/>
      <c r="M1969" s="377"/>
    </row>
    <row r="1970" spans="3:13" ht="17">
      <c r="C1970" s="90"/>
      <c r="D1970" s="563">
        <v>45589</v>
      </c>
      <c r="E1970" s="387">
        <v>55.3</v>
      </c>
      <c r="F1970" s="387" t="s">
        <v>604</v>
      </c>
      <c r="G1970" s="387">
        <v>55.2</v>
      </c>
      <c r="H1970" s="922">
        <v>0.57291666666666663</v>
      </c>
      <c r="I1970" s="1297"/>
      <c r="J1970" s="1297"/>
      <c r="K1970" s="1298"/>
      <c r="L1970" s="923"/>
      <c r="M1970" s="377"/>
    </row>
    <row r="1971" spans="3:13" ht="18" thickBot="1">
      <c r="C1971" s="90"/>
      <c r="D1971" s="563">
        <v>45568</v>
      </c>
      <c r="E1971" s="387">
        <v>55.2</v>
      </c>
      <c r="F1971" s="387" t="s">
        <v>759</v>
      </c>
      <c r="G1971" s="387">
        <v>55.7</v>
      </c>
      <c r="H1971" s="922">
        <v>0.57291666666666663</v>
      </c>
      <c r="I1971" s="1299"/>
      <c r="J1971" s="1299"/>
      <c r="K1971" s="1300"/>
      <c r="L1971" s="923"/>
      <c r="M1971" s="386"/>
    </row>
    <row r="1972" spans="3:13" ht="18" thickBot="1">
      <c r="C1972" s="90">
        <v>3</v>
      </c>
      <c r="D1972" s="557" t="s">
        <v>30</v>
      </c>
      <c r="E1972" s="1358" t="s">
        <v>1352</v>
      </c>
      <c r="F1972" s="1359"/>
      <c r="G1972" s="1360"/>
      <c r="H1972" s="911" t="s">
        <v>790</v>
      </c>
      <c r="I1972" s="1293" t="s">
        <v>633</v>
      </c>
      <c r="J1972" s="1293"/>
      <c r="K1972" s="1294"/>
      <c r="L1972" s="911" t="s">
        <v>430</v>
      </c>
      <c r="M1972" s="375" t="s">
        <v>431</v>
      </c>
    </row>
    <row r="1973" spans="3:13" ht="17">
      <c r="C1973" s="90"/>
      <c r="D1973" s="559" t="s">
        <v>432</v>
      </c>
      <c r="E1973" s="1307"/>
      <c r="F1973" s="1308"/>
      <c r="G1973" s="1309"/>
      <c r="H1973" s="919" t="s">
        <v>1400</v>
      </c>
      <c r="I1973" s="1295" t="s">
        <v>1353</v>
      </c>
      <c r="J1973" s="1295"/>
      <c r="K1973" s="1296"/>
      <c r="L1973" s="920"/>
      <c r="M1973" s="376" t="s">
        <v>1352</v>
      </c>
    </row>
    <row r="1974" spans="3:13" ht="17">
      <c r="C1974" s="90"/>
      <c r="D1974" s="560" t="s">
        <v>433</v>
      </c>
      <c r="E1974" s="1338" t="s">
        <v>1090</v>
      </c>
      <c r="F1974" s="1339"/>
      <c r="G1974" s="1340"/>
      <c r="H1974" s="907" t="s">
        <v>1401</v>
      </c>
      <c r="I1974" s="1297"/>
      <c r="J1974" s="1297"/>
      <c r="K1974" s="1298"/>
      <c r="L1974" s="920"/>
      <c r="M1974" s="377"/>
    </row>
    <row r="1975" spans="3:13" ht="17">
      <c r="C1975" s="90"/>
      <c r="D1975" s="560" t="s">
        <v>434</v>
      </c>
      <c r="E1975" s="1338">
        <v>7.0000000000000001E-3</v>
      </c>
      <c r="F1975" s="1339"/>
      <c r="G1975" s="1340"/>
      <c r="H1975" s="907"/>
      <c r="I1975" s="1297"/>
      <c r="J1975" s="1297"/>
      <c r="K1975" s="1298"/>
      <c r="L1975" s="920"/>
      <c r="M1975" s="377"/>
    </row>
    <row r="1976" spans="3:13" ht="18" thickBot="1">
      <c r="C1976" s="90"/>
      <c r="D1976" s="561" t="s">
        <v>435</v>
      </c>
      <c r="E1976" s="1313">
        <v>0.3125</v>
      </c>
      <c r="F1976" s="1314"/>
      <c r="G1976" s="1315"/>
      <c r="H1976" s="909"/>
      <c r="I1976" s="1297"/>
      <c r="J1976" s="1297"/>
      <c r="K1976" s="1298"/>
      <c r="L1976" s="378">
        <v>0.54166666666666663</v>
      </c>
      <c r="M1976" s="379">
        <v>0.39583333333333326</v>
      </c>
    </row>
    <row r="1977" spans="3:13" ht="18" thickBot="1">
      <c r="C1977" s="90"/>
      <c r="D1977" s="562" t="s">
        <v>436</v>
      </c>
      <c r="E1977" s="380" t="s">
        <v>29</v>
      </c>
      <c r="F1977" s="380" t="s">
        <v>28</v>
      </c>
      <c r="G1977" s="381" t="s">
        <v>27</v>
      </c>
      <c r="H1977" s="911" t="s">
        <v>793</v>
      </c>
      <c r="I1977" s="1297"/>
      <c r="J1977" s="1297"/>
      <c r="K1977" s="1298"/>
      <c r="L1977" s="921" t="s">
        <v>1246</v>
      </c>
      <c r="M1977" s="382"/>
    </row>
    <row r="1978" spans="3:13" ht="17">
      <c r="C1978" s="90"/>
      <c r="D1978" s="563">
        <v>45629</v>
      </c>
      <c r="E1978" s="564">
        <v>7.0000000000000001E-3</v>
      </c>
      <c r="F1978" s="564" t="s">
        <v>1001</v>
      </c>
      <c r="G1978" s="564">
        <v>6.0000000000000001E-3</v>
      </c>
      <c r="H1978" s="922">
        <v>0.3125</v>
      </c>
      <c r="I1978" s="1297"/>
      <c r="J1978" s="1297"/>
      <c r="K1978" s="1298"/>
      <c r="L1978" s="923"/>
      <c r="M1978" s="384"/>
    </row>
    <row r="1979" spans="3:13" ht="17">
      <c r="C1979" s="90"/>
      <c r="D1979" s="563">
        <v>45597</v>
      </c>
      <c r="E1979" s="564">
        <v>6.0000000000000001E-3</v>
      </c>
      <c r="F1979" s="564" t="s">
        <v>1001</v>
      </c>
      <c r="G1979" s="564">
        <v>8.0000000000000002E-3</v>
      </c>
      <c r="H1979" s="922">
        <v>0.3125</v>
      </c>
      <c r="I1979" s="1297"/>
      <c r="J1979" s="1297"/>
      <c r="K1979" s="1298"/>
      <c r="L1979" s="923"/>
      <c r="M1979" s="385"/>
    </row>
    <row r="1980" spans="3:13" ht="17">
      <c r="C1980" s="90"/>
      <c r="D1980" s="563">
        <v>45568</v>
      </c>
      <c r="E1980" s="564">
        <v>8.0000000000000002E-3</v>
      </c>
      <c r="F1980" s="564" t="s">
        <v>1382</v>
      </c>
      <c r="G1980" s="564">
        <v>1.0999999999999999E-2</v>
      </c>
      <c r="H1980" s="922">
        <v>0.27083333333333331</v>
      </c>
      <c r="I1980" s="1297"/>
      <c r="J1980" s="1297"/>
      <c r="K1980" s="1298"/>
      <c r="L1980" s="923"/>
      <c r="M1980" s="377"/>
    </row>
    <row r="1981" spans="3:13" ht="17">
      <c r="C1981" s="90"/>
      <c r="D1981" s="563">
        <v>45538</v>
      </c>
      <c r="E1981" s="564">
        <v>1.0999999999999999E-2</v>
      </c>
      <c r="F1981" s="564" t="s">
        <v>1383</v>
      </c>
      <c r="G1981" s="564">
        <v>1.2999999999999999E-2</v>
      </c>
      <c r="H1981" s="922">
        <v>0.27083333333333331</v>
      </c>
      <c r="I1981" s="1297"/>
      <c r="J1981" s="1297"/>
      <c r="K1981" s="1298"/>
      <c r="L1981" s="923"/>
      <c r="M1981" s="377"/>
    </row>
    <row r="1982" spans="3:13" ht="17">
      <c r="C1982" s="90"/>
      <c r="D1982" s="563">
        <v>45506</v>
      </c>
      <c r="E1982" s="564">
        <v>1.2999999999999999E-2</v>
      </c>
      <c r="F1982" s="564" t="s">
        <v>889</v>
      </c>
      <c r="G1982" s="564">
        <v>1.2999999999999999E-2</v>
      </c>
      <c r="H1982" s="922">
        <v>0.27083333333333331</v>
      </c>
      <c r="I1982" s="1297"/>
      <c r="J1982" s="1297"/>
      <c r="K1982" s="1298"/>
      <c r="L1982" s="923"/>
      <c r="M1982" s="377"/>
    </row>
    <row r="1983" spans="3:13" ht="18" thickBot="1">
      <c r="C1983" s="90"/>
      <c r="D1983" s="563">
        <v>45477</v>
      </c>
      <c r="E1983" s="564">
        <v>1.2999999999999999E-2</v>
      </c>
      <c r="F1983" s="564" t="s">
        <v>1384</v>
      </c>
      <c r="G1983" s="564">
        <v>1.4E-2</v>
      </c>
      <c r="H1983" s="922">
        <v>0.27083333333333331</v>
      </c>
      <c r="I1983" s="1299"/>
      <c r="J1983" s="1299"/>
      <c r="K1983" s="1300"/>
      <c r="L1983" s="923"/>
      <c r="M1983" s="386"/>
    </row>
    <row r="1984" spans="3:13" ht="18" thickBot="1">
      <c r="C1984" s="90">
        <v>3</v>
      </c>
      <c r="D1984" s="557" t="s">
        <v>30</v>
      </c>
      <c r="E1984" s="1358" t="s">
        <v>1354</v>
      </c>
      <c r="F1984" s="1359"/>
      <c r="G1984" s="1360"/>
      <c r="H1984" s="911" t="s">
        <v>790</v>
      </c>
      <c r="I1984" s="1293" t="s">
        <v>633</v>
      </c>
      <c r="J1984" s="1293"/>
      <c r="K1984" s="1294"/>
      <c r="L1984" s="911" t="s">
        <v>430</v>
      </c>
      <c r="M1984" s="375" t="s">
        <v>431</v>
      </c>
    </row>
    <row r="1985" spans="3:13" ht="17">
      <c r="C1985" s="90"/>
      <c r="D1985" s="559" t="s">
        <v>432</v>
      </c>
      <c r="E1985" s="1307"/>
      <c r="F1985" s="1308"/>
      <c r="G1985" s="1309"/>
      <c r="H1985" s="919" t="s">
        <v>1400</v>
      </c>
      <c r="I1985" s="1295" t="s">
        <v>1353</v>
      </c>
      <c r="J1985" s="1295"/>
      <c r="K1985" s="1296"/>
      <c r="L1985" s="920"/>
      <c r="M1985" s="376" t="s">
        <v>1354</v>
      </c>
    </row>
    <row r="1986" spans="3:13" ht="17">
      <c r="C1986" s="90"/>
      <c r="D1986" s="560" t="s">
        <v>433</v>
      </c>
      <c r="E1986" s="1370">
        <v>0</v>
      </c>
      <c r="F1986" s="1368"/>
      <c r="G1986" s="1369"/>
      <c r="H1986" s="907" t="s">
        <v>1401</v>
      </c>
      <c r="I1986" s="1297"/>
      <c r="J1986" s="1297"/>
      <c r="K1986" s="1298"/>
      <c r="L1986" s="920"/>
      <c r="M1986" s="377"/>
    </row>
    <row r="1987" spans="3:13" ht="17">
      <c r="C1987" s="90"/>
      <c r="D1987" s="560" t="s">
        <v>434</v>
      </c>
      <c r="E1987" s="1370">
        <v>2.1999999999999999E-2</v>
      </c>
      <c r="F1987" s="1368"/>
      <c r="G1987" s="1369"/>
      <c r="H1987" s="907"/>
      <c r="I1987" s="1297"/>
      <c r="J1987" s="1297"/>
      <c r="K1987" s="1298"/>
      <c r="L1987" s="920"/>
      <c r="M1987" s="377"/>
    </row>
    <row r="1988" spans="3:13" ht="18" thickBot="1">
      <c r="C1988" s="90"/>
      <c r="D1988" s="561" t="s">
        <v>435</v>
      </c>
      <c r="E1988" s="1313">
        <v>0.41666666666666674</v>
      </c>
      <c r="F1988" s="1314"/>
      <c r="G1988" s="1315"/>
      <c r="H1988" s="909">
        <v>0.2083333333333334</v>
      </c>
      <c r="I1988" s="1297"/>
      <c r="J1988" s="1297"/>
      <c r="K1988" s="1298"/>
      <c r="L1988" s="378">
        <v>0.64583333333333337</v>
      </c>
      <c r="M1988" s="379">
        <v>0.5</v>
      </c>
    </row>
    <row r="1989" spans="3:13" ht="18" thickBot="1">
      <c r="C1989" s="90"/>
      <c r="D1989" s="562" t="s">
        <v>436</v>
      </c>
      <c r="E1989" s="380" t="s">
        <v>29</v>
      </c>
      <c r="F1989" s="380" t="s">
        <v>28</v>
      </c>
      <c r="G1989" s="381" t="s">
        <v>27</v>
      </c>
      <c r="H1989" s="911" t="s">
        <v>793</v>
      </c>
      <c r="I1989" s="1297"/>
      <c r="J1989" s="1297"/>
      <c r="K1989" s="1298"/>
      <c r="L1989" s="921" t="s">
        <v>1246</v>
      </c>
      <c r="M1989" s="382"/>
    </row>
    <row r="1990" spans="3:13" ht="17">
      <c r="C1990" s="90"/>
      <c r="D1990" s="563">
        <v>45644</v>
      </c>
      <c r="E1990" s="565">
        <v>2.1999999999999999E-2</v>
      </c>
      <c r="F1990" s="565" t="s">
        <v>971</v>
      </c>
      <c r="G1990" s="565">
        <v>0.02</v>
      </c>
      <c r="H1990" s="922">
        <v>0.41666666666666669</v>
      </c>
      <c r="I1990" s="1297"/>
      <c r="J1990" s="1297"/>
      <c r="K1990" s="1298"/>
      <c r="L1990" s="923"/>
      <c r="M1990" s="384"/>
    </row>
    <row r="1991" spans="3:13" ht="17">
      <c r="C1991" s="90"/>
      <c r="D1991" s="563">
        <v>45625</v>
      </c>
      <c r="E1991" s="565">
        <v>2.3E-2</v>
      </c>
      <c r="F1991" s="565" t="s">
        <v>971</v>
      </c>
      <c r="G1991" s="565">
        <v>0.02</v>
      </c>
      <c r="H1991" s="922">
        <v>0.41666666666666669</v>
      </c>
      <c r="I1991" s="1297"/>
      <c r="J1991" s="1297"/>
      <c r="K1991" s="1298"/>
      <c r="L1991" s="923"/>
      <c r="M1991" s="385"/>
    </row>
    <row r="1992" spans="3:13" ht="17">
      <c r="C1992" s="90"/>
      <c r="D1992" s="563">
        <v>45615</v>
      </c>
      <c r="E1992" s="565">
        <v>0.02</v>
      </c>
      <c r="F1992" s="565" t="s">
        <v>788</v>
      </c>
      <c r="G1992" s="565">
        <v>0.02</v>
      </c>
      <c r="H1992" s="922">
        <v>0.41666666666666669</v>
      </c>
      <c r="I1992" s="1297"/>
      <c r="J1992" s="1297"/>
      <c r="K1992" s="1298"/>
      <c r="L1992" s="923"/>
      <c r="M1992" s="377"/>
    </row>
    <row r="1993" spans="3:13" ht="17">
      <c r="C1993" s="90"/>
      <c r="D1993" s="563">
        <v>45596</v>
      </c>
      <c r="E1993" s="565">
        <v>0.02</v>
      </c>
      <c r="F1993" s="565" t="s">
        <v>789</v>
      </c>
      <c r="G1993" s="565">
        <v>1.7000000000000001E-2</v>
      </c>
      <c r="H1993" s="922">
        <v>0.41666666666666669</v>
      </c>
      <c r="I1993" s="1297"/>
      <c r="J1993" s="1297"/>
      <c r="K1993" s="1298"/>
      <c r="L1993" s="923"/>
      <c r="M1993" s="377"/>
    </row>
    <row r="1994" spans="3:13" ht="17">
      <c r="C1994" s="90"/>
      <c r="D1994" s="563">
        <v>45582</v>
      </c>
      <c r="E1994" s="565">
        <v>1.7000000000000001E-2</v>
      </c>
      <c r="F1994" s="565" t="s">
        <v>895</v>
      </c>
      <c r="G1994" s="565">
        <v>2.1999999999999999E-2</v>
      </c>
      <c r="H1994" s="922">
        <v>0.375</v>
      </c>
      <c r="I1994" s="1297"/>
      <c r="J1994" s="1297"/>
      <c r="K1994" s="1298"/>
      <c r="L1994" s="923"/>
      <c r="M1994" s="377"/>
    </row>
    <row r="1995" spans="3:13" ht="18" thickBot="1">
      <c r="C1995" s="90"/>
      <c r="D1995" s="563">
        <v>45566</v>
      </c>
      <c r="E1995" s="565">
        <v>1.7999999999999999E-2</v>
      </c>
      <c r="F1995" s="565" t="s">
        <v>895</v>
      </c>
      <c r="G1995" s="565">
        <v>2.1999999999999999E-2</v>
      </c>
      <c r="H1995" s="922">
        <v>0.375</v>
      </c>
      <c r="I1995" s="1299"/>
      <c r="J1995" s="1299"/>
      <c r="K1995" s="1300"/>
      <c r="L1995" s="923"/>
      <c r="M1995" s="386"/>
    </row>
    <row r="1996" spans="3:13" ht="18" thickBot="1">
      <c r="C1996" s="90">
        <v>4</v>
      </c>
      <c r="D1996" s="557" t="s">
        <v>30</v>
      </c>
      <c r="E1996" s="1358" t="s">
        <v>1355</v>
      </c>
      <c r="F1996" s="1359"/>
      <c r="G1996" s="1360"/>
      <c r="H1996" s="911" t="s">
        <v>790</v>
      </c>
      <c r="I1996" s="1293" t="s">
        <v>633</v>
      </c>
      <c r="J1996" s="1293"/>
      <c r="K1996" s="1294"/>
      <c r="L1996" s="911" t="s">
        <v>430</v>
      </c>
      <c r="M1996" s="388" t="s">
        <v>431</v>
      </c>
    </row>
    <row r="1997" spans="3:13" ht="17">
      <c r="C1997" s="90"/>
      <c r="D1997" s="559" t="s">
        <v>432</v>
      </c>
      <c r="E1997" s="1307"/>
      <c r="F1997" s="1308"/>
      <c r="G1997" s="1309"/>
      <c r="H1997" s="919" t="s">
        <v>906</v>
      </c>
      <c r="I1997" s="1295" t="s">
        <v>1356</v>
      </c>
      <c r="J1997" s="1295"/>
      <c r="K1997" s="1296"/>
      <c r="L1997" s="920"/>
      <c r="M1997" s="376" t="s">
        <v>1355</v>
      </c>
    </row>
    <row r="1998" spans="3:13" ht="17">
      <c r="C1998" s="90"/>
      <c r="D1998" s="560" t="s">
        <v>433</v>
      </c>
      <c r="E1998" s="1367">
        <v>53.5</v>
      </c>
      <c r="F1998" s="1368"/>
      <c r="G1998" s="1369"/>
      <c r="H1998" s="907" t="s">
        <v>907</v>
      </c>
      <c r="I1998" s="1297"/>
      <c r="J1998" s="1297"/>
      <c r="K1998" s="1298"/>
      <c r="L1998" s="920"/>
      <c r="M1998" s="377"/>
    </row>
    <row r="1999" spans="3:13" ht="17">
      <c r="C1999" s="90"/>
      <c r="D1999" s="560" t="s">
        <v>434</v>
      </c>
      <c r="E1999" s="1361">
        <v>52.1</v>
      </c>
      <c r="F1999" s="1362"/>
      <c r="G1999" s="1363"/>
      <c r="H1999" s="907"/>
      <c r="I1999" s="1297"/>
      <c r="J1999" s="1297"/>
      <c r="K1999" s="1298"/>
      <c r="L1999" s="920"/>
      <c r="M1999" s="377"/>
    </row>
    <row r="2000" spans="3:13" ht="18" thickBot="1">
      <c r="C2000" s="90"/>
      <c r="D2000" s="561" t="s">
        <v>435</v>
      </c>
      <c r="E2000" s="1313">
        <v>0.625</v>
      </c>
      <c r="F2000" s="1314"/>
      <c r="G2000" s="1315"/>
      <c r="H2000" s="909">
        <v>0.41666666666666663</v>
      </c>
      <c r="I2000" s="1297"/>
      <c r="J2000" s="1297"/>
      <c r="K2000" s="1298"/>
      <c r="L2000" s="378">
        <v>0.85416666666666663</v>
      </c>
      <c r="M2000" s="379">
        <v>0.70833333333333326</v>
      </c>
    </row>
    <row r="2001" spans="3:13" ht="18" thickBot="1">
      <c r="C2001" s="90"/>
      <c r="D2001" s="562" t="s">
        <v>436</v>
      </c>
      <c r="E2001" s="380" t="s">
        <v>29</v>
      </c>
      <c r="F2001" s="380" t="s">
        <v>28</v>
      </c>
      <c r="G2001" s="381" t="s">
        <v>27</v>
      </c>
      <c r="H2001" s="911" t="s">
        <v>793</v>
      </c>
      <c r="I2001" s="1297"/>
      <c r="J2001" s="1297"/>
      <c r="K2001" s="1298"/>
      <c r="L2001" s="921"/>
      <c r="M2001" s="382"/>
    </row>
    <row r="2002" spans="3:13" ht="17">
      <c r="C2002" s="90"/>
      <c r="D2002" s="563">
        <v>45630</v>
      </c>
      <c r="E2002" s="429">
        <v>52.1</v>
      </c>
      <c r="F2002" s="429" t="s">
        <v>523</v>
      </c>
      <c r="G2002" s="429">
        <v>56</v>
      </c>
      <c r="H2002" s="922">
        <v>0.625</v>
      </c>
      <c r="I2002" s="1297"/>
      <c r="J2002" s="1297"/>
      <c r="K2002" s="1298"/>
      <c r="L2002" s="923"/>
      <c r="M2002" s="384"/>
    </row>
    <row r="2003" spans="3:13" ht="17">
      <c r="C2003" s="90"/>
      <c r="D2003" s="563">
        <v>45601</v>
      </c>
      <c r="E2003" s="429">
        <v>56</v>
      </c>
      <c r="F2003" s="429" t="s">
        <v>1344</v>
      </c>
      <c r="G2003" s="429">
        <v>54.9</v>
      </c>
      <c r="H2003" s="922">
        <v>0.625</v>
      </c>
      <c r="I2003" s="1297"/>
      <c r="J2003" s="1297"/>
      <c r="K2003" s="1298"/>
      <c r="L2003" s="923"/>
      <c r="M2003" s="385"/>
    </row>
    <row r="2004" spans="3:13" ht="17">
      <c r="C2004" s="90"/>
      <c r="D2004" s="563">
        <v>45568</v>
      </c>
      <c r="E2004" s="429">
        <v>54.9</v>
      </c>
      <c r="F2004" s="429" t="s">
        <v>506</v>
      </c>
      <c r="G2004" s="429">
        <v>51.5</v>
      </c>
      <c r="H2004" s="922">
        <v>0.58333333333333337</v>
      </c>
      <c r="I2004" s="1297"/>
      <c r="J2004" s="1297"/>
      <c r="K2004" s="1298"/>
      <c r="L2004" s="923"/>
      <c r="M2004" s="377"/>
    </row>
    <row r="2005" spans="3:13" ht="17">
      <c r="C2005" s="90"/>
      <c r="D2005" s="563">
        <v>45540</v>
      </c>
      <c r="E2005" s="429">
        <v>51.5</v>
      </c>
      <c r="F2005" s="429" t="s">
        <v>594</v>
      </c>
      <c r="G2005" s="429">
        <v>51.4</v>
      </c>
      <c r="H2005" s="922">
        <v>0.58333333333333337</v>
      </c>
      <c r="I2005" s="1297"/>
      <c r="J2005" s="1297"/>
      <c r="K2005" s="1298"/>
      <c r="L2005" s="923"/>
      <c r="M2005" s="377"/>
    </row>
    <row r="2006" spans="3:13" ht="17">
      <c r="C2006" s="90"/>
      <c r="D2006" s="563">
        <v>45509</v>
      </c>
      <c r="E2006" s="429">
        <v>51.4</v>
      </c>
      <c r="F2006" s="429" t="s">
        <v>595</v>
      </c>
      <c r="G2006" s="429">
        <v>48.8</v>
      </c>
      <c r="H2006" s="922">
        <v>0.58333333333333337</v>
      </c>
      <c r="I2006" s="1297"/>
      <c r="J2006" s="1297"/>
      <c r="K2006" s="1298"/>
      <c r="L2006" s="923"/>
      <c r="M2006" s="377"/>
    </row>
    <row r="2007" spans="3:13" ht="18" thickBot="1">
      <c r="C2007" s="90"/>
      <c r="D2007" s="563">
        <v>45476</v>
      </c>
      <c r="E2007" s="429">
        <v>48.8</v>
      </c>
      <c r="F2007" s="429" t="s">
        <v>596</v>
      </c>
      <c r="G2007" s="429">
        <v>53.8</v>
      </c>
      <c r="H2007" s="922">
        <v>0.58333333333333337</v>
      </c>
      <c r="I2007" s="1299"/>
      <c r="J2007" s="1299"/>
      <c r="K2007" s="1300"/>
      <c r="L2007" s="924"/>
      <c r="M2007" s="386"/>
    </row>
    <row r="2008" spans="3:13" ht="18" thickBot="1">
      <c r="C2008" s="90" t="e">
        <v>#REF!</v>
      </c>
      <c r="D2008" s="557" t="s">
        <v>30</v>
      </c>
      <c r="E2008" s="1358" t="s">
        <v>1357</v>
      </c>
      <c r="F2008" s="1359"/>
      <c r="G2008" s="1360"/>
      <c r="H2008" s="911" t="s">
        <v>790</v>
      </c>
      <c r="I2008" s="1293" t="s">
        <v>633</v>
      </c>
      <c r="J2008" s="1293"/>
      <c r="K2008" s="1294"/>
      <c r="L2008" s="911" t="s">
        <v>430</v>
      </c>
      <c r="M2008" s="375" t="s">
        <v>431</v>
      </c>
    </row>
    <row r="2009" spans="3:13" ht="17">
      <c r="C2009" s="90"/>
      <c r="D2009" s="559" t="s">
        <v>432</v>
      </c>
      <c r="E2009" s="1307"/>
      <c r="F2009" s="1308"/>
      <c r="G2009" s="1309"/>
      <c r="H2009" s="919" t="s">
        <v>906</v>
      </c>
      <c r="I2009" s="1295" t="s">
        <v>1358</v>
      </c>
      <c r="J2009" s="1295"/>
      <c r="K2009" s="1296"/>
      <c r="L2009" s="920"/>
      <c r="M2009" s="376" t="s">
        <v>1357</v>
      </c>
    </row>
    <row r="2010" spans="3:13" ht="17">
      <c r="C2010" s="90"/>
      <c r="D2010" s="560" t="s">
        <v>433</v>
      </c>
      <c r="E2010" s="1367"/>
      <c r="F2010" s="1368"/>
      <c r="G2010" s="1369"/>
      <c r="H2010" s="907" t="s">
        <v>907</v>
      </c>
      <c r="I2010" s="1297"/>
      <c r="J2010" s="1297"/>
      <c r="K2010" s="1298"/>
      <c r="L2010" s="920"/>
      <c r="M2010" s="377"/>
    </row>
    <row r="2011" spans="3:13" ht="17">
      <c r="C2011" s="90"/>
      <c r="D2011" s="560" t="s">
        <v>434</v>
      </c>
      <c r="E2011" s="1341">
        <v>58.2</v>
      </c>
      <c r="F2011" s="1339"/>
      <c r="G2011" s="1340"/>
      <c r="H2011" s="907"/>
      <c r="I2011" s="1297"/>
      <c r="J2011" s="1297"/>
      <c r="K2011" s="1298"/>
      <c r="L2011" s="920"/>
      <c r="M2011" s="377"/>
    </row>
    <row r="2012" spans="3:13" ht="18" thickBot="1">
      <c r="C2012" s="90"/>
      <c r="D2012" s="561" t="s">
        <v>435</v>
      </c>
      <c r="E2012" s="1313">
        <v>0.625</v>
      </c>
      <c r="F2012" s="1314"/>
      <c r="G2012" s="1315"/>
      <c r="H2012" s="909">
        <v>0.41666666666666663</v>
      </c>
      <c r="I2012" s="1297"/>
      <c r="J2012" s="1297"/>
      <c r="K2012" s="1298"/>
      <c r="L2012" s="378">
        <v>0.85416666666666663</v>
      </c>
      <c r="M2012" s="379">
        <v>0.75</v>
      </c>
    </row>
    <row r="2013" spans="3:13" ht="18" thickBot="1">
      <c r="C2013" s="90"/>
      <c r="D2013" s="562" t="s">
        <v>436</v>
      </c>
      <c r="E2013" s="380" t="s">
        <v>29</v>
      </c>
      <c r="F2013" s="380" t="s">
        <v>28</v>
      </c>
      <c r="G2013" s="381" t="s">
        <v>27</v>
      </c>
      <c r="H2013" s="911" t="s">
        <v>793</v>
      </c>
      <c r="I2013" s="1297"/>
      <c r="J2013" s="1297"/>
      <c r="K2013" s="1298"/>
      <c r="L2013" s="921" t="s">
        <v>1246</v>
      </c>
      <c r="M2013" s="382"/>
    </row>
    <row r="2014" spans="3:13" ht="17">
      <c r="C2014" s="90"/>
      <c r="D2014" s="563">
        <v>45630</v>
      </c>
      <c r="E2014" s="430">
        <v>58.2</v>
      </c>
      <c r="F2014" s="430" t="s">
        <v>1345</v>
      </c>
      <c r="G2014" s="430">
        <v>58.1</v>
      </c>
      <c r="H2014" s="922">
        <v>0.625</v>
      </c>
      <c r="I2014" s="1297"/>
      <c r="J2014" s="1297"/>
      <c r="K2014" s="1298"/>
      <c r="L2014" s="923">
        <v>0</v>
      </c>
      <c r="M2014" s="384"/>
    </row>
    <row r="2015" spans="3:13" ht="17">
      <c r="C2015" s="90"/>
      <c r="D2015" s="563">
        <v>45601</v>
      </c>
      <c r="E2015" s="430">
        <v>58.1</v>
      </c>
      <c r="F2015" s="430" t="s">
        <v>1346</v>
      </c>
      <c r="G2015" s="430">
        <v>59.4</v>
      </c>
      <c r="H2015" s="922">
        <v>0.625</v>
      </c>
      <c r="I2015" s="1297"/>
      <c r="J2015" s="1297"/>
      <c r="K2015" s="1298"/>
      <c r="L2015" s="923">
        <v>0</v>
      </c>
      <c r="M2015" s="385"/>
    </row>
    <row r="2016" spans="3:13" ht="17">
      <c r="C2016" s="90"/>
      <c r="D2016" s="563">
        <v>45568</v>
      </c>
      <c r="E2016" s="430">
        <v>59.4</v>
      </c>
      <c r="F2016" s="430" t="s">
        <v>943</v>
      </c>
      <c r="G2016" s="430">
        <v>57.3</v>
      </c>
      <c r="H2016" s="922">
        <v>0.58333333333333337</v>
      </c>
      <c r="I2016" s="1297"/>
      <c r="J2016" s="1297"/>
      <c r="K2016" s="1298"/>
      <c r="L2016" s="923">
        <v>0</v>
      </c>
      <c r="M2016" s="377"/>
    </row>
    <row r="2017" spans="3:13" ht="17">
      <c r="C2017" s="90"/>
      <c r="D2017" s="563">
        <v>45540</v>
      </c>
      <c r="E2017" s="430">
        <v>57.3</v>
      </c>
      <c r="F2017" s="430" t="s">
        <v>589</v>
      </c>
      <c r="G2017" s="430">
        <v>57</v>
      </c>
      <c r="H2017" s="922">
        <v>0.58333333333333337</v>
      </c>
      <c r="I2017" s="1297"/>
      <c r="J2017" s="1297"/>
      <c r="K2017" s="1298"/>
      <c r="L2017" s="923">
        <v>0</v>
      </c>
      <c r="M2017" s="377"/>
    </row>
    <row r="2018" spans="3:13" ht="17">
      <c r="C2018" s="90"/>
      <c r="D2018" s="563">
        <v>45509</v>
      </c>
      <c r="E2018" s="430">
        <v>57</v>
      </c>
      <c r="F2018" s="430" t="s">
        <v>589</v>
      </c>
      <c r="G2018" s="430">
        <v>56.3</v>
      </c>
      <c r="H2018" s="922">
        <v>0.58333333333333337</v>
      </c>
      <c r="I2018" s="1297"/>
      <c r="J2018" s="1297"/>
      <c r="K2018" s="1298"/>
      <c r="L2018" s="923">
        <v>0</v>
      </c>
      <c r="M2018" s="377"/>
    </row>
    <row r="2019" spans="3:13" ht="18" thickBot="1">
      <c r="C2019" s="90"/>
      <c r="D2019" s="563">
        <v>45476</v>
      </c>
      <c r="E2019" s="430">
        <v>56.3</v>
      </c>
      <c r="F2019" s="430" t="s">
        <v>602</v>
      </c>
      <c r="G2019" s="430">
        <v>58.1</v>
      </c>
      <c r="H2019" s="922">
        <v>0.58333333333333337</v>
      </c>
      <c r="I2019" s="1299"/>
      <c r="J2019" s="1299"/>
      <c r="K2019" s="1300"/>
      <c r="L2019" s="924">
        <v>0</v>
      </c>
      <c r="M2019" s="386"/>
    </row>
    <row r="2020" spans="3:13" ht="18" thickBot="1">
      <c r="C2020" s="90" t="e">
        <v>#REF!</v>
      </c>
      <c r="D2020" s="557" t="s">
        <v>30</v>
      </c>
      <c r="E2020" s="1358" t="s">
        <v>1359</v>
      </c>
      <c r="F2020" s="1359"/>
      <c r="G2020" s="1360"/>
      <c r="H2020" s="911" t="s">
        <v>790</v>
      </c>
      <c r="I2020" s="1293" t="s">
        <v>633</v>
      </c>
      <c r="J2020" s="1293"/>
      <c r="K2020" s="1294"/>
      <c r="L2020" s="911" t="s">
        <v>430</v>
      </c>
      <c r="M2020" s="375" t="s">
        <v>431</v>
      </c>
    </row>
    <row r="2021" spans="3:13" ht="17">
      <c r="C2021" s="90"/>
      <c r="D2021" s="559" t="s">
        <v>432</v>
      </c>
      <c r="E2021" s="1307"/>
      <c r="F2021" s="1308"/>
      <c r="G2021" s="1309"/>
      <c r="H2021" s="919" t="s">
        <v>906</v>
      </c>
      <c r="I2021" s="1295" t="s">
        <v>1362</v>
      </c>
      <c r="J2021" s="1295"/>
      <c r="K2021" s="1296"/>
      <c r="L2021" s="920"/>
      <c r="M2021" s="376" t="s">
        <v>1359</v>
      </c>
    </row>
    <row r="2022" spans="3:13" ht="17">
      <c r="C2022" s="90"/>
      <c r="D2022" s="560" t="s">
        <v>433</v>
      </c>
      <c r="E2022" s="1367" t="s">
        <v>1360</v>
      </c>
      <c r="F2022" s="1368"/>
      <c r="G2022" s="1369"/>
      <c r="H2022" s="907" t="s">
        <v>907</v>
      </c>
      <c r="I2022" s="1297"/>
      <c r="J2022" s="1297"/>
      <c r="K2022" s="1298"/>
      <c r="L2022" s="920"/>
      <c r="M2022" s="377"/>
    </row>
    <row r="2023" spans="3:13" ht="17">
      <c r="C2023" s="90"/>
      <c r="D2023" s="560" t="s">
        <v>434</v>
      </c>
      <c r="E2023" s="1367" t="s">
        <v>1361</v>
      </c>
      <c r="F2023" s="1368"/>
      <c r="G2023" s="1369"/>
      <c r="H2023" s="907"/>
      <c r="I2023" s="1297"/>
      <c r="J2023" s="1297"/>
      <c r="K2023" s="1298"/>
      <c r="L2023" s="920"/>
      <c r="M2023" s="377"/>
    </row>
    <row r="2024" spans="3:13" ht="18" thickBot="1">
      <c r="C2024" s="90"/>
      <c r="D2024" s="561" t="s">
        <v>435</v>
      </c>
      <c r="E2024" s="1313">
        <v>0.625</v>
      </c>
      <c r="F2024" s="1314"/>
      <c r="G2024" s="1315"/>
      <c r="H2024" s="909">
        <v>0.41666666666666663</v>
      </c>
      <c r="I2024" s="1297"/>
      <c r="J2024" s="1297"/>
      <c r="K2024" s="1298"/>
      <c r="L2024" s="378">
        <v>0.85416666666666663</v>
      </c>
      <c r="M2024" s="379">
        <v>0.70833333333333326</v>
      </c>
    </row>
    <row r="2025" spans="3:13" ht="18" thickBot="1">
      <c r="C2025" s="90"/>
      <c r="D2025" s="562" t="s">
        <v>436</v>
      </c>
      <c r="E2025" s="380" t="s">
        <v>29</v>
      </c>
      <c r="F2025" s="380" t="s">
        <v>28</v>
      </c>
      <c r="G2025" s="381" t="s">
        <v>27</v>
      </c>
      <c r="H2025" s="911" t="s">
        <v>793</v>
      </c>
      <c r="I2025" s="1297"/>
      <c r="J2025" s="1297"/>
      <c r="K2025" s="1298"/>
      <c r="L2025" s="921" t="s">
        <v>1246</v>
      </c>
      <c r="M2025" s="382"/>
    </row>
    <row r="2026" spans="3:13" ht="17">
      <c r="C2026" s="90"/>
      <c r="D2026" s="563">
        <v>45629</v>
      </c>
      <c r="E2026" s="389" t="s">
        <v>1385</v>
      </c>
      <c r="F2026" s="389" t="s">
        <v>1386</v>
      </c>
      <c r="G2026" s="389" t="s">
        <v>1387</v>
      </c>
      <c r="H2026" s="922">
        <v>0.625</v>
      </c>
      <c r="I2026" s="1297"/>
      <c r="J2026" s="1297"/>
      <c r="K2026" s="1298"/>
      <c r="L2026" s="923"/>
      <c r="M2026" s="384"/>
    </row>
    <row r="2027" spans="3:13" ht="17">
      <c r="C2027" s="90"/>
      <c r="D2027" s="563">
        <v>45594</v>
      </c>
      <c r="E2027" s="389" t="s">
        <v>1174</v>
      </c>
      <c r="F2027" s="389" t="s">
        <v>1175</v>
      </c>
      <c r="G2027" s="389" t="s">
        <v>1176</v>
      </c>
      <c r="H2027" s="922">
        <v>0.58333333333333337</v>
      </c>
      <c r="I2027" s="1297"/>
      <c r="J2027" s="1297"/>
      <c r="K2027" s="1298"/>
      <c r="L2027" s="923"/>
      <c r="M2027" s="385"/>
    </row>
    <row r="2028" spans="3:13" ht="17">
      <c r="C2028" s="90"/>
      <c r="D2028" s="563">
        <v>45566</v>
      </c>
      <c r="E2028" s="389" t="s">
        <v>1177</v>
      </c>
      <c r="F2028" s="389" t="s">
        <v>1178</v>
      </c>
      <c r="G2028" s="389" t="s">
        <v>1179</v>
      </c>
      <c r="H2028" s="922">
        <v>0.58333333333333337</v>
      </c>
      <c r="I2028" s="1297"/>
      <c r="J2028" s="1297"/>
      <c r="K2028" s="1298"/>
      <c r="L2028" s="923"/>
      <c r="M2028" s="377"/>
    </row>
    <row r="2029" spans="3:13" ht="17">
      <c r="C2029" s="90"/>
      <c r="D2029" s="563">
        <v>45539</v>
      </c>
      <c r="E2029" s="389" t="s">
        <v>1180</v>
      </c>
      <c r="F2029" s="389" t="s">
        <v>1181</v>
      </c>
      <c r="G2029" s="389" t="s">
        <v>1182</v>
      </c>
      <c r="H2029" s="922">
        <v>0.58333333333333337</v>
      </c>
      <c r="I2029" s="1297"/>
      <c r="J2029" s="1297"/>
      <c r="K2029" s="1298"/>
      <c r="L2029" s="923"/>
      <c r="M2029" s="377"/>
    </row>
    <row r="2030" spans="3:13" ht="17">
      <c r="C2030" s="90"/>
      <c r="D2030" s="563">
        <v>45503</v>
      </c>
      <c r="E2030" s="389" t="s">
        <v>1183</v>
      </c>
      <c r="F2030" s="389" t="s">
        <v>1184</v>
      </c>
      <c r="G2030" s="389" t="s">
        <v>1185</v>
      </c>
      <c r="H2030" s="922">
        <v>0.58333333333333337</v>
      </c>
      <c r="I2030" s="1297"/>
      <c r="J2030" s="1297"/>
      <c r="K2030" s="1298"/>
      <c r="L2030" s="923"/>
      <c r="M2030" s="377"/>
    </row>
    <row r="2031" spans="3:13" ht="18" thickBot="1">
      <c r="C2031" s="90"/>
      <c r="D2031" s="563">
        <v>45475</v>
      </c>
      <c r="E2031" s="389" t="s">
        <v>1186</v>
      </c>
      <c r="F2031" s="389" t="s">
        <v>1187</v>
      </c>
      <c r="G2031" s="389" t="s">
        <v>1188</v>
      </c>
      <c r="H2031" s="922">
        <v>0.58333333333333337</v>
      </c>
      <c r="I2031" s="1299"/>
      <c r="J2031" s="1299"/>
      <c r="K2031" s="1300"/>
      <c r="L2031" s="924"/>
      <c r="M2031" s="386"/>
    </row>
    <row r="2032" spans="3:13" ht="18" thickBot="1">
      <c r="C2032" s="90" t="e">
        <v>#REF!</v>
      </c>
      <c r="D2032" s="557" t="s">
        <v>30</v>
      </c>
      <c r="E2032" s="1358" t="s">
        <v>1364</v>
      </c>
      <c r="F2032" s="1359"/>
      <c r="G2032" s="1360"/>
      <c r="H2032" s="911" t="s">
        <v>790</v>
      </c>
      <c r="I2032" s="1293" t="s">
        <v>633</v>
      </c>
      <c r="J2032" s="1293"/>
      <c r="K2032" s="1294"/>
      <c r="L2032" s="911" t="s">
        <v>430</v>
      </c>
      <c r="M2032" s="375" t="s">
        <v>431</v>
      </c>
    </row>
    <row r="2033" spans="3:13" ht="17">
      <c r="C2033" s="90"/>
      <c r="D2033" s="559" t="s">
        <v>432</v>
      </c>
      <c r="E2033" s="1307"/>
      <c r="F2033" s="1308"/>
      <c r="G2033" s="1309"/>
      <c r="H2033" s="919" t="s">
        <v>906</v>
      </c>
      <c r="I2033" s="1295" t="s">
        <v>1366</v>
      </c>
      <c r="J2033" s="1295"/>
      <c r="K2033" s="1296"/>
      <c r="L2033" s="920"/>
      <c r="M2033" s="376" t="s">
        <v>1364</v>
      </c>
    </row>
    <row r="2034" spans="3:13" ht="17">
      <c r="C2034" s="90"/>
      <c r="D2034" s="560" t="s">
        <v>433</v>
      </c>
      <c r="E2034" s="1341"/>
      <c r="F2034" s="1339"/>
      <c r="G2034" s="1340"/>
      <c r="H2034" s="907" t="s">
        <v>907</v>
      </c>
      <c r="I2034" s="1297"/>
      <c r="J2034" s="1297"/>
      <c r="K2034" s="1298"/>
      <c r="L2034" s="920"/>
      <c r="M2034" s="377"/>
    </row>
    <row r="2035" spans="3:13" ht="17">
      <c r="C2035" s="90"/>
      <c r="D2035" s="560" t="s">
        <v>434</v>
      </c>
      <c r="E2035" s="1341" t="s">
        <v>1365</v>
      </c>
      <c r="F2035" s="1339"/>
      <c r="G2035" s="1340"/>
      <c r="H2035" s="907"/>
      <c r="I2035" s="1297"/>
      <c r="J2035" s="1297"/>
      <c r="K2035" s="1298"/>
      <c r="L2035" s="920"/>
      <c r="M2035" s="377"/>
    </row>
    <row r="2036" spans="3:13" ht="18" thickBot="1">
      <c r="C2036" s="90"/>
      <c r="D2036" s="561" t="s">
        <v>435</v>
      </c>
      <c r="E2036" s="1313">
        <v>0.75</v>
      </c>
      <c r="F2036" s="1314"/>
      <c r="G2036" s="1315"/>
      <c r="H2036" s="909">
        <v>0.54166666666666663</v>
      </c>
      <c r="I2036" s="1297"/>
      <c r="J2036" s="1297"/>
      <c r="K2036" s="1298"/>
      <c r="L2036" s="378">
        <v>0.97916666666666663</v>
      </c>
      <c r="M2036" s="379">
        <v>0.83333333333333326</v>
      </c>
    </row>
    <row r="2037" spans="3:13" ht="18" thickBot="1">
      <c r="C2037" s="90"/>
      <c r="D2037" s="562" t="s">
        <v>436</v>
      </c>
      <c r="E2037" s="380" t="s">
        <v>29</v>
      </c>
      <c r="F2037" s="380" t="s">
        <v>28</v>
      </c>
      <c r="G2037" s="381" t="s">
        <v>27</v>
      </c>
      <c r="H2037" s="911" t="s">
        <v>793</v>
      </c>
      <c r="I2037" s="1297"/>
      <c r="J2037" s="1297"/>
      <c r="K2037" s="1298"/>
      <c r="L2037" s="921" t="s">
        <v>1246</v>
      </c>
      <c r="M2037" s="382"/>
    </row>
    <row r="2038" spans="3:13" ht="17">
      <c r="C2038" s="90"/>
      <c r="D2038" s="563">
        <v>45630</v>
      </c>
      <c r="E2038" s="387" t="s">
        <v>1388</v>
      </c>
      <c r="F2038" s="387" t="s">
        <v>1389</v>
      </c>
      <c r="G2038" s="387" t="s">
        <v>1390</v>
      </c>
      <c r="H2038" s="925">
        <v>0.55208333333333337</v>
      </c>
      <c r="I2038" s="1297"/>
      <c r="J2038" s="1297"/>
      <c r="K2038" s="1298"/>
      <c r="L2038" s="923"/>
      <c r="M2038" s="384"/>
    </row>
    <row r="2039" spans="3:13" ht="17">
      <c r="C2039" s="90"/>
      <c r="D2039" s="563">
        <v>45595</v>
      </c>
      <c r="E2039" s="387" t="s">
        <v>1192</v>
      </c>
      <c r="F2039" s="387" t="s">
        <v>1193</v>
      </c>
      <c r="G2039" s="387" t="s">
        <v>1194</v>
      </c>
      <c r="H2039" s="925">
        <v>0.51041666666666663</v>
      </c>
      <c r="I2039" s="1297"/>
      <c r="J2039" s="1297"/>
      <c r="K2039" s="1298"/>
      <c r="L2039" s="923"/>
      <c r="M2039" s="385"/>
    </row>
    <row r="2040" spans="3:13" ht="17">
      <c r="C2040" s="90"/>
      <c r="D2040" s="563">
        <v>45567</v>
      </c>
      <c r="E2040" s="387" t="s">
        <v>1195</v>
      </c>
      <c r="F2040" s="387" t="s">
        <v>1196</v>
      </c>
      <c r="G2040" s="387" t="s">
        <v>1197</v>
      </c>
      <c r="H2040" s="925">
        <v>0.51041666666666663</v>
      </c>
      <c r="I2040" s="1297"/>
      <c r="J2040" s="1297"/>
      <c r="K2040" s="1298"/>
      <c r="L2040" s="923"/>
      <c r="M2040" s="377"/>
    </row>
    <row r="2041" spans="3:13" ht="17">
      <c r="C2041" s="90"/>
      <c r="D2041" s="563">
        <v>45540</v>
      </c>
      <c r="E2041" s="387" t="s">
        <v>407</v>
      </c>
      <c r="F2041" s="387" t="s">
        <v>1199</v>
      </c>
      <c r="G2041" s="387" t="s">
        <v>1200</v>
      </c>
      <c r="H2041" s="925">
        <v>0.51041666666666663</v>
      </c>
      <c r="I2041" s="1297"/>
      <c r="J2041" s="1297"/>
      <c r="K2041" s="1298"/>
      <c r="L2041" s="923"/>
      <c r="M2041" s="377"/>
    </row>
    <row r="2042" spans="3:13" ht="17">
      <c r="C2042" s="90"/>
      <c r="D2042" s="563">
        <v>45504</v>
      </c>
      <c r="E2042" s="387" t="s">
        <v>1201</v>
      </c>
      <c r="F2042" s="387" t="s">
        <v>1202</v>
      </c>
      <c r="G2042" s="387" t="s">
        <v>1203</v>
      </c>
      <c r="H2042" s="925">
        <v>0.51041666666666663</v>
      </c>
      <c r="I2042" s="1297"/>
      <c r="J2042" s="1297"/>
      <c r="K2042" s="1298"/>
      <c r="L2042" s="923"/>
      <c r="M2042" s="377"/>
    </row>
    <row r="2043" spans="3:13" ht="18" thickBot="1">
      <c r="C2043" s="90"/>
      <c r="D2043" s="563">
        <v>45476</v>
      </c>
      <c r="E2043" s="387" t="s">
        <v>1204</v>
      </c>
      <c r="F2043" s="387" t="s">
        <v>1205</v>
      </c>
      <c r="G2043" s="387" t="s">
        <v>1206</v>
      </c>
      <c r="H2043" s="925">
        <v>0.51041666666666663</v>
      </c>
      <c r="I2043" s="1299"/>
      <c r="J2043" s="1299"/>
      <c r="K2043" s="1300"/>
      <c r="L2043" s="924"/>
      <c r="M2043" s="386"/>
    </row>
    <row r="2044" spans="3:13" ht="18" thickBot="1">
      <c r="C2044" s="90" t="e">
        <v>#REF!</v>
      </c>
      <c r="D2044" s="557" t="s">
        <v>30</v>
      </c>
      <c r="E2044" s="1358" t="s">
        <v>9</v>
      </c>
      <c r="F2044" s="1359"/>
      <c r="G2044" s="1360"/>
      <c r="H2044" s="911" t="s">
        <v>790</v>
      </c>
      <c r="I2044" s="1293" t="s">
        <v>633</v>
      </c>
      <c r="J2044" s="1293"/>
      <c r="K2044" s="1294"/>
      <c r="L2044" s="911" t="s">
        <v>430</v>
      </c>
      <c r="M2044" s="375" t="s">
        <v>431</v>
      </c>
    </row>
    <row r="2045" spans="3:13" ht="17">
      <c r="C2045" s="162"/>
      <c r="D2045" s="559" t="s">
        <v>432</v>
      </c>
      <c r="E2045" s="1307"/>
      <c r="F2045" s="1308"/>
      <c r="G2045" s="1309"/>
      <c r="H2045" s="919" t="s">
        <v>796</v>
      </c>
      <c r="I2045" s="1295" t="s">
        <v>1370</v>
      </c>
      <c r="J2045" s="1295"/>
      <c r="K2045" s="1296"/>
      <c r="L2045" s="920"/>
      <c r="M2045" s="377"/>
    </row>
    <row r="2046" spans="3:13" ht="17">
      <c r="C2046" s="162"/>
      <c r="D2046" s="560" t="s">
        <v>433</v>
      </c>
      <c r="E2046" s="1341">
        <v>0</v>
      </c>
      <c r="F2046" s="1339"/>
      <c r="G2046" s="1340"/>
      <c r="H2046" s="919" t="s">
        <v>796</v>
      </c>
      <c r="I2046" s="1297"/>
      <c r="J2046" s="1297"/>
      <c r="K2046" s="1298"/>
      <c r="L2046" s="920"/>
      <c r="M2046" s="377"/>
    </row>
    <row r="2047" spans="3:13" ht="17">
      <c r="C2047" s="162"/>
      <c r="D2047" s="560" t="s">
        <v>434</v>
      </c>
      <c r="E2047" s="1341" t="s">
        <v>1369</v>
      </c>
      <c r="F2047" s="1339"/>
      <c r="G2047" s="1340"/>
      <c r="H2047" s="907"/>
      <c r="I2047" s="1297"/>
      <c r="J2047" s="1297"/>
      <c r="K2047" s="1298"/>
      <c r="L2047" s="920"/>
      <c r="M2047" s="377"/>
    </row>
    <row r="2048" spans="3:13" ht="18" thickBot="1">
      <c r="C2048" s="162"/>
      <c r="D2048" s="561" t="s">
        <v>435</v>
      </c>
      <c r="E2048" s="1313">
        <v>0.55208333333333337</v>
      </c>
      <c r="F2048" s="1314"/>
      <c r="G2048" s="1315"/>
      <c r="H2048" s="909"/>
      <c r="I2048" s="1297"/>
      <c r="J2048" s="1297"/>
      <c r="K2048" s="1298"/>
      <c r="L2048" s="378">
        <v>0.78125</v>
      </c>
      <c r="M2048" s="379">
        <v>0.63541666666666663</v>
      </c>
    </row>
    <row r="2049" spans="3:13" ht="18" thickBot="1">
      <c r="C2049" s="162"/>
      <c r="D2049" s="562" t="s">
        <v>436</v>
      </c>
      <c r="E2049" s="380" t="s">
        <v>29</v>
      </c>
      <c r="F2049" s="380" t="s">
        <v>28</v>
      </c>
      <c r="G2049" s="381" t="s">
        <v>27</v>
      </c>
      <c r="H2049" s="911" t="s">
        <v>793</v>
      </c>
      <c r="I2049" s="1297"/>
      <c r="J2049" s="1297"/>
      <c r="K2049" s="1298"/>
      <c r="L2049" s="921" t="s">
        <v>1246</v>
      </c>
      <c r="M2049" s="382"/>
    </row>
    <row r="2050" spans="3:13" ht="17">
      <c r="C2050" s="162"/>
      <c r="D2050" s="563">
        <v>45659</v>
      </c>
      <c r="E2050" s="440" t="s">
        <v>1391</v>
      </c>
      <c r="F2050" s="440" t="s">
        <v>1392</v>
      </c>
      <c r="G2050" s="440" t="s">
        <v>1342</v>
      </c>
      <c r="H2050" s="925">
        <v>0.66666666666666663</v>
      </c>
      <c r="I2050" s="1297"/>
      <c r="J2050" s="1297"/>
      <c r="K2050" s="1298"/>
      <c r="L2050" s="923"/>
      <c r="M2050" s="384"/>
    </row>
    <row r="2051" spans="3:13" ht="17">
      <c r="C2051" s="162"/>
      <c r="D2051" s="563">
        <v>45653</v>
      </c>
      <c r="E2051" s="440" t="s">
        <v>1342</v>
      </c>
      <c r="F2051" s="440" t="s">
        <v>1343</v>
      </c>
      <c r="G2051" s="440" t="s">
        <v>1318</v>
      </c>
      <c r="H2051" s="925">
        <v>0.75</v>
      </c>
      <c r="I2051" s="1297"/>
      <c r="J2051" s="1297"/>
      <c r="K2051" s="1298"/>
      <c r="L2051" s="923"/>
      <c r="M2051" s="385"/>
    </row>
    <row r="2052" spans="3:13" ht="17">
      <c r="C2052" s="162"/>
      <c r="D2052" s="563">
        <v>45644</v>
      </c>
      <c r="E2052" s="440" t="s">
        <v>1318</v>
      </c>
      <c r="F2052" s="440" t="s">
        <v>1289</v>
      </c>
      <c r="G2052" s="440" t="s">
        <v>1393</v>
      </c>
      <c r="H2052" s="925">
        <v>0.64583333333333337</v>
      </c>
      <c r="I2052" s="1297"/>
      <c r="J2052" s="1297"/>
      <c r="K2052" s="1298"/>
      <c r="L2052" s="923"/>
      <c r="M2052" s="377"/>
    </row>
    <row r="2053" spans="3:13" ht="17">
      <c r="C2053" s="162"/>
      <c r="D2053" s="563">
        <v>45637</v>
      </c>
      <c r="E2053" s="440" t="s">
        <v>1393</v>
      </c>
      <c r="F2053" s="440" t="s">
        <v>1394</v>
      </c>
      <c r="G2053" s="440" t="s">
        <v>1395</v>
      </c>
      <c r="H2053" s="925">
        <v>0.64583333333333337</v>
      </c>
      <c r="I2053" s="1297"/>
      <c r="J2053" s="1297"/>
      <c r="K2053" s="1298"/>
      <c r="L2053" s="923"/>
      <c r="M2053" s="377"/>
    </row>
    <row r="2054" spans="3:13" ht="17">
      <c r="C2054" s="162"/>
      <c r="D2054" s="563">
        <v>45630</v>
      </c>
      <c r="E2054" s="440" t="s">
        <v>1395</v>
      </c>
      <c r="F2054" s="440" t="s">
        <v>1396</v>
      </c>
      <c r="G2054" s="440" t="s">
        <v>1230</v>
      </c>
      <c r="H2054" s="925">
        <v>0.64583333333333337</v>
      </c>
      <c r="I2054" s="1297"/>
      <c r="J2054" s="1297"/>
      <c r="K2054" s="1298"/>
      <c r="L2054" s="923"/>
      <c r="M2054" s="377"/>
    </row>
    <row r="2055" spans="3:13" ht="18" thickBot="1">
      <c r="C2055" s="162"/>
      <c r="D2055" s="563">
        <v>45623</v>
      </c>
      <c r="E2055" s="440" t="s">
        <v>1230</v>
      </c>
      <c r="F2055" s="440" t="s">
        <v>1231</v>
      </c>
      <c r="G2055" s="440" t="s">
        <v>1125</v>
      </c>
      <c r="H2055" s="925">
        <v>0.64583333333333337</v>
      </c>
      <c r="I2055" s="1299"/>
      <c r="J2055" s="1299"/>
      <c r="K2055" s="1300"/>
      <c r="L2055" s="924"/>
      <c r="M2055" s="386"/>
    </row>
    <row r="2056" spans="3:13" ht="18" thickBot="1">
      <c r="C2056" s="90" t="e">
        <v>#REF!</v>
      </c>
      <c r="D2056" s="557" t="s">
        <v>30</v>
      </c>
      <c r="E2056" s="1358" t="s">
        <v>927</v>
      </c>
      <c r="F2056" s="1359"/>
      <c r="G2056" s="1360"/>
      <c r="H2056" s="911" t="s">
        <v>790</v>
      </c>
      <c r="I2056" s="1293" t="s">
        <v>633</v>
      </c>
      <c r="J2056" s="1293"/>
      <c r="K2056" s="1294"/>
      <c r="L2056" s="911" t="s">
        <v>430</v>
      </c>
      <c r="M2056" s="375" t="s">
        <v>431</v>
      </c>
    </row>
    <row r="2057" spans="3:13" ht="17">
      <c r="C2057" s="162"/>
      <c r="D2057" s="559" t="s">
        <v>432</v>
      </c>
      <c r="E2057" s="1307"/>
      <c r="F2057" s="1308"/>
      <c r="G2057" s="1309"/>
      <c r="H2057" s="919" t="s">
        <v>906</v>
      </c>
      <c r="I2057" s="1295" t="e">
        <v>#REF!</v>
      </c>
      <c r="J2057" s="1295"/>
      <c r="K2057" s="1296"/>
      <c r="L2057" s="926"/>
      <c r="M2057" s="377"/>
    </row>
    <row r="2058" spans="3:13" ht="17">
      <c r="C2058" s="162"/>
      <c r="D2058" s="560" t="s">
        <v>433</v>
      </c>
      <c r="E2058" s="1341">
        <v>0</v>
      </c>
      <c r="F2058" s="1339"/>
      <c r="G2058" s="1340"/>
      <c r="H2058" s="907" t="s">
        <v>907</v>
      </c>
      <c r="I2058" s="1297"/>
      <c r="J2058" s="1297"/>
      <c r="K2058" s="1298"/>
      <c r="L2058" s="920"/>
      <c r="M2058" s="377"/>
    </row>
    <row r="2059" spans="3:13" ht="17">
      <c r="C2059" s="162"/>
      <c r="D2059" s="560" t="s">
        <v>434</v>
      </c>
      <c r="E2059" s="1371">
        <v>4.5350000000000001E-2</v>
      </c>
      <c r="F2059" s="1372"/>
      <c r="G2059" s="1373"/>
      <c r="H2059" s="907"/>
      <c r="I2059" s="1297"/>
      <c r="J2059" s="1297"/>
      <c r="K2059" s="1298"/>
      <c r="L2059" s="920"/>
      <c r="M2059" s="377"/>
    </row>
    <row r="2060" spans="3:13" ht="18" thickBot="1">
      <c r="C2060" s="162"/>
      <c r="D2060" s="561" t="s">
        <v>435</v>
      </c>
      <c r="E2060" s="1313">
        <v>0.5625</v>
      </c>
      <c r="F2060" s="1314"/>
      <c r="G2060" s="1315"/>
      <c r="H2060" s="909"/>
      <c r="I2060" s="1297"/>
      <c r="J2060" s="1297"/>
      <c r="K2060" s="1298"/>
      <c r="L2060" s="378">
        <v>0.79166666666666663</v>
      </c>
      <c r="M2060" s="379">
        <v>0.64583333333333326</v>
      </c>
    </row>
    <row r="2061" spans="3:13" ht="18" thickBot="1">
      <c r="C2061" s="162"/>
      <c r="D2061" s="562" t="s">
        <v>436</v>
      </c>
      <c r="E2061" s="380" t="s">
        <v>29</v>
      </c>
      <c r="F2061" s="380" t="s">
        <v>28</v>
      </c>
      <c r="G2061" s="381" t="s">
        <v>27</v>
      </c>
      <c r="H2061" s="911" t="s">
        <v>793</v>
      </c>
      <c r="I2061" s="1297"/>
      <c r="J2061" s="1297"/>
      <c r="K2061" s="1298"/>
      <c r="L2061" s="921" t="s">
        <v>1246</v>
      </c>
      <c r="M2061" s="382"/>
    </row>
    <row r="2062" spans="3:13" ht="17">
      <c r="C2062" s="162"/>
      <c r="D2062" s="563">
        <v>45637</v>
      </c>
      <c r="E2062" s="440">
        <v>4.2349999999999999E-2</v>
      </c>
      <c r="F2062" s="440" t="s">
        <v>754</v>
      </c>
      <c r="G2062" s="440">
        <v>4.3470000000000002E-2</v>
      </c>
      <c r="H2062" s="925">
        <v>0.75</v>
      </c>
      <c r="I2062" s="1297"/>
      <c r="J2062" s="1297"/>
      <c r="K2062" s="1298"/>
      <c r="L2062" s="923"/>
      <c r="M2062" s="384"/>
    </row>
    <row r="2063" spans="3:13" ht="17">
      <c r="C2063" s="162"/>
      <c r="D2063" s="563">
        <v>45601</v>
      </c>
      <c r="E2063" s="440">
        <v>4.3470000000000002E-2</v>
      </c>
      <c r="F2063" s="440" t="s">
        <v>754</v>
      </c>
      <c r="G2063" s="440">
        <v>4.0660000000000002E-2</v>
      </c>
      <c r="H2063" s="925">
        <v>0.75</v>
      </c>
      <c r="I2063" s="1297"/>
      <c r="J2063" s="1297"/>
      <c r="K2063" s="1298"/>
      <c r="L2063" s="923"/>
      <c r="M2063" s="385"/>
    </row>
    <row r="2064" spans="3:13" ht="17">
      <c r="C2064" s="162"/>
      <c r="D2064" s="563">
        <v>45574</v>
      </c>
      <c r="E2064" s="440">
        <v>4.0660000000000002E-2</v>
      </c>
      <c r="F2064" s="440" t="s">
        <v>754</v>
      </c>
      <c r="G2064" s="440">
        <v>3.6479999999999999E-2</v>
      </c>
      <c r="H2064" s="925">
        <v>0.70833333333333337</v>
      </c>
      <c r="I2064" s="1297"/>
      <c r="J2064" s="1297"/>
      <c r="K2064" s="1298"/>
      <c r="L2064" s="923"/>
      <c r="M2064" s="377"/>
    </row>
    <row r="2065" spans="3:13" ht="17">
      <c r="C2065" s="162"/>
      <c r="D2065" s="563">
        <v>45546</v>
      </c>
      <c r="E2065" s="440">
        <v>3.6479999999999999E-2</v>
      </c>
      <c r="F2065" s="440" t="s">
        <v>754</v>
      </c>
      <c r="G2065" s="440">
        <v>3.9600000000000003E-2</v>
      </c>
      <c r="H2065" s="925">
        <v>0.70833333333333337</v>
      </c>
      <c r="I2065" s="1297"/>
      <c r="J2065" s="1297"/>
      <c r="K2065" s="1298"/>
      <c r="L2065" s="923"/>
      <c r="M2065" s="377"/>
    </row>
    <row r="2066" spans="3:13" ht="17">
      <c r="C2066" s="162"/>
      <c r="D2066" s="563">
        <v>45511</v>
      </c>
      <c r="E2066" s="440">
        <v>3.9600000000000003E-2</v>
      </c>
      <c r="F2066" s="440" t="s">
        <v>754</v>
      </c>
      <c r="G2066" s="440">
        <v>4.2759999999999999E-2</v>
      </c>
      <c r="H2066" s="925">
        <v>0.70833333333333337</v>
      </c>
      <c r="I2066" s="1297"/>
      <c r="J2066" s="1297"/>
      <c r="K2066" s="1298"/>
      <c r="L2066" s="923"/>
      <c r="M2066" s="377"/>
    </row>
    <row r="2067" spans="3:13" ht="18" thickBot="1">
      <c r="C2067" s="162"/>
      <c r="D2067" s="563">
        <v>45483</v>
      </c>
      <c r="E2067" s="440">
        <v>4.2759999999999999E-2</v>
      </c>
      <c r="F2067" s="440" t="s">
        <v>754</v>
      </c>
      <c r="G2067" s="440">
        <v>4.4380000000000003E-2</v>
      </c>
      <c r="H2067" s="925">
        <v>0.70833333333333337</v>
      </c>
      <c r="I2067" s="1299"/>
      <c r="J2067" s="1299"/>
      <c r="K2067" s="1300"/>
      <c r="L2067" s="924"/>
      <c r="M2067" s="386"/>
    </row>
    <row r="2068" spans="3:13" ht="18" thickBot="1">
      <c r="C2068" s="90" t="e">
        <v>#REF!</v>
      </c>
      <c r="D2068" s="557" t="s">
        <v>30</v>
      </c>
      <c r="E2068" s="1358" t="s">
        <v>7</v>
      </c>
      <c r="F2068" s="1359"/>
      <c r="G2068" s="1360"/>
      <c r="H2068" s="911" t="s">
        <v>790</v>
      </c>
      <c r="I2068" s="1293" t="s">
        <v>633</v>
      </c>
      <c r="J2068" s="1293"/>
      <c r="K2068" s="1294"/>
      <c r="L2068" s="911" t="s">
        <v>430</v>
      </c>
      <c r="M2068" s="375" t="s">
        <v>431</v>
      </c>
    </row>
    <row r="2069" spans="3:13" ht="17">
      <c r="C2069" s="162"/>
      <c r="D2069" s="559" t="s">
        <v>432</v>
      </c>
      <c r="E2069" s="1307"/>
      <c r="F2069" s="1308"/>
      <c r="G2069" s="1309"/>
      <c r="H2069" s="919" t="s">
        <v>906</v>
      </c>
      <c r="I2069" s="1295" t="s">
        <v>1371</v>
      </c>
      <c r="J2069" s="1295"/>
      <c r="K2069" s="1296"/>
      <c r="L2069" s="920"/>
      <c r="M2069" s="377"/>
    </row>
    <row r="2070" spans="3:13" ht="17">
      <c r="C2070" s="162"/>
      <c r="D2070" s="560" t="s">
        <v>433</v>
      </c>
      <c r="E2070" s="1341">
        <v>0</v>
      </c>
      <c r="F2070" s="1339"/>
      <c r="G2070" s="1340"/>
      <c r="H2070" s="907" t="s">
        <v>907</v>
      </c>
      <c r="I2070" s="1297"/>
      <c r="J2070" s="1297"/>
      <c r="K2070" s="1298"/>
      <c r="L2070" s="920"/>
      <c r="M2070" s="377"/>
    </row>
    <row r="2071" spans="3:13" ht="17">
      <c r="C2071" s="162"/>
      <c r="D2071" s="560" t="s">
        <v>434</v>
      </c>
      <c r="E2071" s="1341">
        <v>0</v>
      </c>
      <c r="F2071" s="1339"/>
      <c r="G2071" s="1340"/>
      <c r="H2071" s="907"/>
      <c r="I2071" s="1297"/>
      <c r="J2071" s="1297"/>
      <c r="K2071" s="1298"/>
      <c r="L2071" s="920"/>
      <c r="M2071" s="377"/>
    </row>
    <row r="2072" spans="3:13" ht="18" thickBot="1">
      <c r="C2072" s="162"/>
      <c r="D2072" s="561" t="s">
        <v>435</v>
      </c>
      <c r="E2072" s="1313">
        <v>0.79166666666666663</v>
      </c>
      <c r="F2072" s="1314"/>
      <c r="G2072" s="1315"/>
      <c r="H2072" s="909"/>
      <c r="I2072" s="1297"/>
      <c r="J2072" s="1297"/>
      <c r="K2072" s="1298"/>
      <c r="L2072" s="378" t="e">
        <v>#REF!</v>
      </c>
      <c r="M2072" s="379">
        <v>0.875</v>
      </c>
    </row>
    <row r="2073" spans="3:13" ht="18" thickBot="1">
      <c r="C2073" s="162"/>
      <c r="D2073" s="562" t="s">
        <v>436</v>
      </c>
      <c r="E2073" s="380" t="s">
        <v>29</v>
      </c>
      <c r="F2073" s="380" t="s">
        <v>28</v>
      </c>
      <c r="G2073" s="381" t="s">
        <v>27</v>
      </c>
      <c r="H2073" s="911" t="s">
        <v>793</v>
      </c>
      <c r="I2073" s="1297"/>
      <c r="J2073" s="1297"/>
      <c r="K2073" s="1298"/>
      <c r="L2073" s="921" t="s">
        <v>1246</v>
      </c>
      <c r="M2073" s="382"/>
    </row>
    <row r="2074" spans="3:13" ht="17">
      <c r="C2074" s="162"/>
      <c r="D2074" s="566">
        <v>45622</v>
      </c>
      <c r="E2074" s="440" t="s">
        <v>1090</v>
      </c>
      <c r="F2074" s="440" t="s">
        <v>754</v>
      </c>
      <c r="G2074" s="440" t="s">
        <v>1090</v>
      </c>
      <c r="H2074" s="925">
        <v>0.79166666666666663</v>
      </c>
      <c r="I2074" s="1297"/>
      <c r="J2074" s="1297"/>
      <c r="K2074" s="1298"/>
      <c r="L2074" s="923"/>
      <c r="M2074" s="384"/>
    </row>
    <row r="2075" spans="3:13" ht="17">
      <c r="C2075" s="162"/>
      <c r="D2075" s="566">
        <v>45574</v>
      </c>
      <c r="E2075" s="440" t="s">
        <v>1090</v>
      </c>
      <c r="F2075" s="440" t="s">
        <v>754</v>
      </c>
      <c r="G2075" s="440" t="s">
        <v>1090</v>
      </c>
      <c r="H2075" s="925">
        <v>0.75</v>
      </c>
      <c r="I2075" s="1297"/>
      <c r="J2075" s="1297"/>
      <c r="K2075" s="1298"/>
      <c r="L2075" s="923"/>
      <c r="M2075" s="385"/>
    </row>
    <row r="2076" spans="3:13" ht="17">
      <c r="C2076" s="162"/>
      <c r="D2076" s="566">
        <v>45525</v>
      </c>
      <c r="E2076" s="440" t="s">
        <v>1090</v>
      </c>
      <c r="F2076" s="440" t="s">
        <v>754</v>
      </c>
      <c r="G2076" s="440" t="s">
        <v>1090</v>
      </c>
      <c r="H2076" s="925">
        <v>0.75</v>
      </c>
      <c r="I2076" s="1297"/>
      <c r="J2076" s="1297"/>
      <c r="K2076" s="1298"/>
      <c r="L2076" s="923"/>
      <c r="M2076" s="377"/>
    </row>
    <row r="2077" spans="3:13" ht="17">
      <c r="C2077" s="162"/>
      <c r="D2077" s="566">
        <v>45476</v>
      </c>
      <c r="E2077" s="440" t="s">
        <v>1090</v>
      </c>
      <c r="F2077" s="440" t="s">
        <v>754</v>
      </c>
      <c r="G2077" s="440" t="s">
        <v>1090</v>
      </c>
      <c r="H2077" s="925">
        <v>0.75</v>
      </c>
      <c r="I2077" s="1297"/>
      <c r="J2077" s="1297"/>
      <c r="K2077" s="1298"/>
      <c r="L2077" s="923"/>
      <c r="M2077" s="377"/>
    </row>
    <row r="2078" spans="3:13" ht="17">
      <c r="C2078" s="162"/>
      <c r="D2078" s="566">
        <v>45434</v>
      </c>
      <c r="E2078" s="440" t="s">
        <v>1090</v>
      </c>
      <c r="F2078" s="440" t="s">
        <v>754</v>
      </c>
      <c r="G2078" s="440" t="s">
        <v>1090</v>
      </c>
      <c r="H2078" s="925">
        <v>0.75</v>
      </c>
      <c r="I2078" s="1297"/>
      <c r="J2078" s="1297"/>
      <c r="K2078" s="1298"/>
      <c r="L2078" s="923"/>
      <c r="M2078" s="377"/>
    </row>
    <row r="2079" spans="3:13" ht="18" thickBot="1">
      <c r="C2079" s="162"/>
      <c r="D2079" s="566">
        <v>45392</v>
      </c>
      <c r="E2079" s="440" t="s">
        <v>1090</v>
      </c>
      <c r="F2079" s="440" t="s">
        <v>754</v>
      </c>
      <c r="G2079" s="440" t="s">
        <v>1090</v>
      </c>
      <c r="H2079" s="925">
        <v>0.75</v>
      </c>
      <c r="I2079" s="1299"/>
      <c r="J2079" s="1299"/>
      <c r="K2079" s="1300"/>
      <c r="L2079" s="924"/>
      <c r="M2079" s="386"/>
    </row>
    <row r="2080" spans="3:13" ht="18" thickBot="1">
      <c r="C2080" s="90" t="e">
        <v>#REF!</v>
      </c>
      <c r="D2080" s="557" t="s">
        <v>30</v>
      </c>
      <c r="E2080" s="1358" t="s">
        <v>1376</v>
      </c>
      <c r="F2080" s="1359"/>
      <c r="G2080" s="1360"/>
      <c r="H2080" s="911" t="s">
        <v>790</v>
      </c>
      <c r="I2080" s="1293" t="s">
        <v>633</v>
      </c>
      <c r="J2080" s="1293"/>
      <c r="K2080" s="1294"/>
      <c r="L2080" s="911" t="s">
        <v>430</v>
      </c>
      <c r="M2080" s="375" t="s">
        <v>431</v>
      </c>
    </row>
    <row r="2081" spans="3:13" ht="17">
      <c r="C2081" s="162"/>
      <c r="D2081" s="559" t="s">
        <v>432</v>
      </c>
      <c r="E2081" s="1307"/>
      <c r="F2081" s="1308"/>
      <c r="G2081" s="1309"/>
      <c r="H2081" s="919" t="s">
        <v>906</v>
      </c>
      <c r="I2081" s="1295" t="s">
        <v>1375</v>
      </c>
      <c r="J2081" s="1295"/>
      <c r="K2081" s="1296"/>
      <c r="L2081" s="920"/>
      <c r="M2081" s="376" t="s">
        <v>1376</v>
      </c>
    </row>
    <row r="2082" spans="3:13" ht="17">
      <c r="C2082" s="162"/>
      <c r="D2082" s="560" t="s">
        <v>433</v>
      </c>
      <c r="E2082" s="1341"/>
      <c r="F2082" s="1339"/>
      <c r="G2082" s="1340"/>
      <c r="H2082" s="907" t="s">
        <v>907</v>
      </c>
      <c r="I2082" s="1297"/>
      <c r="J2082" s="1297"/>
      <c r="K2082" s="1298"/>
      <c r="L2082" s="920"/>
      <c r="M2082" s="377"/>
    </row>
    <row r="2083" spans="3:13" ht="17">
      <c r="C2083" s="162"/>
      <c r="D2083" s="560" t="s">
        <v>434</v>
      </c>
      <c r="E2083" s="1370">
        <v>4.0000000000000001E-3</v>
      </c>
      <c r="F2083" s="1368"/>
      <c r="G2083" s="1369"/>
      <c r="H2083" s="907"/>
      <c r="I2083" s="1297"/>
      <c r="J2083" s="1297"/>
      <c r="K2083" s="1298"/>
      <c r="L2083" s="920"/>
      <c r="M2083" s="377"/>
    </row>
    <row r="2084" spans="3:13" ht="18" thickBot="1">
      <c r="C2084" s="162"/>
      <c r="D2084" s="561" t="s">
        <v>435</v>
      </c>
      <c r="E2084" s="1313">
        <v>0.5625</v>
      </c>
      <c r="F2084" s="1314"/>
      <c r="G2084" s="1315"/>
      <c r="H2084" s="909"/>
      <c r="I2084" s="1297"/>
      <c r="J2084" s="1297"/>
      <c r="K2084" s="1298"/>
      <c r="L2084" s="378">
        <v>0.79166666666666663</v>
      </c>
      <c r="M2084" s="379">
        <v>0.64583333333333326</v>
      </c>
    </row>
    <row r="2085" spans="3:13" ht="18" thickBot="1">
      <c r="C2085" s="162"/>
      <c r="D2085" s="562" t="s">
        <v>436</v>
      </c>
      <c r="E2085" s="380" t="s">
        <v>29</v>
      </c>
      <c r="F2085" s="380" t="s">
        <v>28</v>
      </c>
      <c r="G2085" s="381" t="s">
        <v>27</v>
      </c>
      <c r="H2085" s="911" t="s">
        <v>793</v>
      </c>
      <c r="I2085" s="1297"/>
      <c r="J2085" s="1297"/>
      <c r="K2085" s="1298"/>
      <c r="L2085" s="921" t="s">
        <v>1246</v>
      </c>
      <c r="M2085" s="382"/>
    </row>
    <row r="2086" spans="3:13" ht="17">
      <c r="C2086" s="162"/>
      <c r="D2086" s="563">
        <v>45632</v>
      </c>
      <c r="E2086" s="389">
        <v>4.0000000000000001E-3</v>
      </c>
      <c r="F2086" s="389" t="s">
        <v>467</v>
      </c>
      <c r="G2086" s="389">
        <v>4.0000000000000001E-3</v>
      </c>
      <c r="H2086" s="925">
        <v>0.5625</v>
      </c>
      <c r="I2086" s="1297"/>
      <c r="J2086" s="1297"/>
      <c r="K2086" s="1298"/>
      <c r="L2086" s="923"/>
      <c r="M2086" s="390"/>
    </row>
    <row r="2087" spans="3:13" ht="17">
      <c r="C2087" s="162"/>
      <c r="D2087" s="563">
        <v>45597</v>
      </c>
      <c r="E2087" s="389">
        <v>4.0000000000000001E-3</v>
      </c>
      <c r="F2087" s="389" t="s">
        <v>467</v>
      </c>
      <c r="G2087" s="389">
        <v>3.0000000000000001E-3</v>
      </c>
      <c r="H2087" s="925">
        <v>0.52083333333333337</v>
      </c>
      <c r="I2087" s="1297"/>
      <c r="J2087" s="1297"/>
      <c r="K2087" s="1298"/>
      <c r="L2087" s="923"/>
      <c r="M2087" s="390"/>
    </row>
    <row r="2088" spans="3:13" ht="17">
      <c r="C2088" s="162"/>
      <c r="D2088" s="563">
        <v>45569</v>
      </c>
      <c r="E2088" s="389">
        <v>4.0000000000000001E-3</v>
      </c>
      <c r="F2088" s="389" t="s">
        <v>467</v>
      </c>
      <c r="G2088" s="389">
        <v>5.0000000000000001E-3</v>
      </c>
      <c r="H2088" s="925">
        <v>0.52083333333333337</v>
      </c>
      <c r="I2088" s="1297"/>
      <c r="J2088" s="1297"/>
      <c r="K2088" s="1298"/>
      <c r="L2088" s="923"/>
      <c r="M2088" s="390"/>
    </row>
    <row r="2089" spans="3:13" ht="17">
      <c r="C2089" s="162"/>
      <c r="D2089" s="563">
        <v>45541</v>
      </c>
      <c r="E2089" s="389">
        <v>4.0000000000000001E-3</v>
      </c>
      <c r="F2089" s="389" t="s">
        <v>467</v>
      </c>
      <c r="G2089" s="389">
        <v>-1E-3</v>
      </c>
      <c r="H2089" s="925">
        <v>0.52083333333333337</v>
      </c>
      <c r="I2089" s="1297"/>
      <c r="J2089" s="1297"/>
      <c r="K2089" s="1298"/>
      <c r="L2089" s="923"/>
      <c r="M2089" s="390"/>
    </row>
    <row r="2090" spans="3:13" ht="17">
      <c r="C2090" s="162"/>
      <c r="D2090" s="563">
        <v>45506</v>
      </c>
      <c r="E2090" s="389">
        <v>2E-3</v>
      </c>
      <c r="F2090" s="389" t="s">
        <v>467</v>
      </c>
      <c r="G2090" s="389">
        <v>3.0000000000000001E-3</v>
      </c>
      <c r="H2090" s="925">
        <v>0.52083333333333337</v>
      </c>
      <c r="I2090" s="1297"/>
      <c r="J2090" s="1297"/>
      <c r="K2090" s="1298"/>
      <c r="L2090" s="923"/>
      <c r="M2090" s="390"/>
    </row>
    <row r="2091" spans="3:13" ht="18" thickBot="1">
      <c r="C2091" s="162"/>
      <c r="D2091" s="563">
        <v>45478</v>
      </c>
      <c r="E2091" s="389">
        <v>3.0000000000000001E-3</v>
      </c>
      <c r="F2091" s="389" t="s">
        <v>467</v>
      </c>
      <c r="G2091" s="389">
        <v>4.0000000000000001E-3</v>
      </c>
      <c r="H2091" s="925">
        <v>0.52083333333333337</v>
      </c>
      <c r="I2091" s="1299"/>
      <c r="J2091" s="1299"/>
      <c r="K2091" s="1300"/>
      <c r="L2091" s="924"/>
      <c r="M2091" s="390"/>
    </row>
    <row r="2092" spans="3:13" ht="18" thickBot="1">
      <c r="C2092" s="90" t="e">
        <v>#REF!</v>
      </c>
      <c r="D2092" s="557" t="s">
        <v>30</v>
      </c>
      <c r="E2092" s="1358" t="s">
        <v>1378</v>
      </c>
      <c r="F2092" s="1359"/>
      <c r="G2092" s="1360"/>
      <c r="H2092" s="911" t="s">
        <v>790</v>
      </c>
      <c r="I2092" s="1293" t="s">
        <v>633</v>
      </c>
      <c r="J2092" s="1293"/>
      <c r="K2092" s="1294"/>
      <c r="L2092" s="911" t="s">
        <v>430</v>
      </c>
      <c r="M2092" s="375" t="s">
        <v>431</v>
      </c>
    </row>
    <row r="2093" spans="3:13" ht="17">
      <c r="C2093" s="162"/>
      <c r="D2093" s="559" t="s">
        <v>432</v>
      </c>
      <c r="E2093" s="1307"/>
      <c r="F2093" s="1308"/>
      <c r="G2093" s="1309"/>
      <c r="H2093" s="919" t="s">
        <v>906</v>
      </c>
      <c r="I2093" s="1295" t="s">
        <v>1375</v>
      </c>
      <c r="J2093" s="1295"/>
      <c r="K2093" s="1296"/>
      <c r="L2093" s="920"/>
      <c r="M2093" s="376" t="s">
        <v>1378</v>
      </c>
    </row>
    <row r="2094" spans="3:13" ht="17">
      <c r="C2094" s="162"/>
      <c r="D2094" s="560" t="s">
        <v>433</v>
      </c>
      <c r="E2094" s="1371"/>
      <c r="F2094" s="1372"/>
      <c r="G2094" s="1373"/>
      <c r="H2094" s="907" t="s">
        <v>907</v>
      </c>
      <c r="I2094" s="1297"/>
      <c r="J2094" s="1297"/>
      <c r="K2094" s="1298"/>
      <c r="L2094" s="920"/>
      <c r="M2094" s="377"/>
    </row>
    <row r="2095" spans="3:13" ht="17">
      <c r="C2095" s="162"/>
      <c r="D2095" s="560" t="s">
        <v>434</v>
      </c>
      <c r="E2095" s="1367" t="s">
        <v>209</v>
      </c>
      <c r="F2095" s="1368"/>
      <c r="G2095" s="1369"/>
      <c r="H2095" s="907"/>
      <c r="I2095" s="1297"/>
      <c r="J2095" s="1297"/>
      <c r="K2095" s="1298"/>
      <c r="L2095" s="920"/>
      <c r="M2095" s="377"/>
    </row>
    <row r="2096" spans="3:13" ht="18" thickBot="1">
      <c r="C2096" s="162"/>
      <c r="D2096" s="561" t="s">
        <v>435</v>
      </c>
      <c r="E2096" s="1313">
        <v>0.5625</v>
      </c>
      <c r="F2096" s="1314"/>
      <c r="G2096" s="1315"/>
      <c r="H2096" s="909"/>
      <c r="I2096" s="1297"/>
      <c r="J2096" s="1297"/>
      <c r="K2096" s="1298"/>
      <c r="L2096" s="378">
        <v>0.79166666666666663</v>
      </c>
      <c r="M2096" s="379">
        <v>0.64583333333333326</v>
      </c>
    </row>
    <row r="2097" spans="3:13" ht="18" thickBot="1">
      <c r="C2097" s="162"/>
      <c r="D2097" s="562" t="s">
        <v>436</v>
      </c>
      <c r="E2097" s="380" t="s">
        <v>29</v>
      </c>
      <c r="F2097" s="380" t="s">
        <v>28</v>
      </c>
      <c r="G2097" s="381" t="s">
        <v>27</v>
      </c>
      <c r="H2097" s="911" t="s">
        <v>793</v>
      </c>
      <c r="I2097" s="1297"/>
      <c r="J2097" s="1297"/>
      <c r="K2097" s="1298"/>
      <c r="L2097" s="921" t="s">
        <v>1246</v>
      </c>
      <c r="M2097" s="382"/>
    </row>
    <row r="2098" spans="3:13" ht="17">
      <c r="C2098" s="162"/>
      <c r="D2098" s="563">
        <v>45632</v>
      </c>
      <c r="E2098" s="389" t="s">
        <v>978</v>
      </c>
      <c r="F2098" s="389" t="s">
        <v>1397</v>
      </c>
      <c r="G2098" s="389" t="s">
        <v>1398</v>
      </c>
      <c r="H2098" s="925">
        <v>0.5625</v>
      </c>
      <c r="I2098" s="1297"/>
      <c r="J2098" s="1297"/>
      <c r="K2098" s="1298"/>
      <c r="L2098" s="923"/>
      <c r="M2098" s="384"/>
    </row>
    <row r="2099" spans="3:13" ht="17">
      <c r="C2099" s="162"/>
      <c r="D2099" s="563">
        <v>45597</v>
      </c>
      <c r="E2099" s="389" t="s">
        <v>1233</v>
      </c>
      <c r="F2099" s="389" t="s">
        <v>1234</v>
      </c>
      <c r="G2099" s="389" t="s">
        <v>973</v>
      </c>
      <c r="H2099" s="925">
        <v>0.52083333333333337</v>
      </c>
      <c r="I2099" s="1297"/>
      <c r="J2099" s="1297"/>
      <c r="K2099" s="1298"/>
      <c r="L2099" s="923"/>
      <c r="M2099" s="385"/>
    </row>
    <row r="2100" spans="3:13" ht="17">
      <c r="C2100" s="162"/>
      <c r="D2100" s="563">
        <v>45569</v>
      </c>
      <c r="E2100" s="389" t="s">
        <v>1235</v>
      </c>
      <c r="F2100" s="389" t="s">
        <v>1202</v>
      </c>
      <c r="G2100" s="389" t="s">
        <v>1194</v>
      </c>
      <c r="H2100" s="925">
        <v>0.52083333333333337</v>
      </c>
      <c r="I2100" s="1297"/>
      <c r="J2100" s="1297"/>
      <c r="K2100" s="1298"/>
      <c r="L2100" s="923"/>
      <c r="M2100" s="377"/>
    </row>
    <row r="2101" spans="3:13" ht="17">
      <c r="C2101" s="162"/>
      <c r="D2101" s="563">
        <v>45541</v>
      </c>
      <c r="E2101" s="389" t="s">
        <v>1236</v>
      </c>
      <c r="F2101" s="389" t="s">
        <v>1237</v>
      </c>
      <c r="G2101" s="389" t="s">
        <v>1399</v>
      </c>
      <c r="H2101" s="925">
        <v>0.52083333333333337</v>
      </c>
      <c r="I2101" s="1297"/>
      <c r="J2101" s="1297"/>
      <c r="K2101" s="1298"/>
      <c r="L2101" s="923"/>
      <c r="M2101" s="377"/>
    </row>
    <row r="2102" spans="3:13" ht="17">
      <c r="C2102" s="162"/>
      <c r="D2102" s="563">
        <v>45506</v>
      </c>
      <c r="E2102" s="389" t="s">
        <v>1238</v>
      </c>
      <c r="F2102" s="389" t="s">
        <v>1239</v>
      </c>
      <c r="G2102" s="389" t="s">
        <v>1240</v>
      </c>
      <c r="H2102" s="925">
        <v>0.52083333333333337</v>
      </c>
      <c r="I2102" s="1297"/>
      <c r="J2102" s="1297"/>
      <c r="K2102" s="1298"/>
      <c r="L2102" s="923"/>
      <c r="M2102" s="377"/>
    </row>
    <row r="2103" spans="3:13" ht="18" thickBot="1">
      <c r="C2103" s="162"/>
      <c r="D2103" s="563">
        <v>45478</v>
      </c>
      <c r="E2103" s="389" t="s">
        <v>1241</v>
      </c>
      <c r="F2103" s="389" t="s">
        <v>1242</v>
      </c>
      <c r="G2103" s="389" t="s">
        <v>974</v>
      </c>
      <c r="H2103" s="925">
        <v>0.52083333333333337</v>
      </c>
      <c r="I2103" s="1299"/>
      <c r="J2103" s="1299"/>
      <c r="K2103" s="1300"/>
      <c r="L2103" s="924"/>
      <c r="M2103" s="386"/>
    </row>
    <row r="2104" spans="3:13" ht="18" thickBot="1">
      <c r="C2104" s="90" t="e">
        <v>#REF!</v>
      </c>
      <c r="D2104" s="557" t="s">
        <v>30</v>
      </c>
      <c r="E2104" s="1358" t="s">
        <v>1379</v>
      </c>
      <c r="F2104" s="1359"/>
      <c r="G2104" s="1360"/>
      <c r="H2104" s="911" t="s">
        <v>790</v>
      </c>
      <c r="I2104" s="1293" t="s">
        <v>633</v>
      </c>
      <c r="J2104" s="1293"/>
      <c r="K2104" s="1294"/>
      <c r="L2104" s="911" t="s">
        <v>430</v>
      </c>
      <c r="M2104" s="388" t="s">
        <v>431</v>
      </c>
    </row>
    <row r="2105" spans="3:13" ht="17">
      <c r="C2105" s="162"/>
      <c r="D2105" s="559" t="s">
        <v>432</v>
      </c>
      <c r="E2105" s="1307"/>
      <c r="F2105" s="1308"/>
      <c r="G2105" s="1309"/>
      <c r="H2105" s="919" t="s">
        <v>906</v>
      </c>
      <c r="I2105" s="1295" t="s">
        <v>1375</v>
      </c>
      <c r="J2105" s="1295"/>
      <c r="K2105" s="1296"/>
      <c r="L2105" s="926"/>
      <c r="M2105" s="376" t="s">
        <v>1379</v>
      </c>
    </row>
    <row r="2106" spans="3:13" ht="17">
      <c r="C2106" s="162"/>
      <c r="D2106" s="560" t="s">
        <v>433</v>
      </c>
      <c r="E2106" s="1367"/>
      <c r="F2106" s="1368"/>
      <c r="G2106" s="1369"/>
      <c r="H2106" s="907" t="s">
        <v>907</v>
      </c>
      <c r="I2106" s="1297"/>
      <c r="J2106" s="1297"/>
      <c r="K2106" s="1298"/>
      <c r="L2106" s="920"/>
      <c r="M2106" s="377"/>
    </row>
    <row r="2107" spans="3:13" ht="17">
      <c r="C2107" s="162"/>
      <c r="D2107" s="560" t="s">
        <v>434</v>
      </c>
      <c r="E2107" s="1361">
        <v>4.2000000000000003E-2</v>
      </c>
      <c r="F2107" s="1362"/>
      <c r="G2107" s="1363"/>
      <c r="H2107" s="907"/>
      <c r="I2107" s="1297"/>
      <c r="J2107" s="1297"/>
      <c r="K2107" s="1298"/>
      <c r="L2107" s="920"/>
      <c r="M2107" s="377"/>
    </row>
    <row r="2108" spans="3:13" ht="18" thickBot="1">
      <c r="C2108" s="162"/>
      <c r="D2108" s="561" t="s">
        <v>435</v>
      </c>
      <c r="E2108" s="1313">
        <v>0.5625</v>
      </c>
      <c r="F2108" s="1314"/>
      <c r="G2108" s="1315"/>
      <c r="H2108" s="909"/>
      <c r="I2108" s="1297"/>
      <c r="J2108" s="1297"/>
      <c r="K2108" s="1298"/>
      <c r="L2108" s="378">
        <v>0.79166666666666663</v>
      </c>
      <c r="M2108" s="379">
        <v>0.64583333333333326</v>
      </c>
    </row>
    <row r="2109" spans="3:13" ht="18" thickBot="1">
      <c r="C2109" s="162"/>
      <c r="D2109" s="562" t="s">
        <v>436</v>
      </c>
      <c r="E2109" s="380" t="s">
        <v>29</v>
      </c>
      <c r="F2109" s="380" t="s">
        <v>28</v>
      </c>
      <c r="G2109" s="381" t="s">
        <v>27</v>
      </c>
      <c r="H2109" s="911" t="s">
        <v>793</v>
      </c>
      <c r="I2109" s="1297"/>
      <c r="J2109" s="1297"/>
      <c r="K2109" s="1298"/>
      <c r="L2109" s="921" t="s">
        <v>1246</v>
      </c>
      <c r="M2109" s="391"/>
    </row>
    <row r="2110" spans="3:13" ht="17">
      <c r="C2110" s="162"/>
      <c r="D2110" s="563">
        <v>45632</v>
      </c>
      <c r="E2110" s="392">
        <v>4.2000000000000003E-2</v>
      </c>
      <c r="F2110" s="392" t="s">
        <v>628</v>
      </c>
      <c r="G2110" s="392">
        <v>4.1000000000000002E-2</v>
      </c>
      <c r="H2110" s="925">
        <v>0.5625</v>
      </c>
      <c r="I2110" s="1297"/>
      <c r="J2110" s="1297"/>
      <c r="K2110" s="1298"/>
      <c r="L2110" s="923"/>
      <c r="M2110" s="384"/>
    </row>
    <row r="2111" spans="3:13" ht="17">
      <c r="C2111" s="162"/>
      <c r="D2111" s="563">
        <v>45597</v>
      </c>
      <c r="E2111" s="392">
        <v>4.1000000000000002E-2</v>
      </c>
      <c r="F2111" s="392" t="s">
        <v>629</v>
      </c>
      <c r="G2111" s="392">
        <v>4.1000000000000002E-2</v>
      </c>
      <c r="H2111" s="925">
        <v>0.52083333333333337</v>
      </c>
      <c r="I2111" s="1297"/>
      <c r="J2111" s="1297"/>
      <c r="K2111" s="1298"/>
      <c r="L2111" s="923"/>
      <c r="M2111" s="385"/>
    </row>
    <row r="2112" spans="3:13" ht="17">
      <c r="C2112" s="162"/>
      <c r="D2112" s="563">
        <v>45569</v>
      </c>
      <c r="E2112" s="392">
        <v>4.1000000000000002E-2</v>
      </c>
      <c r="F2112" s="392" t="s">
        <v>628</v>
      </c>
      <c r="G2112" s="392">
        <v>4.2000000000000003E-2</v>
      </c>
      <c r="H2112" s="925">
        <v>0.52083333333333337</v>
      </c>
      <c r="I2112" s="1297"/>
      <c r="J2112" s="1297"/>
      <c r="K2112" s="1298"/>
      <c r="L2112" s="923"/>
      <c r="M2112" s="377"/>
    </row>
    <row r="2113" spans="2:13" ht="17">
      <c r="C2113" s="162"/>
      <c r="D2113" s="563">
        <v>45541</v>
      </c>
      <c r="E2113" s="392">
        <v>4.2000000000000003E-2</v>
      </c>
      <c r="F2113" s="392" t="s">
        <v>628</v>
      </c>
      <c r="G2113" s="392">
        <v>4.2999999999999997E-2</v>
      </c>
      <c r="H2113" s="925">
        <v>0.52083333333333337</v>
      </c>
      <c r="I2113" s="1297"/>
      <c r="J2113" s="1297"/>
      <c r="K2113" s="1298"/>
      <c r="L2113" s="923"/>
      <c r="M2113" s="377"/>
    </row>
    <row r="2114" spans="2:13" ht="17">
      <c r="C2114" s="162"/>
      <c r="D2114" s="563">
        <v>45506</v>
      </c>
      <c r="E2114" s="392">
        <v>4.2999999999999997E-2</v>
      </c>
      <c r="F2114" s="392" t="s">
        <v>629</v>
      </c>
      <c r="G2114" s="392">
        <v>4.1000000000000002E-2</v>
      </c>
      <c r="H2114" s="925">
        <v>0.52083333333333337</v>
      </c>
      <c r="I2114" s="1297"/>
      <c r="J2114" s="1297"/>
      <c r="K2114" s="1298"/>
      <c r="L2114" s="923"/>
      <c r="M2114" s="377"/>
    </row>
    <row r="2115" spans="2:13" ht="18" thickBot="1">
      <c r="C2115" s="162"/>
      <c r="D2115" s="567">
        <v>45478</v>
      </c>
      <c r="E2115" s="393">
        <v>4.1000000000000002E-2</v>
      </c>
      <c r="F2115" s="393" t="s">
        <v>630</v>
      </c>
      <c r="G2115" s="393">
        <v>0.04</v>
      </c>
      <c r="H2115" s="927">
        <v>0.52083333333333337</v>
      </c>
      <c r="I2115" s="1299"/>
      <c r="J2115" s="1299"/>
      <c r="K2115" s="1300"/>
      <c r="L2115" s="924"/>
      <c r="M2115" s="386"/>
    </row>
    <row r="2116" spans="2:13" ht="18" thickBot="1">
      <c r="B2116" s="90" t="s">
        <v>105</v>
      </c>
      <c r="C2116" s="90">
        <v>2</v>
      </c>
      <c r="D2116" s="557" t="s">
        <v>30</v>
      </c>
      <c r="E2116" s="1358" t="s">
        <v>1404</v>
      </c>
      <c r="F2116" s="1359"/>
      <c r="G2116" s="1360"/>
      <c r="H2116" s="911" t="s">
        <v>790</v>
      </c>
      <c r="I2116" s="1293" t="s">
        <v>633</v>
      </c>
      <c r="J2116" s="1293"/>
      <c r="K2116" s="1294"/>
      <c r="L2116" s="911" t="s">
        <v>430</v>
      </c>
      <c r="M2116" s="558" t="s">
        <v>431</v>
      </c>
    </row>
    <row r="2117" spans="2:13" ht="17">
      <c r="C2117" s="90"/>
      <c r="D2117" s="559" t="s">
        <v>432</v>
      </c>
      <c r="E2117" s="1307"/>
      <c r="F2117" s="1308"/>
      <c r="G2117" s="1309"/>
      <c r="H2117" s="919" t="s">
        <v>906</v>
      </c>
      <c r="I2117" s="1295" t="s">
        <v>1405</v>
      </c>
      <c r="J2117" s="1295"/>
      <c r="K2117" s="1296"/>
      <c r="L2117" s="920"/>
      <c r="M2117" s="376" t="s">
        <v>1404</v>
      </c>
    </row>
    <row r="2118" spans="2:13" ht="17">
      <c r="C2118" s="90"/>
      <c r="D2118" s="560" t="s">
        <v>433</v>
      </c>
      <c r="E2118" s="1338">
        <v>4.0000000000000001E-3</v>
      </c>
      <c r="F2118" s="1339"/>
      <c r="G2118" s="1340"/>
      <c r="H2118" s="907" t="s">
        <v>907</v>
      </c>
      <c r="I2118" s="1297"/>
      <c r="J2118" s="1297"/>
      <c r="K2118" s="1298"/>
      <c r="L2118" s="920"/>
      <c r="M2118" s="377"/>
    </row>
    <row r="2119" spans="2:13" ht="17">
      <c r="C2119" s="90"/>
      <c r="D2119" s="560" t="s">
        <v>434</v>
      </c>
      <c r="E2119" s="1338">
        <v>4.0000000000000001E-3</v>
      </c>
      <c r="F2119" s="1339"/>
      <c r="G2119" s="1340"/>
      <c r="H2119" s="907"/>
      <c r="I2119" s="1297"/>
      <c r="J2119" s="1297"/>
      <c r="K2119" s="1298"/>
      <c r="L2119" s="920"/>
      <c r="M2119" s="377"/>
    </row>
    <row r="2120" spans="2:13" ht="18" thickBot="1">
      <c r="C2120" s="90"/>
      <c r="D2120" s="561" t="s">
        <v>435</v>
      </c>
      <c r="E2120" s="1313">
        <v>0.5625</v>
      </c>
      <c r="F2120" s="1314"/>
      <c r="G2120" s="1315"/>
      <c r="H2120" s="909"/>
      <c r="I2120" s="1297"/>
      <c r="J2120" s="1297"/>
      <c r="K2120" s="1298"/>
      <c r="L2120" s="378">
        <v>0.79166666666666663</v>
      </c>
      <c r="M2120" s="379">
        <v>0.64583333333333326</v>
      </c>
    </row>
    <row r="2121" spans="2:13" ht="18" thickBot="1">
      <c r="C2121" s="90"/>
      <c r="D2121" s="562" t="s">
        <v>436</v>
      </c>
      <c r="E2121" s="380" t="s">
        <v>29</v>
      </c>
      <c r="F2121" s="380" t="s">
        <v>28</v>
      </c>
      <c r="G2121" s="381" t="s">
        <v>27</v>
      </c>
      <c r="H2121" s="911" t="s">
        <v>793</v>
      </c>
      <c r="I2121" s="1297"/>
      <c r="J2121" s="1297"/>
      <c r="K2121" s="1298"/>
      <c r="L2121" s="921" t="s">
        <v>1246</v>
      </c>
      <c r="M2121" s="382"/>
    </row>
    <row r="2122" spans="2:13" ht="17">
      <c r="C2122" s="90"/>
      <c r="D2122" s="563">
        <v>45638</v>
      </c>
      <c r="E2122" s="564">
        <v>4.0000000000000001E-3</v>
      </c>
      <c r="F2122" s="564" t="s">
        <v>460</v>
      </c>
      <c r="G2122" s="564">
        <v>3.0000000000000001E-3</v>
      </c>
      <c r="H2122" s="922">
        <v>0.5625</v>
      </c>
      <c r="I2122" s="1297"/>
      <c r="J2122" s="1297"/>
      <c r="K2122" s="1298"/>
      <c r="L2122" s="923"/>
      <c r="M2122" s="384"/>
    </row>
    <row r="2123" spans="2:13" ht="17">
      <c r="C2123" s="90"/>
      <c r="D2123" s="563">
        <v>45610</v>
      </c>
      <c r="E2123" s="564">
        <v>2E-3</v>
      </c>
      <c r="F2123" s="564" t="s">
        <v>460</v>
      </c>
      <c r="G2123" s="564">
        <v>1E-3</v>
      </c>
      <c r="H2123" s="922">
        <v>0.5625</v>
      </c>
      <c r="I2123" s="1297"/>
      <c r="J2123" s="1297"/>
      <c r="K2123" s="1298"/>
      <c r="L2123" s="923"/>
      <c r="M2123" s="385"/>
    </row>
    <row r="2124" spans="2:13" ht="17">
      <c r="C2124" s="90"/>
      <c r="D2124" s="563">
        <v>45576</v>
      </c>
      <c r="E2124" s="564">
        <v>0</v>
      </c>
      <c r="F2124" s="564" t="s">
        <v>462</v>
      </c>
      <c r="G2124" s="564">
        <v>2E-3</v>
      </c>
      <c r="H2124" s="922">
        <v>0.52083333333333337</v>
      </c>
      <c r="I2124" s="1297"/>
      <c r="J2124" s="1297"/>
      <c r="K2124" s="1298"/>
      <c r="L2124" s="923"/>
      <c r="M2124" s="377"/>
    </row>
    <row r="2125" spans="2:13" ht="17">
      <c r="C2125" s="90"/>
      <c r="D2125" s="563">
        <v>45547</v>
      </c>
      <c r="E2125" s="564">
        <v>2E-3</v>
      </c>
      <c r="F2125" s="564" t="s">
        <v>462</v>
      </c>
      <c r="G2125" s="564">
        <v>0</v>
      </c>
      <c r="H2125" s="922">
        <v>0.52083333333333337</v>
      </c>
      <c r="I2125" s="1297"/>
      <c r="J2125" s="1297"/>
      <c r="K2125" s="1298"/>
      <c r="L2125" s="923"/>
      <c r="M2125" s="377"/>
    </row>
    <row r="2126" spans="2:13" ht="17">
      <c r="C2126" s="90"/>
      <c r="D2126" s="563">
        <v>45517</v>
      </c>
      <c r="E2126" s="564">
        <v>1E-3</v>
      </c>
      <c r="F2126" s="564" t="s">
        <v>460</v>
      </c>
      <c r="G2126" s="564">
        <v>2E-3</v>
      </c>
      <c r="H2126" s="922">
        <v>0.52083333333333337</v>
      </c>
      <c r="I2126" s="1297"/>
      <c r="J2126" s="1297"/>
      <c r="K2126" s="1298"/>
      <c r="L2126" s="923"/>
      <c r="M2126" s="377"/>
    </row>
    <row r="2127" spans="2:13" ht="18" thickBot="1">
      <c r="C2127" s="90"/>
      <c r="D2127" s="563">
        <v>45485</v>
      </c>
      <c r="E2127" s="564">
        <v>2E-3</v>
      </c>
      <c r="F2127" s="564" t="s">
        <v>462</v>
      </c>
      <c r="G2127" s="564">
        <v>0</v>
      </c>
      <c r="H2127" s="922">
        <v>0.52083333333333337</v>
      </c>
      <c r="I2127" s="1299"/>
      <c r="J2127" s="1299"/>
      <c r="K2127" s="1300"/>
      <c r="L2127" s="923"/>
      <c r="M2127" s="386"/>
    </row>
    <row r="2128" spans="2:13" ht="18" thickBot="1">
      <c r="C2128" s="90">
        <v>3</v>
      </c>
      <c r="D2128" s="557" t="s">
        <v>30</v>
      </c>
      <c r="E2128" s="1358" t="s">
        <v>1406</v>
      </c>
      <c r="F2128" s="1359"/>
      <c r="G2128" s="1360"/>
      <c r="H2128" s="911" t="s">
        <v>790</v>
      </c>
      <c r="I2128" s="1293" t="s">
        <v>633</v>
      </c>
      <c r="J2128" s="1293"/>
      <c r="K2128" s="1294"/>
      <c r="L2128" s="911" t="s">
        <v>430</v>
      </c>
      <c r="M2128" s="375" t="s">
        <v>431</v>
      </c>
    </row>
    <row r="2129" spans="3:13" ht="17">
      <c r="C2129" s="90"/>
      <c r="D2129" s="559" t="s">
        <v>432</v>
      </c>
      <c r="E2129" s="1307"/>
      <c r="F2129" s="1308"/>
      <c r="G2129" s="1309"/>
      <c r="H2129" s="919" t="s">
        <v>798</v>
      </c>
      <c r="I2129" s="1295" t="s">
        <v>1407</v>
      </c>
      <c r="J2129" s="1295"/>
      <c r="K2129" s="1296"/>
      <c r="L2129" s="920"/>
      <c r="M2129" s="376" t="s">
        <v>1406</v>
      </c>
    </row>
    <row r="2130" spans="3:13" ht="17">
      <c r="C2130" s="90"/>
      <c r="D2130" s="560" t="s">
        <v>433</v>
      </c>
      <c r="E2130" s="1341">
        <v>2.5999999999999999E-2</v>
      </c>
      <c r="F2130" s="1339"/>
      <c r="G2130" s="1340"/>
      <c r="H2130" s="907" t="s">
        <v>799</v>
      </c>
      <c r="I2130" s="1297"/>
      <c r="J2130" s="1297"/>
      <c r="K2130" s="1298"/>
      <c r="L2130" s="920"/>
      <c r="M2130" s="377"/>
    </row>
    <row r="2131" spans="3:13" ht="17">
      <c r="C2131" s="90"/>
      <c r="D2131" s="560" t="s">
        <v>434</v>
      </c>
      <c r="E2131" s="1338">
        <v>2.5999999999999999E-2</v>
      </c>
      <c r="F2131" s="1339"/>
      <c r="G2131" s="1340"/>
      <c r="H2131" s="907"/>
      <c r="I2131" s="1297"/>
      <c r="J2131" s="1297"/>
      <c r="K2131" s="1298"/>
      <c r="L2131" s="920"/>
      <c r="M2131" s="377"/>
    </row>
    <row r="2132" spans="3:13" ht="18" thickBot="1">
      <c r="C2132" s="90"/>
      <c r="D2132" s="561" t="s">
        <v>435</v>
      </c>
      <c r="E2132" s="1313">
        <v>0.29166666666666674</v>
      </c>
      <c r="F2132" s="1314"/>
      <c r="G2132" s="1315"/>
      <c r="H2132" s="909"/>
      <c r="I2132" s="1297"/>
      <c r="J2132" s="1297"/>
      <c r="K2132" s="1298"/>
      <c r="L2132" s="378">
        <v>0.52083333333333337</v>
      </c>
      <c r="M2132" s="379">
        <v>0.375</v>
      </c>
    </row>
    <row r="2133" spans="3:13" ht="18" thickBot="1">
      <c r="C2133" s="90"/>
      <c r="D2133" s="562" t="s">
        <v>436</v>
      </c>
      <c r="E2133" s="380" t="s">
        <v>29</v>
      </c>
      <c r="F2133" s="380" t="s">
        <v>28</v>
      </c>
      <c r="G2133" s="381" t="s">
        <v>27</v>
      </c>
      <c r="H2133" s="911" t="s">
        <v>793</v>
      </c>
      <c r="I2133" s="1297"/>
      <c r="J2133" s="1297"/>
      <c r="K2133" s="1298"/>
      <c r="L2133" s="921" t="s">
        <v>1246</v>
      </c>
      <c r="M2133" s="382"/>
    </row>
    <row r="2134" spans="3:13" ht="17">
      <c r="C2134" s="90"/>
      <c r="D2134" s="563">
        <v>45644</v>
      </c>
      <c r="E2134" s="564">
        <v>2.5999999999999999E-2</v>
      </c>
      <c r="F2134" s="564" t="s">
        <v>493</v>
      </c>
      <c r="G2134" s="564">
        <v>2.3E-2</v>
      </c>
      <c r="H2134" s="922">
        <v>0.29166666666666669</v>
      </c>
      <c r="I2134" s="1297"/>
      <c r="J2134" s="1297"/>
      <c r="K2134" s="1298"/>
      <c r="L2134" s="923"/>
      <c r="M2134" s="384"/>
    </row>
    <row r="2135" spans="3:13" ht="17">
      <c r="C2135" s="90"/>
      <c r="D2135" s="563">
        <v>45616</v>
      </c>
      <c r="E2135" s="564">
        <v>2.3E-2</v>
      </c>
      <c r="F2135" s="564" t="s">
        <v>490</v>
      </c>
      <c r="G2135" s="564">
        <v>1.7000000000000001E-2</v>
      </c>
      <c r="H2135" s="922">
        <v>0.29166666666666669</v>
      </c>
      <c r="I2135" s="1297"/>
      <c r="J2135" s="1297"/>
      <c r="K2135" s="1298"/>
      <c r="L2135" s="923"/>
      <c r="M2135" s="385"/>
    </row>
    <row r="2136" spans="3:13" ht="17">
      <c r="C2136" s="90"/>
      <c r="D2136" s="563">
        <v>45581</v>
      </c>
      <c r="E2136" s="564">
        <v>1.7000000000000001E-2</v>
      </c>
      <c r="F2136" s="564" t="s">
        <v>789</v>
      </c>
      <c r="G2136" s="564">
        <v>2.1999999999999999E-2</v>
      </c>
      <c r="H2136" s="922">
        <v>0.25</v>
      </c>
      <c r="I2136" s="1297"/>
      <c r="J2136" s="1297"/>
      <c r="K2136" s="1298"/>
      <c r="L2136" s="923"/>
      <c r="M2136" s="377"/>
    </row>
    <row r="2137" spans="3:13" ht="17">
      <c r="C2137" s="90"/>
      <c r="D2137" s="563">
        <v>45553</v>
      </c>
      <c r="E2137" s="564">
        <v>2.1999999999999999E-2</v>
      </c>
      <c r="F2137" s="564" t="s">
        <v>490</v>
      </c>
      <c r="G2137" s="564">
        <v>2.1999999999999999E-2</v>
      </c>
      <c r="H2137" s="922">
        <v>0.25</v>
      </c>
      <c r="I2137" s="1297"/>
      <c r="J2137" s="1297"/>
      <c r="K2137" s="1298"/>
      <c r="L2137" s="923"/>
      <c r="M2137" s="377"/>
    </row>
    <row r="2138" spans="3:13" ht="17">
      <c r="C2138" s="90"/>
      <c r="D2138" s="563">
        <v>45518</v>
      </c>
      <c r="E2138" s="564">
        <v>2.1999999999999999E-2</v>
      </c>
      <c r="F2138" s="564" t="s">
        <v>971</v>
      </c>
      <c r="G2138" s="564">
        <v>0.02</v>
      </c>
      <c r="H2138" s="922">
        <v>0.25</v>
      </c>
      <c r="I2138" s="1297"/>
      <c r="J2138" s="1297"/>
      <c r="K2138" s="1298"/>
      <c r="L2138" s="923"/>
      <c r="M2138" s="377"/>
    </row>
    <row r="2139" spans="3:13" ht="18" thickBot="1">
      <c r="C2139" s="90"/>
      <c r="D2139" s="563">
        <v>45490</v>
      </c>
      <c r="E2139" s="564">
        <v>0.02</v>
      </c>
      <c r="F2139" s="564" t="s">
        <v>789</v>
      </c>
      <c r="G2139" s="564">
        <v>0.02</v>
      </c>
      <c r="H2139" s="922">
        <v>0.25</v>
      </c>
      <c r="I2139" s="1299"/>
      <c r="J2139" s="1299"/>
      <c r="K2139" s="1300"/>
      <c r="L2139" s="923"/>
      <c r="M2139" s="386"/>
    </row>
    <row r="2140" spans="3:13" ht="18" thickBot="1">
      <c r="C2140" s="90">
        <v>3</v>
      </c>
      <c r="D2140" s="557" t="s">
        <v>30</v>
      </c>
      <c r="E2140" s="1358" t="s">
        <v>1408</v>
      </c>
      <c r="F2140" s="1359"/>
      <c r="G2140" s="1360"/>
      <c r="H2140" s="911" t="s">
        <v>790</v>
      </c>
      <c r="I2140" s="1293" t="s">
        <v>633</v>
      </c>
      <c r="J2140" s="1293"/>
      <c r="K2140" s="1294"/>
      <c r="L2140" s="911" t="s">
        <v>430</v>
      </c>
      <c r="M2140" s="375" t="s">
        <v>431</v>
      </c>
    </row>
    <row r="2141" spans="3:13" ht="17">
      <c r="C2141" s="90"/>
      <c r="D2141" s="559" t="s">
        <v>432</v>
      </c>
      <c r="E2141" s="1307"/>
      <c r="F2141" s="1308"/>
      <c r="G2141" s="1309"/>
      <c r="H2141" s="919" t="s">
        <v>906</v>
      </c>
      <c r="I2141" s="1295" t="s">
        <v>1409</v>
      </c>
      <c r="J2141" s="1295"/>
      <c r="K2141" s="1296"/>
      <c r="L2141" s="920"/>
      <c r="M2141" s="376" t="s">
        <v>1408</v>
      </c>
    </row>
    <row r="2142" spans="3:13" ht="17">
      <c r="C2142" s="90"/>
      <c r="D2142" s="560" t="s">
        <v>433</v>
      </c>
      <c r="E2142" s="1370">
        <v>2E-3</v>
      </c>
      <c r="F2142" s="1368"/>
      <c r="G2142" s="1369"/>
      <c r="H2142" s="919" t="s">
        <v>907</v>
      </c>
      <c r="I2142" s="1297"/>
      <c r="J2142" s="1297"/>
      <c r="K2142" s="1298"/>
      <c r="L2142" s="920"/>
      <c r="M2142" s="377"/>
    </row>
    <row r="2143" spans="3:13" ht="17">
      <c r="C2143" s="90"/>
      <c r="D2143" s="560" t="s">
        <v>434</v>
      </c>
      <c r="E2143" s="1370">
        <v>3.0000000000000001E-3</v>
      </c>
      <c r="F2143" s="1368"/>
      <c r="G2143" s="1369"/>
      <c r="H2143" s="907"/>
      <c r="I2143" s="1297"/>
      <c r="J2143" s="1297"/>
      <c r="K2143" s="1298"/>
      <c r="L2143" s="920"/>
      <c r="M2143" s="377"/>
    </row>
    <row r="2144" spans="3:13" ht="18" thickBot="1">
      <c r="C2144" s="90"/>
      <c r="D2144" s="561" t="s">
        <v>435</v>
      </c>
      <c r="E2144" s="1313">
        <v>0.5625</v>
      </c>
      <c r="F2144" s="1314"/>
      <c r="G2144" s="1315"/>
      <c r="H2144" s="909">
        <v>0.35416666666666663</v>
      </c>
      <c r="I2144" s="1297"/>
      <c r="J2144" s="1297"/>
      <c r="K2144" s="1298"/>
      <c r="L2144" s="378">
        <v>0.79166666666666663</v>
      </c>
      <c r="M2144" s="379">
        <v>0.64583333333333326</v>
      </c>
    </row>
    <row r="2145" spans="3:13" ht="18" thickBot="1">
      <c r="C2145" s="90"/>
      <c r="D2145" s="562" t="s">
        <v>436</v>
      </c>
      <c r="E2145" s="380" t="s">
        <v>29</v>
      </c>
      <c r="F2145" s="380" t="s">
        <v>28</v>
      </c>
      <c r="G2145" s="381" t="s">
        <v>27</v>
      </c>
      <c r="H2145" s="911" t="s">
        <v>793</v>
      </c>
      <c r="I2145" s="1297"/>
      <c r="J2145" s="1297"/>
      <c r="K2145" s="1298"/>
      <c r="L2145" s="921" t="s">
        <v>1246</v>
      </c>
      <c r="M2145" s="382"/>
    </row>
    <row r="2146" spans="3:13" ht="17">
      <c r="C2146" s="90"/>
      <c r="D2146" s="563">
        <v>45637</v>
      </c>
      <c r="E2146" s="565">
        <v>3.0000000000000001E-3</v>
      </c>
      <c r="F2146" s="565" t="s">
        <v>467</v>
      </c>
      <c r="G2146" s="565">
        <v>3.0000000000000001E-3</v>
      </c>
      <c r="H2146" s="922">
        <v>0.5625</v>
      </c>
      <c r="I2146" s="1297"/>
      <c r="J2146" s="1297"/>
      <c r="K2146" s="1298"/>
      <c r="L2146" s="923"/>
      <c r="M2146" s="384"/>
    </row>
    <row r="2147" spans="3:13" ht="17">
      <c r="C2147" s="90"/>
      <c r="D2147" s="563">
        <v>45609</v>
      </c>
      <c r="E2147" s="565">
        <v>3.0000000000000001E-3</v>
      </c>
      <c r="F2147" s="565" t="s">
        <v>467</v>
      </c>
      <c r="G2147" s="565">
        <v>3.0000000000000001E-3</v>
      </c>
      <c r="H2147" s="922">
        <v>0.5625</v>
      </c>
      <c r="I2147" s="1297"/>
      <c r="J2147" s="1297"/>
      <c r="K2147" s="1298"/>
      <c r="L2147" s="923"/>
      <c r="M2147" s="385"/>
    </row>
    <row r="2148" spans="3:13" ht="17">
      <c r="C2148" s="90"/>
      <c r="D2148" s="563">
        <v>45575</v>
      </c>
      <c r="E2148" s="565">
        <v>3.0000000000000001E-3</v>
      </c>
      <c r="F2148" s="565" t="s">
        <v>460</v>
      </c>
      <c r="G2148" s="565">
        <v>3.0000000000000001E-3</v>
      </c>
      <c r="H2148" s="922">
        <v>0.52083333333333337</v>
      </c>
      <c r="I2148" s="1297"/>
      <c r="J2148" s="1297"/>
      <c r="K2148" s="1298"/>
      <c r="L2148" s="923"/>
      <c r="M2148" s="377"/>
    </row>
    <row r="2149" spans="3:13" ht="17">
      <c r="C2149" s="90"/>
      <c r="D2149" s="563">
        <v>45546</v>
      </c>
      <c r="E2149" s="565">
        <v>3.0000000000000001E-3</v>
      </c>
      <c r="F2149" s="565" t="s">
        <v>460</v>
      </c>
      <c r="G2149" s="565">
        <v>2E-3</v>
      </c>
      <c r="H2149" s="922">
        <v>0.52083333333333337</v>
      </c>
      <c r="I2149" s="1297"/>
      <c r="J2149" s="1297"/>
      <c r="K2149" s="1298"/>
      <c r="L2149" s="923"/>
      <c r="M2149" s="377"/>
    </row>
    <row r="2150" spans="3:13" ht="17">
      <c r="C2150" s="90"/>
      <c r="D2150" s="563">
        <v>45518</v>
      </c>
      <c r="E2150" s="565">
        <v>2E-3</v>
      </c>
      <c r="F2150" s="565" t="s">
        <v>460</v>
      </c>
      <c r="G2150" s="565">
        <v>1E-3</v>
      </c>
      <c r="H2150" s="922">
        <v>0.52083333333333337</v>
      </c>
      <c r="I2150" s="1297"/>
      <c r="J2150" s="1297"/>
      <c r="K2150" s="1298"/>
      <c r="L2150" s="923"/>
      <c r="M2150" s="377"/>
    </row>
    <row r="2151" spans="3:13" ht="18" thickBot="1">
      <c r="C2151" s="90"/>
      <c r="D2151" s="563">
        <v>45484</v>
      </c>
      <c r="E2151" s="565">
        <v>1E-3</v>
      </c>
      <c r="F2151" s="565" t="s">
        <v>460</v>
      </c>
      <c r="G2151" s="565">
        <v>2E-3</v>
      </c>
      <c r="H2151" s="922">
        <v>0.52083333333333337</v>
      </c>
      <c r="I2151" s="1299"/>
      <c r="J2151" s="1299"/>
      <c r="K2151" s="1300"/>
      <c r="L2151" s="923"/>
      <c r="M2151" s="386"/>
    </row>
    <row r="2152" spans="3:13" ht="18" thickBot="1">
      <c r="C2152" s="90">
        <v>4</v>
      </c>
      <c r="D2152" s="557" t="s">
        <v>30</v>
      </c>
      <c r="E2152" s="1358" t="s">
        <v>1410</v>
      </c>
      <c r="F2152" s="1359"/>
      <c r="G2152" s="1360"/>
      <c r="H2152" s="911" t="s">
        <v>790</v>
      </c>
      <c r="I2152" s="1293" t="s">
        <v>633</v>
      </c>
      <c r="J2152" s="1293"/>
      <c r="K2152" s="1294"/>
      <c r="L2152" s="911" t="s">
        <v>430</v>
      </c>
      <c r="M2152" s="388" t="s">
        <v>431</v>
      </c>
    </row>
    <row r="2153" spans="3:13" ht="17">
      <c r="C2153" s="90"/>
      <c r="D2153" s="559" t="s">
        <v>432</v>
      </c>
      <c r="E2153" s="1307"/>
      <c r="F2153" s="1308"/>
      <c r="G2153" s="1309"/>
      <c r="H2153" s="919" t="s">
        <v>906</v>
      </c>
      <c r="I2153" s="1295" t="s">
        <v>1409</v>
      </c>
      <c r="J2153" s="1295"/>
      <c r="K2153" s="1296"/>
      <c r="L2153" s="920"/>
      <c r="M2153" s="376" t="s">
        <v>1410</v>
      </c>
    </row>
    <row r="2154" spans="3:13" ht="17">
      <c r="C2154" s="90"/>
      <c r="D2154" s="560" t="s">
        <v>433</v>
      </c>
      <c r="E2154" s="1361">
        <v>2.9000000000000001E-2</v>
      </c>
      <c r="F2154" s="1362"/>
      <c r="G2154" s="1363"/>
      <c r="H2154" s="919" t="s">
        <v>907</v>
      </c>
      <c r="I2154" s="1297"/>
      <c r="J2154" s="1297"/>
      <c r="K2154" s="1298"/>
      <c r="L2154" s="920"/>
      <c r="M2154" s="377"/>
    </row>
    <row r="2155" spans="3:13" ht="17">
      <c r="C2155" s="90"/>
      <c r="D2155" s="560" t="s">
        <v>434</v>
      </c>
      <c r="E2155" s="1361">
        <v>2.7E-2</v>
      </c>
      <c r="F2155" s="1362"/>
      <c r="G2155" s="1363"/>
      <c r="H2155" s="907"/>
      <c r="I2155" s="1297"/>
      <c r="J2155" s="1297"/>
      <c r="K2155" s="1298"/>
      <c r="L2155" s="920"/>
      <c r="M2155" s="377"/>
    </row>
    <row r="2156" spans="3:13" ht="18" thickBot="1">
      <c r="C2156" s="90"/>
      <c r="D2156" s="561" t="s">
        <v>435</v>
      </c>
      <c r="E2156" s="1313">
        <v>0.5625</v>
      </c>
      <c r="F2156" s="1314"/>
      <c r="G2156" s="1315"/>
      <c r="H2156" s="909">
        <v>0.35416666666666663</v>
      </c>
      <c r="I2156" s="1297"/>
      <c r="J2156" s="1297"/>
      <c r="K2156" s="1298"/>
      <c r="L2156" s="378">
        <v>0.79166666666666663</v>
      </c>
      <c r="M2156" s="379">
        <v>0.64583333333333326</v>
      </c>
    </row>
    <row r="2157" spans="3:13" ht="18" thickBot="1">
      <c r="C2157" s="90"/>
      <c r="D2157" s="562" t="s">
        <v>436</v>
      </c>
      <c r="E2157" s="380" t="s">
        <v>29</v>
      </c>
      <c r="F2157" s="380" t="s">
        <v>28</v>
      </c>
      <c r="G2157" s="381" t="s">
        <v>27</v>
      </c>
      <c r="H2157" s="911" t="s">
        <v>793</v>
      </c>
      <c r="I2157" s="1297"/>
      <c r="J2157" s="1297"/>
      <c r="K2157" s="1298"/>
      <c r="L2157" s="921"/>
      <c r="M2157" s="382"/>
    </row>
    <row r="2158" spans="3:13" ht="17">
      <c r="C2158" s="90"/>
      <c r="D2158" s="563">
        <v>45637</v>
      </c>
      <c r="E2158" s="565">
        <v>2.7E-2</v>
      </c>
      <c r="F2158" s="565" t="s">
        <v>665</v>
      </c>
      <c r="G2158" s="565">
        <v>2.5999999999999999E-2</v>
      </c>
      <c r="H2158" s="922">
        <v>0.5625</v>
      </c>
      <c r="I2158" s="1297"/>
      <c r="J2158" s="1297"/>
      <c r="K2158" s="1298"/>
      <c r="L2158" s="923"/>
      <c r="M2158" s="384"/>
    </row>
    <row r="2159" spans="3:13" ht="17">
      <c r="C2159" s="90"/>
      <c r="D2159" s="563">
        <v>45609</v>
      </c>
      <c r="E2159" s="565">
        <v>2.5999999999999999E-2</v>
      </c>
      <c r="F2159" s="565" t="s">
        <v>493</v>
      </c>
      <c r="G2159" s="565">
        <v>2.4E-2</v>
      </c>
      <c r="H2159" s="922">
        <v>0.5625</v>
      </c>
      <c r="I2159" s="1297"/>
      <c r="J2159" s="1297"/>
      <c r="K2159" s="1298"/>
      <c r="L2159" s="923"/>
      <c r="M2159" s="385"/>
    </row>
    <row r="2160" spans="3:13" ht="17">
      <c r="C2160" s="90"/>
      <c r="D2160" s="563">
        <v>45575</v>
      </c>
      <c r="E2160" s="565">
        <v>2.4E-2</v>
      </c>
      <c r="F2160" s="565" t="s">
        <v>971</v>
      </c>
      <c r="G2160" s="565">
        <v>2.5000000000000001E-2</v>
      </c>
      <c r="H2160" s="922">
        <v>0.52083333333333337</v>
      </c>
      <c r="I2160" s="1297"/>
      <c r="J2160" s="1297"/>
      <c r="K2160" s="1298"/>
      <c r="L2160" s="923"/>
      <c r="M2160" s="377"/>
    </row>
    <row r="2161" spans="3:13" ht="17">
      <c r="C2161" s="90"/>
      <c r="D2161" s="563">
        <v>45546</v>
      </c>
      <c r="E2161" s="565">
        <v>2.5000000000000001E-2</v>
      </c>
      <c r="F2161" s="565" t="s">
        <v>495</v>
      </c>
      <c r="G2161" s="565">
        <v>2.9000000000000001E-2</v>
      </c>
      <c r="H2161" s="922">
        <v>0.52083333333333337</v>
      </c>
      <c r="I2161" s="1297"/>
      <c r="J2161" s="1297"/>
      <c r="K2161" s="1298"/>
      <c r="L2161" s="923"/>
      <c r="M2161" s="377"/>
    </row>
    <row r="2162" spans="3:13" ht="17">
      <c r="C2162" s="90"/>
      <c r="D2162" s="563">
        <v>45518</v>
      </c>
      <c r="E2162" s="565">
        <v>2.9000000000000001E-2</v>
      </c>
      <c r="F2162" s="565" t="s">
        <v>669</v>
      </c>
      <c r="G2162" s="565">
        <v>0.03</v>
      </c>
      <c r="H2162" s="922">
        <v>0.52083333333333337</v>
      </c>
      <c r="I2162" s="1297"/>
      <c r="J2162" s="1297"/>
      <c r="K2162" s="1298"/>
      <c r="L2162" s="923"/>
      <c r="M2162" s="377"/>
    </row>
    <row r="2163" spans="3:13" ht="18" thickBot="1">
      <c r="C2163" s="90"/>
      <c r="D2163" s="563">
        <v>45484</v>
      </c>
      <c r="E2163" s="565">
        <v>0.03</v>
      </c>
      <c r="F2163" s="565" t="s">
        <v>668</v>
      </c>
      <c r="G2163" s="565">
        <v>3.3000000000000002E-2</v>
      </c>
      <c r="H2163" s="922">
        <v>0.52083333333333337</v>
      </c>
      <c r="I2163" s="1299"/>
      <c r="J2163" s="1299"/>
      <c r="K2163" s="1300"/>
      <c r="L2163" s="924"/>
      <c r="M2163" s="386"/>
    </row>
    <row r="2164" spans="3:13" ht="18" thickBot="1">
      <c r="C2164" s="90">
        <v>6</v>
      </c>
      <c r="D2164" s="557" t="s">
        <v>30</v>
      </c>
      <c r="E2164" s="1358" t="s">
        <v>1411</v>
      </c>
      <c r="F2164" s="1359"/>
      <c r="G2164" s="1360"/>
      <c r="H2164" s="911" t="s">
        <v>790</v>
      </c>
      <c r="I2164" s="1293" t="s">
        <v>633</v>
      </c>
      <c r="J2164" s="1293"/>
      <c r="K2164" s="1294"/>
      <c r="L2164" s="911" t="s">
        <v>430</v>
      </c>
      <c r="M2164" s="375" t="s">
        <v>431</v>
      </c>
    </row>
    <row r="2165" spans="3:13" ht="17">
      <c r="C2165" s="90"/>
      <c r="D2165" s="559" t="s">
        <v>432</v>
      </c>
      <c r="E2165" s="1307"/>
      <c r="F2165" s="1308"/>
      <c r="G2165" s="1309"/>
      <c r="H2165" s="919" t="s">
        <v>906</v>
      </c>
      <c r="I2165" s="1295" t="s">
        <v>1409</v>
      </c>
      <c r="J2165" s="1295"/>
      <c r="K2165" s="1296"/>
      <c r="L2165" s="920"/>
      <c r="M2165" s="376" t="s">
        <v>1411</v>
      </c>
    </row>
    <row r="2166" spans="3:13" ht="17">
      <c r="C2166" s="90"/>
      <c r="D2166" s="560" t="s">
        <v>433</v>
      </c>
      <c r="E2166" s="1361">
        <v>3.0000000000000001E-3</v>
      </c>
      <c r="F2166" s="1362"/>
      <c r="G2166" s="1363"/>
      <c r="H2166" s="919" t="s">
        <v>907</v>
      </c>
      <c r="I2166" s="1297"/>
      <c r="J2166" s="1297"/>
      <c r="K2166" s="1298"/>
      <c r="L2166" s="920"/>
      <c r="M2166" s="377"/>
    </row>
    <row r="2167" spans="3:13" ht="17">
      <c r="C2167" s="90"/>
      <c r="D2167" s="560" t="s">
        <v>434</v>
      </c>
      <c r="E2167" s="1361">
        <v>3.0000000000000001E-3</v>
      </c>
      <c r="F2167" s="1362"/>
      <c r="G2167" s="1363"/>
      <c r="H2167" s="907"/>
      <c r="I2167" s="1297"/>
      <c r="J2167" s="1297"/>
      <c r="K2167" s="1298"/>
      <c r="L2167" s="920"/>
      <c r="M2167" s="377"/>
    </row>
    <row r="2168" spans="3:13" ht="18" thickBot="1">
      <c r="C2168" s="90"/>
      <c r="D2168" s="561" t="s">
        <v>435</v>
      </c>
      <c r="E2168" s="1313">
        <v>0.5625</v>
      </c>
      <c r="F2168" s="1314"/>
      <c r="G2168" s="1315"/>
      <c r="H2168" s="909">
        <v>0.35416666666666663</v>
      </c>
      <c r="I2168" s="1297"/>
      <c r="J2168" s="1297"/>
      <c r="K2168" s="1298"/>
      <c r="L2168" s="378">
        <v>0.79166666666666663</v>
      </c>
      <c r="M2168" s="379">
        <v>0.6875</v>
      </c>
    </row>
    <row r="2169" spans="3:13" ht="18" thickBot="1">
      <c r="C2169" s="90"/>
      <c r="D2169" s="562" t="s">
        <v>436</v>
      </c>
      <c r="E2169" s="380" t="s">
        <v>29</v>
      </c>
      <c r="F2169" s="380" t="s">
        <v>28</v>
      </c>
      <c r="G2169" s="381" t="s">
        <v>27</v>
      </c>
      <c r="H2169" s="911" t="s">
        <v>793</v>
      </c>
      <c r="I2169" s="1297"/>
      <c r="J2169" s="1297"/>
      <c r="K2169" s="1298"/>
      <c r="L2169" s="921" t="s">
        <v>1246</v>
      </c>
      <c r="M2169" s="382"/>
    </row>
    <row r="2170" spans="3:13" ht="17">
      <c r="C2170" s="90"/>
      <c r="D2170" s="563">
        <v>45637</v>
      </c>
      <c r="E2170" s="565">
        <v>3.0000000000000001E-3</v>
      </c>
      <c r="F2170" s="565" t="s">
        <v>467</v>
      </c>
      <c r="G2170" s="565">
        <v>2E-3</v>
      </c>
      <c r="H2170" s="922">
        <v>0.5625</v>
      </c>
      <c r="I2170" s="1297"/>
      <c r="J2170" s="1297"/>
      <c r="K2170" s="1298"/>
      <c r="L2170" s="923">
        <v>0</v>
      </c>
      <c r="M2170" s="384"/>
    </row>
    <row r="2171" spans="3:13" ht="17">
      <c r="C2171" s="90"/>
      <c r="D2171" s="563">
        <v>45609</v>
      </c>
      <c r="E2171" s="565">
        <v>2E-3</v>
      </c>
      <c r="F2171" s="565" t="s">
        <v>460</v>
      </c>
      <c r="G2171" s="565">
        <v>2E-3</v>
      </c>
      <c r="H2171" s="922">
        <v>0.5625</v>
      </c>
      <c r="I2171" s="1297"/>
      <c r="J2171" s="1297"/>
      <c r="K2171" s="1298"/>
      <c r="L2171" s="923">
        <v>0</v>
      </c>
      <c r="M2171" s="385"/>
    </row>
    <row r="2172" spans="3:13" ht="17">
      <c r="C2172" s="90"/>
      <c r="D2172" s="563">
        <v>45575</v>
      </c>
      <c r="E2172" s="565">
        <v>2E-3</v>
      </c>
      <c r="F2172" s="565" t="s">
        <v>462</v>
      </c>
      <c r="G2172" s="565">
        <v>2E-3</v>
      </c>
      <c r="H2172" s="922">
        <v>0.52083333333333337</v>
      </c>
      <c r="I2172" s="1297"/>
      <c r="J2172" s="1297"/>
      <c r="K2172" s="1298"/>
      <c r="L2172" s="923">
        <v>0</v>
      </c>
      <c r="M2172" s="377"/>
    </row>
    <row r="2173" spans="3:13" ht="17">
      <c r="C2173" s="90"/>
      <c r="D2173" s="563">
        <v>45546</v>
      </c>
      <c r="E2173" s="565">
        <v>2E-3</v>
      </c>
      <c r="F2173" s="565" t="s">
        <v>460</v>
      </c>
      <c r="G2173" s="565">
        <v>2E-3</v>
      </c>
      <c r="H2173" s="922">
        <v>0.52083333333333337</v>
      </c>
      <c r="I2173" s="1297"/>
      <c r="J2173" s="1297"/>
      <c r="K2173" s="1298"/>
      <c r="L2173" s="923">
        <v>0</v>
      </c>
      <c r="M2173" s="377"/>
    </row>
    <row r="2174" spans="3:13" ht="17">
      <c r="C2174" s="90"/>
      <c r="D2174" s="563">
        <v>45518</v>
      </c>
      <c r="E2174" s="565">
        <v>2E-3</v>
      </c>
      <c r="F2174" s="565" t="s">
        <v>460</v>
      </c>
      <c r="G2174" s="565">
        <v>-1E-3</v>
      </c>
      <c r="H2174" s="922">
        <v>0.52083333333333337</v>
      </c>
      <c r="I2174" s="1297"/>
      <c r="J2174" s="1297"/>
      <c r="K2174" s="1298"/>
      <c r="L2174" s="923">
        <v>0</v>
      </c>
      <c r="M2174" s="377"/>
    </row>
    <row r="2175" spans="3:13" ht="18" thickBot="1">
      <c r="C2175" s="90"/>
      <c r="D2175" s="563">
        <v>45484</v>
      </c>
      <c r="E2175" s="565">
        <v>-1E-3</v>
      </c>
      <c r="F2175" s="565" t="s">
        <v>462</v>
      </c>
      <c r="G2175" s="565">
        <v>0</v>
      </c>
      <c r="H2175" s="922">
        <v>0.52083333333333337</v>
      </c>
      <c r="I2175" s="1299"/>
      <c r="J2175" s="1299"/>
      <c r="K2175" s="1300"/>
      <c r="L2175" s="924">
        <v>0</v>
      </c>
      <c r="M2175" s="386"/>
    </row>
    <row r="2176" spans="3:13" ht="18" thickBot="1">
      <c r="C2176" s="90">
        <v>7</v>
      </c>
      <c r="D2176" s="557" t="s">
        <v>30</v>
      </c>
      <c r="E2176" s="1364" t="s">
        <v>1412</v>
      </c>
      <c r="F2176" s="1365"/>
      <c r="G2176" s="1366"/>
      <c r="H2176" s="911" t="s">
        <v>790</v>
      </c>
      <c r="I2176" s="1293" t="s">
        <v>633</v>
      </c>
      <c r="J2176" s="1293"/>
      <c r="K2176" s="1294"/>
      <c r="L2176" s="911" t="s">
        <v>430</v>
      </c>
      <c r="M2176" s="375" t="s">
        <v>431</v>
      </c>
    </row>
    <row r="2177" spans="3:13" ht="17">
      <c r="C2177" s="90"/>
      <c r="D2177" s="559" t="s">
        <v>432</v>
      </c>
      <c r="E2177" s="1307"/>
      <c r="F2177" s="1308"/>
      <c r="G2177" s="1309"/>
      <c r="H2177" s="919" t="s">
        <v>796</v>
      </c>
      <c r="I2177" s="1295" t="s">
        <v>1414</v>
      </c>
      <c r="J2177" s="1295"/>
      <c r="K2177" s="1296"/>
      <c r="L2177" s="920"/>
      <c r="M2177" s="376" t="s">
        <v>1412</v>
      </c>
    </row>
    <row r="2178" spans="3:13" ht="17">
      <c r="C2178" s="90"/>
      <c r="D2178" s="560" t="s">
        <v>433</v>
      </c>
      <c r="E2178" s="1367">
        <v>0</v>
      </c>
      <c r="F2178" s="1368"/>
      <c r="G2178" s="1369"/>
      <c r="H2178" s="919" t="s">
        <v>796</v>
      </c>
      <c r="I2178" s="1297"/>
      <c r="J2178" s="1297"/>
      <c r="K2178" s="1298"/>
      <c r="L2178" s="920"/>
      <c r="M2178" s="377"/>
    </row>
    <row r="2179" spans="3:13" ht="17">
      <c r="C2179" s="90"/>
      <c r="D2179" s="560" t="s">
        <v>434</v>
      </c>
      <c r="E2179" s="1370" t="s">
        <v>1413</v>
      </c>
      <c r="F2179" s="1368"/>
      <c r="G2179" s="1369"/>
      <c r="H2179" s="907"/>
      <c r="I2179" s="1297"/>
      <c r="J2179" s="1297"/>
      <c r="K2179" s="1298"/>
      <c r="L2179" s="920"/>
      <c r="M2179" s="377"/>
    </row>
    <row r="2180" spans="3:13" ht="18" thickBot="1">
      <c r="C2180" s="90"/>
      <c r="D2180" s="561" t="s">
        <v>435</v>
      </c>
      <c r="E2180" s="1313">
        <v>0.64583333333333337</v>
      </c>
      <c r="F2180" s="1314"/>
      <c r="G2180" s="1315"/>
      <c r="H2180" s="909">
        <v>0.4375</v>
      </c>
      <c r="I2180" s="1297"/>
      <c r="J2180" s="1297"/>
      <c r="K2180" s="1298"/>
      <c r="L2180" s="378">
        <v>0.875</v>
      </c>
      <c r="M2180" s="379">
        <v>0.72916666666666663</v>
      </c>
    </row>
    <row r="2181" spans="3:13" ht="18" thickBot="1">
      <c r="C2181" s="90"/>
      <c r="D2181" s="562" t="s">
        <v>436</v>
      </c>
      <c r="E2181" s="380" t="s">
        <v>29</v>
      </c>
      <c r="F2181" s="380" t="s">
        <v>28</v>
      </c>
      <c r="G2181" s="381" t="s">
        <v>27</v>
      </c>
      <c r="H2181" s="928" t="s">
        <v>1448</v>
      </c>
      <c r="I2181" s="1297"/>
      <c r="J2181" s="1297"/>
      <c r="K2181" s="1298"/>
      <c r="L2181" s="921" t="s">
        <v>1246</v>
      </c>
      <c r="M2181" s="382"/>
    </row>
    <row r="2182" spans="3:13" ht="17">
      <c r="C2182" s="90"/>
      <c r="D2182" s="563">
        <v>45665</v>
      </c>
      <c r="E2182" s="389" t="s">
        <v>1436</v>
      </c>
      <c r="F2182" s="389" t="s">
        <v>1437</v>
      </c>
      <c r="G2182" s="389" t="s">
        <v>1391</v>
      </c>
      <c r="H2182" s="922">
        <v>0.72916666666666663</v>
      </c>
      <c r="I2182" s="1297"/>
      <c r="J2182" s="1297"/>
      <c r="K2182" s="1298"/>
      <c r="L2182" s="923">
        <v>0.64583333333333337</v>
      </c>
      <c r="M2182" s="384"/>
    </row>
    <row r="2183" spans="3:13" ht="17">
      <c r="C2183" s="90"/>
      <c r="D2183" s="563">
        <v>45659</v>
      </c>
      <c r="E2183" s="389" t="s">
        <v>1391</v>
      </c>
      <c r="F2183" s="389" t="s">
        <v>1392</v>
      </c>
      <c r="G2183" s="389" t="s">
        <v>1342</v>
      </c>
      <c r="H2183" s="922">
        <v>0.75</v>
      </c>
      <c r="I2183" s="1297"/>
      <c r="J2183" s="1297"/>
      <c r="K2183" s="1298"/>
      <c r="L2183" s="923">
        <v>0.66666666666666663</v>
      </c>
      <c r="M2183" s="385"/>
    </row>
    <row r="2184" spans="3:13" ht="17">
      <c r="C2184" s="90"/>
      <c r="D2184" s="563">
        <v>45653</v>
      </c>
      <c r="E2184" s="389" t="s">
        <v>1342</v>
      </c>
      <c r="F2184" s="389" t="s">
        <v>1343</v>
      </c>
      <c r="G2184" s="389" t="s">
        <v>1318</v>
      </c>
      <c r="H2184" s="922">
        <v>0.83333333333333337</v>
      </c>
      <c r="I2184" s="1297"/>
      <c r="J2184" s="1297"/>
      <c r="K2184" s="1298"/>
      <c r="L2184" s="923">
        <v>0.75</v>
      </c>
      <c r="M2184" s="377"/>
    </row>
    <row r="2185" spans="3:13" ht="17">
      <c r="C2185" s="90"/>
      <c r="D2185" s="563">
        <v>45644</v>
      </c>
      <c r="E2185" s="389" t="s">
        <v>1318</v>
      </c>
      <c r="F2185" s="389" t="s">
        <v>1289</v>
      </c>
      <c r="G2185" s="389" t="s">
        <v>1286</v>
      </c>
      <c r="H2185" s="922">
        <v>0.72916666666666663</v>
      </c>
      <c r="I2185" s="1297"/>
      <c r="J2185" s="1297"/>
      <c r="K2185" s="1298"/>
      <c r="L2185" s="923">
        <v>0.64583333333333337</v>
      </c>
      <c r="M2185" s="377"/>
    </row>
    <row r="2186" spans="3:13" ht="17">
      <c r="C2186" s="90"/>
      <c r="D2186" s="563">
        <v>45637</v>
      </c>
      <c r="E2186" s="389" t="s">
        <v>1286</v>
      </c>
      <c r="F2186" s="389" t="s">
        <v>1287</v>
      </c>
      <c r="G2186" s="389" t="s">
        <v>1288</v>
      </c>
      <c r="H2186" s="922">
        <v>0.72916666666666663</v>
      </c>
      <c r="I2186" s="1297"/>
      <c r="J2186" s="1297"/>
      <c r="K2186" s="1298"/>
      <c r="L2186" s="923">
        <v>0.64583333333333337</v>
      </c>
      <c r="M2186" s="377"/>
    </row>
    <row r="2187" spans="3:13" ht="18" thickBot="1">
      <c r="C2187" s="90"/>
      <c r="D2187" s="563">
        <v>45630</v>
      </c>
      <c r="E2187" s="389" t="s">
        <v>1288</v>
      </c>
      <c r="F2187" s="389" t="s">
        <v>1289</v>
      </c>
      <c r="G2187" s="389" t="s">
        <v>1290</v>
      </c>
      <c r="H2187" s="922">
        <v>0.72916666666666663</v>
      </c>
      <c r="I2187" s="1299"/>
      <c r="J2187" s="1299"/>
      <c r="K2187" s="1300"/>
      <c r="L2187" s="923">
        <v>0.64583333333333337</v>
      </c>
      <c r="M2187" s="386"/>
    </row>
    <row r="2188" spans="3:13" ht="18" thickBot="1">
      <c r="C2188" s="90">
        <v>8</v>
      </c>
      <c r="D2188" s="557" t="s">
        <v>30</v>
      </c>
      <c r="E2188" s="1358" t="s">
        <v>1415</v>
      </c>
      <c r="F2188" s="1359"/>
      <c r="G2188" s="1360"/>
      <c r="H2188" s="911" t="s">
        <v>790</v>
      </c>
      <c r="I2188" s="1293" t="s">
        <v>633</v>
      </c>
      <c r="J2188" s="1293"/>
      <c r="K2188" s="1294"/>
      <c r="L2188" s="911" t="s">
        <v>430</v>
      </c>
      <c r="M2188" s="375" t="s">
        <v>431</v>
      </c>
    </row>
    <row r="2189" spans="3:13" ht="17">
      <c r="C2189" s="90"/>
      <c r="D2189" s="559" t="s">
        <v>432</v>
      </c>
      <c r="E2189" s="1307"/>
      <c r="F2189" s="1308"/>
      <c r="G2189" s="1309"/>
      <c r="H2189" s="919" t="s">
        <v>798</v>
      </c>
      <c r="I2189" s="1295" t="s">
        <v>1416</v>
      </c>
      <c r="J2189" s="1295"/>
      <c r="K2189" s="1296"/>
      <c r="L2189" s="920"/>
      <c r="M2189" s="376" t="s">
        <v>1415</v>
      </c>
    </row>
    <row r="2190" spans="3:13" ht="17">
      <c r="C2190" s="90"/>
      <c r="D2190" s="560" t="s">
        <v>433</v>
      </c>
      <c r="E2190" s="1361">
        <v>2E-3</v>
      </c>
      <c r="F2190" s="1362"/>
      <c r="G2190" s="1363"/>
      <c r="H2190" s="907" t="s">
        <v>799</v>
      </c>
      <c r="I2190" s="1297"/>
      <c r="J2190" s="1297"/>
      <c r="K2190" s="1298"/>
      <c r="L2190" s="920"/>
      <c r="M2190" s="377"/>
    </row>
    <row r="2191" spans="3:13" ht="17">
      <c r="C2191" s="90"/>
      <c r="D2191" s="560" t="s">
        <v>434</v>
      </c>
      <c r="E2191" s="1361">
        <v>-1E-3</v>
      </c>
      <c r="F2191" s="1362"/>
      <c r="G2191" s="1363"/>
      <c r="H2191" s="907"/>
      <c r="I2191" s="1297"/>
      <c r="J2191" s="1297"/>
      <c r="K2191" s="1298"/>
      <c r="L2191" s="920"/>
      <c r="M2191" s="377"/>
    </row>
    <row r="2192" spans="3:13" ht="18" thickBot="1">
      <c r="C2192" s="90"/>
      <c r="D2192" s="561" t="s">
        <v>435</v>
      </c>
      <c r="E2192" s="1313">
        <v>0.29166666666666674</v>
      </c>
      <c r="F2192" s="1314"/>
      <c r="G2192" s="1315"/>
      <c r="H2192" s="909">
        <v>8.3333333333333398E-2</v>
      </c>
      <c r="I2192" s="1297"/>
      <c r="J2192" s="1297"/>
      <c r="K2192" s="1298"/>
      <c r="L2192" s="378">
        <v>0.52083333333333337</v>
      </c>
      <c r="M2192" s="379">
        <v>0.375</v>
      </c>
    </row>
    <row r="2193" spans="3:13" ht="18" thickBot="1">
      <c r="C2193" s="90"/>
      <c r="D2193" s="562" t="s">
        <v>436</v>
      </c>
      <c r="E2193" s="380" t="s">
        <v>29</v>
      </c>
      <c r="F2193" s="380" t="s">
        <v>28</v>
      </c>
      <c r="G2193" s="381" t="s">
        <v>27</v>
      </c>
      <c r="H2193" s="911" t="s">
        <v>793</v>
      </c>
      <c r="I2193" s="1297"/>
      <c r="J2193" s="1297"/>
      <c r="K2193" s="1298"/>
      <c r="L2193" s="921" t="s">
        <v>1246</v>
      </c>
      <c r="M2193" s="382"/>
    </row>
    <row r="2194" spans="3:13" ht="17">
      <c r="C2194" s="90"/>
      <c r="D2194" s="563">
        <v>45639</v>
      </c>
      <c r="E2194" s="565">
        <v>-1E-3</v>
      </c>
      <c r="F2194" s="565" t="s">
        <v>462</v>
      </c>
      <c r="G2194" s="565">
        <v>-1E-3</v>
      </c>
      <c r="H2194" s="922">
        <v>0.29166666666666669</v>
      </c>
      <c r="I2194" s="1297"/>
      <c r="J2194" s="1297"/>
      <c r="K2194" s="1298"/>
      <c r="L2194" s="923"/>
      <c r="M2194" s="384"/>
    </row>
    <row r="2195" spans="3:13" ht="17">
      <c r="C2195" s="90"/>
      <c r="D2195" s="563">
        <v>45611</v>
      </c>
      <c r="E2195" s="565">
        <v>-1E-3</v>
      </c>
      <c r="F2195" s="565" t="s">
        <v>460</v>
      </c>
      <c r="G2195" s="565">
        <v>2E-3</v>
      </c>
      <c r="H2195" s="922">
        <v>0.29166666666666669</v>
      </c>
      <c r="I2195" s="1297"/>
      <c r="J2195" s="1297"/>
      <c r="K2195" s="1298"/>
      <c r="L2195" s="923"/>
      <c r="M2195" s="385"/>
    </row>
    <row r="2196" spans="3:13" ht="17">
      <c r="C2196" s="90"/>
      <c r="D2196" s="563">
        <v>45576</v>
      </c>
      <c r="E2196" s="565">
        <v>2E-3</v>
      </c>
      <c r="F2196" s="565" t="s">
        <v>460</v>
      </c>
      <c r="G2196" s="565">
        <v>0</v>
      </c>
      <c r="H2196" s="922">
        <v>0.25</v>
      </c>
      <c r="I2196" s="1297"/>
      <c r="J2196" s="1297"/>
      <c r="K2196" s="1298"/>
      <c r="L2196" s="923"/>
      <c r="M2196" s="377"/>
    </row>
    <row r="2197" spans="3:13" ht="17">
      <c r="C2197" s="90"/>
      <c r="D2197" s="563">
        <v>45546</v>
      </c>
      <c r="E2197" s="565">
        <v>0</v>
      </c>
      <c r="F2197" s="565" t="s">
        <v>460</v>
      </c>
      <c r="G2197" s="565">
        <v>0</v>
      </c>
      <c r="H2197" s="922">
        <v>0.25</v>
      </c>
      <c r="I2197" s="1297"/>
      <c r="J2197" s="1297"/>
      <c r="K2197" s="1298"/>
      <c r="L2197" s="923"/>
      <c r="M2197" s="377"/>
    </row>
    <row r="2198" spans="3:13" ht="17">
      <c r="C2198" s="90"/>
      <c r="D2198" s="563">
        <v>45519</v>
      </c>
      <c r="E2198" s="565">
        <v>0</v>
      </c>
      <c r="F2198" s="565" t="s">
        <v>458</v>
      </c>
      <c r="G2198" s="565">
        <v>4.0000000000000001E-3</v>
      </c>
      <c r="H2198" s="922">
        <v>0.25</v>
      </c>
      <c r="I2198" s="1297"/>
      <c r="J2198" s="1297"/>
      <c r="K2198" s="1298"/>
      <c r="L2198" s="923"/>
      <c r="M2198" s="377"/>
    </row>
    <row r="2199" spans="3:13" ht="18" thickBot="1">
      <c r="C2199" s="90"/>
      <c r="D2199" s="563">
        <v>45484</v>
      </c>
      <c r="E2199" s="565">
        <v>4.0000000000000001E-3</v>
      </c>
      <c r="F2199" s="565" t="s">
        <v>460</v>
      </c>
      <c r="G2199" s="565">
        <v>0</v>
      </c>
      <c r="H2199" s="922">
        <v>0.25</v>
      </c>
      <c r="I2199" s="1299"/>
      <c r="J2199" s="1299"/>
      <c r="K2199" s="1300"/>
      <c r="L2199" s="924"/>
      <c r="M2199" s="386"/>
    </row>
    <row r="2200" spans="3:13" ht="18" thickBot="1">
      <c r="C2200" s="90">
        <v>9</v>
      </c>
      <c r="D2200" s="557" t="s">
        <v>30</v>
      </c>
      <c r="E2200" s="1358" t="s">
        <v>1417</v>
      </c>
      <c r="F2200" s="1359"/>
      <c r="G2200" s="1360"/>
      <c r="H2200" s="911" t="s">
        <v>790</v>
      </c>
      <c r="I2200" s="1293" t="s">
        <v>633</v>
      </c>
      <c r="J2200" s="1293"/>
      <c r="K2200" s="1294"/>
      <c r="L2200" s="911" t="s">
        <v>430</v>
      </c>
      <c r="M2200" s="375" t="s">
        <v>431</v>
      </c>
    </row>
    <row r="2201" spans="3:13" ht="17">
      <c r="C2201" s="162"/>
      <c r="D2201" s="559" t="s">
        <v>432</v>
      </c>
      <c r="E2201" s="1307"/>
      <c r="F2201" s="1308"/>
      <c r="G2201" s="1309"/>
      <c r="H2201" s="919" t="s">
        <v>906</v>
      </c>
      <c r="I2201" s="1295" t="s">
        <v>1418</v>
      </c>
      <c r="J2201" s="1295"/>
      <c r="K2201" s="1296"/>
      <c r="L2201" s="920"/>
      <c r="M2201" s="377"/>
    </row>
    <row r="2202" spans="3:13" ht="17">
      <c r="C2202" s="162"/>
      <c r="D2202" s="560" t="s">
        <v>433</v>
      </c>
      <c r="E2202" s="1361">
        <v>4.0000000000000001E-3</v>
      </c>
      <c r="F2202" s="1362"/>
      <c r="G2202" s="1363"/>
      <c r="H2202" s="919" t="s">
        <v>907</v>
      </c>
      <c r="I2202" s="1297"/>
      <c r="J2202" s="1297"/>
      <c r="K2202" s="1298"/>
      <c r="L2202" s="920"/>
      <c r="M2202" s="377"/>
    </row>
    <row r="2203" spans="3:13" ht="17">
      <c r="C2203" s="162"/>
      <c r="D2203" s="560" t="s">
        <v>434</v>
      </c>
      <c r="E2203" s="1361">
        <v>4.0000000000000001E-3</v>
      </c>
      <c r="F2203" s="1362"/>
      <c r="G2203" s="1363"/>
      <c r="H2203" s="907"/>
      <c r="I2203" s="1297"/>
      <c r="J2203" s="1297"/>
      <c r="K2203" s="1298"/>
      <c r="L2203" s="920"/>
      <c r="M2203" s="377"/>
    </row>
    <row r="2204" spans="3:13" ht="18" thickBot="1">
      <c r="C2204" s="162"/>
      <c r="D2204" s="561" t="s">
        <v>435</v>
      </c>
      <c r="E2204" s="1313">
        <v>0.29166666666666674</v>
      </c>
      <c r="F2204" s="1314"/>
      <c r="G2204" s="1315"/>
      <c r="H2204" s="909"/>
      <c r="I2204" s="1297"/>
      <c r="J2204" s="1297"/>
      <c r="K2204" s="1298"/>
      <c r="L2204" s="378">
        <v>0.52083333333333337</v>
      </c>
      <c r="M2204" s="379">
        <v>0.375</v>
      </c>
    </row>
    <row r="2205" spans="3:13" ht="18" thickBot="1">
      <c r="C2205" s="162"/>
      <c r="D2205" s="562" t="s">
        <v>436</v>
      </c>
      <c r="E2205" s="380" t="s">
        <v>29</v>
      </c>
      <c r="F2205" s="380" t="s">
        <v>28</v>
      </c>
      <c r="G2205" s="381" t="s">
        <v>27</v>
      </c>
      <c r="H2205" s="911" t="s">
        <v>793</v>
      </c>
      <c r="I2205" s="1297"/>
      <c r="J2205" s="1297"/>
      <c r="K2205" s="1298"/>
      <c r="L2205" s="921" t="s">
        <v>1246</v>
      </c>
      <c r="M2205" s="382"/>
    </row>
    <row r="2206" spans="3:13" ht="17">
      <c r="C2206" s="162"/>
      <c r="D2206" s="563">
        <v>45663</v>
      </c>
      <c r="E2206" s="565">
        <v>4.0000000000000001E-3</v>
      </c>
      <c r="F2206" s="565" t="s">
        <v>467</v>
      </c>
      <c r="G2206" s="565">
        <v>-2E-3</v>
      </c>
      <c r="H2206" s="925">
        <v>0.54166666666666663</v>
      </c>
      <c r="I2206" s="1297"/>
      <c r="J2206" s="1297"/>
      <c r="K2206" s="1298"/>
      <c r="L2206" s="923"/>
      <c r="M2206" s="384"/>
    </row>
    <row r="2207" spans="3:13" ht="17">
      <c r="C2207" s="162"/>
      <c r="D2207" s="563">
        <v>45636</v>
      </c>
      <c r="E2207" s="565">
        <v>-2E-3</v>
      </c>
      <c r="F2207" s="565" t="s">
        <v>461</v>
      </c>
      <c r="G2207" s="565">
        <v>4.0000000000000001E-3</v>
      </c>
      <c r="H2207" s="925">
        <v>0.29166666666666669</v>
      </c>
      <c r="I2207" s="1297"/>
      <c r="J2207" s="1297"/>
      <c r="K2207" s="1298"/>
      <c r="L2207" s="923"/>
      <c r="M2207" s="385"/>
    </row>
    <row r="2208" spans="3:13" ht="17">
      <c r="C2208" s="162"/>
      <c r="D2208" s="563">
        <v>45624</v>
      </c>
      <c r="E2208" s="565">
        <v>-2E-3</v>
      </c>
      <c r="F2208" s="565" t="s">
        <v>461</v>
      </c>
      <c r="G2208" s="565">
        <v>4.0000000000000001E-3</v>
      </c>
      <c r="H2208" s="925">
        <v>0.54166666666666663</v>
      </c>
      <c r="I2208" s="1297"/>
      <c r="J2208" s="1297"/>
      <c r="K2208" s="1298"/>
      <c r="L2208" s="923"/>
      <c r="M2208" s="377"/>
    </row>
    <row r="2209" spans="3:13" ht="17">
      <c r="C2209" s="162"/>
      <c r="D2209" s="563">
        <v>45608</v>
      </c>
      <c r="E2209" s="565">
        <v>4.0000000000000001E-3</v>
      </c>
      <c r="F2209" s="565" t="s">
        <v>452</v>
      </c>
      <c r="G2209" s="565">
        <v>0</v>
      </c>
      <c r="H2209" s="925">
        <v>0.29166666666666669</v>
      </c>
      <c r="I2209" s="1297"/>
      <c r="J2209" s="1297"/>
      <c r="K2209" s="1298"/>
      <c r="L2209" s="923"/>
      <c r="M2209" s="377"/>
    </row>
    <row r="2210" spans="3:13" ht="17">
      <c r="C2210" s="162"/>
      <c r="D2210" s="563">
        <v>45595</v>
      </c>
      <c r="E2210" s="565">
        <v>4.0000000000000001E-3</v>
      </c>
      <c r="F2210" s="565" t="s">
        <v>460</v>
      </c>
      <c r="G2210" s="565">
        <v>0</v>
      </c>
      <c r="H2210" s="925">
        <v>0.54166666666666663</v>
      </c>
      <c r="I2210" s="1297"/>
      <c r="J2210" s="1297"/>
      <c r="K2210" s="1298"/>
      <c r="L2210" s="923"/>
      <c r="M2210" s="377"/>
    </row>
    <row r="2211" spans="3:13" ht="18" thickBot="1">
      <c r="C2211" s="162"/>
      <c r="D2211" s="563">
        <v>45576</v>
      </c>
      <c r="E2211" s="565">
        <v>0</v>
      </c>
      <c r="F2211" s="565" t="s">
        <v>458</v>
      </c>
      <c r="G2211" s="565">
        <v>-1E-3</v>
      </c>
      <c r="H2211" s="925">
        <v>0.25</v>
      </c>
      <c r="I2211" s="1299"/>
      <c r="J2211" s="1299"/>
      <c r="K2211" s="1300"/>
      <c r="L2211" s="924"/>
      <c r="M2211" s="386"/>
    </row>
    <row r="2212" spans="3:13" ht="18" thickBot="1">
      <c r="C2212" s="90">
        <v>10</v>
      </c>
      <c r="D2212" s="557" t="s">
        <v>30</v>
      </c>
      <c r="E2212" s="1358" t="s">
        <v>1419</v>
      </c>
      <c r="F2212" s="1359"/>
      <c r="G2212" s="1360"/>
      <c r="H2212" s="911" t="s">
        <v>790</v>
      </c>
      <c r="I2212" s="1293" t="s">
        <v>633</v>
      </c>
      <c r="J2212" s="1293"/>
      <c r="K2212" s="1294"/>
      <c r="L2212" s="911" t="s">
        <v>430</v>
      </c>
      <c r="M2212" s="375" t="s">
        <v>431</v>
      </c>
    </row>
    <row r="2213" spans="3:13" ht="17">
      <c r="C2213" s="162"/>
      <c r="D2213" s="559" t="s">
        <v>432</v>
      </c>
      <c r="E2213" s="1307"/>
      <c r="F2213" s="1308"/>
      <c r="G2213" s="1309"/>
      <c r="H2213" s="919" t="s">
        <v>906</v>
      </c>
      <c r="I2213" s="1295" t="s">
        <v>1420</v>
      </c>
      <c r="J2213" s="1295"/>
      <c r="K2213" s="1296"/>
      <c r="L2213" s="926"/>
      <c r="M2213" s="377"/>
    </row>
    <row r="2214" spans="3:13" ht="17">
      <c r="C2214" s="162"/>
      <c r="D2214" s="560" t="s">
        <v>433</v>
      </c>
      <c r="E2214" s="1361">
        <v>4.0000000000000001E-3</v>
      </c>
      <c r="F2214" s="1362"/>
      <c r="G2214" s="1363"/>
      <c r="H2214" s="919" t="s">
        <v>907</v>
      </c>
      <c r="I2214" s="1297"/>
      <c r="J2214" s="1297"/>
      <c r="K2214" s="1298"/>
      <c r="L2214" s="920"/>
      <c r="M2214" s="377"/>
    </row>
    <row r="2215" spans="3:13" ht="17">
      <c r="C2215" s="162"/>
      <c r="D2215" s="560" t="s">
        <v>434</v>
      </c>
      <c r="E2215" s="1361">
        <v>2E-3</v>
      </c>
      <c r="F2215" s="1362"/>
      <c r="G2215" s="1363"/>
      <c r="H2215" s="907"/>
      <c r="I2215" s="1297"/>
      <c r="J2215" s="1297"/>
      <c r="K2215" s="1298"/>
      <c r="L2215" s="920"/>
      <c r="M2215" s="377"/>
    </row>
    <row r="2216" spans="3:13" ht="18" thickBot="1">
      <c r="C2216" s="162"/>
      <c r="D2216" s="561" t="s">
        <v>435</v>
      </c>
      <c r="E2216" s="1313">
        <v>0.5625</v>
      </c>
      <c r="F2216" s="1314"/>
      <c r="G2216" s="1315"/>
      <c r="H2216" s="909"/>
      <c r="I2216" s="1297"/>
      <c r="J2216" s="1297"/>
      <c r="K2216" s="1298"/>
      <c r="L2216" s="378">
        <v>0.79166666666666663</v>
      </c>
      <c r="M2216" s="379">
        <v>0.64583333333333326</v>
      </c>
    </row>
    <row r="2217" spans="3:13" ht="18" thickBot="1">
      <c r="C2217" s="162"/>
      <c r="D2217" s="562" t="s">
        <v>436</v>
      </c>
      <c r="E2217" s="380" t="s">
        <v>29</v>
      </c>
      <c r="F2217" s="380" t="s">
        <v>28</v>
      </c>
      <c r="G2217" s="381" t="s">
        <v>27</v>
      </c>
      <c r="H2217" s="911" t="s">
        <v>793</v>
      </c>
      <c r="I2217" s="1297"/>
      <c r="J2217" s="1297"/>
      <c r="K2217" s="1298"/>
      <c r="L2217" s="921" t="s">
        <v>1246</v>
      </c>
      <c r="M2217" s="382"/>
    </row>
    <row r="2218" spans="3:13" ht="17">
      <c r="C2218" s="162"/>
      <c r="D2218" s="563">
        <v>45643</v>
      </c>
      <c r="E2218" s="565">
        <v>2E-3</v>
      </c>
      <c r="F2218" s="565" t="s">
        <v>452</v>
      </c>
      <c r="G2218" s="565">
        <v>2E-3</v>
      </c>
      <c r="H2218" s="925">
        <v>0.5625</v>
      </c>
      <c r="I2218" s="1297"/>
      <c r="J2218" s="1297"/>
      <c r="K2218" s="1298"/>
      <c r="L2218" s="923"/>
      <c r="M2218" s="384"/>
    </row>
    <row r="2219" spans="3:13" ht="17">
      <c r="C2219" s="162"/>
      <c r="D2219" s="563">
        <v>45611</v>
      </c>
      <c r="E2219" s="565">
        <v>1E-3</v>
      </c>
      <c r="F2219" s="565" t="s">
        <v>467</v>
      </c>
      <c r="G2219" s="565">
        <v>0.01</v>
      </c>
      <c r="H2219" s="925">
        <v>0.5625</v>
      </c>
      <c r="I2219" s="1297"/>
      <c r="J2219" s="1297"/>
      <c r="K2219" s="1298"/>
      <c r="L2219" s="923"/>
      <c r="M2219" s="385"/>
    </row>
    <row r="2220" spans="3:13" ht="17">
      <c r="C2220" s="162"/>
      <c r="D2220" s="563">
        <v>45582</v>
      </c>
      <c r="E2220" s="565">
        <v>5.0000000000000001E-3</v>
      </c>
      <c r="F2220" s="565" t="s">
        <v>462</v>
      </c>
      <c r="G2220" s="565">
        <v>2E-3</v>
      </c>
      <c r="H2220" s="925">
        <v>0.52083333333333337</v>
      </c>
      <c r="I2220" s="1297"/>
      <c r="J2220" s="1297"/>
      <c r="K2220" s="1298"/>
      <c r="L2220" s="923"/>
      <c r="M2220" s="377"/>
    </row>
    <row r="2221" spans="3:13" ht="17">
      <c r="C2221" s="162"/>
      <c r="D2221" s="563">
        <v>45552</v>
      </c>
      <c r="E2221" s="565">
        <v>1E-3</v>
      </c>
      <c r="F2221" s="565" t="s">
        <v>460</v>
      </c>
      <c r="G2221" s="565">
        <v>4.0000000000000001E-3</v>
      </c>
      <c r="H2221" s="925">
        <v>0.52083333333333337</v>
      </c>
      <c r="I2221" s="1297"/>
      <c r="J2221" s="1297"/>
      <c r="K2221" s="1298"/>
      <c r="L2221" s="923"/>
      <c r="M2221" s="377"/>
    </row>
    <row r="2222" spans="3:13" ht="17">
      <c r="C2222" s="162"/>
      <c r="D2222" s="563">
        <v>45519</v>
      </c>
      <c r="E2222" s="565">
        <v>4.0000000000000001E-3</v>
      </c>
      <c r="F2222" s="565" t="s">
        <v>462</v>
      </c>
      <c r="G2222" s="565">
        <v>5.0000000000000001E-3</v>
      </c>
      <c r="H2222" s="925">
        <v>0.52083333333333337</v>
      </c>
      <c r="I2222" s="1297"/>
      <c r="J2222" s="1297"/>
      <c r="K2222" s="1298"/>
      <c r="L2222" s="923"/>
      <c r="M2222" s="377"/>
    </row>
    <row r="2223" spans="3:13" ht="18" thickBot="1">
      <c r="C2223" s="162"/>
      <c r="D2223" s="563">
        <v>45489</v>
      </c>
      <c r="E2223" s="565">
        <v>4.0000000000000001E-3</v>
      </c>
      <c r="F2223" s="565" t="s">
        <v>462</v>
      </c>
      <c r="G2223" s="565">
        <v>1E-3</v>
      </c>
      <c r="H2223" s="925">
        <v>0.52083333333333337</v>
      </c>
      <c r="I2223" s="1299"/>
      <c r="J2223" s="1299"/>
      <c r="K2223" s="1300"/>
      <c r="L2223" s="924"/>
      <c r="M2223" s="386"/>
    </row>
    <row r="2224" spans="3:13" ht="18" thickBot="1">
      <c r="C2224" s="90">
        <v>11</v>
      </c>
      <c r="D2224" s="557" t="s">
        <v>30</v>
      </c>
      <c r="E2224" s="1358" t="s">
        <v>1421</v>
      </c>
      <c r="F2224" s="1359"/>
      <c r="G2224" s="1360"/>
      <c r="H2224" s="911" t="s">
        <v>790</v>
      </c>
      <c r="I2224" s="1293" t="s">
        <v>633</v>
      </c>
      <c r="J2224" s="1293"/>
      <c r="K2224" s="1294"/>
      <c r="L2224" s="911" t="s">
        <v>430</v>
      </c>
      <c r="M2224" s="375" t="s">
        <v>431</v>
      </c>
    </row>
    <row r="2225" spans="3:13" ht="17">
      <c r="C2225" s="162"/>
      <c r="D2225" s="559" t="s">
        <v>432</v>
      </c>
      <c r="E2225" s="1307"/>
      <c r="F2225" s="1308"/>
      <c r="G2225" s="1309"/>
      <c r="H2225" s="919" t="s">
        <v>906</v>
      </c>
      <c r="I2225" s="1295" t="s">
        <v>1424</v>
      </c>
      <c r="J2225" s="1295"/>
      <c r="K2225" s="1296"/>
      <c r="L2225" s="926"/>
      <c r="M2225" s="377"/>
    </row>
    <row r="2226" spans="3:13" ht="17">
      <c r="C2226" s="162"/>
      <c r="D2226" s="560" t="s">
        <v>433</v>
      </c>
      <c r="E2226" s="1361" t="s">
        <v>1422</v>
      </c>
      <c r="F2226" s="1362"/>
      <c r="G2226" s="1363"/>
      <c r="H2226" s="919" t="s">
        <v>907</v>
      </c>
      <c r="I2226" s="1297"/>
      <c r="J2226" s="1297"/>
      <c r="K2226" s="1298"/>
      <c r="L2226" s="920"/>
      <c r="M2226" s="377"/>
    </row>
    <row r="2227" spans="3:13" ht="17">
      <c r="C2227" s="162"/>
      <c r="D2227" s="560" t="s">
        <v>434</v>
      </c>
      <c r="E2227" s="1361" t="s">
        <v>1423</v>
      </c>
      <c r="F2227" s="1362"/>
      <c r="G2227" s="1363"/>
      <c r="H2227" s="907"/>
      <c r="I2227" s="1297"/>
      <c r="J2227" s="1297"/>
      <c r="K2227" s="1298"/>
      <c r="L2227" s="920"/>
      <c r="M2227" s="377"/>
    </row>
    <row r="2228" spans="3:13" ht="18" thickBot="1">
      <c r="C2228" s="162"/>
      <c r="D2228" s="561" t="s">
        <v>435</v>
      </c>
      <c r="E2228" s="1313">
        <v>0.5625</v>
      </c>
      <c r="F2228" s="1314"/>
      <c r="G2228" s="1315"/>
      <c r="H2228" s="909"/>
      <c r="I2228" s="1297"/>
      <c r="J2228" s="1297"/>
      <c r="K2228" s="1298"/>
      <c r="L2228" s="378">
        <v>0.79166666666666663</v>
      </c>
      <c r="M2228" s="379">
        <v>0.64583333333333326</v>
      </c>
    </row>
    <row r="2229" spans="3:13" ht="18" thickBot="1">
      <c r="C2229" s="162"/>
      <c r="D2229" s="562" t="s">
        <v>436</v>
      </c>
      <c r="E2229" s="380" t="s">
        <v>29</v>
      </c>
      <c r="F2229" s="380" t="s">
        <v>28</v>
      </c>
      <c r="G2229" s="381" t="s">
        <v>27</v>
      </c>
      <c r="H2229" s="911" t="s">
        <v>793</v>
      </c>
      <c r="I2229" s="1297"/>
      <c r="J2229" s="1297"/>
      <c r="K2229" s="1298"/>
      <c r="L2229" s="921" t="s">
        <v>1246</v>
      </c>
      <c r="M2229" s="382"/>
    </row>
    <row r="2230" spans="3:13" ht="17">
      <c r="C2230" s="162"/>
      <c r="D2230" s="563">
        <v>45665</v>
      </c>
      <c r="E2230" s="565" t="s">
        <v>1438</v>
      </c>
      <c r="F2230" s="565" t="s">
        <v>1439</v>
      </c>
      <c r="G2230" s="565" t="s">
        <v>1440</v>
      </c>
      <c r="H2230" s="925">
        <v>0.5625</v>
      </c>
      <c r="I2230" s="1297"/>
      <c r="J2230" s="1297"/>
      <c r="K2230" s="1298"/>
      <c r="L2230" s="923"/>
      <c r="M2230" s="384"/>
    </row>
    <row r="2231" spans="3:13" ht="17">
      <c r="C2231" s="162"/>
      <c r="D2231" s="563">
        <v>45659</v>
      </c>
      <c r="E2231" s="565" t="s">
        <v>1440</v>
      </c>
      <c r="F2231" s="565" t="s">
        <v>986</v>
      </c>
      <c r="G2231" s="565" t="s">
        <v>1112</v>
      </c>
      <c r="H2231" s="925">
        <v>0.5625</v>
      </c>
      <c r="I2231" s="1297"/>
      <c r="J2231" s="1297"/>
      <c r="K2231" s="1298"/>
      <c r="L2231" s="923"/>
      <c r="M2231" s="385"/>
    </row>
    <row r="2232" spans="3:13" ht="17">
      <c r="C2232" s="162"/>
      <c r="D2232" s="563">
        <v>45652</v>
      </c>
      <c r="E2232" s="565" t="s">
        <v>987</v>
      </c>
      <c r="F2232" s="565" t="s">
        <v>973</v>
      </c>
      <c r="G2232" s="565" t="s">
        <v>1112</v>
      </c>
      <c r="H2232" s="925">
        <v>0.5625</v>
      </c>
      <c r="I2232" s="1297"/>
      <c r="J2232" s="1297"/>
      <c r="K2232" s="1298"/>
      <c r="L2232" s="923"/>
      <c r="M2232" s="377"/>
    </row>
    <row r="2233" spans="3:13" ht="17">
      <c r="C2233" s="162"/>
      <c r="D2233" s="563">
        <v>45645</v>
      </c>
      <c r="E2233" s="565" t="s">
        <v>1112</v>
      </c>
      <c r="F2233" s="565" t="s">
        <v>976</v>
      </c>
      <c r="G2233" s="565" t="s">
        <v>980</v>
      </c>
      <c r="H2233" s="925">
        <v>0.5625</v>
      </c>
      <c r="I2233" s="1297"/>
      <c r="J2233" s="1297"/>
      <c r="K2233" s="1298"/>
      <c r="L2233" s="923"/>
      <c r="M2233" s="377"/>
    </row>
    <row r="2234" spans="3:13" ht="17">
      <c r="C2234" s="162"/>
      <c r="D2234" s="563">
        <v>45638</v>
      </c>
      <c r="E2234" s="565" t="s">
        <v>980</v>
      </c>
      <c r="F2234" s="565" t="s">
        <v>972</v>
      </c>
      <c r="G2234" s="565" t="s">
        <v>985</v>
      </c>
      <c r="H2234" s="925">
        <v>0.5625</v>
      </c>
      <c r="I2234" s="1297"/>
      <c r="J2234" s="1297"/>
      <c r="K2234" s="1298"/>
      <c r="L2234" s="923"/>
      <c r="M2234" s="377"/>
    </row>
    <row r="2235" spans="3:13" ht="18" thickBot="1">
      <c r="C2235" s="162"/>
      <c r="D2235" s="563">
        <v>45631</v>
      </c>
      <c r="E2235" s="565" t="s">
        <v>1032</v>
      </c>
      <c r="F2235" s="565" t="s">
        <v>1232</v>
      </c>
      <c r="G2235" s="565" t="s">
        <v>1232</v>
      </c>
      <c r="H2235" s="925">
        <v>0.5625</v>
      </c>
      <c r="I2235" s="1299"/>
      <c r="J2235" s="1299"/>
      <c r="K2235" s="1300"/>
      <c r="L2235" s="924"/>
      <c r="M2235" s="386"/>
    </row>
    <row r="2236" spans="3:13" ht="18" thickBot="1">
      <c r="C2236" s="90">
        <v>11</v>
      </c>
      <c r="D2236" s="557" t="s">
        <v>30</v>
      </c>
      <c r="E2236" s="1358" t="s">
        <v>1425</v>
      </c>
      <c r="F2236" s="1359"/>
      <c r="G2236" s="1360"/>
      <c r="H2236" s="911" t="s">
        <v>790</v>
      </c>
      <c r="I2236" s="1293" t="s">
        <v>633</v>
      </c>
      <c r="J2236" s="1293"/>
      <c r="K2236" s="1294"/>
      <c r="L2236" s="911" t="s">
        <v>430</v>
      </c>
      <c r="M2236" s="375" t="s">
        <v>431</v>
      </c>
    </row>
    <row r="2237" spans="3:13" ht="17">
      <c r="C2237" s="162"/>
      <c r="D2237" s="559" t="s">
        <v>432</v>
      </c>
      <c r="E2237" s="1307"/>
      <c r="F2237" s="1308"/>
      <c r="G2237" s="1309"/>
      <c r="H2237" s="919" t="s">
        <v>906</v>
      </c>
      <c r="I2237" s="1295" t="s">
        <v>1428</v>
      </c>
      <c r="J2237" s="1295"/>
      <c r="K2237" s="1296"/>
      <c r="L2237" s="920"/>
      <c r="M2237" s="377"/>
    </row>
    <row r="2238" spans="3:13" ht="17">
      <c r="C2238" s="162"/>
      <c r="D2238" s="560" t="s">
        <v>433</v>
      </c>
      <c r="E2238" s="1341" t="s">
        <v>1426</v>
      </c>
      <c r="F2238" s="1339"/>
      <c r="G2238" s="1340"/>
      <c r="H2238" s="919" t="s">
        <v>907</v>
      </c>
      <c r="I2238" s="1297"/>
      <c r="J2238" s="1297"/>
      <c r="K2238" s="1298"/>
      <c r="L2238" s="920"/>
      <c r="M2238" s="377"/>
    </row>
    <row r="2239" spans="3:13" ht="17">
      <c r="C2239" s="162"/>
      <c r="D2239" s="560" t="s">
        <v>434</v>
      </c>
      <c r="E2239" s="1341" t="s">
        <v>1427</v>
      </c>
      <c r="F2239" s="1339"/>
      <c r="G2239" s="1340"/>
      <c r="H2239" s="907"/>
      <c r="I2239" s="1297"/>
      <c r="J2239" s="1297"/>
      <c r="K2239" s="1298"/>
      <c r="L2239" s="920"/>
      <c r="M2239" s="377"/>
    </row>
    <row r="2240" spans="3:13" ht="18" thickBot="1">
      <c r="C2240" s="162"/>
      <c r="D2240" s="561" t="s">
        <v>435</v>
      </c>
      <c r="E2240" s="1313">
        <v>0.5625</v>
      </c>
      <c r="F2240" s="1314"/>
      <c r="G2240" s="1315"/>
      <c r="H2240" s="909"/>
      <c r="I2240" s="1297"/>
      <c r="J2240" s="1297"/>
      <c r="K2240" s="1298"/>
      <c r="L2240" s="378">
        <v>0.79166666666666663</v>
      </c>
      <c r="M2240" s="379">
        <v>0.875</v>
      </c>
    </row>
    <row r="2241" spans="3:13" ht="18" thickBot="1">
      <c r="C2241" s="162"/>
      <c r="D2241" s="562" t="s">
        <v>436</v>
      </c>
      <c r="E2241" s="380" t="s">
        <v>29</v>
      </c>
      <c r="F2241" s="380" t="s">
        <v>28</v>
      </c>
      <c r="G2241" s="381" t="s">
        <v>27</v>
      </c>
      <c r="H2241" s="911" t="s">
        <v>793</v>
      </c>
      <c r="I2241" s="1297"/>
      <c r="J2241" s="1297"/>
      <c r="K2241" s="1298"/>
      <c r="L2241" s="921" t="s">
        <v>1246</v>
      </c>
      <c r="M2241" s="382"/>
    </row>
    <row r="2242" spans="3:13" ht="17">
      <c r="C2242" s="162"/>
      <c r="D2242" s="566">
        <v>45645</v>
      </c>
      <c r="E2242" s="383">
        <v>-16.399999999999999</v>
      </c>
      <c r="F2242" s="383" t="s">
        <v>1441</v>
      </c>
      <c r="G2242" s="383">
        <v>-5.5</v>
      </c>
      <c r="H2242" s="925">
        <v>0.5625</v>
      </c>
      <c r="I2242" s="1297"/>
      <c r="J2242" s="1297"/>
      <c r="K2242" s="1298"/>
      <c r="L2242" s="923"/>
      <c r="M2242" s="384"/>
    </row>
    <row r="2243" spans="3:13" ht="17">
      <c r="C2243" s="162"/>
      <c r="D2243" s="566">
        <v>45617</v>
      </c>
      <c r="E2243" s="383">
        <v>-5.5</v>
      </c>
      <c r="F2243" s="383" t="s">
        <v>1292</v>
      </c>
      <c r="G2243" s="383">
        <v>10.3</v>
      </c>
      <c r="H2243" s="925">
        <v>0.5625</v>
      </c>
      <c r="I2243" s="1297"/>
      <c r="J2243" s="1297"/>
      <c r="K2243" s="1298"/>
      <c r="L2243" s="923"/>
      <c r="M2243" s="385"/>
    </row>
    <row r="2244" spans="3:13" ht="17">
      <c r="C2244" s="162"/>
      <c r="D2244" s="566">
        <v>45582</v>
      </c>
      <c r="E2244" s="383">
        <v>10.3</v>
      </c>
      <c r="F2244" s="383" t="s">
        <v>1033</v>
      </c>
      <c r="G2244" s="383">
        <v>1.7</v>
      </c>
      <c r="H2244" s="925">
        <v>0.52083333333333337</v>
      </c>
      <c r="I2244" s="1297"/>
      <c r="J2244" s="1297"/>
      <c r="K2244" s="1298"/>
      <c r="L2244" s="923"/>
      <c r="M2244" s="377"/>
    </row>
    <row r="2245" spans="3:13" ht="17">
      <c r="C2245" s="162"/>
      <c r="D2245" s="566">
        <v>45554</v>
      </c>
      <c r="E2245" s="383">
        <v>1.7</v>
      </c>
      <c r="F2245" s="383" t="s">
        <v>1034</v>
      </c>
      <c r="G2245" s="383">
        <v>-7</v>
      </c>
      <c r="H2245" s="925">
        <v>0.52083333333333337</v>
      </c>
      <c r="I2245" s="1297"/>
      <c r="J2245" s="1297"/>
      <c r="K2245" s="1298"/>
      <c r="L2245" s="923"/>
      <c r="M2245" s="377"/>
    </row>
    <row r="2246" spans="3:13" ht="17">
      <c r="C2246" s="162"/>
      <c r="D2246" s="566">
        <v>45519</v>
      </c>
      <c r="E2246" s="383">
        <v>-7</v>
      </c>
      <c r="F2246" s="383" t="s">
        <v>1035</v>
      </c>
      <c r="G2246" s="383">
        <v>13.9</v>
      </c>
      <c r="H2246" s="925">
        <v>0.52083333333333337</v>
      </c>
      <c r="I2246" s="1297"/>
      <c r="J2246" s="1297"/>
      <c r="K2246" s="1298"/>
      <c r="L2246" s="923"/>
      <c r="M2246" s="377"/>
    </row>
    <row r="2247" spans="3:13" ht="18" thickBot="1">
      <c r="C2247" s="162"/>
      <c r="D2247" s="566">
        <v>45491</v>
      </c>
      <c r="E2247" s="383">
        <v>13.9</v>
      </c>
      <c r="F2247" s="383" t="s">
        <v>1036</v>
      </c>
      <c r="G2247" s="383">
        <v>1.3</v>
      </c>
      <c r="H2247" s="925">
        <v>0.52083333333333337</v>
      </c>
      <c r="I2247" s="1299"/>
      <c r="J2247" s="1299"/>
      <c r="K2247" s="1300"/>
      <c r="L2247" s="924"/>
      <c r="M2247" s="386"/>
    </row>
    <row r="2248" spans="3:13" ht="18" thickBot="1">
      <c r="C2248" s="90">
        <v>12</v>
      </c>
      <c r="D2248" s="557" t="s">
        <v>30</v>
      </c>
      <c r="E2248" s="1358" t="s">
        <v>1429</v>
      </c>
      <c r="F2248" s="1359"/>
      <c r="G2248" s="1360"/>
      <c r="H2248" s="911" t="s">
        <v>790</v>
      </c>
      <c r="I2248" s="1293" t="s">
        <v>633</v>
      </c>
      <c r="J2248" s="1293"/>
      <c r="K2248" s="1294"/>
      <c r="L2248" s="911" t="s">
        <v>430</v>
      </c>
      <c r="M2248" s="375" t="s">
        <v>431</v>
      </c>
    </row>
    <row r="2249" spans="3:13" ht="17">
      <c r="C2249" s="162"/>
      <c r="D2249" s="559" t="s">
        <v>432</v>
      </c>
      <c r="E2249" s="1307"/>
      <c r="F2249" s="1308"/>
      <c r="G2249" s="1309"/>
      <c r="H2249" s="919" t="s">
        <v>906</v>
      </c>
      <c r="I2249" s="1295" t="s">
        <v>1430</v>
      </c>
      <c r="J2249" s="1295"/>
      <c r="K2249" s="1296"/>
      <c r="L2249" s="920"/>
      <c r="M2249" s="377"/>
    </row>
    <row r="2250" spans="3:13" ht="17">
      <c r="C2250" s="162"/>
      <c r="D2250" s="560" t="s">
        <v>433</v>
      </c>
      <c r="E2250" s="1361">
        <v>5.0000000000000001E-3</v>
      </c>
      <c r="F2250" s="1362"/>
      <c r="G2250" s="1363"/>
      <c r="H2250" s="919" t="s">
        <v>907</v>
      </c>
      <c r="I2250" s="1297"/>
      <c r="J2250" s="1297"/>
      <c r="K2250" s="1298"/>
      <c r="L2250" s="920"/>
      <c r="M2250" s="377"/>
    </row>
    <row r="2251" spans="3:13" ht="17">
      <c r="C2251" s="162"/>
      <c r="D2251" s="560" t="s">
        <v>434</v>
      </c>
      <c r="E2251" s="1361">
        <v>7.0000000000000001E-3</v>
      </c>
      <c r="F2251" s="1362"/>
      <c r="G2251" s="1363"/>
      <c r="H2251" s="907"/>
      <c r="I2251" s="1297"/>
      <c r="J2251" s="1297"/>
      <c r="K2251" s="1298"/>
      <c r="L2251" s="920"/>
      <c r="M2251" s="377"/>
    </row>
    <row r="2252" spans="3:13" ht="18" thickBot="1">
      <c r="C2252" s="162"/>
      <c r="D2252" s="561" t="s">
        <v>435</v>
      </c>
      <c r="E2252" s="1313">
        <v>0.5625</v>
      </c>
      <c r="F2252" s="1314"/>
      <c r="G2252" s="1315"/>
      <c r="H2252" s="909"/>
      <c r="I2252" s="1297"/>
      <c r="J2252" s="1297"/>
      <c r="K2252" s="1298"/>
      <c r="L2252" s="378">
        <v>0.79166666666666663</v>
      </c>
      <c r="M2252" s="379">
        <v>0.64583333333333326</v>
      </c>
    </row>
    <row r="2253" spans="3:13" ht="18" thickBot="1">
      <c r="C2253" s="162"/>
      <c r="D2253" s="562" t="s">
        <v>436</v>
      </c>
      <c r="E2253" s="380" t="s">
        <v>29</v>
      </c>
      <c r="F2253" s="380" t="s">
        <v>28</v>
      </c>
      <c r="G2253" s="381" t="s">
        <v>27</v>
      </c>
      <c r="H2253" s="911" t="s">
        <v>793</v>
      </c>
      <c r="I2253" s="1297"/>
      <c r="J2253" s="1297"/>
      <c r="K2253" s="1298"/>
      <c r="L2253" s="921" t="s">
        <v>1246</v>
      </c>
      <c r="M2253" s="382"/>
    </row>
    <row r="2254" spans="3:13" ht="17">
      <c r="C2254" s="162"/>
      <c r="D2254" s="563">
        <v>45643</v>
      </c>
      <c r="E2254" s="565">
        <v>7.0000000000000001E-3</v>
      </c>
      <c r="F2254" s="565" t="s">
        <v>449</v>
      </c>
      <c r="G2254" s="565">
        <v>5.0000000000000001E-3</v>
      </c>
      <c r="H2254" s="925">
        <v>0.5625</v>
      </c>
      <c r="I2254" s="1297"/>
      <c r="J2254" s="1297"/>
      <c r="K2254" s="1298"/>
      <c r="L2254" s="923"/>
      <c r="M2254" s="384"/>
    </row>
    <row r="2255" spans="3:13" ht="17">
      <c r="C2255" s="162"/>
      <c r="D2255" s="563">
        <v>45611</v>
      </c>
      <c r="E2255" s="565">
        <v>4.0000000000000001E-3</v>
      </c>
      <c r="F2255" s="565" t="s">
        <v>467</v>
      </c>
      <c r="G2255" s="565">
        <v>8.0000000000000002E-3</v>
      </c>
      <c r="H2255" s="925">
        <v>0.5625</v>
      </c>
      <c r="I2255" s="1297"/>
      <c r="J2255" s="1297"/>
      <c r="K2255" s="1298"/>
      <c r="L2255" s="923"/>
      <c r="M2255" s="385"/>
    </row>
    <row r="2256" spans="3:13" ht="17">
      <c r="C2256" s="162"/>
      <c r="D2256" s="563">
        <v>45582</v>
      </c>
      <c r="E2256" s="565">
        <v>4.0000000000000001E-3</v>
      </c>
      <c r="F2256" s="565" t="s">
        <v>467</v>
      </c>
      <c r="G2256" s="565">
        <v>1E-3</v>
      </c>
      <c r="H2256" s="925">
        <v>0.52083333333333337</v>
      </c>
      <c r="I2256" s="1297"/>
      <c r="J2256" s="1297"/>
      <c r="K2256" s="1298"/>
      <c r="L2256" s="923"/>
      <c r="M2256" s="377"/>
    </row>
    <row r="2257" spans="3:13" ht="17">
      <c r="C2257" s="162"/>
      <c r="D2257" s="563">
        <v>45552</v>
      </c>
      <c r="E2257" s="565">
        <v>1E-3</v>
      </c>
      <c r="F2257" s="565" t="s">
        <v>461</v>
      </c>
      <c r="G2257" s="565">
        <v>1.0999999999999999E-2</v>
      </c>
      <c r="H2257" s="925">
        <v>0.52083333333333337</v>
      </c>
      <c r="I2257" s="1297"/>
      <c r="J2257" s="1297"/>
      <c r="K2257" s="1298"/>
      <c r="L2257" s="923"/>
      <c r="M2257" s="377"/>
    </row>
    <row r="2258" spans="3:13" ht="17">
      <c r="C2258" s="162"/>
      <c r="D2258" s="563">
        <v>45519</v>
      </c>
      <c r="E2258" s="565">
        <v>0.01</v>
      </c>
      <c r="F2258" s="565" t="s">
        <v>452</v>
      </c>
      <c r="G2258" s="565">
        <v>-2E-3</v>
      </c>
      <c r="H2258" s="925">
        <v>0.52083333333333337</v>
      </c>
      <c r="I2258" s="1297"/>
      <c r="J2258" s="1297"/>
      <c r="K2258" s="1298"/>
      <c r="L2258" s="923"/>
      <c r="M2258" s="377"/>
    </row>
    <row r="2259" spans="3:13" ht="18" thickBot="1">
      <c r="C2259" s="162"/>
      <c r="D2259" s="563">
        <v>45489</v>
      </c>
      <c r="E2259" s="565">
        <v>0</v>
      </c>
      <c r="F2259" s="565" t="s">
        <v>454</v>
      </c>
      <c r="G2259" s="565">
        <v>3.0000000000000001E-3</v>
      </c>
      <c r="H2259" s="925">
        <v>0.52083333333333337</v>
      </c>
      <c r="I2259" s="1299"/>
      <c r="J2259" s="1299"/>
      <c r="K2259" s="1300"/>
      <c r="L2259" s="924"/>
      <c r="M2259" s="386"/>
    </row>
    <row r="2260" spans="3:13" ht="18" thickBot="1">
      <c r="C2260" s="90">
        <v>13</v>
      </c>
      <c r="D2260" s="557" t="s">
        <v>30</v>
      </c>
      <c r="E2260" s="1358" t="s">
        <v>1431</v>
      </c>
      <c r="F2260" s="1359"/>
      <c r="G2260" s="1360"/>
      <c r="H2260" s="911" t="s">
        <v>790</v>
      </c>
      <c r="I2260" s="1293" t="s">
        <v>633</v>
      </c>
      <c r="J2260" s="1293"/>
      <c r="K2260" s="1294"/>
      <c r="L2260" s="911" t="s">
        <v>430</v>
      </c>
      <c r="M2260" s="375" t="s">
        <v>431</v>
      </c>
    </row>
    <row r="2261" spans="3:13" ht="17">
      <c r="C2261" s="162"/>
      <c r="D2261" s="559" t="s">
        <v>432</v>
      </c>
      <c r="E2261" s="1307"/>
      <c r="F2261" s="1308"/>
      <c r="G2261" s="1309"/>
      <c r="H2261" s="919" t="s">
        <v>911</v>
      </c>
      <c r="I2261" s="1295" t="s">
        <v>1432</v>
      </c>
      <c r="J2261" s="1295"/>
      <c r="K2261" s="1296"/>
      <c r="L2261" s="920"/>
      <c r="M2261" s="377"/>
    </row>
    <row r="2262" spans="3:13" ht="17">
      <c r="C2262" s="162"/>
      <c r="D2262" s="560" t="s">
        <v>433</v>
      </c>
      <c r="E2262" s="1371">
        <v>5.0999999999999997E-2</v>
      </c>
      <c r="F2262" s="1372"/>
      <c r="G2262" s="1373"/>
      <c r="H2262" s="907" t="s">
        <v>912</v>
      </c>
      <c r="I2262" s="1297"/>
      <c r="J2262" s="1297"/>
      <c r="K2262" s="1298"/>
      <c r="L2262" s="920"/>
      <c r="M2262" s="377"/>
    </row>
    <row r="2263" spans="3:13" ht="17">
      <c r="C2263" s="162"/>
      <c r="D2263" s="560" t="s">
        <v>434</v>
      </c>
      <c r="E2263" s="1371">
        <v>4.5999999999999999E-2</v>
      </c>
      <c r="F2263" s="1372"/>
      <c r="G2263" s="1373"/>
      <c r="H2263" s="907"/>
      <c r="I2263" s="1297"/>
      <c r="J2263" s="1297"/>
      <c r="K2263" s="1298"/>
      <c r="L2263" s="920"/>
      <c r="M2263" s="377"/>
    </row>
    <row r="2264" spans="3:13" ht="18" thickBot="1">
      <c r="C2264" s="162"/>
      <c r="D2264" s="561" t="s">
        <v>435</v>
      </c>
      <c r="E2264" s="1313">
        <v>8.3333333333333343E-2</v>
      </c>
      <c r="F2264" s="1314"/>
      <c r="G2264" s="1315"/>
      <c r="H2264" s="909"/>
      <c r="I2264" s="1297"/>
      <c r="J2264" s="1297"/>
      <c r="K2264" s="1298"/>
      <c r="L2264" s="378">
        <v>0.3125</v>
      </c>
      <c r="M2264" s="379">
        <v>0.16666666666666666</v>
      </c>
    </row>
    <row r="2265" spans="3:13" ht="18" thickBot="1">
      <c r="C2265" s="162"/>
      <c r="D2265" s="562" t="s">
        <v>436</v>
      </c>
      <c r="E2265" s="380" t="s">
        <v>29</v>
      </c>
      <c r="F2265" s="380" t="s">
        <v>28</v>
      </c>
      <c r="G2265" s="381" t="s">
        <v>27</v>
      </c>
      <c r="H2265" s="911" t="s">
        <v>793</v>
      </c>
      <c r="I2265" s="1297"/>
      <c r="J2265" s="1297"/>
      <c r="K2265" s="1298"/>
      <c r="L2265" s="921" t="s">
        <v>1246</v>
      </c>
      <c r="M2265" s="382"/>
    </row>
    <row r="2266" spans="3:13" ht="17">
      <c r="C2266" s="162"/>
      <c r="D2266" s="563">
        <v>45583</v>
      </c>
      <c r="E2266" s="440">
        <v>4.5999999999999999E-2</v>
      </c>
      <c r="F2266" s="440" t="s">
        <v>1442</v>
      </c>
      <c r="G2266" s="440">
        <v>4.7E-2</v>
      </c>
      <c r="H2266" s="925">
        <v>8.3333333333333329E-2</v>
      </c>
      <c r="I2266" s="1297"/>
      <c r="J2266" s="1297"/>
      <c r="K2266" s="1298"/>
      <c r="L2266" s="923"/>
      <c r="M2266" s="384"/>
    </row>
    <row r="2267" spans="3:13" ht="17">
      <c r="C2267" s="162"/>
      <c r="D2267" s="563">
        <v>45488</v>
      </c>
      <c r="E2267" s="440">
        <v>4.7E-2</v>
      </c>
      <c r="F2267" s="440" t="s">
        <v>1443</v>
      </c>
      <c r="G2267" s="440">
        <v>5.2999999999999999E-2</v>
      </c>
      <c r="H2267" s="925">
        <v>8.3333333333333329E-2</v>
      </c>
      <c r="I2267" s="1297"/>
      <c r="J2267" s="1297"/>
      <c r="K2267" s="1298"/>
      <c r="L2267" s="923"/>
      <c r="M2267" s="385"/>
    </row>
    <row r="2268" spans="3:13" ht="17">
      <c r="C2268" s="162"/>
      <c r="D2268" s="563">
        <v>45398</v>
      </c>
      <c r="E2268" s="440">
        <v>5.2999999999999999E-2</v>
      </c>
      <c r="F2268" s="440" t="s">
        <v>1444</v>
      </c>
      <c r="G2268" s="440">
        <v>5.1999999999999998E-2</v>
      </c>
      <c r="H2268" s="925">
        <v>8.3333333333333329E-2</v>
      </c>
      <c r="I2268" s="1297"/>
      <c r="J2268" s="1297"/>
      <c r="K2268" s="1298"/>
      <c r="L2268" s="923"/>
      <c r="M2268" s="377"/>
    </row>
    <row r="2269" spans="3:13" ht="17">
      <c r="C2269" s="162"/>
      <c r="D2269" s="563">
        <v>45308</v>
      </c>
      <c r="E2269" s="440">
        <v>5.1999999999999998E-2</v>
      </c>
      <c r="F2269" s="440" t="s">
        <v>884</v>
      </c>
      <c r="G2269" s="440">
        <v>4.9000000000000002E-2</v>
      </c>
      <c r="H2269" s="925">
        <v>8.3333333333333329E-2</v>
      </c>
      <c r="I2269" s="1297"/>
      <c r="J2269" s="1297"/>
      <c r="K2269" s="1298"/>
      <c r="L2269" s="923"/>
      <c r="M2269" s="377"/>
    </row>
    <row r="2270" spans="3:13" ht="17">
      <c r="C2270" s="162"/>
      <c r="D2270" s="563">
        <v>45217</v>
      </c>
      <c r="E2270" s="440">
        <v>4.9000000000000002E-2</v>
      </c>
      <c r="F2270" s="440" t="s">
        <v>1445</v>
      </c>
      <c r="G2270" s="440">
        <v>6.3E-2</v>
      </c>
      <c r="H2270" s="925">
        <v>8.3333333333333329E-2</v>
      </c>
      <c r="I2270" s="1297"/>
      <c r="J2270" s="1297"/>
      <c r="K2270" s="1298"/>
      <c r="L2270" s="923"/>
      <c r="M2270" s="377"/>
    </row>
    <row r="2271" spans="3:13" ht="18" thickBot="1">
      <c r="C2271" s="162"/>
      <c r="D2271" s="563">
        <v>45124</v>
      </c>
      <c r="E2271" s="440">
        <v>6.3E-2</v>
      </c>
      <c r="F2271" s="440" t="s">
        <v>1446</v>
      </c>
      <c r="G2271" s="440">
        <v>4.4999999999999998E-2</v>
      </c>
      <c r="H2271" s="925">
        <v>8.3333333333333329E-2</v>
      </c>
      <c r="I2271" s="1299"/>
      <c r="J2271" s="1299"/>
      <c r="K2271" s="1300"/>
      <c r="L2271" s="924"/>
      <c r="M2271" s="386"/>
    </row>
    <row r="2272" spans="3:13" ht="18" thickBot="1">
      <c r="C2272" s="90">
        <v>10</v>
      </c>
      <c r="D2272" s="557" t="s">
        <v>30</v>
      </c>
      <c r="E2272" s="1358" t="s">
        <v>1433</v>
      </c>
      <c r="F2272" s="1359"/>
      <c r="G2272" s="1360"/>
      <c r="H2272" s="911" t="s">
        <v>790</v>
      </c>
      <c r="I2272" s="1293" t="s">
        <v>633</v>
      </c>
      <c r="J2272" s="1293"/>
      <c r="K2272" s="1294"/>
      <c r="L2272" s="911" t="s">
        <v>430</v>
      </c>
      <c r="M2272" s="375" t="s">
        <v>431</v>
      </c>
    </row>
    <row r="2273" spans="2:13" ht="17">
      <c r="C2273" s="162"/>
      <c r="D2273" s="559" t="s">
        <v>432</v>
      </c>
      <c r="E2273" s="1307"/>
      <c r="F2273" s="1308"/>
      <c r="G2273" s="1309"/>
      <c r="H2273" s="919" t="s">
        <v>906</v>
      </c>
      <c r="I2273" s="1295" t="s">
        <v>1434</v>
      </c>
      <c r="J2273" s="1295"/>
      <c r="K2273" s="1296"/>
      <c r="L2273" s="920"/>
      <c r="M2273" s="376" t="s">
        <v>1433</v>
      </c>
    </row>
    <row r="2274" spans="2:13" ht="17">
      <c r="C2274" s="162"/>
      <c r="D2274" s="560" t="s">
        <v>433</v>
      </c>
      <c r="E2274" s="1370">
        <v>2.4E-2</v>
      </c>
      <c r="F2274" s="1368"/>
      <c r="G2274" s="1369"/>
      <c r="H2274" s="919" t="s">
        <v>907</v>
      </c>
      <c r="I2274" s="1297"/>
      <c r="J2274" s="1297"/>
      <c r="K2274" s="1298"/>
      <c r="L2274" s="920"/>
      <c r="M2274" s="377"/>
    </row>
    <row r="2275" spans="2:13" ht="17">
      <c r="C2275" s="162"/>
      <c r="D2275" s="560" t="s">
        <v>434</v>
      </c>
      <c r="E2275" s="1370">
        <v>2.4E-2</v>
      </c>
      <c r="F2275" s="1368"/>
      <c r="G2275" s="1369"/>
      <c r="H2275" s="907"/>
      <c r="I2275" s="1297"/>
      <c r="J2275" s="1297"/>
      <c r="K2275" s="1298"/>
      <c r="L2275" s="920"/>
      <c r="M2275" s="377"/>
    </row>
    <row r="2276" spans="2:13" ht="18" thickBot="1">
      <c r="C2276" s="162"/>
      <c r="D2276" s="561" t="s">
        <v>435</v>
      </c>
      <c r="E2276" s="1313">
        <v>0.41666666666666674</v>
      </c>
      <c r="F2276" s="1314"/>
      <c r="G2276" s="1315"/>
      <c r="H2276" s="909"/>
      <c r="I2276" s="1297"/>
      <c r="J2276" s="1297"/>
      <c r="K2276" s="1298"/>
      <c r="L2276" s="378">
        <v>0.64583333333333337</v>
      </c>
      <c r="M2276" s="379">
        <v>0.5</v>
      </c>
    </row>
    <row r="2277" spans="2:13" ht="18" thickBot="1">
      <c r="C2277" s="162"/>
      <c r="D2277" s="562" t="s">
        <v>436</v>
      </c>
      <c r="E2277" s="380" t="s">
        <v>29</v>
      </c>
      <c r="F2277" s="380" t="s">
        <v>28</v>
      </c>
      <c r="G2277" s="381" t="s">
        <v>27</v>
      </c>
      <c r="H2277" s="911" t="s">
        <v>793</v>
      </c>
      <c r="I2277" s="1297"/>
      <c r="J2277" s="1297"/>
      <c r="K2277" s="1298"/>
      <c r="L2277" s="921" t="s">
        <v>1246</v>
      </c>
      <c r="M2277" s="382"/>
    </row>
    <row r="2278" spans="2:13" ht="17">
      <c r="C2278" s="162"/>
      <c r="D2278" s="563">
        <v>45664</v>
      </c>
      <c r="E2278" s="389">
        <v>2.4E-2</v>
      </c>
      <c r="F2278" s="389" t="s">
        <v>1447</v>
      </c>
      <c r="G2278" s="389">
        <v>2.1999999999999999E-2</v>
      </c>
      <c r="H2278" s="925">
        <v>0.41666666666666669</v>
      </c>
      <c r="I2278" s="1297"/>
      <c r="J2278" s="1297"/>
      <c r="K2278" s="1298"/>
      <c r="L2278" s="923"/>
      <c r="M2278" s="390"/>
    </row>
    <row r="2279" spans="2:13" ht="17">
      <c r="C2279" s="162"/>
      <c r="D2279" s="563">
        <v>45644</v>
      </c>
      <c r="E2279" s="389">
        <v>2.1999999999999999E-2</v>
      </c>
      <c r="F2279" s="389" t="s">
        <v>971</v>
      </c>
      <c r="G2279" s="389">
        <v>0.02</v>
      </c>
      <c r="H2279" s="925">
        <v>0.41666666666666669</v>
      </c>
      <c r="I2279" s="1297"/>
      <c r="J2279" s="1297"/>
      <c r="K2279" s="1298"/>
      <c r="L2279" s="923"/>
      <c r="M2279" s="390"/>
    </row>
    <row r="2280" spans="2:13" ht="17">
      <c r="C2280" s="162"/>
      <c r="D2280" s="563">
        <v>45625</v>
      </c>
      <c r="E2280" s="389">
        <v>2.3E-2</v>
      </c>
      <c r="F2280" s="389" t="s">
        <v>971</v>
      </c>
      <c r="G2280" s="389">
        <v>0.02</v>
      </c>
      <c r="H2280" s="925">
        <v>0.41666666666666669</v>
      </c>
      <c r="I2280" s="1297"/>
      <c r="J2280" s="1297"/>
      <c r="K2280" s="1298"/>
      <c r="L2280" s="923"/>
      <c r="M2280" s="390"/>
    </row>
    <row r="2281" spans="2:13" ht="17">
      <c r="C2281" s="162"/>
      <c r="D2281" s="563">
        <v>45615</v>
      </c>
      <c r="E2281" s="389">
        <v>0.02</v>
      </c>
      <c r="F2281" s="389" t="s">
        <v>788</v>
      </c>
      <c r="G2281" s="389">
        <v>0.02</v>
      </c>
      <c r="H2281" s="925">
        <v>0.41666666666666669</v>
      </c>
      <c r="I2281" s="1297"/>
      <c r="J2281" s="1297"/>
      <c r="K2281" s="1298"/>
      <c r="L2281" s="923"/>
      <c r="M2281" s="390"/>
    </row>
    <row r="2282" spans="2:13" ht="17">
      <c r="C2282" s="162"/>
      <c r="D2282" s="563">
        <v>45596</v>
      </c>
      <c r="E2282" s="389">
        <v>0.02</v>
      </c>
      <c r="F2282" s="389" t="s">
        <v>789</v>
      </c>
      <c r="G2282" s="389">
        <v>1.7000000000000001E-2</v>
      </c>
      <c r="H2282" s="925">
        <v>0.41666666666666669</v>
      </c>
      <c r="I2282" s="1297"/>
      <c r="J2282" s="1297"/>
      <c r="K2282" s="1298"/>
      <c r="L2282" s="923"/>
      <c r="M2282" s="390"/>
    </row>
    <row r="2283" spans="2:13" ht="18" thickBot="1">
      <c r="C2283" s="162"/>
      <c r="D2283" s="563">
        <v>45582</v>
      </c>
      <c r="E2283" s="389">
        <v>1.7000000000000001E-2</v>
      </c>
      <c r="F2283" s="389" t="s">
        <v>895</v>
      </c>
      <c r="G2283" s="389">
        <v>2.1999999999999999E-2</v>
      </c>
      <c r="H2283" s="925">
        <v>0.375</v>
      </c>
      <c r="I2283" s="1299"/>
      <c r="J2283" s="1299"/>
      <c r="K2283" s="1300"/>
      <c r="L2283" s="924"/>
      <c r="M2283" s="390"/>
    </row>
    <row r="2284" spans="2:13" ht="25" customHeight="1" thickBot="1">
      <c r="B2284" s="90" t="s">
        <v>1559</v>
      </c>
      <c r="C2284" s="90">
        <v>1</v>
      </c>
      <c r="D2284" s="557" t="s">
        <v>30</v>
      </c>
      <c r="E2284" s="1358" t="s">
        <v>1477</v>
      </c>
      <c r="F2284" s="1359"/>
      <c r="G2284" s="1360"/>
      <c r="H2284" s="911" t="s">
        <v>790</v>
      </c>
      <c r="I2284" s="1345" t="s">
        <v>633</v>
      </c>
      <c r="J2284" s="1293"/>
      <c r="K2284" s="1294"/>
      <c r="L2284" s="911" t="s">
        <v>430</v>
      </c>
      <c r="M2284" s="558" t="s">
        <v>431</v>
      </c>
    </row>
    <row r="2285" spans="2:13" ht="24" customHeight="1">
      <c r="C2285" s="90"/>
      <c r="D2285" s="559" t="s">
        <v>432</v>
      </c>
      <c r="E2285" s="1563"/>
      <c r="F2285" s="1564"/>
      <c r="G2285" s="1565"/>
      <c r="H2285" s="919" t="s">
        <v>911</v>
      </c>
      <c r="I2285" s="1301" t="s">
        <v>1478</v>
      </c>
      <c r="J2285" s="1295"/>
      <c r="K2285" s="1296"/>
      <c r="L2285" s="920"/>
      <c r="M2285" s="376" t="s">
        <v>1477</v>
      </c>
    </row>
    <row r="2286" spans="2:13" ht="17">
      <c r="C2286" s="90"/>
      <c r="D2286" s="560" t="s">
        <v>433</v>
      </c>
      <c r="E2286" s="1370">
        <v>50.1</v>
      </c>
      <c r="F2286" s="1368"/>
      <c r="G2286" s="1369"/>
      <c r="H2286" s="919" t="s">
        <v>912</v>
      </c>
      <c r="I2286" s="1302"/>
      <c r="J2286" s="1297"/>
      <c r="K2286" s="1298"/>
      <c r="L2286" s="920"/>
      <c r="M2286" s="377"/>
    </row>
    <row r="2287" spans="2:13" ht="17">
      <c r="C2287" s="90"/>
      <c r="D2287" s="560" t="s">
        <v>434</v>
      </c>
      <c r="E2287" s="1370">
        <v>50.1</v>
      </c>
      <c r="F2287" s="1368"/>
      <c r="G2287" s="1369"/>
      <c r="H2287" s="907"/>
      <c r="I2287" s="1302"/>
      <c r="J2287" s="1297"/>
      <c r="K2287" s="1298"/>
      <c r="L2287" s="920"/>
      <c r="M2287" s="377"/>
    </row>
    <row r="2288" spans="2:13" ht="18" thickBot="1">
      <c r="C2288" s="90"/>
      <c r="D2288" s="561" t="s">
        <v>435</v>
      </c>
      <c r="E2288" s="1313">
        <v>6.2500000000000028E-2</v>
      </c>
      <c r="F2288" s="1314"/>
      <c r="G2288" s="1315"/>
      <c r="H2288" s="909"/>
      <c r="I2288" s="1302"/>
      <c r="J2288" s="1297"/>
      <c r="K2288" s="1298"/>
      <c r="L2288" s="378">
        <v>0.29166666666666669</v>
      </c>
      <c r="M2288" s="379">
        <v>0.14583333333333334</v>
      </c>
    </row>
    <row r="2289" spans="3:13" ht="18" thickBot="1">
      <c r="C2289" s="90"/>
      <c r="D2289" s="562" t="s">
        <v>436</v>
      </c>
      <c r="E2289" s="380" t="s">
        <v>29</v>
      </c>
      <c r="F2289" s="380" t="s">
        <v>28</v>
      </c>
      <c r="G2289" s="381" t="s">
        <v>27</v>
      </c>
      <c r="H2289" s="911" t="s">
        <v>793</v>
      </c>
      <c r="I2289" s="1302"/>
      <c r="J2289" s="1297"/>
      <c r="K2289" s="1298"/>
      <c r="L2289" s="921" t="s">
        <v>1246</v>
      </c>
      <c r="M2289" s="382"/>
    </row>
    <row r="2290" spans="3:13" ht="17">
      <c r="C2290" s="90"/>
      <c r="D2290" s="563">
        <v>45657</v>
      </c>
      <c r="E2290" s="389">
        <v>50.1</v>
      </c>
      <c r="F2290" s="389" t="s">
        <v>445</v>
      </c>
      <c r="G2290" s="389">
        <v>50.3</v>
      </c>
      <c r="H2290" s="925">
        <v>6.2500000000000028E-2</v>
      </c>
      <c r="I2290" s="1302"/>
      <c r="J2290" s="1297"/>
      <c r="K2290" s="1298"/>
      <c r="L2290" s="923">
        <v>0.29166666666666669</v>
      </c>
      <c r="M2290" s="384"/>
    </row>
    <row r="2291" spans="3:13" ht="17">
      <c r="C2291" s="90"/>
      <c r="D2291" s="563">
        <v>45626</v>
      </c>
      <c r="E2291" s="389">
        <v>50.3</v>
      </c>
      <c r="F2291" s="389" t="s">
        <v>1340</v>
      </c>
      <c r="G2291" s="389">
        <v>50.1</v>
      </c>
      <c r="H2291" s="925">
        <v>6.2500000000000028E-2</v>
      </c>
      <c r="I2291" s="1302"/>
      <c r="J2291" s="1297"/>
      <c r="K2291" s="1298"/>
      <c r="L2291" s="923">
        <v>0.29166666666666669</v>
      </c>
      <c r="M2291" s="385"/>
    </row>
    <row r="2292" spans="3:13" ht="17">
      <c r="C2292" s="90"/>
      <c r="D2292" s="563">
        <v>45596</v>
      </c>
      <c r="E2292" s="389">
        <v>50.1</v>
      </c>
      <c r="F2292" s="389" t="s">
        <v>513</v>
      </c>
      <c r="G2292" s="389">
        <v>49.8</v>
      </c>
      <c r="H2292" s="925">
        <v>6.2500000000000028E-2</v>
      </c>
      <c r="I2292" s="1302"/>
      <c r="J2292" s="1297"/>
      <c r="K2292" s="1298"/>
      <c r="L2292" s="923">
        <v>0.29166666666666669</v>
      </c>
      <c r="M2292" s="377"/>
    </row>
    <row r="2293" spans="3:13" ht="17">
      <c r="C2293" s="90"/>
      <c r="D2293" s="563">
        <v>45565</v>
      </c>
      <c r="E2293" s="389">
        <v>49.8</v>
      </c>
      <c r="F2293" s="389" t="s">
        <v>440</v>
      </c>
      <c r="G2293" s="389">
        <v>49.1</v>
      </c>
      <c r="H2293" s="925">
        <v>6.2500000000000028E-2</v>
      </c>
      <c r="I2293" s="1302"/>
      <c r="J2293" s="1297"/>
      <c r="K2293" s="1298"/>
      <c r="L2293" s="923">
        <v>0.29166666666666669</v>
      </c>
      <c r="M2293" s="377"/>
    </row>
    <row r="2294" spans="3:13" ht="17">
      <c r="C2294" s="90"/>
      <c r="D2294" s="563">
        <v>45535</v>
      </c>
      <c r="E2294" s="389">
        <v>49.1</v>
      </c>
      <c r="F2294" s="389" t="s">
        <v>438</v>
      </c>
      <c r="G2294" s="389">
        <v>49.4</v>
      </c>
      <c r="H2294" s="925">
        <v>6.2500000000000028E-2</v>
      </c>
      <c r="I2294" s="1302"/>
      <c r="J2294" s="1297"/>
      <c r="K2294" s="1298"/>
      <c r="L2294" s="923">
        <v>0.29166666666666669</v>
      </c>
      <c r="M2294" s="377"/>
    </row>
    <row r="2295" spans="3:13" ht="18" thickBot="1">
      <c r="C2295" s="90"/>
      <c r="D2295" s="563">
        <v>45504</v>
      </c>
      <c r="E2295" s="389">
        <v>49.4</v>
      </c>
      <c r="F2295" s="389" t="s">
        <v>440</v>
      </c>
      <c r="G2295" s="389">
        <v>49.5</v>
      </c>
      <c r="H2295" s="925">
        <v>6.2500000000000028E-2</v>
      </c>
      <c r="I2295" s="1303"/>
      <c r="J2295" s="1299"/>
      <c r="K2295" s="1300"/>
      <c r="L2295" s="924">
        <v>0.29166666666666669</v>
      </c>
      <c r="M2295" s="386"/>
    </row>
    <row r="2296" spans="3:13" ht="25" customHeight="1" thickBot="1">
      <c r="C2296" s="90">
        <v>1</v>
      </c>
      <c r="D2296" s="557" t="s">
        <v>30</v>
      </c>
      <c r="E2296" s="1358" t="s">
        <v>1479</v>
      </c>
      <c r="F2296" s="1359"/>
      <c r="G2296" s="1360"/>
      <c r="H2296" s="911" t="s">
        <v>790</v>
      </c>
      <c r="I2296" s="1345" t="s">
        <v>633</v>
      </c>
      <c r="J2296" s="1293"/>
      <c r="K2296" s="1294"/>
      <c r="L2296" s="911" t="s">
        <v>430</v>
      </c>
      <c r="M2296" s="558" t="s">
        <v>431</v>
      </c>
    </row>
    <row r="2297" spans="3:13" ht="24" customHeight="1">
      <c r="C2297" s="90"/>
      <c r="D2297" s="559" t="s">
        <v>432</v>
      </c>
      <c r="E2297" s="1563"/>
      <c r="F2297" s="1564"/>
      <c r="G2297" s="1565"/>
      <c r="H2297" s="919" t="s">
        <v>906</v>
      </c>
      <c r="I2297" s="1301" t="s">
        <v>1482</v>
      </c>
      <c r="J2297" s="1295"/>
      <c r="K2297" s="1296"/>
      <c r="L2297" s="920"/>
      <c r="M2297" s="376" t="s">
        <v>1479</v>
      </c>
    </row>
    <row r="2298" spans="3:13" ht="17">
      <c r="C2298" s="90"/>
      <c r="D2298" s="560" t="s">
        <v>433</v>
      </c>
      <c r="E2298" s="1370"/>
      <c r="F2298" s="1368"/>
      <c r="G2298" s="1369"/>
      <c r="H2298" s="907" t="s">
        <v>907</v>
      </c>
      <c r="I2298" s="1302"/>
      <c r="J2298" s="1297"/>
      <c r="K2298" s="1298"/>
      <c r="L2298" s="920"/>
      <c r="M2298" s="377"/>
    </row>
    <row r="2299" spans="3:13" ht="17">
      <c r="C2299" s="90"/>
      <c r="D2299" s="560" t="s">
        <v>434</v>
      </c>
      <c r="E2299" s="1370" t="s">
        <v>1481</v>
      </c>
      <c r="F2299" s="1368"/>
      <c r="G2299" s="1369"/>
      <c r="H2299" s="907"/>
      <c r="I2299" s="1302"/>
      <c r="J2299" s="1297"/>
      <c r="K2299" s="1298"/>
      <c r="L2299" s="920"/>
      <c r="M2299" s="377"/>
    </row>
    <row r="2300" spans="3:13" ht="18" thickBot="1">
      <c r="C2300" s="90"/>
      <c r="D2300" s="561" t="s">
        <v>435</v>
      </c>
      <c r="E2300" s="1313">
        <v>0.625</v>
      </c>
      <c r="F2300" s="1314"/>
      <c r="G2300" s="1315"/>
      <c r="H2300" s="909"/>
      <c r="I2300" s="1302"/>
      <c r="J2300" s="1297"/>
      <c r="K2300" s="1298"/>
      <c r="L2300" s="378">
        <v>0.85416666666666663</v>
      </c>
      <c r="M2300" s="379">
        <v>0.70833333333333326</v>
      </c>
    </row>
    <row r="2301" spans="3:13" ht="18" thickBot="1">
      <c r="C2301" s="90"/>
      <c r="D2301" s="562" t="s">
        <v>436</v>
      </c>
      <c r="E2301" s="380" t="s">
        <v>29</v>
      </c>
      <c r="F2301" s="380" t="s">
        <v>28</v>
      </c>
      <c r="G2301" s="381" t="s">
        <v>27</v>
      </c>
      <c r="H2301" s="911" t="s">
        <v>793</v>
      </c>
      <c r="I2301" s="1302"/>
      <c r="J2301" s="1297"/>
      <c r="K2301" s="1298"/>
      <c r="L2301" s="921" t="s">
        <v>1246</v>
      </c>
      <c r="M2301" s="382"/>
    </row>
    <row r="2302" spans="3:13" ht="17">
      <c r="C2302" s="90"/>
      <c r="D2302" s="563">
        <v>45649</v>
      </c>
      <c r="E2302" s="564" t="s">
        <v>1532</v>
      </c>
      <c r="F2302" s="564" t="s">
        <v>1533</v>
      </c>
      <c r="G2302" s="564" t="s">
        <v>1534</v>
      </c>
      <c r="H2302" s="929">
        <v>0.625</v>
      </c>
      <c r="I2302" s="1302"/>
      <c r="J2302" s="1297"/>
      <c r="K2302" s="1298"/>
      <c r="L2302" s="922">
        <v>0.85416666666666663</v>
      </c>
      <c r="M2302" s="384"/>
    </row>
    <row r="2303" spans="3:13" ht="17">
      <c r="C2303" s="90"/>
      <c r="D2303" s="563">
        <v>45622</v>
      </c>
      <c r="E2303" s="564" t="s">
        <v>1316</v>
      </c>
      <c r="F2303" s="564" t="s">
        <v>1317</v>
      </c>
      <c r="G2303" s="564" t="s">
        <v>1092</v>
      </c>
      <c r="H2303" s="929">
        <v>0.625</v>
      </c>
      <c r="I2303" s="1302"/>
      <c r="J2303" s="1297"/>
      <c r="K2303" s="1298"/>
      <c r="L2303" s="922">
        <v>0.85416666666666663</v>
      </c>
      <c r="M2303" s="385"/>
    </row>
    <row r="2304" spans="3:13" ht="17">
      <c r="C2304" s="90"/>
      <c r="D2304" s="563">
        <v>45589</v>
      </c>
      <c r="E2304" s="564" t="s">
        <v>1092</v>
      </c>
      <c r="F2304" s="564" t="s">
        <v>1093</v>
      </c>
      <c r="G2304" s="564" t="s">
        <v>1094</v>
      </c>
      <c r="H2304" s="929">
        <v>0.58333333333333337</v>
      </c>
      <c r="I2304" s="1302"/>
      <c r="J2304" s="1297"/>
      <c r="K2304" s="1298"/>
      <c r="L2304" s="922">
        <v>0.8125</v>
      </c>
      <c r="M2304" s="377"/>
    </row>
    <row r="2305" spans="3:13" ht="17">
      <c r="C2305" s="90"/>
      <c r="D2305" s="563">
        <v>45560</v>
      </c>
      <c r="E2305" s="564" t="s">
        <v>1095</v>
      </c>
      <c r="F2305" s="564" t="s">
        <v>1096</v>
      </c>
      <c r="G2305" s="564" t="s">
        <v>1097</v>
      </c>
      <c r="H2305" s="929">
        <v>0.58333333333333337</v>
      </c>
      <c r="I2305" s="1302"/>
      <c r="J2305" s="1297"/>
      <c r="K2305" s="1298"/>
      <c r="L2305" s="922">
        <v>0.8125</v>
      </c>
      <c r="M2305" s="377"/>
    </row>
    <row r="2306" spans="3:13" ht="17">
      <c r="C2306" s="90"/>
      <c r="D2306" s="563">
        <v>45527</v>
      </c>
      <c r="E2306" s="564" t="s">
        <v>1098</v>
      </c>
      <c r="F2306" s="564" t="s">
        <v>1099</v>
      </c>
      <c r="G2306" s="564" t="s">
        <v>1100</v>
      </c>
      <c r="H2306" s="929">
        <v>0.58333333333333337</v>
      </c>
      <c r="I2306" s="1302"/>
      <c r="J2306" s="1297"/>
      <c r="K2306" s="1298"/>
      <c r="L2306" s="922">
        <v>0.8125</v>
      </c>
      <c r="M2306" s="377"/>
    </row>
    <row r="2307" spans="3:13" ht="18" thickBot="1">
      <c r="C2307" s="90"/>
      <c r="D2307" s="563">
        <v>45497</v>
      </c>
      <c r="E2307" s="564" t="s">
        <v>1101</v>
      </c>
      <c r="F2307" s="564" t="s">
        <v>1102</v>
      </c>
      <c r="G2307" s="564" t="s">
        <v>1103</v>
      </c>
      <c r="H2307" s="929">
        <v>0.58333333333333337</v>
      </c>
      <c r="I2307" s="1303"/>
      <c r="J2307" s="1299"/>
      <c r="K2307" s="1300"/>
      <c r="L2307" s="922">
        <v>0.8125</v>
      </c>
      <c r="M2307" s="386"/>
    </row>
    <row r="2308" spans="3:13" ht="25" customHeight="1" thickBot="1">
      <c r="C2308" s="90" t="e">
        <v>#REF!</v>
      </c>
      <c r="D2308" s="557" t="s">
        <v>30</v>
      </c>
      <c r="E2308" s="1358" t="s">
        <v>1483</v>
      </c>
      <c r="F2308" s="1359"/>
      <c r="G2308" s="1360"/>
      <c r="H2308" s="911" t="s">
        <v>790</v>
      </c>
      <c r="I2308" s="1345" t="s">
        <v>633</v>
      </c>
      <c r="J2308" s="1293"/>
      <c r="K2308" s="1294"/>
      <c r="L2308" s="911" t="s">
        <v>430</v>
      </c>
      <c r="M2308" s="558" t="s">
        <v>431</v>
      </c>
    </row>
    <row r="2309" spans="3:13" ht="24" customHeight="1">
      <c r="C2309" s="90"/>
      <c r="D2309" s="559" t="s">
        <v>432</v>
      </c>
      <c r="E2309" s="1563"/>
      <c r="F2309" s="1564"/>
      <c r="G2309" s="1565"/>
      <c r="H2309" s="919" t="s">
        <v>1557</v>
      </c>
      <c r="I2309" s="1301" t="s">
        <v>1484</v>
      </c>
      <c r="J2309" s="1295"/>
      <c r="K2309" s="1296"/>
      <c r="L2309" s="920"/>
      <c r="M2309" s="376" t="s">
        <v>1483</v>
      </c>
    </row>
    <row r="2310" spans="3:13" ht="17">
      <c r="C2310" s="90"/>
      <c r="D2310" s="560" t="s">
        <v>433</v>
      </c>
      <c r="E2310" s="1370">
        <v>0</v>
      </c>
      <c r="F2310" s="1368"/>
      <c r="G2310" s="1369"/>
      <c r="H2310" s="907" t="s">
        <v>1558</v>
      </c>
      <c r="I2310" s="1302"/>
      <c r="J2310" s="1297"/>
      <c r="K2310" s="1298"/>
      <c r="L2310" s="920"/>
      <c r="M2310" s="377"/>
    </row>
    <row r="2311" spans="3:13" ht="17">
      <c r="C2311" s="90"/>
      <c r="D2311" s="560" t="s">
        <v>434</v>
      </c>
      <c r="E2311" s="1370">
        <v>0</v>
      </c>
      <c r="F2311" s="1368"/>
      <c r="G2311" s="1369"/>
      <c r="H2311" s="907"/>
      <c r="I2311" s="1302"/>
      <c r="J2311" s="1297"/>
      <c r="K2311" s="1298"/>
      <c r="L2311" s="920"/>
      <c r="M2311" s="377"/>
    </row>
    <row r="2312" spans="3:13" ht="18" thickBot="1">
      <c r="C2312" s="90"/>
      <c r="D2312" s="561" t="s">
        <v>435</v>
      </c>
      <c r="E2312" s="1313" t="e">
        <v>#VALUE!</v>
      </c>
      <c r="F2312" s="1314"/>
      <c r="G2312" s="1315"/>
      <c r="H2312" s="909"/>
      <c r="I2312" s="1302"/>
      <c r="J2312" s="1297"/>
      <c r="K2312" s="1298"/>
      <c r="L2312" s="378" t="s">
        <v>1449</v>
      </c>
      <c r="M2312" s="379" t="e">
        <v>#VALUE!</v>
      </c>
    </row>
    <row r="2313" spans="3:13" ht="18" thickBot="1">
      <c r="C2313" s="90"/>
      <c r="D2313" s="562" t="s">
        <v>436</v>
      </c>
      <c r="E2313" s="380" t="s">
        <v>29</v>
      </c>
      <c r="F2313" s="380" t="s">
        <v>28</v>
      </c>
      <c r="G2313" s="381" t="s">
        <v>27</v>
      </c>
      <c r="H2313" s="911" t="s">
        <v>793</v>
      </c>
      <c r="I2313" s="1302"/>
      <c r="J2313" s="1297"/>
      <c r="K2313" s="1298"/>
      <c r="L2313" s="921" t="s">
        <v>1246</v>
      </c>
      <c r="M2313" s="382"/>
    </row>
    <row r="2314" spans="3:13" ht="17">
      <c r="C2314" s="90"/>
      <c r="D2314" s="563">
        <v>45643</v>
      </c>
      <c r="E2314" s="564">
        <v>0.02</v>
      </c>
      <c r="F2314" s="564" t="s">
        <v>1028</v>
      </c>
      <c r="G2314" s="564">
        <v>2.1999999999999999E-2</v>
      </c>
      <c r="H2314" s="929">
        <v>0.52083333333333337</v>
      </c>
      <c r="I2314" s="1302"/>
      <c r="J2314" s="1297"/>
      <c r="K2314" s="1298"/>
      <c r="L2314" s="922">
        <v>0.29166666666666669</v>
      </c>
      <c r="M2314" s="384"/>
    </row>
    <row r="2315" spans="3:13" ht="17">
      <c r="C2315" s="90"/>
      <c r="D2315" s="563">
        <v>45615</v>
      </c>
      <c r="E2315" s="564">
        <v>2.1999999999999999E-2</v>
      </c>
      <c r="F2315" s="564" t="s">
        <v>1028</v>
      </c>
      <c r="G2315" s="564">
        <v>2.1000000000000001E-2</v>
      </c>
      <c r="H2315" s="929">
        <v>0.52083333333333337</v>
      </c>
      <c r="I2315" s="1302"/>
      <c r="J2315" s="1297"/>
      <c r="K2315" s="1298"/>
      <c r="L2315" s="922">
        <v>0.29166666666666669</v>
      </c>
      <c r="M2315" s="385"/>
    </row>
    <row r="2316" spans="3:13" ht="17">
      <c r="C2316" s="90"/>
      <c r="D2316" s="563">
        <v>45580</v>
      </c>
      <c r="E2316" s="564">
        <v>2.1000000000000001E-2</v>
      </c>
      <c r="F2316" s="564" t="s">
        <v>1028</v>
      </c>
      <c r="G2316" s="564">
        <v>1.9E-2</v>
      </c>
      <c r="H2316" s="929">
        <v>0.47916666666666663</v>
      </c>
      <c r="I2316" s="1302"/>
      <c r="J2316" s="1297"/>
      <c r="K2316" s="1298"/>
      <c r="L2316" s="922">
        <v>0.25</v>
      </c>
      <c r="M2316" s="377"/>
    </row>
    <row r="2317" spans="3:13" ht="17">
      <c r="C2317" s="90"/>
      <c r="D2317" s="563">
        <v>45552</v>
      </c>
      <c r="E2317" s="564">
        <v>0.02</v>
      </c>
      <c r="F2317" s="564" t="s">
        <v>490</v>
      </c>
      <c r="G2317" s="564">
        <v>2.1999999999999999E-2</v>
      </c>
      <c r="H2317" s="929">
        <v>0.47916666666666663</v>
      </c>
      <c r="I2317" s="1302"/>
      <c r="J2317" s="1297"/>
      <c r="K2317" s="1298"/>
      <c r="L2317" s="922">
        <v>0.25</v>
      </c>
      <c r="M2317" s="377"/>
    </row>
    <row r="2318" spans="3:13" ht="17">
      <c r="C2318" s="90"/>
      <c r="D2318" s="563">
        <v>45524</v>
      </c>
      <c r="E2318" s="564">
        <v>2.1999999999999999E-2</v>
      </c>
      <c r="F2318" s="564" t="s">
        <v>490</v>
      </c>
      <c r="G2318" s="564">
        <v>2.3E-2</v>
      </c>
      <c r="H2318" s="929">
        <v>0.47916666666666663</v>
      </c>
      <c r="I2318" s="1302"/>
      <c r="J2318" s="1297"/>
      <c r="K2318" s="1298"/>
      <c r="L2318" s="922">
        <v>0.25</v>
      </c>
      <c r="M2318" s="377"/>
    </row>
    <row r="2319" spans="3:13" ht="18" thickBot="1">
      <c r="C2319" s="90"/>
      <c r="D2319" s="563">
        <v>45489</v>
      </c>
      <c r="E2319" s="564">
        <v>2.3E-2</v>
      </c>
      <c r="F2319" s="564" t="s">
        <v>1447</v>
      </c>
      <c r="G2319" s="564">
        <v>2.4E-2</v>
      </c>
      <c r="H2319" s="929">
        <v>0.47916666666666663</v>
      </c>
      <c r="I2319" s="1303"/>
      <c r="J2319" s="1299"/>
      <c r="K2319" s="1300"/>
      <c r="L2319" s="922">
        <v>0.25</v>
      </c>
      <c r="M2319" s="386"/>
    </row>
    <row r="2320" spans="3:13" ht="25" customHeight="1" thickBot="1">
      <c r="C2320" s="90" t="e">
        <v>#REF!</v>
      </c>
      <c r="D2320" s="557" t="s">
        <v>30</v>
      </c>
      <c r="E2320" s="1358" t="s">
        <v>1486</v>
      </c>
      <c r="F2320" s="1359"/>
      <c r="G2320" s="1360"/>
      <c r="H2320" s="911" t="s">
        <v>790</v>
      </c>
      <c r="I2320" s="1345" t="s">
        <v>633</v>
      </c>
      <c r="J2320" s="1293"/>
      <c r="K2320" s="1294"/>
      <c r="L2320" s="911" t="s">
        <v>430</v>
      </c>
      <c r="M2320" s="558" t="s">
        <v>431</v>
      </c>
    </row>
    <row r="2321" spans="3:13" ht="24" customHeight="1">
      <c r="C2321" s="90"/>
      <c r="D2321" s="559" t="s">
        <v>432</v>
      </c>
      <c r="E2321" s="1563"/>
      <c r="F2321" s="1564"/>
      <c r="G2321" s="1565"/>
      <c r="H2321" s="919" t="s">
        <v>1557</v>
      </c>
      <c r="I2321" s="1301" t="s">
        <v>1487</v>
      </c>
      <c r="J2321" s="1295"/>
      <c r="K2321" s="1296"/>
      <c r="L2321" s="920"/>
      <c r="M2321" s="376" t="s">
        <v>1486</v>
      </c>
    </row>
    <row r="2322" spans="3:13" ht="17">
      <c r="C2322" s="90"/>
      <c r="D2322" s="560" t="s">
        <v>433</v>
      </c>
      <c r="E2322" s="1370">
        <v>0</v>
      </c>
      <c r="F2322" s="1368"/>
      <c r="G2322" s="1369"/>
      <c r="H2322" s="907" t="s">
        <v>1558</v>
      </c>
      <c r="I2322" s="1302"/>
      <c r="J2322" s="1297"/>
      <c r="K2322" s="1298"/>
      <c r="L2322" s="920"/>
      <c r="M2322" s="377"/>
    </row>
    <row r="2323" spans="3:13" ht="17">
      <c r="C2323" s="90"/>
      <c r="D2323" s="560" t="s">
        <v>434</v>
      </c>
      <c r="E2323" s="1370">
        <v>0</v>
      </c>
      <c r="F2323" s="1368"/>
      <c r="G2323" s="1369"/>
      <c r="H2323" s="907"/>
      <c r="I2323" s="1302"/>
      <c r="J2323" s="1297"/>
      <c r="K2323" s="1298"/>
      <c r="L2323" s="920"/>
      <c r="M2323" s="377"/>
    </row>
    <row r="2324" spans="3:13" ht="18" thickBot="1">
      <c r="C2324" s="90"/>
      <c r="D2324" s="561" t="s">
        <v>435</v>
      </c>
      <c r="E2324" s="1205">
        <v>0.90625</v>
      </c>
      <c r="F2324" s="1206"/>
      <c r="G2324" s="1207"/>
      <c r="H2324" s="909"/>
      <c r="I2324" s="1302"/>
      <c r="J2324" s="1297"/>
      <c r="K2324" s="1298"/>
      <c r="L2324" s="378" t="s">
        <v>1449</v>
      </c>
      <c r="M2324" s="379">
        <v>0.98958333333333337</v>
      </c>
    </row>
    <row r="2325" spans="3:13" ht="18" thickBot="1">
      <c r="C2325" s="90"/>
      <c r="D2325" s="562" t="s">
        <v>436</v>
      </c>
      <c r="E2325" s="380" t="s">
        <v>29</v>
      </c>
      <c r="F2325" s="380" t="s">
        <v>28</v>
      </c>
      <c r="G2325" s="381" t="s">
        <v>27</v>
      </c>
      <c r="H2325" s="911" t="s">
        <v>793</v>
      </c>
      <c r="I2325" s="1302"/>
      <c r="J2325" s="1297"/>
      <c r="K2325" s="1298"/>
      <c r="L2325" s="921" t="s">
        <v>1246</v>
      </c>
      <c r="M2325" s="382"/>
    </row>
    <row r="2326" spans="3:13" ht="17">
      <c r="C2326" s="90"/>
      <c r="D2326" s="641">
        <v>45580</v>
      </c>
      <c r="E2326" s="564">
        <v>6.0000000000000001E-3</v>
      </c>
      <c r="F2326" s="564" t="s">
        <v>1535</v>
      </c>
      <c r="G2326" s="564">
        <v>4.0000000000000001E-3</v>
      </c>
      <c r="H2326" s="929">
        <v>0.52083333333333337</v>
      </c>
      <c r="I2326" s="1302"/>
      <c r="J2326" s="1297"/>
      <c r="K2326" s="1298"/>
      <c r="L2326" s="922">
        <v>0.29166666666666669</v>
      </c>
      <c r="M2326" s="384"/>
    </row>
    <row r="2327" spans="3:13" ht="17">
      <c r="C2327" s="90"/>
      <c r="D2327" s="641">
        <v>45489</v>
      </c>
      <c r="E2327" s="564">
        <v>4.0000000000000001E-3</v>
      </c>
      <c r="F2327" s="564" t="s">
        <v>903</v>
      </c>
      <c r="G2327" s="564">
        <v>6.0000000000000001E-3</v>
      </c>
      <c r="H2327" s="929">
        <v>0.52083333333333337</v>
      </c>
      <c r="I2327" s="1302"/>
      <c r="J2327" s="1297"/>
      <c r="K2327" s="1298"/>
      <c r="L2327" s="922">
        <v>0.29166666666666669</v>
      </c>
      <c r="M2327" s="385"/>
    </row>
    <row r="2328" spans="3:13" ht="17">
      <c r="C2328" s="90"/>
      <c r="D2328" s="641">
        <v>45398</v>
      </c>
      <c r="E2328" s="564">
        <v>6.0000000000000001E-3</v>
      </c>
      <c r="F2328" s="564" t="s">
        <v>449</v>
      </c>
      <c r="G2328" s="564">
        <v>5.0000000000000001E-3</v>
      </c>
      <c r="H2328" s="929">
        <v>0.47916666666666663</v>
      </c>
      <c r="I2328" s="1302"/>
      <c r="J2328" s="1297"/>
      <c r="K2328" s="1298"/>
      <c r="L2328" s="922">
        <v>0.25</v>
      </c>
      <c r="M2328" s="377"/>
    </row>
    <row r="2329" spans="3:13" ht="17">
      <c r="C2329" s="90"/>
      <c r="D2329" s="641">
        <v>45314</v>
      </c>
      <c r="E2329" s="564">
        <v>5.0000000000000001E-3</v>
      </c>
      <c r="F2329" s="564" t="s">
        <v>903</v>
      </c>
      <c r="G2329" s="564">
        <v>1.7999999999999999E-2</v>
      </c>
      <c r="H2329" s="929">
        <v>0.47916666666666663</v>
      </c>
      <c r="I2329" s="1302"/>
      <c r="J2329" s="1297"/>
      <c r="K2329" s="1298"/>
      <c r="L2329" s="922">
        <v>0.25</v>
      </c>
      <c r="M2329" s="377"/>
    </row>
    <row r="2330" spans="3:13" ht="17">
      <c r="C2330" s="90"/>
      <c r="D2330" s="641">
        <v>45215</v>
      </c>
      <c r="E2330" s="564">
        <v>1.7999999999999999E-2</v>
      </c>
      <c r="F2330" s="564" t="s">
        <v>788</v>
      </c>
      <c r="G2330" s="564">
        <v>1.0999999999999999E-2</v>
      </c>
      <c r="H2330" s="929">
        <v>0.47916666666666663</v>
      </c>
      <c r="I2330" s="1302"/>
      <c r="J2330" s="1297"/>
      <c r="K2330" s="1298"/>
      <c r="L2330" s="922">
        <v>0.25</v>
      </c>
      <c r="M2330" s="377"/>
    </row>
    <row r="2331" spans="3:13" ht="18" thickBot="1">
      <c r="C2331" s="90"/>
      <c r="D2331" s="641">
        <v>45125</v>
      </c>
      <c r="E2331" s="564">
        <v>1.0999999999999999E-2</v>
      </c>
      <c r="F2331" s="564" t="s">
        <v>1536</v>
      </c>
      <c r="G2331" s="564">
        <v>1.2E-2</v>
      </c>
      <c r="H2331" s="929">
        <v>0.47916666666666663</v>
      </c>
      <c r="I2331" s="1303"/>
      <c r="J2331" s="1299"/>
      <c r="K2331" s="1300"/>
      <c r="L2331" s="922">
        <v>0.25</v>
      </c>
      <c r="M2331" s="386"/>
    </row>
    <row r="2332" spans="3:13" ht="25" customHeight="1" thickBot="1">
      <c r="C2332" s="90">
        <v>1</v>
      </c>
      <c r="D2332" s="557" t="s">
        <v>30</v>
      </c>
      <c r="E2332" s="1358" t="s">
        <v>1488</v>
      </c>
      <c r="F2332" s="1359"/>
      <c r="G2332" s="1360"/>
      <c r="H2332" s="911" t="s">
        <v>790</v>
      </c>
      <c r="I2332" s="1345" t="s">
        <v>633</v>
      </c>
      <c r="J2332" s="1293"/>
      <c r="K2332" s="1294"/>
      <c r="L2332" s="911" t="s">
        <v>430</v>
      </c>
      <c r="M2332" s="558" t="s">
        <v>431</v>
      </c>
    </row>
    <row r="2333" spans="3:13" ht="24" customHeight="1">
      <c r="C2333" s="90"/>
      <c r="D2333" s="559" t="s">
        <v>432</v>
      </c>
      <c r="E2333" s="1563"/>
      <c r="F2333" s="1564"/>
      <c r="G2333" s="1565"/>
      <c r="H2333" s="919" t="s">
        <v>906</v>
      </c>
      <c r="I2333" s="1301" t="s">
        <v>1489</v>
      </c>
      <c r="J2333" s="1295"/>
      <c r="K2333" s="1296"/>
      <c r="L2333" s="920"/>
      <c r="M2333" s="376" t="s">
        <v>1488</v>
      </c>
    </row>
    <row r="2334" spans="3:13" ht="17">
      <c r="C2334" s="90"/>
      <c r="D2334" s="560" t="s">
        <v>433</v>
      </c>
      <c r="E2334" s="1370">
        <v>8.0000000000000002E-3</v>
      </c>
      <c r="F2334" s="1368"/>
      <c r="G2334" s="1369"/>
      <c r="H2334" s="907" t="s">
        <v>907</v>
      </c>
      <c r="I2334" s="1302"/>
      <c r="J2334" s="1297"/>
      <c r="K2334" s="1298"/>
      <c r="L2334" s="920"/>
      <c r="M2334" s="377"/>
    </row>
    <row r="2335" spans="3:13" ht="17">
      <c r="C2335" s="90"/>
      <c r="D2335" s="560" t="s">
        <v>434</v>
      </c>
      <c r="E2335" s="1370">
        <v>-1.2E-2</v>
      </c>
      <c r="F2335" s="1368"/>
      <c r="G2335" s="1369"/>
      <c r="H2335" s="907"/>
      <c r="I2335" s="1302"/>
      <c r="J2335" s="1297"/>
      <c r="K2335" s="1298"/>
      <c r="L2335" s="920"/>
      <c r="M2335" s="377"/>
    </row>
    <row r="2336" spans="3:13" ht="18" thickBot="1">
      <c r="C2336" s="90"/>
      <c r="D2336" s="561" t="s">
        <v>435</v>
      </c>
      <c r="E2336" s="1313">
        <v>0.5625</v>
      </c>
      <c r="F2336" s="1314"/>
      <c r="G2336" s="1315"/>
      <c r="H2336" s="909"/>
      <c r="I2336" s="1302"/>
      <c r="J2336" s="1297"/>
      <c r="K2336" s="1298"/>
      <c r="L2336" s="378">
        <v>0.79166666666666663</v>
      </c>
      <c r="M2336" s="379">
        <v>0.64583333333333326</v>
      </c>
    </row>
    <row r="2337" spans="3:13" ht="18" thickBot="1">
      <c r="C2337" s="90"/>
      <c r="D2337" s="562" t="s">
        <v>436</v>
      </c>
      <c r="E2337" s="380" t="s">
        <v>29</v>
      </c>
      <c r="F2337" s="380" t="s">
        <v>28</v>
      </c>
      <c r="G2337" s="381" t="s">
        <v>27</v>
      </c>
      <c r="H2337" s="911" t="s">
        <v>793</v>
      </c>
      <c r="I2337" s="1302"/>
      <c r="J2337" s="1297"/>
      <c r="K2337" s="1298"/>
      <c r="L2337" s="921" t="s">
        <v>1246</v>
      </c>
      <c r="M2337" s="382"/>
    </row>
    <row r="2338" spans="3:13" ht="17">
      <c r="C2338" s="90"/>
      <c r="D2338" s="563">
        <v>45649</v>
      </c>
      <c r="E2338" s="564">
        <v>-1.0999999999999999E-2</v>
      </c>
      <c r="F2338" s="564" t="s">
        <v>454</v>
      </c>
      <c r="G2338" s="564">
        <v>8.0000000000000002E-3</v>
      </c>
      <c r="H2338" s="929">
        <v>0.5625</v>
      </c>
      <c r="I2338" s="1302"/>
      <c r="J2338" s="1297"/>
      <c r="K2338" s="1298"/>
      <c r="L2338" s="922">
        <v>0.79166666666666663</v>
      </c>
      <c r="M2338" s="384"/>
    </row>
    <row r="2339" spans="3:13" ht="17">
      <c r="C2339" s="90"/>
      <c r="D2339" s="563">
        <v>45623</v>
      </c>
      <c r="E2339" s="564">
        <v>2E-3</v>
      </c>
      <c r="F2339" s="564" t="s">
        <v>1315</v>
      </c>
      <c r="G2339" s="564">
        <v>-4.0000000000000001E-3</v>
      </c>
      <c r="H2339" s="929">
        <v>0.5625</v>
      </c>
      <c r="I2339" s="1302"/>
      <c r="J2339" s="1297"/>
      <c r="K2339" s="1298"/>
      <c r="L2339" s="922">
        <v>0.79166666666666663</v>
      </c>
      <c r="M2339" s="385"/>
    </row>
    <row r="2340" spans="3:13" ht="17">
      <c r="C2340" s="90"/>
      <c r="D2340" s="563">
        <v>45590</v>
      </c>
      <c r="E2340" s="564">
        <v>-8.0000000000000002E-3</v>
      </c>
      <c r="F2340" s="564" t="s">
        <v>1110</v>
      </c>
      <c r="G2340" s="564">
        <v>-8.0000000000000002E-3</v>
      </c>
      <c r="H2340" s="929">
        <v>0.52083333333333337</v>
      </c>
      <c r="I2340" s="1302"/>
      <c r="J2340" s="1297"/>
      <c r="K2340" s="1298"/>
      <c r="L2340" s="922">
        <v>0.75</v>
      </c>
      <c r="M2340" s="377"/>
    </row>
    <row r="2341" spans="3:13" ht="17">
      <c r="C2341" s="90"/>
      <c r="D2341" s="563">
        <v>45561</v>
      </c>
      <c r="E2341" s="564">
        <v>0</v>
      </c>
      <c r="F2341" s="564" t="s">
        <v>778</v>
      </c>
      <c r="G2341" s="564">
        <v>9.9000000000000005E-2</v>
      </c>
      <c r="H2341" s="929">
        <v>0.52083333333333337</v>
      </c>
      <c r="I2341" s="1302"/>
      <c r="J2341" s="1297"/>
      <c r="K2341" s="1298"/>
      <c r="L2341" s="922">
        <v>0.75</v>
      </c>
      <c r="M2341" s="377"/>
    </row>
    <row r="2342" spans="3:13" ht="17">
      <c r="C2342" s="90"/>
      <c r="D2342" s="563">
        <v>45530</v>
      </c>
      <c r="E2342" s="564">
        <v>9.9000000000000005E-2</v>
      </c>
      <c r="F2342" s="564" t="s">
        <v>630</v>
      </c>
      <c r="G2342" s="564">
        <v>-6.9000000000000006E-2</v>
      </c>
      <c r="H2342" s="929">
        <v>0.52083333333333337</v>
      </c>
      <c r="I2342" s="1302"/>
      <c r="J2342" s="1297"/>
      <c r="K2342" s="1298"/>
      <c r="L2342" s="922">
        <v>0.75</v>
      </c>
      <c r="M2342" s="377"/>
    </row>
    <row r="2343" spans="3:13" ht="18" thickBot="1">
      <c r="C2343" s="90"/>
      <c r="D2343" s="563">
        <v>45498</v>
      </c>
      <c r="E2343" s="564">
        <v>-6.6000000000000003E-2</v>
      </c>
      <c r="F2343" s="564" t="s">
        <v>467</v>
      </c>
      <c r="G2343" s="564">
        <v>1E-3</v>
      </c>
      <c r="H2343" s="929">
        <v>0.52083333333333337</v>
      </c>
      <c r="I2343" s="1303"/>
      <c r="J2343" s="1299"/>
      <c r="K2343" s="1300"/>
      <c r="L2343" s="922">
        <v>0.75</v>
      </c>
      <c r="M2343" s="386"/>
    </row>
    <row r="2344" spans="3:13" ht="25" customHeight="1" thickBot="1">
      <c r="C2344" s="90">
        <v>1</v>
      </c>
      <c r="D2344" s="557" t="s">
        <v>30</v>
      </c>
      <c r="E2344" s="1358" t="s">
        <v>1490</v>
      </c>
      <c r="F2344" s="1359"/>
      <c r="G2344" s="1360"/>
      <c r="H2344" s="911" t="s">
        <v>790</v>
      </c>
      <c r="I2344" s="1345" t="s">
        <v>633</v>
      </c>
      <c r="J2344" s="1293"/>
      <c r="K2344" s="1294"/>
      <c r="L2344" s="911" t="s">
        <v>430</v>
      </c>
      <c r="M2344" s="558" t="s">
        <v>431</v>
      </c>
    </row>
    <row r="2345" spans="3:13" ht="24" customHeight="1">
      <c r="C2345" s="90"/>
      <c r="D2345" s="559" t="s">
        <v>432</v>
      </c>
      <c r="E2345" s="1563"/>
      <c r="F2345" s="1564"/>
      <c r="G2345" s="1565"/>
      <c r="H2345" s="919" t="s">
        <v>906</v>
      </c>
      <c r="I2345" s="1301" t="s">
        <v>1491</v>
      </c>
      <c r="J2345" s="1295"/>
      <c r="K2345" s="1296"/>
      <c r="L2345" s="920"/>
      <c r="M2345" s="376" t="s">
        <v>1490</v>
      </c>
    </row>
    <row r="2346" spans="3:13" ht="17">
      <c r="C2346" s="90"/>
      <c r="D2346" s="560" t="s">
        <v>433</v>
      </c>
      <c r="E2346" s="1341">
        <v>106</v>
      </c>
      <c r="F2346" s="1339"/>
      <c r="G2346" s="1340"/>
      <c r="H2346" s="907" t="s">
        <v>907</v>
      </c>
      <c r="I2346" s="1302"/>
      <c r="J2346" s="1297"/>
      <c r="K2346" s="1298"/>
      <c r="L2346" s="920"/>
      <c r="M2346" s="377"/>
    </row>
    <row r="2347" spans="3:13" ht="17">
      <c r="C2347" s="90"/>
      <c r="D2347" s="560" t="s">
        <v>434</v>
      </c>
      <c r="E2347" s="1341">
        <v>104.7</v>
      </c>
      <c r="F2347" s="1339"/>
      <c r="G2347" s="1340"/>
      <c r="H2347" s="907"/>
      <c r="I2347" s="1302"/>
      <c r="J2347" s="1297"/>
      <c r="K2347" s="1298"/>
      <c r="L2347" s="920"/>
      <c r="M2347" s="377"/>
    </row>
    <row r="2348" spans="3:13" ht="18" thickBot="1">
      <c r="C2348" s="90"/>
      <c r="D2348" s="561" t="s">
        <v>435</v>
      </c>
      <c r="E2348" s="1313">
        <v>0.625</v>
      </c>
      <c r="F2348" s="1314"/>
      <c r="G2348" s="1315"/>
      <c r="H2348" s="909"/>
      <c r="I2348" s="1302"/>
      <c r="J2348" s="1297"/>
      <c r="K2348" s="1298"/>
      <c r="L2348" s="378">
        <v>0.85416666666666663</v>
      </c>
      <c r="M2348" s="379">
        <v>0.70833333333333326</v>
      </c>
    </row>
    <row r="2349" spans="3:13" ht="18" thickBot="1">
      <c r="C2349" s="90"/>
      <c r="D2349" s="562" t="s">
        <v>436</v>
      </c>
      <c r="E2349" s="380" t="s">
        <v>29</v>
      </c>
      <c r="F2349" s="380" t="s">
        <v>28</v>
      </c>
      <c r="G2349" s="381" t="s">
        <v>27</v>
      </c>
      <c r="H2349" s="911" t="s">
        <v>793</v>
      </c>
      <c r="I2349" s="1302"/>
      <c r="J2349" s="1297"/>
      <c r="K2349" s="1298"/>
      <c r="L2349" s="921" t="s">
        <v>1246</v>
      </c>
      <c r="M2349" s="382"/>
    </row>
    <row r="2350" spans="3:13" ht="17">
      <c r="C2350" s="90"/>
      <c r="D2350" s="563">
        <v>45649</v>
      </c>
      <c r="E2350" s="387">
        <v>104.7</v>
      </c>
      <c r="F2350" s="387" t="s">
        <v>1537</v>
      </c>
      <c r="G2350" s="387">
        <v>112.8</v>
      </c>
      <c r="H2350" s="929">
        <v>0.625</v>
      </c>
      <c r="I2350" s="1302"/>
      <c r="J2350" s="1297"/>
      <c r="K2350" s="1298"/>
      <c r="L2350" s="922">
        <v>0.85416666666666663</v>
      </c>
      <c r="M2350" s="384"/>
    </row>
    <row r="2351" spans="3:13" ht="17">
      <c r="C2351" s="90"/>
      <c r="D2351" s="563">
        <v>45622</v>
      </c>
      <c r="E2351" s="387">
        <v>111.7</v>
      </c>
      <c r="F2351" s="387" t="s">
        <v>1314</v>
      </c>
      <c r="G2351" s="387">
        <v>109.6</v>
      </c>
      <c r="H2351" s="929">
        <v>0.625</v>
      </c>
      <c r="I2351" s="1302"/>
      <c r="J2351" s="1297"/>
      <c r="K2351" s="1298"/>
      <c r="L2351" s="922">
        <v>0.85416666666666663</v>
      </c>
      <c r="M2351" s="385"/>
    </row>
    <row r="2352" spans="3:13" ht="17">
      <c r="C2352" s="90"/>
      <c r="D2352" s="563">
        <v>45594</v>
      </c>
      <c r="E2352" s="387">
        <v>108.7</v>
      </c>
      <c r="F2352" s="387" t="s">
        <v>1091</v>
      </c>
      <c r="G2352" s="387">
        <v>99.2</v>
      </c>
      <c r="H2352" s="929">
        <v>0.58333333333333337</v>
      </c>
      <c r="I2352" s="1302"/>
      <c r="J2352" s="1297"/>
      <c r="K2352" s="1298"/>
      <c r="L2352" s="922">
        <v>0.8125</v>
      </c>
      <c r="M2352" s="377"/>
    </row>
    <row r="2353" spans="3:13" ht="17">
      <c r="C2353" s="90"/>
      <c r="D2353" s="563">
        <v>45559</v>
      </c>
      <c r="E2353" s="387">
        <v>98.7</v>
      </c>
      <c r="F2353" s="387" t="s">
        <v>874</v>
      </c>
      <c r="G2353" s="387">
        <v>105.6</v>
      </c>
      <c r="H2353" s="929">
        <v>0.58333333333333337</v>
      </c>
      <c r="I2353" s="1302"/>
      <c r="J2353" s="1297"/>
      <c r="K2353" s="1298"/>
      <c r="L2353" s="922">
        <v>0.8125</v>
      </c>
      <c r="M2353" s="377"/>
    </row>
    <row r="2354" spans="3:13" ht="17">
      <c r="C2354" s="90"/>
      <c r="D2354" s="563">
        <v>45531</v>
      </c>
      <c r="E2354" s="387">
        <v>103.3</v>
      </c>
      <c r="F2354" s="387" t="s">
        <v>875</v>
      </c>
      <c r="G2354" s="387">
        <v>101.9</v>
      </c>
      <c r="H2354" s="929">
        <v>0.58333333333333337</v>
      </c>
      <c r="I2354" s="1302"/>
      <c r="J2354" s="1297"/>
      <c r="K2354" s="1298"/>
      <c r="L2354" s="922">
        <v>0.8125</v>
      </c>
      <c r="M2354" s="377"/>
    </row>
    <row r="2355" spans="3:13" ht="18" thickBot="1">
      <c r="C2355" s="90"/>
      <c r="D2355" s="563">
        <v>45503</v>
      </c>
      <c r="E2355" s="387">
        <v>100.3</v>
      </c>
      <c r="F2355" s="387" t="s">
        <v>876</v>
      </c>
      <c r="G2355" s="387">
        <v>97.8</v>
      </c>
      <c r="H2355" s="929">
        <v>0.58333333333333337</v>
      </c>
      <c r="I2355" s="1303"/>
      <c r="J2355" s="1299"/>
      <c r="K2355" s="1300"/>
      <c r="L2355" s="922">
        <v>0.8125</v>
      </c>
      <c r="M2355" s="386"/>
    </row>
    <row r="2356" spans="3:13" ht="25" customHeight="1" thickBot="1">
      <c r="C2356" s="90" t="e">
        <v>#REF!</v>
      </c>
      <c r="D2356" s="557" t="s">
        <v>30</v>
      </c>
      <c r="E2356" s="1358" t="s">
        <v>1483</v>
      </c>
      <c r="F2356" s="1359"/>
      <c r="G2356" s="1360"/>
      <c r="H2356" s="911" t="s">
        <v>790</v>
      </c>
      <c r="I2356" s="1345" t="s">
        <v>633</v>
      </c>
      <c r="J2356" s="1293"/>
      <c r="K2356" s="1294"/>
      <c r="L2356" s="911" t="s">
        <v>430</v>
      </c>
      <c r="M2356" s="558" t="s">
        <v>431</v>
      </c>
    </row>
    <row r="2357" spans="3:13" ht="24" customHeight="1">
      <c r="C2357" s="90"/>
      <c r="D2357" s="559" t="s">
        <v>432</v>
      </c>
      <c r="E2357" s="1563"/>
      <c r="F2357" s="1564"/>
      <c r="G2357" s="1565"/>
      <c r="H2357" s="919" t="s">
        <v>1557</v>
      </c>
      <c r="I2357" s="1301" t="s">
        <v>1484</v>
      </c>
      <c r="J2357" s="1295"/>
      <c r="K2357" s="1296"/>
      <c r="L2357" s="920"/>
      <c r="M2357" s="376" t="s">
        <v>1483</v>
      </c>
    </row>
    <row r="2358" spans="3:13" ht="17">
      <c r="C2358" s="90"/>
      <c r="D2358" s="560" t="s">
        <v>433</v>
      </c>
      <c r="E2358" s="1370">
        <v>0</v>
      </c>
      <c r="F2358" s="1368"/>
      <c r="G2358" s="1369"/>
      <c r="H2358" s="907" t="s">
        <v>1558</v>
      </c>
      <c r="I2358" s="1302"/>
      <c r="J2358" s="1297"/>
      <c r="K2358" s="1298"/>
      <c r="L2358" s="920"/>
      <c r="M2358" s="377"/>
    </row>
    <row r="2359" spans="3:13" ht="17">
      <c r="C2359" s="90"/>
      <c r="D2359" s="560" t="s">
        <v>434</v>
      </c>
      <c r="E2359" s="1370">
        <v>0</v>
      </c>
      <c r="F2359" s="1368"/>
      <c r="G2359" s="1369"/>
      <c r="H2359" s="907"/>
      <c r="I2359" s="1302"/>
      <c r="J2359" s="1297"/>
      <c r="K2359" s="1298"/>
      <c r="L2359" s="920"/>
      <c r="M2359" s="377"/>
    </row>
    <row r="2360" spans="3:13" ht="18" thickBot="1">
      <c r="C2360" s="90"/>
      <c r="D2360" s="561" t="s">
        <v>435</v>
      </c>
      <c r="E2360" s="1313" t="e">
        <v>#VALUE!</v>
      </c>
      <c r="F2360" s="1314"/>
      <c r="G2360" s="1315"/>
      <c r="H2360" s="909"/>
      <c r="I2360" s="1302"/>
      <c r="J2360" s="1297"/>
      <c r="K2360" s="1298"/>
      <c r="L2360" s="378" t="s">
        <v>1449</v>
      </c>
      <c r="M2360" s="379" t="e">
        <v>#VALUE!</v>
      </c>
    </row>
    <row r="2361" spans="3:13" ht="18" thickBot="1">
      <c r="C2361" s="90"/>
      <c r="D2361" s="562" t="s">
        <v>436</v>
      </c>
      <c r="E2361" s="380" t="s">
        <v>29</v>
      </c>
      <c r="F2361" s="380" t="s">
        <v>28</v>
      </c>
      <c r="G2361" s="381" t="s">
        <v>27</v>
      </c>
      <c r="H2361" s="911" t="s">
        <v>793</v>
      </c>
      <c r="I2361" s="1302"/>
      <c r="J2361" s="1297"/>
      <c r="K2361" s="1298"/>
      <c r="L2361" s="921" t="s">
        <v>1246</v>
      </c>
      <c r="M2361" s="382"/>
    </row>
    <row r="2362" spans="3:13" ht="17">
      <c r="C2362" s="90"/>
      <c r="D2362" s="563">
        <v>45645</v>
      </c>
      <c r="E2362" s="440">
        <v>2.5000000000000001E-3</v>
      </c>
      <c r="F2362" s="440" t="s">
        <v>892</v>
      </c>
      <c r="G2362" s="440">
        <v>2.5000000000000001E-3</v>
      </c>
      <c r="H2362" s="929">
        <v>0.52083333333333337</v>
      </c>
      <c r="I2362" s="1302"/>
      <c r="J2362" s="1297"/>
      <c r="K2362" s="1298"/>
      <c r="L2362" s="922">
        <v>0.29166666666666669</v>
      </c>
      <c r="M2362" s="384"/>
    </row>
    <row r="2363" spans="3:13" ht="17">
      <c r="C2363" s="90"/>
      <c r="D2363" s="563">
        <v>45596</v>
      </c>
      <c r="E2363" s="440">
        <v>2.5000000000000001E-3</v>
      </c>
      <c r="F2363" s="440" t="s">
        <v>892</v>
      </c>
      <c r="G2363" s="440">
        <v>2.5000000000000001E-3</v>
      </c>
      <c r="H2363" s="929">
        <v>0.52083333333333337</v>
      </c>
      <c r="I2363" s="1302"/>
      <c r="J2363" s="1297"/>
      <c r="K2363" s="1298"/>
      <c r="L2363" s="922">
        <v>0.29166666666666669</v>
      </c>
      <c r="M2363" s="385"/>
    </row>
    <row r="2364" spans="3:13" ht="17">
      <c r="C2364" s="90"/>
      <c r="D2364" s="563">
        <v>45555</v>
      </c>
      <c r="E2364" s="440">
        <v>2.5000000000000001E-3</v>
      </c>
      <c r="F2364" s="440" t="s">
        <v>892</v>
      </c>
      <c r="G2364" s="440">
        <v>2.5000000000000001E-3</v>
      </c>
      <c r="H2364" s="929">
        <v>0.47916666666666663</v>
      </c>
      <c r="I2364" s="1302"/>
      <c r="J2364" s="1297"/>
      <c r="K2364" s="1298"/>
      <c r="L2364" s="922">
        <v>0.25</v>
      </c>
      <c r="M2364" s="377"/>
    </row>
    <row r="2365" spans="3:13" ht="17">
      <c r="C2365" s="90"/>
      <c r="D2365" s="563">
        <v>45504</v>
      </c>
      <c r="E2365" s="440">
        <v>2.5000000000000001E-3</v>
      </c>
      <c r="F2365" s="440" t="s">
        <v>893</v>
      </c>
      <c r="G2365" s="440">
        <v>1E-3</v>
      </c>
      <c r="H2365" s="929">
        <v>0.47916666666666663</v>
      </c>
      <c r="I2365" s="1302"/>
      <c r="J2365" s="1297"/>
      <c r="K2365" s="1298"/>
      <c r="L2365" s="922">
        <v>0.25</v>
      </c>
      <c r="M2365" s="377"/>
    </row>
    <row r="2366" spans="3:13" ht="17">
      <c r="C2366" s="90"/>
      <c r="D2366" s="563">
        <v>45457</v>
      </c>
      <c r="E2366" s="440">
        <v>1E-3</v>
      </c>
      <c r="F2366" s="440" t="s">
        <v>893</v>
      </c>
      <c r="G2366" s="440">
        <v>1E-3</v>
      </c>
      <c r="H2366" s="929">
        <v>0.47916666666666663</v>
      </c>
      <c r="I2366" s="1302"/>
      <c r="J2366" s="1297"/>
      <c r="K2366" s="1298"/>
      <c r="L2366" s="922">
        <v>0.25</v>
      </c>
      <c r="M2366" s="377"/>
    </row>
    <row r="2367" spans="3:13" ht="18" thickBot="1">
      <c r="C2367" s="90"/>
      <c r="D2367" s="563">
        <v>45408</v>
      </c>
      <c r="E2367" s="440">
        <v>1E-3</v>
      </c>
      <c r="F2367" s="440" t="s">
        <v>893</v>
      </c>
      <c r="G2367" s="440">
        <v>1E-3</v>
      </c>
      <c r="H2367" s="929">
        <v>0.47916666666666663</v>
      </c>
      <c r="I2367" s="1303"/>
      <c r="J2367" s="1299"/>
      <c r="K2367" s="1300"/>
      <c r="L2367" s="922">
        <v>0.25</v>
      </c>
      <c r="M2367" s="386"/>
    </row>
    <row r="2368" spans="3:13" ht="25" customHeight="1" thickBot="1">
      <c r="C2368" s="90" t="e">
        <v>#REF!</v>
      </c>
      <c r="D2368" s="557" t="s">
        <v>30</v>
      </c>
      <c r="E2368" s="1358" t="s">
        <v>1486</v>
      </c>
      <c r="F2368" s="1359"/>
      <c r="G2368" s="1360"/>
      <c r="H2368" s="911" t="s">
        <v>790</v>
      </c>
      <c r="I2368" s="1345" t="s">
        <v>633</v>
      </c>
      <c r="J2368" s="1293"/>
      <c r="K2368" s="1294"/>
      <c r="L2368" s="911" t="s">
        <v>430</v>
      </c>
      <c r="M2368" s="558" t="s">
        <v>431</v>
      </c>
    </row>
    <row r="2369" spans="3:13" ht="24" customHeight="1">
      <c r="C2369" s="90"/>
      <c r="D2369" s="559" t="s">
        <v>432</v>
      </c>
      <c r="E2369" s="1563"/>
      <c r="F2369" s="1564"/>
      <c r="G2369" s="1565"/>
      <c r="H2369" s="919" t="s">
        <v>1557</v>
      </c>
      <c r="I2369" s="1301" t="s">
        <v>1487</v>
      </c>
      <c r="J2369" s="1295"/>
      <c r="K2369" s="1296"/>
      <c r="L2369" s="920"/>
      <c r="M2369" s="376" t="s">
        <v>1486</v>
      </c>
    </row>
    <row r="2370" spans="3:13" ht="17">
      <c r="C2370" s="90"/>
      <c r="D2370" s="560" t="s">
        <v>433</v>
      </c>
      <c r="E2370" s="1341">
        <v>0</v>
      </c>
      <c r="F2370" s="1339"/>
      <c r="G2370" s="1340"/>
      <c r="H2370" s="907" t="s">
        <v>1558</v>
      </c>
      <c r="I2370" s="1302"/>
      <c r="J2370" s="1297"/>
      <c r="K2370" s="1298"/>
      <c r="L2370" s="920"/>
      <c r="M2370" s="377"/>
    </row>
    <row r="2371" spans="3:13" ht="17">
      <c r="C2371" s="90"/>
      <c r="D2371" s="560" t="s">
        <v>434</v>
      </c>
      <c r="E2371" s="1341">
        <v>0</v>
      </c>
      <c r="F2371" s="1339"/>
      <c r="G2371" s="1340"/>
      <c r="H2371" s="907"/>
      <c r="I2371" s="1302"/>
      <c r="J2371" s="1297"/>
      <c r="K2371" s="1298"/>
      <c r="L2371" s="920"/>
      <c r="M2371" s="377"/>
    </row>
    <row r="2372" spans="3:13" ht="18" thickBot="1">
      <c r="C2372" s="90"/>
      <c r="D2372" s="561" t="s">
        <v>435</v>
      </c>
      <c r="E2372" s="1313" t="e">
        <v>#VALUE!</v>
      </c>
      <c r="F2372" s="1314"/>
      <c r="G2372" s="1315"/>
      <c r="H2372" s="909"/>
      <c r="I2372" s="1302"/>
      <c r="J2372" s="1297"/>
      <c r="K2372" s="1298"/>
      <c r="L2372" s="378" t="s">
        <v>1449</v>
      </c>
      <c r="M2372" s="379" t="e">
        <v>#VALUE!</v>
      </c>
    </row>
    <row r="2373" spans="3:13" ht="18" thickBot="1">
      <c r="C2373" s="90"/>
      <c r="D2373" s="562" t="s">
        <v>436</v>
      </c>
      <c r="E2373" s="380" t="s">
        <v>29</v>
      </c>
      <c r="F2373" s="380" t="s">
        <v>28</v>
      </c>
      <c r="G2373" s="381" t="s">
        <v>27</v>
      </c>
      <c r="H2373" s="911" t="s">
        <v>793</v>
      </c>
      <c r="I2373" s="1302"/>
      <c r="J2373" s="1297"/>
      <c r="K2373" s="1298"/>
      <c r="L2373" s="921" t="s">
        <v>1246</v>
      </c>
      <c r="M2373" s="382"/>
    </row>
    <row r="2374" spans="3:13" ht="17">
      <c r="C2374" s="90"/>
      <c r="D2374" s="563">
        <v>45659</v>
      </c>
      <c r="E2374" s="383">
        <v>49.4</v>
      </c>
      <c r="F2374" s="383" t="s">
        <v>1538</v>
      </c>
      <c r="G2374" s="383">
        <v>49.7</v>
      </c>
      <c r="H2374" s="929">
        <v>0.52083333333333337</v>
      </c>
      <c r="I2374" s="1302"/>
      <c r="J2374" s="1297"/>
      <c r="K2374" s="1298"/>
      <c r="L2374" s="922">
        <v>0.29166666666666669</v>
      </c>
      <c r="M2374" s="384"/>
    </row>
    <row r="2375" spans="3:13" ht="17">
      <c r="C2375" s="90"/>
      <c r="D2375" s="563">
        <v>45642</v>
      </c>
      <c r="E2375" s="383">
        <v>48.3</v>
      </c>
      <c r="F2375" s="383" t="s">
        <v>440</v>
      </c>
      <c r="G2375" s="383">
        <v>49.7</v>
      </c>
      <c r="H2375" s="929">
        <v>0.52083333333333337</v>
      </c>
      <c r="I2375" s="1302"/>
      <c r="J2375" s="1297"/>
      <c r="K2375" s="1298"/>
      <c r="L2375" s="922">
        <v>0.29166666666666669</v>
      </c>
      <c r="M2375" s="385"/>
    </row>
    <row r="2376" spans="3:13" ht="17">
      <c r="C2376" s="90"/>
      <c r="D2376" s="563">
        <v>45628</v>
      </c>
      <c r="E2376" s="383">
        <v>49.7</v>
      </c>
      <c r="F2376" s="383" t="s">
        <v>510</v>
      </c>
      <c r="G2376" s="383">
        <v>48.5</v>
      </c>
      <c r="H2376" s="929">
        <v>0.47916666666666663</v>
      </c>
      <c r="I2376" s="1302"/>
      <c r="J2376" s="1297"/>
      <c r="K2376" s="1298"/>
      <c r="L2376" s="922">
        <v>0.25</v>
      </c>
      <c r="M2376" s="377"/>
    </row>
    <row r="2377" spans="3:13" ht="17">
      <c r="C2377" s="90"/>
      <c r="D2377" s="563">
        <v>45618</v>
      </c>
      <c r="E2377" s="383">
        <v>48.8</v>
      </c>
      <c r="F2377" s="383" t="s">
        <v>510</v>
      </c>
      <c r="G2377" s="383">
        <v>48.5</v>
      </c>
      <c r="H2377" s="929">
        <v>0.47916666666666663</v>
      </c>
      <c r="I2377" s="1302"/>
      <c r="J2377" s="1297"/>
      <c r="K2377" s="1298"/>
      <c r="L2377" s="922">
        <v>0.25</v>
      </c>
      <c r="M2377" s="377"/>
    </row>
    <row r="2378" spans="3:13" ht="17">
      <c r="C2378" s="90"/>
      <c r="D2378" s="563">
        <v>45597</v>
      </c>
      <c r="E2378" s="383">
        <v>48.5</v>
      </c>
      <c r="F2378" s="383" t="s">
        <v>1054</v>
      </c>
      <c r="G2378" s="383">
        <v>47.8</v>
      </c>
      <c r="H2378" s="929">
        <v>0.47916666666666663</v>
      </c>
      <c r="I2378" s="1302"/>
      <c r="J2378" s="1297"/>
      <c r="K2378" s="1298"/>
      <c r="L2378" s="922">
        <v>0.25</v>
      </c>
      <c r="M2378" s="377"/>
    </row>
    <row r="2379" spans="3:13" ht="18" thickBot="1">
      <c r="C2379" s="90"/>
      <c r="D2379" s="563">
        <v>45589</v>
      </c>
      <c r="E2379" s="383">
        <v>47.8</v>
      </c>
      <c r="F2379" s="383" t="s">
        <v>509</v>
      </c>
      <c r="G2379" s="383">
        <v>47.3</v>
      </c>
      <c r="H2379" s="929">
        <v>0.47916666666666663</v>
      </c>
      <c r="I2379" s="1303"/>
      <c r="J2379" s="1299"/>
      <c r="K2379" s="1300"/>
      <c r="L2379" s="922">
        <v>0.25</v>
      </c>
      <c r="M2379" s="386"/>
    </row>
    <row r="2380" spans="3:13" ht="18" thickBot="1">
      <c r="C2380" s="90" t="e">
        <v>#REF!</v>
      </c>
      <c r="D2380" s="557" t="s">
        <v>30</v>
      </c>
      <c r="E2380" s="1358" t="e">
        <v>#REF!</v>
      </c>
      <c r="F2380" s="1359"/>
      <c r="G2380" s="1360"/>
      <c r="H2380" s="904" t="s">
        <v>790</v>
      </c>
      <c r="I2380" s="1345" t="s">
        <v>633</v>
      </c>
      <c r="J2380" s="1293"/>
      <c r="K2380" s="1294"/>
      <c r="L2380" s="905" t="s">
        <v>430</v>
      </c>
      <c r="M2380" s="388" t="s">
        <v>431</v>
      </c>
    </row>
    <row r="2381" spans="3:13" ht="17">
      <c r="C2381" s="90"/>
      <c r="D2381" s="559" t="s">
        <v>432</v>
      </c>
      <c r="E2381" s="1563"/>
      <c r="F2381" s="1564"/>
      <c r="G2381" s="1565"/>
      <c r="H2381" s="907" t="s">
        <v>906</v>
      </c>
      <c r="I2381" s="1301" t="e">
        <v>#REF!</v>
      </c>
      <c r="J2381" s="1295"/>
      <c r="K2381" s="1296"/>
      <c r="L2381" s="920"/>
      <c r="M2381" s="376" t="e">
        <v>#REF!</v>
      </c>
    </row>
    <row r="2382" spans="3:13" ht="17">
      <c r="C2382" s="90"/>
      <c r="D2382" s="560" t="s">
        <v>433</v>
      </c>
      <c r="E2382" s="1367" t="e">
        <v>#REF!</v>
      </c>
      <c r="F2382" s="1566"/>
      <c r="G2382" s="1567"/>
      <c r="H2382" s="907" t="s">
        <v>907</v>
      </c>
      <c r="I2382" s="1302"/>
      <c r="J2382" s="1297"/>
      <c r="K2382" s="1298"/>
      <c r="L2382" s="920"/>
      <c r="M2382" s="377"/>
    </row>
    <row r="2383" spans="3:13" ht="17">
      <c r="C2383" s="90"/>
      <c r="D2383" s="560" t="s">
        <v>434</v>
      </c>
      <c r="E2383" s="1370" t="e">
        <v>#REF!</v>
      </c>
      <c r="F2383" s="1368"/>
      <c r="G2383" s="1369"/>
      <c r="H2383" s="907"/>
      <c r="I2383" s="1302"/>
      <c r="J2383" s="1297"/>
      <c r="K2383" s="1298"/>
      <c r="L2383" s="920"/>
      <c r="M2383" s="377"/>
    </row>
    <row r="2384" spans="3:13" ht="18" thickBot="1">
      <c r="C2384" s="90"/>
      <c r="D2384" s="561" t="s">
        <v>435</v>
      </c>
      <c r="E2384" s="1313" t="e">
        <v>#REF!</v>
      </c>
      <c r="F2384" s="1314"/>
      <c r="G2384" s="1315"/>
      <c r="H2384" s="909" t="e">
        <v>#REF!</v>
      </c>
      <c r="I2384" s="1302"/>
      <c r="J2384" s="1297"/>
      <c r="K2384" s="1298"/>
      <c r="L2384" s="378" t="e">
        <v>#REF!</v>
      </c>
      <c r="M2384" s="379">
        <v>0.63541666666666663</v>
      </c>
    </row>
    <row r="2385" spans="3:13" ht="18" thickBot="1">
      <c r="C2385" s="90"/>
      <c r="D2385" s="562" t="s">
        <v>436</v>
      </c>
      <c r="E2385" s="380" t="s">
        <v>29</v>
      </c>
      <c r="F2385" s="380" t="s">
        <v>28</v>
      </c>
      <c r="G2385" s="381" t="s">
        <v>27</v>
      </c>
      <c r="H2385" s="911" t="s">
        <v>793</v>
      </c>
      <c r="I2385" s="1302"/>
      <c r="J2385" s="1297"/>
      <c r="K2385" s="1298"/>
      <c r="L2385" s="921"/>
      <c r="M2385" s="382"/>
    </row>
    <row r="2386" spans="3:13" ht="17">
      <c r="C2386" s="90"/>
      <c r="D2386" s="563">
        <v>45609</v>
      </c>
      <c r="E2386" s="389">
        <v>2E-3</v>
      </c>
      <c r="F2386" s="389" t="s">
        <v>460</v>
      </c>
      <c r="G2386" s="389">
        <v>2E-3</v>
      </c>
      <c r="H2386" s="913">
        <v>0.5625</v>
      </c>
      <c r="I2386" s="1302"/>
      <c r="J2386" s="1297"/>
      <c r="K2386" s="1298"/>
      <c r="L2386" s="923"/>
      <c r="M2386" s="384"/>
    </row>
    <row r="2387" spans="3:13" ht="17">
      <c r="C2387" s="90"/>
      <c r="D2387" s="563">
        <v>45575</v>
      </c>
      <c r="E2387" s="389">
        <v>2E-3</v>
      </c>
      <c r="F2387" s="389" t="s">
        <v>462</v>
      </c>
      <c r="G2387" s="389">
        <v>2E-3</v>
      </c>
      <c r="H2387" s="913">
        <v>0.52083333333333337</v>
      </c>
      <c r="I2387" s="1302"/>
      <c r="J2387" s="1297"/>
      <c r="K2387" s="1298"/>
      <c r="L2387" s="923"/>
      <c r="M2387" s="385"/>
    </row>
    <row r="2388" spans="3:13" ht="17">
      <c r="C2388" s="90"/>
      <c r="D2388" s="563">
        <v>45546</v>
      </c>
      <c r="E2388" s="389">
        <v>2E-3</v>
      </c>
      <c r="F2388" s="389" t="s">
        <v>460</v>
      </c>
      <c r="G2388" s="389">
        <v>2E-3</v>
      </c>
      <c r="H2388" s="913">
        <v>0.52083333333333337</v>
      </c>
      <c r="I2388" s="1302"/>
      <c r="J2388" s="1297"/>
      <c r="K2388" s="1298"/>
      <c r="L2388" s="923"/>
      <c r="M2388" s="377"/>
    </row>
    <row r="2389" spans="3:13" ht="17">
      <c r="C2389" s="90"/>
      <c r="D2389" s="563">
        <v>45518</v>
      </c>
      <c r="E2389" s="389">
        <v>2E-3</v>
      </c>
      <c r="F2389" s="389" t="s">
        <v>460</v>
      </c>
      <c r="G2389" s="389">
        <v>-1E-3</v>
      </c>
      <c r="H2389" s="913">
        <v>0.52083333333333337</v>
      </c>
      <c r="I2389" s="1302"/>
      <c r="J2389" s="1297"/>
      <c r="K2389" s="1298"/>
      <c r="L2389" s="923"/>
      <c r="M2389" s="377"/>
    </row>
    <row r="2390" spans="3:13" ht="17">
      <c r="C2390" s="90"/>
      <c r="D2390" s="563">
        <v>45484</v>
      </c>
      <c r="E2390" s="389">
        <v>-1E-3</v>
      </c>
      <c r="F2390" s="389" t="s">
        <v>462</v>
      </c>
      <c r="G2390" s="389">
        <v>0</v>
      </c>
      <c r="H2390" s="913">
        <v>0.52083333333333337</v>
      </c>
      <c r="I2390" s="1302"/>
      <c r="J2390" s="1297"/>
      <c r="K2390" s="1298"/>
      <c r="L2390" s="923"/>
      <c r="M2390" s="377"/>
    </row>
    <row r="2391" spans="3:13" ht="18" thickBot="1">
      <c r="C2391" s="90"/>
      <c r="D2391" s="563">
        <v>45455</v>
      </c>
      <c r="E2391" s="389">
        <v>0</v>
      </c>
      <c r="F2391" s="389" t="s">
        <v>462</v>
      </c>
      <c r="G2391" s="389">
        <v>3.0000000000000001E-3</v>
      </c>
      <c r="H2391" s="913">
        <v>0.52083333333333337</v>
      </c>
      <c r="I2391" s="1303"/>
      <c r="J2391" s="1299"/>
      <c r="K2391" s="1300"/>
      <c r="L2391" s="924"/>
      <c r="M2391" s="386"/>
    </row>
    <row r="2392" spans="3:13" ht="25" customHeight="1" thickBot="1">
      <c r="C2392" s="90" t="e">
        <v>#REF!</v>
      </c>
      <c r="D2392" s="557" t="s">
        <v>30</v>
      </c>
      <c r="E2392" s="1358" t="s">
        <v>1493</v>
      </c>
      <c r="F2392" s="1359"/>
      <c r="G2392" s="1360"/>
      <c r="H2392" s="911" t="s">
        <v>790</v>
      </c>
      <c r="I2392" s="1345" t="s">
        <v>633</v>
      </c>
      <c r="J2392" s="1293"/>
      <c r="K2392" s="1294"/>
      <c r="L2392" s="911" t="s">
        <v>430</v>
      </c>
      <c r="M2392" s="558" t="s">
        <v>431</v>
      </c>
    </row>
    <row r="2393" spans="3:13" ht="24" customHeight="1">
      <c r="C2393" s="90"/>
      <c r="D2393" s="559" t="s">
        <v>432</v>
      </c>
      <c r="E2393" s="1563"/>
      <c r="F2393" s="1564"/>
      <c r="G2393" s="1565"/>
      <c r="H2393" s="919" t="s">
        <v>1557</v>
      </c>
      <c r="I2393" s="1301" t="s">
        <v>1494</v>
      </c>
      <c r="J2393" s="1295"/>
      <c r="K2393" s="1296"/>
      <c r="L2393" s="920"/>
      <c r="M2393" s="376" t="s">
        <v>1493</v>
      </c>
    </row>
    <row r="2394" spans="3:13" ht="17">
      <c r="C2394" s="90"/>
      <c r="D2394" s="560" t="s">
        <v>433</v>
      </c>
      <c r="E2394" s="1341">
        <v>0</v>
      </c>
      <c r="F2394" s="1339"/>
      <c r="G2394" s="1340"/>
      <c r="H2394" s="907" t="s">
        <v>1558</v>
      </c>
      <c r="I2394" s="1302"/>
      <c r="J2394" s="1297"/>
      <c r="K2394" s="1298"/>
      <c r="L2394" s="920"/>
      <c r="M2394" s="377"/>
    </row>
    <row r="2395" spans="3:13" ht="17">
      <c r="C2395" s="90"/>
      <c r="D2395" s="560" t="s">
        <v>434</v>
      </c>
      <c r="E2395" s="1341">
        <v>0</v>
      </c>
      <c r="F2395" s="1339"/>
      <c r="G2395" s="1340"/>
      <c r="H2395" s="907"/>
      <c r="I2395" s="1302"/>
      <c r="J2395" s="1297"/>
      <c r="K2395" s="1298"/>
      <c r="L2395" s="920"/>
      <c r="M2395" s="377"/>
    </row>
    <row r="2396" spans="3:13" ht="18" thickBot="1">
      <c r="C2396" s="90"/>
      <c r="D2396" s="561" t="s">
        <v>435</v>
      </c>
      <c r="E2396" s="1313" t="e">
        <v>#VALUE!</v>
      </c>
      <c r="F2396" s="1314"/>
      <c r="G2396" s="1315"/>
      <c r="H2396" s="909"/>
      <c r="I2396" s="1302"/>
      <c r="J2396" s="1297"/>
      <c r="K2396" s="1298"/>
      <c r="L2396" s="378" t="s">
        <v>1449</v>
      </c>
      <c r="M2396" s="379" t="e">
        <v>#VALUE!</v>
      </c>
    </row>
    <row r="2397" spans="3:13" ht="18" thickBot="1">
      <c r="C2397" s="90"/>
      <c r="D2397" s="562" t="s">
        <v>436</v>
      </c>
      <c r="E2397" s="380" t="s">
        <v>29</v>
      </c>
      <c r="F2397" s="380" t="s">
        <v>28</v>
      </c>
      <c r="G2397" s="381" t="s">
        <v>27</v>
      </c>
      <c r="H2397" s="911" t="s">
        <v>793</v>
      </c>
      <c r="I2397" s="1302"/>
      <c r="J2397" s="1297"/>
      <c r="K2397" s="1298"/>
      <c r="L2397" s="921" t="s">
        <v>1246</v>
      </c>
      <c r="M2397" s="382"/>
    </row>
    <row r="2398" spans="3:13" ht="17">
      <c r="C2398" s="90"/>
      <c r="D2398" s="563">
        <v>45663</v>
      </c>
      <c r="E2398" s="383">
        <v>56.8</v>
      </c>
      <c r="F2398" s="383" t="s">
        <v>1539</v>
      </c>
      <c r="G2398" s="383">
        <v>56.1</v>
      </c>
      <c r="H2398" s="929">
        <v>0.52083333333333337</v>
      </c>
      <c r="I2398" s="1302"/>
      <c r="J2398" s="1297"/>
      <c r="K2398" s="1298"/>
      <c r="L2398" s="922">
        <v>0.29166666666666669</v>
      </c>
      <c r="M2398" s="384"/>
    </row>
    <row r="2399" spans="3:13" ht="17">
      <c r="C2399" s="90"/>
      <c r="D2399" s="563">
        <v>45642</v>
      </c>
      <c r="E2399" s="383">
        <v>58.5</v>
      </c>
      <c r="F2399" s="383" t="s">
        <v>1339</v>
      </c>
      <c r="G2399" s="383">
        <v>56.1</v>
      </c>
      <c r="H2399" s="929">
        <v>0.52083333333333337</v>
      </c>
      <c r="I2399" s="1302"/>
      <c r="J2399" s="1297"/>
      <c r="K2399" s="1298"/>
      <c r="L2399" s="922">
        <v>0.29166666666666669</v>
      </c>
      <c r="M2399" s="385"/>
    </row>
    <row r="2400" spans="3:13" ht="17">
      <c r="C2400" s="90"/>
      <c r="D2400" s="563">
        <v>45630</v>
      </c>
      <c r="E2400" s="383">
        <v>56.1</v>
      </c>
      <c r="F2400" s="383" t="s">
        <v>1285</v>
      </c>
      <c r="G2400" s="383">
        <v>55</v>
      </c>
      <c r="H2400" s="929">
        <v>0.47916666666666663</v>
      </c>
      <c r="I2400" s="1302"/>
      <c r="J2400" s="1297"/>
      <c r="K2400" s="1298"/>
      <c r="L2400" s="922">
        <v>0.25</v>
      </c>
      <c r="M2400" s="377"/>
    </row>
    <row r="2401" spans="3:13" ht="17">
      <c r="C2401" s="90"/>
      <c r="D2401" s="563">
        <v>45618</v>
      </c>
      <c r="E2401" s="383">
        <v>57</v>
      </c>
      <c r="F2401" s="383" t="s">
        <v>586</v>
      </c>
      <c r="G2401" s="383">
        <v>55</v>
      </c>
      <c r="H2401" s="929">
        <v>0.47916666666666663</v>
      </c>
      <c r="I2401" s="1302"/>
      <c r="J2401" s="1297"/>
      <c r="K2401" s="1298"/>
      <c r="L2401" s="922">
        <v>0.25</v>
      </c>
      <c r="M2401" s="377"/>
    </row>
    <row r="2402" spans="3:13" ht="17">
      <c r="C2402" s="90"/>
      <c r="D2402" s="563">
        <v>45601</v>
      </c>
      <c r="E2402" s="383">
        <v>55</v>
      </c>
      <c r="F2402" s="383" t="s">
        <v>585</v>
      </c>
      <c r="G2402" s="383">
        <v>55.2</v>
      </c>
      <c r="H2402" s="929">
        <v>0.47916666666666663</v>
      </c>
      <c r="I2402" s="1302"/>
      <c r="J2402" s="1297"/>
      <c r="K2402" s="1298"/>
      <c r="L2402" s="922">
        <v>0.25</v>
      </c>
      <c r="M2402" s="377"/>
    </row>
    <row r="2403" spans="3:13" ht="18" thickBot="1">
      <c r="C2403" s="90"/>
      <c r="D2403" s="563">
        <v>45589</v>
      </c>
      <c r="E2403" s="383">
        <v>55.3</v>
      </c>
      <c r="F2403" s="383" t="s">
        <v>604</v>
      </c>
      <c r="G2403" s="383">
        <v>55.2</v>
      </c>
      <c r="H2403" s="929">
        <v>0.47916666666666663</v>
      </c>
      <c r="I2403" s="1303"/>
      <c r="J2403" s="1299"/>
      <c r="K2403" s="1300"/>
      <c r="L2403" s="922">
        <v>0.25</v>
      </c>
      <c r="M2403" s="386"/>
    </row>
    <row r="2404" spans="3:13" ht="25" customHeight="1" thickBot="1">
      <c r="C2404" s="90" t="e">
        <v>#REF!</v>
      </c>
      <c r="D2404" s="557" t="s">
        <v>30</v>
      </c>
      <c r="E2404" s="1358" t="s">
        <v>1496</v>
      </c>
      <c r="F2404" s="1359"/>
      <c r="G2404" s="1360"/>
      <c r="H2404" s="911" t="s">
        <v>790</v>
      </c>
      <c r="I2404" s="1345" t="s">
        <v>633</v>
      </c>
      <c r="J2404" s="1293"/>
      <c r="K2404" s="1294"/>
      <c r="L2404" s="911" t="s">
        <v>430</v>
      </c>
      <c r="M2404" s="558" t="s">
        <v>431</v>
      </c>
    </row>
    <row r="2405" spans="3:13" ht="24" customHeight="1">
      <c r="C2405" s="90"/>
      <c r="D2405" s="559" t="s">
        <v>432</v>
      </c>
      <c r="E2405" s="1563"/>
      <c r="F2405" s="1564"/>
      <c r="G2405" s="1565"/>
      <c r="H2405" s="919" t="s">
        <v>1557</v>
      </c>
      <c r="I2405" s="1301" t="s">
        <v>1497</v>
      </c>
      <c r="J2405" s="1295"/>
      <c r="K2405" s="1296"/>
      <c r="L2405" s="920"/>
      <c r="M2405" s="376" t="s">
        <v>1496</v>
      </c>
    </row>
    <row r="2406" spans="3:13" ht="17">
      <c r="C2406" s="90"/>
      <c r="D2406" s="560" t="s">
        <v>433</v>
      </c>
      <c r="E2406" s="1367">
        <v>0</v>
      </c>
      <c r="F2406" s="1566"/>
      <c r="G2406" s="1567"/>
      <c r="H2406" s="907" t="s">
        <v>1558</v>
      </c>
      <c r="I2406" s="1302"/>
      <c r="J2406" s="1297"/>
      <c r="K2406" s="1298"/>
      <c r="L2406" s="920"/>
      <c r="M2406" s="377"/>
    </row>
    <row r="2407" spans="3:13" ht="17">
      <c r="C2407" s="90"/>
      <c r="D2407" s="560" t="s">
        <v>434</v>
      </c>
      <c r="E2407" s="1370">
        <v>0</v>
      </c>
      <c r="F2407" s="1368"/>
      <c r="G2407" s="1369"/>
      <c r="H2407" s="907"/>
      <c r="I2407" s="1302"/>
      <c r="J2407" s="1297"/>
      <c r="K2407" s="1298"/>
      <c r="L2407" s="920"/>
      <c r="M2407" s="377"/>
    </row>
    <row r="2408" spans="3:13" ht="18" thickBot="1">
      <c r="C2408" s="90"/>
      <c r="D2408" s="561" t="s">
        <v>435</v>
      </c>
      <c r="E2408" s="1313" t="e">
        <v>#VALUE!</v>
      </c>
      <c r="F2408" s="1314"/>
      <c r="G2408" s="1315"/>
      <c r="H2408" s="909"/>
      <c r="I2408" s="1302"/>
      <c r="J2408" s="1297"/>
      <c r="K2408" s="1298"/>
      <c r="L2408" s="378" t="s">
        <v>1449</v>
      </c>
      <c r="M2408" s="379" t="e">
        <v>#VALUE!</v>
      </c>
    </row>
    <row r="2409" spans="3:13" ht="18" thickBot="1">
      <c r="C2409" s="90"/>
      <c r="D2409" s="562" t="s">
        <v>436</v>
      </c>
      <c r="E2409" s="380" t="s">
        <v>29</v>
      </c>
      <c r="F2409" s="380" t="s">
        <v>28</v>
      </c>
      <c r="G2409" s="381" t="s">
        <v>27</v>
      </c>
      <c r="H2409" s="911" t="s">
        <v>793</v>
      </c>
      <c r="I2409" s="1302"/>
      <c r="J2409" s="1297"/>
      <c r="K2409" s="1298"/>
      <c r="L2409" s="921" t="s">
        <v>1246</v>
      </c>
      <c r="M2409" s="382"/>
    </row>
    <row r="2410" spans="3:13" ht="17">
      <c r="C2410" s="90"/>
      <c r="D2410" s="563">
        <v>45645</v>
      </c>
      <c r="E2410" s="389" t="s">
        <v>1540</v>
      </c>
      <c r="F2410" s="389" t="s">
        <v>1541</v>
      </c>
      <c r="G2410" s="389" t="s">
        <v>1043</v>
      </c>
      <c r="H2410" s="929">
        <v>0.52083333333333337</v>
      </c>
      <c r="I2410" s="1302"/>
      <c r="J2410" s="1297"/>
      <c r="K2410" s="1298"/>
      <c r="L2410" s="922">
        <v>0.29166666666666669</v>
      </c>
      <c r="M2410" s="384"/>
    </row>
    <row r="2411" spans="3:13" ht="17">
      <c r="C2411" s="90"/>
      <c r="D2411" s="563">
        <v>45617</v>
      </c>
      <c r="E2411" s="389" t="s">
        <v>1043</v>
      </c>
      <c r="F2411" s="389" t="s">
        <v>1044</v>
      </c>
      <c r="G2411" s="389" t="s">
        <v>1293</v>
      </c>
      <c r="H2411" s="929">
        <v>0.52083333333333337</v>
      </c>
      <c r="I2411" s="1302"/>
      <c r="J2411" s="1297"/>
      <c r="K2411" s="1298"/>
      <c r="L2411" s="922">
        <v>0.29166666666666669</v>
      </c>
      <c r="M2411" s="385"/>
    </row>
    <row r="2412" spans="3:13" ht="17">
      <c r="C2412" s="90"/>
      <c r="D2412" s="563">
        <v>45588</v>
      </c>
      <c r="E2412" s="389" t="s">
        <v>1039</v>
      </c>
      <c r="F2412" s="389" t="s">
        <v>1040</v>
      </c>
      <c r="G2412" s="389" t="s">
        <v>1040</v>
      </c>
      <c r="H2412" s="929">
        <v>0.47916666666666663</v>
      </c>
      <c r="I2412" s="1302"/>
      <c r="J2412" s="1297"/>
      <c r="K2412" s="1298"/>
      <c r="L2412" s="922">
        <v>0.25</v>
      </c>
      <c r="M2412" s="377"/>
    </row>
    <row r="2413" spans="3:13" ht="17">
      <c r="C2413" s="90"/>
      <c r="D2413" s="563">
        <v>45554</v>
      </c>
      <c r="E2413" s="389" t="s">
        <v>1041</v>
      </c>
      <c r="F2413" s="389" t="s">
        <v>1042</v>
      </c>
      <c r="G2413" s="389" t="s">
        <v>1043</v>
      </c>
      <c r="H2413" s="929">
        <v>0.47916666666666663</v>
      </c>
      <c r="I2413" s="1302"/>
      <c r="J2413" s="1297"/>
      <c r="K2413" s="1298"/>
      <c r="L2413" s="922">
        <v>0.25</v>
      </c>
      <c r="M2413" s="377"/>
    </row>
    <row r="2414" spans="3:13" ht="17">
      <c r="C2414" s="90"/>
      <c r="D2414" s="563">
        <v>45526</v>
      </c>
      <c r="E2414" s="389" t="s">
        <v>1044</v>
      </c>
      <c r="F2414" s="389" t="s">
        <v>1045</v>
      </c>
      <c r="G2414" s="389" t="s">
        <v>1046</v>
      </c>
      <c r="H2414" s="929">
        <v>0.47916666666666663</v>
      </c>
      <c r="I2414" s="1302"/>
      <c r="J2414" s="1297"/>
      <c r="K2414" s="1298"/>
      <c r="L2414" s="922">
        <v>0.25</v>
      </c>
      <c r="M2414" s="377"/>
    </row>
    <row r="2415" spans="3:13" ht="18" thickBot="1">
      <c r="C2415" s="90"/>
      <c r="D2415" s="563">
        <v>45496</v>
      </c>
      <c r="E2415" s="389" t="s">
        <v>1047</v>
      </c>
      <c r="F2415" s="389" t="s">
        <v>1048</v>
      </c>
      <c r="G2415" s="389" t="s">
        <v>1049</v>
      </c>
      <c r="H2415" s="929">
        <v>0.47916666666666663</v>
      </c>
      <c r="I2415" s="1303"/>
      <c r="J2415" s="1299"/>
      <c r="K2415" s="1300"/>
      <c r="L2415" s="922">
        <v>0.25</v>
      </c>
      <c r="M2415" s="386"/>
    </row>
    <row r="2416" spans="3:13" ht="25" customHeight="1" thickBot="1">
      <c r="C2416" s="90">
        <v>1</v>
      </c>
      <c r="D2416" s="557" t="s">
        <v>30</v>
      </c>
      <c r="E2416" s="1358" t="s">
        <v>1498</v>
      </c>
      <c r="F2416" s="1359"/>
      <c r="G2416" s="1360"/>
      <c r="H2416" s="911" t="s">
        <v>790</v>
      </c>
      <c r="I2416" s="1345" t="s">
        <v>633</v>
      </c>
      <c r="J2416" s="1293"/>
      <c r="K2416" s="1294"/>
      <c r="L2416" s="911" t="s">
        <v>430</v>
      </c>
      <c r="M2416" s="558" t="s">
        <v>431</v>
      </c>
    </row>
    <row r="2417" spans="3:13" ht="24" customHeight="1">
      <c r="C2417" s="90"/>
      <c r="D2417" s="559" t="s">
        <v>432</v>
      </c>
      <c r="E2417" s="1563"/>
      <c r="F2417" s="1564"/>
      <c r="G2417" s="1565"/>
      <c r="H2417" s="919" t="s">
        <v>906</v>
      </c>
      <c r="I2417" s="1301" t="s">
        <v>1499</v>
      </c>
      <c r="J2417" s="1295"/>
      <c r="K2417" s="1296"/>
      <c r="L2417" s="920"/>
      <c r="M2417" s="376" t="s">
        <v>1498</v>
      </c>
    </row>
    <row r="2418" spans="3:13" ht="17">
      <c r="C2418" s="90"/>
      <c r="D2418" s="560" t="s">
        <v>433</v>
      </c>
      <c r="E2418" s="1341">
        <v>3.13</v>
      </c>
      <c r="F2418" s="1339"/>
      <c r="G2418" s="1340"/>
      <c r="H2418" s="907" t="s">
        <v>907</v>
      </c>
      <c r="I2418" s="1302"/>
      <c r="J2418" s="1297"/>
      <c r="K2418" s="1298"/>
      <c r="L2418" s="920"/>
      <c r="M2418" s="377"/>
    </row>
    <row r="2419" spans="3:13" ht="17">
      <c r="C2419" s="90"/>
      <c r="D2419" s="560" t="s">
        <v>434</v>
      </c>
      <c r="E2419" s="1341">
        <v>2.93</v>
      </c>
      <c r="F2419" s="1339"/>
      <c r="G2419" s="1340"/>
      <c r="H2419" s="907"/>
      <c r="I2419" s="1302"/>
      <c r="J2419" s="1297"/>
      <c r="K2419" s="1298"/>
      <c r="L2419" s="920"/>
      <c r="M2419" s="377"/>
    </row>
    <row r="2420" spans="3:13" ht="18" thickBot="1">
      <c r="C2420" s="90"/>
      <c r="D2420" s="561" t="s">
        <v>435</v>
      </c>
      <c r="E2420" s="1313">
        <v>0.875</v>
      </c>
      <c r="F2420" s="1314"/>
      <c r="G2420" s="1315"/>
      <c r="H2420" s="909"/>
      <c r="I2420" s="1302"/>
      <c r="J2420" s="1297"/>
      <c r="K2420" s="1298"/>
      <c r="L2420" s="378">
        <v>0.10416666666666667</v>
      </c>
      <c r="M2420" s="379">
        <v>0.95833333333333337</v>
      </c>
    </row>
    <row r="2421" spans="3:13" ht="18" thickBot="1">
      <c r="C2421" s="90"/>
      <c r="D2421" s="562" t="s">
        <v>436</v>
      </c>
      <c r="E2421" s="380" t="s">
        <v>29</v>
      </c>
      <c r="F2421" s="380" t="s">
        <v>28</v>
      </c>
      <c r="G2421" s="381" t="s">
        <v>27</v>
      </c>
      <c r="H2421" s="911" t="s">
        <v>793</v>
      </c>
      <c r="I2421" s="1302"/>
      <c r="J2421" s="1297"/>
      <c r="K2421" s="1298"/>
      <c r="L2421" s="921" t="s">
        <v>1246</v>
      </c>
      <c r="M2421" s="382"/>
    </row>
    <row r="2422" spans="3:13">
      <c r="C2422" s="90"/>
      <c r="D2422" s="563">
        <v>45595</v>
      </c>
      <c r="E2422" s="387">
        <v>3.3</v>
      </c>
      <c r="F2422" s="387">
        <v>3.08</v>
      </c>
      <c r="G2422" s="387">
        <v>2.99</v>
      </c>
      <c r="H2422" s="929">
        <v>-0.12499999999999999</v>
      </c>
      <c r="I2422" s="1302"/>
      <c r="J2422" s="1297"/>
      <c r="K2422" s="1298"/>
      <c r="L2422" s="922">
        <v>0.10416666666666667</v>
      </c>
      <c r="M2422" s="384"/>
    </row>
    <row r="2423" spans="3:13">
      <c r="C2423" s="90"/>
      <c r="D2423" s="563">
        <v>45503</v>
      </c>
      <c r="E2423" s="387">
        <v>2.95</v>
      </c>
      <c r="F2423" s="387">
        <v>2.9</v>
      </c>
      <c r="G2423" s="387">
        <v>2.94</v>
      </c>
      <c r="H2423" s="929">
        <v>-0.12499999999999999</v>
      </c>
      <c r="I2423" s="1302"/>
      <c r="J2423" s="1297"/>
      <c r="K2423" s="1298"/>
      <c r="L2423" s="922">
        <v>0.10416666666666667</v>
      </c>
      <c r="M2423" s="385"/>
    </row>
    <row r="2424" spans="3:13">
      <c r="C2424" s="90"/>
      <c r="D2424" s="563">
        <v>45407</v>
      </c>
      <c r="E2424" s="387">
        <v>2.94</v>
      </c>
      <c r="F2424" s="387">
        <v>2.81</v>
      </c>
      <c r="G2424" s="387">
        <v>2.93</v>
      </c>
      <c r="H2424" s="929">
        <v>0.58333333333333337</v>
      </c>
      <c r="I2424" s="1302"/>
      <c r="J2424" s="1297"/>
      <c r="K2424" s="1298"/>
      <c r="L2424" s="922">
        <v>0.8125</v>
      </c>
      <c r="M2424" s="377"/>
    </row>
    <row r="2425" spans="3:13">
      <c r="C2425" s="90"/>
      <c r="D2425" s="563">
        <v>45321</v>
      </c>
      <c r="E2425" s="387">
        <v>2.93</v>
      </c>
      <c r="F2425" s="387">
        <v>2.76</v>
      </c>
      <c r="G2425" s="387">
        <v>2.69</v>
      </c>
      <c r="H2425" s="929">
        <v>0.58333333333333337</v>
      </c>
      <c r="I2425" s="1302"/>
      <c r="J2425" s="1297"/>
      <c r="K2425" s="1298"/>
      <c r="L2425" s="922">
        <v>0.8125</v>
      </c>
      <c r="M2425" s="377"/>
    </row>
    <row r="2426" spans="3:13">
      <c r="C2426" s="90"/>
      <c r="D2426" s="563">
        <v>45223</v>
      </c>
      <c r="E2426" s="387">
        <v>2.99</v>
      </c>
      <c r="F2426" s="387">
        <v>2.65</v>
      </c>
      <c r="G2426" s="387">
        <v>2.35</v>
      </c>
      <c r="H2426" s="929">
        <v>0.58333333333333337</v>
      </c>
      <c r="I2426" s="1302"/>
      <c r="J2426" s="1297"/>
      <c r="K2426" s="1298"/>
      <c r="L2426" s="922">
        <v>0.8125</v>
      </c>
      <c r="M2426" s="377"/>
    </row>
    <row r="2427" spans="3:13" ht="17" thickBot="1">
      <c r="C2427" s="90"/>
      <c r="D2427" s="563">
        <v>45132</v>
      </c>
      <c r="E2427" s="387">
        <v>2.69</v>
      </c>
      <c r="F2427" s="387">
        <v>2.5499999999999998</v>
      </c>
      <c r="G2427" s="387">
        <v>2.23</v>
      </c>
      <c r="H2427" s="929">
        <v>0.58333333333333337</v>
      </c>
      <c r="I2427" s="1303"/>
      <c r="J2427" s="1299"/>
      <c r="K2427" s="1300"/>
      <c r="L2427" s="922">
        <v>0.8125</v>
      </c>
      <c r="M2427" s="386"/>
    </row>
    <row r="2428" spans="3:13" ht="25" customHeight="1" thickBot="1">
      <c r="C2428" s="90">
        <v>1</v>
      </c>
      <c r="D2428" s="557" t="s">
        <v>30</v>
      </c>
      <c r="E2428" s="1358" t="s">
        <v>1500</v>
      </c>
      <c r="F2428" s="1359"/>
      <c r="G2428" s="1360"/>
      <c r="H2428" s="911" t="s">
        <v>790</v>
      </c>
      <c r="I2428" s="1345" t="s">
        <v>633</v>
      </c>
      <c r="J2428" s="1293"/>
      <c r="K2428" s="1294"/>
      <c r="L2428" s="911" t="s">
        <v>430</v>
      </c>
      <c r="M2428" s="558" t="s">
        <v>431</v>
      </c>
    </row>
    <row r="2429" spans="3:13" ht="24" customHeight="1">
      <c r="C2429" s="90"/>
      <c r="D2429" s="559" t="s">
        <v>432</v>
      </c>
      <c r="E2429" s="1563"/>
      <c r="F2429" s="1564"/>
      <c r="G2429" s="1565"/>
      <c r="H2429" s="919" t="s">
        <v>906</v>
      </c>
      <c r="I2429" s="1301" t="s">
        <v>1499</v>
      </c>
      <c r="J2429" s="1295"/>
      <c r="K2429" s="1296"/>
      <c r="L2429" s="920"/>
      <c r="M2429" s="376" t="s">
        <v>1500</v>
      </c>
    </row>
    <row r="2430" spans="3:13" ht="17">
      <c r="C2430" s="90"/>
      <c r="D2430" s="560" t="s">
        <v>433</v>
      </c>
      <c r="E2430" s="1341">
        <v>0.64</v>
      </c>
      <c r="F2430" s="1339"/>
      <c r="G2430" s="1340"/>
      <c r="H2430" s="907" t="s">
        <v>907</v>
      </c>
      <c r="I2430" s="1302"/>
      <c r="J2430" s="1297"/>
      <c r="K2430" s="1298"/>
      <c r="L2430" s="920"/>
      <c r="M2430" s="377"/>
    </row>
    <row r="2431" spans="3:13" ht="17">
      <c r="C2431" s="90"/>
      <c r="D2431" s="560" t="s">
        <v>434</v>
      </c>
      <c r="E2431" s="1341">
        <v>0.56999999999999995</v>
      </c>
      <c r="F2431" s="1339"/>
      <c r="G2431" s="1340"/>
      <c r="H2431" s="907"/>
      <c r="I2431" s="1302"/>
      <c r="J2431" s="1297"/>
      <c r="K2431" s="1298"/>
      <c r="L2431" s="920"/>
      <c r="M2431" s="377"/>
    </row>
    <row r="2432" spans="3:13" ht="18" thickBot="1">
      <c r="C2432" s="90"/>
      <c r="D2432" s="561" t="s">
        <v>435</v>
      </c>
      <c r="E2432" s="1313">
        <v>0.875</v>
      </c>
      <c r="F2432" s="1314"/>
      <c r="G2432" s="1315"/>
      <c r="H2432" s="909"/>
      <c r="I2432" s="1302"/>
      <c r="J2432" s="1297"/>
      <c r="K2432" s="1298"/>
      <c r="L2432" s="378">
        <v>0.10416666666666667</v>
      </c>
      <c r="M2432" s="379">
        <v>0.95833333333333337</v>
      </c>
    </row>
    <row r="2433" spans="3:13" ht="18" thickBot="1">
      <c r="C2433" s="90"/>
      <c r="D2433" s="562" t="s">
        <v>436</v>
      </c>
      <c r="E2433" s="380" t="s">
        <v>29</v>
      </c>
      <c r="F2433" s="380" t="s">
        <v>28</v>
      </c>
      <c r="G2433" s="381" t="s">
        <v>27</v>
      </c>
      <c r="H2433" s="911" t="s">
        <v>793</v>
      </c>
      <c r="I2433" s="1302"/>
      <c r="J2433" s="1297"/>
      <c r="K2433" s="1298"/>
      <c r="L2433" s="921" t="s">
        <v>1246</v>
      </c>
      <c r="M2433" s="382"/>
    </row>
    <row r="2434" spans="3:13">
      <c r="C2434" s="90"/>
      <c r="D2434" s="563">
        <v>45588</v>
      </c>
      <c r="E2434" s="387">
        <v>0.62</v>
      </c>
      <c r="F2434" s="387">
        <v>0.46</v>
      </c>
      <c r="G2434" s="387">
        <v>0.53</v>
      </c>
      <c r="H2434" s="929">
        <v>-0.12499999999999999</v>
      </c>
      <c r="I2434" s="1302"/>
      <c r="J2434" s="1297"/>
      <c r="K2434" s="1298"/>
      <c r="L2434" s="922">
        <v>0.10416666666666667</v>
      </c>
      <c r="M2434" s="384"/>
    </row>
    <row r="2435" spans="3:13">
      <c r="C2435" s="90"/>
      <c r="D2435" s="563">
        <v>45496</v>
      </c>
      <c r="E2435" s="387">
        <v>0.42</v>
      </c>
      <c r="F2435" s="387">
        <v>0.46</v>
      </c>
      <c r="G2435" s="387">
        <v>0.35</v>
      </c>
      <c r="H2435" s="929">
        <v>-0.12499999999999999</v>
      </c>
      <c r="I2435" s="1302"/>
      <c r="J2435" s="1297"/>
      <c r="K2435" s="1298"/>
      <c r="L2435" s="922">
        <v>0.10416666666666667</v>
      </c>
      <c r="M2435" s="385"/>
    </row>
    <row r="2436" spans="3:13">
      <c r="C2436" s="90"/>
      <c r="D2436" s="563">
        <v>45405</v>
      </c>
      <c r="E2436" s="387">
        <v>0.35</v>
      </c>
      <c r="F2436" s="387">
        <v>0.35</v>
      </c>
      <c r="G2436" s="387">
        <v>0.56999999999999995</v>
      </c>
      <c r="H2436" s="929">
        <v>0.58333333333333337</v>
      </c>
      <c r="I2436" s="1302"/>
      <c r="J2436" s="1297"/>
      <c r="K2436" s="1298"/>
      <c r="L2436" s="922">
        <v>0.8125</v>
      </c>
      <c r="M2436" s="377"/>
    </row>
    <row r="2437" spans="3:13">
      <c r="C2437" s="90"/>
      <c r="D2437" s="563">
        <v>45293</v>
      </c>
      <c r="E2437" s="387">
        <v>0.56999999999999995</v>
      </c>
      <c r="F2437" s="387">
        <v>0.6</v>
      </c>
      <c r="G2437" s="387">
        <v>0.78</v>
      </c>
      <c r="H2437" s="929">
        <v>0.58333333333333337</v>
      </c>
      <c r="I2437" s="1302"/>
      <c r="J2437" s="1297"/>
      <c r="K2437" s="1298"/>
      <c r="L2437" s="922">
        <v>0.8125</v>
      </c>
      <c r="M2437" s="377"/>
    </row>
    <row r="2438" spans="3:13">
      <c r="C2438" s="90"/>
      <c r="D2438" s="563">
        <v>45583</v>
      </c>
      <c r="E2438" s="387">
        <v>0.53</v>
      </c>
      <c r="F2438" s="387">
        <v>0.64</v>
      </c>
      <c r="G2438" s="387">
        <v>0.95</v>
      </c>
      <c r="H2438" s="929">
        <v>0.58333333333333337</v>
      </c>
      <c r="I2438" s="1302"/>
      <c r="J2438" s="1297"/>
      <c r="K2438" s="1298"/>
      <c r="L2438" s="922">
        <v>0.8125</v>
      </c>
      <c r="M2438" s="377"/>
    </row>
    <row r="2439" spans="3:13" ht="17" thickBot="1">
      <c r="C2439" s="90"/>
      <c r="D2439" s="563">
        <v>374210</v>
      </c>
      <c r="E2439" s="387">
        <v>0.78</v>
      </c>
      <c r="F2439" s="387">
        <v>0.8</v>
      </c>
      <c r="G2439" s="387">
        <v>0.65</v>
      </c>
      <c r="H2439" s="929">
        <v>0.58333333333333337</v>
      </c>
      <c r="I2439" s="1303"/>
      <c r="J2439" s="1299"/>
      <c r="K2439" s="1300"/>
      <c r="L2439" s="922">
        <v>0.8125</v>
      </c>
      <c r="M2439" s="386"/>
    </row>
    <row r="2440" spans="3:13" ht="25" customHeight="1" thickBot="1">
      <c r="C2440" s="90">
        <v>1</v>
      </c>
      <c r="D2440" s="557" t="s">
        <v>30</v>
      </c>
      <c r="E2440" s="1358" t="s">
        <v>1501</v>
      </c>
      <c r="F2440" s="1359"/>
      <c r="G2440" s="1360"/>
      <c r="H2440" s="911" t="s">
        <v>790</v>
      </c>
      <c r="I2440" s="1345" t="s">
        <v>633</v>
      </c>
      <c r="J2440" s="1293"/>
      <c r="K2440" s="1294"/>
      <c r="L2440" s="911" t="s">
        <v>430</v>
      </c>
      <c r="M2440" s="558" t="s">
        <v>431</v>
      </c>
    </row>
    <row r="2441" spans="3:13" ht="24" customHeight="1">
      <c r="C2441" s="90"/>
      <c r="D2441" s="559" t="s">
        <v>432</v>
      </c>
      <c r="E2441" s="1563"/>
      <c r="F2441" s="1564"/>
      <c r="G2441" s="1565"/>
      <c r="H2441" s="919" t="s">
        <v>906</v>
      </c>
      <c r="I2441" s="1301" t="s">
        <v>1502</v>
      </c>
      <c r="J2441" s="1295"/>
      <c r="K2441" s="1296"/>
      <c r="L2441" s="920"/>
      <c r="M2441" s="376" t="s">
        <v>1501</v>
      </c>
    </row>
    <row r="2442" spans="3:13" ht="17">
      <c r="C2442" s="90"/>
      <c r="D2442" s="560" t="s">
        <v>433</v>
      </c>
      <c r="E2442" s="1341">
        <v>0.03</v>
      </c>
      <c r="F2442" s="1339"/>
      <c r="G2442" s="1340"/>
      <c r="H2442" s="907" t="s">
        <v>907</v>
      </c>
      <c r="I2442" s="1302"/>
      <c r="J2442" s="1297"/>
      <c r="K2442" s="1298"/>
      <c r="L2442" s="920"/>
      <c r="M2442" s="377"/>
    </row>
    <row r="2443" spans="3:13" ht="17">
      <c r="C2443" s="90"/>
      <c r="D2443" s="560" t="s">
        <v>434</v>
      </c>
      <c r="E2443" s="1341">
        <v>3.2500000000000001E-2</v>
      </c>
      <c r="F2443" s="1339"/>
      <c r="G2443" s="1340"/>
      <c r="H2443" s="907"/>
      <c r="I2443" s="1302"/>
      <c r="J2443" s="1297"/>
      <c r="K2443" s="1298"/>
      <c r="L2443" s="920"/>
      <c r="M2443" s="377"/>
    </row>
    <row r="2444" spans="3:13" ht="18" thickBot="1">
      <c r="C2444" s="90"/>
      <c r="D2444" s="561" t="s">
        <v>435</v>
      </c>
      <c r="E2444" s="1313">
        <v>0.61458333333333337</v>
      </c>
      <c r="F2444" s="1314"/>
      <c r="G2444" s="1315"/>
      <c r="H2444" s="909"/>
      <c r="I2444" s="1302"/>
      <c r="J2444" s="1297"/>
      <c r="K2444" s="1298"/>
      <c r="L2444" s="378">
        <v>0.84375</v>
      </c>
      <c r="M2444" s="379">
        <v>0.69791666666666663</v>
      </c>
    </row>
    <row r="2445" spans="3:13" ht="18" thickBot="1">
      <c r="C2445" s="90"/>
      <c r="D2445" s="562" t="s">
        <v>436</v>
      </c>
      <c r="E2445" s="380" t="s">
        <v>29</v>
      </c>
      <c r="F2445" s="380" t="s">
        <v>28</v>
      </c>
      <c r="G2445" s="381" t="s">
        <v>27</v>
      </c>
      <c r="H2445" s="911" t="s">
        <v>793</v>
      </c>
      <c r="I2445" s="1302"/>
      <c r="J2445" s="1297"/>
      <c r="K2445" s="1298"/>
      <c r="L2445" s="921" t="s">
        <v>1246</v>
      </c>
      <c r="M2445" s="382"/>
    </row>
    <row r="2446" spans="3:13" ht="17">
      <c r="C2446" s="90"/>
      <c r="D2446" s="563">
        <v>45637</v>
      </c>
      <c r="E2446" s="387">
        <v>3.2500000000000001E-2</v>
      </c>
      <c r="F2446" s="387" t="s">
        <v>1542</v>
      </c>
      <c r="G2446" s="387">
        <v>3.7499999999999999E-2</v>
      </c>
      <c r="H2446" s="929">
        <v>0.61458333333333337</v>
      </c>
      <c r="I2446" s="1302"/>
      <c r="J2446" s="1297"/>
      <c r="K2446" s="1298"/>
      <c r="L2446" s="922">
        <v>0.84375</v>
      </c>
      <c r="M2446" s="384"/>
    </row>
    <row r="2447" spans="3:13" ht="17">
      <c r="C2447" s="90"/>
      <c r="D2447" s="563">
        <v>45588</v>
      </c>
      <c r="E2447" s="387">
        <v>3.7499999999999999E-2</v>
      </c>
      <c r="F2447" s="387" t="s">
        <v>1543</v>
      </c>
      <c r="G2447" s="387">
        <v>4.2500000000000003E-2</v>
      </c>
      <c r="H2447" s="929">
        <v>0.61458333333333337</v>
      </c>
      <c r="I2447" s="1302"/>
      <c r="J2447" s="1297"/>
      <c r="K2447" s="1298"/>
      <c r="L2447" s="922">
        <v>0.84375</v>
      </c>
      <c r="M2447" s="385"/>
    </row>
    <row r="2448" spans="3:13" ht="17">
      <c r="C2448" s="90"/>
      <c r="D2448" s="563">
        <v>45539</v>
      </c>
      <c r="E2448" s="387">
        <v>4.2500000000000003E-2</v>
      </c>
      <c r="F2448" s="387" t="s">
        <v>723</v>
      </c>
      <c r="G2448" s="387">
        <v>4.4999999999999998E-2</v>
      </c>
      <c r="H2448" s="929">
        <v>0.58333333333333337</v>
      </c>
      <c r="I2448" s="1302"/>
      <c r="J2448" s="1297"/>
      <c r="K2448" s="1298"/>
      <c r="L2448" s="922">
        <v>0.8125</v>
      </c>
      <c r="M2448" s="377"/>
    </row>
    <row r="2449" spans="3:13" ht="17">
      <c r="C2449" s="90"/>
      <c r="D2449" s="563">
        <v>45497</v>
      </c>
      <c r="E2449" s="387">
        <v>4.4999999999999998E-2</v>
      </c>
      <c r="F2449" s="387" t="s">
        <v>725</v>
      </c>
      <c r="G2449" s="387">
        <v>4.7500000000000001E-2</v>
      </c>
      <c r="H2449" s="929">
        <v>0.58333333333333337</v>
      </c>
      <c r="I2449" s="1302"/>
      <c r="J2449" s="1297"/>
      <c r="K2449" s="1298"/>
      <c r="L2449" s="922">
        <v>0.8125</v>
      </c>
      <c r="M2449" s="377"/>
    </row>
    <row r="2450" spans="3:13" ht="17">
      <c r="C2450" s="90"/>
      <c r="D2450" s="563">
        <v>45448</v>
      </c>
      <c r="E2450" s="387">
        <v>4.7500000000000001E-2</v>
      </c>
      <c r="F2450" s="387" t="s">
        <v>726</v>
      </c>
      <c r="G2450" s="387">
        <v>0.05</v>
      </c>
      <c r="H2450" s="929">
        <v>0.58333333333333337</v>
      </c>
      <c r="I2450" s="1302"/>
      <c r="J2450" s="1297"/>
      <c r="K2450" s="1298"/>
      <c r="L2450" s="922">
        <v>0.8125</v>
      </c>
      <c r="M2450" s="377"/>
    </row>
    <row r="2451" spans="3:13" ht="18" thickBot="1">
      <c r="C2451" s="90"/>
      <c r="D2451" s="563">
        <v>45392</v>
      </c>
      <c r="E2451" s="387">
        <v>0.05</v>
      </c>
      <c r="F2451" s="387" t="s">
        <v>728</v>
      </c>
      <c r="G2451" s="387">
        <v>0.05</v>
      </c>
      <c r="H2451" s="929">
        <v>0.58333333333333337</v>
      </c>
      <c r="I2451" s="1303"/>
      <c r="J2451" s="1299"/>
      <c r="K2451" s="1300"/>
      <c r="L2451" s="922">
        <v>0.8125</v>
      </c>
      <c r="M2451" s="386"/>
    </row>
    <row r="2452" spans="3:13" ht="25" customHeight="1" thickBot="1">
      <c r="C2452" s="90">
        <v>1</v>
      </c>
      <c r="D2452" s="557" t="s">
        <v>30</v>
      </c>
      <c r="E2452" s="1358" t="s">
        <v>1503</v>
      </c>
      <c r="F2452" s="1359"/>
      <c r="G2452" s="1360"/>
      <c r="H2452" s="911" t="s">
        <v>790</v>
      </c>
      <c r="I2452" s="1345" t="s">
        <v>633</v>
      </c>
      <c r="J2452" s="1293"/>
      <c r="K2452" s="1294"/>
      <c r="L2452" s="911" t="s">
        <v>430</v>
      </c>
      <c r="M2452" s="558" t="s">
        <v>431</v>
      </c>
    </row>
    <row r="2453" spans="3:13" ht="24" customHeight="1">
      <c r="C2453" s="90"/>
      <c r="D2453" s="559" t="s">
        <v>432</v>
      </c>
      <c r="E2453" s="1563"/>
      <c r="F2453" s="1564"/>
      <c r="G2453" s="1565"/>
      <c r="H2453" s="919" t="s">
        <v>906</v>
      </c>
      <c r="I2453" s="1301" t="s">
        <v>1505</v>
      </c>
      <c r="J2453" s="1295"/>
      <c r="K2453" s="1296"/>
      <c r="L2453" s="920"/>
      <c r="M2453" s="376" t="s">
        <v>1503</v>
      </c>
    </row>
    <row r="2454" spans="3:13" ht="17">
      <c r="C2454" s="90"/>
      <c r="D2454" s="560" t="s">
        <v>433</v>
      </c>
      <c r="E2454" s="1341">
        <v>0</v>
      </c>
      <c r="F2454" s="1339"/>
      <c r="G2454" s="1340"/>
      <c r="H2454" s="907" t="s">
        <v>907</v>
      </c>
      <c r="I2454" s="1302"/>
      <c r="J2454" s="1297"/>
      <c r="K2454" s="1298"/>
      <c r="L2454" s="920"/>
      <c r="M2454" s="377"/>
    </row>
    <row r="2455" spans="3:13" ht="17">
      <c r="C2455" s="90"/>
      <c r="D2455" s="560" t="s">
        <v>434</v>
      </c>
      <c r="E2455" s="1341" t="s">
        <v>1504</v>
      </c>
      <c r="F2455" s="1339"/>
      <c r="G2455" s="1340"/>
      <c r="H2455" s="907"/>
      <c r="I2455" s="1302"/>
      <c r="J2455" s="1297"/>
      <c r="K2455" s="1298"/>
      <c r="L2455" s="920"/>
      <c r="M2455" s="377"/>
    </row>
    <row r="2456" spans="3:13" ht="18" thickBot="1">
      <c r="C2456" s="90"/>
      <c r="D2456" s="561" t="s">
        <v>435</v>
      </c>
      <c r="E2456" s="1313">
        <v>0.64583333333333337</v>
      </c>
      <c r="F2456" s="1314"/>
      <c r="G2456" s="1315"/>
      <c r="H2456" s="909"/>
      <c r="I2456" s="1302"/>
      <c r="J2456" s="1297"/>
      <c r="K2456" s="1298"/>
      <c r="L2456" s="378">
        <v>0.875</v>
      </c>
      <c r="M2456" s="379">
        <v>0.72916666666666663</v>
      </c>
    </row>
    <row r="2457" spans="3:13" ht="18" thickBot="1">
      <c r="C2457" s="90"/>
      <c r="D2457" s="562" t="s">
        <v>436</v>
      </c>
      <c r="E2457" s="380" t="s">
        <v>29</v>
      </c>
      <c r="F2457" s="380" t="s">
        <v>28</v>
      </c>
      <c r="G2457" s="381" t="s">
        <v>27</v>
      </c>
      <c r="H2457" s="911" t="s">
        <v>793</v>
      </c>
      <c r="I2457" s="1302"/>
      <c r="J2457" s="1297"/>
      <c r="K2457" s="1298"/>
      <c r="L2457" s="921" t="s">
        <v>1246</v>
      </c>
      <c r="M2457" s="382"/>
    </row>
    <row r="2458" spans="3:13" ht="17">
      <c r="C2458" s="90"/>
      <c r="D2458" s="563">
        <v>45680</v>
      </c>
      <c r="E2458" s="387" t="s">
        <v>1544</v>
      </c>
      <c r="F2458" s="387" t="s">
        <v>1545</v>
      </c>
      <c r="G2458" s="387" t="s">
        <v>1546</v>
      </c>
      <c r="H2458" s="929">
        <v>0.64583333333333337</v>
      </c>
      <c r="I2458" s="1302"/>
      <c r="J2458" s="1297"/>
      <c r="K2458" s="1298"/>
      <c r="L2458" s="922">
        <v>0.875</v>
      </c>
      <c r="M2458" s="384"/>
    </row>
    <row r="2459" spans="3:13" ht="17">
      <c r="C2459" s="90"/>
      <c r="D2459" s="563">
        <v>45672</v>
      </c>
      <c r="E2459" s="387" t="s">
        <v>1546</v>
      </c>
      <c r="F2459" s="387" t="s">
        <v>1547</v>
      </c>
      <c r="G2459" s="387" t="s">
        <v>1436</v>
      </c>
      <c r="H2459" s="929">
        <v>0.64583333333333337</v>
      </c>
      <c r="I2459" s="1302"/>
      <c r="J2459" s="1297"/>
      <c r="K2459" s="1298"/>
      <c r="L2459" s="922">
        <v>0.875</v>
      </c>
      <c r="M2459" s="385"/>
    </row>
    <row r="2460" spans="3:13" ht="17">
      <c r="C2460" s="90"/>
      <c r="D2460" s="563">
        <v>45665</v>
      </c>
      <c r="E2460" s="387" t="s">
        <v>1436</v>
      </c>
      <c r="F2460" s="387" t="s">
        <v>1437</v>
      </c>
      <c r="G2460" s="387" t="s">
        <v>1391</v>
      </c>
      <c r="H2460" s="929">
        <v>0.58333333333333337</v>
      </c>
      <c r="I2460" s="1302"/>
      <c r="J2460" s="1297"/>
      <c r="K2460" s="1298"/>
      <c r="L2460" s="922">
        <v>0.8125</v>
      </c>
      <c r="M2460" s="377"/>
    </row>
    <row r="2461" spans="3:13" ht="17">
      <c r="C2461" s="90"/>
      <c r="D2461" s="563">
        <v>45659</v>
      </c>
      <c r="E2461" s="387" t="s">
        <v>1391</v>
      </c>
      <c r="F2461" s="387" t="s">
        <v>1392</v>
      </c>
      <c r="G2461" s="387" t="s">
        <v>1342</v>
      </c>
      <c r="H2461" s="929">
        <v>0.58333333333333337</v>
      </c>
      <c r="I2461" s="1302"/>
      <c r="J2461" s="1297"/>
      <c r="K2461" s="1298"/>
      <c r="L2461" s="922">
        <v>0.8125</v>
      </c>
      <c r="M2461" s="377"/>
    </row>
    <row r="2462" spans="3:13" ht="17">
      <c r="C2462" s="90"/>
      <c r="D2462" s="563">
        <v>45653</v>
      </c>
      <c r="E2462" s="387" t="s">
        <v>1342</v>
      </c>
      <c r="F2462" s="387" t="s">
        <v>1343</v>
      </c>
      <c r="G2462" s="387" t="s">
        <v>1318</v>
      </c>
      <c r="H2462" s="929">
        <v>0.58333333333333337</v>
      </c>
      <c r="I2462" s="1302"/>
      <c r="J2462" s="1297"/>
      <c r="K2462" s="1298"/>
      <c r="L2462" s="922">
        <v>0.8125</v>
      </c>
      <c r="M2462" s="377"/>
    </row>
    <row r="2463" spans="3:13" ht="18" thickBot="1">
      <c r="C2463" s="90"/>
      <c r="D2463" s="563">
        <v>45644</v>
      </c>
      <c r="E2463" s="387" t="s">
        <v>1318</v>
      </c>
      <c r="F2463" s="387" t="s">
        <v>1289</v>
      </c>
      <c r="G2463" s="387" t="s">
        <v>1286</v>
      </c>
      <c r="H2463" s="929">
        <v>0.58333333333333337</v>
      </c>
      <c r="I2463" s="1303"/>
      <c r="J2463" s="1299"/>
      <c r="K2463" s="1300"/>
      <c r="L2463" s="922">
        <v>0.8125</v>
      </c>
      <c r="M2463" s="386"/>
    </row>
    <row r="2464" spans="3:13" ht="25" customHeight="1" thickBot="1">
      <c r="C2464" s="90" t="e">
        <v>#REF!</v>
      </c>
      <c r="D2464" s="557" t="s">
        <v>30</v>
      </c>
      <c r="E2464" s="1358" t="s">
        <v>1483</v>
      </c>
      <c r="F2464" s="1359"/>
      <c r="G2464" s="1360"/>
      <c r="H2464" s="911" t="s">
        <v>790</v>
      </c>
      <c r="I2464" s="1345" t="s">
        <v>633</v>
      </c>
      <c r="J2464" s="1293"/>
      <c r="K2464" s="1294"/>
      <c r="L2464" s="911" t="s">
        <v>430</v>
      </c>
      <c r="M2464" s="558" t="s">
        <v>431</v>
      </c>
    </row>
    <row r="2465" spans="3:13" ht="24" customHeight="1">
      <c r="C2465" s="90"/>
      <c r="D2465" s="559" t="s">
        <v>432</v>
      </c>
      <c r="E2465" s="1563"/>
      <c r="F2465" s="1564"/>
      <c r="G2465" s="1565"/>
      <c r="H2465" s="919" t="s">
        <v>1557</v>
      </c>
      <c r="I2465" s="1301" t="s">
        <v>1484</v>
      </c>
      <c r="J2465" s="1295"/>
      <c r="K2465" s="1296"/>
      <c r="L2465" s="920"/>
      <c r="M2465" s="376" t="s">
        <v>1483</v>
      </c>
    </row>
    <row r="2466" spans="3:13" ht="17">
      <c r="C2466" s="90"/>
      <c r="D2466" s="560" t="s">
        <v>433</v>
      </c>
      <c r="E2466" s="1370">
        <v>0</v>
      </c>
      <c r="F2466" s="1368"/>
      <c r="G2466" s="1369"/>
      <c r="H2466" s="907" t="s">
        <v>1558</v>
      </c>
      <c r="I2466" s="1302"/>
      <c r="J2466" s="1297"/>
      <c r="K2466" s="1298"/>
      <c r="L2466" s="920"/>
      <c r="M2466" s="377"/>
    </row>
    <row r="2467" spans="3:13" ht="17">
      <c r="C2467" s="90"/>
      <c r="D2467" s="560" t="s">
        <v>434</v>
      </c>
      <c r="E2467" s="1370">
        <v>0</v>
      </c>
      <c r="F2467" s="1368"/>
      <c r="G2467" s="1369"/>
      <c r="H2467" s="907"/>
      <c r="I2467" s="1302"/>
      <c r="J2467" s="1297"/>
      <c r="K2467" s="1298"/>
      <c r="L2467" s="920"/>
      <c r="M2467" s="377"/>
    </row>
    <row r="2468" spans="3:13" ht="18" thickBot="1">
      <c r="C2468" s="90"/>
      <c r="D2468" s="561" t="s">
        <v>435</v>
      </c>
      <c r="E2468" s="1313" t="e">
        <v>#VALUE!</v>
      </c>
      <c r="F2468" s="1314"/>
      <c r="G2468" s="1315"/>
      <c r="H2468" s="909"/>
      <c r="I2468" s="1302"/>
      <c r="J2468" s="1297"/>
      <c r="K2468" s="1298"/>
      <c r="L2468" s="378" t="s">
        <v>1449</v>
      </c>
      <c r="M2468" s="379" t="e">
        <v>#VALUE!</v>
      </c>
    </row>
    <row r="2469" spans="3:13" ht="18" thickBot="1">
      <c r="C2469" s="90"/>
      <c r="D2469" s="562" t="s">
        <v>436</v>
      </c>
      <c r="E2469" s="380" t="s">
        <v>29</v>
      </c>
      <c r="F2469" s="380" t="s">
        <v>28</v>
      </c>
      <c r="G2469" s="381" t="s">
        <v>27</v>
      </c>
      <c r="H2469" s="911" t="s">
        <v>793</v>
      </c>
      <c r="I2469" s="1302"/>
      <c r="J2469" s="1297"/>
      <c r="K2469" s="1298"/>
      <c r="L2469" s="921" t="s">
        <v>1246</v>
      </c>
      <c r="M2469" s="382"/>
    </row>
    <row r="2470" spans="3:13" ht="17">
      <c r="C2470" s="90"/>
      <c r="D2470" s="563">
        <v>45643</v>
      </c>
      <c r="E2470" s="565">
        <v>2E-3</v>
      </c>
      <c r="F2470" s="565" t="s">
        <v>452</v>
      </c>
      <c r="G2470" s="565">
        <v>2E-3</v>
      </c>
      <c r="H2470" s="929">
        <v>0.52083333333333337</v>
      </c>
      <c r="I2470" s="1302"/>
      <c r="J2470" s="1297"/>
      <c r="K2470" s="1298"/>
      <c r="L2470" s="922">
        <v>0.29166666666666669</v>
      </c>
      <c r="M2470" s="384"/>
    </row>
    <row r="2471" spans="3:13" ht="17">
      <c r="C2471" s="90"/>
      <c r="D2471" s="563">
        <v>45611</v>
      </c>
      <c r="E2471" s="565">
        <v>1E-3</v>
      </c>
      <c r="F2471" s="565" t="s">
        <v>467</v>
      </c>
      <c r="G2471" s="565">
        <v>0.01</v>
      </c>
      <c r="H2471" s="929">
        <v>0.52083333333333337</v>
      </c>
      <c r="I2471" s="1302"/>
      <c r="J2471" s="1297"/>
      <c r="K2471" s="1298"/>
      <c r="L2471" s="922">
        <v>0.29166666666666669</v>
      </c>
      <c r="M2471" s="385"/>
    </row>
    <row r="2472" spans="3:13" ht="17">
      <c r="C2472" s="90"/>
      <c r="D2472" s="563">
        <v>45582</v>
      </c>
      <c r="E2472" s="565">
        <v>5.0000000000000001E-3</v>
      </c>
      <c r="F2472" s="565" t="s">
        <v>462</v>
      </c>
      <c r="G2472" s="565">
        <v>2E-3</v>
      </c>
      <c r="H2472" s="929">
        <v>0.47916666666666663</v>
      </c>
      <c r="I2472" s="1302"/>
      <c r="J2472" s="1297"/>
      <c r="K2472" s="1298"/>
      <c r="L2472" s="922">
        <v>0.25</v>
      </c>
      <c r="M2472" s="377"/>
    </row>
    <row r="2473" spans="3:13" ht="17">
      <c r="C2473" s="90"/>
      <c r="D2473" s="563">
        <v>45552</v>
      </c>
      <c r="E2473" s="565">
        <v>1E-3</v>
      </c>
      <c r="F2473" s="565" t="s">
        <v>460</v>
      </c>
      <c r="G2473" s="565">
        <v>4.0000000000000001E-3</v>
      </c>
      <c r="H2473" s="929">
        <v>0.47916666666666663</v>
      </c>
      <c r="I2473" s="1302"/>
      <c r="J2473" s="1297"/>
      <c r="K2473" s="1298"/>
      <c r="L2473" s="922">
        <v>0.25</v>
      </c>
      <c r="M2473" s="377"/>
    </row>
    <row r="2474" spans="3:13" ht="17">
      <c r="C2474" s="90"/>
      <c r="D2474" s="563">
        <v>45519</v>
      </c>
      <c r="E2474" s="565">
        <v>4.0000000000000001E-3</v>
      </c>
      <c r="F2474" s="565" t="s">
        <v>462</v>
      </c>
      <c r="G2474" s="565">
        <v>5.0000000000000001E-3</v>
      </c>
      <c r="H2474" s="929">
        <v>0.47916666666666663</v>
      </c>
      <c r="I2474" s="1302"/>
      <c r="J2474" s="1297"/>
      <c r="K2474" s="1298"/>
      <c r="L2474" s="922">
        <v>0.25</v>
      </c>
      <c r="M2474" s="377"/>
    </row>
    <row r="2475" spans="3:13" ht="18" thickBot="1">
      <c r="C2475" s="90"/>
      <c r="D2475" s="563">
        <v>45489</v>
      </c>
      <c r="E2475" s="565">
        <v>4.0000000000000001E-3</v>
      </c>
      <c r="F2475" s="565" t="s">
        <v>462</v>
      </c>
      <c r="G2475" s="565">
        <v>1E-3</v>
      </c>
      <c r="H2475" s="929">
        <v>0.47916666666666663</v>
      </c>
      <c r="I2475" s="1303"/>
      <c r="J2475" s="1299"/>
      <c r="K2475" s="1300"/>
      <c r="L2475" s="922">
        <v>0.25</v>
      </c>
      <c r="M2475" s="386"/>
    </row>
    <row r="2476" spans="3:13" ht="25" customHeight="1" thickBot="1">
      <c r="C2476" s="90" t="e">
        <v>#REF!</v>
      </c>
      <c r="D2476" s="557" t="s">
        <v>30</v>
      </c>
      <c r="E2476" s="1358" t="s">
        <v>1486</v>
      </c>
      <c r="F2476" s="1359"/>
      <c r="G2476" s="1360"/>
      <c r="H2476" s="911" t="s">
        <v>790</v>
      </c>
      <c r="I2476" s="1345" t="s">
        <v>633</v>
      </c>
      <c r="J2476" s="1293"/>
      <c r="K2476" s="1294"/>
      <c r="L2476" s="911" t="s">
        <v>430</v>
      </c>
      <c r="M2476" s="558" t="s">
        <v>431</v>
      </c>
    </row>
    <row r="2477" spans="3:13" ht="24" customHeight="1">
      <c r="C2477" s="90"/>
      <c r="D2477" s="559" t="s">
        <v>432</v>
      </c>
      <c r="E2477" s="1563"/>
      <c r="F2477" s="1564"/>
      <c r="G2477" s="1565"/>
      <c r="H2477" s="919" t="s">
        <v>1557</v>
      </c>
      <c r="I2477" s="1301" t="s">
        <v>1487</v>
      </c>
      <c r="J2477" s="1295"/>
      <c r="K2477" s="1296"/>
      <c r="L2477" s="920"/>
      <c r="M2477" s="376" t="s">
        <v>1486</v>
      </c>
    </row>
    <row r="2478" spans="3:13" ht="17">
      <c r="C2478" s="90"/>
      <c r="D2478" s="560" t="s">
        <v>433</v>
      </c>
      <c r="E2478" s="1370">
        <v>0</v>
      </c>
      <c r="F2478" s="1368"/>
      <c r="G2478" s="1369"/>
      <c r="H2478" s="907" t="s">
        <v>1558</v>
      </c>
      <c r="I2478" s="1302"/>
      <c r="J2478" s="1297"/>
      <c r="K2478" s="1298"/>
      <c r="L2478" s="920"/>
      <c r="M2478" s="377"/>
    </row>
    <row r="2479" spans="3:13" ht="17">
      <c r="C2479" s="90"/>
      <c r="D2479" s="560" t="s">
        <v>434</v>
      </c>
      <c r="E2479" s="1370">
        <v>0</v>
      </c>
      <c r="F2479" s="1368"/>
      <c r="G2479" s="1369"/>
      <c r="H2479" s="907"/>
      <c r="I2479" s="1302"/>
      <c r="J2479" s="1297"/>
      <c r="K2479" s="1298"/>
      <c r="L2479" s="920"/>
      <c r="M2479" s="377"/>
    </row>
    <row r="2480" spans="3:13" ht="18" thickBot="1">
      <c r="C2480" s="90"/>
      <c r="D2480" s="561" t="s">
        <v>435</v>
      </c>
      <c r="E2480" s="1313" t="e">
        <v>#VALUE!</v>
      </c>
      <c r="F2480" s="1314"/>
      <c r="G2480" s="1315"/>
      <c r="H2480" s="909"/>
      <c r="I2480" s="1302"/>
      <c r="J2480" s="1297"/>
      <c r="K2480" s="1298"/>
      <c r="L2480" s="378" t="s">
        <v>1449</v>
      </c>
      <c r="M2480" s="379" t="e">
        <v>#VALUE!</v>
      </c>
    </row>
    <row r="2481" spans="3:13" ht="18" thickBot="1">
      <c r="C2481" s="90"/>
      <c r="D2481" s="562" t="s">
        <v>436</v>
      </c>
      <c r="E2481" s="380" t="s">
        <v>29</v>
      </c>
      <c r="F2481" s="380" t="s">
        <v>28</v>
      </c>
      <c r="G2481" s="381" t="s">
        <v>27</v>
      </c>
      <c r="H2481" s="911" t="s">
        <v>793</v>
      </c>
      <c r="I2481" s="1302"/>
      <c r="J2481" s="1297"/>
      <c r="K2481" s="1298"/>
      <c r="L2481" s="921" t="s">
        <v>1246</v>
      </c>
      <c r="M2481" s="382"/>
    </row>
    <row r="2482" spans="3:13" ht="17">
      <c r="C2482" s="90"/>
      <c r="D2482" s="563">
        <v>45665</v>
      </c>
      <c r="E2482" s="565" t="s">
        <v>1438</v>
      </c>
      <c r="F2482" s="565" t="s">
        <v>1439</v>
      </c>
      <c r="G2482" s="565" t="s">
        <v>1440</v>
      </c>
      <c r="H2482" s="929">
        <v>0.52083333333333337</v>
      </c>
      <c r="I2482" s="1302"/>
      <c r="J2482" s="1297"/>
      <c r="K2482" s="1298"/>
      <c r="L2482" s="922">
        <v>0.29166666666666669</v>
      </c>
      <c r="M2482" s="384"/>
    </row>
    <row r="2483" spans="3:13" ht="17">
      <c r="C2483" s="90"/>
      <c r="D2483" s="563">
        <v>45659</v>
      </c>
      <c r="E2483" s="565" t="s">
        <v>1440</v>
      </c>
      <c r="F2483" s="565" t="s">
        <v>986</v>
      </c>
      <c r="G2483" s="565" t="s">
        <v>1112</v>
      </c>
      <c r="H2483" s="929">
        <v>0.52083333333333337</v>
      </c>
      <c r="I2483" s="1302"/>
      <c r="J2483" s="1297"/>
      <c r="K2483" s="1298"/>
      <c r="L2483" s="922">
        <v>0.29166666666666669</v>
      </c>
      <c r="M2483" s="385"/>
    </row>
    <row r="2484" spans="3:13" ht="17">
      <c r="C2484" s="90"/>
      <c r="D2484" s="563">
        <v>45652</v>
      </c>
      <c r="E2484" s="565" t="s">
        <v>987</v>
      </c>
      <c r="F2484" s="565" t="s">
        <v>973</v>
      </c>
      <c r="G2484" s="565" t="s">
        <v>1112</v>
      </c>
      <c r="H2484" s="929">
        <v>0.47916666666666663</v>
      </c>
      <c r="I2484" s="1302"/>
      <c r="J2484" s="1297"/>
      <c r="K2484" s="1298"/>
      <c r="L2484" s="922">
        <v>0.25</v>
      </c>
      <c r="M2484" s="377"/>
    </row>
    <row r="2485" spans="3:13" ht="17">
      <c r="C2485" s="90"/>
      <c r="D2485" s="563">
        <v>45645</v>
      </c>
      <c r="E2485" s="565" t="s">
        <v>1112</v>
      </c>
      <c r="F2485" s="565" t="s">
        <v>976</v>
      </c>
      <c r="G2485" s="565" t="s">
        <v>980</v>
      </c>
      <c r="H2485" s="929">
        <v>0.47916666666666663</v>
      </c>
      <c r="I2485" s="1302"/>
      <c r="J2485" s="1297"/>
      <c r="K2485" s="1298"/>
      <c r="L2485" s="922">
        <v>0.25</v>
      </c>
      <c r="M2485" s="377"/>
    </row>
    <row r="2486" spans="3:13" ht="17">
      <c r="C2486" s="90"/>
      <c r="D2486" s="563">
        <v>45638</v>
      </c>
      <c r="E2486" s="565" t="s">
        <v>980</v>
      </c>
      <c r="F2486" s="565" t="s">
        <v>972</v>
      </c>
      <c r="G2486" s="565" t="s">
        <v>985</v>
      </c>
      <c r="H2486" s="929">
        <v>0.47916666666666663</v>
      </c>
      <c r="I2486" s="1302"/>
      <c r="J2486" s="1297"/>
      <c r="K2486" s="1298"/>
      <c r="L2486" s="922">
        <v>0.25</v>
      </c>
      <c r="M2486" s="377"/>
    </row>
    <row r="2487" spans="3:13" ht="18" thickBot="1">
      <c r="C2487" s="90"/>
      <c r="D2487" s="563">
        <v>45631</v>
      </c>
      <c r="E2487" s="565" t="s">
        <v>1032</v>
      </c>
      <c r="F2487" s="565" t="s">
        <v>1232</v>
      </c>
      <c r="G2487" s="565" t="s">
        <v>1232</v>
      </c>
      <c r="H2487" s="929">
        <v>0.47916666666666663</v>
      </c>
      <c r="I2487" s="1303"/>
      <c r="J2487" s="1299"/>
      <c r="K2487" s="1300"/>
      <c r="L2487" s="922">
        <v>0.25</v>
      </c>
      <c r="M2487" s="386"/>
    </row>
    <row r="2488" spans="3:13" ht="25" customHeight="1" thickBot="1">
      <c r="C2488" s="90" t="e">
        <v>#REF!</v>
      </c>
      <c r="D2488" s="557" t="s">
        <v>30</v>
      </c>
      <c r="E2488" s="1358" t="s">
        <v>1493</v>
      </c>
      <c r="F2488" s="1359"/>
      <c r="G2488" s="1360"/>
      <c r="H2488" s="911" t="s">
        <v>790</v>
      </c>
      <c r="I2488" s="1345" t="s">
        <v>633</v>
      </c>
      <c r="J2488" s="1293"/>
      <c r="K2488" s="1294"/>
      <c r="L2488" s="911" t="s">
        <v>430</v>
      </c>
      <c r="M2488" s="558" t="s">
        <v>431</v>
      </c>
    </row>
    <row r="2489" spans="3:13" ht="24" customHeight="1">
      <c r="C2489" s="90"/>
      <c r="D2489" s="559" t="s">
        <v>432</v>
      </c>
      <c r="E2489" s="1563"/>
      <c r="F2489" s="1564"/>
      <c r="G2489" s="1565"/>
      <c r="H2489" s="919" t="s">
        <v>1557</v>
      </c>
      <c r="I2489" s="1301" t="s">
        <v>1494</v>
      </c>
      <c r="J2489" s="1295"/>
      <c r="K2489" s="1296"/>
      <c r="L2489" s="920"/>
      <c r="M2489" s="376" t="s">
        <v>1493</v>
      </c>
    </row>
    <row r="2490" spans="3:13" ht="17">
      <c r="C2490" s="90"/>
      <c r="D2490" s="560" t="s">
        <v>433</v>
      </c>
      <c r="E2490" s="1341">
        <v>0</v>
      </c>
      <c r="F2490" s="1339"/>
      <c r="G2490" s="1340"/>
      <c r="H2490" s="907" t="s">
        <v>1558</v>
      </c>
      <c r="I2490" s="1302"/>
      <c r="J2490" s="1297"/>
      <c r="K2490" s="1298"/>
      <c r="L2490" s="920"/>
      <c r="M2490" s="377"/>
    </row>
    <row r="2491" spans="3:13" ht="17">
      <c r="C2491" s="90"/>
      <c r="D2491" s="560" t="s">
        <v>434</v>
      </c>
      <c r="E2491" s="1341">
        <v>0</v>
      </c>
      <c r="F2491" s="1339"/>
      <c r="G2491" s="1340"/>
      <c r="H2491" s="907"/>
      <c r="I2491" s="1302"/>
      <c r="J2491" s="1297"/>
      <c r="K2491" s="1298"/>
      <c r="L2491" s="920"/>
      <c r="M2491" s="377"/>
    </row>
    <row r="2492" spans="3:13" ht="18" thickBot="1">
      <c r="C2492" s="90"/>
      <c r="D2492" s="561" t="s">
        <v>435</v>
      </c>
      <c r="E2492" s="1313" t="e">
        <v>#VALUE!</v>
      </c>
      <c r="F2492" s="1314"/>
      <c r="G2492" s="1315"/>
      <c r="H2492" s="909"/>
      <c r="I2492" s="1302"/>
      <c r="J2492" s="1297"/>
      <c r="K2492" s="1298"/>
      <c r="L2492" s="378" t="s">
        <v>1449</v>
      </c>
      <c r="M2492" s="379">
        <v>0.875</v>
      </c>
    </row>
    <row r="2493" spans="3:13" ht="18" thickBot="1">
      <c r="C2493" s="90"/>
      <c r="D2493" s="562" t="s">
        <v>436</v>
      </c>
      <c r="E2493" s="380" t="s">
        <v>29</v>
      </c>
      <c r="F2493" s="380" t="s">
        <v>28</v>
      </c>
      <c r="G2493" s="381" t="s">
        <v>27</v>
      </c>
      <c r="H2493" s="911" t="s">
        <v>793</v>
      </c>
      <c r="I2493" s="1302"/>
      <c r="J2493" s="1297"/>
      <c r="K2493" s="1298"/>
      <c r="L2493" s="921" t="s">
        <v>1246</v>
      </c>
      <c r="M2493" s="382"/>
    </row>
    <row r="2494" spans="3:13" ht="17">
      <c r="C2494" s="90"/>
      <c r="D2494" s="563">
        <v>45645</v>
      </c>
      <c r="E2494" s="383">
        <v>-16.399999999999999</v>
      </c>
      <c r="F2494" s="383" t="s">
        <v>1441</v>
      </c>
      <c r="G2494" s="383">
        <v>-5.5</v>
      </c>
      <c r="H2494" s="929">
        <v>0.52083333333333337</v>
      </c>
      <c r="I2494" s="1302"/>
      <c r="J2494" s="1297"/>
      <c r="K2494" s="1298"/>
      <c r="L2494" s="922">
        <v>0.29166666666666669</v>
      </c>
      <c r="M2494" s="384"/>
    </row>
    <row r="2495" spans="3:13" ht="17">
      <c r="C2495" s="90"/>
      <c r="D2495" s="563">
        <v>45617</v>
      </c>
      <c r="E2495" s="383">
        <v>-5.5</v>
      </c>
      <c r="F2495" s="383" t="s">
        <v>1292</v>
      </c>
      <c r="G2495" s="383">
        <v>10.3</v>
      </c>
      <c r="H2495" s="929">
        <v>0.52083333333333337</v>
      </c>
      <c r="I2495" s="1302"/>
      <c r="J2495" s="1297"/>
      <c r="K2495" s="1298"/>
      <c r="L2495" s="922">
        <v>0.29166666666666669</v>
      </c>
      <c r="M2495" s="385"/>
    </row>
    <row r="2496" spans="3:13" ht="17">
      <c r="C2496" s="90"/>
      <c r="D2496" s="563">
        <v>45582</v>
      </c>
      <c r="E2496" s="383">
        <v>10.3</v>
      </c>
      <c r="F2496" s="383" t="s">
        <v>1033</v>
      </c>
      <c r="G2496" s="383">
        <v>1.7</v>
      </c>
      <c r="H2496" s="929">
        <v>0.47916666666666663</v>
      </c>
      <c r="I2496" s="1302"/>
      <c r="J2496" s="1297"/>
      <c r="K2496" s="1298"/>
      <c r="L2496" s="922">
        <v>0.25</v>
      </c>
      <c r="M2496" s="377"/>
    </row>
    <row r="2497" spans="3:13" ht="17">
      <c r="C2497" s="90"/>
      <c r="D2497" s="563">
        <v>45554</v>
      </c>
      <c r="E2497" s="383">
        <v>1.7</v>
      </c>
      <c r="F2497" s="383" t="s">
        <v>1034</v>
      </c>
      <c r="G2497" s="383">
        <v>-7</v>
      </c>
      <c r="H2497" s="929">
        <v>0.47916666666666663</v>
      </c>
      <c r="I2497" s="1302"/>
      <c r="J2497" s="1297"/>
      <c r="K2497" s="1298"/>
      <c r="L2497" s="922">
        <v>0.25</v>
      </c>
      <c r="M2497" s="377"/>
    </row>
    <row r="2498" spans="3:13" ht="17">
      <c r="C2498" s="90"/>
      <c r="D2498" s="563">
        <v>45519</v>
      </c>
      <c r="E2498" s="383">
        <v>-7</v>
      </c>
      <c r="F2498" s="383" t="s">
        <v>1035</v>
      </c>
      <c r="G2498" s="383">
        <v>13.9</v>
      </c>
      <c r="H2498" s="929">
        <v>0.47916666666666663</v>
      </c>
      <c r="I2498" s="1302"/>
      <c r="J2498" s="1297"/>
      <c r="K2498" s="1298"/>
      <c r="L2498" s="922">
        <v>0.25</v>
      </c>
      <c r="M2498" s="377"/>
    </row>
    <row r="2499" spans="3:13" ht="18" thickBot="1">
      <c r="C2499" s="90"/>
      <c r="D2499" s="563">
        <v>45491</v>
      </c>
      <c r="E2499" s="383">
        <v>13.9</v>
      </c>
      <c r="F2499" s="383" t="s">
        <v>1036</v>
      </c>
      <c r="G2499" s="383">
        <v>1.3</v>
      </c>
      <c r="H2499" s="929">
        <v>0.47916666666666663</v>
      </c>
      <c r="I2499" s="1303"/>
      <c r="J2499" s="1299"/>
      <c r="K2499" s="1300"/>
      <c r="L2499" s="922">
        <v>0.25</v>
      </c>
      <c r="M2499" s="386"/>
    </row>
    <row r="2500" spans="3:13" ht="25" customHeight="1" thickBot="1">
      <c r="C2500" s="90" t="e">
        <v>#REF!</v>
      </c>
      <c r="D2500" s="557" t="s">
        <v>30</v>
      </c>
      <c r="E2500" s="1358" t="s">
        <v>1496</v>
      </c>
      <c r="F2500" s="1359"/>
      <c r="G2500" s="1360"/>
      <c r="H2500" s="911" t="s">
        <v>790</v>
      </c>
      <c r="I2500" s="1345" t="s">
        <v>633</v>
      </c>
      <c r="J2500" s="1293"/>
      <c r="K2500" s="1294"/>
      <c r="L2500" s="911" t="s">
        <v>430</v>
      </c>
      <c r="M2500" s="558" t="s">
        <v>431</v>
      </c>
    </row>
    <row r="2501" spans="3:13" ht="24" customHeight="1">
      <c r="C2501" s="90"/>
      <c r="D2501" s="559" t="s">
        <v>432</v>
      </c>
      <c r="E2501" s="1563"/>
      <c r="F2501" s="1564"/>
      <c r="G2501" s="1565"/>
      <c r="H2501" s="919" t="s">
        <v>1557</v>
      </c>
      <c r="I2501" s="1301" t="s">
        <v>1497</v>
      </c>
      <c r="J2501" s="1295"/>
      <c r="K2501" s="1296"/>
      <c r="L2501" s="920"/>
      <c r="M2501" s="376" t="s">
        <v>1496</v>
      </c>
    </row>
    <row r="2502" spans="3:13" ht="17">
      <c r="C2502" s="90"/>
      <c r="D2502" s="560" t="s">
        <v>433</v>
      </c>
      <c r="E2502" s="1370">
        <v>0</v>
      </c>
      <c r="F2502" s="1368"/>
      <c r="G2502" s="1369"/>
      <c r="H2502" s="907" t="s">
        <v>1558</v>
      </c>
      <c r="I2502" s="1302"/>
      <c r="J2502" s="1297"/>
      <c r="K2502" s="1298"/>
      <c r="L2502" s="920"/>
      <c r="M2502" s="377"/>
    </row>
    <row r="2503" spans="3:13" ht="17">
      <c r="C2503" s="90"/>
      <c r="D2503" s="560" t="s">
        <v>434</v>
      </c>
      <c r="E2503" s="1370">
        <v>0</v>
      </c>
      <c r="F2503" s="1368"/>
      <c r="G2503" s="1369"/>
      <c r="H2503" s="907"/>
      <c r="I2503" s="1302"/>
      <c r="J2503" s="1297"/>
      <c r="K2503" s="1298"/>
      <c r="L2503" s="920"/>
      <c r="M2503" s="377"/>
    </row>
    <row r="2504" spans="3:13" ht="18" thickBot="1">
      <c r="C2504" s="90"/>
      <c r="D2504" s="561" t="s">
        <v>435</v>
      </c>
      <c r="E2504" s="1313" t="e">
        <v>#VALUE!</v>
      </c>
      <c r="F2504" s="1314"/>
      <c r="G2504" s="1315"/>
      <c r="H2504" s="909"/>
      <c r="I2504" s="1302"/>
      <c r="J2504" s="1297"/>
      <c r="K2504" s="1298"/>
      <c r="L2504" s="378" t="s">
        <v>1449</v>
      </c>
      <c r="M2504" s="379" t="e">
        <v>#VALUE!</v>
      </c>
    </row>
    <row r="2505" spans="3:13" ht="18" thickBot="1">
      <c r="C2505" s="90"/>
      <c r="D2505" s="562" t="s">
        <v>436</v>
      </c>
      <c r="E2505" s="380" t="s">
        <v>29</v>
      </c>
      <c r="F2505" s="380" t="s">
        <v>28</v>
      </c>
      <c r="G2505" s="381" t="s">
        <v>27</v>
      </c>
      <c r="H2505" s="911" t="s">
        <v>793</v>
      </c>
      <c r="I2505" s="1302"/>
      <c r="J2505" s="1297"/>
      <c r="K2505" s="1298"/>
      <c r="L2505" s="921" t="s">
        <v>1246</v>
      </c>
      <c r="M2505" s="382"/>
    </row>
    <row r="2506" spans="3:13" ht="17">
      <c r="C2506" s="90"/>
      <c r="D2506" s="563">
        <v>45643</v>
      </c>
      <c r="E2506" s="565">
        <v>7.0000000000000001E-3</v>
      </c>
      <c r="F2506" s="565" t="s">
        <v>449</v>
      </c>
      <c r="G2506" s="565">
        <v>5.0000000000000001E-3</v>
      </c>
      <c r="H2506" s="929">
        <v>0.52083333333333337</v>
      </c>
      <c r="I2506" s="1302"/>
      <c r="J2506" s="1297"/>
      <c r="K2506" s="1298"/>
      <c r="L2506" s="922">
        <v>0.29166666666666669</v>
      </c>
      <c r="M2506" s="384"/>
    </row>
    <row r="2507" spans="3:13" ht="17">
      <c r="C2507" s="90"/>
      <c r="D2507" s="563">
        <v>45611</v>
      </c>
      <c r="E2507" s="565">
        <v>4.0000000000000001E-3</v>
      </c>
      <c r="F2507" s="565" t="s">
        <v>467</v>
      </c>
      <c r="G2507" s="565">
        <v>8.0000000000000002E-3</v>
      </c>
      <c r="H2507" s="929">
        <v>0.52083333333333337</v>
      </c>
      <c r="I2507" s="1302"/>
      <c r="J2507" s="1297"/>
      <c r="K2507" s="1298"/>
      <c r="L2507" s="922">
        <v>0.29166666666666669</v>
      </c>
      <c r="M2507" s="385"/>
    </row>
    <row r="2508" spans="3:13" ht="17">
      <c r="C2508" s="90"/>
      <c r="D2508" s="563">
        <v>45582</v>
      </c>
      <c r="E2508" s="565">
        <v>4.0000000000000001E-3</v>
      </c>
      <c r="F2508" s="565" t="s">
        <v>467</v>
      </c>
      <c r="G2508" s="565">
        <v>1E-3</v>
      </c>
      <c r="H2508" s="929">
        <v>0.47916666666666663</v>
      </c>
      <c r="I2508" s="1302"/>
      <c r="J2508" s="1297"/>
      <c r="K2508" s="1298"/>
      <c r="L2508" s="922">
        <v>0.25</v>
      </c>
      <c r="M2508" s="377"/>
    </row>
    <row r="2509" spans="3:13" ht="17">
      <c r="C2509" s="90"/>
      <c r="D2509" s="563">
        <v>45552</v>
      </c>
      <c r="E2509" s="565">
        <v>1E-3</v>
      </c>
      <c r="F2509" s="565" t="s">
        <v>461</v>
      </c>
      <c r="G2509" s="565">
        <v>1.0999999999999999E-2</v>
      </c>
      <c r="H2509" s="929">
        <v>0.47916666666666663</v>
      </c>
      <c r="I2509" s="1302"/>
      <c r="J2509" s="1297"/>
      <c r="K2509" s="1298"/>
      <c r="L2509" s="922">
        <v>0.25</v>
      </c>
      <c r="M2509" s="377"/>
    </row>
    <row r="2510" spans="3:13" ht="17">
      <c r="C2510" s="90"/>
      <c r="D2510" s="563">
        <v>45519</v>
      </c>
      <c r="E2510" s="565">
        <v>0.01</v>
      </c>
      <c r="F2510" s="565" t="s">
        <v>452</v>
      </c>
      <c r="G2510" s="565">
        <v>-2E-3</v>
      </c>
      <c r="H2510" s="929">
        <v>0.47916666666666663</v>
      </c>
      <c r="I2510" s="1302"/>
      <c r="J2510" s="1297"/>
      <c r="K2510" s="1298"/>
      <c r="L2510" s="922">
        <v>0.25</v>
      </c>
      <c r="M2510" s="377"/>
    </row>
    <row r="2511" spans="3:13" ht="18" thickBot="1">
      <c r="C2511" s="90"/>
      <c r="D2511" s="563">
        <v>45489</v>
      </c>
      <c r="E2511" s="565">
        <v>0</v>
      </c>
      <c r="F2511" s="565" t="s">
        <v>454</v>
      </c>
      <c r="G2511" s="565">
        <v>3.0000000000000001E-3</v>
      </c>
      <c r="H2511" s="929">
        <v>0.47916666666666663</v>
      </c>
      <c r="I2511" s="1303"/>
      <c r="J2511" s="1299"/>
      <c r="K2511" s="1300"/>
      <c r="L2511" s="922">
        <v>0.25</v>
      </c>
      <c r="M2511" s="386"/>
    </row>
    <row r="2512" spans="3:13" ht="25" customHeight="1" thickBot="1">
      <c r="C2512" s="90" t="e">
        <v>#REF!</v>
      </c>
      <c r="D2512" s="557" t="s">
        <v>30</v>
      </c>
      <c r="E2512" s="1358" t="s">
        <v>1506</v>
      </c>
      <c r="F2512" s="1359"/>
      <c r="G2512" s="1360"/>
      <c r="H2512" s="911" t="s">
        <v>790</v>
      </c>
      <c r="I2512" s="1345" t="s">
        <v>633</v>
      </c>
      <c r="J2512" s="1293"/>
      <c r="K2512" s="1294"/>
      <c r="L2512" s="911" t="s">
        <v>430</v>
      </c>
      <c r="M2512" s="558" t="s">
        <v>431</v>
      </c>
    </row>
    <row r="2513" spans="3:13" ht="24" customHeight="1">
      <c r="C2513" s="90"/>
      <c r="D2513" s="559" t="s">
        <v>432</v>
      </c>
      <c r="E2513" s="1563"/>
      <c r="F2513" s="1564"/>
      <c r="G2513" s="1565"/>
      <c r="H2513" s="919" t="s">
        <v>1557</v>
      </c>
      <c r="I2513" s="1301" t="s">
        <v>1507</v>
      </c>
      <c r="J2513" s="1295"/>
      <c r="K2513" s="1296"/>
      <c r="L2513" s="920"/>
      <c r="M2513" s="376" t="s">
        <v>1506</v>
      </c>
    </row>
    <row r="2514" spans="3:13" ht="17">
      <c r="C2514" s="90"/>
      <c r="D2514" s="560" t="s">
        <v>433</v>
      </c>
      <c r="E2514" s="1361">
        <v>0</v>
      </c>
      <c r="F2514" s="1362"/>
      <c r="G2514" s="1363"/>
      <c r="H2514" s="907" t="s">
        <v>1558</v>
      </c>
      <c r="I2514" s="1302"/>
      <c r="J2514" s="1297"/>
      <c r="K2514" s="1298"/>
      <c r="L2514" s="920"/>
      <c r="M2514" s="377"/>
    </row>
    <row r="2515" spans="3:13" ht="17">
      <c r="C2515" s="90"/>
      <c r="D2515" s="560" t="s">
        <v>434</v>
      </c>
      <c r="E2515" s="1361">
        <v>0</v>
      </c>
      <c r="F2515" s="1362"/>
      <c r="G2515" s="1363"/>
      <c r="H2515" s="907"/>
      <c r="I2515" s="1302"/>
      <c r="J2515" s="1297"/>
      <c r="K2515" s="1298"/>
      <c r="L2515" s="920"/>
      <c r="M2515" s="377"/>
    </row>
    <row r="2516" spans="3:13" ht="18" thickBot="1">
      <c r="C2516" s="90"/>
      <c r="D2516" s="561" t="s">
        <v>435</v>
      </c>
      <c r="E2516" s="1205">
        <v>0.79166666666666663</v>
      </c>
      <c r="F2516" s="1206"/>
      <c r="G2516" s="1207"/>
      <c r="H2516" s="909"/>
      <c r="I2516" s="1302"/>
      <c r="J2516" s="1297"/>
      <c r="K2516" s="1298"/>
      <c r="L2516" s="378">
        <v>2.0833333333333332E-2</v>
      </c>
      <c r="M2516" s="379">
        <v>0.875</v>
      </c>
    </row>
    <row r="2517" spans="3:13" ht="18" thickBot="1">
      <c r="C2517" s="90"/>
      <c r="D2517" s="562" t="s">
        <v>436</v>
      </c>
      <c r="E2517" s="380" t="s">
        <v>29</v>
      </c>
      <c r="F2517" s="380" t="s">
        <v>28</v>
      </c>
      <c r="G2517" s="381" t="s">
        <v>27</v>
      </c>
      <c r="H2517" s="911" t="s">
        <v>793</v>
      </c>
      <c r="I2517" s="1302"/>
      <c r="J2517" s="1297"/>
      <c r="K2517" s="1298"/>
      <c r="L2517" s="921" t="s">
        <v>1246</v>
      </c>
      <c r="M2517" s="382"/>
    </row>
    <row r="2518" spans="3:13" ht="17">
      <c r="C2518" s="90"/>
      <c r="D2518" s="563">
        <v>45583</v>
      </c>
      <c r="E2518" s="429">
        <v>0</v>
      </c>
      <c r="F2518" s="429" t="s">
        <v>754</v>
      </c>
      <c r="G2518" s="429">
        <v>0</v>
      </c>
      <c r="H2518" s="929">
        <v>0.52083333333333337</v>
      </c>
      <c r="I2518" s="1302"/>
      <c r="J2518" s="1297"/>
      <c r="K2518" s="1298"/>
      <c r="L2518" s="922">
        <v>0.29166666666666669</v>
      </c>
      <c r="M2518" s="384"/>
    </row>
    <row r="2519" spans="3:13" ht="17">
      <c r="C2519" s="90"/>
      <c r="D2519" s="563">
        <v>45488</v>
      </c>
      <c r="E2519" s="429">
        <v>0</v>
      </c>
      <c r="F2519" s="429" t="s">
        <v>754</v>
      </c>
      <c r="G2519" s="429">
        <v>0</v>
      </c>
      <c r="H2519" s="929">
        <v>0.52083333333333337</v>
      </c>
      <c r="I2519" s="1302"/>
      <c r="J2519" s="1297"/>
      <c r="K2519" s="1298"/>
      <c r="L2519" s="922">
        <v>0.29166666666666669</v>
      </c>
      <c r="M2519" s="385"/>
    </row>
    <row r="2520" spans="3:13" ht="17">
      <c r="C2520" s="90"/>
      <c r="D2520" s="563">
        <v>45398</v>
      </c>
      <c r="E2520" s="429">
        <v>0</v>
      </c>
      <c r="F2520" s="429" t="s">
        <v>754</v>
      </c>
      <c r="G2520" s="429">
        <v>0</v>
      </c>
      <c r="H2520" s="929">
        <v>0.47916666666666663</v>
      </c>
      <c r="I2520" s="1302"/>
      <c r="J2520" s="1297"/>
      <c r="K2520" s="1298"/>
      <c r="L2520" s="922">
        <v>0.25</v>
      </c>
      <c r="M2520" s="377"/>
    </row>
    <row r="2521" spans="3:13" ht="17">
      <c r="C2521" s="90"/>
      <c r="D2521" s="563">
        <v>45308</v>
      </c>
      <c r="E2521" s="429">
        <v>0</v>
      </c>
      <c r="F2521" s="429" t="s">
        <v>754</v>
      </c>
      <c r="G2521" s="429">
        <v>0</v>
      </c>
      <c r="H2521" s="929">
        <v>0.47916666666666663</v>
      </c>
      <c r="I2521" s="1302"/>
      <c r="J2521" s="1297"/>
      <c r="K2521" s="1298"/>
      <c r="L2521" s="922">
        <v>0.25</v>
      </c>
      <c r="M2521" s="377"/>
    </row>
    <row r="2522" spans="3:13" ht="17">
      <c r="C2522" s="90"/>
      <c r="D2522" s="563">
        <v>45217</v>
      </c>
      <c r="E2522" s="429">
        <v>0</v>
      </c>
      <c r="F2522" s="429" t="s">
        <v>754</v>
      </c>
      <c r="G2522" s="429">
        <v>0</v>
      </c>
      <c r="H2522" s="929">
        <v>0.47916666666666663</v>
      </c>
      <c r="I2522" s="1302"/>
      <c r="J2522" s="1297"/>
      <c r="K2522" s="1298"/>
      <c r="L2522" s="922">
        <v>0.25</v>
      </c>
      <c r="M2522" s="377"/>
    </row>
    <row r="2523" spans="3:13" ht="18" thickBot="1">
      <c r="C2523" s="90"/>
      <c r="D2523" s="563">
        <v>45124</v>
      </c>
      <c r="E2523" s="429">
        <v>0</v>
      </c>
      <c r="F2523" s="429" t="s">
        <v>754</v>
      </c>
      <c r="G2523" s="429">
        <v>0</v>
      </c>
      <c r="H2523" s="929">
        <v>0.47916666666666663</v>
      </c>
      <c r="I2523" s="1303"/>
      <c r="J2523" s="1299"/>
      <c r="K2523" s="1300"/>
      <c r="L2523" s="922">
        <v>0.25</v>
      </c>
      <c r="M2523" s="386"/>
    </row>
    <row r="2524" spans="3:13" ht="25" customHeight="1" thickBot="1">
      <c r="C2524" s="90">
        <v>1</v>
      </c>
      <c r="D2524" s="557" t="s">
        <v>30</v>
      </c>
      <c r="E2524" s="1358" t="s">
        <v>1508</v>
      </c>
      <c r="F2524" s="1359"/>
      <c r="G2524" s="1360"/>
      <c r="H2524" s="911" t="s">
        <v>790</v>
      </c>
      <c r="I2524" s="1345" t="s">
        <v>633</v>
      </c>
      <c r="J2524" s="1293"/>
      <c r="K2524" s="1294"/>
      <c r="L2524" s="911" t="s">
        <v>430</v>
      </c>
      <c r="M2524" s="558" t="s">
        <v>431</v>
      </c>
    </row>
    <row r="2525" spans="3:13" ht="24" customHeight="1">
      <c r="C2525" s="90"/>
      <c r="D2525" s="559" t="s">
        <v>432</v>
      </c>
      <c r="E2525" s="1563"/>
      <c r="F2525" s="1564"/>
      <c r="G2525" s="1565"/>
      <c r="H2525" s="919" t="s">
        <v>906</v>
      </c>
      <c r="I2525" s="1301" t="s">
        <v>1507</v>
      </c>
      <c r="J2525" s="1295"/>
      <c r="K2525" s="1296"/>
      <c r="L2525" s="920"/>
      <c r="M2525" s="376" t="s">
        <v>1508</v>
      </c>
    </row>
    <row r="2526" spans="3:13" ht="17">
      <c r="C2526" s="90"/>
      <c r="D2526" s="560" t="s">
        <v>433</v>
      </c>
      <c r="E2526" s="1341">
        <v>4.4999999999999998E-2</v>
      </c>
      <c r="F2526" s="1339"/>
      <c r="G2526" s="1340"/>
      <c r="H2526" s="907" t="s">
        <v>907</v>
      </c>
      <c r="I2526" s="1302"/>
      <c r="J2526" s="1297"/>
      <c r="K2526" s="1298"/>
      <c r="L2526" s="920"/>
      <c r="M2526" s="377"/>
    </row>
    <row r="2527" spans="3:13" ht="17">
      <c r="C2527" s="90"/>
      <c r="D2527" s="560" t="s">
        <v>434</v>
      </c>
      <c r="E2527" s="1341">
        <v>4.4999999999999998E-2</v>
      </c>
      <c r="F2527" s="1339"/>
      <c r="G2527" s="1340"/>
      <c r="H2527" s="907"/>
      <c r="I2527" s="1302"/>
      <c r="J2527" s="1297"/>
      <c r="K2527" s="1298"/>
      <c r="L2527" s="920"/>
      <c r="M2527" s="377"/>
    </row>
    <row r="2528" spans="3:13" ht="18" thickBot="1">
      <c r="C2528" s="90"/>
      <c r="D2528" s="561" t="s">
        <v>435</v>
      </c>
      <c r="E2528" s="1313">
        <v>0.79166666666666663</v>
      </c>
      <c r="F2528" s="1314"/>
      <c r="G2528" s="1315"/>
      <c r="H2528" s="909"/>
      <c r="I2528" s="1302"/>
      <c r="J2528" s="1297"/>
      <c r="K2528" s="1298"/>
      <c r="L2528" s="378">
        <v>2.0833333333333332E-2</v>
      </c>
      <c r="M2528" s="379">
        <v>0.875</v>
      </c>
    </row>
    <row r="2529" spans="3:13" ht="18" thickBot="1">
      <c r="C2529" s="90"/>
      <c r="D2529" s="562" t="s">
        <v>436</v>
      </c>
      <c r="E2529" s="380" t="s">
        <v>29</v>
      </c>
      <c r="F2529" s="380" t="s">
        <v>28</v>
      </c>
      <c r="G2529" s="381" t="s">
        <v>27</v>
      </c>
      <c r="H2529" s="911" t="s">
        <v>793</v>
      </c>
      <c r="I2529" s="1302"/>
      <c r="J2529" s="1297"/>
      <c r="K2529" s="1298"/>
      <c r="L2529" s="921" t="s">
        <v>1246</v>
      </c>
      <c r="M2529" s="382"/>
    </row>
    <row r="2530" spans="3:13" ht="17">
      <c r="C2530" s="90"/>
      <c r="D2530" s="563">
        <v>45644</v>
      </c>
      <c r="E2530" s="389">
        <v>4.4999999999999998E-2</v>
      </c>
      <c r="F2530" s="389" t="s">
        <v>725</v>
      </c>
      <c r="G2530" s="389">
        <v>4.7500000000000001E-2</v>
      </c>
      <c r="H2530" s="929">
        <v>-0.20833333333333331</v>
      </c>
      <c r="I2530" s="1302"/>
      <c r="J2530" s="1297"/>
      <c r="K2530" s="1298"/>
      <c r="L2530" s="922">
        <v>2.0833333333333332E-2</v>
      </c>
      <c r="M2530" s="384"/>
    </row>
    <row r="2531" spans="3:13" ht="17">
      <c r="C2531" s="90"/>
      <c r="D2531" s="563">
        <v>45603</v>
      </c>
      <c r="E2531" s="389">
        <v>4.7500000000000001E-2</v>
      </c>
      <c r="F2531" s="389" t="s">
        <v>726</v>
      </c>
      <c r="G2531" s="389">
        <v>0.05</v>
      </c>
      <c r="H2531" s="929">
        <v>-0.20833333333333331</v>
      </c>
      <c r="I2531" s="1302"/>
      <c r="J2531" s="1297"/>
      <c r="K2531" s="1298"/>
      <c r="L2531" s="922">
        <v>2.0833333333333332E-2</v>
      </c>
      <c r="M2531" s="385"/>
    </row>
    <row r="2532" spans="3:13" ht="17">
      <c r="C2532" s="90"/>
      <c r="D2532" s="563">
        <v>45553</v>
      </c>
      <c r="E2532" s="389">
        <v>0.05</v>
      </c>
      <c r="F2532" s="389" t="s">
        <v>940</v>
      </c>
      <c r="G2532" s="389">
        <v>5.5E-2</v>
      </c>
      <c r="H2532" s="929">
        <v>0.58333333333333337</v>
      </c>
      <c r="I2532" s="1302"/>
      <c r="J2532" s="1297"/>
      <c r="K2532" s="1298"/>
      <c r="L2532" s="922">
        <v>0.8125</v>
      </c>
      <c r="M2532" s="377"/>
    </row>
    <row r="2533" spans="3:13" ht="17">
      <c r="C2533" s="90"/>
      <c r="D2533" s="563">
        <v>45504</v>
      </c>
      <c r="E2533" s="389">
        <v>5.5E-2</v>
      </c>
      <c r="F2533" s="389" t="s">
        <v>942</v>
      </c>
      <c r="G2533" s="389">
        <v>5.5E-2</v>
      </c>
      <c r="H2533" s="929">
        <v>0.58333333333333337</v>
      </c>
      <c r="I2533" s="1302"/>
      <c r="J2533" s="1297"/>
      <c r="K2533" s="1298"/>
      <c r="L2533" s="922">
        <v>0.8125</v>
      </c>
      <c r="M2533" s="377"/>
    </row>
    <row r="2534" spans="3:13" ht="17">
      <c r="C2534" s="90"/>
      <c r="D2534" s="563">
        <v>45455</v>
      </c>
      <c r="E2534" s="389">
        <v>5.5E-2</v>
      </c>
      <c r="F2534" s="389" t="s">
        <v>942</v>
      </c>
      <c r="G2534" s="389">
        <v>5.5E-2</v>
      </c>
      <c r="H2534" s="929">
        <v>0.58333333333333337</v>
      </c>
      <c r="I2534" s="1302"/>
      <c r="J2534" s="1297"/>
      <c r="K2534" s="1298"/>
      <c r="L2534" s="922">
        <v>0.8125</v>
      </c>
      <c r="M2534" s="377"/>
    </row>
    <row r="2535" spans="3:13" ht="18" thickBot="1">
      <c r="C2535" s="90"/>
      <c r="D2535" s="563">
        <v>45413</v>
      </c>
      <c r="E2535" s="389">
        <v>5.5E-2</v>
      </c>
      <c r="F2535" s="389" t="s">
        <v>942</v>
      </c>
      <c r="G2535" s="389">
        <v>5.5E-2</v>
      </c>
      <c r="H2535" s="929">
        <v>0.58333333333333337</v>
      </c>
      <c r="I2535" s="1303"/>
      <c r="J2535" s="1299"/>
      <c r="K2535" s="1300"/>
      <c r="L2535" s="922">
        <v>0.8125</v>
      </c>
      <c r="M2535" s="386"/>
    </row>
    <row r="2536" spans="3:13" ht="25" customHeight="1" thickBot="1">
      <c r="C2536" s="90">
        <v>1</v>
      </c>
      <c r="D2536" s="557" t="s">
        <v>30</v>
      </c>
      <c r="E2536" s="1358" t="s">
        <v>1509</v>
      </c>
      <c r="F2536" s="1359"/>
      <c r="G2536" s="1360"/>
      <c r="H2536" s="911" t="s">
        <v>790</v>
      </c>
      <c r="I2536" s="1345" t="s">
        <v>633</v>
      </c>
      <c r="J2536" s="1293"/>
      <c r="K2536" s="1294"/>
      <c r="L2536" s="911" t="s">
        <v>430</v>
      </c>
      <c r="M2536" s="558" t="s">
        <v>431</v>
      </c>
    </row>
    <row r="2537" spans="3:13" ht="24" customHeight="1">
      <c r="C2537" s="90"/>
      <c r="D2537" s="559" t="s">
        <v>432</v>
      </c>
      <c r="E2537" s="1563"/>
      <c r="F2537" s="1564"/>
      <c r="G2537" s="1565"/>
      <c r="H2537" s="919" t="s">
        <v>906</v>
      </c>
      <c r="I2537" s="1301" t="s">
        <v>1507</v>
      </c>
      <c r="J2537" s="1295"/>
      <c r="K2537" s="1296"/>
      <c r="L2537" s="920"/>
      <c r="M2537" s="376" t="s">
        <v>1509</v>
      </c>
    </row>
    <row r="2538" spans="3:13" ht="17">
      <c r="C2538" s="90"/>
      <c r="D2538" s="560" t="s">
        <v>433</v>
      </c>
      <c r="E2538" s="1341">
        <v>0</v>
      </c>
      <c r="F2538" s="1339"/>
      <c r="G2538" s="1340"/>
      <c r="H2538" s="907" t="s">
        <v>907</v>
      </c>
      <c r="I2538" s="1302"/>
      <c r="J2538" s="1297"/>
      <c r="K2538" s="1298"/>
      <c r="L2538" s="920"/>
      <c r="M2538" s="377"/>
    </row>
    <row r="2539" spans="3:13" ht="17">
      <c r="C2539" s="90"/>
      <c r="D2539" s="560" t="s">
        <v>434</v>
      </c>
      <c r="E2539" s="1341">
        <v>0</v>
      </c>
      <c r="F2539" s="1339"/>
      <c r="G2539" s="1340"/>
      <c r="H2539" s="907"/>
      <c r="I2539" s="1302"/>
      <c r="J2539" s="1297"/>
      <c r="K2539" s="1298"/>
      <c r="L2539" s="920"/>
      <c r="M2539" s="377"/>
    </row>
    <row r="2540" spans="3:13" ht="18" thickBot="1">
      <c r="C2540" s="90"/>
      <c r="D2540" s="561" t="s">
        <v>435</v>
      </c>
      <c r="E2540" s="1313">
        <v>0.8125</v>
      </c>
      <c r="F2540" s="1314"/>
      <c r="G2540" s="1315"/>
      <c r="H2540" s="909"/>
      <c r="I2540" s="1302"/>
      <c r="J2540" s="1297"/>
      <c r="K2540" s="1298"/>
      <c r="L2540" s="378">
        <v>4.1666666666666664E-2</v>
      </c>
      <c r="M2540" s="379">
        <v>0.89583333333333337</v>
      </c>
    </row>
    <row r="2541" spans="3:13" ht="18" thickBot="1">
      <c r="C2541" s="90"/>
      <c r="D2541" s="562" t="s">
        <v>436</v>
      </c>
      <c r="E2541" s="380" t="s">
        <v>29</v>
      </c>
      <c r="F2541" s="380" t="s">
        <v>28</v>
      </c>
      <c r="G2541" s="381" t="s">
        <v>27</v>
      </c>
      <c r="H2541" s="911" t="s">
        <v>793</v>
      </c>
      <c r="I2541" s="1302"/>
      <c r="J2541" s="1297"/>
      <c r="K2541" s="1298"/>
      <c r="L2541" s="921" t="s">
        <v>1246</v>
      </c>
      <c r="M2541" s="382"/>
    </row>
    <row r="2542" spans="3:13" ht="17">
      <c r="C2542" s="90"/>
      <c r="D2542" s="563">
        <v>45644</v>
      </c>
      <c r="E2542" s="387" t="s">
        <v>1090</v>
      </c>
      <c r="F2542" s="387" t="s">
        <v>754</v>
      </c>
      <c r="G2542" s="387" t="s">
        <v>1090</v>
      </c>
      <c r="H2542" s="929">
        <v>-0.1875</v>
      </c>
      <c r="I2542" s="1302"/>
      <c r="J2542" s="1297"/>
      <c r="K2542" s="1298"/>
      <c r="L2542" s="922">
        <v>4.1666666666666664E-2</v>
      </c>
      <c r="M2542" s="384"/>
    </row>
    <row r="2543" spans="3:13" ht="17">
      <c r="C2543" s="90"/>
      <c r="D2543" s="563">
        <v>45603</v>
      </c>
      <c r="E2543" s="387" t="s">
        <v>1090</v>
      </c>
      <c r="F2543" s="387" t="s">
        <v>754</v>
      </c>
      <c r="G2543" s="387" t="s">
        <v>1090</v>
      </c>
      <c r="H2543" s="929">
        <v>-0.1875</v>
      </c>
      <c r="I2543" s="1302"/>
      <c r="J2543" s="1297"/>
      <c r="K2543" s="1298"/>
      <c r="L2543" s="922">
        <v>4.1666666666666664E-2</v>
      </c>
      <c r="M2543" s="385"/>
    </row>
    <row r="2544" spans="3:13" ht="17">
      <c r="C2544" s="90"/>
      <c r="D2544" s="563">
        <v>45553</v>
      </c>
      <c r="E2544" s="387" t="s">
        <v>1090</v>
      </c>
      <c r="F2544" s="387" t="s">
        <v>754</v>
      </c>
      <c r="G2544" s="387" t="s">
        <v>1090</v>
      </c>
      <c r="H2544" s="929">
        <v>0.58333333333333337</v>
      </c>
      <c r="I2544" s="1302"/>
      <c r="J2544" s="1297"/>
      <c r="K2544" s="1298"/>
      <c r="L2544" s="922">
        <v>0.8125</v>
      </c>
      <c r="M2544" s="377"/>
    </row>
    <row r="2545" spans="3:13" ht="17">
      <c r="C2545" s="90"/>
      <c r="D2545" s="563">
        <v>45504</v>
      </c>
      <c r="E2545" s="387" t="s">
        <v>1090</v>
      </c>
      <c r="F2545" s="387" t="s">
        <v>754</v>
      </c>
      <c r="G2545" s="387" t="s">
        <v>1090</v>
      </c>
      <c r="H2545" s="929">
        <v>0.58333333333333337</v>
      </c>
      <c r="I2545" s="1302"/>
      <c r="J2545" s="1297"/>
      <c r="K2545" s="1298"/>
      <c r="L2545" s="922">
        <v>0.8125</v>
      </c>
      <c r="M2545" s="377"/>
    </row>
    <row r="2546" spans="3:13" ht="17">
      <c r="C2546" s="90"/>
      <c r="D2546" s="563">
        <v>45455</v>
      </c>
      <c r="E2546" s="387" t="s">
        <v>1090</v>
      </c>
      <c r="F2546" s="387" t="s">
        <v>754</v>
      </c>
      <c r="G2546" s="387" t="s">
        <v>1090</v>
      </c>
      <c r="H2546" s="929">
        <v>0.58333333333333337</v>
      </c>
      <c r="I2546" s="1302"/>
      <c r="J2546" s="1297"/>
      <c r="K2546" s="1298"/>
      <c r="L2546" s="922">
        <v>0.8125</v>
      </c>
      <c r="M2546" s="377"/>
    </row>
    <row r="2547" spans="3:13" ht="18" thickBot="1">
      <c r="C2547" s="90"/>
      <c r="D2547" s="563">
        <v>45413</v>
      </c>
      <c r="E2547" s="387" t="s">
        <v>1090</v>
      </c>
      <c r="F2547" s="387" t="s">
        <v>754</v>
      </c>
      <c r="G2547" s="387" t="s">
        <v>1090</v>
      </c>
      <c r="H2547" s="929">
        <v>0.58333333333333337</v>
      </c>
      <c r="I2547" s="1303"/>
      <c r="J2547" s="1299"/>
      <c r="K2547" s="1300"/>
      <c r="L2547" s="922">
        <v>0.8125</v>
      </c>
      <c r="M2547" s="386"/>
    </row>
    <row r="2548" spans="3:13" ht="25" customHeight="1" thickBot="1">
      <c r="C2548" s="90">
        <v>1</v>
      </c>
      <c r="D2548" s="557" t="s">
        <v>30</v>
      </c>
      <c r="E2548" s="1358" t="s">
        <v>1510</v>
      </c>
      <c r="F2548" s="1359"/>
      <c r="G2548" s="1360"/>
      <c r="H2548" s="911" t="s">
        <v>790</v>
      </c>
      <c r="I2548" s="1345" t="s">
        <v>633</v>
      </c>
      <c r="J2548" s="1293"/>
      <c r="K2548" s="1294"/>
      <c r="L2548" s="911" t="s">
        <v>430</v>
      </c>
      <c r="M2548" s="558" t="s">
        <v>431</v>
      </c>
    </row>
    <row r="2549" spans="3:13" ht="24" customHeight="1">
      <c r="C2549" s="90"/>
      <c r="D2549" s="559" t="s">
        <v>432</v>
      </c>
      <c r="E2549" s="1563"/>
      <c r="F2549" s="1564"/>
      <c r="G2549" s="1565"/>
      <c r="H2549" s="919" t="s">
        <v>906</v>
      </c>
      <c r="I2549" s="1301" t="s">
        <v>1499</v>
      </c>
      <c r="J2549" s="1295"/>
      <c r="K2549" s="1296"/>
      <c r="L2549" s="920"/>
      <c r="M2549" s="376" t="s">
        <v>1510</v>
      </c>
    </row>
    <row r="2550" spans="3:13" ht="17">
      <c r="C2550" s="90"/>
      <c r="D2550" s="560" t="s">
        <v>433</v>
      </c>
      <c r="E2550" s="1341">
        <v>6.76</v>
      </c>
      <c r="F2550" s="1339"/>
      <c r="G2550" s="1340"/>
      <c r="H2550" s="907" t="s">
        <v>907</v>
      </c>
      <c r="I2550" s="1302"/>
      <c r="J2550" s="1297"/>
      <c r="K2550" s="1298"/>
      <c r="L2550" s="920"/>
      <c r="M2550" s="377"/>
    </row>
    <row r="2551" spans="3:13" ht="17">
      <c r="C2551" s="90"/>
      <c r="D2551" s="560" t="s">
        <v>434</v>
      </c>
      <c r="E2551" s="1341">
        <v>5.33</v>
      </c>
      <c r="F2551" s="1339"/>
      <c r="G2551" s="1340"/>
      <c r="H2551" s="907"/>
      <c r="I2551" s="1302"/>
      <c r="J2551" s="1297"/>
      <c r="K2551" s="1298"/>
      <c r="L2551" s="920"/>
      <c r="M2551" s="377"/>
    </row>
    <row r="2552" spans="3:13" ht="18" thickBot="1">
      <c r="C2552" s="90"/>
      <c r="D2552" s="561" t="s">
        <v>435</v>
      </c>
      <c r="E2552" s="1313">
        <v>0.875</v>
      </c>
      <c r="F2552" s="1314"/>
      <c r="G2552" s="1315"/>
      <c r="H2552" s="909"/>
      <c r="I2552" s="1302"/>
      <c r="J2552" s="1297"/>
      <c r="K2552" s="1298"/>
      <c r="L2552" s="378">
        <v>0.10416666666666667</v>
      </c>
      <c r="M2552" s="379">
        <v>0.95833333333333337</v>
      </c>
    </row>
    <row r="2553" spans="3:13" ht="18" thickBot="1">
      <c r="C2553" s="90"/>
      <c r="D2553" s="562" t="s">
        <v>436</v>
      </c>
      <c r="E2553" s="380" t="s">
        <v>29</v>
      </c>
      <c r="F2553" s="380" t="s">
        <v>28</v>
      </c>
      <c r="G2553" s="381" t="s">
        <v>27</v>
      </c>
      <c r="H2553" s="911" t="s">
        <v>793</v>
      </c>
      <c r="I2553" s="1302"/>
      <c r="J2553" s="1297"/>
      <c r="K2553" s="1298"/>
      <c r="L2553" s="921" t="s">
        <v>1246</v>
      </c>
      <c r="M2553" s="382"/>
    </row>
    <row r="2554" spans="3:13">
      <c r="C2554" s="90"/>
      <c r="D2554" s="563">
        <v>45595</v>
      </c>
      <c r="E2554" s="387">
        <v>6.03</v>
      </c>
      <c r="F2554" s="387">
        <v>5.19</v>
      </c>
      <c r="G2554" s="387">
        <v>4.3899999999999997</v>
      </c>
      <c r="H2554" s="929">
        <v>-0.12499999999999999</v>
      </c>
      <c r="I2554" s="1302"/>
      <c r="J2554" s="1297"/>
      <c r="K2554" s="1298"/>
      <c r="L2554" s="922">
        <v>0.10416666666666667</v>
      </c>
      <c r="M2554" s="384"/>
    </row>
    <row r="2555" spans="3:13">
      <c r="C2555" s="90"/>
      <c r="D2555" s="563">
        <v>45504</v>
      </c>
      <c r="E2555" s="387">
        <v>5.16</v>
      </c>
      <c r="F2555" s="387">
        <v>4.7</v>
      </c>
      <c r="G2555" s="387">
        <v>4.71</v>
      </c>
      <c r="H2555" s="929">
        <v>-0.12499999999999999</v>
      </c>
      <c r="I2555" s="1302"/>
      <c r="J2555" s="1297"/>
      <c r="K2555" s="1298"/>
      <c r="L2555" s="922">
        <v>0.10416666666666667</v>
      </c>
      <c r="M2555" s="385"/>
    </row>
    <row r="2556" spans="3:13">
      <c r="C2556" s="90"/>
      <c r="D2556" s="563">
        <v>45406</v>
      </c>
      <c r="E2556" s="387">
        <v>4.71</v>
      </c>
      <c r="F2556" s="387">
        <v>4.32</v>
      </c>
      <c r="G2556" s="387">
        <v>5.33</v>
      </c>
      <c r="H2556" s="929">
        <v>0.58333333333333337</v>
      </c>
      <c r="I2556" s="1302"/>
      <c r="J2556" s="1297"/>
      <c r="K2556" s="1298"/>
      <c r="L2556" s="922">
        <v>0.8125</v>
      </c>
      <c r="M2556" s="377"/>
    </row>
    <row r="2557" spans="3:13">
      <c r="C2557" s="90"/>
      <c r="D2557" s="563">
        <v>45323</v>
      </c>
      <c r="E2557" s="387">
        <v>5.33</v>
      </c>
      <c r="F2557" s="387">
        <v>4.83</v>
      </c>
      <c r="G2557" s="387">
        <v>3.23</v>
      </c>
      <c r="H2557" s="929">
        <v>0.58333333333333337</v>
      </c>
      <c r="I2557" s="1302"/>
      <c r="J2557" s="1297"/>
      <c r="K2557" s="1298"/>
      <c r="L2557" s="922">
        <v>0.8125</v>
      </c>
      <c r="M2557" s="377"/>
    </row>
    <row r="2558" spans="3:13">
      <c r="C2558" s="90"/>
      <c r="D2558" s="563">
        <v>45590</v>
      </c>
      <c r="E2558" s="387">
        <v>4.3899999999999997</v>
      </c>
      <c r="F2558" s="387">
        <v>3.62</v>
      </c>
      <c r="G2558" s="387">
        <v>2.72</v>
      </c>
      <c r="H2558" s="929">
        <v>0.58333333333333337</v>
      </c>
      <c r="I2558" s="1302"/>
      <c r="J2558" s="1297"/>
      <c r="K2558" s="1298"/>
      <c r="L2558" s="922">
        <v>0.8125</v>
      </c>
      <c r="M2558" s="377"/>
    </row>
    <row r="2559" spans="3:13" ht="17" thickBot="1">
      <c r="C2559" s="90"/>
      <c r="D2559" s="563">
        <v>45499</v>
      </c>
      <c r="E2559" s="387">
        <v>5.33</v>
      </c>
      <c r="F2559" s="387">
        <v>4.8899999999999997</v>
      </c>
      <c r="G2559" s="387">
        <v>4.3899999999999997</v>
      </c>
      <c r="H2559" s="929">
        <v>0.58333333333333337</v>
      </c>
      <c r="I2559" s="1303"/>
      <c r="J2559" s="1299"/>
      <c r="K2559" s="1300"/>
      <c r="L2559" s="922">
        <v>0.8125</v>
      </c>
      <c r="M2559" s="386"/>
    </row>
    <row r="2560" spans="3:13" ht="25" customHeight="1" thickBot="1">
      <c r="C2560" s="90" t="e">
        <v>#REF!</v>
      </c>
      <c r="D2560" s="557" t="s">
        <v>30</v>
      </c>
      <c r="E2560" s="1358" t="s">
        <v>1511</v>
      </c>
      <c r="F2560" s="1359"/>
      <c r="G2560" s="1360"/>
      <c r="H2560" s="911" t="s">
        <v>790</v>
      </c>
      <c r="I2560" s="1345" t="s">
        <v>633</v>
      </c>
      <c r="J2560" s="1293"/>
      <c r="K2560" s="1294"/>
      <c r="L2560" s="911" t="s">
        <v>430</v>
      </c>
      <c r="M2560" s="558" t="s">
        <v>431</v>
      </c>
    </row>
    <row r="2561" spans="3:13" ht="24" customHeight="1">
      <c r="C2561" s="90"/>
      <c r="D2561" s="559" t="s">
        <v>432</v>
      </c>
      <c r="E2561" s="1563"/>
      <c r="F2561" s="1564"/>
      <c r="G2561" s="1565"/>
      <c r="H2561" s="919" t="s">
        <v>1557</v>
      </c>
      <c r="I2561" s="1301" t="s">
        <v>1514</v>
      </c>
      <c r="J2561" s="1295"/>
      <c r="K2561" s="1296"/>
      <c r="L2561" s="920"/>
      <c r="M2561" s="376" t="s">
        <v>1511</v>
      </c>
    </row>
    <row r="2562" spans="3:13" ht="17">
      <c r="C2562" s="90"/>
      <c r="D2562" s="560" t="s">
        <v>433</v>
      </c>
      <c r="E2562" s="1370">
        <v>0</v>
      </c>
      <c r="F2562" s="1368"/>
      <c r="G2562" s="1369"/>
      <c r="H2562" s="907" t="s">
        <v>1558</v>
      </c>
      <c r="I2562" s="1302"/>
      <c r="J2562" s="1297"/>
      <c r="K2562" s="1298"/>
      <c r="L2562" s="920"/>
      <c r="M2562" s="377"/>
    </row>
    <row r="2563" spans="3:13" ht="17">
      <c r="C2563" s="90"/>
      <c r="D2563" s="560" t="s">
        <v>434</v>
      </c>
      <c r="E2563" s="1370">
        <v>0.03</v>
      </c>
      <c r="F2563" s="1368"/>
      <c r="G2563" s="1369"/>
      <c r="H2563" s="907"/>
      <c r="I2563" s="1302"/>
      <c r="J2563" s="1297"/>
      <c r="K2563" s="1298"/>
      <c r="L2563" s="920"/>
      <c r="M2563" s="377"/>
    </row>
    <row r="2564" spans="3:13" ht="18" thickBot="1">
      <c r="C2564" s="90"/>
      <c r="D2564" s="561" t="s">
        <v>435</v>
      </c>
      <c r="E2564" s="1313">
        <v>0.55208333333333337</v>
      </c>
      <c r="F2564" s="1314"/>
      <c r="G2564" s="1315"/>
      <c r="H2564" s="909"/>
      <c r="I2564" s="1302"/>
      <c r="J2564" s="1297"/>
      <c r="K2564" s="1298"/>
      <c r="L2564" s="378">
        <v>0.78125</v>
      </c>
      <c r="M2564" s="379">
        <v>0.63541666666666663</v>
      </c>
    </row>
    <row r="2565" spans="3:13" ht="18" thickBot="1">
      <c r="C2565" s="90"/>
      <c r="D2565" s="562" t="s">
        <v>436</v>
      </c>
      <c r="E2565" s="380" t="s">
        <v>29</v>
      </c>
      <c r="F2565" s="380" t="s">
        <v>28</v>
      </c>
      <c r="G2565" s="381" t="s">
        <v>27</v>
      </c>
      <c r="H2565" s="911" t="s">
        <v>793</v>
      </c>
      <c r="I2565" s="1302"/>
      <c r="J2565" s="1297"/>
      <c r="K2565" s="1298"/>
      <c r="L2565" s="921" t="s">
        <v>1246</v>
      </c>
      <c r="M2565" s="382"/>
    </row>
    <row r="2566" spans="3:13" ht="17">
      <c r="C2566" s="90"/>
      <c r="D2566" s="563">
        <v>45631</v>
      </c>
      <c r="E2566" s="564" t="s">
        <v>381</v>
      </c>
      <c r="F2566" s="564" t="s">
        <v>1014</v>
      </c>
      <c r="G2566" s="564" t="s">
        <v>1014</v>
      </c>
      <c r="H2566" s="929">
        <v>0.52083333333333337</v>
      </c>
      <c r="I2566" s="1302"/>
      <c r="J2566" s="1297"/>
      <c r="K2566" s="1298"/>
      <c r="L2566" s="922">
        <v>0.29166666666666669</v>
      </c>
      <c r="M2566" s="384"/>
    </row>
    <row r="2567" spans="3:13" ht="17">
      <c r="C2567" s="90"/>
      <c r="D2567" s="563">
        <v>45623</v>
      </c>
      <c r="E2567" s="564" t="s">
        <v>1071</v>
      </c>
      <c r="F2567" s="564" t="s">
        <v>1014</v>
      </c>
      <c r="G2567" s="564" t="s">
        <v>1014</v>
      </c>
      <c r="H2567" s="929">
        <v>0.52083333333333337</v>
      </c>
      <c r="I2567" s="1302"/>
      <c r="J2567" s="1297"/>
      <c r="K2567" s="1298"/>
      <c r="L2567" s="922">
        <v>0.29166666666666669</v>
      </c>
      <c r="M2567" s="385"/>
    </row>
    <row r="2568" spans="3:13" ht="17">
      <c r="C2568" s="90"/>
      <c r="D2568" s="563">
        <v>45617</v>
      </c>
      <c r="E2568" s="564" t="s">
        <v>1071</v>
      </c>
      <c r="F2568" s="564" t="s">
        <v>931</v>
      </c>
      <c r="G2568" s="564" t="s">
        <v>345</v>
      </c>
      <c r="H2568" s="929">
        <v>0.47916666666666663</v>
      </c>
      <c r="I2568" s="1302"/>
      <c r="J2568" s="1297"/>
      <c r="K2568" s="1298"/>
      <c r="L2568" s="922">
        <v>0.25</v>
      </c>
      <c r="M2568" s="377"/>
    </row>
    <row r="2569" spans="3:13" ht="17">
      <c r="C2569" s="90"/>
      <c r="D2569" s="563">
        <v>45610</v>
      </c>
      <c r="E2569" s="564" t="s">
        <v>1015</v>
      </c>
      <c r="F2569" s="564" t="s">
        <v>381</v>
      </c>
      <c r="G2569" s="564" t="s">
        <v>413</v>
      </c>
      <c r="H2569" s="929">
        <v>0.47916666666666663</v>
      </c>
      <c r="I2569" s="1302"/>
      <c r="J2569" s="1297"/>
      <c r="K2569" s="1298"/>
      <c r="L2569" s="922">
        <v>0.25</v>
      </c>
      <c r="M2569" s="377"/>
    </row>
    <row r="2570" spans="3:13" ht="17">
      <c r="C2570" s="90"/>
      <c r="D2570" s="563">
        <v>45603</v>
      </c>
      <c r="E2570" s="564" t="s">
        <v>413</v>
      </c>
      <c r="F2570" s="564" t="s">
        <v>1347</v>
      </c>
      <c r="G2570" s="564" t="s">
        <v>382</v>
      </c>
      <c r="H2570" s="929">
        <v>0.47916666666666663</v>
      </c>
      <c r="I2570" s="1302"/>
      <c r="J2570" s="1297"/>
      <c r="K2570" s="1298"/>
      <c r="L2570" s="922">
        <v>0.25</v>
      </c>
      <c r="M2570" s="377"/>
    </row>
    <row r="2571" spans="3:13" ht="18" thickBot="1">
      <c r="C2571" s="90"/>
      <c r="D2571" s="563">
        <v>45596</v>
      </c>
      <c r="E2571" s="564" t="s">
        <v>932</v>
      </c>
      <c r="F2571" s="564" t="s">
        <v>321</v>
      </c>
      <c r="G2571" s="564" t="s">
        <v>579</v>
      </c>
      <c r="H2571" s="929">
        <v>0.47916666666666663</v>
      </c>
      <c r="I2571" s="1303"/>
      <c r="J2571" s="1299"/>
      <c r="K2571" s="1300"/>
      <c r="L2571" s="922">
        <v>0.25</v>
      </c>
      <c r="M2571" s="386"/>
    </row>
    <row r="2572" spans="3:13" ht="25" customHeight="1" thickBot="1">
      <c r="C2572" s="90">
        <v>1</v>
      </c>
      <c r="D2572" s="557" t="s">
        <v>30</v>
      </c>
      <c r="E2572" s="1358" t="s">
        <v>1511</v>
      </c>
      <c r="F2572" s="1359"/>
      <c r="G2572" s="1360"/>
      <c r="H2572" s="911" t="s">
        <v>790</v>
      </c>
      <c r="I2572" s="1345" t="s">
        <v>633</v>
      </c>
      <c r="J2572" s="1293"/>
      <c r="K2572" s="1294"/>
      <c r="L2572" s="911" t="s">
        <v>430</v>
      </c>
      <c r="M2572" s="558" t="s">
        <v>431</v>
      </c>
    </row>
    <row r="2573" spans="3:13" ht="24" customHeight="1">
      <c r="C2573" s="90"/>
      <c r="D2573" s="559" t="s">
        <v>432</v>
      </c>
      <c r="E2573" s="1563"/>
      <c r="F2573" s="1564"/>
      <c r="G2573" s="1565"/>
      <c r="H2573" s="919" t="s">
        <v>906</v>
      </c>
      <c r="I2573" s="1301" t="s">
        <v>1514</v>
      </c>
      <c r="J2573" s="1295"/>
      <c r="K2573" s="1296"/>
      <c r="L2573" s="920"/>
      <c r="M2573" s="376" t="s">
        <v>1511</v>
      </c>
    </row>
    <row r="2574" spans="3:13" ht="17">
      <c r="C2574" s="90"/>
      <c r="D2574" s="560" t="s">
        <v>433</v>
      </c>
      <c r="E2574" s="1341">
        <v>0</v>
      </c>
      <c r="F2574" s="1339"/>
      <c r="G2574" s="1340"/>
      <c r="H2574" s="907" t="s">
        <v>907</v>
      </c>
      <c r="I2574" s="1302"/>
      <c r="J2574" s="1297"/>
      <c r="K2574" s="1298"/>
      <c r="L2574" s="920"/>
      <c r="M2574" s="377"/>
    </row>
    <row r="2575" spans="3:13" ht="17">
      <c r="C2575" s="90"/>
      <c r="D2575" s="560" t="s">
        <v>434</v>
      </c>
      <c r="E2575" s="1341">
        <v>0.03</v>
      </c>
      <c r="F2575" s="1339"/>
      <c r="G2575" s="1340"/>
      <c r="H2575" s="907"/>
      <c r="I2575" s="1302"/>
      <c r="J2575" s="1297"/>
      <c r="K2575" s="1298"/>
      <c r="L2575" s="920"/>
      <c r="M2575" s="377"/>
    </row>
    <row r="2576" spans="3:13" ht="18" thickBot="1">
      <c r="C2576" s="90"/>
      <c r="D2576" s="561" t="s">
        <v>435</v>
      </c>
      <c r="E2576" s="1313">
        <v>0.55208333333333337</v>
      </c>
      <c r="F2576" s="1314"/>
      <c r="G2576" s="1315"/>
      <c r="H2576" s="909"/>
      <c r="I2576" s="1302"/>
      <c r="J2576" s="1297"/>
      <c r="K2576" s="1298"/>
      <c r="L2576" s="378">
        <v>0.78125</v>
      </c>
      <c r="M2576" s="379">
        <v>0.63541666666666663</v>
      </c>
    </row>
    <row r="2577" spans="3:13" ht="18" thickBot="1">
      <c r="C2577" s="90"/>
      <c r="D2577" s="562" t="s">
        <v>436</v>
      </c>
      <c r="E2577" s="380" t="s">
        <v>29</v>
      </c>
      <c r="F2577" s="380" t="s">
        <v>28</v>
      </c>
      <c r="G2577" s="381" t="s">
        <v>27</v>
      </c>
      <c r="H2577" s="911" t="s">
        <v>793</v>
      </c>
      <c r="I2577" s="1302"/>
      <c r="J2577" s="1297"/>
      <c r="K2577" s="1298"/>
      <c r="L2577" s="921" t="s">
        <v>1246</v>
      </c>
      <c r="M2577" s="382"/>
    </row>
    <row r="2578" spans="3:13" ht="17">
      <c r="C2578" s="90"/>
      <c r="D2578" s="563">
        <v>45631</v>
      </c>
      <c r="E2578" s="387" t="s">
        <v>381</v>
      </c>
      <c r="F2578" s="387" t="s">
        <v>1014</v>
      </c>
      <c r="G2578" s="387" t="s">
        <v>1014</v>
      </c>
      <c r="H2578" s="929">
        <v>0.55208333333333337</v>
      </c>
      <c r="I2578" s="1302"/>
      <c r="J2578" s="1297"/>
      <c r="K2578" s="1298"/>
      <c r="L2578" s="922">
        <v>0.78125</v>
      </c>
      <c r="M2578" s="384"/>
    </row>
    <row r="2579" spans="3:13" ht="17">
      <c r="C2579" s="90"/>
      <c r="D2579" s="563">
        <v>45623</v>
      </c>
      <c r="E2579" s="387" t="s">
        <v>1071</v>
      </c>
      <c r="F2579" s="387" t="s">
        <v>1014</v>
      </c>
      <c r="G2579" s="387" t="s">
        <v>1014</v>
      </c>
      <c r="H2579" s="929">
        <v>0.55208333333333337</v>
      </c>
      <c r="I2579" s="1302"/>
      <c r="J2579" s="1297"/>
      <c r="K2579" s="1298"/>
      <c r="L2579" s="922">
        <v>0.78125</v>
      </c>
      <c r="M2579" s="385"/>
    </row>
    <row r="2580" spans="3:13" ht="17">
      <c r="C2580" s="90"/>
      <c r="D2580" s="563">
        <v>45617</v>
      </c>
      <c r="E2580" s="387" t="s">
        <v>1071</v>
      </c>
      <c r="F2580" s="387" t="s">
        <v>931</v>
      </c>
      <c r="G2580" s="387" t="s">
        <v>345</v>
      </c>
      <c r="H2580" s="929">
        <v>0.58333333333333337</v>
      </c>
      <c r="I2580" s="1302"/>
      <c r="J2580" s="1297"/>
      <c r="K2580" s="1298"/>
      <c r="L2580" s="922">
        <v>0.8125</v>
      </c>
      <c r="M2580" s="377"/>
    </row>
    <row r="2581" spans="3:13" ht="17">
      <c r="C2581" s="90"/>
      <c r="D2581" s="563">
        <v>45610</v>
      </c>
      <c r="E2581" s="387" t="s">
        <v>1015</v>
      </c>
      <c r="F2581" s="387" t="s">
        <v>381</v>
      </c>
      <c r="G2581" s="387" t="s">
        <v>413</v>
      </c>
      <c r="H2581" s="929">
        <v>0.58333333333333337</v>
      </c>
      <c r="I2581" s="1302"/>
      <c r="J2581" s="1297"/>
      <c r="K2581" s="1298"/>
      <c r="L2581" s="922">
        <v>0.8125</v>
      </c>
      <c r="M2581" s="377"/>
    </row>
    <row r="2582" spans="3:13" ht="17">
      <c r="C2582" s="90"/>
      <c r="D2582" s="563">
        <v>45603</v>
      </c>
      <c r="E2582" s="387" t="s">
        <v>413</v>
      </c>
      <c r="F2582" s="387" t="s">
        <v>1347</v>
      </c>
      <c r="G2582" s="387" t="s">
        <v>382</v>
      </c>
      <c r="H2582" s="929">
        <v>0.58333333333333337</v>
      </c>
      <c r="I2582" s="1302"/>
      <c r="J2582" s="1297"/>
      <c r="K2582" s="1298"/>
      <c r="L2582" s="922">
        <v>0.8125</v>
      </c>
      <c r="M2582" s="377"/>
    </row>
    <row r="2583" spans="3:13" ht="18" thickBot="1">
      <c r="C2583" s="90"/>
      <c r="D2583" s="563">
        <v>45596</v>
      </c>
      <c r="E2583" s="387" t="s">
        <v>932</v>
      </c>
      <c r="F2583" s="387" t="s">
        <v>321</v>
      </c>
      <c r="G2583" s="387" t="s">
        <v>579</v>
      </c>
      <c r="H2583" s="929">
        <v>0.58333333333333337</v>
      </c>
      <c r="I2583" s="1303"/>
      <c r="J2583" s="1299"/>
      <c r="K2583" s="1300"/>
      <c r="L2583" s="922">
        <v>0.8125</v>
      </c>
      <c r="M2583" s="386"/>
    </row>
    <row r="2584" spans="3:13" ht="25" customHeight="1" thickBot="1">
      <c r="C2584" s="90">
        <v>1</v>
      </c>
      <c r="D2584" s="557" t="s">
        <v>30</v>
      </c>
      <c r="E2584" s="1358" t="s">
        <v>1513</v>
      </c>
      <c r="F2584" s="1359"/>
      <c r="G2584" s="1360"/>
      <c r="H2584" s="911" t="s">
        <v>790</v>
      </c>
      <c r="I2584" s="1345" t="s">
        <v>633</v>
      </c>
      <c r="J2584" s="1293"/>
      <c r="K2584" s="1294"/>
      <c r="L2584" s="911" t="s">
        <v>430</v>
      </c>
      <c r="M2584" s="558" t="s">
        <v>431</v>
      </c>
    </row>
    <row r="2585" spans="3:13" ht="24" customHeight="1">
      <c r="C2585" s="90"/>
      <c r="D2585" s="559" t="s">
        <v>432</v>
      </c>
      <c r="E2585" s="1563"/>
      <c r="F2585" s="1564"/>
      <c r="G2585" s="1565"/>
      <c r="H2585" s="919" t="s">
        <v>906</v>
      </c>
      <c r="I2585" s="1301" t="s">
        <v>1514</v>
      </c>
      <c r="J2585" s="1295"/>
      <c r="K2585" s="1296"/>
      <c r="L2585" s="920"/>
      <c r="M2585" s="376" t="s">
        <v>1513</v>
      </c>
    </row>
    <row r="2586" spans="3:13" ht="17">
      <c r="C2586" s="90"/>
      <c r="D2586" s="560" t="s">
        <v>433</v>
      </c>
      <c r="E2586" s="1341">
        <v>2.75E-2</v>
      </c>
      <c r="F2586" s="1339"/>
      <c r="G2586" s="1340"/>
      <c r="H2586" s="907" t="s">
        <v>907</v>
      </c>
      <c r="I2586" s="1302"/>
      <c r="J2586" s="1297"/>
      <c r="K2586" s="1298"/>
      <c r="L2586" s="920"/>
      <c r="M2586" s="377"/>
    </row>
    <row r="2587" spans="3:13" ht="17">
      <c r="C2587" s="90"/>
      <c r="D2587" s="560" t="s">
        <v>434</v>
      </c>
      <c r="E2587" s="1341">
        <v>0.03</v>
      </c>
      <c r="F2587" s="1339"/>
      <c r="G2587" s="1340"/>
      <c r="H2587" s="907"/>
      <c r="I2587" s="1302"/>
      <c r="J2587" s="1297"/>
      <c r="K2587" s="1298"/>
      <c r="L2587" s="920"/>
      <c r="M2587" s="377"/>
    </row>
    <row r="2588" spans="3:13" ht="18" thickBot="1">
      <c r="C2588" s="90"/>
      <c r="D2588" s="561" t="s">
        <v>435</v>
      </c>
      <c r="E2588" s="1313">
        <v>0.55208333333333337</v>
      </c>
      <c r="F2588" s="1314"/>
      <c r="G2588" s="1315"/>
      <c r="H2588" s="909"/>
      <c r="I2588" s="1302"/>
      <c r="J2588" s="1297"/>
      <c r="K2588" s="1298"/>
      <c r="L2588" s="378">
        <v>0.78125</v>
      </c>
      <c r="M2588" s="379">
        <v>0.63541666666666663</v>
      </c>
    </row>
    <row r="2589" spans="3:13" ht="18" thickBot="1">
      <c r="C2589" s="90"/>
      <c r="D2589" s="562" t="s">
        <v>436</v>
      </c>
      <c r="E2589" s="380" t="s">
        <v>29</v>
      </c>
      <c r="F2589" s="380" t="s">
        <v>28</v>
      </c>
      <c r="G2589" s="381" t="s">
        <v>27</v>
      </c>
      <c r="H2589" s="911" t="s">
        <v>793</v>
      </c>
      <c r="I2589" s="1302"/>
      <c r="J2589" s="1297"/>
      <c r="K2589" s="1298"/>
      <c r="L2589" s="921" t="s">
        <v>1246</v>
      </c>
      <c r="M2589" s="382"/>
    </row>
    <row r="2590" spans="3:13" ht="17">
      <c r="C2590" s="90"/>
      <c r="D2590" s="563">
        <v>45638</v>
      </c>
      <c r="E2590" s="387">
        <v>0.03</v>
      </c>
      <c r="F2590" s="387" t="s">
        <v>1548</v>
      </c>
      <c r="G2590" s="387">
        <v>3.2500000000000001E-2</v>
      </c>
      <c r="H2590" s="929">
        <v>0.55208333333333337</v>
      </c>
      <c r="I2590" s="1302"/>
      <c r="J2590" s="1297"/>
      <c r="K2590" s="1298"/>
      <c r="L2590" s="922">
        <v>0.78125</v>
      </c>
      <c r="M2590" s="384"/>
    </row>
    <row r="2591" spans="3:13" ht="17">
      <c r="C2591" s="90"/>
      <c r="D2591" s="563">
        <v>45582</v>
      </c>
      <c r="E2591" s="387">
        <v>3.2500000000000001E-2</v>
      </c>
      <c r="F2591" s="387" t="s">
        <v>1542</v>
      </c>
      <c r="G2591" s="387">
        <v>3.5000000000000003E-2</v>
      </c>
      <c r="H2591" s="929">
        <v>0.55208333333333337</v>
      </c>
      <c r="I2591" s="1302"/>
      <c r="J2591" s="1297"/>
      <c r="K2591" s="1298"/>
      <c r="L2591" s="922">
        <v>0.78125</v>
      </c>
      <c r="M2591" s="385"/>
    </row>
    <row r="2592" spans="3:13" ht="17">
      <c r="C2592" s="90"/>
      <c r="D2592" s="563">
        <v>45547</v>
      </c>
      <c r="E2592" s="387">
        <v>3.5000000000000003E-2</v>
      </c>
      <c r="F2592" s="387" t="s">
        <v>1549</v>
      </c>
      <c r="G2592" s="387">
        <v>3.7499999999999999E-2</v>
      </c>
      <c r="H2592" s="929">
        <v>0.58333333333333337</v>
      </c>
      <c r="I2592" s="1302"/>
      <c r="J2592" s="1297"/>
      <c r="K2592" s="1298"/>
      <c r="L2592" s="922">
        <v>0.8125</v>
      </c>
      <c r="M2592" s="377"/>
    </row>
    <row r="2593" spans="3:13" ht="17">
      <c r="C2593" s="90"/>
      <c r="D2593" s="563">
        <v>45491</v>
      </c>
      <c r="E2593" s="387">
        <v>3.7499999999999999E-2</v>
      </c>
      <c r="F2593" s="387" t="s">
        <v>1543</v>
      </c>
      <c r="G2593" s="387">
        <v>3.7499999999999999E-2</v>
      </c>
      <c r="H2593" s="929">
        <v>0.58333333333333337</v>
      </c>
      <c r="I2593" s="1302"/>
      <c r="J2593" s="1297"/>
      <c r="K2593" s="1298"/>
      <c r="L2593" s="922">
        <v>0.8125</v>
      </c>
      <c r="M2593" s="377"/>
    </row>
    <row r="2594" spans="3:13" ht="17">
      <c r="C2594" s="90"/>
      <c r="D2594" s="563">
        <v>45449</v>
      </c>
      <c r="E2594" s="387">
        <v>3.7499999999999999E-2</v>
      </c>
      <c r="F2594" s="387" t="s">
        <v>1543</v>
      </c>
      <c r="G2594" s="387">
        <v>0.04</v>
      </c>
      <c r="H2594" s="929">
        <v>0.58333333333333337</v>
      </c>
      <c r="I2594" s="1302"/>
      <c r="J2594" s="1297"/>
      <c r="K2594" s="1298"/>
      <c r="L2594" s="922">
        <v>0.8125</v>
      </c>
      <c r="M2594" s="377"/>
    </row>
    <row r="2595" spans="3:13" ht="18" thickBot="1">
      <c r="C2595" s="90"/>
      <c r="D2595" s="563">
        <v>45393</v>
      </c>
      <c r="E2595" s="387">
        <v>0.04</v>
      </c>
      <c r="F2595" s="387" t="s">
        <v>1550</v>
      </c>
      <c r="G2595" s="387">
        <v>0.04</v>
      </c>
      <c r="H2595" s="929">
        <v>0.58333333333333337</v>
      </c>
      <c r="I2595" s="1303"/>
      <c r="J2595" s="1299"/>
      <c r="K2595" s="1300"/>
      <c r="L2595" s="922">
        <v>0.8125</v>
      </c>
      <c r="M2595" s="386"/>
    </row>
    <row r="2596" spans="3:13" ht="25" customHeight="1" thickBot="1">
      <c r="C2596" s="90">
        <v>1</v>
      </c>
      <c r="D2596" s="557" t="s">
        <v>30</v>
      </c>
      <c r="E2596" s="1358" t="s">
        <v>1515</v>
      </c>
      <c r="F2596" s="1359"/>
      <c r="G2596" s="1360"/>
      <c r="H2596" s="911" t="s">
        <v>790</v>
      </c>
      <c r="I2596" s="1345" t="s">
        <v>633</v>
      </c>
      <c r="J2596" s="1293"/>
      <c r="K2596" s="1294"/>
      <c r="L2596" s="911" t="s">
        <v>430</v>
      </c>
      <c r="M2596" s="558" t="s">
        <v>431</v>
      </c>
    </row>
    <row r="2597" spans="3:13" ht="24" customHeight="1">
      <c r="C2597" s="90"/>
      <c r="D2597" s="559" t="s">
        <v>432</v>
      </c>
      <c r="E2597" s="1563"/>
      <c r="F2597" s="1564"/>
      <c r="G2597" s="1565"/>
      <c r="H2597" s="919" t="s">
        <v>906</v>
      </c>
      <c r="I2597" s="1301" t="s">
        <v>1514</v>
      </c>
      <c r="J2597" s="1295"/>
      <c r="K2597" s="1296"/>
      <c r="L2597" s="920"/>
      <c r="M2597" s="376" t="s">
        <v>1515</v>
      </c>
    </row>
    <row r="2598" spans="3:13" ht="17">
      <c r="C2598" s="90"/>
      <c r="D2598" s="560" t="s">
        <v>433</v>
      </c>
      <c r="E2598" s="1341">
        <v>2.9000000000000001E-2</v>
      </c>
      <c r="F2598" s="1339"/>
      <c r="G2598" s="1340"/>
      <c r="H2598" s="907" t="s">
        <v>907</v>
      </c>
      <c r="I2598" s="1302"/>
      <c r="J2598" s="1297"/>
      <c r="K2598" s="1298"/>
      <c r="L2598" s="920"/>
      <c r="M2598" s="377"/>
    </row>
    <row r="2599" spans="3:13" ht="17">
      <c r="C2599" s="90"/>
      <c r="D2599" s="560" t="s">
        <v>434</v>
      </c>
      <c r="E2599" s="1341">
        <v>3.15E-2</v>
      </c>
      <c r="F2599" s="1339"/>
      <c r="G2599" s="1340"/>
      <c r="H2599" s="907"/>
      <c r="I2599" s="1302"/>
      <c r="J2599" s="1297"/>
      <c r="K2599" s="1298"/>
      <c r="L2599" s="920"/>
      <c r="M2599" s="377"/>
    </row>
    <row r="2600" spans="3:13" ht="18" thickBot="1">
      <c r="C2600" s="90"/>
      <c r="D2600" s="561" t="s">
        <v>435</v>
      </c>
      <c r="E2600" s="1313">
        <v>0.55208333333333337</v>
      </c>
      <c r="F2600" s="1314"/>
      <c r="G2600" s="1315"/>
      <c r="H2600" s="909"/>
      <c r="I2600" s="1302"/>
      <c r="J2600" s="1297"/>
      <c r="K2600" s="1298"/>
      <c r="L2600" s="378">
        <v>0.78125</v>
      </c>
      <c r="M2600" s="379">
        <v>0.63541666666666663</v>
      </c>
    </row>
    <row r="2601" spans="3:13" ht="18" thickBot="1">
      <c r="C2601" s="90"/>
      <c r="D2601" s="562" t="s">
        <v>436</v>
      </c>
      <c r="E2601" s="380" t="s">
        <v>29</v>
      </c>
      <c r="F2601" s="380" t="s">
        <v>28</v>
      </c>
      <c r="G2601" s="381" t="s">
        <v>27</v>
      </c>
      <c r="H2601" s="911" t="s">
        <v>793</v>
      </c>
      <c r="I2601" s="1302"/>
      <c r="J2601" s="1297"/>
      <c r="K2601" s="1298"/>
      <c r="L2601" s="921" t="s">
        <v>1246</v>
      </c>
      <c r="M2601" s="382"/>
    </row>
    <row r="2602" spans="3:13" ht="17">
      <c r="C2602" s="90"/>
      <c r="D2602" s="563">
        <v>45638</v>
      </c>
      <c r="E2602" s="387">
        <v>3.15E-2</v>
      </c>
      <c r="F2602" s="387" t="s">
        <v>1551</v>
      </c>
      <c r="G2602" s="387">
        <v>3.4000000000000002E-2</v>
      </c>
      <c r="H2602" s="929">
        <v>0.55208333333333337</v>
      </c>
      <c r="I2602" s="1302"/>
      <c r="J2602" s="1297"/>
      <c r="K2602" s="1298"/>
      <c r="L2602" s="922">
        <v>0.78125</v>
      </c>
      <c r="M2602" s="384"/>
    </row>
    <row r="2603" spans="3:13" ht="17">
      <c r="C2603" s="90"/>
      <c r="D2603" s="563">
        <v>45582</v>
      </c>
      <c r="E2603" s="387">
        <v>3.4000000000000002E-2</v>
      </c>
      <c r="F2603" s="387" t="s">
        <v>1552</v>
      </c>
      <c r="G2603" s="387">
        <v>3.6499999999999998E-2</v>
      </c>
      <c r="H2603" s="929">
        <v>0.55208333333333337</v>
      </c>
      <c r="I2603" s="1302"/>
      <c r="J2603" s="1297"/>
      <c r="K2603" s="1298"/>
      <c r="L2603" s="922">
        <v>0.78125</v>
      </c>
      <c r="M2603" s="385"/>
    </row>
    <row r="2604" spans="3:13" ht="17">
      <c r="C2604" s="90"/>
      <c r="D2604" s="563">
        <v>45547</v>
      </c>
      <c r="E2604" s="387">
        <v>3.6499999999999998E-2</v>
      </c>
      <c r="F2604" s="387" t="s">
        <v>1553</v>
      </c>
      <c r="G2604" s="387">
        <v>4.2500000000000003E-2</v>
      </c>
      <c r="H2604" s="929">
        <v>0.58333333333333337</v>
      </c>
      <c r="I2604" s="1302"/>
      <c r="J2604" s="1297"/>
      <c r="K2604" s="1298"/>
      <c r="L2604" s="922">
        <v>0.8125</v>
      </c>
      <c r="M2604" s="377"/>
    </row>
    <row r="2605" spans="3:13" ht="17">
      <c r="C2605" s="90"/>
      <c r="D2605" s="563">
        <v>45491</v>
      </c>
      <c r="E2605" s="387">
        <v>4.2500000000000003E-2</v>
      </c>
      <c r="F2605" s="387" t="s">
        <v>723</v>
      </c>
      <c r="G2605" s="387">
        <v>4.2500000000000003E-2</v>
      </c>
      <c r="H2605" s="929">
        <v>0.58333333333333337</v>
      </c>
      <c r="I2605" s="1302"/>
      <c r="J2605" s="1297"/>
      <c r="K2605" s="1298"/>
      <c r="L2605" s="922">
        <v>0.8125</v>
      </c>
      <c r="M2605" s="377"/>
    </row>
    <row r="2606" spans="3:13" ht="17">
      <c r="C2606" s="90"/>
      <c r="D2606" s="563">
        <v>45449</v>
      </c>
      <c r="E2606" s="387">
        <v>4.2500000000000003E-2</v>
      </c>
      <c r="F2606" s="387" t="s">
        <v>723</v>
      </c>
      <c r="G2606" s="387">
        <v>4.4999999999999998E-2</v>
      </c>
      <c r="H2606" s="929">
        <v>0.58333333333333337</v>
      </c>
      <c r="I2606" s="1302"/>
      <c r="J2606" s="1297"/>
      <c r="K2606" s="1298"/>
      <c r="L2606" s="922">
        <v>0.8125</v>
      </c>
      <c r="M2606" s="377"/>
    </row>
    <row r="2607" spans="3:13" ht="18" thickBot="1">
      <c r="C2607" s="90"/>
      <c r="D2607" s="563">
        <v>45393</v>
      </c>
      <c r="E2607" s="387">
        <v>4.4999999999999998E-2</v>
      </c>
      <c r="F2607" s="387" t="s">
        <v>725</v>
      </c>
      <c r="G2607" s="387">
        <v>4.4999999999999998E-2</v>
      </c>
      <c r="H2607" s="929">
        <v>0.58333333333333337</v>
      </c>
      <c r="I2607" s="1303"/>
      <c r="J2607" s="1299"/>
      <c r="K2607" s="1300"/>
      <c r="L2607" s="922">
        <v>0.8125</v>
      </c>
      <c r="M2607" s="386"/>
    </row>
    <row r="2608" spans="3:13" ht="25" customHeight="1" thickBot="1">
      <c r="C2608" s="90">
        <v>1</v>
      </c>
      <c r="D2608" s="557" t="s">
        <v>30</v>
      </c>
      <c r="E2608" s="1358" t="s">
        <v>1516</v>
      </c>
      <c r="F2608" s="1359"/>
      <c r="G2608" s="1360"/>
      <c r="H2608" s="911" t="s">
        <v>790</v>
      </c>
      <c r="I2608" s="1345" t="s">
        <v>633</v>
      </c>
      <c r="J2608" s="1293"/>
      <c r="K2608" s="1294"/>
      <c r="L2608" s="911" t="s">
        <v>430</v>
      </c>
      <c r="M2608" s="558" t="s">
        <v>431</v>
      </c>
    </row>
    <row r="2609" spans="3:13" ht="24" customHeight="1">
      <c r="C2609" s="90"/>
      <c r="D2609" s="559" t="s">
        <v>432</v>
      </c>
      <c r="E2609" s="1563"/>
      <c r="F2609" s="1564"/>
      <c r="G2609" s="1565"/>
      <c r="H2609" s="919" t="s">
        <v>906</v>
      </c>
      <c r="I2609" s="1301" t="s">
        <v>1517</v>
      </c>
      <c r="J2609" s="1295"/>
      <c r="K2609" s="1296"/>
      <c r="L2609" s="920"/>
      <c r="M2609" s="376" t="s">
        <v>1516</v>
      </c>
    </row>
    <row r="2610" spans="3:13" ht="17">
      <c r="C2610" s="90"/>
      <c r="D2610" s="560" t="s">
        <v>433</v>
      </c>
      <c r="E2610" s="1341">
        <v>0</v>
      </c>
      <c r="F2610" s="1339"/>
      <c r="G2610" s="1340"/>
      <c r="H2610" s="907" t="s">
        <v>907</v>
      </c>
      <c r="I2610" s="1302"/>
      <c r="J2610" s="1297"/>
      <c r="K2610" s="1298"/>
      <c r="L2610" s="920"/>
      <c r="M2610" s="377"/>
    </row>
    <row r="2611" spans="3:13" ht="17">
      <c r="C2611" s="90"/>
      <c r="D2611" s="560" t="s">
        <v>434</v>
      </c>
      <c r="E2611" s="1341">
        <v>3.1E-2</v>
      </c>
      <c r="F2611" s="1339"/>
      <c r="G2611" s="1340"/>
      <c r="H2611" s="907"/>
      <c r="I2611" s="1302"/>
      <c r="J2611" s="1297"/>
      <c r="K2611" s="1298"/>
      <c r="L2611" s="920"/>
      <c r="M2611" s="377"/>
    </row>
    <row r="2612" spans="3:13" ht="18" thickBot="1">
      <c r="C2612" s="90"/>
      <c r="D2612" s="561" t="s">
        <v>435</v>
      </c>
      <c r="E2612" s="1313">
        <v>0.5625</v>
      </c>
      <c r="F2612" s="1314"/>
      <c r="G2612" s="1315"/>
      <c r="H2612" s="909"/>
      <c r="I2612" s="1302"/>
      <c r="J2612" s="1297"/>
      <c r="K2612" s="1298"/>
      <c r="L2612" s="378">
        <v>0.79166666666666663</v>
      </c>
      <c r="M2612" s="379">
        <v>0.64583333333333326</v>
      </c>
    </row>
    <row r="2613" spans="3:13" ht="18" thickBot="1">
      <c r="C2613" s="90"/>
      <c r="D2613" s="562" t="s">
        <v>436</v>
      </c>
      <c r="E2613" s="380" t="s">
        <v>29</v>
      </c>
      <c r="F2613" s="380" t="s">
        <v>28</v>
      </c>
      <c r="G2613" s="381" t="s">
        <v>27</v>
      </c>
      <c r="H2613" s="911" t="s">
        <v>793</v>
      </c>
      <c r="I2613" s="1302"/>
      <c r="J2613" s="1297"/>
      <c r="K2613" s="1298"/>
      <c r="L2613" s="921" t="s">
        <v>1246</v>
      </c>
      <c r="M2613" s="382"/>
    </row>
    <row r="2614" spans="3:13" ht="17">
      <c r="C2614" s="90"/>
      <c r="D2614" s="563">
        <v>45645</v>
      </c>
      <c r="E2614" s="387">
        <v>3.1E-2</v>
      </c>
      <c r="F2614" s="387" t="s">
        <v>666</v>
      </c>
      <c r="G2614" s="387">
        <v>0.03</v>
      </c>
      <c r="H2614" s="929">
        <v>0.5625</v>
      </c>
      <c r="I2614" s="1302"/>
      <c r="J2614" s="1297"/>
      <c r="K2614" s="1298"/>
      <c r="L2614" s="922">
        <v>0.79166666666666663</v>
      </c>
      <c r="M2614" s="384"/>
    </row>
    <row r="2615" spans="3:13" ht="17">
      <c r="C2615" s="90"/>
      <c r="D2615" s="563">
        <v>45623</v>
      </c>
      <c r="E2615" s="387">
        <v>2.8000000000000001E-2</v>
      </c>
      <c r="F2615" s="387" t="s">
        <v>666</v>
      </c>
      <c r="G2615" s="387">
        <v>0.03</v>
      </c>
      <c r="H2615" s="929">
        <v>0.5625</v>
      </c>
      <c r="I2615" s="1302"/>
      <c r="J2615" s="1297"/>
      <c r="K2615" s="1298"/>
      <c r="L2615" s="922">
        <v>0.79166666666666663</v>
      </c>
      <c r="M2615" s="385"/>
    </row>
    <row r="2616" spans="3:13" ht="17">
      <c r="C2616" s="90"/>
      <c r="D2616" s="563">
        <v>45595</v>
      </c>
      <c r="E2616" s="387">
        <v>2.8000000000000001E-2</v>
      </c>
      <c r="F2616" s="387" t="s">
        <v>669</v>
      </c>
      <c r="G2616" s="387">
        <v>0.03</v>
      </c>
      <c r="H2616" s="929">
        <v>0.58333333333333337</v>
      </c>
      <c r="I2616" s="1302"/>
      <c r="J2616" s="1297"/>
      <c r="K2616" s="1298"/>
      <c r="L2616" s="922">
        <v>0.8125</v>
      </c>
      <c r="M2616" s="377"/>
    </row>
    <row r="2617" spans="3:13" ht="17">
      <c r="C2617" s="90"/>
      <c r="D2617" s="563">
        <v>45561</v>
      </c>
      <c r="E2617" s="387">
        <v>0.03</v>
      </c>
      <c r="F2617" s="387" t="s">
        <v>669</v>
      </c>
      <c r="G2617" s="387">
        <v>1.6E-2</v>
      </c>
      <c r="H2617" s="929">
        <v>0.58333333333333337</v>
      </c>
      <c r="I2617" s="1302"/>
      <c r="J2617" s="1297"/>
      <c r="K2617" s="1298"/>
      <c r="L2617" s="922">
        <v>0.8125</v>
      </c>
      <c r="M2617" s="377"/>
    </row>
    <row r="2618" spans="3:13" ht="17">
      <c r="C2618" s="90"/>
      <c r="D2618" s="563">
        <v>45533</v>
      </c>
      <c r="E2618" s="387">
        <v>0.03</v>
      </c>
      <c r="F2618" s="387" t="s">
        <v>666</v>
      </c>
      <c r="G2618" s="387">
        <v>1.4E-2</v>
      </c>
      <c r="H2618" s="929">
        <v>0.58333333333333337</v>
      </c>
      <c r="I2618" s="1302"/>
      <c r="J2618" s="1297"/>
      <c r="K2618" s="1298"/>
      <c r="L2618" s="922">
        <v>0.8125</v>
      </c>
      <c r="M2618" s="377"/>
    </row>
    <row r="2619" spans="3:13" ht="18" thickBot="1">
      <c r="C2619" s="90"/>
      <c r="D2619" s="563">
        <v>45498</v>
      </c>
      <c r="E2619" s="387">
        <v>2.8000000000000001E-2</v>
      </c>
      <c r="F2619" s="387" t="s">
        <v>788</v>
      </c>
      <c r="G2619" s="387">
        <v>1.4E-2</v>
      </c>
      <c r="H2619" s="929">
        <v>0.58333333333333337</v>
      </c>
      <c r="I2619" s="1303"/>
      <c r="J2619" s="1299"/>
      <c r="K2619" s="1300"/>
      <c r="L2619" s="922">
        <v>0.8125</v>
      </c>
      <c r="M2619" s="386"/>
    </row>
    <row r="2620" spans="3:13" ht="25" customHeight="1" thickBot="1">
      <c r="C2620" s="90">
        <v>1</v>
      </c>
      <c r="D2620" s="557" t="s">
        <v>30</v>
      </c>
      <c r="E2620" s="1358" t="s">
        <v>1421</v>
      </c>
      <c r="F2620" s="1359"/>
      <c r="G2620" s="1360"/>
      <c r="H2620" s="911" t="s">
        <v>790</v>
      </c>
      <c r="I2620" s="1345" t="s">
        <v>633</v>
      </c>
      <c r="J2620" s="1293"/>
      <c r="K2620" s="1294"/>
      <c r="L2620" s="911" t="s">
        <v>430</v>
      </c>
      <c r="M2620" s="558" t="s">
        <v>431</v>
      </c>
    </row>
    <row r="2621" spans="3:13" ht="24" customHeight="1">
      <c r="C2621" s="90"/>
      <c r="D2621" s="559" t="s">
        <v>432</v>
      </c>
      <c r="E2621" s="1563"/>
      <c r="F2621" s="1564"/>
      <c r="G2621" s="1565"/>
      <c r="H2621" s="919" t="s">
        <v>906</v>
      </c>
      <c r="I2621" s="1301" t="s">
        <v>1518</v>
      </c>
      <c r="J2621" s="1295"/>
      <c r="K2621" s="1296"/>
      <c r="L2621" s="920"/>
      <c r="M2621" s="376" t="s">
        <v>1421</v>
      </c>
    </row>
    <row r="2622" spans="3:13" ht="17">
      <c r="C2622" s="90"/>
      <c r="D2622" s="560" t="s">
        <v>433</v>
      </c>
      <c r="E2622" s="1341">
        <v>0</v>
      </c>
      <c r="F2622" s="1339"/>
      <c r="G2622" s="1340"/>
      <c r="H2622" s="907" t="s">
        <v>907</v>
      </c>
      <c r="I2622" s="1302"/>
      <c r="J2622" s="1297"/>
      <c r="K2622" s="1298"/>
      <c r="L2622" s="920"/>
      <c r="M2622" s="377"/>
    </row>
    <row r="2623" spans="3:13" ht="17">
      <c r="C2623" s="90"/>
      <c r="D2623" s="560" t="s">
        <v>434</v>
      </c>
      <c r="E2623" s="1341" t="s">
        <v>1347</v>
      </c>
      <c r="F2623" s="1339"/>
      <c r="G2623" s="1340"/>
      <c r="H2623" s="907"/>
      <c r="I2623" s="1302"/>
      <c r="J2623" s="1297"/>
      <c r="K2623" s="1298"/>
      <c r="L2623" s="920"/>
      <c r="M2623" s="377"/>
    </row>
    <row r="2624" spans="3:13" ht="18" thickBot="1">
      <c r="C2624" s="90"/>
      <c r="D2624" s="561" t="s">
        <v>435</v>
      </c>
      <c r="E2624" s="1313">
        <v>0.5625</v>
      </c>
      <c r="F2624" s="1314"/>
      <c r="G2624" s="1315"/>
      <c r="H2624" s="909"/>
      <c r="I2624" s="1302"/>
      <c r="J2624" s="1297"/>
      <c r="K2624" s="1298"/>
      <c r="L2624" s="378">
        <v>0.79166666666666663</v>
      </c>
      <c r="M2624" s="379">
        <v>0.64583333333333326</v>
      </c>
    </row>
    <row r="2625" spans="3:13" ht="18" thickBot="1">
      <c r="C2625" s="90"/>
      <c r="D2625" s="562" t="s">
        <v>436</v>
      </c>
      <c r="E2625" s="380" t="s">
        <v>29</v>
      </c>
      <c r="F2625" s="380" t="s">
        <v>28</v>
      </c>
      <c r="G2625" s="381" t="s">
        <v>27</v>
      </c>
      <c r="H2625" s="911" t="s">
        <v>793</v>
      </c>
      <c r="I2625" s="1302"/>
      <c r="J2625" s="1297"/>
      <c r="K2625" s="1298"/>
      <c r="L2625" s="921" t="s">
        <v>1246</v>
      </c>
      <c r="M2625" s="382"/>
    </row>
    <row r="2626" spans="3:13" ht="17">
      <c r="C2626" s="90"/>
      <c r="D2626" s="563">
        <v>45680</v>
      </c>
      <c r="E2626" s="387" t="s">
        <v>973</v>
      </c>
      <c r="F2626" s="387" t="s">
        <v>972</v>
      </c>
      <c r="G2626" s="387" t="s">
        <v>1031</v>
      </c>
      <c r="H2626" s="929">
        <v>0.5625</v>
      </c>
      <c r="I2626" s="1302"/>
      <c r="J2626" s="1297"/>
      <c r="K2626" s="1298"/>
      <c r="L2626" s="922">
        <v>0.79166666666666663</v>
      </c>
      <c r="M2626" s="384"/>
    </row>
    <row r="2627" spans="3:13" ht="17">
      <c r="C2627" s="90"/>
      <c r="D2627" s="563">
        <v>45673</v>
      </c>
      <c r="E2627" s="387" t="s">
        <v>1031</v>
      </c>
      <c r="F2627" s="387" t="s">
        <v>1554</v>
      </c>
      <c r="G2627" s="387" t="s">
        <v>1555</v>
      </c>
      <c r="H2627" s="929">
        <v>0.5625</v>
      </c>
      <c r="I2627" s="1302"/>
      <c r="J2627" s="1297"/>
      <c r="K2627" s="1298"/>
      <c r="L2627" s="922">
        <v>0.79166666666666663</v>
      </c>
      <c r="M2627" s="385"/>
    </row>
    <row r="2628" spans="3:13" ht="17">
      <c r="C2628" s="90"/>
      <c r="D2628" s="563">
        <v>45665</v>
      </c>
      <c r="E2628" s="387" t="s">
        <v>1438</v>
      </c>
      <c r="F2628" s="387" t="s">
        <v>1439</v>
      </c>
      <c r="G2628" s="387" t="s">
        <v>1440</v>
      </c>
      <c r="H2628" s="929">
        <v>0.58333333333333337</v>
      </c>
      <c r="I2628" s="1302"/>
      <c r="J2628" s="1297"/>
      <c r="K2628" s="1298"/>
      <c r="L2628" s="922">
        <v>0.8125</v>
      </c>
      <c r="M2628" s="377"/>
    </row>
    <row r="2629" spans="3:13" ht="17">
      <c r="C2629" s="90"/>
      <c r="D2629" s="563">
        <v>45659</v>
      </c>
      <c r="E2629" s="387" t="s">
        <v>1440</v>
      </c>
      <c r="F2629" s="387" t="s">
        <v>986</v>
      </c>
      <c r="G2629" s="387" t="s">
        <v>1112</v>
      </c>
      <c r="H2629" s="929">
        <v>0.58333333333333337</v>
      </c>
      <c r="I2629" s="1302"/>
      <c r="J2629" s="1297"/>
      <c r="K2629" s="1298"/>
      <c r="L2629" s="922">
        <v>0.8125</v>
      </c>
      <c r="M2629" s="377"/>
    </row>
    <row r="2630" spans="3:13" ht="17">
      <c r="C2630" s="90"/>
      <c r="D2630" s="563">
        <v>45652</v>
      </c>
      <c r="E2630" s="387" t="s">
        <v>987</v>
      </c>
      <c r="F2630" s="387" t="s">
        <v>973</v>
      </c>
      <c r="G2630" s="387" t="s">
        <v>1112</v>
      </c>
      <c r="H2630" s="929">
        <v>0.58333333333333337</v>
      </c>
      <c r="I2630" s="1302"/>
      <c r="J2630" s="1297"/>
      <c r="K2630" s="1298"/>
      <c r="L2630" s="922">
        <v>0.8125</v>
      </c>
      <c r="M2630" s="377"/>
    </row>
    <row r="2631" spans="3:13" ht="18" thickBot="1">
      <c r="C2631" s="90"/>
      <c r="D2631" s="563">
        <v>45645</v>
      </c>
      <c r="E2631" s="387" t="s">
        <v>1112</v>
      </c>
      <c r="F2631" s="387" t="s">
        <v>976</v>
      </c>
      <c r="G2631" s="387" t="s">
        <v>980</v>
      </c>
      <c r="H2631" s="929">
        <v>0.58333333333333337</v>
      </c>
      <c r="I2631" s="1303"/>
      <c r="J2631" s="1299"/>
      <c r="K2631" s="1300"/>
      <c r="L2631" s="922">
        <v>0.8125</v>
      </c>
      <c r="M2631" s="386"/>
    </row>
    <row r="2632" spans="3:13" ht="25" customHeight="1" thickBot="1">
      <c r="C2632" s="90">
        <v>1</v>
      </c>
      <c r="D2632" s="557" t="s">
        <v>30</v>
      </c>
      <c r="E2632" s="1358" t="s">
        <v>1519</v>
      </c>
      <c r="F2632" s="1359"/>
      <c r="G2632" s="1360"/>
      <c r="H2632" s="911" t="s">
        <v>790</v>
      </c>
      <c r="I2632" s="1345" t="s">
        <v>633</v>
      </c>
      <c r="J2632" s="1293"/>
      <c r="K2632" s="1294"/>
      <c r="L2632" s="911" t="s">
        <v>430</v>
      </c>
      <c r="M2632" s="558" t="s">
        <v>431</v>
      </c>
    </row>
    <row r="2633" spans="3:13" ht="24" customHeight="1">
      <c r="C2633" s="90"/>
      <c r="D2633" s="559" t="s">
        <v>432</v>
      </c>
      <c r="E2633" s="1563"/>
      <c r="F2633" s="1564"/>
      <c r="G2633" s="1565"/>
      <c r="H2633" s="919" t="s">
        <v>906</v>
      </c>
      <c r="I2633" s="1301" t="s">
        <v>1514</v>
      </c>
      <c r="J2633" s="1295"/>
      <c r="K2633" s="1296"/>
      <c r="L2633" s="920"/>
      <c r="M2633" s="376" t="s">
        <v>1519</v>
      </c>
    </row>
    <row r="2634" spans="3:13" ht="17">
      <c r="C2634" s="90"/>
      <c r="D2634" s="560" t="s">
        <v>433</v>
      </c>
      <c r="E2634" s="1341">
        <v>0</v>
      </c>
      <c r="F2634" s="1339"/>
      <c r="G2634" s="1340"/>
      <c r="H2634" s="907" t="s">
        <v>907</v>
      </c>
      <c r="I2634" s="1302"/>
      <c r="J2634" s="1297"/>
      <c r="K2634" s="1298"/>
      <c r="L2634" s="920"/>
      <c r="M2634" s="377"/>
    </row>
    <row r="2635" spans="3:13" ht="17">
      <c r="C2635" s="90"/>
      <c r="D2635" s="560" t="s">
        <v>434</v>
      </c>
      <c r="E2635" s="1341">
        <v>0</v>
      </c>
      <c r="F2635" s="1339"/>
      <c r="G2635" s="1340"/>
      <c r="H2635" s="907"/>
      <c r="I2635" s="1302"/>
      <c r="J2635" s="1297"/>
      <c r="K2635" s="1298"/>
      <c r="L2635" s="920"/>
      <c r="M2635" s="377"/>
    </row>
    <row r="2636" spans="3:13" ht="18" thickBot="1">
      <c r="C2636" s="90"/>
      <c r="D2636" s="561" t="s">
        <v>435</v>
      </c>
      <c r="E2636" s="1313">
        <v>0.57291666666666674</v>
      </c>
      <c r="F2636" s="1314"/>
      <c r="G2636" s="1315"/>
      <c r="H2636" s="909"/>
      <c r="I2636" s="1302"/>
      <c r="J2636" s="1297"/>
      <c r="K2636" s="1298"/>
      <c r="L2636" s="378">
        <v>0.80208333333333337</v>
      </c>
      <c r="M2636" s="379">
        <v>0.65625</v>
      </c>
    </row>
    <row r="2637" spans="3:13" ht="18" thickBot="1">
      <c r="C2637" s="90"/>
      <c r="D2637" s="562" t="s">
        <v>436</v>
      </c>
      <c r="E2637" s="380" t="s">
        <v>29</v>
      </c>
      <c r="F2637" s="380" t="s">
        <v>28</v>
      </c>
      <c r="G2637" s="381" t="s">
        <v>27</v>
      </c>
      <c r="H2637" s="911" t="s">
        <v>793</v>
      </c>
      <c r="I2637" s="1302"/>
      <c r="J2637" s="1297"/>
      <c r="K2637" s="1298"/>
      <c r="L2637" s="921" t="s">
        <v>1246</v>
      </c>
      <c r="M2637" s="382"/>
    </row>
    <row r="2638" spans="3:13" ht="17">
      <c r="C2638" s="90"/>
      <c r="D2638" s="563">
        <v>45686</v>
      </c>
      <c r="E2638" s="387">
        <v>0</v>
      </c>
      <c r="F2638" s="387" t="s">
        <v>754</v>
      </c>
      <c r="G2638" s="387">
        <v>0</v>
      </c>
      <c r="H2638" s="929">
        <v>0.57291666666666674</v>
      </c>
      <c r="I2638" s="1302"/>
      <c r="J2638" s="1297"/>
      <c r="K2638" s="1298"/>
      <c r="L2638" s="922">
        <v>0.80208333333333337</v>
      </c>
      <c r="M2638" s="384"/>
    </row>
    <row r="2639" spans="3:13" ht="17">
      <c r="C2639" s="90"/>
      <c r="D2639" s="563">
        <v>45638</v>
      </c>
      <c r="E2639" s="387">
        <v>0</v>
      </c>
      <c r="F2639" s="387" t="s">
        <v>754</v>
      </c>
      <c r="G2639" s="387">
        <v>0</v>
      </c>
      <c r="H2639" s="929">
        <v>0.57291666666666674</v>
      </c>
      <c r="I2639" s="1302"/>
      <c r="J2639" s="1297"/>
      <c r="K2639" s="1298"/>
      <c r="L2639" s="922">
        <v>0.80208333333333337</v>
      </c>
      <c r="M2639" s="385"/>
    </row>
    <row r="2640" spans="3:13" ht="17">
      <c r="C2640" s="90"/>
      <c r="D2640" s="563">
        <v>45582</v>
      </c>
      <c r="E2640" s="387">
        <v>0</v>
      </c>
      <c r="F2640" s="387" t="s">
        <v>754</v>
      </c>
      <c r="G2640" s="387">
        <v>0</v>
      </c>
      <c r="H2640" s="929">
        <v>0.58333333333333337</v>
      </c>
      <c r="I2640" s="1302"/>
      <c r="J2640" s="1297"/>
      <c r="K2640" s="1298"/>
      <c r="L2640" s="922">
        <v>0.8125</v>
      </c>
      <c r="M2640" s="377"/>
    </row>
    <row r="2641" spans="3:13" ht="17">
      <c r="C2641" s="90"/>
      <c r="D2641" s="563">
        <v>45547</v>
      </c>
      <c r="E2641" s="387">
        <v>0</v>
      </c>
      <c r="F2641" s="387" t="s">
        <v>754</v>
      </c>
      <c r="G2641" s="387">
        <v>0</v>
      </c>
      <c r="H2641" s="929">
        <v>0.58333333333333337</v>
      </c>
      <c r="I2641" s="1302"/>
      <c r="J2641" s="1297"/>
      <c r="K2641" s="1298"/>
      <c r="L2641" s="922">
        <v>0.8125</v>
      </c>
      <c r="M2641" s="377"/>
    </row>
    <row r="2642" spans="3:13" ht="17">
      <c r="C2642" s="90"/>
      <c r="D2642" s="563">
        <v>45491</v>
      </c>
      <c r="E2642" s="387">
        <v>0</v>
      </c>
      <c r="F2642" s="387" t="s">
        <v>754</v>
      </c>
      <c r="G2642" s="387">
        <v>0</v>
      </c>
      <c r="H2642" s="929">
        <v>0.58333333333333337</v>
      </c>
      <c r="I2642" s="1302"/>
      <c r="J2642" s="1297"/>
      <c r="K2642" s="1298"/>
      <c r="L2642" s="922">
        <v>0.8125</v>
      </c>
      <c r="M2642" s="377"/>
    </row>
    <row r="2643" spans="3:13" ht="18" thickBot="1">
      <c r="C2643" s="90"/>
      <c r="D2643" s="563">
        <v>45449</v>
      </c>
      <c r="E2643" s="387">
        <v>0</v>
      </c>
      <c r="F2643" s="387" t="s">
        <v>754</v>
      </c>
      <c r="G2643" s="387">
        <v>0</v>
      </c>
      <c r="H2643" s="929">
        <v>0.58333333333333337</v>
      </c>
      <c r="I2643" s="1303"/>
      <c r="J2643" s="1299"/>
      <c r="K2643" s="1300"/>
      <c r="L2643" s="922">
        <v>0.8125</v>
      </c>
      <c r="M2643" s="386"/>
    </row>
    <row r="2644" spans="3:13" ht="25" customHeight="1" thickBot="1">
      <c r="C2644" s="90">
        <v>1</v>
      </c>
      <c r="D2644" s="557" t="s">
        <v>30</v>
      </c>
      <c r="E2644" s="1358" t="s">
        <v>1521</v>
      </c>
      <c r="F2644" s="1359"/>
      <c r="G2644" s="1360"/>
      <c r="H2644" s="911" t="s">
        <v>790</v>
      </c>
      <c r="I2644" s="1345" t="s">
        <v>633</v>
      </c>
      <c r="J2644" s="1293"/>
      <c r="K2644" s="1294"/>
      <c r="L2644" s="911" t="s">
        <v>430</v>
      </c>
      <c r="M2644" s="558" t="s">
        <v>431</v>
      </c>
    </row>
    <row r="2645" spans="3:13" ht="24" customHeight="1">
      <c r="C2645" s="90"/>
      <c r="D2645" s="559" t="s">
        <v>432</v>
      </c>
      <c r="E2645" s="1563"/>
      <c r="F2645" s="1564"/>
      <c r="G2645" s="1565"/>
      <c r="H2645" s="919" t="s">
        <v>906</v>
      </c>
      <c r="I2645" s="1301" t="s">
        <v>1522</v>
      </c>
      <c r="J2645" s="1295"/>
      <c r="K2645" s="1296"/>
      <c r="L2645" s="920"/>
      <c r="M2645" s="376" t="s">
        <v>1521</v>
      </c>
    </row>
    <row r="2646" spans="3:13" ht="17">
      <c r="C2646" s="90"/>
      <c r="D2646" s="560" t="s">
        <v>433</v>
      </c>
      <c r="E2646" s="1341">
        <v>2.36</v>
      </c>
      <c r="F2646" s="1339"/>
      <c r="G2646" s="1340"/>
      <c r="H2646" s="907" t="s">
        <v>907</v>
      </c>
      <c r="I2646" s="1302"/>
      <c r="J2646" s="1297"/>
      <c r="K2646" s="1298"/>
      <c r="L2646" s="920"/>
      <c r="M2646" s="377"/>
    </row>
    <row r="2647" spans="3:13" ht="17">
      <c r="C2647" s="90"/>
      <c r="D2647" s="560" t="s">
        <v>434</v>
      </c>
      <c r="E2647" s="1341">
        <v>2.1800000000000002</v>
      </c>
      <c r="F2647" s="1339"/>
      <c r="G2647" s="1340"/>
      <c r="H2647" s="907"/>
      <c r="I2647" s="1302"/>
      <c r="J2647" s="1297"/>
      <c r="K2647" s="1298"/>
      <c r="L2647" s="920"/>
      <c r="M2647" s="377"/>
    </row>
    <row r="2648" spans="3:13" ht="18" thickBot="1">
      <c r="C2648" s="90"/>
      <c r="D2648" s="561" t="s">
        <v>435</v>
      </c>
      <c r="E2648" s="1313">
        <v>0.875</v>
      </c>
      <c r="F2648" s="1314"/>
      <c r="G2648" s="1315"/>
      <c r="H2648" s="909"/>
      <c r="I2648" s="1302"/>
      <c r="J2648" s="1297"/>
      <c r="K2648" s="1298"/>
      <c r="L2648" s="378">
        <v>0.10416666666666667</v>
      </c>
      <c r="M2648" s="379">
        <v>0.95833333333333337</v>
      </c>
    </row>
    <row r="2649" spans="3:13" ht="18" thickBot="1">
      <c r="C2649" s="90"/>
      <c r="D2649" s="562" t="s">
        <v>436</v>
      </c>
      <c r="E2649" s="380" t="s">
        <v>29</v>
      </c>
      <c r="F2649" s="380" t="s">
        <v>28</v>
      </c>
      <c r="G2649" s="381" t="s">
        <v>27</v>
      </c>
      <c r="H2649" s="911" t="s">
        <v>793</v>
      </c>
      <c r="I2649" s="1302"/>
      <c r="J2649" s="1297"/>
      <c r="K2649" s="1298"/>
      <c r="L2649" s="921" t="s">
        <v>1246</v>
      </c>
      <c r="M2649" s="382"/>
    </row>
    <row r="2650" spans="3:13">
      <c r="C2650" s="90"/>
      <c r="D2650" s="563">
        <v>45596</v>
      </c>
      <c r="E2650" s="387">
        <v>1.64</v>
      </c>
      <c r="F2650" s="387">
        <v>1.49</v>
      </c>
      <c r="G2650" s="387">
        <v>1.46</v>
      </c>
      <c r="H2650" s="929">
        <v>-0.12499999999999999</v>
      </c>
      <c r="I2650" s="1302"/>
      <c r="J2650" s="1297"/>
      <c r="K2650" s="1298"/>
      <c r="L2650" s="922">
        <v>0.10416666666666667</v>
      </c>
      <c r="M2650" s="384"/>
    </row>
    <row r="2651" spans="3:13">
      <c r="C2651" s="90"/>
      <c r="D2651" s="563">
        <v>45505</v>
      </c>
      <c r="E2651" s="387">
        <v>1.4</v>
      </c>
      <c r="F2651" s="387">
        <v>1.34</v>
      </c>
      <c r="G2651" s="387">
        <v>1.53</v>
      </c>
      <c r="H2651" s="929">
        <v>-0.12499999999999999</v>
      </c>
      <c r="I2651" s="1302"/>
      <c r="J2651" s="1297"/>
      <c r="K2651" s="1298"/>
      <c r="L2651" s="922">
        <v>0.10416666666666667</v>
      </c>
      <c r="M2651" s="385"/>
    </row>
    <row r="2652" spans="3:13">
      <c r="C2652" s="90"/>
      <c r="D2652" s="563">
        <v>45414</v>
      </c>
      <c r="E2652" s="387">
        <v>1.53</v>
      </c>
      <c r="F2652" s="387">
        <v>1.51</v>
      </c>
      <c r="G2652" s="387">
        <v>2.1800000000000002</v>
      </c>
      <c r="H2652" s="929">
        <v>0.58333333333333337</v>
      </c>
      <c r="I2652" s="1302"/>
      <c r="J2652" s="1297"/>
      <c r="K2652" s="1298"/>
      <c r="L2652" s="922">
        <v>0.8125</v>
      </c>
      <c r="M2652" s="377"/>
    </row>
    <row r="2653" spans="3:13">
      <c r="C2653" s="90"/>
      <c r="D2653" s="563">
        <v>45323</v>
      </c>
      <c r="E2653" s="387">
        <v>2.1800000000000002</v>
      </c>
      <c r="F2653" s="387">
        <v>2.09</v>
      </c>
      <c r="G2653" s="387">
        <v>1.26</v>
      </c>
      <c r="H2653" s="929">
        <v>0.58333333333333337</v>
      </c>
      <c r="I2653" s="1302"/>
      <c r="J2653" s="1297"/>
      <c r="K2653" s="1298"/>
      <c r="L2653" s="922">
        <v>0.8125</v>
      </c>
      <c r="M2653" s="377"/>
    </row>
    <row r="2654" spans="3:13">
      <c r="C2654" s="90"/>
      <c r="D2654" s="563">
        <v>45232</v>
      </c>
      <c r="E2654" s="387">
        <v>1.46</v>
      </c>
      <c r="F2654" s="387">
        <v>1.39</v>
      </c>
      <c r="G2654" s="387">
        <v>1.2</v>
      </c>
      <c r="H2654" s="929">
        <v>0.58333333333333337</v>
      </c>
      <c r="I2654" s="1302"/>
      <c r="J2654" s="1297"/>
      <c r="K2654" s="1298"/>
      <c r="L2654" s="922">
        <v>0.8125</v>
      </c>
      <c r="M2654" s="377"/>
    </row>
    <row r="2655" spans="3:13" ht="17" thickBot="1">
      <c r="C2655" s="90"/>
      <c r="D2655" s="563">
        <v>45141</v>
      </c>
      <c r="E2655" s="387">
        <v>1.53</v>
      </c>
      <c r="F2655" s="387">
        <v>1.43</v>
      </c>
      <c r="G2655" s="387">
        <v>1.2</v>
      </c>
      <c r="H2655" s="929">
        <v>0.58333333333333337</v>
      </c>
      <c r="I2655" s="1303"/>
      <c r="J2655" s="1299"/>
      <c r="K2655" s="1300"/>
      <c r="L2655" s="922">
        <v>0.8125</v>
      </c>
      <c r="M2655" s="386"/>
    </row>
    <row r="2656" spans="3:13" ht="25" customHeight="1" thickBot="1">
      <c r="C2656" s="90">
        <v>1</v>
      </c>
      <c r="D2656" s="557" t="s">
        <v>30</v>
      </c>
      <c r="E2656" s="1358" t="s">
        <v>1523</v>
      </c>
      <c r="F2656" s="1359"/>
      <c r="G2656" s="1360"/>
      <c r="H2656" s="911" t="s">
        <v>790</v>
      </c>
      <c r="I2656" s="1345" t="s">
        <v>633</v>
      </c>
      <c r="J2656" s="1293"/>
      <c r="K2656" s="1294"/>
      <c r="L2656" s="911" t="s">
        <v>430</v>
      </c>
      <c r="M2656" s="558" t="s">
        <v>431</v>
      </c>
    </row>
    <row r="2657" spans="3:13" ht="24" customHeight="1">
      <c r="C2657" s="90"/>
      <c r="D2657" s="559" t="s">
        <v>432</v>
      </c>
      <c r="E2657" s="1563"/>
      <c r="F2657" s="1564"/>
      <c r="G2657" s="1565"/>
      <c r="H2657" s="919" t="s">
        <v>906</v>
      </c>
      <c r="I2657" s="1301" t="s">
        <v>1524</v>
      </c>
      <c r="J2657" s="1295"/>
      <c r="K2657" s="1296"/>
      <c r="L2657" s="920"/>
      <c r="M2657" s="376" t="s">
        <v>1523</v>
      </c>
    </row>
    <row r="2658" spans="3:13" ht="17">
      <c r="C2658" s="90"/>
      <c r="D2658" s="560" t="s">
        <v>433</v>
      </c>
      <c r="E2658" s="1341">
        <v>0</v>
      </c>
      <c r="F2658" s="1339"/>
      <c r="G2658" s="1340"/>
      <c r="H2658" s="907" t="s">
        <v>907</v>
      </c>
      <c r="I2658" s="1302"/>
      <c r="J2658" s="1297"/>
      <c r="K2658" s="1298"/>
      <c r="L2658" s="920"/>
      <c r="M2658" s="377"/>
    </row>
    <row r="2659" spans="3:13" ht="17">
      <c r="C2659" s="90"/>
      <c r="D2659" s="560" t="s">
        <v>434</v>
      </c>
      <c r="E2659" s="1341">
        <v>5.0000000000000001E-3</v>
      </c>
      <c r="F2659" s="1339"/>
      <c r="G2659" s="1340"/>
      <c r="H2659" s="907"/>
      <c r="I2659" s="1302"/>
      <c r="J2659" s="1297"/>
      <c r="K2659" s="1298"/>
      <c r="L2659" s="920"/>
      <c r="M2659" s="377"/>
    </row>
    <row r="2660" spans="3:13" ht="18" thickBot="1">
      <c r="C2660" s="90"/>
      <c r="D2660" s="561" t="s">
        <v>435</v>
      </c>
      <c r="E2660" s="1313">
        <v>0.54166666666666674</v>
      </c>
      <c r="F2660" s="1314"/>
      <c r="G2660" s="1315"/>
      <c r="H2660" s="909"/>
      <c r="I2660" s="1302"/>
      <c r="J2660" s="1297"/>
      <c r="K2660" s="1298"/>
      <c r="L2660" s="378">
        <v>0.77083333333333337</v>
      </c>
      <c r="M2660" s="379">
        <v>0.625</v>
      </c>
    </row>
    <row r="2661" spans="3:13" ht="18" thickBot="1">
      <c r="C2661" s="90"/>
      <c r="D2661" s="562" t="s">
        <v>436</v>
      </c>
      <c r="E2661" s="380" t="s">
        <v>29</v>
      </c>
      <c r="F2661" s="380" t="s">
        <v>28</v>
      </c>
      <c r="G2661" s="381" t="s">
        <v>27</v>
      </c>
      <c r="H2661" s="911" t="s">
        <v>793</v>
      </c>
      <c r="I2661" s="1302"/>
      <c r="J2661" s="1297"/>
      <c r="K2661" s="1298"/>
      <c r="L2661" s="921" t="s">
        <v>1246</v>
      </c>
      <c r="M2661" s="382"/>
    </row>
    <row r="2662" spans="3:13" ht="17">
      <c r="C2662" s="90"/>
      <c r="D2662" s="563">
        <v>45673</v>
      </c>
      <c r="E2662" s="387">
        <v>5.0000000000000001E-3</v>
      </c>
      <c r="F2662" s="387" t="s">
        <v>452</v>
      </c>
      <c r="G2662" s="387">
        <v>-2E-3</v>
      </c>
      <c r="H2662" s="929">
        <v>0.54166666666666674</v>
      </c>
      <c r="I2662" s="1302"/>
      <c r="J2662" s="1297"/>
      <c r="K2662" s="1298"/>
      <c r="L2662" s="922">
        <v>0.77083333333333337</v>
      </c>
      <c r="M2662" s="384"/>
    </row>
    <row r="2663" spans="3:13" ht="17">
      <c r="C2663" s="90"/>
      <c r="D2663" s="563">
        <v>45663</v>
      </c>
      <c r="E2663" s="387">
        <v>4.0000000000000001E-3</v>
      </c>
      <c r="F2663" s="387" t="s">
        <v>467</v>
      </c>
      <c r="G2663" s="387">
        <v>-2E-3</v>
      </c>
      <c r="H2663" s="929">
        <v>0.54166666666666674</v>
      </c>
      <c r="I2663" s="1302"/>
      <c r="J2663" s="1297"/>
      <c r="K2663" s="1298"/>
      <c r="L2663" s="922">
        <v>0.77083333333333337</v>
      </c>
      <c r="M2663" s="385"/>
    </row>
    <row r="2664" spans="3:13" ht="17">
      <c r="C2664" s="90"/>
      <c r="D2664" s="563">
        <v>45636</v>
      </c>
      <c r="E2664" s="387">
        <v>-2E-3</v>
      </c>
      <c r="F2664" s="387" t="s">
        <v>461</v>
      </c>
      <c r="G2664" s="387">
        <v>4.0000000000000001E-3</v>
      </c>
      <c r="H2664" s="929">
        <v>0.58333333333333337</v>
      </c>
      <c r="I2664" s="1302"/>
      <c r="J2664" s="1297"/>
      <c r="K2664" s="1298"/>
      <c r="L2664" s="922">
        <v>0.8125</v>
      </c>
      <c r="M2664" s="377"/>
    </row>
    <row r="2665" spans="3:13" ht="17">
      <c r="C2665" s="90"/>
      <c r="D2665" s="563">
        <v>45624</v>
      </c>
      <c r="E2665" s="387">
        <v>-2E-3</v>
      </c>
      <c r="F2665" s="387" t="s">
        <v>461</v>
      </c>
      <c r="G2665" s="387">
        <v>4.0000000000000001E-3</v>
      </c>
      <c r="H2665" s="929">
        <v>0.58333333333333337</v>
      </c>
      <c r="I2665" s="1302"/>
      <c r="J2665" s="1297"/>
      <c r="K2665" s="1298"/>
      <c r="L2665" s="922">
        <v>0.8125</v>
      </c>
      <c r="M2665" s="377"/>
    </row>
    <row r="2666" spans="3:13" ht="17">
      <c r="C2666" s="90"/>
      <c r="D2666" s="563">
        <v>45608</v>
      </c>
      <c r="E2666" s="387">
        <v>4.0000000000000001E-3</v>
      </c>
      <c r="F2666" s="387" t="s">
        <v>452</v>
      </c>
      <c r="G2666" s="387">
        <v>0</v>
      </c>
      <c r="H2666" s="929">
        <v>0.58333333333333337</v>
      </c>
      <c r="I2666" s="1302"/>
      <c r="J2666" s="1297"/>
      <c r="K2666" s="1298"/>
      <c r="L2666" s="922">
        <v>0.8125</v>
      </c>
      <c r="M2666" s="377"/>
    </row>
    <row r="2667" spans="3:13" ht="18" thickBot="1">
      <c r="C2667" s="90"/>
      <c r="D2667" s="563">
        <v>45595</v>
      </c>
      <c r="E2667" s="387">
        <v>4.0000000000000001E-3</v>
      </c>
      <c r="F2667" s="387" t="s">
        <v>460</v>
      </c>
      <c r="G2667" s="387">
        <v>0</v>
      </c>
      <c r="H2667" s="929">
        <v>0.58333333333333337</v>
      </c>
      <c r="I2667" s="1303"/>
      <c r="J2667" s="1299"/>
      <c r="K2667" s="1300"/>
      <c r="L2667" s="922">
        <v>0.8125</v>
      </c>
      <c r="M2667" s="386"/>
    </row>
    <row r="2668" spans="3:13" ht="25" customHeight="1" thickBot="1">
      <c r="C2668" s="90">
        <v>1</v>
      </c>
      <c r="D2668" s="557" t="s">
        <v>30</v>
      </c>
      <c r="E2668" s="1358" t="s">
        <v>1525</v>
      </c>
      <c r="F2668" s="1359"/>
      <c r="G2668" s="1360"/>
      <c r="H2668" s="911" t="s">
        <v>790</v>
      </c>
      <c r="I2668" s="1345" t="s">
        <v>633</v>
      </c>
      <c r="J2668" s="1293"/>
      <c r="K2668" s="1294"/>
      <c r="L2668" s="911" t="s">
        <v>430</v>
      </c>
      <c r="M2668" s="558" t="s">
        <v>431</v>
      </c>
    </row>
    <row r="2669" spans="3:13" ht="24" customHeight="1">
      <c r="C2669" s="90"/>
      <c r="D2669" s="559" t="s">
        <v>432</v>
      </c>
      <c r="E2669" s="1563"/>
      <c r="F2669" s="1564"/>
      <c r="G2669" s="1565"/>
      <c r="H2669" s="919" t="s">
        <v>906</v>
      </c>
      <c r="I2669" s="1301" t="s">
        <v>369</v>
      </c>
      <c r="J2669" s="1295"/>
      <c r="K2669" s="1296"/>
      <c r="L2669" s="920"/>
      <c r="M2669" s="376" t="s">
        <v>1525</v>
      </c>
    </row>
    <row r="2670" spans="3:13" ht="17">
      <c r="C2670" s="90"/>
      <c r="D2670" s="560" t="s">
        <v>433</v>
      </c>
      <c r="E2670" s="1341">
        <v>0</v>
      </c>
      <c r="F2670" s="1339"/>
      <c r="G2670" s="1340"/>
      <c r="H2670" s="907" t="s">
        <v>907</v>
      </c>
      <c r="I2670" s="1302"/>
      <c r="J2670" s="1297"/>
      <c r="K2670" s="1298"/>
      <c r="L2670" s="920"/>
      <c r="M2670" s="377"/>
    </row>
    <row r="2671" spans="3:13" ht="17">
      <c r="C2671" s="90"/>
      <c r="D2671" s="560" t="s">
        <v>434</v>
      </c>
      <c r="E2671" s="1341">
        <v>1E-3</v>
      </c>
      <c r="F2671" s="1339"/>
      <c r="G2671" s="1340"/>
      <c r="H2671" s="907"/>
      <c r="I2671" s="1302"/>
      <c r="J2671" s="1297"/>
      <c r="K2671" s="1298"/>
      <c r="L2671" s="920"/>
      <c r="M2671" s="377"/>
    </row>
    <row r="2672" spans="3:13" ht="18" thickBot="1">
      <c r="C2672" s="90"/>
      <c r="D2672" s="561" t="s">
        <v>435</v>
      </c>
      <c r="E2672" s="1313">
        <v>0.5625</v>
      </c>
      <c r="F2672" s="1314"/>
      <c r="G2672" s="1315"/>
      <c r="H2672" s="909"/>
      <c r="I2672" s="1302"/>
      <c r="J2672" s="1297"/>
      <c r="K2672" s="1298"/>
      <c r="L2672" s="378">
        <v>0.79166666666666663</v>
      </c>
      <c r="M2672" s="379">
        <v>0.64583333333333326</v>
      </c>
    </row>
    <row r="2673" spans="3:13" ht="18" thickBot="1">
      <c r="C2673" s="90"/>
      <c r="D2673" s="562" t="s">
        <v>436</v>
      </c>
      <c r="E2673" s="380" t="s">
        <v>29</v>
      </c>
      <c r="F2673" s="380" t="s">
        <v>28</v>
      </c>
      <c r="G2673" s="381" t="s">
        <v>27</v>
      </c>
      <c r="H2673" s="911" t="s">
        <v>793</v>
      </c>
      <c r="I2673" s="1302"/>
      <c r="J2673" s="1297"/>
      <c r="K2673" s="1298"/>
      <c r="L2673" s="921" t="s">
        <v>1246</v>
      </c>
      <c r="M2673" s="382"/>
    </row>
    <row r="2674" spans="3:13" ht="17">
      <c r="C2674" s="90"/>
      <c r="D2674" s="563">
        <v>45646</v>
      </c>
      <c r="E2674" s="387">
        <v>1E-3</v>
      </c>
      <c r="F2674" s="387" t="s">
        <v>460</v>
      </c>
      <c r="G2674" s="387">
        <v>3.0000000000000001E-3</v>
      </c>
      <c r="H2674" s="929">
        <v>0.5625</v>
      </c>
      <c r="I2674" s="1302"/>
      <c r="J2674" s="1297"/>
      <c r="K2674" s="1298"/>
      <c r="L2674" s="922">
        <v>0.79166666666666663</v>
      </c>
      <c r="M2674" s="384"/>
    </row>
    <row r="2675" spans="3:13" ht="17">
      <c r="C2675" s="90"/>
      <c r="D2675" s="563">
        <v>45623</v>
      </c>
      <c r="E2675" s="387">
        <v>3.0000000000000001E-3</v>
      </c>
      <c r="F2675" s="387" t="s">
        <v>467</v>
      </c>
      <c r="G2675" s="387">
        <v>3.0000000000000001E-3</v>
      </c>
      <c r="H2675" s="929">
        <v>0.5625</v>
      </c>
      <c r="I2675" s="1302"/>
      <c r="J2675" s="1297"/>
      <c r="K2675" s="1298"/>
      <c r="L2675" s="922">
        <v>0.79166666666666663</v>
      </c>
      <c r="M2675" s="385"/>
    </row>
    <row r="2676" spans="3:13" ht="17">
      <c r="C2676" s="90"/>
      <c r="D2676" s="563">
        <v>45596</v>
      </c>
      <c r="E2676" s="387">
        <v>3.0000000000000001E-3</v>
      </c>
      <c r="F2676" s="387" t="s">
        <v>467</v>
      </c>
      <c r="G2676" s="387">
        <v>2E-3</v>
      </c>
      <c r="H2676" s="929">
        <v>0.58333333333333337</v>
      </c>
      <c r="I2676" s="1302"/>
      <c r="J2676" s="1297"/>
      <c r="K2676" s="1298"/>
      <c r="L2676" s="922">
        <v>0.8125</v>
      </c>
      <c r="M2676" s="377"/>
    </row>
    <row r="2677" spans="3:13" ht="17">
      <c r="C2677" s="90"/>
      <c r="D2677" s="563">
        <v>45562</v>
      </c>
      <c r="E2677" s="387">
        <v>1E-3</v>
      </c>
      <c r="F2677" s="387" t="s">
        <v>460</v>
      </c>
      <c r="G2677" s="387">
        <v>2E-3</v>
      </c>
      <c r="H2677" s="929">
        <v>0.58333333333333337</v>
      </c>
      <c r="I2677" s="1302"/>
      <c r="J2677" s="1297"/>
      <c r="K2677" s="1298"/>
      <c r="L2677" s="922">
        <v>0.8125</v>
      </c>
      <c r="M2677" s="377"/>
    </row>
    <row r="2678" spans="3:13" ht="17">
      <c r="C2678" s="90"/>
      <c r="D2678" s="563">
        <v>45534</v>
      </c>
      <c r="E2678" s="387">
        <v>2E-3</v>
      </c>
      <c r="F2678" s="387" t="s">
        <v>460</v>
      </c>
      <c r="G2678" s="387">
        <v>2E-3</v>
      </c>
      <c r="H2678" s="929">
        <v>0.58333333333333337</v>
      </c>
      <c r="I2678" s="1302"/>
      <c r="J2678" s="1297"/>
      <c r="K2678" s="1298"/>
      <c r="L2678" s="922">
        <v>0.8125</v>
      </c>
      <c r="M2678" s="377"/>
    </row>
    <row r="2679" spans="3:13" ht="18" thickBot="1">
      <c r="C2679" s="90"/>
      <c r="D2679" s="563">
        <v>45499</v>
      </c>
      <c r="E2679" s="387">
        <v>2E-3</v>
      </c>
      <c r="F2679" s="387" t="s">
        <v>460</v>
      </c>
      <c r="G2679" s="387">
        <v>1E-3</v>
      </c>
      <c r="H2679" s="929">
        <v>0.58333333333333337</v>
      </c>
      <c r="I2679" s="1303"/>
      <c r="J2679" s="1299"/>
      <c r="K2679" s="1300"/>
      <c r="L2679" s="922">
        <v>0.8125</v>
      </c>
      <c r="M2679" s="386"/>
    </row>
    <row r="2680" spans="3:13" ht="25" customHeight="1" thickBot="1">
      <c r="C2680" s="90">
        <v>1</v>
      </c>
      <c r="D2680" s="557" t="s">
        <v>30</v>
      </c>
      <c r="E2680" s="1358" t="s">
        <v>1527</v>
      </c>
      <c r="F2680" s="1359"/>
      <c r="G2680" s="1360"/>
      <c r="H2680" s="911" t="s">
        <v>790</v>
      </c>
      <c r="I2680" s="1345" t="s">
        <v>633</v>
      </c>
      <c r="J2680" s="1293"/>
      <c r="K2680" s="1294"/>
      <c r="L2680" s="911" t="s">
        <v>430</v>
      </c>
      <c r="M2680" s="558" t="s">
        <v>431</v>
      </c>
    </row>
    <row r="2681" spans="3:13" ht="24" customHeight="1">
      <c r="C2681" s="90"/>
      <c r="D2681" s="559" t="s">
        <v>432</v>
      </c>
      <c r="E2681" s="1563"/>
      <c r="F2681" s="1564"/>
      <c r="G2681" s="1565"/>
      <c r="H2681" s="919" t="s">
        <v>906</v>
      </c>
      <c r="I2681" s="1301" t="s">
        <v>1528</v>
      </c>
      <c r="J2681" s="1295"/>
      <c r="K2681" s="1296"/>
      <c r="L2681" s="920"/>
      <c r="M2681" s="376" t="s">
        <v>1527</v>
      </c>
    </row>
    <row r="2682" spans="3:13" ht="17">
      <c r="C2682" s="90"/>
      <c r="D2682" s="560" t="s">
        <v>433</v>
      </c>
      <c r="E2682" s="1341">
        <v>0</v>
      </c>
      <c r="F2682" s="1339"/>
      <c r="G2682" s="1340"/>
      <c r="H2682" s="907" t="s">
        <v>907</v>
      </c>
      <c r="I2682" s="1302"/>
      <c r="J2682" s="1297"/>
      <c r="K2682" s="1298"/>
      <c r="L2682" s="920"/>
      <c r="M2682" s="377"/>
    </row>
    <row r="2683" spans="3:13" ht="17">
      <c r="C2683" s="90"/>
      <c r="D2683" s="560" t="s">
        <v>434</v>
      </c>
      <c r="E2683" s="1341">
        <v>0</v>
      </c>
      <c r="F2683" s="1339"/>
      <c r="G2683" s="1340"/>
      <c r="H2683" s="907"/>
      <c r="I2683" s="1302"/>
      <c r="J2683" s="1297"/>
      <c r="K2683" s="1298"/>
      <c r="L2683" s="920"/>
      <c r="M2683" s="377"/>
    </row>
    <row r="2684" spans="3:13" ht="18" thickBot="1">
      <c r="C2684" s="90"/>
      <c r="D2684" s="561" t="s">
        <v>435</v>
      </c>
      <c r="E2684" s="1313">
        <v>0.5625</v>
      </c>
      <c r="F2684" s="1314"/>
      <c r="G2684" s="1315"/>
      <c r="H2684" s="909"/>
      <c r="I2684" s="1302"/>
      <c r="J2684" s="1297"/>
      <c r="K2684" s="1298"/>
      <c r="L2684" s="378">
        <v>0.79166666666666663</v>
      </c>
      <c r="M2684" s="379">
        <v>0.64583333333333326</v>
      </c>
    </row>
    <row r="2685" spans="3:13" ht="18" thickBot="1">
      <c r="C2685" s="90"/>
      <c r="D2685" s="562" t="s">
        <v>436</v>
      </c>
      <c r="E2685" s="380" t="s">
        <v>29</v>
      </c>
      <c r="F2685" s="380" t="s">
        <v>28</v>
      </c>
      <c r="G2685" s="381" t="s">
        <v>27</v>
      </c>
      <c r="H2685" s="911" t="s">
        <v>793</v>
      </c>
      <c r="I2685" s="1302"/>
      <c r="J2685" s="1297"/>
      <c r="K2685" s="1298"/>
      <c r="L2685" s="921" t="s">
        <v>1246</v>
      </c>
      <c r="M2685" s="382"/>
    </row>
    <row r="2686" spans="3:13" ht="17">
      <c r="C2686" s="90"/>
      <c r="D2686" s="563">
        <v>45646</v>
      </c>
      <c r="E2686" s="387">
        <v>2.8000000000000001E-2</v>
      </c>
      <c r="F2686" s="387" t="s">
        <v>667</v>
      </c>
      <c r="G2686" s="387">
        <v>2.8000000000000001E-2</v>
      </c>
      <c r="H2686" s="929">
        <v>0.5625</v>
      </c>
      <c r="I2686" s="1302"/>
      <c r="J2686" s="1297"/>
      <c r="K2686" s="1298"/>
      <c r="L2686" s="922">
        <v>0.79166666666666663</v>
      </c>
      <c r="M2686" s="384"/>
    </row>
    <row r="2687" spans="3:13" ht="17">
      <c r="C2687" s="90"/>
      <c r="D2687" s="563">
        <v>45623</v>
      </c>
      <c r="E2687" s="387">
        <v>2.8000000000000001E-2</v>
      </c>
      <c r="F2687" s="387" t="s">
        <v>666</v>
      </c>
      <c r="G2687" s="387">
        <v>2.7E-2</v>
      </c>
      <c r="H2687" s="929">
        <v>0.5625</v>
      </c>
      <c r="I2687" s="1302"/>
      <c r="J2687" s="1297"/>
      <c r="K2687" s="1298"/>
      <c r="L2687" s="922">
        <v>0.79166666666666663</v>
      </c>
      <c r="M2687" s="385"/>
    </row>
    <row r="2688" spans="3:13" ht="17">
      <c r="C2688" s="90"/>
      <c r="D2688" s="563">
        <v>45596</v>
      </c>
      <c r="E2688" s="387">
        <v>2.7E-2</v>
      </c>
      <c r="F2688" s="387" t="s">
        <v>493</v>
      </c>
      <c r="G2688" s="387">
        <v>2.7E-2</v>
      </c>
      <c r="H2688" s="929">
        <v>0.58333333333333337</v>
      </c>
      <c r="I2688" s="1302"/>
      <c r="J2688" s="1297"/>
      <c r="K2688" s="1298"/>
      <c r="L2688" s="922">
        <v>0.8125</v>
      </c>
      <c r="M2688" s="377"/>
    </row>
    <row r="2689" spans="2:13" ht="17">
      <c r="C2689" s="90"/>
      <c r="D2689" s="563">
        <v>45562</v>
      </c>
      <c r="E2689" s="387">
        <v>2.7E-2</v>
      </c>
      <c r="F2689" s="387" t="s">
        <v>665</v>
      </c>
      <c r="G2689" s="387">
        <v>2.5999999999999999E-2</v>
      </c>
      <c r="H2689" s="929">
        <v>0.58333333333333337</v>
      </c>
      <c r="I2689" s="1302"/>
      <c r="J2689" s="1297"/>
      <c r="K2689" s="1298"/>
      <c r="L2689" s="922">
        <v>0.8125</v>
      </c>
      <c r="M2689" s="377"/>
    </row>
    <row r="2690" spans="2:13" ht="17">
      <c r="C2690" s="90"/>
      <c r="D2690" s="563">
        <v>45534</v>
      </c>
      <c r="E2690" s="387">
        <v>2.5999999999999999E-2</v>
      </c>
      <c r="F2690" s="387" t="s">
        <v>665</v>
      </c>
      <c r="G2690" s="387">
        <v>2.5999999999999999E-2</v>
      </c>
      <c r="H2690" s="929">
        <v>0.58333333333333337</v>
      </c>
      <c r="I2690" s="1302"/>
      <c r="J2690" s="1297"/>
      <c r="K2690" s="1298"/>
      <c r="L2690" s="922">
        <v>0.8125</v>
      </c>
      <c r="M2690" s="377"/>
    </row>
    <row r="2691" spans="2:13" ht="18" thickBot="1">
      <c r="C2691" s="90"/>
      <c r="D2691" s="563">
        <v>45499</v>
      </c>
      <c r="E2691" s="387">
        <v>2.5999999999999999E-2</v>
      </c>
      <c r="F2691" s="387" t="s">
        <v>495</v>
      </c>
      <c r="G2691" s="387">
        <v>2.5999999999999999E-2</v>
      </c>
      <c r="H2691" s="929">
        <v>0.58333333333333337</v>
      </c>
      <c r="I2691" s="1303"/>
      <c r="J2691" s="1299"/>
      <c r="K2691" s="1300"/>
      <c r="L2691" s="922">
        <v>0.8125</v>
      </c>
      <c r="M2691" s="386"/>
    </row>
    <row r="2692" spans="2:13" ht="25" customHeight="1" thickBot="1">
      <c r="C2692" s="90">
        <v>1</v>
      </c>
      <c r="D2692" s="557" t="s">
        <v>30</v>
      </c>
      <c r="E2692" s="1358" t="s">
        <v>1529</v>
      </c>
      <c r="F2692" s="1359"/>
      <c r="G2692" s="1360"/>
      <c r="H2692" s="911" t="s">
        <v>790</v>
      </c>
      <c r="I2692" s="1345" t="s">
        <v>633</v>
      </c>
      <c r="J2692" s="1293"/>
      <c r="K2692" s="1294"/>
      <c r="L2692" s="911" t="s">
        <v>430</v>
      </c>
      <c r="M2692" s="558" t="s">
        <v>431</v>
      </c>
    </row>
    <row r="2693" spans="2:13" ht="24" customHeight="1">
      <c r="C2693" s="90"/>
      <c r="D2693" s="559" t="s">
        <v>432</v>
      </c>
      <c r="E2693" s="1563"/>
      <c r="F2693" s="1564"/>
      <c r="G2693" s="1565"/>
      <c r="H2693" s="919" t="s">
        <v>906</v>
      </c>
      <c r="I2693" s="1301" t="s">
        <v>1530</v>
      </c>
      <c r="J2693" s="1295"/>
      <c r="K2693" s="1296"/>
      <c r="L2693" s="920"/>
      <c r="M2693" s="376" t="s">
        <v>1529</v>
      </c>
    </row>
    <row r="2694" spans="2:13" ht="17">
      <c r="C2694" s="90"/>
      <c r="D2694" s="560" t="s">
        <v>433</v>
      </c>
      <c r="E2694" s="1341">
        <v>0</v>
      </c>
      <c r="F2694" s="1339"/>
      <c r="G2694" s="1340"/>
      <c r="H2694" s="907" t="s">
        <v>907</v>
      </c>
      <c r="I2694" s="1302"/>
      <c r="J2694" s="1297"/>
      <c r="K2694" s="1298"/>
      <c r="L2694" s="920"/>
      <c r="M2694" s="377"/>
    </row>
    <row r="2695" spans="2:13" ht="17">
      <c r="C2695" s="90"/>
      <c r="D2695" s="560" t="s">
        <v>434</v>
      </c>
      <c r="E2695" s="1341">
        <v>36.9</v>
      </c>
      <c r="F2695" s="1339"/>
      <c r="G2695" s="1340"/>
      <c r="H2695" s="907"/>
      <c r="I2695" s="1302"/>
      <c r="J2695" s="1297"/>
      <c r="K2695" s="1298"/>
      <c r="L2695" s="920"/>
      <c r="M2695" s="377"/>
    </row>
    <row r="2696" spans="2:13" ht="18" thickBot="1">
      <c r="C2696" s="90"/>
      <c r="D2696" s="561" t="s">
        <v>435</v>
      </c>
      <c r="E2696" s="1313">
        <v>0.61458333333333337</v>
      </c>
      <c r="F2696" s="1314"/>
      <c r="G2696" s="1315"/>
      <c r="H2696" s="909"/>
      <c r="I2696" s="1302"/>
      <c r="J2696" s="1297"/>
      <c r="K2696" s="1298"/>
      <c r="L2696" s="378">
        <v>0.84375</v>
      </c>
      <c r="M2696" s="379">
        <v>0.69791666666666663</v>
      </c>
    </row>
    <row r="2697" spans="2:13" ht="18" thickBot="1">
      <c r="C2697" s="90"/>
      <c r="D2697" s="562" t="s">
        <v>436</v>
      </c>
      <c r="E2697" s="380" t="s">
        <v>29</v>
      </c>
      <c r="F2697" s="380" t="s">
        <v>28</v>
      </c>
      <c r="G2697" s="381" t="s">
        <v>27</v>
      </c>
      <c r="H2697" s="911" t="s">
        <v>793</v>
      </c>
      <c r="I2697" s="1302"/>
      <c r="J2697" s="1297"/>
      <c r="K2697" s="1298"/>
      <c r="L2697" s="921" t="s">
        <v>1246</v>
      </c>
      <c r="M2697" s="382"/>
    </row>
    <row r="2698" spans="2:13" ht="17">
      <c r="C2698" s="90"/>
      <c r="D2698" s="563">
        <v>45656</v>
      </c>
      <c r="E2698" s="387">
        <v>36.9</v>
      </c>
      <c r="F2698" s="387" t="s">
        <v>1556</v>
      </c>
      <c r="G2698" s="387">
        <v>40.200000000000003</v>
      </c>
      <c r="H2698" s="929">
        <v>0.61458333333333337</v>
      </c>
      <c r="I2698" s="1302"/>
      <c r="J2698" s="1297"/>
      <c r="K2698" s="1298"/>
      <c r="L2698" s="922">
        <v>0.84375</v>
      </c>
      <c r="M2698" s="384"/>
    </row>
    <row r="2699" spans="2:13" ht="17">
      <c r="C2699" s="90"/>
      <c r="D2699" s="563">
        <v>45625</v>
      </c>
      <c r="E2699" s="387">
        <v>40.200000000000003</v>
      </c>
      <c r="F2699" s="387" t="s">
        <v>477</v>
      </c>
      <c r="G2699" s="387">
        <v>41.6</v>
      </c>
      <c r="H2699" s="929">
        <v>0.61458333333333337</v>
      </c>
      <c r="I2699" s="1302"/>
      <c r="J2699" s="1297"/>
      <c r="K2699" s="1298"/>
      <c r="L2699" s="922">
        <v>0.84375</v>
      </c>
      <c r="M2699" s="385"/>
    </row>
    <row r="2700" spans="2:13" ht="17">
      <c r="C2700" s="90"/>
      <c r="D2700" s="563">
        <v>45596</v>
      </c>
      <c r="E2700" s="387">
        <v>41.6</v>
      </c>
      <c r="F2700" s="387" t="s">
        <v>1126</v>
      </c>
      <c r="G2700" s="387">
        <v>46.6</v>
      </c>
      <c r="H2700" s="929">
        <v>0.58333333333333337</v>
      </c>
      <c r="I2700" s="1302"/>
      <c r="J2700" s="1297"/>
      <c r="K2700" s="1298"/>
      <c r="L2700" s="922">
        <v>0.8125</v>
      </c>
      <c r="M2700" s="377"/>
    </row>
    <row r="2701" spans="2:13" ht="17">
      <c r="C2701" s="90"/>
      <c r="D2701" s="563">
        <v>45565</v>
      </c>
      <c r="E2701" s="387">
        <v>46.6</v>
      </c>
      <c r="F2701" s="387" t="s">
        <v>899</v>
      </c>
      <c r="G2701" s="387">
        <v>46.1</v>
      </c>
      <c r="H2701" s="929">
        <v>0.58333333333333337</v>
      </c>
      <c r="I2701" s="1302"/>
      <c r="J2701" s="1297"/>
      <c r="K2701" s="1298"/>
      <c r="L2701" s="922">
        <v>0.8125</v>
      </c>
      <c r="M2701" s="377"/>
    </row>
    <row r="2702" spans="2:13" ht="17">
      <c r="C2702" s="90"/>
      <c r="D2702" s="563">
        <v>45534</v>
      </c>
      <c r="E2702" s="387">
        <v>46.1</v>
      </c>
      <c r="F2702" s="387" t="s">
        <v>473</v>
      </c>
      <c r="G2702" s="387">
        <v>45.3</v>
      </c>
      <c r="H2702" s="929">
        <v>0.58333333333333337</v>
      </c>
      <c r="I2702" s="1302"/>
      <c r="J2702" s="1297"/>
      <c r="K2702" s="1298"/>
      <c r="L2702" s="922">
        <v>0.8125</v>
      </c>
      <c r="M2702" s="377"/>
    </row>
    <row r="2703" spans="2:13" ht="18" thickBot="1">
      <c r="C2703" s="90"/>
      <c r="D2703" s="563">
        <v>45504</v>
      </c>
      <c r="E2703" s="387">
        <v>45.3</v>
      </c>
      <c r="F2703" s="387" t="s">
        <v>474</v>
      </c>
      <c r="G2703" s="387">
        <v>47.4</v>
      </c>
      <c r="H2703" s="929">
        <v>0.58333333333333337</v>
      </c>
      <c r="I2703" s="1303"/>
      <c r="J2703" s="1299"/>
      <c r="K2703" s="1300"/>
      <c r="L2703" s="922">
        <v>0.8125</v>
      </c>
      <c r="M2703" s="386"/>
    </row>
    <row r="2704" spans="2:13" ht="18" thickBot="1">
      <c r="B2704" s="90" t="s">
        <v>1559</v>
      </c>
      <c r="C2704" s="90">
        <v>1</v>
      </c>
      <c r="D2704" s="557" t="s">
        <v>30</v>
      </c>
      <c r="E2704" s="1358" t="s">
        <v>1563</v>
      </c>
      <c r="F2704" s="1359"/>
      <c r="G2704" s="1360"/>
      <c r="H2704" s="911" t="s">
        <v>790</v>
      </c>
      <c r="I2704" s="1293" t="s">
        <v>633</v>
      </c>
      <c r="J2704" s="1293"/>
      <c r="K2704" s="1294"/>
      <c r="L2704" s="911" t="s">
        <v>430</v>
      </c>
      <c r="M2704" s="375" t="s">
        <v>431</v>
      </c>
    </row>
    <row r="2705" spans="3:13" ht="17">
      <c r="C2705" s="90"/>
      <c r="D2705" s="559" t="s">
        <v>432</v>
      </c>
      <c r="E2705" s="1307"/>
      <c r="F2705" s="1308"/>
      <c r="G2705" s="1309"/>
      <c r="H2705" s="919" t="s">
        <v>906</v>
      </c>
      <c r="I2705" s="1295" t="s">
        <v>1564</v>
      </c>
      <c r="J2705" s="1295"/>
      <c r="K2705" s="1296"/>
      <c r="L2705" s="920"/>
      <c r="M2705" s="376" t="s">
        <v>1563</v>
      </c>
    </row>
    <row r="2706" spans="3:13" ht="17">
      <c r="C2706" s="90"/>
      <c r="D2706" s="560" t="s">
        <v>433</v>
      </c>
      <c r="E2706" s="1341">
        <v>104.6</v>
      </c>
      <c r="F2706" s="1339"/>
      <c r="G2706" s="1340"/>
      <c r="H2706" s="907" t="s">
        <v>907</v>
      </c>
      <c r="I2706" s="1297"/>
      <c r="J2706" s="1297"/>
      <c r="K2706" s="1298"/>
      <c r="L2706" s="920"/>
      <c r="M2706" s="377"/>
    </row>
    <row r="2707" spans="3:13" ht="17">
      <c r="C2707" s="90"/>
      <c r="D2707" s="560" t="s">
        <v>434</v>
      </c>
      <c r="E2707" s="1341">
        <v>105.1</v>
      </c>
      <c r="F2707" s="1339"/>
      <c r="G2707" s="1340"/>
      <c r="H2707" s="907"/>
      <c r="I2707" s="1297"/>
      <c r="J2707" s="1297"/>
      <c r="K2707" s="1298"/>
      <c r="L2707" s="920"/>
      <c r="M2707" s="377"/>
    </row>
    <row r="2708" spans="3:13" ht="18" thickBot="1">
      <c r="C2708" s="90"/>
      <c r="D2708" s="561" t="s">
        <v>435</v>
      </c>
      <c r="E2708" s="1313">
        <v>0.45833333333333337</v>
      </c>
      <c r="F2708" s="1314"/>
      <c r="G2708" s="1315"/>
      <c r="H2708" s="909"/>
      <c r="I2708" s="1297"/>
      <c r="J2708" s="1297"/>
      <c r="K2708" s="1298"/>
      <c r="L2708" s="378">
        <v>0.6875</v>
      </c>
      <c r="M2708" s="379">
        <v>0.54166666666666663</v>
      </c>
    </row>
    <row r="2709" spans="3:13" ht="18" thickBot="1">
      <c r="C2709" s="90"/>
      <c r="D2709" s="562" t="s">
        <v>436</v>
      </c>
      <c r="E2709" s="380" t="s">
        <v>29</v>
      </c>
      <c r="F2709" s="380" t="s">
        <v>28</v>
      </c>
      <c r="G2709" s="381" t="s">
        <v>27</v>
      </c>
      <c r="H2709" s="911" t="s">
        <v>793</v>
      </c>
      <c r="I2709" s="1297"/>
      <c r="J2709" s="1297"/>
      <c r="K2709" s="1298"/>
      <c r="L2709" s="921" t="s">
        <v>1246</v>
      </c>
      <c r="M2709" s="382"/>
    </row>
    <row r="2710" spans="3:13" ht="17">
      <c r="C2710" s="90"/>
      <c r="D2710" s="563">
        <v>45671</v>
      </c>
      <c r="E2710" s="430">
        <v>105.1</v>
      </c>
      <c r="F2710" s="430" t="s">
        <v>1592</v>
      </c>
      <c r="G2710" s="430">
        <v>101.7</v>
      </c>
      <c r="H2710" s="922">
        <v>0.45833333333333337</v>
      </c>
      <c r="I2710" s="1297"/>
      <c r="J2710" s="1297"/>
      <c r="K2710" s="1298"/>
      <c r="L2710" s="922"/>
      <c r="M2710" s="384"/>
    </row>
    <row r="2711" spans="3:13" ht="17">
      <c r="C2711" s="90"/>
      <c r="D2711" s="563">
        <v>45636</v>
      </c>
      <c r="E2711" s="430">
        <v>101.7</v>
      </c>
      <c r="F2711" s="430" t="s">
        <v>1593</v>
      </c>
      <c r="G2711" s="430">
        <v>93.7</v>
      </c>
      <c r="H2711" s="922">
        <v>0.45833333333333337</v>
      </c>
      <c r="I2711" s="1297"/>
      <c r="J2711" s="1297"/>
      <c r="K2711" s="1298"/>
      <c r="L2711" s="922"/>
      <c r="M2711" s="385"/>
    </row>
    <row r="2712" spans="3:13" ht="17">
      <c r="C2712" s="90"/>
      <c r="D2712" s="563">
        <v>45608</v>
      </c>
      <c r="E2712" s="430">
        <v>93.7</v>
      </c>
      <c r="F2712" s="430" t="s">
        <v>1594</v>
      </c>
      <c r="G2712" s="430">
        <v>91.5</v>
      </c>
      <c r="H2712" s="922">
        <v>0.45833333333333337</v>
      </c>
      <c r="I2712" s="1297"/>
      <c r="J2712" s="1297"/>
      <c r="K2712" s="1298"/>
      <c r="L2712" s="922"/>
      <c r="M2712" s="377"/>
    </row>
    <row r="2713" spans="3:13" ht="17">
      <c r="C2713" s="90"/>
      <c r="D2713" s="563">
        <v>45573</v>
      </c>
      <c r="E2713" s="430">
        <v>91.5</v>
      </c>
      <c r="F2713" s="430" t="s">
        <v>1595</v>
      </c>
      <c r="G2713" s="430">
        <v>91.2</v>
      </c>
      <c r="H2713" s="922">
        <v>0.64583333333333337</v>
      </c>
      <c r="I2713" s="1297"/>
      <c r="J2713" s="1297"/>
      <c r="K2713" s="1298"/>
      <c r="L2713" s="922"/>
      <c r="M2713" s="377"/>
    </row>
    <row r="2714" spans="3:13" ht="17">
      <c r="C2714" s="90"/>
      <c r="D2714" s="563">
        <v>45545</v>
      </c>
      <c r="E2714" s="430">
        <v>91.2</v>
      </c>
      <c r="F2714" s="430" t="s">
        <v>1596</v>
      </c>
      <c r="G2714" s="430">
        <v>93.7</v>
      </c>
      <c r="H2714" s="922">
        <v>0.64583333333333337</v>
      </c>
      <c r="I2714" s="1297"/>
      <c r="J2714" s="1297"/>
      <c r="K2714" s="1298"/>
      <c r="L2714" s="922"/>
      <c r="M2714" s="377"/>
    </row>
    <row r="2715" spans="3:13" ht="18" thickBot="1">
      <c r="C2715" s="90"/>
      <c r="D2715" s="563">
        <v>45517</v>
      </c>
      <c r="E2715" s="430">
        <v>93.7</v>
      </c>
      <c r="F2715" s="430" t="s">
        <v>1597</v>
      </c>
      <c r="G2715" s="430">
        <v>91.5</v>
      </c>
      <c r="H2715" s="922">
        <v>0.64583333333333337</v>
      </c>
      <c r="I2715" s="1299"/>
      <c r="J2715" s="1299"/>
      <c r="K2715" s="1300"/>
      <c r="L2715" s="922"/>
      <c r="M2715" s="386"/>
    </row>
    <row r="2716" spans="3:13" ht="18" thickBot="1">
      <c r="C2716" s="90" t="e">
        <v>#REF!</v>
      </c>
      <c r="D2716" s="557" t="s">
        <v>30</v>
      </c>
      <c r="E2716" s="1358" t="s">
        <v>1565</v>
      </c>
      <c r="F2716" s="1359"/>
      <c r="G2716" s="1360"/>
      <c r="H2716" s="911" t="s">
        <v>790</v>
      </c>
      <c r="I2716" s="1293" t="s">
        <v>633</v>
      </c>
      <c r="J2716" s="1293"/>
      <c r="K2716" s="1294"/>
      <c r="L2716" s="911" t="s">
        <v>430</v>
      </c>
      <c r="M2716" s="558" t="s">
        <v>431</v>
      </c>
    </row>
    <row r="2717" spans="3:13" ht="17">
      <c r="C2717" s="90"/>
      <c r="D2717" s="559" t="s">
        <v>432</v>
      </c>
      <c r="E2717" s="1307"/>
      <c r="F2717" s="1308"/>
      <c r="G2717" s="1309"/>
      <c r="H2717" s="919" t="s">
        <v>906</v>
      </c>
      <c r="I2717" s="1295" t="s">
        <v>1566</v>
      </c>
      <c r="J2717" s="1295"/>
      <c r="K2717" s="1296"/>
      <c r="L2717" s="920"/>
      <c r="M2717" s="376" t="s">
        <v>1565</v>
      </c>
    </row>
    <row r="2718" spans="3:13" ht="17">
      <c r="C2718" s="90"/>
      <c r="D2718" s="560" t="s">
        <v>433</v>
      </c>
      <c r="E2718" s="1338"/>
      <c r="F2718" s="1339"/>
      <c r="G2718" s="1340"/>
      <c r="H2718" s="907" t="s">
        <v>907</v>
      </c>
      <c r="I2718" s="1297"/>
      <c r="J2718" s="1297"/>
      <c r="K2718" s="1298"/>
      <c r="L2718" s="920"/>
      <c r="M2718" s="377"/>
    </row>
    <row r="2719" spans="3:13" ht="17">
      <c r="C2719" s="90"/>
      <c r="D2719" s="560" t="s">
        <v>434</v>
      </c>
      <c r="E2719" s="1338"/>
      <c r="F2719" s="1339"/>
      <c r="G2719" s="1340"/>
      <c r="H2719" s="907"/>
      <c r="I2719" s="1297"/>
      <c r="J2719" s="1297"/>
      <c r="K2719" s="1298"/>
      <c r="L2719" s="920"/>
      <c r="M2719" s="377"/>
    </row>
    <row r="2720" spans="3:13" ht="18" thickBot="1">
      <c r="C2720" s="90"/>
      <c r="D2720" s="561" t="s">
        <v>435</v>
      </c>
      <c r="E2720" s="1313">
        <v>0.625</v>
      </c>
      <c r="F2720" s="1314"/>
      <c r="G2720" s="1315"/>
      <c r="H2720" s="909"/>
      <c r="I2720" s="1297"/>
      <c r="J2720" s="1297"/>
      <c r="K2720" s="1298"/>
      <c r="L2720" s="378">
        <v>0.85416666666666663</v>
      </c>
      <c r="M2720" s="379">
        <v>0.70833333333333326</v>
      </c>
    </row>
    <row r="2721" spans="3:13" ht="18" thickBot="1">
      <c r="C2721" s="90"/>
      <c r="D2721" s="562" t="s">
        <v>436</v>
      </c>
      <c r="E2721" s="380" t="s">
        <v>29</v>
      </c>
      <c r="F2721" s="380" t="s">
        <v>28</v>
      </c>
      <c r="G2721" s="381" t="s">
        <v>27</v>
      </c>
      <c r="H2721" s="911" t="s">
        <v>793</v>
      </c>
      <c r="I2721" s="1297"/>
      <c r="J2721" s="1297"/>
      <c r="K2721" s="1298"/>
      <c r="L2721" s="921" t="s">
        <v>1246</v>
      </c>
      <c r="M2721" s="382"/>
    </row>
    <row r="2722" spans="3:13">
      <c r="C2722" s="90"/>
      <c r="D2722" s="563">
        <v>45483</v>
      </c>
      <c r="E2722" s="564"/>
      <c r="F2722" s="564"/>
      <c r="G2722" s="564"/>
      <c r="H2722" s="922">
        <v>0.58333333333333337</v>
      </c>
      <c r="I2722" s="1297"/>
      <c r="J2722" s="1297"/>
      <c r="K2722" s="1298"/>
      <c r="L2722" s="923">
        <v>0.8125</v>
      </c>
      <c r="M2722" s="384"/>
    </row>
    <row r="2723" spans="3:13">
      <c r="C2723" s="90"/>
      <c r="D2723" s="563">
        <v>45482</v>
      </c>
      <c r="E2723" s="564"/>
      <c r="F2723" s="564"/>
      <c r="G2723" s="564"/>
      <c r="H2723" s="922">
        <v>0.58333333333333337</v>
      </c>
      <c r="I2723" s="1297"/>
      <c r="J2723" s="1297"/>
      <c r="K2723" s="1298"/>
      <c r="L2723" s="923">
        <v>0.8125</v>
      </c>
      <c r="M2723" s="385"/>
    </row>
    <row r="2724" spans="3:13">
      <c r="C2724" s="90"/>
      <c r="D2724" s="563">
        <v>45358</v>
      </c>
      <c r="E2724" s="564"/>
      <c r="F2724" s="564"/>
      <c r="G2724" s="564"/>
      <c r="H2724" s="922">
        <v>0.625</v>
      </c>
      <c r="I2724" s="1297"/>
      <c r="J2724" s="1297"/>
      <c r="K2724" s="1298"/>
      <c r="L2724" s="923">
        <v>0.85416666666666663</v>
      </c>
      <c r="M2724" s="377"/>
    </row>
    <row r="2725" spans="3:13">
      <c r="C2725" s="90"/>
      <c r="D2725" s="563">
        <v>45357</v>
      </c>
      <c r="E2725" s="564"/>
      <c r="F2725" s="564"/>
      <c r="G2725" s="564"/>
      <c r="H2725" s="922">
        <v>0.625</v>
      </c>
      <c r="I2725" s="1297"/>
      <c r="J2725" s="1297"/>
      <c r="K2725" s="1298"/>
      <c r="L2725" s="923">
        <v>0.85416666666666663</v>
      </c>
      <c r="M2725" s="377"/>
    </row>
    <row r="2726" spans="3:13">
      <c r="C2726" s="90"/>
      <c r="D2726" s="563">
        <v>45099</v>
      </c>
      <c r="E2726" s="564"/>
      <c r="F2726" s="564"/>
      <c r="G2726" s="564"/>
      <c r="H2726" s="922">
        <v>0.58333333333333337</v>
      </c>
      <c r="I2726" s="1297"/>
      <c r="J2726" s="1297"/>
      <c r="K2726" s="1298"/>
      <c r="L2726" s="923">
        <v>0.8125</v>
      </c>
      <c r="M2726" s="377"/>
    </row>
    <row r="2727" spans="3:13" ht="17" thickBot="1">
      <c r="C2727" s="90"/>
      <c r="D2727" s="563">
        <v>45098</v>
      </c>
      <c r="E2727" s="564"/>
      <c r="F2727" s="564"/>
      <c r="G2727" s="564"/>
      <c r="H2727" s="922">
        <v>0.58333333333333337</v>
      </c>
      <c r="I2727" s="1299"/>
      <c r="J2727" s="1299"/>
      <c r="K2727" s="1300"/>
      <c r="L2727" s="923">
        <v>0.8125</v>
      </c>
      <c r="M2727" s="386"/>
    </row>
    <row r="2728" spans="3:13" ht="18" thickBot="1">
      <c r="C2728" s="90">
        <v>2</v>
      </c>
      <c r="D2728" s="557" t="s">
        <v>30</v>
      </c>
      <c r="E2728" s="1358" t="s">
        <v>1567</v>
      </c>
      <c r="F2728" s="1359"/>
      <c r="G2728" s="1360"/>
      <c r="H2728" s="911" t="s">
        <v>790</v>
      </c>
      <c r="I2728" s="1293" t="s">
        <v>633</v>
      </c>
      <c r="J2728" s="1293"/>
      <c r="K2728" s="1294"/>
      <c r="L2728" s="911" t="s">
        <v>430</v>
      </c>
      <c r="M2728" s="558" t="s">
        <v>431</v>
      </c>
    </row>
    <row r="2729" spans="3:13" ht="17">
      <c r="C2729" s="90"/>
      <c r="D2729" s="559" t="s">
        <v>432</v>
      </c>
      <c r="E2729" s="1307"/>
      <c r="F2729" s="1308"/>
      <c r="G2729" s="1309"/>
      <c r="H2729" s="919" t="s">
        <v>906</v>
      </c>
      <c r="I2729" s="1295" t="s">
        <v>1568</v>
      </c>
      <c r="J2729" s="1295"/>
      <c r="K2729" s="1296"/>
      <c r="L2729" s="920"/>
      <c r="M2729" s="376" t="s">
        <v>1567</v>
      </c>
    </row>
    <row r="2730" spans="3:13" ht="17">
      <c r="C2730" s="90"/>
      <c r="D2730" s="560" t="s">
        <v>433</v>
      </c>
      <c r="E2730" s="1338" t="s">
        <v>1090</v>
      </c>
      <c r="F2730" s="1339"/>
      <c r="G2730" s="1340"/>
      <c r="H2730" s="907" t="s">
        <v>907</v>
      </c>
      <c r="I2730" s="1297"/>
      <c r="J2730" s="1297"/>
      <c r="K2730" s="1298"/>
      <c r="L2730" s="920"/>
      <c r="M2730" s="377"/>
    </row>
    <row r="2731" spans="3:13" ht="17">
      <c r="C2731" s="90"/>
      <c r="D2731" s="560" t="s">
        <v>434</v>
      </c>
      <c r="E2731" s="1338">
        <v>2E-3</v>
      </c>
      <c r="F2731" s="1339"/>
      <c r="G2731" s="1340"/>
      <c r="H2731" s="907"/>
      <c r="I2731" s="1297"/>
      <c r="J2731" s="1297"/>
      <c r="K2731" s="1298"/>
      <c r="L2731" s="920"/>
      <c r="M2731" s="377"/>
    </row>
    <row r="2732" spans="3:13" ht="18" thickBot="1">
      <c r="C2732" s="90"/>
      <c r="D2732" s="561" t="s">
        <v>435</v>
      </c>
      <c r="E2732" s="1313">
        <v>0.5625</v>
      </c>
      <c r="F2732" s="1314"/>
      <c r="G2732" s="1315"/>
      <c r="H2732" s="909"/>
      <c r="I2732" s="1297"/>
      <c r="J2732" s="1297"/>
      <c r="K2732" s="1298"/>
      <c r="L2732" s="378">
        <v>0.79166666666666663</v>
      </c>
      <c r="M2732" s="379">
        <v>0.64583333333333326</v>
      </c>
    </row>
    <row r="2733" spans="3:13" ht="18" thickBot="1">
      <c r="C2733" s="90"/>
      <c r="D2733" s="562" t="s">
        <v>436</v>
      </c>
      <c r="E2733" s="380" t="s">
        <v>29</v>
      </c>
      <c r="F2733" s="380" t="s">
        <v>28</v>
      </c>
      <c r="G2733" s="381" t="s">
        <v>27</v>
      </c>
      <c r="H2733" s="911" t="s">
        <v>793</v>
      </c>
      <c r="I2733" s="1297"/>
      <c r="J2733" s="1297"/>
      <c r="K2733" s="1298"/>
      <c r="L2733" s="921" t="s">
        <v>1246</v>
      </c>
      <c r="M2733" s="382"/>
    </row>
    <row r="2734" spans="3:13" ht="17">
      <c r="C2734" s="90"/>
      <c r="D2734" s="563">
        <v>45672</v>
      </c>
      <c r="E2734" s="564">
        <v>2E-3</v>
      </c>
      <c r="F2734" s="564" t="s">
        <v>467</v>
      </c>
      <c r="G2734" s="564">
        <v>3.0000000000000001E-3</v>
      </c>
      <c r="H2734" s="922">
        <v>0.5625</v>
      </c>
      <c r="I2734" s="1297"/>
      <c r="J2734" s="1297"/>
      <c r="K2734" s="1298"/>
      <c r="L2734" s="923">
        <v>0.79166666666666663</v>
      </c>
      <c r="M2734" s="384"/>
    </row>
    <row r="2735" spans="3:13" ht="17">
      <c r="C2735" s="90"/>
      <c r="D2735" s="563">
        <v>45637</v>
      </c>
      <c r="E2735" s="564">
        <v>3.0000000000000001E-3</v>
      </c>
      <c r="F2735" s="564" t="s">
        <v>467</v>
      </c>
      <c r="G2735" s="564">
        <v>3.0000000000000001E-3</v>
      </c>
      <c r="H2735" s="922">
        <v>0.5625</v>
      </c>
      <c r="I2735" s="1297"/>
      <c r="J2735" s="1297"/>
      <c r="K2735" s="1298"/>
      <c r="L2735" s="923">
        <v>0.79166666666666663</v>
      </c>
      <c r="M2735" s="385"/>
    </row>
    <row r="2736" spans="3:13" ht="17">
      <c r="C2736" s="90"/>
      <c r="D2736" s="563">
        <v>45609</v>
      </c>
      <c r="E2736" s="564">
        <v>3.0000000000000001E-3</v>
      </c>
      <c r="F2736" s="564" t="s">
        <v>467</v>
      </c>
      <c r="G2736" s="564">
        <v>3.0000000000000001E-3</v>
      </c>
      <c r="H2736" s="922">
        <v>0.5625</v>
      </c>
      <c r="I2736" s="1297"/>
      <c r="J2736" s="1297"/>
      <c r="K2736" s="1298"/>
      <c r="L2736" s="923">
        <v>0.79166666666666663</v>
      </c>
      <c r="M2736" s="377"/>
    </row>
    <row r="2737" spans="3:13" ht="17">
      <c r="C2737" s="90"/>
      <c r="D2737" s="563">
        <v>45575</v>
      </c>
      <c r="E2737" s="564">
        <v>3.0000000000000001E-3</v>
      </c>
      <c r="F2737" s="564" t="s">
        <v>460</v>
      </c>
      <c r="G2737" s="564">
        <v>3.0000000000000001E-3</v>
      </c>
      <c r="H2737" s="922">
        <v>0.52083333333333337</v>
      </c>
      <c r="I2737" s="1297"/>
      <c r="J2737" s="1297"/>
      <c r="K2737" s="1298"/>
      <c r="L2737" s="923">
        <v>0.75</v>
      </c>
      <c r="M2737" s="377"/>
    </row>
    <row r="2738" spans="3:13" ht="17">
      <c r="C2738" s="90"/>
      <c r="D2738" s="563">
        <v>45546</v>
      </c>
      <c r="E2738" s="564">
        <v>3.0000000000000001E-3</v>
      </c>
      <c r="F2738" s="564" t="s">
        <v>460</v>
      </c>
      <c r="G2738" s="564">
        <v>2E-3</v>
      </c>
      <c r="H2738" s="922">
        <v>0.52083333333333337</v>
      </c>
      <c r="I2738" s="1297"/>
      <c r="J2738" s="1297"/>
      <c r="K2738" s="1298"/>
      <c r="L2738" s="923">
        <v>0.75</v>
      </c>
      <c r="M2738" s="377"/>
    </row>
    <row r="2739" spans="3:13" ht="18" thickBot="1">
      <c r="C2739" s="90"/>
      <c r="D2739" s="563">
        <v>45518</v>
      </c>
      <c r="E2739" s="564">
        <v>2E-3</v>
      </c>
      <c r="F2739" s="564" t="s">
        <v>460</v>
      </c>
      <c r="G2739" s="564">
        <v>1E-3</v>
      </c>
      <c r="H2739" s="922">
        <v>0.52083333333333337</v>
      </c>
      <c r="I2739" s="1299"/>
      <c r="J2739" s="1299"/>
      <c r="K2739" s="1300"/>
      <c r="L2739" s="923">
        <v>0.75</v>
      </c>
      <c r="M2739" s="386"/>
    </row>
    <row r="2740" spans="3:13" ht="18" thickBot="1">
      <c r="C2740" s="90">
        <v>3</v>
      </c>
      <c r="D2740" s="557" t="s">
        <v>30</v>
      </c>
      <c r="E2740" s="1358" t="s">
        <v>1569</v>
      </c>
      <c r="F2740" s="1359"/>
      <c r="G2740" s="1360"/>
      <c r="H2740" s="911" t="s">
        <v>790</v>
      </c>
      <c r="I2740" s="1293" t="s">
        <v>633</v>
      </c>
      <c r="J2740" s="1293"/>
      <c r="K2740" s="1294"/>
      <c r="L2740" s="911" t="s">
        <v>430</v>
      </c>
      <c r="M2740" s="375" t="s">
        <v>431</v>
      </c>
    </row>
    <row r="2741" spans="3:13" ht="17">
      <c r="C2741" s="90"/>
      <c r="D2741" s="559" t="s">
        <v>432</v>
      </c>
      <c r="E2741" s="1307"/>
      <c r="F2741" s="1308"/>
      <c r="G2741" s="1309"/>
      <c r="H2741" s="919" t="s">
        <v>906</v>
      </c>
      <c r="I2741" s="1295" t="s">
        <v>1568</v>
      </c>
      <c r="J2741" s="1295"/>
      <c r="K2741" s="1296"/>
      <c r="L2741" s="920"/>
      <c r="M2741" s="376" t="s">
        <v>1569</v>
      </c>
    </row>
    <row r="2742" spans="3:13" ht="17">
      <c r="C2742" s="90"/>
      <c r="D2742" s="560" t="s">
        <v>433</v>
      </c>
      <c r="E2742" s="1341" t="s">
        <v>1090</v>
      </c>
      <c r="F2742" s="1339"/>
      <c r="G2742" s="1340"/>
      <c r="H2742" s="907" t="s">
        <v>907</v>
      </c>
      <c r="I2742" s="1297"/>
      <c r="J2742" s="1297"/>
      <c r="K2742" s="1298"/>
      <c r="L2742" s="920"/>
      <c r="M2742" s="377"/>
    </row>
    <row r="2743" spans="3:13" ht="17">
      <c r="C2743" s="90"/>
      <c r="D2743" s="560" t="s">
        <v>434</v>
      </c>
      <c r="E2743" s="1338">
        <v>4.0000000000000001E-3</v>
      </c>
      <c r="F2743" s="1339"/>
      <c r="G2743" s="1340"/>
      <c r="H2743" s="907"/>
      <c r="I2743" s="1297"/>
      <c r="J2743" s="1297"/>
      <c r="K2743" s="1298"/>
      <c r="L2743" s="920"/>
      <c r="M2743" s="377"/>
    </row>
    <row r="2744" spans="3:13" ht="18" thickBot="1">
      <c r="C2744" s="90"/>
      <c r="D2744" s="561" t="s">
        <v>435</v>
      </c>
      <c r="E2744" s="1313">
        <v>0.5625</v>
      </c>
      <c r="F2744" s="1314"/>
      <c r="G2744" s="1315"/>
      <c r="H2744" s="909"/>
      <c r="I2744" s="1297"/>
      <c r="J2744" s="1297"/>
      <c r="K2744" s="1298"/>
      <c r="L2744" s="378">
        <v>0.79166666666666663</v>
      </c>
      <c r="M2744" s="379">
        <v>0.64583333333333326</v>
      </c>
    </row>
    <row r="2745" spans="3:13" ht="18" thickBot="1">
      <c r="C2745" s="90"/>
      <c r="D2745" s="562" t="s">
        <v>436</v>
      </c>
      <c r="E2745" s="380" t="s">
        <v>29</v>
      </c>
      <c r="F2745" s="380" t="s">
        <v>28</v>
      </c>
      <c r="G2745" s="381" t="s">
        <v>27</v>
      </c>
      <c r="H2745" s="911" t="s">
        <v>793</v>
      </c>
      <c r="I2745" s="1297"/>
      <c r="J2745" s="1297"/>
      <c r="K2745" s="1298"/>
      <c r="L2745" s="921" t="s">
        <v>1246</v>
      </c>
      <c r="M2745" s="382"/>
    </row>
    <row r="2746" spans="3:13" ht="17">
      <c r="C2746" s="90"/>
      <c r="D2746" s="563">
        <v>45672</v>
      </c>
      <c r="E2746" s="564">
        <v>2.9000000000000001E-2</v>
      </c>
      <c r="F2746" s="564" t="s">
        <v>667</v>
      </c>
      <c r="G2746" s="564">
        <v>2.7E-2</v>
      </c>
      <c r="H2746" s="922">
        <v>0.5625</v>
      </c>
      <c r="I2746" s="1297"/>
      <c r="J2746" s="1297"/>
      <c r="K2746" s="1298"/>
      <c r="L2746" s="923">
        <v>0.79166666666666663</v>
      </c>
      <c r="M2746" s="384"/>
    </row>
    <row r="2747" spans="3:13" ht="17">
      <c r="C2747" s="90"/>
      <c r="D2747" s="563">
        <v>45637</v>
      </c>
      <c r="E2747" s="564">
        <v>2.7E-2</v>
      </c>
      <c r="F2747" s="564" t="s">
        <v>665</v>
      </c>
      <c r="G2747" s="564">
        <v>2.5999999999999999E-2</v>
      </c>
      <c r="H2747" s="922">
        <v>0.5625</v>
      </c>
      <c r="I2747" s="1297"/>
      <c r="J2747" s="1297"/>
      <c r="K2747" s="1298"/>
      <c r="L2747" s="923">
        <v>0.79166666666666663</v>
      </c>
      <c r="M2747" s="385"/>
    </row>
    <row r="2748" spans="3:13" ht="17">
      <c r="C2748" s="90"/>
      <c r="D2748" s="563">
        <v>45609</v>
      </c>
      <c r="E2748" s="564">
        <v>2.5999999999999999E-2</v>
      </c>
      <c r="F2748" s="564" t="s">
        <v>493</v>
      </c>
      <c r="G2748" s="564">
        <v>2.4E-2</v>
      </c>
      <c r="H2748" s="922">
        <v>0.5625</v>
      </c>
      <c r="I2748" s="1297"/>
      <c r="J2748" s="1297"/>
      <c r="K2748" s="1298"/>
      <c r="L2748" s="923">
        <v>0.79166666666666663</v>
      </c>
      <c r="M2748" s="377"/>
    </row>
    <row r="2749" spans="3:13" ht="17">
      <c r="C2749" s="90"/>
      <c r="D2749" s="563">
        <v>45575</v>
      </c>
      <c r="E2749" s="564">
        <v>2.4E-2</v>
      </c>
      <c r="F2749" s="564" t="s">
        <v>971</v>
      </c>
      <c r="G2749" s="564">
        <v>2.5000000000000001E-2</v>
      </c>
      <c r="H2749" s="922">
        <v>0.52083333333333337</v>
      </c>
      <c r="I2749" s="1297"/>
      <c r="J2749" s="1297"/>
      <c r="K2749" s="1298"/>
      <c r="L2749" s="923">
        <v>0.75</v>
      </c>
      <c r="M2749" s="377"/>
    </row>
    <row r="2750" spans="3:13" ht="17">
      <c r="C2750" s="90"/>
      <c r="D2750" s="563">
        <v>45546</v>
      </c>
      <c r="E2750" s="564">
        <v>2.5000000000000001E-2</v>
      </c>
      <c r="F2750" s="564" t="s">
        <v>495</v>
      </c>
      <c r="G2750" s="564">
        <v>2.9000000000000001E-2</v>
      </c>
      <c r="H2750" s="922">
        <v>0.52083333333333337</v>
      </c>
      <c r="I2750" s="1297"/>
      <c r="J2750" s="1297"/>
      <c r="K2750" s="1298"/>
      <c r="L2750" s="923">
        <v>0.75</v>
      </c>
      <c r="M2750" s="377"/>
    </row>
    <row r="2751" spans="3:13" ht="18" thickBot="1">
      <c r="C2751" s="90"/>
      <c r="D2751" s="563">
        <v>45518</v>
      </c>
      <c r="E2751" s="564">
        <v>2.9000000000000001E-2</v>
      </c>
      <c r="F2751" s="564" t="s">
        <v>669</v>
      </c>
      <c r="G2751" s="564">
        <v>0.03</v>
      </c>
      <c r="H2751" s="922">
        <v>0.52083333333333337</v>
      </c>
      <c r="I2751" s="1299"/>
      <c r="J2751" s="1299"/>
      <c r="K2751" s="1300"/>
      <c r="L2751" s="923">
        <v>0.75</v>
      </c>
      <c r="M2751" s="386"/>
    </row>
    <row r="2752" spans="3:13" ht="18" thickBot="1">
      <c r="C2752" s="90">
        <v>3</v>
      </c>
      <c r="D2752" s="557" t="s">
        <v>30</v>
      </c>
      <c r="E2752" s="1358" t="s">
        <v>1570</v>
      </c>
      <c r="F2752" s="1359"/>
      <c r="G2752" s="1360"/>
      <c r="H2752" s="911" t="s">
        <v>790</v>
      </c>
      <c r="I2752" s="1293" t="s">
        <v>633</v>
      </c>
      <c r="J2752" s="1293"/>
      <c r="K2752" s="1294"/>
      <c r="L2752" s="911" t="s">
        <v>430</v>
      </c>
      <c r="M2752" s="375" t="s">
        <v>431</v>
      </c>
    </row>
    <row r="2753" spans="3:13" ht="17">
      <c r="C2753" s="90"/>
      <c r="D2753" s="559" t="s">
        <v>432</v>
      </c>
      <c r="E2753" s="1307"/>
      <c r="F2753" s="1308"/>
      <c r="G2753" s="1309"/>
      <c r="H2753" s="919" t="s">
        <v>906</v>
      </c>
      <c r="I2753" s="1295" t="s">
        <v>1568</v>
      </c>
      <c r="J2753" s="1295"/>
      <c r="K2753" s="1296"/>
      <c r="L2753" s="920"/>
      <c r="M2753" s="376" t="s">
        <v>1570</v>
      </c>
    </row>
    <row r="2754" spans="3:13" ht="17">
      <c r="C2754" s="90"/>
      <c r="D2754" s="560" t="s">
        <v>433</v>
      </c>
      <c r="E2754" s="1370">
        <v>0</v>
      </c>
      <c r="F2754" s="1368"/>
      <c r="G2754" s="1369"/>
      <c r="H2754" s="907" t="s">
        <v>907</v>
      </c>
      <c r="I2754" s="1297"/>
      <c r="J2754" s="1297"/>
      <c r="K2754" s="1298"/>
      <c r="L2754" s="920"/>
      <c r="M2754" s="377"/>
    </row>
    <row r="2755" spans="3:13" ht="17">
      <c r="C2755" s="90"/>
      <c r="D2755" s="560" t="s">
        <v>434</v>
      </c>
      <c r="E2755" s="1370">
        <v>2.9000000000000001E-2</v>
      </c>
      <c r="F2755" s="1368"/>
      <c r="G2755" s="1369"/>
      <c r="H2755" s="907"/>
      <c r="I2755" s="1297"/>
      <c r="J2755" s="1297"/>
      <c r="K2755" s="1298"/>
      <c r="L2755" s="920"/>
      <c r="M2755" s="377"/>
    </row>
    <row r="2756" spans="3:13" ht="18" thickBot="1">
      <c r="C2756" s="90"/>
      <c r="D2756" s="561" t="s">
        <v>435</v>
      </c>
      <c r="E2756" s="1313">
        <v>0.5625</v>
      </c>
      <c r="F2756" s="1314"/>
      <c r="G2756" s="1315"/>
      <c r="H2756" s="909">
        <v>0.35416666666666663</v>
      </c>
      <c r="I2756" s="1297"/>
      <c r="J2756" s="1297"/>
      <c r="K2756" s="1298"/>
      <c r="L2756" s="378">
        <v>0.79166666666666663</v>
      </c>
      <c r="M2756" s="379">
        <v>0.64583333333333326</v>
      </c>
    </row>
    <row r="2757" spans="3:13" ht="18" thickBot="1">
      <c r="C2757" s="90"/>
      <c r="D2757" s="562" t="s">
        <v>436</v>
      </c>
      <c r="E2757" s="380" t="s">
        <v>29</v>
      </c>
      <c r="F2757" s="380" t="s">
        <v>28</v>
      </c>
      <c r="G2757" s="381" t="s">
        <v>27</v>
      </c>
      <c r="H2757" s="911" t="s">
        <v>793</v>
      </c>
      <c r="I2757" s="1297"/>
      <c r="J2757" s="1297"/>
      <c r="K2757" s="1298"/>
      <c r="L2757" s="921" t="s">
        <v>1246</v>
      </c>
      <c r="M2757" s="382"/>
    </row>
    <row r="2758" spans="3:13" ht="17">
      <c r="C2758" s="90"/>
      <c r="D2758" s="563">
        <v>45672</v>
      </c>
      <c r="E2758" s="565">
        <v>2.9000000000000001E-2</v>
      </c>
      <c r="F2758" s="565" t="s">
        <v>667</v>
      </c>
      <c r="G2758" s="565">
        <v>2.7E-2</v>
      </c>
      <c r="H2758" s="922">
        <v>0.5625</v>
      </c>
      <c r="I2758" s="1297"/>
      <c r="J2758" s="1297"/>
      <c r="K2758" s="1298"/>
      <c r="L2758" s="923">
        <v>0.79166666666666663</v>
      </c>
      <c r="M2758" s="384"/>
    </row>
    <row r="2759" spans="3:13" ht="17">
      <c r="C2759" s="90"/>
      <c r="D2759" s="563">
        <v>45637</v>
      </c>
      <c r="E2759" s="565">
        <v>2.7E-2</v>
      </c>
      <c r="F2759" s="565" t="s">
        <v>665</v>
      </c>
      <c r="G2759" s="565">
        <v>2.5999999999999999E-2</v>
      </c>
      <c r="H2759" s="922">
        <v>0.5625</v>
      </c>
      <c r="I2759" s="1297"/>
      <c r="J2759" s="1297"/>
      <c r="K2759" s="1298"/>
      <c r="L2759" s="923">
        <v>0.79166666666666663</v>
      </c>
      <c r="M2759" s="385"/>
    </row>
    <row r="2760" spans="3:13" ht="17">
      <c r="C2760" s="90"/>
      <c r="D2760" s="563">
        <v>45609</v>
      </c>
      <c r="E2760" s="565">
        <v>2.5999999999999999E-2</v>
      </c>
      <c r="F2760" s="565" t="s">
        <v>493</v>
      </c>
      <c r="G2760" s="565">
        <v>2.4E-2</v>
      </c>
      <c r="H2760" s="922">
        <v>0.5625</v>
      </c>
      <c r="I2760" s="1297"/>
      <c r="J2760" s="1297"/>
      <c r="K2760" s="1298"/>
      <c r="L2760" s="923">
        <v>0.79166666666666663</v>
      </c>
      <c r="M2760" s="377"/>
    </row>
    <row r="2761" spans="3:13" ht="17">
      <c r="C2761" s="90"/>
      <c r="D2761" s="563">
        <v>45575</v>
      </c>
      <c r="E2761" s="565">
        <v>2.4E-2</v>
      </c>
      <c r="F2761" s="565" t="s">
        <v>971</v>
      </c>
      <c r="G2761" s="565">
        <v>2.5000000000000001E-2</v>
      </c>
      <c r="H2761" s="922">
        <v>0.52083333333333337</v>
      </c>
      <c r="I2761" s="1297"/>
      <c r="J2761" s="1297"/>
      <c r="K2761" s="1298"/>
      <c r="L2761" s="923">
        <v>0.75</v>
      </c>
      <c r="M2761" s="377"/>
    </row>
    <row r="2762" spans="3:13" ht="17">
      <c r="C2762" s="90"/>
      <c r="D2762" s="563">
        <v>45546</v>
      </c>
      <c r="E2762" s="565">
        <v>2.5000000000000001E-2</v>
      </c>
      <c r="F2762" s="565" t="s">
        <v>495</v>
      </c>
      <c r="G2762" s="565">
        <v>2.9000000000000001E-2</v>
      </c>
      <c r="H2762" s="922">
        <v>0.52083333333333337</v>
      </c>
      <c r="I2762" s="1297"/>
      <c r="J2762" s="1297"/>
      <c r="K2762" s="1298"/>
      <c r="L2762" s="923">
        <v>0.75</v>
      </c>
      <c r="M2762" s="377"/>
    </row>
    <row r="2763" spans="3:13" ht="18" thickBot="1">
      <c r="C2763" s="90"/>
      <c r="D2763" s="563">
        <v>45518</v>
      </c>
      <c r="E2763" s="565">
        <v>2.9000000000000001E-2</v>
      </c>
      <c r="F2763" s="565" t="s">
        <v>669</v>
      </c>
      <c r="G2763" s="565">
        <v>0.03</v>
      </c>
      <c r="H2763" s="922">
        <v>0.52083333333333337</v>
      </c>
      <c r="I2763" s="1299"/>
      <c r="J2763" s="1299"/>
      <c r="K2763" s="1300"/>
      <c r="L2763" s="923">
        <v>0.75</v>
      </c>
      <c r="M2763" s="386"/>
    </row>
    <row r="2764" spans="3:13" ht="18" thickBot="1">
      <c r="C2764" s="90">
        <v>4</v>
      </c>
      <c r="D2764" s="557" t="s">
        <v>30</v>
      </c>
      <c r="E2764" s="1358" t="s">
        <v>1571</v>
      </c>
      <c r="F2764" s="1359"/>
      <c r="G2764" s="1360"/>
      <c r="H2764" s="911" t="s">
        <v>790</v>
      </c>
      <c r="I2764" s="1293" t="s">
        <v>633</v>
      </c>
      <c r="J2764" s="1293"/>
      <c r="K2764" s="1294"/>
      <c r="L2764" s="911" t="s">
        <v>430</v>
      </c>
      <c r="M2764" s="375" t="s">
        <v>431</v>
      </c>
    </row>
    <row r="2765" spans="3:13" ht="17">
      <c r="C2765" s="90"/>
      <c r="D2765" s="559" t="s">
        <v>432</v>
      </c>
      <c r="E2765" s="1307"/>
      <c r="F2765" s="1308"/>
      <c r="G2765" s="1309"/>
      <c r="H2765" s="919" t="s">
        <v>906</v>
      </c>
      <c r="I2765" s="1295" t="s">
        <v>1505</v>
      </c>
      <c r="J2765" s="1295"/>
      <c r="K2765" s="1296"/>
      <c r="L2765" s="920"/>
      <c r="M2765" s="376" t="s">
        <v>1571</v>
      </c>
    </row>
    <row r="2766" spans="3:13" ht="17">
      <c r="C2766" s="90"/>
      <c r="D2766" s="560" t="s">
        <v>433</v>
      </c>
      <c r="E2766" s="1370"/>
      <c r="F2766" s="1368"/>
      <c r="G2766" s="1369"/>
      <c r="H2766" s="907" t="s">
        <v>907</v>
      </c>
      <c r="I2766" s="1297"/>
      <c r="J2766" s="1297"/>
      <c r="K2766" s="1298"/>
      <c r="L2766" s="920"/>
      <c r="M2766" s="377"/>
    </row>
    <row r="2767" spans="3:13" ht="17">
      <c r="C2767" s="90"/>
      <c r="D2767" s="560" t="s">
        <v>434</v>
      </c>
      <c r="E2767" s="1370" t="s">
        <v>1572</v>
      </c>
      <c r="F2767" s="1368"/>
      <c r="G2767" s="1369"/>
      <c r="H2767" s="907"/>
      <c r="I2767" s="1297"/>
      <c r="J2767" s="1297"/>
      <c r="K2767" s="1298"/>
      <c r="L2767" s="920"/>
      <c r="M2767" s="377"/>
    </row>
    <row r="2768" spans="3:13" ht="18" thickBot="1">
      <c r="C2768" s="90"/>
      <c r="D2768" s="561" t="s">
        <v>435</v>
      </c>
      <c r="E2768" s="1313">
        <v>0.64583333333333337</v>
      </c>
      <c r="F2768" s="1314"/>
      <c r="G2768" s="1315"/>
      <c r="H2768" s="909">
        <v>0.4375</v>
      </c>
      <c r="I2768" s="1297"/>
      <c r="J2768" s="1297"/>
      <c r="K2768" s="1298"/>
      <c r="L2768" s="378">
        <v>0.875</v>
      </c>
      <c r="M2768" s="379">
        <v>0.72916666666666663</v>
      </c>
    </row>
    <row r="2769" spans="3:13" ht="18" thickBot="1">
      <c r="C2769" s="90"/>
      <c r="D2769" s="562" t="s">
        <v>436</v>
      </c>
      <c r="E2769" s="380" t="s">
        <v>29</v>
      </c>
      <c r="F2769" s="380" t="s">
        <v>28</v>
      </c>
      <c r="G2769" s="381" t="s">
        <v>27</v>
      </c>
      <c r="H2769" s="911" t="s">
        <v>793</v>
      </c>
      <c r="I2769" s="1297"/>
      <c r="J2769" s="1297"/>
      <c r="K2769" s="1298"/>
      <c r="L2769" s="921" t="s">
        <v>1246</v>
      </c>
      <c r="M2769" s="382"/>
    </row>
    <row r="2770" spans="3:13" ht="17">
      <c r="C2770" s="90"/>
      <c r="D2770" s="563">
        <v>45693</v>
      </c>
      <c r="E2770" s="565" t="s">
        <v>1599</v>
      </c>
      <c r="F2770" s="565" t="s">
        <v>1600</v>
      </c>
      <c r="G2770" s="565" t="s">
        <v>1601</v>
      </c>
      <c r="H2770" s="922">
        <v>0.64583333333333337</v>
      </c>
      <c r="I2770" s="1297"/>
      <c r="J2770" s="1297"/>
      <c r="K2770" s="1298"/>
      <c r="L2770" s="923">
        <v>0.875</v>
      </c>
      <c r="M2770" s="390">
        <v>0.72916666666666663</v>
      </c>
    </row>
    <row r="2771" spans="3:13" ht="17">
      <c r="C2771" s="90"/>
      <c r="D2771" s="563">
        <v>45686</v>
      </c>
      <c r="E2771" s="565" t="s">
        <v>1601</v>
      </c>
      <c r="F2771" s="565" t="s">
        <v>1602</v>
      </c>
      <c r="G2771" s="565" t="s">
        <v>1603</v>
      </c>
      <c r="H2771" s="922">
        <v>0.64583333333333337</v>
      </c>
      <c r="I2771" s="1297"/>
      <c r="J2771" s="1297"/>
      <c r="K2771" s="1298"/>
      <c r="L2771" s="923">
        <v>0.875</v>
      </c>
      <c r="M2771" s="390">
        <v>0.72916666666666663</v>
      </c>
    </row>
    <row r="2772" spans="3:13" ht="17">
      <c r="C2772" s="90"/>
      <c r="D2772" s="563">
        <v>45680</v>
      </c>
      <c r="E2772" s="565" t="s">
        <v>1603</v>
      </c>
      <c r="F2772" s="565" t="s">
        <v>1604</v>
      </c>
      <c r="G2772" s="565" t="s">
        <v>1605</v>
      </c>
      <c r="H2772" s="922">
        <v>0.70833333333333337</v>
      </c>
      <c r="I2772" s="1297"/>
      <c r="J2772" s="1297"/>
      <c r="K2772" s="1298"/>
      <c r="L2772" s="923">
        <v>0.9375</v>
      </c>
      <c r="M2772" s="390">
        <v>0.79166666666666663</v>
      </c>
    </row>
    <row r="2773" spans="3:13" ht="17">
      <c r="C2773" s="90"/>
      <c r="D2773" s="563">
        <v>45672</v>
      </c>
      <c r="E2773" s="565" t="s">
        <v>1605</v>
      </c>
      <c r="F2773" s="565" t="s">
        <v>1606</v>
      </c>
      <c r="G2773" s="565" t="s">
        <v>1607</v>
      </c>
      <c r="H2773" s="922">
        <v>0.64583333333333337</v>
      </c>
      <c r="I2773" s="1297"/>
      <c r="J2773" s="1297"/>
      <c r="K2773" s="1298"/>
      <c r="L2773" s="923">
        <v>0.875</v>
      </c>
      <c r="M2773" s="390">
        <v>0.72916666666666663</v>
      </c>
    </row>
    <row r="2774" spans="3:13" ht="17">
      <c r="C2774" s="90"/>
      <c r="D2774" s="563">
        <v>45665</v>
      </c>
      <c r="E2774" s="565" t="s">
        <v>1607</v>
      </c>
      <c r="F2774" s="565" t="s">
        <v>1608</v>
      </c>
      <c r="G2774" s="565" t="s">
        <v>1609</v>
      </c>
      <c r="H2774" s="922">
        <v>0.64583333333333337</v>
      </c>
      <c r="I2774" s="1297"/>
      <c r="J2774" s="1297"/>
      <c r="K2774" s="1298"/>
      <c r="L2774" s="923">
        <v>0.875</v>
      </c>
      <c r="M2774" s="390">
        <v>0.72916666666666663</v>
      </c>
    </row>
    <row r="2775" spans="3:13" ht="18" thickBot="1">
      <c r="C2775" s="90"/>
      <c r="D2775" s="563">
        <v>45659</v>
      </c>
      <c r="E2775" s="565" t="s">
        <v>1609</v>
      </c>
      <c r="F2775" s="565" t="s">
        <v>1610</v>
      </c>
      <c r="G2775" s="565" t="s">
        <v>1611</v>
      </c>
      <c r="H2775" s="922">
        <v>0.66666666666666674</v>
      </c>
      <c r="I2775" s="1299"/>
      <c r="J2775" s="1299"/>
      <c r="K2775" s="1300"/>
      <c r="L2775" s="923">
        <v>0.89583333333333337</v>
      </c>
      <c r="M2775" s="390">
        <v>0.75</v>
      </c>
    </row>
    <row r="2776" spans="3:13" ht="18" thickBot="1">
      <c r="C2776" s="90">
        <v>4</v>
      </c>
      <c r="D2776" s="557" t="s">
        <v>30</v>
      </c>
      <c r="E2776" s="1358" t="s">
        <v>52</v>
      </c>
      <c r="F2776" s="1359"/>
      <c r="G2776" s="1360"/>
      <c r="H2776" s="911" t="s">
        <v>790</v>
      </c>
      <c r="I2776" s="1293" t="s">
        <v>633</v>
      </c>
      <c r="J2776" s="1293"/>
      <c r="K2776" s="1294"/>
      <c r="L2776" s="911" t="s">
        <v>430</v>
      </c>
      <c r="M2776" s="375" t="s">
        <v>431</v>
      </c>
    </row>
    <row r="2777" spans="3:13" ht="17">
      <c r="C2777" s="90"/>
      <c r="D2777" s="559" t="s">
        <v>432</v>
      </c>
      <c r="E2777" s="1307"/>
      <c r="F2777" s="1308"/>
      <c r="G2777" s="1309"/>
      <c r="H2777" s="919" t="s">
        <v>906</v>
      </c>
      <c r="I2777" s="1295" t="s">
        <v>1573</v>
      </c>
      <c r="J2777" s="1295"/>
      <c r="K2777" s="1296"/>
      <c r="L2777" s="920"/>
      <c r="M2777" s="376" t="s">
        <v>52</v>
      </c>
    </row>
    <row r="2778" spans="3:13" ht="17">
      <c r="C2778" s="90"/>
      <c r="D2778" s="560" t="s">
        <v>433</v>
      </c>
      <c r="E2778" s="1370"/>
      <c r="F2778" s="1368"/>
      <c r="G2778" s="1369"/>
      <c r="H2778" s="907" t="s">
        <v>907</v>
      </c>
      <c r="I2778" s="1297"/>
      <c r="J2778" s="1297"/>
      <c r="K2778" s="1298"/>
      <c r="L2778" s="920"/>
      <c r="M2778" s="377"/>
    </row>
    <row r="2779" spans="3:13" ht="17">
      <c r="C2779" s="90"/>
      <c r="D2779" s="560" t="s">
        <v>434</v>
      </c>
      <c r="E2779" s="1371">
        <v>4.6800000000000001E-2</v>
      </c>
      <c r="F2779" s="1372"/>
      <c r="G2779" s="1373"/>
      <c r="H2779" s="907"/>
      <c r="I2779" s="1297"/>
      <c r="J2779" s="1297"/>
      <c r="K2779" s="1298"/>
      <c r="L2779" s="920"/>
      <c r="M2779" s="377"/>
    </row>
    <row r="2780" spans="3:13" ht="18" thickBot="1">
      <c r="C2780" s="90"/>
      <c r="D2780" s="561" t="s">
        <v>435</v>
      </c>
      <c r="E2780" s="1313">
        <v>0.75</v>
      </c>
      <c r="F2780" s="1314"/>
      <c r="G2780" s="1315"/>
      <c r="H2780" s="909">
        <v>0.54166666666666663</v>
      </c>
      <c r="I2780" s="1297"/>
      <c r="J2780" s="1297"/>
      <c r="K2780" s="1298"/>
      <c r="L2780" s="378">
        <v>0.97916666666666663</v>
      </c>
      <c r="M2780" s="379">
        <v>0.83333333333333326</v>
      </c>
    </row>
    <row r="2781" spans="3:13" ht="18" thickBot="1">
      <c r="C2781" s="90"/>
      <c r="D2781" s="562" t="s">
        <v>436</v>
      </c>
      <c r="E2781" s="380" t="s">
        <v>29</v>
      </c>
      <c r="F2781" s="380" t="s">
        <v>28</v>
      </c>
      <c r="G2781" s="381" t="s">
        <v>27</v>
      </c>
      <c r="H2781" s="911" t="s">
        <v>793</v>
      </c>
      <c r="I2781" s="1297"/>
      <c r="J2781" s="1297"/>
      <c r="K2781" s="1298"/>
      <c r="L2781" s="921" t="s">
        <v>1246</v>
      </c>
      <c r="M2781" s="382"/>
    </row>
    <row r="2782" spans="3:13" ht="17">
      <c r="C2782" s="90"/>
      <c r="D2782" s="563">
        <v>45664</v>
      </c>
      <c r="E2782" s="652">
        <v>4.6800000000000001E-2</v>
      </c>
      <c r="F2782" s="652" t="s">
        <v>754</v>
      </c>
      <c r="G2782" s="652">
        <v>4.2349999999999999E-2</v>
      </c>
      <c r="H2782" s="922">
        <v>0.75</v>
      </c>
      <c r="I2782" s="1297"/>
      <c r="J2782" s="1297"/>
      <c r="K2782" s="1298"/>
      <c r="L2782" s="923">
        <v>0.97916666666666663</v>
      </c>
      <c r="M2782" s="390">
        <v>0.83333333333333326</v>
      </c>
    </row>
    <row r="2783" spans="3:13" ht="17">
      <c r="C2783" s="90"/>
      <c r="D2783" s="563">
        <v>45637</v>
      </c>
      <c r="E2783" s="652">
        <v>4.2349999999999999E-2</v>
      </c>
      <c r="F2783" s="652" t="s">
        <v>754</v>
      </c>
      <c r="G2783" s="652">
        <v>4.3470000000000002E-2</v>
      </c>
      <c r="H2783" s="922">
        <v>0.75</v>
      </c>
      <c r="I2783" s="1297"/>
      <c r="J2783" s="1297"/>
      <c r="K2783" s="1298"/>
      <c r="L2783" s="923">
        <v>0.97916666666666663</v>
      </c>
      <c r="M2783" s="390">
        <v>0.83333333333333326</v>
      </c>
    </row>
    <row r="2784" spans="3:13" ht="17">
      <c r="C2784" s="90"/>
      <c r="D2784" s="563">
        <v>45601</v>
      </c>
      <c r="E2784" s="652">
        <v>4.3470000000000002E-2</v>
      </c>
      <c r="F2784" s="652" t="s">
        <v>754</v>
      </c>
      <c r="G2784" s="652">
        <v>4.0660000000000002E-2</v>
      </c>
      <c r="H2784" s="922">
        <v>0.75</v>
      </c>
      <c r="I2784" s="1297"/>
      <c r="J2784" s="1297"/>
      <c r="K2784" s="1298"/>
      <c r="L2784" s="923">
        <v>0.97916666666666663</v>
      </c>
      <c r="M2784" s="390">
        <v>0.83333333333333326</v>
      </c>
    </row>
    <row r="2785" spans="3:13" ht="17">
      <c r="C2785" s="90"/>
      <c r="D2785" s="563">
        <v>45574</v>
      </c>
      <c r="E2785" s="652">
        <v>4.0660000000000002E-2</v>
      </c>
      <c r="F2785" s="652" t="s">
        <v>754</v>
      </c>
      <c r="G2785" s="652">
        <v>3.6479999999999999E-2</v>
      </c>
      <c r="H2785" s="922">
        <v>0.70833333333333337</v>
      </c>
      <c r="I2785" s="1297"/>
      <c r="J2785" s="1297"/>
      <c r="K2785" s="1298"/>
      <c r="L2785" s="923">
        <v>0.9375</v>
      </c>
      <c r="M2785" s="390">
        <v>0.79166666666666663</v>
      </c>
    </row>
    <row r="2786" spans="3:13" ht="17">
      <c r="C2786" s="90"/>
      <c r="D2786" s="563">
        <v>45546</v>
      </c>
      <c r="E2786" s="652">
        <v>3.6479999999999999E-2</v>
      </c>
      <c r="F2786" s="652" t="s">
        <v>754</v>
      </c>
      <c r="G2786" s="652">
        <v>3.9600000000000003E-2</v>
      </c>
      <c r="H2786" s="922">
        <v>0.70833333333333337</v>
      </c>
      <c r="I2786" s="1297"/>
      <c r="J2786" s="1297"/>
      <c r="K2786" s="1298"/>
      <c r="L2786" s="923">
        <v>0.9375</v>
      </c>
      <c r="M2786" s="390">
        <v>0.79166666666666663</v>
      </c>
    </row>
    <row r="2787" spans="3:13" ht="18" thickBot="1">
      <c r="C2787" s="90"/>
      <c r="D2787" s="563">
        <v>45511</v>
      </c>
      <c r="E2787" s="652">
        <v>3.9600000000000003E-2</v>
      </c>
      <c r="F2787" s="652" t="s">
        <v>754</v>
      </c>
      <c r="G2787" s="652">
        <v>4.2759999999999999E-2</v>
      </c>
      <c r="H2787" s="922">
        <v>0.70833333333333337</v>
      </c>
      <c r="I2787" s="1299"/>
      <c r="J2787" s="1299"/>
      <c r="K2787" s="1300"/>
      <c r="L2787" s="923">
        <v>0.9375</v>
      </c>
      <c r="M2787" s="390">
        <v>0.79166666666666663</v>
      </c>
    </row>
    <row r="2788" spans="3:13" ht="18" thickBot="1">
      <c r="C2788" s="90">
        <v>3</v>
      </c>
      <c r="D2788" s="557" t="s">
        <v>30</v>
      </c>
      <c r="E2788" s="1358" t="s">
        <v>1574</v>
      </c>
      <c r="F2788" s="1359"/>
      <c r="G2788" s="1360"/>
      <c r="H2788" s="911" t="s">
        <v>790</v>
      </c>
      <c r="I2788" s="1293" t="s">
        <v>633</v>
      </c>
      <c r="J2788" s="1293"/>
      <c r="K2788" s="1294"/>
      <c r="L2788" s="911" t="s">
        <v>430</v>
      </c>
      <c r="M2788" s="388" t="s">
        <v>431</v>
      </c>
    </row>
    <row r="2789" spans="3:13" ht="17">
      <c r="C2789" s="90"/>
      <c r="D2789" s="559" t="s">
        <v>432</v>
      </c>
      <c r="E2789" s="1307"/>
      <c r="F2789" s="1308"/>
      <c r="G2789" s="1309"/>
      <c r="H2789" s="919" t="s">
        <v>798</v>
      </c>
      <c r="I2789" s="1295" t="s">
        <v>1575</v>
      </c>
      <c r="J2789" s="1295"/>
      <c r="K2789" s="1296"/>
      <c r="L2789" s="920"/>
      <c r="M2789" s="376" t="s">
        <v>1574</v>
      </c>
    </row>
    <row r="2790" spans="3:13" ht="17">
      <c r="C2790" s="90"/>
      <c r="D2790" s="560" t="s">
        <v>433</v>
      </c>
      <c r="E2790" s="1361">
        <v>0</v>
      </c>
      <c r="F2790" s="1362"/>
      <c r="G2790" s="1363"/>
      <c r="H2790" s="919" t="s">
        <v>799</v>
      </c>
      <c r="I2790" s="1297"/>
      <c r="J2790" s="1297"/>
      <c r="K2790" s="1298"/>
      <c r="L2790" s="920"/>
      <c r="M2790" s="377"/>
    </row>
    <row r="2791" spans="3:13" ht="17">
      <c r="C2791" s="90"/>
      <c r="D2791" s="560" t="s">
        <v>434</v>
      </c>
      <c r="E2791" s="1361">
        <v>8.9999999999999993E-3</v>
      </c>
      <c r="F2791" s="1362"/>
      <c r="G2791" s="1363"/>
      <c r="H2791" s="907"/>
      <c r="I2791" s="1297"/>
      <c r="J2791" s="1297"/>
      <c r="K2791" s="1298"/>
      <c r="L2791" s="920"/>
      <c r="M2791" s="377"/>
    </row>
    <row r="2792" spans="3:13" ht="18" thickBot="1">
      <c r="C2792" s="90"/>
      <c r="D2792" s="561" t="s">
        <v>435</v>
      </c>
      <c r="E2792" s="1313">
        <v>0.29166666666666674</v>
      </c>
      <c r="F2792" s="1314"/>
      <c r="G2792" s="1315"/>
      <c r="H2792" s="909">
        <v>8.3333333333333398E-2</v>
      </c>
      <c r="I2792" s="1297"/>
      <c r="J2792" s="1297"/>
      <c r="K2792" s="1298"/>
      <c r="L2792" s="378">
        <v>0.52083333333333337</v>
      </c>
      <c r="M2792" s="379">
        <v>0.375</v>
      </c>
    </row>
    <row r="2793" spans="3:13" ht="18" thickBot="1">
      <c r="C2793" s="90"/>
      <c r="D2793" s="562" t="s">
        <v>436</v>
      </c>
      <c r="E2793" s="380" t="s">
        <v>29</v>
      </c>
      <c r="F2793" s="380" t="s">
        <v>28</v>
      </c>
      <c r="G2793" s="381" t="s">
        <v>27</v>
      </c>
      <c r="H2793" s="911" t="s">
        <v>793</v>
      </c>
      <c r="I2793" s="1297"/>
      <c r="J2793" s="1297"/>
      <c r="K2793" s="1298"/>
      <c r="L2793" s="921"/>
      <c r="M2793" s="382"/>
    </row>
    <row r="2794" spans="3:13" ht="17">
      <c r="C2794" s="90"/>
      <c r="D2794" s="563">
        <v>45649</v>
      </c>
      <c r="E2794" s="565">
        <v>8.9999999999999993E-3</v>
      </c>
      <c r="F2794" s="565" t="s">
        <v>1536</v>
      </c>
      <c r="G2794" s="565">
        <v>7.0000000000000001E-3</v>
      </c>
      <c r="H2794" s="922">
        <v>0.29166666666666674</v>
      </c>
      <c r="I2794" s="1297"/>
      <c r="J2794" s="1297"/>
      <c r="K2794" s="1298"/>
      <c r="L2794" s="923">
        <v>0.52083333333333337</v>
      </c>
      <c r="M2794" s="384"/>
    </row>
    <row r="2795" spans="3:13" ht="17">
      <c r="C2795" s="90"/>
      <c r="D2795" s="563">
        <v>45611</v>
      </c>
      <c r="E2795" s="565">
        <v>0.01</v>
      </c>
      <c r="F2795" s="565" t="s">
        <v>462</v>
      </c>
      <c r="G2795" s="565">
        <v>7.0000000000000001E-3</v>
      </c>
      <c r="H2795" s="922">
        <v>0.29166666666666674</v>
      </c>
      <c r="I2795" s="1297"/>
      <c r="J2795" s="1297"/>
      <c r="K2795" s="1298"/>
      <c r="L2795" s="923">
        <v>0.52083333333333337</v>
      </c>
      <c r="M2795" s="385"/>
    </row>
    <row r="2796" spans="3:13" ht="17">
      <c r="C2796" s="90"/>
      <c r="D2796" s="563">
        <v>45565</v>
      </c>
      <c r="E2796" s="565">
        <v>7.0000000000000001E-3</v>
      </c>
      <c r="F2796" s="565" t="s">
        <v>459</v>
      </c>
      <c r="G2796" s="565">
        <v>3.0000000000000001E-3</v>
      </c>
      <c r="H2796" s="922">
        <v>0.29166666666666674</v>
      </c>
      <c r="I2796" s="1297"/>
      <c r="J2796" s="1297"/>
      <c r="K2796" s="1298"/>
      <c r="L2796" s="923">
        <v>0.52083333333333337</v>
      </c>
      <c r="M2796" s="377"/>
    </row>
    <row r="2797" spans="3:13" ht="17">
      <c r="C2797" s="90"/>
      <c r="D2797" s="563">
        <v>45519</v>
      </c>
      <c r="E2797" s="565">
        <v>8.9999999999999993E-3</v>
      </c>
      <c r="F2797" s="565" t="s">
        <v>459</v>
      </c>
      <c r="G2797" s="565">
        <v>3.0000000000000001E-3</v>
      </c>
      <c r="H2797" s="922">
        <v>0.25</v>
      </c>
      <c r="I2797" s="1297"/>
      <c r="J2797" s="1297"/>
      <c r="K2797" s="1298"/>
      <c r="L2797" s="923">
        <v>0.47916666666666669</v>
      </c>
      <c r="M2797" s="377"/>
    </row>
    <row r="2798" spans="3:13" ht="17">
      <c r="C2798" s="90"/>
      <c r="D2798" s="563">
        <v>45471</v>
      </c>
      <c r="E2798" s="565">
        <v>3.0000000000000001E-3</v>
      </c>
      <c r="F2798" s="565" t="s">
        <v>460</v>
      </c>
      <c r="G2798" s="565">
        <v>-2E-3</v>
      </c>
      <c r="H2798" s="922">
        <v>0.25</v>
      </c>
      <c r="I2798" s="1297"/>
      <c r="J2798" s="1297"/>
      <c r="K2798" s="1298"/>
      <c r="L2798" s="923">
        <v>0.47916666666666669</v>
      </c>
      <c r="M2798" s="377"/>
    </row>
    <row r="2799" spans="3:13" ht="18" thickBot="1">
      <c r="C2799" s="90"/>
      <c r="D2799" s="563">
        <v>45422</v>
      </c>
      <c r="E2799" s="565">
        <v>2E-3</v>
      </c>
      <c r="F2799" s="565" t="s">
        <v>458</v>
      </c>
      <c r="G2799" s="565">
        <v>-2E-3</v>
      </c>
      <c r="H2799" s="922">
        <v>0.25</v>
      </c>
      <c r="I2799" s="1299"/>
      <c r="J2799" s="1299"/>
      <c r="K2799" s="1300"/>
      <c r="L2799" s="923">
        <v>0.47916666666666669</v>
      </c>
      <c r="M2799" s="386"/>
    </row>
    <row r="2800" spans="3:13" ht="18" thickBot="1">
      <c r="C2800" s="90">
        <v>4</v>
      </c>
      <c r="D2800" s="557" t="s">
        <v>30</v>
      </c>
      <c r="E2800" s="1358" t="s">
        <v>1576</v>
      </c>
      <c r="F2800" s="1359"/>
      <c r="G2800" s="1360"/>
      <c r="H2800" s="911" t="s">
        <v>790</v>
      </c>
      <c r="I2800" s="1293" t="s">
        <v>633</v>
      </c>
      <c r="J2800" s="1293"/>
      <c r="K2800" s="1294"/>
      <c r="L2800" s="911" t="s">
        <v>430</v>
      </c>
      <c r="M2800" s="388" t="s">
        <v>431</v>
      </c>
    </row>
    <row r="2801" spans="3:13" ht="17">
      <c r="C2801" s="90"/>
      <c r="D2801" s="559" t="s">
        <v>432</v>
      </c>
      <c r="E2801" s="1307"/>
      <c r="F2801" s="1308"/>
      <c r="G2801" s="1309"/>
      <c r="H2801" s="919" t="s">
        <v>798</v>
      </c>
      <c r="I2801" s="1295" t="s">
        <v>1575</v>
      </c>
      <c r="J2801" s="1295"/>
      <c r="K2801" s="1296"/>
      <c r="L2801" s="920"/>
      <c r="M2801" s="376" t="s">
        <v>1576</v>
      </c>
    </row>
    <row r="2802" spans="3:13" ht="17">
      <c r="C2802" s="90"/>
      <c r="D2802" s="560" t="s">
        <v>433</v>
      </c>
      <c r="E2802" s="1361">
        <v>0</v>
      </c>
      <c r="F2802" s="1362"/>
      <c r="G2802" s="1363"/>
      <c r="H2802" s="919" t="s">
        <v>799</v>
      </c>
      <c r="I2802" s="1297"/>
      <c r="J2802" s="1297"/>
      <c r="K2802" s="1298"/>
      <c r="L2802" s="920"/>
      <c r="M2802" s="377"/>
    </row>
    <row r="2803" spans="3:13" ht="17">
      <c r="C2803" s="90"/>
      <c r="D2803" s="560" t="s">
        <v>434</v>
      </c>
      <c r="E2803" s="1361">
        <v>0</v>
      </c>
      <c r="F2803" s="1362"/>
      <c r="G2803" s="1363"/>
      <c r="H2803" s="907"/>
      <c r="I2803" s="1297"/>
      <c r="J2803" s="1297"/>
      <c r="K2803" s="1298"/>
      <c r="L2803" s="920"/>
      <c r="M2803" s="377"/>
    </row>
    <row r="2804" spans="3:13" ht="18" thickBot="1">
      <c r="C2804" s="90"/>
      <c r="D2804" s="561" t="s">
        <v>435</v>
      </c>
      <c r="E2804" s="1313">
        <v>0.29166666666666674</v>
      </c>
      <c r="F2804" s="1314"/>
      <c r="G2804" s="1315"/>
      <c r="H2804" s="909">
        <v>8.3333333333333398E-2</v>
      </c>
      <c r="I2804" s="1297"/>
      <c r="J2804" s="1297"/>
      <c r="K2804" s="1298"/>
      <c r="L2804" s="378">
        <v>0.52083333333333337</v>
      </c>
      <c r="M2804" s="379">
        <v>0.375</v>
      </c>
    </row>
    <row r="2805" spans="3:13" ht="18" thickBot="1">
      <c r="C2805" s="90"/>
      <c r="D2805" s="562" t="s">
        <v>436</v>
      </c>
      <c r="E2805" s="380" t="s">
        <v>29</v>
      </c>
      <c r="F2805" s="380" t="s">
        <v>28</v>
      </c>
      <c r="G2805" s="381" t="s">
        <v>27</v>
      </c>
      <c r="H2805" s="911" t="s">
        <v>793</v>
      </c>
      <c r="I2805" s="1297"/>
      <c r="J2805" s="1297"/>
      <c r="K2805" s="1298"/>
      <c r="L2805" s="921"/>
      <c r="M2805" s="382"/>
    </row>
    <row r="2806" spans="3:13" ht="17">
      <c r="C2806" s="90"/>
      <c r="D2806" s="563">
        <v>45649</v>
      </c>
      <c r="E2806" s="565">
        <v>0</v>
      </c>
      <c r="F2806" s="565" t="s">
        <v>462</v>
      </c>
      <c r="G2806" s="565">
        <v>4.0000000000000001E-3</v>
      </c>
      <c r="H2806" s="922">
        <v>0.29166666666666674</v>
      </c>
      <c r="I2806" s="1297"/>
      <c r="J2806" s="1297"/>
      <c r="K2806" s="1298"/>
      <c r="L2806" s="923">
        <v>0.52083333333333337</v>
      </c>
      <c r="M2806" s="384"/>
    </row>
    <row r="2807" spans="3:13" ht="17">
      <c r="C2807" s="90"/>
      <c r="D2807" s="563">
        <v>45611</v>
      </c>
      <c r="E2807" s="565">
        <v>1E-3</v>
      </c>
      <c r="F2807" s="565" t="s">
        <v>460</v>
      </c>
      <c r="G2807" s="565">
        <v>5.0000000000000001E-3</v>
      </c>
      <c r="H2807" s="922">
        <v>0.29166666666666674</v>
      </c>
      <c r="I2807" s="1297"/>
      <c r="J2807" s="1297"/>
      <c r="K2807" s="1298"/>
      <c r="L2807" s="923">
        <v>0.52083333333333337</v>
      </c>
      <c r="M2807" s="385"/>
    </row>
    <row r="2808" spans="3:13" ht="17">
      <c r="C2808" s="90"/>
      <c r="D2808" s="563">
        <v>45565</v>
      </c>
      <c r="E2808" s="565">
        <v>5.0000000000000001E-3</v>
      </c>
      <c r="F2808" s="565" t="s">
        <v>449</v>
      </c>
      <c r="G2808" s="565">
        <v>7.0000000000000001E-3</v>
      </c>
      <c r="H2808" s="922">
        <v>0.29166666666666674</v>
      </c>
      <c r="I2808" s="1297"/>
      <c r="J2808" s="1297"/>
      <c r="K2808" s="1298"/>
      <c r="L2808" s="923">
        <v>0.52083333333333337</v>
      </c>
      <c r="M2808" s="377"/>
    </row>
    <row r="2809" spans="3:13" ht="17">
      <c r="C2809" s="90"/>
      <c r="D2809" s="563">
        <v>45519</v>
      </c>
      <c r="E2809" s="565">
        <v>6.0000000000000001E-3</v>
      </c>
      <c r="F2809" s="565" t="s">
        <v>449</v>
      </c>
      <c r="G2809" s="565">
        <v>7.0000000000000001E-3</v>
      </c>
      <c r="H2809" s="922">
        <v>0.25</v>
      </c>
      <c r="I2809" s="1297"/>
      <c r="J2809" s="1297"/>
      <c r="K2809" s="1298"/>
      <c r="L2809" s="923">
        <v>0.47916666666666669</v>
      </c>
      <c r="M2809" s="377"/>
    </row>
    <row r="2810" spans="3:13" ht="17">
      <c r="C2810" s="90"/>
      <c r="D2810" s="563">
        <v>45471</v>
      </c>
      <c r="E2810" s="565">
        <v>7.0000000000000001E-3</v>
      </c>
      <c r="F2810" s="565" t="s">
        <v>449</v>
      </c>
      <c r="G2810" s="565">
        <v>-3.0000000000000001E-3</v>
      </c>
      <c r="H2810" s="922">
        <v>0.25</v>
      </c>
      <c r="I2810" s="1297"/>
      <c r="J2810" s="1297"/>
      <c r="K2810" s="1298"/>
      <c r="L2810" s="923">
        <v>0.47916666666666669</v>
      </c>
      <c r="M2810" s="377"/>
    </row>
    <row r="2811" spans="3:13" ht="18" thickBot="1">
      <c r="C2811" s="90"/>
      <c r="D2811" s="563">
        <v>45422</v>
      </c>
      <c r="E2811" s="565">
        <v>6.0000000000000001E-3</v>
      </c>
      <c r="F2811" s="565" t="s">
        <v>452</v>
      </c>
      <c r="G2811" s="565">
        <v>-3.0000000000000001E-3</v>
      </c>
      <c r="H2811" s="922">
        <v>0.25</v>
      </c>
      <c r="I2811" s="1299"/>
      <c r="J2811" s="1299"/>
      <c r="K2811" s="1300"/>
      <c r="L2811" s="923">
        <v>0.47916666666666669</v>
      </c>
      <c r="M2811" s="386"/>
    </row>
    <row r="2812" spans="3:13" ht="18" thickBot="1">
      <c r="C2812" s="90">
        <v>4</v>
      </c>
      <c r="D2812" s="557" t="s">
        <v>30</v>
      </c>
      <c r="E2812" s="1358" t="s">
        <v>1577</v>
      </c>
      <c r="F2812" s="1359"/>
      <c r="G2812" s="1360"/>
      <c r="H2812" s="911" t="s">
        <v>790</v>
      </c>
      <c r="I2812" s="1293" t="s">
        <v>633</v>
      </c>
      <c r="J2812" s="1293"/>
      <c r="K2812" s="1294"/>
      <c r="L2812" s="911" t="s">
        <v>430</v>
      </c>
      <c r="M2812" s="388" t="s">
        <v>431</v>
      </c>
    </row>
    <row r="2813" spans="3:13" ht="17">
      <c r="C2813" s="90"/>
      <c r="D2813" s="559" t="s">
        <v>432</v>
      </c>
      <c r="E2813" s="1307"/>
      <c r="F2813" s="1308"/>
      <c r="G2813" s="1309"/>
      <c r="H2813" s="919" t="s">
        <v>798</v>
      </c>
      <c r="I2813" s="1295" t="s">
        <v>1575</v>
      </c>
      <c r="J2813" s="1295"/>
      <c r="K2813" s="1296"/>
      <c r="L2813" s="920"/>
      <c r="M2813" s="376" t="s">
        <v>1577</v>
      </c>
    </row>
    <row r="2814" spans="3:13" ht="17">
      <c r="C2814" s="90"/>
      <c r="D2814" s="560" t="s">
        <v>433</v>
      </c>
      <c r="E2814" s="1361">
        <v>0</v>
      </c>
      <c r="F2814" s="1362"/>
      <c r="G2814" s="1363"/>
      <c r="H2814" s="919" t="s">
        <v>799</v>
      </c>
      <c r="I2814" s="1297"/>
      <c r="J2814" s="1297"/>
      <c r="K2814" s="1298"/>
      <c r="L2814" s="920"/>
      <c r="M2814" s="377"/>
    </row>
    <row r="2815" spans="3:13" ht="17">
      <c r="C2815" s="90"/>
      <c r="D2815" s="560" t="s">
        <v>434</v>
      </c>
      <c r="E2815" s="1361">
        <v>1E-3</v>
      </c>
      <c r="F2815" s="1362"/>
      <c r="G2815" s="1363"/>
      <c r="H2815" s="907"/>
      <c r="I2815" s="1297"/>
      <c r="J2815" s="1297"/>
      <c r="K2815" s="1298"/>
      <c r="L2815" s="920"/>
      <c r="M2815" s="377"/>
    </row>
    <row r="2816" spans="3:13" ht="18" thickBot="1">
      <c r="C2816" s="90"/>
      <c r="D2816" s="561" t="s">
        <v>435</v>
      </c>
      <c r="E2816" s="1313">
        <v>0.29166666666666674</v>
      </c>
      <c r="F2816" s="1314"/>
      <c r="G2816" s="1315"/>
      <c r="H2816" s="909">
        <v>8.3333333333333398E-2</v>
      </c>
      <c r="I2816" s="1297"/>
      <c r="J2816" s="1297"/>
      <c r="K2816" s="1298"/>
      <c r="L2816" s="378">
        <v>0.52083333333333337</v>
      </c>
      <c r="M2816" s="379">
        <v>0.375</v>
      </c>
    </row>
    <row r="2817" spans="3:13" ht="18" thickBot="1">
      <c r="C2817" s="90"/>
      <c r="D2817" s="562" t="s">
        <v>436</v>
      </c>
      <c r="E2817" s="380" t="s">
        <v>29</v>
      </c>
      <c r="F2817" s="380" t="s">
        <v>28</v>
      </c>
      <c r="G2817" s="381" t="s">
        <v>27</v>
      </c>
      <c r="H2817" s="911" t="s">
        <v>793</v>
      </c>
      <c r="I2817" s="1297"/>
      <c r="J2817" s="1297"/>
      <c r="K2817" s="1298"/>
      <c r="L2817" s="921"/>
      <c r="M2817" s="382"/>
    </row>
    <row r="2818" spans="3:13" ht="17">
      <c r="C2818" s="90"/>
      <c r="D2818" s="563">
        <v>45673</v>
      </c>
      <c r="E2818" s="565">
        <v>1E-3</v>
      </c>
      <c r="F2818" s="565" t="s">
        <v>460</v>
      </c>
      <c r="G2818" s="565">
        <v>-1E-3</v>
      </c>
      <c r="H2818" s="922">
        <v>0.29166666666666674</v>
      </c>
      <c r="I2818" s="1297"/>
      <c r="J2818" s="1297"/>
      <c r="K2818" s="1298"/>
      <c r="L2818" s="923">
        <v>0.52083333333333337</v>
      </c>
      <c r="M2818" s="384"/>
    </row>
    <row r="2819" spans="3:13" ht="17">
      <c r="C2819" s="90"/>
      <c r="D2819" s="563">
        <v>45639</v>
      </c>
      <c r="E2819" s="565">
        <v>-1E-3</v>
      </c>
      <c r="F2819" s="565" t="s">
        <v>462</v>
      </c>
      <c r="G2819" s="565">
        <v>-1E-3</v>
      </c>
      <c r="H2819" s="922">
        <v>0.29166666666666674</v>
      </c>
      <c r="I2819" s="1297"/>
      <c r="J2819" s="1297"/>
      <c r="K2819" s="1298"/>
      <c r="L2819" s="923">
        <v>0.52083333333333337</v>
      </c>
      <c r="M2819" s="385"/>
    </row>
    <row r="2820" spans="3:13" ht="17">
      <c r="C2820" s="90"/>
      <c r="D2820" s="563">
        <v>45611</v>
      </c>
      <c r="E2820" s="565">
        <v>-1E-3</v>
      </c>
      <c r="F2820" s="565" t="s">
        <v>460</v>
      </c>
      <c r="G2820" s="565">
        <v>2E-3</v>
      </c>
      <c r="H2820" s="922">
        <v>0.29166666666666674</v>
      </c>
      <c r="I2820" s="1297"/>
      <c r="J2820" s="1297"/>
      <c r="K2820" s="1298"/>
      <c r="L2820" s="923">
        <v>0.52083333333333337</v>
      </c>
      <c r="M2820" s="377"/>
    </row>
    <row r="2821" spans="3:13" ht="17">
      <c r="C2821" s="90"/>
      <c r="D2821" s="563">
        <v>45576</v>
      </c>
      <c r="E2821" s="565">
        <v>2E-3</v>
      </c>
      <c r="F2821" s="565" t="s">
        <v>460</v>
      </c>
      <c r="G2821" s="565">
        <v>0</v>
      </c>
      <c r="H2821" s="922">
        <v>0.25</v>
      </c>
      <c r="I2821" s="1297"/>
      <c r="J2821" s="1297"/>
      <c r="K2821" s="1298"/>
      <c r="L2821" s="923">
        <v>0.47916666666666669</v>
      </c>
      <c r="M2821" s="377"/>
    </row>
    <row r="2822" spans="3:13" ht="17">
      <c r="C2822" s="90"/>
      <c r="D2822" s="563">
        <v>45546</v>
      </c>
      <c r="E2822" s="565">
        <v>0</v>
      </c>
      <c r="F2822" s="565" t="s">
        <v>460</v>
      </c>
      <c r="G2822" s="565">
        <v>0</v>
      </c>
      <c r="H2822" s="922">
        <v>0.25</v>
      </c>
      <c r="I2822" s="1297"/>
      <c r="J2822" s="1297"/>
      <c r="K2822" s="1298"/>
      <c r="L2822" s="923">
        <v>0.47916666666666669</v>
      </c>
      <c r="M2822" s="377"/>
    </row>
    <row r="2823" spans="3:13" ht="18" thickBot="1">
      <c r="C2823" s="90"/>
      <c r="D2823" s="563">
        <v>45519</v>
      </c>
      <c r="E2823" s="565">
        <v>0</v>
      </c>
      <c r="F2823" s="565" t="s">
        <v>458</v>
      </c>
      <c r="G2823" s="565">
        <v>4.0000000000000001E-3</v>
      </c>
      <c r="H2823" s="922">
        <v>0.25</v>
      </c>
      <c r="I2823" s="1299"/>
      <c r="J2823" s="1299"/>
      <c r="K2823" s="1300"/>
      <c r="L2823" s="923">
        <v>0.47916666666666669</v>
      </c>
      <c r="M2823" s="386"/>
    </row>
    <row r="2824" spans="3:13" ht="18" thickBot="1">
      <c r="C2824" s="90">
        <v>5</v>
      </c>
      <c r="D2824" s="557" t="s">
        <v>30</v>
      </c>
      <c r="E2824" s="1358" t="e">
        <v>#REF!</v>
      </c>
      <c r="F2824" s="1359"/>
      <c r="G2824" s="1360"/>
      <c r="H2824" s="904" t="s">
        <v>790</v>
      </c>
      <c r="I2824" s="1293" t="s">
        <v>633</v>
      </c>
      <c r="J2824" s="1293"/>
      <c r="K2824" s="1294"/>
      <c r="L2824" s="905" t="s">
        <v>430</v>
      </c>
      <c r="M2824" s="388" t="s">
        <v>431</v>
      </c>
    </row>
    <row r="2825" spans="3:13" ht="17">
      <c r="C2825" s="90"/>
      <c r="D2825" s="559" t="s">
        <v>432</v>
      </c>
      <c r="E2825" s="1307"/>
      <c r="F2825" s="1308"/>
      <c r="G2825" s="1309"/>
      <c r="H2825" s="907" t="s">
        <v>906</v>
      </c>
      <c r="I2825" s="1295" t="e">
        <v>#REF!</v>
      </c>
      <c r="J2825" s="1295"/>
      <c r="K2825" s="1296"/>
      <c r="L2825" s="920"/>
      <c r="M2825" s="376" t="e">
        <v>#REF!</v>
      </c>
    </row>
    <row r="2826" spans="3:13" ht="17">
      <c r="C2826" s="90"/>
      <c r="D2826" s="560" t="s">
        <v>433</v>
      </c>
      <c r="E2826" s="1367" t="e">
        <v>#REF!</v>
      </c>
      <c r="F2826" s="1368"/>
      <c r="G2826" s="1369"/>
      <c r="H2826" s="907" t="s">
        <v>907</v>
      </c>
      <c r="I2826" s="1297"/>
      <c r="J2826" s="1297"/>
      <c r="K2826" s="1298"/>
      <c r="L2826" s="920"/>
      <c r="M2826" s="377"/>
    </row>
    <row r="2827" spans="3:13" ht="17">
      <c r="C2827" s="90"/>
      <c r="D2827" s="560" t="s">
        <v>434</v>
      </c>
      <c r="E2827" s="1361" t="e">
        <v>#REF!</v>
      </c>
      <c r="F2827" s="1362"/>
      <c r="G2827" s="1363"/>
      <c r="H2827" s="907"/>
      <c r="I2827" s="1297"/>
      <c r="J2827" s="1297"/>
      <c r="K2827" s="1298"/>
      <c r="L2827" s="920"/>
      <c r="M2827" s="377"/>
    </row>
    <row r="2828" spans="3:13" ht="18" thickBot="1">
      <c r="C2828" s="90"/>
      <c r="D2828" s="561" t="s">
        <v>435</v>
      </c>
      <c r="E2828" s="1313" t="e">
        <v>#REF!</v>
      </c>
      <c r="F2828" s="1314"/>
      <c r="G2828" s="1315"/>
      <c r="H2828" s="909" t="e">
        <v>#REF!</v>
      </c>
      <c r="I2828" s="1297"/>
      <c r="J2828" s="1297"/>
      <c r="K2828" s="1298"/>
      <c r="L2828" s="378" t="e">
        <v>#REF!</v>
      </c>
      <c r="M2828" s="379">
        <v>-0.14583333333333334</v>
      </c>
    </row>
    <row r="2829" spans="3:13" ht="18" thickBot="1">
      <c r="C2829" s="90"/>
      <c r="D2829" s="562" t="s">
        <v>436</v>
      </c>
      <c r="E2829" s="380" t="s">
        <v>29</v>
      </c>
      <c r="F2829" s="380" t="s">
        <v>28</v>
      </c>
      <c r="G2829" s="381" t="s">
        <v>27</v>
      </c>
      <c r="H2829" s="911" t="s">
        <v>793</v>
      </c>
      <c r="I2829" s="1297"/>
      <c r="J2829" s="1297"/>
      <c r="K2829" s="1298"/>
      <c r="L2829" s="921"/>
      <c r="M2829" s="382"/>
    </row>
    <row r="2830" spans="3:13" ht="17">
      <c r="C2830" s="90"/>
      <c r="D2830" s="563">
        <v>45609</v>
      </c>
      <c r="E2830" s="429">
        <v>2E-3</v>
      </c>
      <c r="F2830" s="429" t="s">
        <v>460</v>
      </c>
      <c r="G2830" s="429">
        <v>2E-3</v>
      </c>
      <c r="H2830" s="913">
        <v>0.5625</v>
      </c>
      <c r="I2830" s="1297"/>
      <c r="J2830" s="1297"/>
      <c r="K2830" s="1298"/>
      <c r="L2830" s="923"/>
      <c r="M2830" s="384"/>
    </row>
    <row r="2831" spans="3:13" ht="17">
      <c r="C2831" s="90"/>
      <c r="D2831" s="563">
        <v>45575</v>
      </c>
      <c r="E2831" s="429">
        <v>2E-3</v>
      </c>
      <c r="F2831" s="429" t="s">
        <v>462</v>
      </c>
      <c r="G2831" s="429">
        <v>2E-3</v>
      </c>
      <c r="H2831" s="913">
        <v>0.52083333333333337</v>
      </c>
      <c r="I2831" s="1297"/>
      <c r="J2831" s="1297"/>
      <c r="K2831" s="1298"/>
      <c r="L2831" s="923"/>
      <c r="M2831" s="385"/>
    </row>
    <row r="2832" spans="3:13" ht="17">
      <c r="C2832" s="90"/>
      <c r="D2832" s="563">
        <v>45546</v>
      </c>
      <c r="E2832" s="429">
        <v>2E-3</v>
      </c>
      <c r="F2832" s="429" t="s">
        <v>460</v>
      </c>
      <c r="G2832" s="429">
        <v>2E-3</v>
      </c>
      <c r="H2832" s="913">
        <v>0.52083333333333337</v>
      </c>
      <c r="I2832" s="1297"/>
      <c r="J2832" s="1297"/>
      <c r="K2832" s="1298"/>
      <c r="L2832" s="923"/>
      <c r="M2832" s="377"/>
    </row>
    <row r="2833" spans="3:13" ht="17">
      <c r="C2833" s="90"/>
      <c r="D2833" s="563">
        <v>45518</v>
      </c>
      <c r="E2833" s="429">
        <v>2E-3</v>
      </c>
      <c r="F2833" s="429" t="s">
        <v>460</v>
      </c>
      <c r="G2833" s="429">
        <v>-1E-3</v>
      </c>
      <c r="H2833" s="913">
        <v>0.52083333333333337</v>
      </c>
      <c r="I2833" s="1297"/>
      <c r="J2833" s="1297"/>
      <c r="K2833" s="1298"/>
      <c r="L2833" s="923"/>
      <c r="M2833" s="377"/>
    </row>
    <row r="2834" spans="3:13" ht="17">
      <c r="C2834" s="90"/>
      <c r="D2834" s="563">
        <v>45484</v>
      </c>
      <c r="E2834" s="429">
        <v>-1E-3</v>
      </c>
      <c r="F2834" s="429" t="s">
        <v>462</v>
      </c>
      <c r="G2834" s="429">
        <v>0</v>
      </c>
      <c r="H2834" s="913">
        <v>0.52083333333333337</v>
      </c>
      <c r="I2834" s="1297"/>
      <c r="J2834" s="1297"/>
      <c r="K2834" s="1298"/>
      <c r="L2834" s="923"/>
      <c r="M2834" s="377"/>
    </row>
    <row r="2835" spans="3:13" ht="18" thickBot="1">
      <c r="C2835" s="90"/>
      <c r="D2835" s="563">
        <v>45455</v>
      </c>
      <c r="E2835" s="429">
        <v>0</v>
      </c>
      <c r="F2835" s="429" t="s">
        <v>462</v>
      </c>
      <c r="G2835" s="429">
        <v>3.0000000000000001E-3</v>
      </c>
      <c r="H2835" s="913">
        <v>0.52083333333333337</v>
      </c>
      <c r="I2835" s="1299"/>
      <c r="J2835" s="1299"/>
      <c r="K2835" s="1300"/>
      <c r="L2835" s="924"/>
      <c r="M2835" s="386"/>
    </row>
    <row r="2836" spans="3:13" ht="18" thickBot="1">
      <c r="C2836" s="90">
        <v>6</v>
      </c>
      <c r="D2836" s="557" t="s">
        <v>30</v>
      </c>
      <c r="E2836" s="1358" t="s">
        <v>1578</v>
      </c>
      <c r="F2836" s="1359"/>
      <c r="G2836" s="1360"/>
      <c r="H2836" s="911" t="s">
        <v>790</v>
      </c>
      <c r="I2836" s="1293" t="s">
        <v>633</v>
      </c>
      <c r="J2836" s="1293"/>
      <c r="K2836" s="1294"/>
      <c r="L2836" s="911" t="s">
        <v>430</v>
      </c>
      <c r="M2836" s="375" t="s">
        <v>431</v>
      </c>
    </row>
    <row r="2837" spans="3:13" ht="17">
      <c r="C2837" s="90"/>
      <c r="D2837" s="559" t="s">
        <v>432</v>
      </c>
      <c r="E2837" s="1307"/>
      <c r="F2837" s="1308"/>
      <c r="G2837" s="1309"/>
      <c r="H2837" s="919" t="s">
        <v>906</v>
      </c>
      <c r="I2837" s="1295" t="s">
        <v>1579</v>
      </c>
      <c r="J2837" s="1295"/>
      <c r="K2837" s="1296"/>
      <c r="L2837" s="920"/>
      <c r="M2837" s="376" t="s">
        <v>1578</v>
      </c>
    </row>
    <row r="2838" spans="3:13" ht="17">
      <c r="C2838" s="90"/>
      <c r="D2838" s="560" t="s">
        <v>433</v>
      </c>
      <c r="E2838" s="1361">
        <v>0</v>
      </c>
      <c r="F2838" s="1362"/>
      <c r="G2838" s="1363"/>
      <c r="H2838" s="919" t="s">
        <v>907</v>
      </c>
      <c r="I2838" s="1297"/>
      <c r="J2838" s="1297"/>
      <c r="K2838" s="1298"/>
      <c r="L2838" s="920"/>
      <c r="M2838" s="377"/>
    </row>
    <row r="2839" spans="3:13" ht="17">
      <c r="C2839" s="90"/>
      <c r="D2839" s="560" t="s">
        <v>434</v>
      </c>
      <c r="E2839" s="1361">
        <v>-2E-3</v>
      </c>
      <c r="F2839" s="1362"/>
      <c r="G2839" s="1363"/>
      <c r="H2839" s="907"/>
      <c r="I2839" s="1297"/>
      <c r="J2839" s="1297"/>
      <c r="K2839" s="1298"/>
      <c r="L2839" s="920"/>
      <c r="M2839" s="377"/>
    </row>
    <row r="2840" spans="3:13" ht="18" thickBot="1">
      <c r="C2840" s="90"/>
      <c r="D2840" s="561" t="s">
        <v>435</v>
      </c>
      <c r="E2840" s="1313">
        <v>0.29166666666666674</v>
      </c>
      <c r="F2840" s="1314"/>
      <c r="G2840" s="1315"/>
      <c r="H2840" s="909">
        <v>8.3333333333333398E-2</v>
      </c>
      <c r="I2840" s="1297"/>
      <c r="J2840" s="1297"/>
      <c r="K2840" s="1298"/>
      <c r="L2840" s="378">
        <v>0.52083333333333337</v>
      </c>
      <c r="M2840" s="379">
        <v>0.41666666666666674</v>
      </c>
    </row>
    <row r="2841" spans="3:13" ht="18" thickBot="1">
      <c r="C2841" s="90"/>
      <c r="D2841" s="562" t="s">
        <v>436</v>
      </c>
      <c r="E2841" s="380" t="s">
        <v>29</v>
      </c>
      <c r="F2841" s="380" t="s">
        <v>28</v>
      </c>
      <c r="G2841" s="381" t="s">
        <v>27</v>
      </c>
      <c r="H2841" s="911" t="s">
        <v>793</v>
      </c>
      <c r="I2841" s="1297"/>
      <c r="J2841" s="1297"/>
      <c r="K2841" s="1298"/>
      <c r="L2841" s="921" t="s">
        <v>1246</v>
      </c>
      <c r="M2841" s="382"/>
    </row>
    <row r="2842" spans="3:13" ht="17">
      <c r="C2842" s="90"/>
      <c r="D2842" s="563">
        <v>45688</v>
      </c>
      <c r="E2842" s="565">
        <v>-2E-3</v>
      </c>
      <c r="F2842" s="565" t="s">
        <v>462</v>
      </c>
      <c r="G2842" s="565">
        <v>5.0000000000000001E-3</v>
      </c>
      <c r="H2842" s="922">
        <v>0.54166666666666674</v>
      </c>
      <c r="I2842" s="1297"/>
      <c r="J2842" s="1297"/>
      <c r="K2842" s="1298"/>
      <c r="L2842" s="923">
        <v>0.77083333333333337</v>
      </c>
      <c r="M2842" s="384"/>
    </row>
    <row r="2843" spans="3:13" ht="17">
      <c r="C2843" s="90" t="s">
        <v>1598</v>
      </c>
      <c r="D2843" s="563">
        <v>45673</v>
      </c>
      <c r="E2843" s="565">
        <v>5.0000000000000001E-3</v>
      </c>
      <c r="F2843" s="565" t="s">
        <v>452</v>
      </c>
      <c r="G2843" s="565">
        <v>-2E-3</v>
      </c>
      <c r="H2843" s="922">
        <v>0.29166666666666674</v>
      </c>
      <c r="I2843" s="1297"/>
      <c r="J2843" s="1297"/>
      <c r="K2843" s="1298"/>
      <c r="L2843" s="923">
        <v>0.52083333333333337</v>
      </c>
      <c r="M2843" s="385"/>
    </row>
    <row r="2844" spans="3:13" ht="17">
      <c r="C2844" s="90"/>
      <c r="D2844" s="563">
        <v>45663</v>
      </c>
      <c r="E2844" s="565">
        <v>4.0000000000000001E-3</v>
      </c>
      <c r="F2844" s="565" t="s">
        <v>467</v>
      </c>
      <c r="G2844" s="565">
        <v>-2E-3</v>
      </c>
      <c r="H2844" s="922">
        <v>0.54166666666666674</v>
      </c>
      <c r="I2844" s="1297"/>
      <c r="J2844" s="1297"/>
      <c r="K2844" s="1298"/>
      <c r="L2844" s="923">
        <v>0.77083333333333337</v>
      </c>
      <c r="M2844" s="377"/>
    </row>
    <row r="2845" spans="3:13" ht="17">
      <c r="C2845" s="90"/>
      <c r="D2845" s="563">
        <v>45636</v>
      </c>
      <c r="E2845" s="565">
        <v>-2E-3</v>
      </c>
      <c r="F2845" s="565" t="s">
        <v>461</v>
      </c>
      <c r="G2845" s="565">
        <v>4.0000000000000001E-3</v>
      </c>
      <c r="H2845" s="922">
        <v>0.29166666666666674</v>
      </c>
      <c r="I2845" s="1297"/>
      <c r="J2845" s="1297"/>
      <c r="K2845" s="1298"/>
      <c r="L2845" s="923">
        <v>0.52083333333333337</v>
      </c>
      <c r="M2845" s="377"/>
    </row>
    <row r="2846" spans="3:13" ht="17">
      <c r="C2846" s="90"/>
      <c r="D2846" s="563">
        <v>45624</v>
      </c>
      <c r="E2846" s="565">
        <v>-2E-3</v>
      </c>
      <c r="F2846" s="565" t="s">
        <v>461</v>
      </c>
      <c r="G2846" s="565">
        <v>4.0000000000000001E-3</v>
      </c>
      <c r="H2846" s="922">
        <v>0.54166666666666674</v>
      </c>
      <c r="I2846" s="1297"/>
      <c r="J2846" s="1297"/>
      <c r="K2846" s="1298"/>
      <c r="L2846" s="923">
        <v>0.77083333333333337</v>
      </c>
      <c r="M2846" s="377"/>
    </row>
    <row r="2847" spans="3:13" ht="18" thickBot="1">
      <c r="C2847" s="90"/>
      <c r="D2847" s="563">
        <v>45608</v>
      </c>
      <c r="E2847" s="565">
        <v>4.0000000000000001E-3</v>
      </c>
      <c r="F2847" s="565" t="s">
        <v>452</v>
      </c>
      <c r="G2847" s="565">
        <v>0</v>
      </c>
      <c r="H2847" s="922">
        <v>0.29166666666666674</v>
      </c>
      <c r="I2847" s="1299"/>
      <c r="J2847" s="1299"/>
      <c r="K2847" s="1300"/>
      <c r="L2847" s="923">
        <v>0.52083333333333337</v>
      </c>
      <c r="M2847" s="386"/>
    </row>
    <row r="2848" spans="3:13" ht="18" thickBot="1">
      <c r="C2848" s="90">
        <v>7</v>
      </c>
      <c r="D2848" s="557" t="s">
        <v>30</v>
      </c>
      <c r="E2848" s="1364" t="s">
        <v>14</v>
      </c>
      <c r="F2848" s="1365"/>
      <c r="G2848" s="1366"/>
      <c r="H2848" s="911" t="s">
        <v>790</v>
      </c>
      <c r="I2848" s="1293" t="s">
        <v>633</v>
      </c>
      <c r="J2848" s="1293"/>
      <c r="K2848" s="1294"/>
      <c r="L2848" s="911" t="s">
        <v>430</v>
      </c>
      <c r="M2848" s="375" t="s">
        <v>431</v>
      </c>
    </row>
    <row r="2849" spans="3:13" ht="17">
      <c r="C2849" s="90"/>
      <c r="D2849" s="559" t="s">
        <v>432</v>
      </c>
      <c r="E2849" s="1307"/>
      <c r="F2849" s="1308"/>
      <c r="G2849" s="1309"/>
      <c r="H2849" s="919" t="s">
        <v>906</v>
      </c>
      <c r="I2849" s="1295" t="s">
        <v>1580</v>
      </c>
      <c r="J2849" s="1295"/>
      <c r="K2849" s="1296"/>
      <c r="L2849" s="920"/>
      <c r="M2849" s="376" t="s">
        <v>14</v>
      </c>
    </row>
    <row r="2850" spans="3:13" ht="17">
      <c r="C2850" s="90"/>
      <c r="D2850" s="560" t="s">
        <v>433</v>
      </c>
      <c r="E2850" s="1367">
        <v>0</v>
      </c>
      <c r="F2850" s="1368"/>
      <c r="G2850" s="1369"/>
      <c r="H2850" s="919" t="s">
        <v>907</v>
      </c>
      <c r="I2850" s="1297"/>
      <c r="J2850" s="1297"/>
      <c r="K2850" s="1298"/>
      <c r="L2850" s="920"/>
      <c r="M2850" s="377"/>
    </row>
    <row r="2851" spans="3:13" ht="17">
      <c r="C2851" s="90"/>
      <c r="D2851" s="560" t="s">
        <v>434</v>
      </c>
      <c r="E2851" s="1370">
        <v>0</v>
      </c>
      <c r="F2851" s="1368"/>
      <c r="G2851" s="1369"/>
      <c r="H2851" s="907"/>
      <c r="I2851" s="1297"/>
      <c r="J2851" s="1297"/>
      <c r="K2851" s="1298"/>
      <c r="L2851" s="920"/>
      <c r="M2851" s="377"/>
    </row>
    <row r="2852" spans="3:13" ht="18" thickBot="1">
      <c r="C2852" s="90"/>
      <c r="D2852" s="561" t="s">
        <v>435</v>
      </c>
      <c r="E2852" s="1313">
        <v>0.5625</v>
      </c>
      <c r="F2852" s="1314"/>
      <c r="G2852" s="1315"/>
      <c r="H2852" s="909">
        <v>0.35416666666666663</v>
      </c>
      <c r="I2852" s="1297"/>
      <c r="J2852" s="1297"/>
      <c r="K2852" s="1298"/>
      <c r="L2852" s="378">
        <v>0.79166666666666663</v>
      </c>
      <c r="M2852" s="379">
        <v>0.64583333333333326</v>
      </c>
    </row>
    <row r="2853" spans="3:13" ht="18" thickBot="1">
      <c r="C2853" s="90"/>
      <c r="D2853" s="562" t="s">
        <v>436</v>
      </c>
      <c r="E2853" s="380" t="s">
        <v>29</v>
      </c>
      <c r="F2853" s="380" t="s">
        <v>28</v>
      </c>
      <c r="G2853" s="381" t="s">
        <v>27</v>
      </c>
      <c r="H2853" s="928" t="s">
        <v>1448</v>
      </c>
      <c r="I2853" s="1297"/>
      <c r="J2853" s="1297"/>
      <c r="K2853" s="1298"/>
      <c r="L2853" s="921" t="s">
        <v>1246</v>
      </c>
      <c r="M2853" s="382"/>
    </row>
    <row r="2854" spans="3:13" ht="17">
      <c r="C2854" s="90"/>
      <c r="D2854" s="563">
        <v>45694</v>
      </c>
      <c r="E2854" s="389" t="s">
        <v>1090</v>
      </c>
      <c r="F2854" s="389" t="s">
        <v>1439</v>
      </c>
      <c r="G2854" s="389" t="s">
        <v>1612</v>
      </c>
      <c r="H2854" s="922">
        <v>0.5625</v>
      </c>
      <c r="I2854" s="1297"/>
      <c r="J2854" s="1297"/>
      <c r="K2854" s="1298"/>
      <c r="L2854" s="923">
        <v>0.79166666666666663</v>
      </c>
      <c r="M2854" s="384"/>
    </row>
    <row r="2855" spans="3:13" ht="17">
      <c r="C2855" s="90"/>
      <c r="D2855" s="563">
        <v>45687</v>
      </c>
      <c r="E2855" s="389" t="s">
        <v>1612</v>
      </c>
      <c r="F2855" s="389" t="s">
        <v>1032</v>
      </c>
      <c r="G2855" s="389" t="s">
        <v>973</v>
      </c>
      <c r="H2855" s="922">
        <v>0.5625</v>
      </c>
      <c r="I2855" s="1297"/>
      <c r="J2855" s="1297"/>
      <c r="K2855" s="1298"/>
      <c r="L2855" s="923">
        <v>0.79166666666666663</v>
      </c>
      <c r="M2855" s="385"/>
    </row>
    <row r="2856" spans="3:13" ht="17">
      <c r="C2856" s="90"/>
      <c r="D2856" s="563">
        <v>45680</v>
      </c>
      <c r="E2856" s="389" t="s">
        <v>973</v>
      </c>
      <c r="F2856" s="389" t="s">
        <v>972</v>
      </c>
      <c r="G2856" s="389" t="s">
        <v>1031</v>
      </c>
      <c r="H2856" s="922">
        <v>0.5625</v>
      </c>
      <c r="I2856" s="1297"/>
      <c r="J2856" s="1297"/>
      <c r="K2856" s="1298"/>
      <c r="L2856" s="923">
        <v>0.79166666666666663</v>
      </c>
      <c r="M2856" s="377"/>
    </row>
    <row r="2857" spans="3:13" ht="17">
      <c r="C2857" s="90"/>
      <c r="D2857" s="563">
        <v>45673</v>
      </c>
      <c r="E2857" s="389" t="s">
        <v>1031</v>
      </c>
      <c r="F2857" s="389" t="s">
        <v>1554</v>
      </c>
      <c r="G2857" s="389" t="s">
        <v>1555</v>
      </c>
      <c r="H2857" s="922">
        <v>0.5625</v>
      </c>
      <c r="I2857" s="1297"/>
      <c r="J2857" s="1297"/>
      <c r="K2857" s="1298"/>
      <c r="L2857" s="923">
        <v>0.79166666666666663</v>
      </c>
      <c r="M2857" s="377"/>
    </row>
    <row r="2858" spans="3:13" ht="17">
      <c r="C2858" s="90"/>
      <c r="D2858" s="563">
        <v>45665</v>
      </c>
      <c r="E2858" s="389" t="s">
        <v>1438</v>
      </c>
      <c r="F2858" s="389" t="s">
        <v>1439</v>
      </c>
      <c r="G2858" s="389" t="s">
        <v>1440</v>
      </c>
      <c r="H2858" s="922">
        <v>0.5625</v>
      </c>
      <c r="I2858" s="1297"/>
      <c r="J2858" s="1297"/>
      <c r="K2858" s="1298"/>
      <c r="L2858" s="923">
        <v>0.79166666666666663</v>
      </c>
      <c r="M2858" s="377"/>
    </row>
    <row r="2859" spans="3:13" ht="18" thickBot="1">
      <c r="C2859" s="90"/>
      <c r="D2859" s="563">
        <v>45659</v>
      </c>
      <c r="E2859" s="389" t="s">
        <v>1440</v>
      </c>
      <c r="F2859" s="389" t="s">
        <v>986</v>
      </c>
      <c r="G2859" s="389" t="s">
        <v>1112</v>
      </c>
      <c r="H2859" s="922">
        <v>0.5625</v>
      </c>
      <c r="I2859" s="1299"/>
      <c r="J2859" s="1299"/>
      <c r="K2859" s="1300"/>
      <c r="L2859" s="923">
        <v>0.79166666666666663</v>
      </c>
      <c r="M2859" s="386"/>
    </row>
    <row r="2860" spans="3:13" ht="18" thickBot="1">
      <c r="C2860" s="90">
        <v>8</v>
      </c>
      <c r="D2860" s="557" t="s">
        <v>30</v>
      </c>
      <c r="E2860" s="1358" t="s">
        <v>1581</v>
      </c>
      <c r="F2860" s="1359"/>
      <c r="G2860" s="1360"/>
      <c r="H2860" s="911" t="s">
        <v>790</v>
      </c>
      <c r="I2860" s="1293" t="s">
        <v>633</v>
      </c>
      <c r="J2860" s="1293"/>
      <c r="K2860" s="1294"/>
      <c r="L2860" s="911" t="s">
        <v>430</v>
      </c>
      <c r="M2860" s="375" t="s">
        <v>431</v>
      </c>
    </row>
    <row r="2861" spans="3:13" ht="17">
      <c r="C2861" s="90"/>
      <c r="D2861" s="559" t="s">
        <v>432</v>
      </c>
      <c r="E2861" s="1307"/>
      <c r="F2861" s="1308"/>
      <c r="G2861" s="1309"/>
      <c r="H2861" s="919" t="s">
        <v>906</v>
      </c>
      <c r="I2861" s="1295" t="s">
        <v>1582</v>
      </c>
      <c r="J2861" s="1295"/>
      <c r="K2861" s="1296"/>
      <c r="L2861" s="920"/>
      <c r="M2861" s="376" t="s">
        <v>1581</v>
      </c>
    </row>
    <row r="2862" spans="3:13" ht="17">
      <c r="C2862" s="90"/>
      <c r="D2862" s="560" t="s">
        <v>433</v>
      </c>
      <c r="E2862" s="1361">
        <v>0</v>
      </c>
      <c r="F2862" s="1362"/>
      <c r="G2862" s="1363"/>
      <c r="H2862" s="919" t="s">
        <v>907</v>
      </c>
      <c r="I2862" s="1297"/>
      <c r="J2862" s="1297"/>
      <c r="K2862" s="1298"/>
      <c r="L2862" s="920"/>
      <c r="M2862" s="377"/>
    </row>
    <row r="2863" spans="3:13" ht="17">
      <c r="C2863" s="90"/>
      <c r="D2863" s="560" t="s">
        <v>434</v>
      </c>
      <c r="E2863" s="1361">
        <v>2E-3</v>
      </c>
      <c r="F2863" s="1362"/>
      <c r="G2863" s="1363"/>
      <c r="H2863" s="907"/>
      <c r="I2863" s="1297"/>
      <c r="J2863" s="1297"/>
      <c r="K2863" s="1298"/>
      <c r="L2863" s="920"/>
      <c r="M2863" s="377"/>
    </row>
    <row r="2864" spans="3:13" ht="18" thickBot="1">
      <c r="C2864" s="90"/>
      <c r="D2864" s="561" t="s">
        <v>435</v>
      </c>
      <c r="E2864" s="1313">
        <v>0.5625</v>
      </c>
      <c r="F2864" s="1314"/>
      <c r="G2864" s="1315"/>
      <c r="H2864" s="909">
        <v>0.35416666666666663</v>
      </c>
      <c r="I2864" s="1297"/>
      <c r="J2864" s="1297"/>
      <c r="K2864" s="1298"/>
      <c r="L2864" s="378">
        <v>0.79166666666666663</v>
      </c>
      <c r="M2864" s="379">
        <v>0.64583333333333326</v>
      </c>
    </row>
    <row r="2865" spans="3:13" ht="18" thickBot="1">
      <c r="C2865" s="90"/>
      <c r="D2865" s="562" t="s">
        <v>436</v>
      </c>
      <c r="E2865" s="380" t="s">
        <v>29</v>
      </c>
      <c r="F2865" s="380" t="s">
        <v>28</v>
      </c>
      <c r="G2865" s="381" t="s">
        <v>27</v>
      </c>
      <c r="H2865" s="911" t="s">
        <v>793</v>
      </c>
      <c r="I2865" s="1297"/>
      <c r="J2865" s="1297"/>
      <c r="K2865" s="1298"/>
      <c r="L2865" s="921" t="s">
        <v>1246</v>
      </c>
      <c r="M2865" s="382"/>
    </row>
    <row r="2866" spans="3:13" ht="17">
      <c r="C2866" s="90"/>
      <c r="D2866" s="563">
        <v>45671</v>
      </c>
      <c r="E2866" s="565">
        <v>2E-3</v>
      </c>
      <c r="F2866" s="565" t="s">
        <v>452</v>
      </c>
      <c r="G2866" s="565">
        <v>4.0000000000000001E-3</v>
      </c>
      <c r="H2866" s="922">
        <v>0.5625</v>
      </c>
      <c r="I2866" s="1297"/>
      <c r="J2866" s="1297"/>
      <c r="K2866" s="1298"/>
      <c r="L2866" s="923">
        <v>0.79166666666666663</v>
      </c>
      <c r="M2866" s="384"/>
    </row>
    <row r="2867" spans="3:13" ht="17">
      <c r="C2867" s="90"/>
      <c r="D2867" s="563">
        <v>45638</v>
      </c>
      <c r="E2867" s="565">
        <v>4.0000000000000001E-3</v>
      </c>
      <c r="F2867" s="565" t="s">
        <v>460</v>
      </c>
      <c r="G2867" s="565">
        <v>3.0000000000000001E-3</v>
      </c>
      <c r="H2867" s="922">
        <v>0.5625</v>
      </c>
      <c r="I2867" s="1297"/>
      <c r="J2867" s="1297"/>
      <c r="K2867" s="1298"/>
      <c r="L2867" s="923">
        <v>0.79166666666666663</v>
      </c>
      <c r="M2867" s="385"/>
    </row>
    <row r="2868" spans="3:13" ht="17">
      <c r="C2868" s="90"/>
      <c r="D2868" s="563">
        <v>45610</v>
      </c>
      <c r="E2868" s="565">
        <v>2E-3</v>
      </c>
      <c r="F2868" s="565" t="s">
        <v>460</v>
      </c>
      <c r="G2868" s="565">
        <v>1E-3</v>
      </c>
      <c r="H2868" s="922">
        <v>0.52083333333333337</v>
      </c>
      <c r="I2868" s="1297"/>
      <c r="J2868" s="1297"/>
      <c r="K2868" s="1298"/>
      <c r="L2868" s="923">
        <v>0.75</v>
      </c>
      <c r="M2868" s="377"/>
    </row>
    <row r="2869" spans="3:13" ht="17">
      <c r="C2869" s="90"/>
      <c r="D2869" s="563">
        <v>45576</v>
      </c>
      <c r="E2869" s="565">
        <v>0</v>
      </c>
      <c r="F2869" s="565" t="s">
        <v>462</v>
      </c>
      <c r="G2869" s="565">
        <v>2E-3</v>
      </c>
      <c r="H2869" s="922">
        <v>0.52083333333333337</v>
      </c>
      <c r="I2869" s="1297"/>
      <c r="J2869" s="1297"/>
      <c r="K2869" s="1298"/>
      <c r="L2869" s="923">
        <v>0.75</v>
      </c>
      <c r="M2869" s="377"/>
    </row>
    <row r="2870" spans="3:13" ht="17">
      <c r="C2870" s="90"/>
      <c r="D2870" s="563">
        <v>45547</v>
      </c>
      <c r="E2870" s="565">
        <v>2E-3</v>
      </c>
      <c r="F2870" s="565" t="s">
        <v>462</v>
      </c>
      <c r="G2870" s="565">
        <v>0</v>
      </c>
      <c r="H2870" s="922">
        <v>0.52083333333333337</v>
      </c>
      <c r="I2870" s="1297"/>
      <c r="J2870" s="1297"/>
      <c r="K2870" s="1298"/>
      <c r="L2870" s="923">
        <v>0.75</v>
      </c>
      <c r="M2870" s="377"/>
    </row>
    <row r="2871" spans="3:13" ht="18" thickBot="1">
      <c r="C2871" s="90"/>
      <c r="D2871" s="563">
        <v>45517</v>
      </c>
      <c r="E2871" s="565">
        <v>1E-3</v>
      </c>
      <c r="F2871" s="565" t="s">
        <v>460</v>
      </c>
      <c r="G2871" s="565">
        <v>2E-3</v>
      </c>
      <c r="H2871" s="922">
        <v>0.52083333333333337</v>
      </c>
      <c r="I2871" s="1299"/>
      <c r="J2871" s="1299"/>
      <c r="K2871" s="1300"/>
      <c r="L2871" s="923">
        <v>0.75</v>
      </c>
      <c r="M2871" s="386"/>
    </row>
    <row r="2872" spans="3:13" ht="18" thickBot="1">
      <c r="C2872" s="90">
        <v>9</v>
      </c>
      <c r="D2872" s="557" t="s">
        <v>30</v>
      </c>
      <c r="E2872" s="1358" t="s">
        <v>927</v>
      </c>
      <c r="F2872" s="1359"/>
      <c r="G2872" s="1360"/>
      <c r="H2872" s="911" t="s">
        <v>790</v>
      </c>
      <c r="I2872" s="1293" t="s">
        <v>633</v>
      </c>
      <c r="J2872" s="1293"/>
      <c r="K2872" s="1294"/>
      <c r="L2872" s="911" t="s">
        <v>430</v>
      </c>
      <c r="M2872" s="375" t="s">
        <v>431</v>
      </c>
    </row>
    <row r="2873" spans="3:13" ht="17">
      <c r="C2873" s="90"/>
      <c r="D2873" s="559" t="s">
        <v>432</v>
      </c>
      <c r="E2873" s="1307"/>
      <c r="F2873" s="1308"/>
      <c r="G2873" s="1309"/>
      <c r="H2873" s="919" t="s">
        <v>906</v>
      </c>
      <c r="I2873" s="1295" t="s">
        <v>1583</v>
      </c>
      <c r="J2873" s="1295"/>
      <c r="K2873" s="1296"/>
      <c r="L2873" s="920"/>
      <c r="M2873" s="376" t="s">
        <v>927</v>
      </c>
    </row>
    <row r="2874" spans="3:13" ht="17">
      <c r="C2874" s="90"/>
      <c r="D2874" s="560" t="s">
        <v>433</v>
      </c>
      <c r="E2874" s="1361">
        <v>0</v>
      </c>
      <c r="F2874" s="1362"/>
      <c r="G2874" s="1363"/>
      <c r="H2874" s="919" t="s">
        <v>907</v>
      </c>
      <c r="I2874" s="1297"/>
      <c r="J2874" s="1297"/>
      <c r="K2874" s="1298"/>
      <c r="L2874" s="920"/>
      <c r="M2874" s="377"/>
    </row>
    <row r="2875" spans="3:13" ht="17">
      <c r="C2875" s="90"/>
      <c r="D2875" s="560" t="s">
        <v>434</v>
      </c>
      <c r="E2875" s="1361">
        <v>4.913E-2</v>
      </c>
      <c r="F2875" s="1362"/>
      <c r="G2875" s="1363"/>
      <c r="H2875" s="907"/>
      <c r="I2875" s="1297"/>
      <c r="J2875" s="1297"/>
      <c r="K2875" s="1298"/>
      <c r="L2875" s="920"/>
      <c r="M2875" s="377"/>
    </row>
    <row r="2876" spans="3:13" ht="18" thickBot="1">
      <c r="C2876" s="90"/>
      <c r="D2876" s="561" t="s">
        <v>435</v>
      </c>
      <c r="E2876" s="1313">
        <v>0.75</v>
      </c>
      <c r="F2876" s="1314"/>
      <c r="G2876" s="1315"/>
      <c r="H2876" s="909">
        <v>0.54166666666666663</v>
      </c>
      <c r="I2876" s="1297"/>
      <c r="J2876" s="1297"/>
      <c r="K2876" s="1298"/>
      <c r="L2876" s="378">
        <v>0.97916666666666663</v>
      </c>
      <c r="M2876" s="379">
        <v>0.83333333333333326</v>
      </c>
    </row>
    <row r="2877" spans="3:13" ht="18" thickBot="1">
      <c r="C2877" s="90"/>
      <c r="D2877" s="562" t="s">
        <v>436</v>
      </c>
      <c r="E2877" s="380" t="s">
        <v>29</v>
      </c>
      <c r="F2877" s="380" t="s">
        <v>28</v>
      </c>
      <c r="G2877" s="381" t="s">
        <v>27</v>
      </c>
      <c r="H2877" s="911" t="s">
        <v>793</v>
      </c>
      <c r="I2877" s="1297"/>
      <c r="J2877" s="1297"/>
      <c r="K2877" s="1298"/>
      <c r="L2877" s="921" t="s">
        <v>1246</v>
      </c>
      <c r="M2877" s="382"/>
    </row>
    <row r="2878" spans="3:13" ht="17">
      <c r="C2878" s="90"/>
      <c r="D2878" s="563">
        <v>45665</v>
      </c>
      <c r="E2878" s="565">
        <v>4.913E-2</v>
      </c>
      <c r="F2878" s="565" t="s">
        <v>754</v>
      </c>
      <c r="G2878" s="565">
        <v>4.5350000000000001E-2</v>
      </c>
      <c r="H2878" s="922">
        <v>0.75</v>
      </c>
      <c r="I2878" s="1297"/>
      <c r="J2878" s="1297"/>
      <c r="K2878" s="1298"/>
      <c r="L2878" s="923">
        <v>0.97916666666666663</v>
      </c>
      <c r="M2878" s="384"/>
    </row>
    <row r="2879" spans="3:13" ht="17">
      <c r="C2879" s="90"/>
      <c r="D2879" s="563">
        <v>45638</v>
      </c>
      <c r="E2879" s="565">
        <v>4.5350000000000001E-2</v>
      </c>
      <c r="F2879" s="565" t="s">
        <v>754</v>
      </c>
      <c r="G2879" s="565">
        <v>4.6080000000000003E-2</v>
      </c>
      <c r="H2879" s="922">
        <v>0.75</v>
      </c>
      <c r="I2879" s="1297"/>
      <c r="J2879" s="1297"/>
      <c r="K2879" s="1298"/>
      <c r="L2879" s="923">
        <v>0.97916666666666663</v>
      </c>
      <c r="M2879" s="385"/>
    </row>
    <row r="2880" spans="3:13" ht="17">
      <c r="C2880" s="90"/>
      <c r="D2880" s="563">
        <v>45602</v>
      </c>
      <c r="E2880" s="565">
        <v>4.6080000000000003E-2</v>
      </c>
      <c r="F2880" s="565" t="s">
        <v>754</v>
      </c>
      <c r="G2880" s="565">
        <v>4.3889999999999998E-2</v>
      </c>
      <c r="H2880" s="922">
        <v>0.75</v>
      </c>
      <c r="I2880" s="1297"/>
      <c r="J2880" s="1297"/>
      <c r="K2880" s="1298"/>
      <c r="L2880" s="923">
        <v>0.97916666666666663</v>
      </c>
      <c r="M2880" s="377"/>
    </row>
    <row r="2881" spans="3:13" ht="17">
      <c r="C2881" s="90"/>
      <c r="D2881" s="563">
        <v>45575</v>
      </c>
      <c r="E2881" s="565">
        <v>4.3889999999999998E-2</v>
      </c>
      <c r="F2881" s="565" t="s">
        <v>754</v>
      </c>
      <c r="G2881" s="565">
        <v>4.0149999999999998E-2</v>
      </c>
      <c r="H2881" s="922">
        <v>0.70833333333333337</v>
      </c>
      <c r="I2881" s="1297"/>
      <c r="J2881" s="1297"/>
      <c r="K2881" s="1298"/>
      <c r="L2881" s="923">
        <v>0.9375</v>
      </c>
      <c r="M2881" s="377"/>
    </row>
    <row r="2882" spans="3:13" ht="17">
      <c r="C2882" s="90"/>
      <c r="D2882" s="563">
        <v>45547</v>
      </c>
      <c r="E2882" s="565">
        <v>4.0149999999999998E-2</v>
      </c>
      <c r="F2882" s="565" t="s">
        <v>754</v>
      </c>
      <c r="G2882" s="565">
        <v>4.3139999999999998E-2</v>
      </c>
      <c r="H2882" s="922">
        <v>0.70833333333333337</v>
      </c>
      <c r="I2882" s="1297"/>
      <c r="J2882" s="1297"/>
      <c r="K2882" s="1298"/>
      <c r="L2882" s="923">
        <v>0.9375</v>
      </c>
      <c r="M2882" s="377"/>
    </row>
    <row r="2883" spans="3:13" ht="18" thickBot="1">
      <c r="C2883" s="90"/>
      <c r="D2883" s="563">
        <v>45512</v>
      </c>
      <c r="E2883" s="565">
        <v>4.3139999999999998E-2</v>
      </c>
      <c r="F2883" s="565" t="s">
        <v>754</v>
      </c>
      <c r="G2883" s="565">
        <v>4.4049999999999999E-2</v>
      </c>
      <c r="H2883" s="922">
        <v>0.70902777777777781</v>
      </c>
      <c r="I2883" s="1299"/>
      <c r="J2883" s="1299"/>
      <c r="K2883" s="1300"/>
      <c r="L2883" s="923">
        <v>0.93819444444444444</v>
      </c>
      <c r="M2883" s="386"/>
    </row>
    <row r="2884" spans="3:13" ht="18" thickBot="1">
      <c r="C2884" s="90">
        <v>10</v>
      </c>
      <c r="D2884" s="557" t="s">
        <v>30</v>
      </c>
      <c r="E2884" s="1358" t="s">
        <v>1584</v>
      </c>
      <c r="F2884" s="1359"/>
      <c r="G2884" s="1360"/>
      <c r="H2884" s="911" t="s">
        <v>790</v>
      </c>
      <c r="I2884" s="1293" t="s">
        <v>633</v>
      </c>
      <c r="J2884" s="1293"/>
      <c r="K2884" s="1294"/>
      <c r="L2884" s="911" t="s">
        <v>430</v>
      </c>
      <c r="M2884" s="375" t="s">
        <v>431</v>
      </c>
    </row>
    <row r="2885" spans="3:13" ht="17">
      <c r="C2885" s="90"/>
      <c r="D2885" s="559" t="s">
        <v>432</v>
      </c>
      <c r="E2885" s="1307"/>
      <c r="F2885" s="1308"/>
      <c r="G2885" s="1309"/>
      <c r="H2885" s="919" t="s">
        <v>906</v>
      </c>
      <c r="I2885" s="1295" t="s">
        <v>1585</v>
      </c>
      <c r="J2885" s="1295"/>
      <c r="K2885" s="1296"/>
      <c r="L2885" s="920"/>
      <c r="M2885" s="376" t="s">
        <v>1584</v>
      </c>
    </row>
    <row r="2886" spans="3:13" ht="17">
      <c r="C2886" s="90"/>
      <c r="D2886" s="560" t="s">
        <v>433</v>
      </c>
      <c r="E2886" s="1361">
        <v>0</v>
      </c>
      <c r="F2886" s="1362"/>
      <c r="G2886" s="1363"/>
      <c r="H2886" s="919" t="s">
        <v>907</v>
      </c>
      <c r="I2886" s="1297"/>
      <c r="J2886" s="1297"/>
      <c r="K2886" s="1298"/>
      <c r="L2886" s="920"/>
      <c r="M2886" s="377"/>
    </row>
    <row r="2887" spans="3:13" ht="17">
      <c r="C2887" s="90"/>
      <c r="D2887" s="560" t="s">
        <v>434</v>
      </c>
      <c r="E2887" s="1361">
        <v>0</v>
      </c>
      <c r="F2887" s="1362"/>
      <c r="G2887" s="1363"/>
      <c r="H2887" s="907"/>
      <c r="I2887" s="1297"/>
      <c r="J2887" s="1297"/>
      <c r="K2887" s="1298"/>
      <c r="L2887" s="920"/>
      <c r="M2887" s="377"/>
    </row>
    <row r="2888" spans="3:13" ht="18" thickBot="1">
      <c r="C2888" s="90"/>
      <c r="D2888" s="561" t="s">
        <v>435</v>
      </c>
      <c r="E2888" s="1313">
        <v>0.41666666666666674</v>
      </c>
      <c r="F2888" s="1314"/>
      <c r="G2888" s="1315"/>
      <c r="H2888" s="909">
        <v>0.2083333333333334</v>
      </c>
      <c r="I2888" s="1297"/>
      <c r="J2888" s="1297"/>
      <c r="K2888" s="1298"/>
      <c r="L2888" s="378">
        <v>0.64583333333333337</v>
      </c>
      <c r="M2888" s="379">
        <v>0.5</v>
      </c>
    </row>
    <row r="2889" spans="3:13" ht="18" thickBot="1">
      <c r="C2889" s="90"/>
      <c r="D2889" s="562" t="s">
        <v>436</v>
      </c>
      <c r="E2889" s="380" t="s">
        <v>29</v>
      </c>
      <c r="F2889" s="380" t="s">
        <v>28</v>
      </c>
      <c r="G2889" s="381" t="s">
        <v>27</v>
      </c>
      <c r="H2889" s="911" t="s">
        <v>793</v>
      </c>
      <c r="I2889" s="1297"/>
      <c r="J2889" s="1297"/>
      <c r="K2889" s="1298"/>
      <c r="L2889" s="921" t="s">
        <v>1246</v>
      </c>
      <c r="M2889" s="382"/>
    </row>
    <row r="2890" spans="3:13" ht="17">
      <c r="C2890" s="90"/>
      <c r="D2890" s="563">
        <v>45687</v>
      </c>
      <c r="E2890" s="565">
        <v>0</v>
      </c>
      <c r="F2890" s="565" t="s">
        <v>462</v>
      </c>
      <c r="G2890" s="565">
        <v>4.0000000000000001E-3</v>
      </c>
      <c r="H2890" s="922">
        <v>0.41666666666666674</v>
      </c>
      <c r="I2890" s="1297"/>
      <c r="J2890" s="1297"/>
      <c r="K2890" s="1298"/>
      <c r="L2890" s="923">
        <v>0.64583333333333337</v>
      </c>
      <c r="M2890" s="384"/>
    </row>
    <row r="2891" spans="3:13" ht="17">
      <c r="C2891" s="90"/>
      <c r="D2891" s="563">
        <v>45632</v>
      </c>
      <c r="E2891" s="565">
        <v>4.0000000000000001E-3</v>
      </c>
      <c r="F2891" s="565" t="s">
        <v>452</v>
      </c>
      <c r="G2891" s="565">
        <v>4.0000000000000001E-3</v>
      </c>
      <c r="H2891" s="922">
        <v>0.41666666666666674</v>
      </c>
      <c r="I2891" s="1297"/>
      <c r="J2891" s="1297"/>
      <c r="K2891" s="1298"/>
      <c r="L2891" s="923">
        <v>0.64583333333333337</v>
      </c>
      <c r="M2891" s="385"/>
    </row>
    <row r="2892" spans="3:13" ht="17">
      <c r="C2892" s="90"/>
      <c r="D2892" s="563">
        <v>45610</v>
      </c>
      <c r="E2892" s="565">
        <v>4.0000000000000001E-3</v>
      </c>
      <c r="F2892" s="565" t="s">
        <v>452</v>
      </c>
      <c r="G2892" s="565">
        <v>4.0000000000000001E-3</v>
      </c>
      <c r="H2892" s="922">
        <v>0.41666666666666674</v>
      </c>
      <c r="I2892" s="1297"/>
      <c r="J2892" s="1297"/>
      <c r="K2892" s="1298"/>
      <c r="L2892" s="923">
        <v>0.64583333333333337</v>
      </c>
      <c r="M2892" s="377"/>
    </row>
    <row r="2893" spans="3:13" ht="17">
      <c r="C2893" s="90"/>
      <c r="D2893" s="563">
        <v>45595</v>
      </c>
      <c r="E2893" s="565">
        <v>4.0000000000000001E-3</v>
      </c>
      <c r="F2893" s="565" t="s">
        <v>460</v>
      </c>
      <c r="G2893" s="565">
        <v>2E-3</v>
      </c>
      <c r="H2893" s="922">
        <v>0.41666666666666674</v>
      </c>
      <c r="I2893" s="1297"/>
      <c r="J2893" s="1297"/>
      <c r="K2893" s="1298"/>
      <c r="L2893" s="923">
        <v>0.64583333333333337</v>
      </c>
      <c r="M2893" s="377"/>
    </row>
    <row r="2894" spans="3:13" ht="17">
      <c r="C2894" s="90"/>
      <c r="D2894" s="563">
        <v>45541</v>
      </c>
      <c r="E2894" s="565">
        <v>2E-3</v>
      </c>
      <c r="F2894" s="565" t="s">
        <v>467</v>
      </c>
      <c r="G2894" s="565">
        <v>3.0000000000000001E-3</v>
      </c>
      <c r="H2894" s="922">
        <v>0.375</v>
      </c>
      <c r="I2894" s="1297"/>
      <c r="J2894" s="1297"/>
      <c r="K2894" s="1298"/>
      <c r="L2894" s="923">
        <v>0.60416666666666663</v>
      </c>
      <c r="M2894" s="377"/>
    </row>
    <row r="2895" spans="3:13" ht="18" thickBot="1">
      <c r="C2895" s="90"/>
      <c r="D2895" s="563">
        <v>45518</v>
      </c>
      <c r="E2895" s="565">
        <v>3.0000000000000001E-3</v>
      </c>
      <c r="F2895" s="565" t="s">
        <v>467</v>
      </c>
      <c r="G2895" s="565">
        <v>3.0000000000000001E-3</v>
      </c>
      <c r="H2895" s="922">
        <v>0.375</v>
      </c>
      <c r="I2895" s="1299"/>
      <c r="J2895" s="1299"/>
      <c r="K2895" s="1300"/>
      <c r="L2895" s="923">
        <v>0.60416666666666663</v>
      </c>
      <c r="M2895" s="386"/>
    </row>
    <row r="2896" spans="3:13" ht="18" thickBot="1">
      <c r="C2896" s="90">
        <v>9</v>
      </c>
      <c r="D2896" s="557" t="s">
        <v>30</v>
      </c>
      <c r="E2896" s="1358" t="s">
        <v>1586</v>
      </c>
      <c r="F2896" s="1359"/>
      <c r="G2896" s="1360"/>
      <c r="H2896" s="911" t="s">
        <v>790</v>
      </c>
      <c r="I2896" s="1293" t="s">
        <v>633</v>
      </c>
      <c r="J2896" s="1293"/>
      <c r="K2896" s="1294"/>
      <c r="L2896" s="911" t="s">
        <v>430</v>
      </c>
      <c r="M2896" s="375" t="s">
        <v>431</v>
      </c>
    </row>
    <row r="2897" spans="3:13" ht="17">
      <c r="C2897" s="162"/>
      <c r="D2897" s="559" t="s">
        <v>432</v>
      </c>
      <c r="E2897" s="1307"/>
      <c r="F2897" s="1308"/>
      <c r="G2897" s="1309"/>
      <c r="H2897" s="919" t="s">
        <v>906</v>
      </c>
      <c r="I2897" s="1295" t="s">
        <v>1587</v>
      </c>
      <c r="J2897" s="1295"/>
      <c r="K2897" s="1296"/>
      <c r="L2897" s="920"/>
      <c r="M2897" s="377"/>
    </row>
    <row r="2898" spans="3:13" ht="17">
      <c r="C2898" s="162"/>
      <c r="D2898" s="560" t="s">
        <v>433</v>
      </c>
      <c r="E2898" s="1361">
        <v>0</v>
      </c>
      <c r="F2898" s="1362"/>
      <c r="G2898" s="1363"/>
      <c r="H2898" s="919" t="s">
        <v>907</v>
      </c>
      <c r="I2898" s="1297"/>
      <c r="J2898" s="1297"/>
      <c r="K2898" s="1298"/>
      <c r="L2898" s="920"/>
      <c r="M2898" s="377"/>
    </row>
    <row r="2899" spans="3:13" ht="17">
      <c r="C2899" s="162"/>
      <c r="D2899" s="560" t="s">
        <v>434</v>
      </c>
      <c r="E2899" s="1361">
        <v>4.0000000000000001E-3</v>
      </c>
      <c r="F2899" s="1362"/>
      <c r="G2899" s="1363"/>
      <c r="H2899" s="907"/>
      <c r="I2899" s="1297"/>
      <c r="J2899" s="1297"/>
      <c r="K2899" s="1298"/>
      <c r="L2899" s="920"/>
      <c r="M2899" s="377"/>
    </row>
    <row r="2900" spans="3:13" ht="18" thickBot="1">
      <c r="C2900" s="162"/>
      <c r="D2900" s="561" t="s">
        <v>435</v>
      </c>
      <c r="E2900" s="1313">
        <v>0.5625</v>
      </c>
      <c r="F2900" s="1314"/>
      <c r="G2900" s="1315"/>
      <c r="H2900" s="909"/>
      <c r="I2900" s="1297"/>
      <c r="J2900" s="1297"/>
      <c r="K2900" s="1298"/>
      <c r="L2900" s="378">
        <v>0.79166666666666663</v>
      </c>
      <c r="M2900" s="379">
        <v>0.64583333333333326</v>
      </c>
    </row>
    <row r="2901" spans="3:13" ht="18" thickBot="1">
      <c r="C2901" s="162"/>
      <c r="D2901" s="562" t="s">
        <v>436</v>
      </c>
      <c r="E2901" s="380" t="s">
        <v>29</v>
      </c>
      <c r="F2901" s="380" t="s">
        <v>28</v>
      </c>
      <c r="G2901" s="381" t="s">
        <v>27</v>
      </c>
      <c r="H2901" s="911" t="s">
        <v>793</v>
      </c>
      <c r="I2901" s="1297"/>
      <c r="J2901" s="1297"/>
      <c r="K2901" s="1298"/>
      <c r="L2901" s="921" t="s">
        <v>1246</v>
      </c>
      <c r="M2901" s="382"/>
    </row>
    <row r="2902" spans="3:13" ht="17">
      <c r="C2902" s="162"/>
      <c r="D2902" s="563">
        <v>45673</v>
      </c>
      <c r="E2902" s="565">
        <v>4.0000000000000001E-3</v>
      </c>
      <c r="F2902" s="565" t="s">
        <v>903</v>
      </c>
      <c r="G2902" s="565">
        <v>2E-3</v>
      </c>
      <c r="H2902" s="922">
        <v>0.5625</v>
      </c>
      <c r="I2902" s="1297"/>
      <c r="J2902" s="1297"/>
      <c r="K2902" s="1298"/>
      <c r="L2902" s="923">
        <v>0.79166666666666663</v>
      </c>
      <c r="M2902" s="384"/>
    </row>
    <row r="2903" spans="3:13" ht="17">
      <c r="C2903" s="162"/>
      <c r="D2903" s="563">
        <v>45643</v>
      </c>
      <c r="E2903" s="565">
        <v>2E-3</v>
      </c>
      <c r="F2903" s="565" t="s">
        <v>452</v>
      </c>
      <c r="G2903" s="565">
        <v>2E-3</v>
      </c>
      <c r="H2903" s="922">
        <v>0.5625</v>
      </c>
      <c r="I2903" s="1297"/>
      <c r="J2903" s="1297"/>
      <c r="K2903" s="1298"/>
      <c r="L2903" s="923">
        <v>0.79166666666666663</v>
      </c>
      <c r="M2903" s="385"/>
    </row>
    <row r="2904" spans="3:13" ht="17">
      <c r="C2904" s="162"/>
      <c r="D2904" s="563">
        <v>45611</v>
      </c>
      <c r="E2904" s="565">
        <v>1E-3</v>
      </c>
      <c r="F2904" s="565" t="s">
        <v>467</v>
      </c>
      <c r="G2904" s="565">
        <v>0.01</v>
      </c>
      <c r="H2904" s="922">
        <v>0.5625</v>
      </c>
      <c r="I2904" s="1297"/>
      <c r="J2904" s="1297"/>
      <c r="K2904" s="1298"/>
      <c r="L2904" s="923">
        <v>0.79166666666666663</v>
      </c>
      <c r="M2904" s="377"/>
    </row>
    <row r="2905" spans="3:13" ht="17">
      <c r="C2905" s="162"/>
      <c r="D2905" s="563">
        <v>45582</v>
      </c>
      <c r="E2905" s="565">
        <v>5.0000000000000001E-3</v>
      </c>
      <c r="F2905" s="565" t="s">
        <v>462</v>
      </c>
      <c r="G2905" s="565">
        <v>2E-3</v>
      </c>
      <c r="H2905" s="922">
        <v>0.52083333333333337</v>
      </c>
      <c r="I2905" s="1297"/>
      <c r="J2905" s="1297"/>
      <c r="K2905" s="1298"/>
      <c r="L2905" s="923">
        <v>0.75</v>
      </c>
      <c r="M2905" s="377"/>
    </row>
    <row r="2906" spans="3:13" ht="17">
      <c r="C2906" s="162"/>
      <c r="D2906" s="563">
        <v>45552</v>
      </c>
      <c r="E2906" s="565">
        <v>1E-3</v>
      </c>
      <c r="F2906" s="565" t="s">
        <v>460</v>
      </c>
      <c r="G2906" s="565">
        <v>4.0000000000000001E-3</v>
      </c>
      <c r="H2906" s="922">
        <v>0.52083333333333337</v>
      </c>
      <c r="I2906" s="1297"/>
      <c r="J2906" s="1297"/>
      <c r="K2906" s="1298"/>
      <c r="L2906" s="923">
        <v>0.75</v>
      </c>
      <c r="M2906" s="377"/>
    </row>
    <row r="2907" spans="3:13" ht="18" thickBot="1">
      <c r="C2907" s="162"/>
      <c r="D2907" s="563">
        <v>45519</v>
      </c>
      <c r="E2907" s="565">
        <v>4.0000000000000001E-3</v>
      </c>
      <c r="F2907" s="565" t="s">
        <v>462</v>
      </c>
      <c r="G2907" s="565">
        <v>5.0000000000000001E-3</v>
      </c>
      <c r="H2907" s="922">
        <v>0.52083333333333337</v>
      </c>
      <c r="I2907" s="1299"/>
      <c r="J2907" s="1299"/>
      <c r="K2907" s="1300"/>
      <c r="L2907" s="923">
        <v>0.75</v>
      </c>
      <c r="M2907" s="386"/>
    </row>
    <row r="2908" spans="3:13" ht="18" thickBot="1">
      <c r="C2908" s="90">
        <v>10</v>
      </c>
      <c r="D2908" s="557" t="s">
        <v>30</v>
      </c>
      <c r="E2908" s="1358" t="s">
        <v>1588</v>
      </c>
      <c r="F2908" s="1359"/>
      <c r="G2908" s="1360"/>
      <c r="H2908" s="911" t="s">
        <v>790</v>
      </c>
      <c r="I2908" s="1293" t="s">
        <v>633</v>
      </c>
      <c r="J2908" s="1293"/>
      <c r="K2908" s="1294"/>
      <c r="L2908" s="911" t="s">
        <v>430</v>
      </c>
      <c r="M2908" s="375" t="s">
        <v>431</v>
      </c>
    </row>
    <row r="2909" spans="3:13" ht="17">
      <c r="C2909" s="162"/>
      <c r="D2909" s="559" t="s">
        <v>432</v>
      </c>
      <c r="E2909" s="1307"/>
      <c r="F2909" s="1308"/>
      <c r="G2909" s="1309"/>
      <c r="H2909" s="919" t="s">
        <v>906</v>
      </c>
      <c r="I2909" s="1295" t="s">
        <v>1589</v>
      </c>
      <c r="J2909" s="1295"/>
      <c r="K2909" s="1296"/>
      <c r="L2909" s="920"/>
      <c r="M2909" s="377"/>
    </row>
    <row r="2910" spans="3:13" ht="17">
      <c r="C2910" s="162"/>
      <c r="D2910" s="560" t="s">
        <v>433</v>
      </c>
      <c r="E2910" s="1361">
        <v>0</v>
      </c>
      <c r="F2910" s="1362"/>
      <c r="G2910" s="1363"/>
      <c r="H2910" s="919" t="s">
        <v>907</v>
      </c>
      <c r="I2910" s="1297"/>
      <c r="J2910" s="1297"/>
      <c r="K2910" s="1298"/>
      <c r="L2910" s="920"/>
      <c r="M2910" s="377"/>
    </row>
    <row r="2911" spans="3:13" ht="17">
      <c r="C2911" s="162"/>
      <c r="D2911" s="560" t="s">
        <v>434</v>
      </c>
      <c r="E2911" s="1361">
        <v>4.0000000000000001E-3</v>
      </c>
      <c r="F2911" s="1362"/>
      <c r="G2911" s="1363"/>
      <c r="H2911" s="907"/>
      <c r="I2911" s="1297"/>
      <c r="J2911" s="1297"/>
      <c r="K2911" s="1298"/>
      <c r="L2911" s="920"/>
      <c r="M2911" s="377"/>
    </row>
    <row r="2912" spans="3:13" ht="18" thickBot="1">
      <c r="C2912" s="162"/>
      <c r="D2912" s="561" t="s">
        <v>435</v>
      </c>
      <c r="E2912" s="1313">
        <v>0.5625</v>
      </c>
      <c r="F2912" s="1314"/>
      <c r="G2912" s="1315"/>
      <c r="H2912" s="909"/>
      <c r="I2912" s="1297"/>
      <c r="J2912" s="1297"/>
      <c r="K2912" s="1298"/>
      <c r="L2912" s="378">
        <v>0.79166666666666663</v>
      </c>
      <c r="M2912" s="379">
        <v>0.64583333333333326</v>
      </c>
    </row>
    <row r="2913" spans="2:13" ht="18" thickBot="1">
      <c r="C2913" s="162"/>
      <c r="D2913" s="562" t="s">
        <v>436</v>
      </c>
      <c r="E2913" s="380" t="s">
        <v>29</v>
      </c>
      <c r="F2913" s="380" t="s">
        <v>28</v>
      </c>
      <c r="G2913" s="381" t="s">
        <v>27</v>
      </c>
      <c r="H2913" s="911" t="s">
        <v>793</v>
      </c>
      <c r="I2913" s="1297"/>
      <c r="J2913" s="1297"/>
      <c r="K2913" s="1298"/>
      <c r="L2913" s="921" t="s">
        <v>1246</v>
      </c>
      <c r="M2913" s="382"/>
    </row>
    <row r="2914" spans="2:13" ht="17">
      <c r="C2914" s="162"/>
      <c r="D2914" s="563">
        <v>45673</v>
      </c>
      <c r="E2914" s="565">
        <v>4.0000000000000001E-3</v>
      </c>
      <c r="F2914" s="565" t="s">
        <v>449</v>
      </c>
      <c r="G2914" s="565">
        <v>8.0000000000000002E-3</v>
      </c>
      <c r="H2914" s="922">
        <v>0.5625</v>
      </c>
      <c r="I2914" s="1297"/>
      <c r="J2914" s="1297"/>
      <c r="K2914" s="1298"/>
      <c r="L2914" s="923">
        <v>0.79166666666666663</v>
      </c>
      <c r="M2914" s="384"/>
    </row>
    <row r="2915" spans="2:13" ht="17">
      <c r="C2915" s="162"/>
      <c r="D2915" s="563">
        <v>45643</v>
      </c>
      <c r="E2915" s="565">
        <v>7.0000000000000001E-3</v>
      </c>
      <c r="F2915" s="565" t="s">
        <v>449</v>
      </c>
      <c r="G2915" s="565">
        <v>5.0000000000000001E-3</v>
      </c>
      <c r="H2915" s="922">
        <v>0.5625</v>
      </c>
      <c r="I2915" s="1297"/>
      <c r="J2915" s="1297"/>
      <c r="K2915" s="1298"/>
      <c r="L2915" s="923">
        <v>0.79166666666666663</v>
      </c>
      <c r="M2915" s="385"/>
    </row>
    <row r="2916" spans="2:13" ht="17">
      <c r="C2916" s="162"/>
      <c r="D2916" s="563">
        <v>45611</v>
      </c>
      <c r="E2916" s="565">
        <v>4.0000000000000001E-3</v>
      </c>
      <c r="F2916" s="565" t="s">
        <v>467</v>
      </c>
      <c r="G2916" s="565">
        <v>8.0000000000000002E-3</v>
      </c>
      <c r="H2916" s="922">
        <v>0.5625</v>
      </c>
      <c r="I2916" s="1297"/>
      <c r="J2916" s="1297"/>
      <c r="K2916" s="1298"/>
      <c r="L2916" s="923">
        <v>0.79166666666666663</v>
      </c>
      <c r="M2916" s="377"/>
    </row>
    <row r="2917" spans="2:13" ht="17">
      <c r="C2917" s="162"/>
      <c r="D2917" s="563">
        <v>45582</v>
      </c>
      <c r="E2917" s="565">
        <v>4.0000000000000001E-3</v>
      </c>
      <c r="F2917" s="565" t="s">
        <v>467</v>
      </c>
      <c r="G2917" s="565">
        <v>1E-3</v>
      </c>
      <c r="H2917" s="922">
        <v>0.52083333333333337</v>
      </c>
      <c r="I2917" s="1297"/>
      <c r="J2917" s="1297"/>
      <c r="K2917" s="1298"/>
      <c r="L2917" s="923">
        <v>0.75</v>
      </c>
      <c r="M2917" s="377"/>
    </row>
    <row r="2918" spans="2:13" ht="17">
      <c r="C2918" s="162"/>
      <c r="D2918" s="563">
        <v>45552</v>
      </c>
      <c r="E2918" s="565">
        <v>1E-3</v>
      </c>
      <c r="F2918" s="565" t="s">
        <v>461</v>
      </c>
      <c r="G2918" s="565">
        <v>1.0999999999999999E-2</v>
      </c>
      <c r="H2918" s="922">
        <v>0.52083333333333337</v>
      </c>
      <c r="I2918" s="1297"/>
      <c r="J2918" s="1297"/>
      <c r="K2918" s="1298"/>
      <c r="L2918" s="923">
        <v>0.75</v>
      </c>
      <c r="M2918" s="377"/>
    </row>
    <row r="2919" spans="2:13" ht="18" thickBot="1">
      <c r="C2919" s="162"/>
      <c r="D2919" s="563">
        <v>45519</v>
      </c>
      <c r="E2919" s="565">
        <v>0.01</v>
      </c>
      <c r="F2919" s="565" t="s">
        <v>452</v>
      </c>
      <c r="G2919" s="565">
        <v>-2E-3</v>
      </c>
      <c r="H2919" s="922">
        <v>0.52083333333333337</v>
      </c>
      <c r="I2919" s="1299"/>
      <c r="J2919" s="1299"/>
      <c r="K2919" s="1300"/>
      <c r="L2919" s="923">
        <v>0.75</v>
      </c>
      <c r="M2919" s="386"/>
    </row>
    <row r="2920" spans="2:13" ht="17" thickBot="1">
      <c r="B2920" s="90" t="s">
        <v>105</v>
      </c>
      <c r="C2920" s="660" t="s">
        <v>105</v>
      </c>
      <c r="D2920" s="661" t="s">
        <v>30</v>
      </c>
      <c r="E2920" s="1568" t="s">
        <v>1615</v>
      </c>
      <c r="F2920" s="1569"/>
      <c r="G2920" s="1570"/>
      <c r="H2920" s="674" t="s">
        <v>790</v>
      </c>
      <c r="I2920" s="1256" t="s">
        <v>633</v>
      </c>
      <c r="J2920" s="1256"/>
      <c r="K2920" s="1257"/>
      <c r="L2920" s="674" t="s">
        <v>430</v>
      </c>
      <c r="M2920" s="662" t="s">
        <v>431</v>
      </c>
    </row>
    <row r="2921" spans="2:13">
      <c r="C2921" s="660"/>
      <c r="D2921" s="663" t="s">
        <v>432</v>
      </c>
      <c r="E2921" s="1266"/>
      <c r="F2921" s="1267"/>
      <c r="G2921" s="1268"/>
      <c r="H2921" s="930" t="s">
        <v>906</v>
      </c>
      <c r="I2921" s="1243" t="s">
        <v>1616</v>
      </c>
      <c r="J2921" s="1243"/>
      <c r="K2921" s="1244"/>
      <c r="L2921" s="664"/>
      <c r="M2921" s="665" t="s">
        <v>1615</v>
      </c>
    </row>
    <row r="2922" spans="2:13">
      <c r="C2922" s="660"/>
      <c r="D2922" s="666" t="s">
        <v>433</v>
      </c>
      <c r="E2922" s="1571">
        <v>0</v>
      </c>
      <c r="F2922" s="1572"/>
      <c r="G2922" s="1573"/>
      <c r="H2922" s="931" t="s">
        <v>907</v>
      </c>
      <c r="I2922" s="1246"/>
      <c r="J2922" s="1246"/>
      <c r="K2922" s="1247"/>
      <c r="L2922" s="664"/>
      <c r="M2922" s="667"/>
    </row>
    <row r="2923" spans="2:13">
      <c r="C2923" s="660"/>
      <c r="D2923" s="666" t="s">
        <v>434</v>
      </c>
      <c r="E2923" s="1571">
        <v>0</v>
      </c>
      <c r="F2923" s="1572"/>
      <c r="G2923" s="1573"/>
      <c r="H2923" s="931"/>
      <c r="I2923" s="1246"/>
      <c r="J2923" s="1246"/>
      <c r="K2923" s="1247"/>
      <c r="L2923" s="664"/>
      <c r="M2923" s="667"/>
    </row>
    <row r="2924" spans="2:13" ht="17" thickBot="1">
      <c r="C2924" s="660"/>
      <c r="D2924" s="668" t="s">
        <v>435</v>
      </c>
      <c r="E2924" s="1275">
        <v>0.41666666666666674</v>
      </c>
      <c r="F2924" s="1276"/>
      <c r="G2924" s="1277"/>
      <c r="H2924" s="932"/>
      <c r="I2924" s="1246"/>
      <c r="J2924" s="1246"/>
      <c r="K2924" s="1247"/>
      <c r="L2924" s="669">
        <v>0.64583333333333337</v>
      </c>
      <c r="M2924" s="670">
        <v>0.5</v>
      </c>
    </row>
    <row r="2925" spans="2:13" ht="17" thickBot="1">
      <c r="C2925" s="660"/>
      <c r="D2925" s="671" t="s">
        <v>436</v>
      </c>
      <c r="E2925" s="672" t="s">
        <v>29</v>
      </c>
      <c r="F2925" s="672" t="s">
        <v>28</v>
      </c>
      <c r="G2925" s="673" t="s">
        <v>27</v>
      </c>
      <c r="H2925" s="674" t="s">
        <v>793</v>
      </c>
      <c r="I2925" s="1246"/>
      <c r="J2925" s="1246"/>
      <c r="K2925" s="1247"/>
      <c r="L2925" s="675" t="s">
        <v>1246</v>
      </c>
      <c r="M2925" s="676"/>
    </row>
    <row r="2926" spans="2:13">
      <c r="C2926" s="660"/>
      <c r="D2926" s="677">
        <v>45691</v>
      </c>
      <c r="E2926" s="678">
        <v>2.5000000000000001E-2</v>
      </c>
      <c r="F2926" s="678" t="s">
        <v>1447</v>
      </c>
      <c r="G2926" s="678">
        <v>2.4E-2</v>
      </c>
      <c r="H2926" s="933">
        <v>0.41666666666666674</v>
      </c>
      <c r="I2926" s="1246"/>
      <c r="J2926" s="1246"/>
      <c r="K2926" s="1247"/>
      <c r="L2926" s="679">
        <v>0.64583333333333337</v>
      </c>
      <c r="M2926" s="680"/>
    </row>
    <row r="2927" spans="2:13">
      <c r="C2927" s="660"/>
      <c r="D2927" s="677">
        <v>45674</v>
      </c>
      <c r="E2927" s="678">
        <v>2.4E-2</v>
      </c>
      <c r="F2927" s="678" t="s">
        <v>1447</v>
      </c>
      <c r="G2927" s="678">
        <v>2.1999999999999999E-2</v>
      </c>
      <c r="H2927" s="933">
        <v>0.41666666666666674</v>
      </c>
      <c r="I2927" s="1246"/>
      <c r="J2927" s="1246"/>
      <c r="K2927" s="1247"/>
      <c r="L2927" s="679">
        <v>0.64583333333333337</v>
      </c>
      <c r="M2927" s="681"/>
    </row>
    <row r="2928" spans="2:13">
      <c r="C2928" s="660"/>
      <c r="D2928" s="677">
        <v>45664</v>
      </c>
      <c r="E2928" s="678">
        <v>2.4E-2</v>
      </c>
      <c r="F2928" s="678" t="s">
        <v>1447</v>
      </c>
      <c r="G2928" s="678">
        <v>2.1999999999999999E-2</v>
      </c>
      <c r="H2928" s="933">
        <v>0.41666666666666674</v>
      </c>
      <c r="I2928" s="1246"/>
      <c r="J2928" s="1246"/>
      <c r="K2928" s="1247"/>
      <c r="L2928" s="679">
        <v>0.64583333333333337</v>
      </c>
      <c r="M2928" s="667"/>
    </row>
    <row r="2929" spans="3:13">
      <c r="C2929" s="660"/>
      <c r="D2929" s="677">
        <v>45644</v>
      </c>
      <c r="E2929" s="678">
        <v>2.1999999999999999E-2</v>
      </c>
      <c r="F2929" s="678" t="s">
        <v>971</v>
      </c>
      <c r="G2929" s="678">
        <v>0.02</v>
      </c>
      <c r="H2929" s="933">
        <v>0.41666666666666674</v>
      </c>
      <c r="I2929" s="1246"/>
      <c r="J2929" s="1246"/>
      <c r="K2929" s="1247"/>
      <c r="L2929" s="679">
        <v>0.64583333333333337</v>
      </c>
      <c r="M2929" s="667"/>
    </row>
    <row r="2930" spans="3:13">
      <c r="C2930" s="660"/>
      <c r="D2930" s="677">
        <v>45625</v>
      </c>
      <c r="E2930" s="678">
        <v>2.3E-2</v>
      </c>
      <c r="F2930" s="678" t="s">
        <v>971</v>
      </c>
      <c r="G2930" s="678">
        <v>0.02</v>
      </c>
      <c r="H2930" s="933">
        <v>0.41666666666666674</v>
      </c>
      <c r="I2930" s="1246"/>
      <c r="J2930" s="1246"/>
      <c r="K2930" s="1247"/>
      <c r="L2930" s="679">
        <v>0.64583333333333337</v>
      </c>
      <c r="M2930" s="667"/>
    </row>
    <row r="2931" spans="3:13" ht="17" thickBot="1">
      <c r="C2931" s="660"/>
      <c r="D2931" s="677">
        <v>45615</v>
      </c>
      <c r="E2931" s="678">
        <v>0.02</v>
      </c>
      <c r="F2931" s="678" t="s">
        <v>788</v>
      </c>
      <c r="G2931" s="678">
        <v>0.02</v>
      </c>
      <c r="H2931" s="933">
        <v>0.41666666666666674</v>
      </c>
      <c r="I2931" s="1249"/>
      <c r="J2931" s="1249"/>
      <c r="K2931" s="1250"/>
      <c r="L2931" s="679">
        <v>0.64583333333333337</v>
      </c>
      <c r="M2931" s="682"/>
    </row>
    <row r="2932" spans="3:13" ht="17" thickBot="1">
      <c r="C2932" s="660" t="s">
        <v>105</v>
      </c>
      <c r="D2932" s="661" t="s">
        <v>30</v>
      </c>
      <c r="E2932" s="1568" t="s">
        <v>1617</v>
      </c>
      <c r="F2932" s="1569"/>
      <c r="G2932" s="1570"/>
      <c r="H2932" s="674" t="s">
        <v>790</v>
      </c>
      <c r="I2932" s="1256" t="s">
        <v>633</v>
      </c>
      <c r="J2932" s="1256"/>
      <c r="K2932" s="1257"/>
      <c r="L2932" s="674" t="s">
        <v>430</v>
      </c>
      <c r="M2932" s="662" t="s">
        <v>431</v>
      </c>
    </row>
    <row r="2933" spans="3:13">
      <c r="C2933" s="660"/>
      <c r="D2933" s="663" t="s">
        <v>432</v>
      </c>
      <c r="E2933" s="1266"/>
      <c r="F2933" s="1267"/>
      <c r="G2933" s="1268"/>
      <c r="H2933" s="930" t="s">
        <v>906</v>
      </c>
      <c r="I2933" s="1243" t="s">
        <v>1618</v>
      </c>
      <c r="J2933" s="1243"/>
      <c r="K2933" s="1244"/>
      <c r="L2933" s="664"/>
      <c r="M2933" s="665" t="s">
        <v>1617</v>
      </c>
    </row>
    <row r="2934" spans="3:13">
      <c r="C2934" s="660"/>
      <c r="D2934" s="666" t="s">
        <v>433</v>
      </c>
      <c r="E2934" s="1571" t="s">
        <v>1090</v>
      </c>
      <c r="F2934" s="1572"/>
      <c r="G2934" s="1573"/>
      <c r="H2934" s="931" t="s">
        <v>907</v>
      </c>
      <c r="I2934" s="1246"/>
      <c r="J2934" s="1246"/>
      <c r="K2934" s="1247"/>
      <c r="L2934" s="664"/>
      <c r="M2934" s="667"/>
    </row>
    <row r="2935" spans="3:13">
      <c r="C2935" s="660"/>
      <c r="D2935" s="666" t="s">
        <v>434</v>
      </c>
      <c r="E2935" s="1571">
        <v>-2E-3</v>
      </c>
      <c r="F2935" s="1572"/>
      <c r="G2935" s="1573"/>
      <c r="H2935" s="931"/>
      <c r="I2935" s="1246"/>
      <c r="J2935" s="1246"/>
      <c r="K2935" s="1247"/>
      <c r="L2935" s="664"/>
      <c r="M2935" s="667"/>
    </row>
    <row r="2936" spans="3:13" ht="17" thickBot="1">
      <c r="C2936" s="660"/>
      <c r="D2936" s="668" t="s">
        <v>435</v>
      </c>
      <c r="E2936" s="1275">
        <v>0.29166666666666674</v>
      </c>
      <c r="F2936" s="1276"/>
      <c r="G2936" s="1277"/>
      <c r="H2936" s="932"/>
      <c r="I2936" s="1246"/>
      <c r="J2936" s="1246"/>
      <c r="K2936" s="1247"/>
      <c r="L2936" s="669">
        <v>0.52083333333333337</v>
      </c>
      <c r="M2936" s="670">
        <v>0.375</v>
      </c>
    </row>
    <row r="2937" spans="3:13" ht="17" thickBot="1">
      <c r="C2937" s="660"/>
      <c r="D2937" s="671" t="s">
        <v>436</v>
      </c>
      <c r="E2937" s="672" t="s">
        <v>29</v>
      </c>
      <c r="F2937" s="672" t="s">
        <v>28</v>
      </c>
      <c r="G2937" s="673" t="s">
        <v>27</v>
      </c>
      <c r="H2937" s="674" t="s">
        <v>793</v>
      </c>
      <c r="I2937" s="1246"/>
      <c r="J2937" s="1246"/>
      <c r="K2937" s="1247"/>
      <c r="L2937" s="675" t="s">
        <v>1246</v>
      </c>
      <c r="M2937" s="676"/>
    </row>
    <row r="2938" spans="3:13">
      <c r="C2938" s="660"/>
      <c r="D2938" s="677">
        <v>45687</v>
      </c>
      <c r="E2938" s="678">
        <v>-2E-3</v>
      </c>
      <c r="F2938" s="678" t="s">
        <v>456</v>
      </c>
      <c r="G2938" s="678">
        <v>1E-3</v>
      </c>
      <c r="H2938" s="933">
        <v>0.375</v>
      </c>
      <c r="I2938" s="1246"/>
      <c r="J2938" s="1246"/>
      <c r="K2938" s="1247"/>
      <c r="L2938" s="679">
        <v>0.60416666666666663</v>
      </c>
      <c r="M2938" s="680"/>
    </row>
    <row r="2939" spans="3:13">
      <c r="C2939" s="660"/>
      <c r="D2939" s="677">
        <v>45618</v>
      </c>
      <c r="E2939" s="678">
        <v>1E-3</v>
      </c>
      <c r="F2939" s="678" t="s">
        <v>460</v>
      </c>
      <c r="G2939" s="678">
        <v>2E-3</v>
      </c>
      <c r="H2939" s="933">
        <v>0.29166666666666674</v>
      </c>
      <c r="I2939" s="1246"/>
      <c r="J2939" s="1246"/>
      <c r="K2939" s="1247"/>
      <c r="L2939" s="679">
        <v>0.52083333333333337</v>
      </c>
      <c r="M2939" s="681"/>
    </row>
    <row r="2940" spans="3:13">
      <c r="C2940" s="660"/>
      <c r="D2940" s="677">
        <v>45595</v>
      </c>
      <c r="E2940" s="678">
        <v>2E-3</v>
      </c>
      <c r="F2940" s="678" t="s">
        <v>456</v>
      </c>
      <c r="G2940" s="678">
        <v>-3.0000000000000001E-3</v>
      </c>
      <c r="H2940" s="933">
        <v>0.375</v>
      </c>
      <c r="I2940" s="1246"/>
      <c r="J2940" s="1246"/>
      <c r="K2940" s="1247"/>
      <c r="L2940" s="679">
        <v>0.60416666666666663</v>
      </c>
      <c r="M2940" s="667"/>
    </row>
    <row r="2941" spans="3:13">
      <c r="C2941" s="660"/>
      <c r="D2941" s="677">
        <v>45531</v>
      </c>
      <c r="E2941" s="678">
        <v>-1E-3</v>
      </c>
      <c r="F2941" s="678" t="s">
        <v>456</v>
      </c>
      <c r="G2941" s="678">
        <v>2E-3</v>
      </c>
      <c r="H2941" s="933">
        <v>0.25</v>
      </c>
      <c r="I2941" s="1246"/>
      <c r="J2941" s="1246"/>
      <c r="K2941" s="1247"/>
      <c r="L2941" s="679">
        <v>0.47916666666666669</v>
      </c>
      <c r="M2941" s="667"/>
    </row>
    <row r="2942" spans="3:13">
      <c r="C2942" s="660"/>
      <c r="D2942" s="677">
        <v>45503</v>
      </c>
      <c r="E2942" s="678">
        <v>-1E-3</v>
      </c>
      <c r="F2942" s="678" t="s">
        <v>462</v>
      </c>
      <c r="G2942" s="678">
        <v>2E-3</v>
      </c>
      <c r="H2942" s="933">
        <v>0.33333333333333337</v>
      </c>
      <c r="I2942" s="1246"/>
      <c r="J2942" s="1246"/>
      <c r="K2942" s="1247"/>
      <c r="L2942" s="679">
        <v>0.5625</v>
      </c>
      <c r="M2942" s="667"/>
    </row>
    <row r="2943" spans="3:13" ht="17" thickBot="1">
      <c r="C2943" s="660"/>
      <c r="D2943" s="677">
        <v>45436</v>
      </c>
      <c r="E2943" s="678">
        <v>2E-3</v>
      </c>
      <c r="F2943" s="678" t="s">
        <v>460</v>
      </c>
      <c r="G2943" s="678">
        <v>-3.0000000000000001E-3</v>
      </c>
      <c r="H2943" s="933">
        <v>0.25</v>
      </c>
      <c r="I2943" s="1249"/>
      <c r="J2943" s="1249"/>
      <c r="K2943" s="1250"/>
      <c r="L2943" s="679">
        <v>0.47916666666666669</v>
      </c>
      <c r="M2943" s="682"/>
    </row>
    <row r="2944" spans="3:13" ht="17" thickBot="1">
      <c r="C2944" s="660" t="s">
        <v>105</v>
      </c>
      <c r="D2944" s="661" t="s">
        <v>30</v>
      </c>
      <c r="E2944" s="1568" t="s">
        <v>1619</v>
      </c>
      <c r="F2944" s="1569"/>
      <c r="G2944" s="1570"/>
      <c r="H2944" s="674" t="s">
        <v>790</v>
      </c>
      <c r="I2944" s="1256" t="s">
        <v>633</v>
      </c>
      <c r="J2944" s="1256"/>
      <c r="K2944" s="1257"/>
      <c r="L2944" s="674" t="s">
        <v>430</v>
      </c>
      <c r="M2944" s="662" t="s">
        <v>431</v>
      </c>
    </row>
    <row r="2945" spans="3:13">
      <c r="C2945" s="660"/>
      <c r="D2945" s="663" t="s">
        <v>432</v>
      </c>
      <c r="E2945" s="1266"/>
      <c r="F2945" s="1267"/>
      <c r="G2945" s="1268"/>
      <c r="H2945" s="930" t="s">
        <v>906</v>
      </c>
      <c r="I2945" s="1243" t="s">
        <v>1620</v>
      </c>
      <c r="J2945" s="1243"/>
      <c r="K2945" s="1244"/>
      <c r="L2945" s="664"/>
      <c r="M2945" s="665" t="s">
        <v>1619</v>
      </c>
    </row>
    <row r="2946" spans="3:13">
      <c r="C2946" s="660"/>
      <c r="D2946" s="666" t="s">
        <v>433</v>
      </c>
      <c r="E2946" s="1571" t="s">
        <v>1090</v>
      </c>
      <c r="F2946" s="1572"/>
      <c r="G2946" s="1573"/>
      <c r="H2946" s="931" t="s">
        <v>907</v>
      </c>
      <c r="I2946" s="1246"/>
      <c r="J2946" s="1246"/>
      <c r="K2946" s="1247"/>
      <c r="L2946" s="664"/>
      <c r="M2946" s="667"/>
    </row>
    <row r="2947" spans="3:13">
      <c r="C2947" s="660"/>
      <c r="D2947" s="666" t="s">
        <v>434</v>
      </c>
      <c r="E2947" s="1574">
        <v>104.1</v>
      </c>
      <c r="F2947" s="1575"/>
      <c r="G2947" s="1576"/>
      <c r="H2947" s="931"/>
      <c r="I2947" s="1246"/>
      <c r="J2947" s="1246"/>
      <c r="K2947" s="1247"/>
      <c r="L2947" s="664"/>
      <c r="M2947" s="667"/>
    </row>
    <row r="2948" spans="3:13" ht="17" thickBot="1">
      <c r="C2948" s="660"/>
      <c r="D2948" s="668" t="s">
        <v>435</v>
      </c>
      <c r="E2948" s="1275">
        <v>0.625</v>
      </c>
      <c r="F2948" s="1276"/>
      <c r="G2948" s="1277"/>
      <c r="H2948" s="932"/>
      <c r="I2948" s="1246"/>
      <c r="J2948" s="1246"/>
      <c r="K2948" s="1247"/>
      <c r="L2948" s="669">
        <v>0.85416666666666663</v>
      </c>
      <c r="M2948" s="670">
        <v>0.70833333333333326</v>
      </c>
    </row>
    <row r="2949" spans="3:13" ht="17" thickBot="1">
      <c r="C2949" s="660"/>
      <c r="D2949" s="671" t="s">
        <v>436</v>
      </c>
      <c r="E2949" s="672" t="s">
        <v>29</v>
      </c>
      <c r="F2949" s="672" t="s">
        <v>28</v>
      </c>
      <c r="G2949" s="673" t="s">
        <v>27</v>
      </c>
      <c r="H2949" s="674" t="s">
        <v>793</v>
      </c>
      <c r="I2949" s="1246"/>
      <c r="J2949" s="1246"/>
      <c r="K2949" s="1247"/>
      <c r="L2949" s="675" t="s">
        <v>1246</v>
      </c>
      <c r="M2949" s="676"/>
    </row>
    <row r="2950" spans="3:13">
      <c r="C2950" s="660"/>
      <c r="D2950" s="677">
        <v>45685</v>
      </c>
      <c r="E2950" s="683">
        <v>104.1</v>
      </c>
      <c r="F2950" s="683" t="s">
        <v>1646</v>
      </c>
      <c r="G2950" s="683">
        <v>109.5</v>
      </c>
      <c r="H2950" s="933">
        <v>0.625</v>
      </c>
      <c r="I2950" s="1246"/>
      <c r="J2950" s="1246"/>
      <c r="K2950" s="1247"/>
      <c r="L2950" s="679">
        <v>0.85416666666666663</v>
      </c>
      <c r="M2950" s="680"/>
    </row>
    <row r="2951" spans="3:13">
      <c r="C2951" s="660"/>
      <c r="D2951" s="677">
        <v>45649</v>
      </c>
      <c r="E2951" s="683">
        <v>104.7</v>
      </c>
      <c r="F2951" s="683" t="s">
        <v>1537</v>
      </c>
      <c r="G2951" s="683">
        <v>112.8</v>
      </c>
      <c r="H2951" s="933">
        <v>0.625</v>
      </c>
      <c r="I2951" s="1246"/>
      <c r="J2951" s="1246"/>
      <c r="K2951" s="1247"/>
      <c r="L2951" s="679">
        <v>0.85416666666666663</v>
      </c>
      <c r="M2951" s="681"/>
    </row>
    <row r="2952" spans="3:13">
      <c r="C2952" s="660"/>
      <c r="D2952" s="677">
        <v>45622</v>
      </c>
      <c r="E2952" s="683">
        <v>111.7</v>
      </c>
      <c r="F2952" s="683" t="s">
        <v>1314</v>
      </c>
      <c r="G2952" s="683">
        <v>109.6</v>
      </c>
      <c r="H2952" s="933">
        <v>0.625</v>
      </c>
      <c r="I2952" s="1246"/>
      <c r="J2952" s="1246"/>
      <c r="K2952" s="1247"/>
      <c r="L2952" s="679">
        <v>0.85416666666666663</v>
      </c>
      <c r="M2952" s="667"/>
    </row>
    <row r="2953" spans="3:13">
      <c r="C2953" s="660"/>
      <c r="D2953" s="677">
        <v>45594</v>
      </c>
      <c r="E2953" s="683">
        <v>108.7</v>
      </c>
      <c r="F2953" s="683" t="s">
        <v>1091</v>
      </c>
      <c r="G2953" s="683">
        <v>99.2</v>
      </c>
      <c r="H2953" s="933">
        <v>0.58333333333333337</v>
      </c>
      <c r="I2953" s="1246"/>
      <c r="J2953" s="1246"/>
      <c r="K2953" s="1247"/>
      <c r="L2953" s="679">
        <v>0.8125</v>
      </c>
      <c r="M2953" s="667"/>
    </row>
    <row r="2954" spans="3:13">
      <c r="C2954" s="660"/>
      <c r="D2954" s="677">
        <v>45559</v>
      </c>
      <c r="E2954" s="683">
        <v>98.7</v>
      </c>
      <c r="F2954" s="683" t="s">
        <v>874</v>
      </c>
      <c r="G2954" s="683">
        <v>105.6</v>
      </c>
      <c r="H2954" s="933">
        <v>0.58333333333333337</v>
      </c>
      <c r="I2954" s="1246"/>
      <c r="J2954" s="1246"/>
      <c r="K2954" s="1247"/>
      <c r="L2954" s="679">
        <v>0.8125</v>
      </c>
      <c r="M2954" s="667"/>
    </row>
    <row r="2955" spans="3:13" ht="17" thickBot="1">
      <c r="C2955" s="660"/>
      <c r="D2955" s="677">
        <v>45531</v>
      </c>
      <c r="E2955" s="683">
        <v>103.3</v>
      </c>
      <c r="F2955" s="683" t="s">
        <v>875</v>
      </c>
      <c r="G2955" s="683">
        <v>101.9</v>
      </c>
      <c r="H2955" s="933">
        <v>0.58333333333333337</v>
      </c>
      <c r="I2955" s="1249"/>
      <c r="J2955" s="1249"/>
      <c r="K2955" s="1250"/>
      <c r="L2955" s="679">
        <v>0.8125</v>
      </c>
      <c r="M2955" s="682"/>
    </row>
    <row r="2956" spans="3:13" ht="17" thickBot="1">
      <c r="C2956" s="660" t="s">
        <v>105</v>
      </c>
      <c r="D2956" s="684" t="s">
        <v>30</v>
      </c>
      <c r="E2956" s="1568" t="s">
        <v>1622</v>
      </c>
      <c r="F2956" s="1569"/>
      <c r="G2956" s="1570"/>
      <c r="H2956" s="674" t="s">
        <v>790</v>
      </c>
      <c r="I2956" s="1256" t="s">
        <v>633</v>
      </c>
      <c r="J2956" s="1256"/>
      <c r="K2956" s="1257"/>
      <c r="L2956" s="674" t="s">
        <v>430</v>
      </c>
      <c r="M2956" s="685" t="s">
        <v>431</v>
      </c>
    </row>
    <row r="2957" spans="3:13">
      <c r="C2957" s="660"/>
      <c r="D2957" s="686" t="s">
        <v>432</v>
      </c>
      <c r="E2957" s="1266"/>
      <c r="F2957" s="1267"/>
      <c r="G2957" s="1268"/>
      <c r="H2957" s="930" t="s">
        <v>904</v>
      </c>
      <c r="I2957" s="1243" t="s">
        <v>1623</v>
      </c>
      <c r="J2957" s="1243"/>
      <c r="K2957" s="1244"/>
      <c r="L2957" s="664"/>
      <c r="M2957" s="665" t="s">
        <v>1622</v>
      </c>
    </row>
    <row r="2958" spans="3:13">
      <c r="C2958" s="660"/>
      <c r="D2958" s="687" t="s">
        <v>433</v>
      </c>
      <c r="E2958" s="1577" t="s">
        <v>1090</v>
      </c>
      <c r="F2958" s="1572"/>
      <c r="G2958" s="1573"/>
      <c r="H2958" s="931" t="s">
        <v>905</v>
      </c>
      <c r="I2958" s="1246"/>
      <c r="J2958" s="1246"/>
      <c r="K2958" s="1247"/>
      <c r="L2958" s="664"/>
      <c r="M2958" s="667"/>
    </row>
    <row r="2959" spans="3:13">
      <c r="C2959" s="660"/>
      <c r="D2959" s="687" t="s">
        <v>434</v>
      </c>
      <c r="E2959" s="1571"/>
      <c r="F2959" s="1572"/>
      <c r="G2959" s="1573"/>
      <c r="H2959" s="931"/>
      <c r="I2959" s="1246"/>
      <c r="J2959" s="1246"/>
      <c r="K2959" s="1247"/>
      <c r="L2959" s="664"/>
      <c r="M2959" s="667"/>
    </row>
    <row r="2960" spans="3:13" ht="17" thickBot="1">
      <c r="C2960" s="660"/>
      <c r="D2960" s="688" t="s">
        <v>435</v>
      </c>
      <c r="E2960" s="1275" t="e">
        <v>#VALUE!</v>
      </c>
      <c r="F2960" s="1276"/>
      <c r="G2960" s="1277"/>
      <c r="H2960" s="932"/>
      <c r="I2960" s="1246"/>
      <c r="J2960" s="1246"/>
      <c r="K2960" s="1247"/>
      <c r="L2960" s="669" t="s">
        <v>1449</v>
      </c>
      <c r="M2960" s="670" t="e">
        <v>#VALUE!</v>
      </c>
    </row>
    <row r="2961" spans="3:13" ht="17" thickBot="1">
      <c r="C2961" s="660"/>
      <c r="D2961" s="684" t="s">
        <v>436</v>
      </c>
      <c r="E2961" s="672" t="s">
        <v>29</v>
      </c>
      <c r="F2961" s="672" t="s">
        <v>28</v>
      </c>
      <c r="G2961" s="673" t="s">
        <v>27</v>
      </c>
      <c r="H2961" s="674" t="s">
        <v>793</v>
      </c>
      <c r="I2961" s="1246"/>
      <c r="J2961" s="1246"/>
      <c r="K2961" s="1247"/>
      <c r="L2961" s="675" t="s">
        <v>1246</v>
      </c>
      <c r="M2961" s="676"/>
    </row>
    <row r="2962" spans="3:13">
      <c r="C2962" s="660"/>
      <c r="D2962" s="689">
        <v>45636</v>
      </c>
      <c r="E2962" s="678"/>
      <c r="F2962" s="678"/>
      <c r="G2962" s="678"/>
      <c r="H2962" s="933">
        <v>0.66666666666666663</v>
      </c>
      <c r="I2962" s="1246"/>
      <c r="J2962" s="1246"/>
      <c r="K2962" s="1247"/>
      <c r="L2962" s="679">
        <v>0.89583333333333326</v>
      </c>
      <c r="M2962" s="680"/>
    </row>
    <row r="2963" spans="3:13">
      <c r="C2963" s="660"/>
      <c r="D2963" s="689">
        <v>45601</v>
      </c>
      <c r="E2963" s="678"/>
      <c r="F2963" s="678"/>
      <c r="G2963" s="678"/>
      <c r="H2963" s="933">
        <v>0.66666666666666663</v>
      </c>
      <c r="I2963" s="1246"/>
      <c r="J2963" s="1246"/>
      <c r="K2963" s="1247"/>
      <c r="L2963" s="679">
        <v>0.89583333333333326</v>
      </c>
      <c r="M2963" s="681"/>
    </row>
    <row r="2964" spans="3:13">
      <c r="C2964" s="660"/>
      <c r="D2964" s="689">
        <v>45559</v>
      </c>
      <c r="E2964" s="678"/>
      <c r="F2964" s="678"/>
      <c r="G2964" s="678"/>
      <c r="H2964" s="933">
        <v>0.66666666666666663</v>
      </c>
      <c r="I2964" s="1246"/>
      <c r="J2964" s="1246"/>
      <c r="K2964" s="1247"/>
      <c r="L2964" s="679">
        <v>0.89583333333333326</v>
      </c>
      <c r="M2964" s="667"/>
    </row>
    <row r="2965" spans="3:13">
      <c r="C2965" s="660"/>
      <c r="D2965" s="689">
        <v>45510</v>
      </c>
      <c r="E2965" s="678"/>
      <c r="F2965" s="678"/>
      <c r="G2965" s="678"/>
      <c r="H2965" s="933">
        <v>0.625</v>
      </c>
      <c r="I2965" s="1246"/>
      <c r="J2965" s="1246"/>
      <c r="K2965" s="1247"/>
      <c r="L2965" s="679">
        <v>0.85416666666666663</v>
      </c>
      <c r="M2965" s="667"/>
    </row>
    <row r="2966" spans="3:13">
      <c r="C2966" s="660"/>
      <c r="D2966" s="689">
        <v>45461</v>
      </c>
      <c r="E2966" s="678"/>
      <c r="F2966" s="678"/>
      <c r="G2966" s="678"/>
      <c r="H2966" s="933">
        <v>0.625</v>
      </c>
      <c r="I2966" s="1246"/>
      <c r="J2966" s="1246"/>
      <c r="K2966" s="1247"/>
      <c r="L2966" s="679">
        <v>0.85416666666666663</v>
      </c>
      <c r="M2966" s="667"/>
    </row>
    <row r="2967" spans="3:13" ht="17" thickBot="1">
      <c r="C2967" s="660"/>
      <c r="D2967" s="689">
        <v>45419</v>
      </c>
      <c r="E2967" s="678"/>
      <c r="F2967" s="678"/>
      <c r="G2967" s="678"/>
      <c r="H2967" s="933">
        <v>0.625</v>
      </c>
      <c r="I2967" s="1249"/>
      <c r="J2967" s="1249"/>
      <c r="K2967" s="1250"/>
      <c r="L2967" s="679">
        <v>0.85416666666666663</v>
      </c>
      <c r="M2967" s="682"/>
    </row>
    <row r="2968" spans="3:13" ht="17" thickBot="1">
      <c r="C2968" s="660" t="s">
        <v>105</v>
      </c>
      <c r="D2968" s="661" t="s">
        <v>30</v>
      </c>
      <c r="E2968" s="1568" t="s">
        <v>1412</v>
      </c>
      <c r="F2968" s="1569"/>
      <c r="G2968" s="1570"/>
      <c r="H2968" s="674" t="s">
        <v>790</v>
      </c>
      <c r="I2968" s="1256" t="s">
        <v>633</v>
      </c>
      <c r="J2968" s="1256"/>
      <c r="K2968" s="1257"/>
      <c r="L2968" s="674" t="s">
        <v>430</v>
      </c>
      <c r="M2968" s="685" t="s">
        <v>431</v>
      </c>
    </row>
    <row r="2969" spans="3:13">
      <c r="C2969" s="660"/>
      <c r="D2969" s="663" t="s">
        <v>432</v>
      </c>
      <c r="E2969" s="1266"/>
      <c r="F2969" s="1267"/>
      <c r="G2969" s="1268"/>
      <c r="H2969" s="930" t="s">
        <v>796</v>
      </c>
      <c r="I2969" s="1243" t="s">
        <v>1505</v>
      </c>
      <c r="J2969" s="1243"/>
      <c r="K2969" s="1244"/>
      <c r="L2969" s="664"/>
      <c r="M2969" s="665" t="s">
        <v>1412</v>
      </c>
    </row>
    <row r="2970" spans="3:13">
      <c r="C2970" s="660"/>
      <c r="D2970" s="666" t="s">
        <v>433</v>
      </c>
      <c r="E2970" s="1577"/>
      <c r="F2970" s="1572"/>
      <c r="G2970" s="1573"/>
      <c r="H2970" s="930" t="s">
        <v>796</v>
      </c>
      <c r="I2970" s="1246"/>
      <c r="J2970" s="1246"/>
      <c r="K2970" s="1247"/>
      <c r="L2970" s="664"/>
      <c r="M2970" s="667"/>
    </row>
    <row r="2971" spans="3:13">
      <c r="C2971" s="660"/>
      <c r="D2971" s="666" t="s">
        <v>434</v>
      </c>
      <c r="E2971" s="1571"/>
      <c r="F2971" s="1572"/>
      <c r="G2971" s="1573"/>
      <c r="H2971" s="931"/>
      <c r="I2971" s="1246"/>
      <c r="J2971" s="1246"/>
      <c r="K2971" s="1247"/>
      <c r="L2971" s="664"/>
      <c r="M2971" s="667"/>
    </row>
    <row r="2972" spans="3:13" ht="17" thickBot="1">
      <c r="C2972" s="660"/>
      <c r="D2972" s="668" t="s">
        <v>435</v>
      </c>
      <c r="E2972" s="1275">
        <v>0.625</v>
      </c>
      <c r="F2972" s="1276"/>
      <c r="G2972" s="1277"/>
      <c r="H2972" s="932"/>
      <c r="I2972" s="1246"/>
      <c r="J2972" s="1246"/>
      <c r="K2972" s="1247"/>
      <c r="L2972" s="669">
        <v>0.85416666666666663</v>
      </c>
      <c r="M2972" s="670">
        <v>0.70833333333333337</v>
      </c>
    </row>
    <row r="2973" spans="3:13" ht="17" thickBot="1">
      <c r="C2973" s="660"/>
      <c r="D2973" s="671" t="s">
        <v>436</v>
      </c>
      <c r="E2973" s="672" t="s">
        <v>29</v>
      </c>
      <c r="F2973" s="672" t="s">
        <v>28</v>
      </c>
      <c r="G2973" s="673" t="s">
        <v>27</v>
      </c>
      <c r="H2973" s="674" t="s">
        <v>793</v>
      </c>
      <c r="I2973" s="1246"/>
      <c r="J2973" s="1246"/>
      <c r="K2973" s="1247"/>
      <c r="L2973" s="675" t="s">
        <v>1246</v>
      </c>
      <c r="M2973" s="676"/>
    </row>
    <row r="2974" spans="3:13">
      <c r="C2974" s="660"/>
      <c r="D2974" s="677">
        <v>45708</v>
      </c>
      <c r="E2974" s="683" t="s">
        <v>1647</v>
      </c>
      <c r="F2974" s="683" t="s">
        <v>1648</v>
      </c>
      <c r="G2974" s="683" t="s">
        <v>1649</v>
      </c>
      <c r="H2974" s="933">
        <v>0.79166666666666663</v>
      </c>
      <c r="I2974" s="1246"/>
      <c r="J2974" s="1246"/>
      <c r="K2974" s="1247"/>
      <c r="L2974" s="679">
        <v>0.9375</v>
      </c>
      <c r="M2974" s="680"/>
    </row>
    <row r="2975" spans="3:13">
      <c r="C2975" s="660"/>
      <c r="D2975" s="677">
        <v>45700</v>
      </c>
      <c r="E2975" s="683" t="s">
        <v>1649</v>
      </c>
      <c r="F2975" s="683" t="s">
        <v>1600</v>
      </c>
      <c r="G2975" s="683" t="s">
        <v>1599</v>
      </c>
      <c r="H2975" s="933">
        <v>0.72916666666666663</v>
      </c>
      <c r="I2975" s="1246"/>
      <c r="J2975" s="1246"/>
      <c r="K2975" s="1247"/>
      <c r="L2975" s="679">
        <v>0.875</v>
      </c>
      <c r="M2975" s="681"/>
    </row>
    <row r="2976" spans="3:13">
      <c r="C2976" s="660"/>
      <c r="D2976" s="677">
        <v>45693</v>
      </c>
      <c r="E2976" s="683" t="s">
        <v>1599</v>
      </c>
      <c r="F2976" s="683" t="s">
        <v>1600</v>
      </c>
      <c r="G2976" s="683" t="s">
        <v>1601</v>
      </c>
      <c r="H2976" s="933">
        <v>0.72916666666666663</v>
      </c>
      <c r="I2976" s="1246"/>
      <c r="J2976" s="1246"/>
      <c r="K2976" s="1247"/>
      <c r="L2976" s="679">
        <v>0.875</v>
      </c>
      <c r="M2976" s="667"/>
    </row>
    <row r="2977" spans="3:13">
      <c r="C2977" s="660"/>
      <c r="D2977" s="677">
        <v>45686</v>
      </c>
      <c r="E2977" s="683" t="s">
        <v>1601</v>
      </c>
      <c r="F2977" s="683" t="s">
        <v>1602</v>
      </c>
      <c r="G2977" s="683" t="s">
        <v>1603</v>
      </c>
      <c r="H2977" s="933">
        <v>0.72916666666666663</v>
      </c>
      <c r="I2977" s="1246"/>
      <c r="J2977" s="1246"/>
      <c r="K2977" s="1247"/>
      <c r="L2977" s="679">
        <v>0.875</v>
      </c>
      <c r="M2977" s="667"/>
    </row>
    <row r="2978" spans="3:13">
      <c r="C2978" s="660"/>
      <c r="D2978" s="677">
        <v>45680</v>
      </c>
      <c r="E2978" s="683" t="s">
        <v>1603</v>
      </c>
      <c r="F2978" s="683" t="s">
        <v>1604</v>
      </c>
      <c r="G2978" s="683" t="s">
        <v>1605</v>
      </c>
      <c r="H2978" s="933">
        <v>0.79166666666666663</v>
      </c>
      <c r="I2978" s="1246"/>
      <c r="J2978" s="1246"/>
      <c r="K2978" s="1247"/>
      <c r="L2978" s="679">
        <v>0.9375</v>
      </c>
      <c r="M2978" s="667"/>
    </row>
    <row r="2979" spans="3:13" ht="17" thickBot="1">
      <c r="C2979" s="660"/>
      <c r="D2979" s="677">
        <v>45672</v>
      </c>
      <c r="E2979" s="683" t="s">
        <v>1605</v>
      </c>
      <c r="F2979" s="683" t="s">
        <v>1606</v>
      </c>
      <c r="G2979" s="683" t="s">
        <v>1607</v>
      </c>
      <c r="H2979" s="933">
        <v>0.72916666666666663</v>
      </c>
      <c r="I2979" s="1249"/>
      <c r="J2979" s="1249"/>
      <c r="K2979" s="1250"/>
      <c r="L2979" s="679">
        <v>0.875</v>
      </c>
      <c r="M2979" s="682"/>
    </row>
    <row r="2980" spans="3:13" ht="17" thickBot="1">
      <c r="C2980" s="660" t="s">
        <v>105</v>
      </c>
      <c r="D2980" s="661" t="s">
        <v>30</v>
      </c>
      <c r="E2980" s="1568" t="s">
        <v>1625</v>
      </c>
      <c r="F2980" s="1569"/>
      <c r="G2980" s="1570"/>
      <c r="H2980" s="674" t="s">
        <v>790</v>
      </c>
      <c r="I2980" s="1256" t="s">
        <v>633</v>
      </c>
      <c r="J2980" s="1256"/>
      <c r="K2980" s="1257"/>
      <c r="L2980" s="674" t="s">
        <v>430</v>
      </c>
      <c r="M2980" s="685" t="s">
        <v>431</v>
      </c>
    </row>
    <row r="2981" spans="3:13">
      <c r="C2981" s="660"/>
      <c r="D2981" s="663" t="s">
        <v>432</v>
      </c>
      <c r="E2981" s="1266"/>
      <c r="F2981" s="1267"/>
      <c r="G2981" s="1268"/>
      <c r="H2981" s="930" t="s">
        <v>906</v>
      </c>
      <c r="I2981" s="1243" t="s">
        <v>1482</v>
      </c>
      <c r="J2981" s="1243"/>
      <c r="K2981" s="1244"/>
      <c r="L2981" s="664"/>
      <c r="M2981" s="665" t="s">
        <v>1625</v>
      </c>
    </row>
    <row r="2982" spans="3:13">
      <c r="C2982" s="660"/>
      <c r="D2982" s="666" t="s">
        <v>433</v>
      </c>
      <c r="E2982" s="1577"/>
      <c r="F2982" s="1572"/>
      <c r="G2982" s="1573"/>
      <c r="H2982" s="931" t="s">
        <v>907</v>
      </c>
      <c r="I2982" s="1246"/>
      <c r="J2982" s="1246"/>
      <c r="K2982" s="1247"/>
      <c r="L2982" s="664"/>
      <c r="M2982" s="667"/>
    </row>
    <row r="2983" spans="3:13">
      <c r="C2983" s="660"/>
      <c r="D2983" s="666" t="s">
        <v>434</v>
      </c>
      <c r="E2983" s="1571"/>
      <c r="F2983" s="1572"/>
      <c r="G2983" s="1573"/>
      <c r="H2983" s="931"/>
      <c r="I2983" s="1246"/>
      <c r="J2983" s="1246"/>
      <c r="K2983" s="1247"/>
      <c r="L2983" s="664"/>
      <c r="M2983" s="667"/>
    </row>
    <row r="2984" spans="3:13" ht="17" thickBot="1">
      <c r="C2984" s="660"/>
      <c r="D2984" s="668" t="s">
        <v>435</v>
      </c>
      <c r="E2984" s="1275">
        <v>0.625</v>
      </c>
      <c r="F2984" s="1276"/>
      <c r="G2984" s="1277"/>
      <c r="H2984" s="932"/>
      <c r="I2984" s="1246"/>
      <c r="J2984" s="1246"/>
      <c r="K2984" s="1247"/>
      <c r="L2984" s="669">
        <v>0.85416666666666663</v>
      </c>
      <c r="M2984" s="670">
        <v>0.70833333333333337</v>
      </c>
    </row>
    <row r="2985" spans="3:13" ht="17" thickBot="1">
      <c r="C2985" s="660"/>
      <c r="D2985" s="671" t="s">
        <v>436</v>
      </c>
      <c r="E2985" s="672" t="s">
        <v>29</v>
      </c>
      <c r="F2985" s="672" t="s">
        <v>28</v>
      </c>
      <c r="G2985" s="673" t="s">
        <v>27</v>
      </c>
      <c r="H2985" s="674" t="s">
        <v>793</v>
      </c>
      <c r="I2985" s="1246"/>
      <c r="J2985" s="1246"/>
      <c r="K2985" s="1247"/>
      <c r="L2985" s="675" t="s">
        <v>1246</v>
      </c>
      <c r="M2985" s="676"/>
    </row>
    <row r="2986" spans="3:13">
      <c r="C2986" s="660"/>
      <c r="D2986" s="677">
        <v>45684</v>
      </c>
      <c r="E2986" s="683" t="s">
        <v>1106</v>
      </c>
      <c r="F2986" s="683" t="s">
        <v>1650</v>
      </c>
      <c r="G2986" s="683" t="s">
        <v>1651</v>
      </c>
      <c r="H2986" s="933">
        <v>0.625</v>
      </c>
      <c r="I2986" s="1246"/>
      <c r="J2986" s="1246"/>
      <c r="K2986" s="1247"/>
      <c r="L2986" s="679">
        <v>0.85416666666666663</v>
      </c>
      <c r="M2986" s="680"/>
    </row>
    <row r="2987" spans="3:13">
      <c r="C2987" s="660"/>
      <c r="D2987" s="677">
        <v>45649</v>
      </c>
      <c r="E2987" s="683" t="s">
        <v>1532</v>
      </c>
      <c r="F2987" s="683" t="s">
        <v>1533</v>
      </c>
      <c r="G2987" s="683" t="s">
        <v>1534</v>
      </c>
      <c r="H2987" s="933">
        <v>0.625</v>
      </c>
      <c r="I2987" s="1246"/>
      <c r="J2987" s="1246"/>
      <c r="K2987" s="1247"/>
      <c r="L2987" s="679">
        <v>0.85416666666666663</v>
      </c>
      <c r="M2987" s="681"/>
    </row>
    <row r="2988" spans="3:13">
      <c r="C2988" s="660"/>
      <c r="D2988" s="677">
        <v>45622</v>
      </c>
      <c r="E2988" s="683" t="s">
        <v>1316</v>
      </c>
      <c r="F2988" s="683" t="s">
        <v>1317</v>
      </c>
      <c r="G2988" s="683" t="s">
        <v>1092</v>
      </c>
      <c r="H2988" s="933">
        <v>0.625</v>
      </c>
      <c r="I2988" s="1246"/>
      <c r="J2988" s="1246"/>
      <c r="K2988" s="1247"/>
      <c r="L2988" s="679">
        <v>0.85416666666666663</v>
      </c>
      <c r="M2988" s="667"/>
    </row>
    <row r="2989" spans="3:13">
      <c r="C2989" s="660"/>
      <c r="D2989" s="677">
        <v>45589</v>
      </c>
      <c r="E2989" s="683" t="s">
        <v>1092</v>
      </c>
      <c r="F2989" s="683" t="s">
        <v>1093</v>
      </c>
      <c r="G2989" s="683" t="s">
        <v>1094</v>
      </c>
      <c r="H2989" s="933">
        <v>0.58333333333333337</v>
      </c>
      <c r="I2989" s="1246"/>
      <c r="J2989" s="1246"/>
      <c r="K2989" s="1247"/>
      <c r="L2989" s="679">
        <v>0.8125</v>
      </c>
      <c r="M2989" s="667"/>
    </row>
    <row r="2990" spans="3:13">
      <c r="C2990" s="660"/>
      <c r="D2990" s="677">
        <v>45560</v>
      </c>
      <c r="E2990" s="683" t="s">
        <v>1095</v>
      </c>
      <c r="F2990" s="683" t="s">
        <v>1096</v>
      </c>
      <c r="G2990" s="683" t="s">
        <v>1097</v>
      </c>
      <c r="H2990" s="933">
        <v>0.58333333333333337</v>
      </c>
      <c r="I2990" s="1246"/>
      <c r="J2990" s="1246"/>
      <c r="K2990" s="1247"/>
      <c r="L2990" s="679">
        <v>0.8125</v>
      </c>
      <c r="M2990" s="667"/>
    </row>
    <row r="2991" spans="3:13" ht="17" thickBot="1">
      <c r="C2991" s="660"/>
      <c r="D2991" s="677">
        <v>45527</v>
      </c>
      <c r="E2991" s="683" t="s">
        <v>1098</v>
      </c>
      <c r="F2991" s="683" t="s">
        <v>1099</v>
      </c>
      <c r="G2991" s="683" t="s">
        <v>1100</v>
      </c>
      <c r="H2991" s="933">
        <v>0.58333333333333337</v>
      </c>
      <c r="I2991" s="1249"/>
      <c r="J2991" s="1249"/>
      <c r="K2991" s="1250"/>
      <c r="L2991" s="679">
        <v>0.8125</v>
      </c>
      <c r="M2991" s="682"/>
    </row>
    <row r="2992" spans="3:13" ht="17" thickBot="1">
      <c r="C2992" s="660" t="s">
        <v>105</v>
      </c>
      <c r="D2992" s="661" t="s">
        <v>30</v>
      </c>
      <c r="E2992" s="1568" t="s">
        <v>1626</v>
      </c>
      <c r="F2992" s="1569"/>
      <c r="G2992" s="1570"/>
      <c r="H2992" s="674" t="s">
        <v>790</v>
      </c>
      <c r="I2992" s="1256" t="s">
        <v>633</v>
      </c>
      <c r="J2992" s="1256"/>
      <c r="K2992" s="1257"/>
      <c r="L2992" s="674" t="s">
        <v>430</v>
      </c>
      <c r="M2992" s="685" t="s">
        <v>431</v>
      </c>
    </row>
    <row r="2993" spans="3:13">
      <c r="C2993" s="660"/>
      <c r="D2993" s="663" t="s">
        <v>432</v>
      </c>
      <c r="E2993" s="1266"/>
      <c r="F2993" s="1267"/>
      <c r="G2993" s="1268"/>
      <c r="H2993" s="930" t="s">
        <v>906</v>
      </c>
      <c r="I2993" s="1243" t="s">
        <v>1627</v>
      </c>
      <c r="J2993" s="1243"/>
      <c r="K2993" s="1244"/>
      <c r="L2993" s="664"/>
      <c r="M2993" s="665" t="s">
        <v>1626</v>
      </c>
    </row>
    <row r="2994" spans="3:13">
      <c r="C2994" s="660"/>
      <c r="D2994" s="666" t="s">
        <v>433</v>
      </c>
      <c r="E2994" s="1577">
        <v>0.79</v>
      </c>
      <c r="F2994" s="1572"/>
      <c r="G2994" s="1573"/>
      <c r="H2994" s="931" t="s">
        <v>907</v>
      </c>
      <c r="I2994" s="1246"/>
      <c r="J2994" s="1246"/>
      <c r="K2994" s="1247"/>
      <c r="L2994" s="664"/>
      <c r="M2994" s="667"/>
    </row>
    <row r="2995" spans="3:13">
      <c r="C2995" s="660"/>
      <c r="D2995" s="666" t="s">
        <v>434</v>
      </c>
      <c r="E2995" s="1577">
        <v>0.49</v>
      </c>
      <c r="F2995" s="1572"/>
      <c r="G2995" s="1573"/>
      <c r="H2995" s="931"/>
      <c r="I2995" s="1246"/>
      <c r="J2995" s="1246"/>
      <c r="K2995" s="1247"/>
      <c r="L2995" s="664"/>
      <c r="M2995" s="667"/>
    </row>
    <row r="2996" spans="3:13" ht="17" thickBot="1">
      <c r="C2996" s="660"/>
      <c r="D2996" s="668" t="s">
        <v>435</v>
      </c>
      <c r="E2996" s="1275">
        <v>0.875</v>
      </c>
      <c r="F2996" s="1276"/>
      <c r="G2996" s="1277"/>
      <c r="H2996" s="932"/>
      <c r="I2996" s="1246"/>
      <c r="J2996" s="1246"/>
      <c r="K2996" s="1247"/>
      <c r="L2996" s="669">
        <v>0.10416666666666667</v>
      </c>
      <c r="M2996" s="670">
        <v>0.95833333333333337</v>
      </c>
    </row>
    <row r="2997" spans="3:13" ht="17" thickBot="1">
      <c r="C2997" s="660"/>
      <c r="D2997" s="671" t="s">
        <v>436</v>
      </c>
      <c r="E2997" s="672" t="s">
        <v>29</v>
      </c>
      <c r="F2997" s="672" t="s">
        <v>28</v>
      </c>
      <c r="G2997" s="673" t="s">
        <v>27</v>
      </c>
      <c r="H2997" s="674" t="s">
        <v>793</v>
      </c>
      <c r="I2997" s="1246"/>
      <c r="J2997" s="1246"/>
      <c r="K2997" s="1247"/>
      <c r="L2997" s="675" t="s">
        <v>1246</v>
      </c>
      <c r="M2997" s="676"/>
    </row>
    <row r="2998" spans="3:13">
      <c r="C2998" s="660"/>
      <c r="D2998" s="677">
        <v>45616</v>
      </c>
      <c r="E2998" s="690">
        <v>0.78</v>
      </c>
      <c r="F2998" s="690">
        <v>0.7</v>
      </c>
      <c r="G2998" s="690">
        <v>0.38</v>
      </c>
      <c r="H2998" s="933">
        <v>0.875</v>
      </c>
      <c r="I2998" s="1246"/>
      <c r="J2998" s="1246"/>
      <c r="K2998" s="1247"/>
      <c r="L2998" s="679">
        <v>0.10416666666666667</v>
      </c>
      <c r="M2998" s="680"/>
    </row>
    <row r="2999" spans="3:13">
      <c r="C2999" s="660"/>
      <c r="D2999" s="677">
        <v>45532</v>
      </c>
      <c r="E2999" s="690">
        <v>0.65</v>
      </c>
      <c r="F2999" s="690">
        <v>0.6</v>
      </c>
      <c r="G2999" s="690">
        <v>0.25</v>
      </c>
      <c r="H2999" s="933">
        <v>0.875</v>
      </c>
      <c r="I2999" s="1246"/>
      <c r="J2999" s="1246"/>
      <c r="K2999" s="1247"/>
      <c r="L2999" s="679">
        <v>0.10416666666666667</v>
      </c>
      <c r="M2999" s="681"/>
    </row>
    <row r="3000" spans="3:13">
      <c r="C3000" s="660"/>
      <c r="D3000" s="677">
        <v>45434</v>
      </c>
      <c r="E3000" s="690">
        <v>0.57999999999999996</v>
      </c>
      <c r="F3000" s="690">
        <v>0.51</v>
      </c>
      <c r="G3000" s="690">
        <v>0.09</v>
      </c>
      <c r="H3000" s="933">
        <v>0.875</v>
      </c>
      <c r="I3000" s="1246"/>
      <c r="J3000" s="1246"/>
      <c r="K3000" s="1247"/>
      <c r="L3000" s="679">
        <v>0.10416666666666667</v>
      </c>
      <c r="M3000" s="667"/>
    </row>
    <row r="3001" spans="3:13">
      <c r="C3001" s="660"/>
      <c r="D3001" s="677">
        <v>45343</v>
      </c>
      <c r="E3001" s="690">
        <v>0.49</v>
      </c>
      <c r="F3001" s="690">
        <v>0.42</v>
      </c>
      <c r="G3001" s="690">
        <v>7.0000000000000007E-2</v>
      </c>
      <c r="H3001" s="933">
        <v>0.875</v>
      </c>
      <c r="I3001" s="1246"/>
      <c r="J3001" s="1246"/>
      <c r="K3001" s="1247"/>
      <c r="L3001" s="679">
        <v>0.10416666666666667</v>
      </c>
      <c r="M3001" s="667"/>
    </row>
    <row r="3002" spans="3:13">
      <c r="C3002" s="660"/>
      <c r="D3002" s="677">
        <v>45251</v>
      </c>
      <c r="E3002" s="690">
        <v>0.38</v>
      </c>
      <c r="F3002" s="690">
        <v>0.3</v>
      </c>
      <c r="G3002" s="690">
        <v>0.03</v>
      </c>
      <c r="H3002" s="933">
        <v>0.875</v>
      </c>
      <c r="I3002" s="1246"/>
      <c r="J3002" s="1246"/>
      <c r="K3002" s="1247"/>
      <c r="L3002" s="679">
        <v>0.10416666666666667</v>
      </c>
      <c r="M3002" s="667"/>
    </row>
    <row r="3003" spans="3:13" ht="17" thickBot="1">
      <c r="C3003" s="660"/>
      <c r="D3003" s="677">
        <v>45161</v>
      </c>
      <c r="E3003" s="690">
        <v>0.25</v>
      </c>
      <c r="F3003" s="690">
        <v>0.18</v>
      </c>
      <c r="G3003" s="690">
        <v>0.03</v>
      </c>
      <c r="H3003" s="933">
        <v>0.875</v>
      </c>
      <c r="I3003" s="1249"/>
      <c r="J3003" s="1249"/>
      <c r="K3003" s="1250"/>
      <c r="L3003" s="679">
        <v>0.10416666666666667</v>
      </c>
      <c r="M3003" s="682"/>
    </row>
    <row r="3004" spans="3:13" ht="17" thickBot="1">
      <c r="C3004" s="660" t="s">
        <v>105</v>
      </c>
      <c r="D3004" s="661" t="s">
        <v>30</v>
      </c>
      <c r="E3004" s="1568" t="s">
        <v>1628</v>
      </c>
      <c r="F3004" s="1569"/>
      <c r="G3004" s="1570"/>
      <c r="H3004" s="674" t="s">
        <v>790</v>
      </c>
      <c r="I3004" s="1256" t="s">
        <v>633</v>
      </c>
      <c r="J3004" s="1256"/>
      <c r="K3004" s="1257"/>
      <c r="L3004" s="674" t="s">
        <v>430</v>
      </c>
      <c r="M3004" s="685" t="s">
        <v>431</v>
      </c>
    </row>
    <row r="3005" spans="3:13">
      <c r="C3005" s="660"/>
      <c r="D3005" s="663" t="s">
        <v>432</v>
      </c>
      <c r="E3005" s="1266"/>
      <c r="F3005" s="1267"/>
      <c r="G3005" s="1268"/>
      <c r="H3005" s="930" t="s">
        <v>1248</v>
      </c>
      <c r="I3005" s="1243" t="s">
        <v>1629</v>
      </c>
      <c r="J3005" s="1243"/>
      <c r="K3005" s="1244"/>
      <c r="L3005" s="664"/>
      <c r="M3005" s="665" t="s">
        <v>1628</v>
      </c>
    </row>
    <row r="3006" spans="3:13">
      <c r="C3006" s="660"/>
      <c r="D3006" s="666" t="s">
        <v>433</v>
      </c>
      <c r="E3006" s="1577"/>
      <c r="F3006" s="1572"/>
      <c r="G3006" s="1573"/>
      <c r="H3006" s="931" t="s">
        <v>1249</v>
      </c>
      <c r="I3006" s="1246"/>
      <c r="J3006" s="1246"/>
      <c r="K3006" s="1247"/>
      <c r="L3006" s="664"/>
      <c r="M3006" s="667"/>
    </row>
    <row r="3007" spans="3:13">
      <c r="C3007" s="660"/>
      <c r="D3007" s="666" t="s">
        <v>434</v>
      </c>
      <c r="E3007" s="1571"/>
      <c r="F3007" s="1572"/>
      <c r="G3007" s="1573"/>
      <c r="H3007" s="931"/>
      <c r="I3007" s="1246"/>
      <c r="J3007" s="1246"/>
      <c r="K3007" s="1247"/>
      <c r="L3007" s="664"/>
      <c r="M3007" s="667"/>
    </row>
    <row r="3008" spans="3:13" ht="17" thickBot="1">
      <c r="C3008" s="660"/>
      <c r="D3008" s="668" t="s">
        <v>435</v>
      </c>
      <c r="E3008" s="1275">
        <v>0.33333333333333337</v>
      </c>
      <c r="F3008" s="1276"/>
      <c r="G3008" s="1277"/>
      <c r="H3008" s="932"/>
      <c r="I3008" s="1246"/>
      <c r="J3008" s="1246"/>
      <c r="K3008" s="1247"/>
      <c r="L3008" s="669">
        <v>0.5625</v>
      </c>
      <c r="M3008" s="670">
        <v>0.41666666666666669</v>
      </c>
    </row>
    <row r="3009" spans="3:13" ht="17" thickBot="1">
      <c r="C3009" s="660"/>
      <c r="D3009" s="671" t="s">
        <v>436</v>
      </c>
      <c r="E3009" s="672" t="s">
        <v>29</v>
      </c>
      <c r="F3009" s="672" t="s">
        <v>28</v>
      </c>
      <c r="G3009" s="673" t="s">
        <v>27</v>
      </c>
      <c r="H3009" s="674" t="s">
        <v>793</v>
      </c>
      <c r="I3009" s="1246"/>
      <c r="J3009" s="1246"/>
      <c r="K3009" s="1247"/>
      <c r="L3009" s="675" t="s">
        <v>1246</v>
      </c>
      <c r="M3009" s="676"/>
    </row>
    <row r="3010" spans="3:13">
      <c r="C3010" s="660"/>
      <c r="D3010" s="677">
        <v>45625</v>
      </c>
      <c r="E3010" s="683">
        <v>4.0000000000000001E-3</v>
      </c>
      <c r="F3010" s="683" t="s">
        <v>452</v>
      </c>
      <c r="G3010" s="683">
        <v>6.0000000000000001E-3</v>
      </c>
      <c r="H3010" s="933">
        <v>0.33333333333333337</v>
      </c>
      <c r="I3010" s="1246"/>
      <c r="J3010" s="1246"/>
      <c r="K3010" s="1247"/>
      <c r="L3010" s="679">
        <v>0.5625</v>
      </c>
      <c r="M3010" s="680"/>
    </row>
    <row r="3011" spans="3:13">
      <c r="C3011" s="660"/>
      <c r="D3011" s="677">
        <v>45538</v>
      </c>
      <c r="E3011" s="683">
        <v>7.0000000000000001E-3</v>
      </c>
      <c r="F3011" s="683" t="s">
        <v>903</v>
      </c>
      <c r="G3011" s="683">
        <v>5.0000000000000001E-3</v>
      </c>
      <c r="H3011" s="933">
        <v>0.29166666666666674</v>
      </c>
      <c r="I3011" s="1246"/>
      <c r="J3011" s="1246"/>
      <c r="K3011" s="1247"/>
      <c r="L3011" s="679">
        <v>0.52083333333333337</v>
      </c>
      <c r="M3011" s="681"/>
    </row>
    <row r="3012" spans="3:13">
      <c r="C3012" s="660"/>
      <c r="D3012" s="677">
        <v>45442</v>
      </c>
      <c r="E3012" s="683">
        <v>5.0000000000000001E-3</v>
      </c>
      <c r="F3012" s="683" t="s">
        <v>467</v>
      </c>
      <c r="G3012" s="683">
        <v>3.0000000000000001E-3</v>
      </c>
      <c r="H3012" s="933">
        <v>0.29166666666666674</v>
      </c>
      <c r="I3012" s="1246"/>
      <c r="J3012" s="1246"/>
      <c r="K3012" s="1247"/>
      <c r="L3012" s="679">
        <v>0.52083333333333337</v>
      </c>
      <c r="M3012" s="667"/>
    </row>
    <row r="3013" spans="3:13">
      <c r="C3013" s="660"/>
      <c r="D3013" s="677">
        <v>45351</v>
      </c>
      <c r="E3013" s="683">
        <v>3.0000000000000001E-3</v>
      </c>
      <c r="F3013" s="683" t="s">
        <v>462</v>
      </c>
      <c r="G3013" s="683">
        <v>3.0000000000000001E-3</v>
      </c>
      <c r="H3013" s="933">
        <v>0.33333333333333337</v>
      </c>
      <c r="I3013" s="1246"/>
      <c r="J3013" s="1246"/>
      <c r="K3013" s="1247"/>
      <c r="L3013" s="679">
        <v>0.5625</v>
      </c>
      <c r="M3013" s="667"/>
    </row>
    <row r="3014" spans="3:13">
      <c r="C3014" s="660"/>
      <c r="D3014" s="677">
        <v>45261</v>
      </c>
      <c r="E3014" s="683">
        <v>3.0000000000000001E-3</v>
      </c>
      <c r="F3014" s="683" t="s">
        <v>462</v>
      </c>
      <c r="G3014" s="683">
        <v>-1E-3</v>
      </c>
      <c r="H3014" s="933">
        <v>0.33333333333333337</v>
      </c>
      <c r="I3014" s="1246"/>
      <c r="J3014" s="1246"/>
      <c r="K3014" s="1247"/>
      <c r="L3014" s="679">
        <v>0.5625</v>
      </c>
      <c r="M3014" s="667"/>
    </row>
    <row r="3015" spans="3:13" ht="17" thickBot="1">
      <c r="C3015" s="660"/>
      <c r="D3015" s="677">
        <v>45173</v>
      </c>
      <c r="E3015" s="683">
        <v>0</v>
      </c>
      <c r="F3015" s="683" t="s">
        <v>462</v>
      </c>
      <c r="G3015" s="683">
        <v>3.0000000000000001E-3</v>
      </c>
      <c r="H3015" s="933">
        <v>0.29166666666666674</v>
      </c>
      <c r="I3015" s="1249"/>
      <c r="J3015" s="1249"/>
      <c r="K3015" s="1250"/>
      <c r="L3015" s="679">
        <v>0.52083333333333337</v>
      </c>
      <c r="M3015" s="682"/>
    </row>
    <row r="3016" spans="3:13" ht="17" thickBot="1">
      <c r="C3016" s="660" t="s">
        <v>105</v>
      </c>
      <c r="D3016" s="661" t="s">
        <v>30</v>
      </c>
      <c r="E3016" s="1568" t="s">
        <v>1630</v>
      </c>
      <c r="F3016" s="1569"/>
      <c r="G3016" s="1570"/>
      <c r="H3016" s="674" t="s">
        <v>790</v>
      </c>
      <c r="I3016" s="1256" t="s">
        <v>633</v>
      </c>
      <c r="J3016" s="1256"/>
      <c r="K3016" s="1257"/>
      <c r="L3016" s="674" t="s">
        <v>430</v>
      </c>
      <c r="M3016" s="685" t="s">
        <v>431</v>
      </c>
    </row>
    <row r="3017" spans="3:13">
      <c r="C3017" s="660"/>
      <c r="D3017" s="663" t="s">
        <v>432</v>
      </c>
      <c r="E3017" s="1266"/>
      <c r="F3017" s="1267"/>
      <c r="G3017" s="1268"/>
      <c r="H3017" s="930" t="s">
        <v>906</v>
      </c>
      <c r="I3017" s="1243" t="s">
        <v>1631</v>
      </c>
      <c r="J3017" s="1243"/>
      <c r="K3017" s="1244"/>
      <c r="L3017" s="664"/>
      <c r="M3017" s="665" t="s">
        <v>1630</v>
      </c>
    </row>
    <row r="3018" spans="3:13">
      <c r="C3018" s="660"/>
      <c r="D3018" s="666" t="s">
        <v>433</v>
      </c>
      <c r="E3018" s="1577">
        <v>0</v>
      </c>
      <c r="F3018" s="1572"/>
      <c r="G3018" s="1573"/>
      <c r="H3018" s="931" t="s">
        <v>907</v>
      </c>
      <c r="I3018" s="1246"/>
      <c r="J3018" s="1246"/>
      <c r="K3018" s="1247"/>
      <c r="L3018" s="664"/>
      <c r="M3018" s="667"/>
    </row>
    <row r="3019" spans="3:13">
      <c r="C3019" s="660"/>
      <c r="D3019" s="666" t="s">
        <v>434</v>
      </c>
      <c r="E3019" s="1578">
        <v>-2.1999999999999999E-2</v>
      </c>
      <c r="F3019" s="1579"/>
      <c r="G3019" s="1580"/>
      <c r="H3019" s="931"/>
      <c r="I3019" s="1246"/>
      <c r="J3019" s="1246"/>
      <c r="K3019" s="1247"/>
      <c r="L3019" s="664"/>
      <c r="M3019" s="667"/>
    </row>
    <row r="3020" spans="3:13" ht="17" thickBot="1">
      <c r="C3020" s="660"/>
      <c r="D3020" s="668" t="s">
        <v>435</v>
      </c>
      <c r="E3020" s="1275">
        <v>0.5625</v>
      </c>
      <c r="F3020" s="1276"/>
      <c r="G3020" s="1277"/>
      <c r="H3020" s="932"/>
      <c r="I3020" s="1246"/>
      <c r="J3020" s="1246"/>
      <c r="K3020" s="1247"/>
      <c r="L3020" s="669">
        <v>0.79166666666666663</v>
      </c>
      <c r="M3020" s="670">
        <v>0.64583333333333326</v>
      </c>
    </row>
    <row r="3021" spans="3:13" ht="17" thickBot="1">
      <c r="C3021" s="660"/>
      <c r="D3021" s="671" t="s">
        <v>436</v>
      </c>
      <c r="E3021" s="672" t="s">
        <v>29</v>
      </c>
      <c r="F3021" s="672" t="s">
        <v>28</v>
      </c>
      <c r="G3021" s="673" t="s">
        <v>27</v>
      </c>
      <c r="H3021" s="674" t="s">
        <v>793</v>
      </c>
      <c r="I3021" s="1246"/>
      <c r="J3021" s="1246"/>
      <c r="K3021" s="1247"/>
      <c r="L3021" s="675" t="s">
        <v>1246</v>
      </c>
      <c r="M3021" s="676"/>
    </row>
    <row r="3022" spans="3:13">
      <c r="C3022" s="660"/>
      <c r="D3022" s="677">
        <v>45685</v>
      </c>
      <c r="E3022" s="691">
        <v>-2.1999999999999999E-2</v>
      </c>
      <c r="F3022" s="691" t="s">
        <v>467</v>
      </c>
      <c r="G3022" s="691">
        <v>-0.02</v>
      </c>
      <c r="H3022" s="933">
        <v>0.5625</v>
      </c>
      <c r="I3022" s="1246"/>
      <c r="J3022" s="1246"/>
      <c r="K3022" s="1247"/>
      <c r="L3022" s="679">
        <v>0.79166666666666663</v>
      </c>
      <c r="M3022" s="680"/>
    </row>
    <row r="3023" spans="3:13">
      <c r="C3023" s="660"/>
      <c r="D3023" s="677">
        <v>45649</v>
      </c>
      <c r="E3023" s="691">
        <v>-1.0999999999999999E-2</v>
      </c>
      <c r="F3023" s="691" t="s">
        <v>454</v>
      </c>
      <c r="G3023" s="691">
        <v>8.0000000000000002E-3</v>
      </c>
      <c r="H3023" s="933">
        <v>0.5625</v>
      </c>
      <c r="I3023" s="1246"/>
      <c r="J3023" s="1246"/>
      <c r="K3023" s="1247"/>
      <c r="L3023" s="679">
        <v>0.79166666666666663</v>
      </c>
      <c r="M3023" s="681"/>
    </row>
    <row r="3024" spans="3:13">
      <c r="C3024" s="660"/>
      <c r="D3024" s="677">
        <v>45623</v>
      </c>
      <c r="E3024" s="691">
        <v>2E-3</v>
      </c>
      <c r="F3024" s="691" t="s">
        <v>1315</v>
      </c>
      <c r="G3024" s="691">
        <v>-4.0000000000000001E-3</v>
      </c>
      <c r="H3024" s="933">
        <v>0.5625</v>
      </c>
      <c r="I3024" s="1246"/>
      <c r="J3024" s="1246"/>
      <c r="K3024" s="1247"/>
      <c r="L3024" s="679">
        <v>0.79166666666666663</v>
      </c>
      <c r="M3024" s="667"/>
    </row>
    <row r="3025" spans="3:13">
      <c r="C3025" s="660"/>
      <c r="D3025" s="677">
        <v>45590</v>
      </c>
      <c r="E3025" s="691">
        <v>-8.0000000000000002E-3</v>
      </c>
      <c r="F3025" s="691" t="s">
        <v>1110</v>
      </c>
      <c r="G3025" s="691">
        <v>-8.0000000000000002E-3</v>
      </c>
      <c r="H3025" s="933">
        <v>0.52083333333333337</v>
      </c>
      <c r="I3025" s="1246"/>
      <c r="J3025" s="1246"/>
      <c r="K3025" s="1247"/>
      <c r="L3025" s="679">
        <v>0.75</v>
      </c>
      <c r="M3025" s="667"/>
    </row>
    <row r="3026" spans="3:13">
      <c r="C3026" s="660"/>
      <c r="D3026" s="677">
        <v>45561</v>
      </c>
      <c r="E3026" s="691">
        <v>0</v>
      </c>
      <c r="F3026" s="691" t="s">
        <v>778</v>
      </c>
      <c r="G3026" s="691">
        <v>9.9000000000000005E-2</v>
      </c>
      <c r="H3026" s="933">
        <v>0.52083333333333337</v>
      </c>
      <c r="I3026" s="1246"/>
      <c r="J3026" s="1246"/>
      <c r="K3026" s="1247"/>
      <c r="L3026" s="679">
        <v>0.75</v>
      </c>
      <c r="M3026" s="667"/>
    </row>
    <row r="3027" spans="3:13" ht="17" thickBot="1">
      <c r="C3027" s="660"/>
      <c r="D3027" s="677">
        <v>45530</v>
      </c>
      <c r="E3027" s="691">
        <v>9.9000000000000005E-2</v>
      </c>
      <c r="F3027" s="691" t="s">
        <v>630</v>
      </c>
      <c r="G3027" s="691">
        <v>-6.9000000000000006E-2</v>
      </c>
      <c r="H3027" s="933">
        <v>0.52083333333333337</v>
      </c>
      <c r="I3027" s="1249"/>
      <c r="J3027" s="1249"/>
      <c r="K3027" s="1250"/>
      <c r="L3027" s="679">
        <v>0.75</v>
      </c>
      <c r="M3027" s="682"/>
    </row>
    <row r="3028" spans="3:13" ht="17" thickBot="1">
      <c r="C3028" s="660" t="s">
        <v>105</v>
      </c>
      <c r="D3028" s="661" t="s">
        <v>30</v>
      </c>
      <c r="E3028" s="1568" t="s">
        <v>1516</v>
      </c>
      <c r="F3028" s="1569"/>
      <c r="G3028" s="1570"/>
      <c r="H3028" s="674" t="s">
        <v>790</v>
      </c>
      <c r="I3028" s="1256" t="s">
        <v>633</v>
      </c>
      <c r="J3028" s="1256"/>
      <c r="K3028" s="1257"/>
      <c r="L3028" s="674" t="s">
        <v>430</v>
      </c>
      <c r="M3028" s="685" t="s">
        <v>431</v>
      </c>
    </row>
    <row r="3029" spans="3:13">
      <c r="C3029" s="660"/>
      <c r="D3029" s="663" t="s">
        <v>432</v>
      </c>
      <c r="E3029" s="1266"/>
      <c r="F3029" s="1267"/>
      <c r="G3029" s="1268"/>
      <c r="H3029" s="930" t="s">
        <v>906</v>
      </c>
      <c r="I3029" s="1243" t="s">
        <v>1632</v>
      </c>
      <c r="J3029" s="1243"/>
      <c r="K3029" s="1244"/>
      <c r="L3029" s="664"/>
      <c r="M3029" s="665" t="s">
        <v>1516</v>
      </c>
    </row>
    <row r="3030" spans="3:13">
      <c r="C3030" s="660"/>
      <c r="D3030" s="666" t="s">
        <v>433</v>
      </c>
      <c r="E3030" s="1577">
        <v>0</v>
      </c>
      <c r="F3030" s="1572"/>
      <c r="G3030" s="1573"/>
      <c r="H3030" s="931" t="s">
        <v>907</v>
      </c>
      <c r="I3030" s="1246"/>
      <c r="J3030" s="1246"/>
      <c r="K3030" s="1247"/>
      <c r="L3030" s="664"/>
      <c r="M3030" s="667"/>
    </row>
    <row r="3031" spans="3:13">
      <c r="C3031" s="660"/>
      <c r="D3031" s="666" t="s">
        <v>434</v>
      </c>
      <c r="E3031" s="1578">
        <v>2.3E-2</v>
      </c>
      <c r="F3031" s="1579"/>
      <c r="G3031" s="1580"/>
      <c r="H3031" s="931"/>
      <c r="I3031" s="1246"/>
      <c r="J3031" s="1246"/>
      <c r="K3031" s="1247"/>
      <c r="L3031" s="664"/>
      <c r="M3031" s="667"/>
    </row>
    <row r="3032" spans="3:13" ht="17" thickBot="1">
      <c r="C3032" s="660"/>
      <c r="D3032" s="668" t="s">
        <v>435</v>
      </c>
      <c r="E3032" s="1275">
        <v>0.5625</v>
      </c>
      <c r="F3032" s="1276"/>
      <c r="G3032" s="1277"/>
      <c r="H3032" s="932"/>
      <c r="I3032" s="1246"/>
      <c r="J3032" s="1246"/>
      <c r="K3032" s="1247"/>
      <c r="L3032" s="669">
        <v>0.79166666666666663</v>
      </c>
      <c r="M3032" s="670">
        <v>0.64583333333333326</v>
      </c>
    </row>
    <row r="3033" spans="3:13" ht="17" thickBot="1">
      <c r="C3033" s="660"/>
      <c r="D3033" s="671" t="s">
        <v>436</v>
      </c>
      <c r="E3033" s="672" t="s">
        <v>29</v>
      </c>
      <c r="F3033" s="672" t="s">
        <v>28</v>
      </c>
      <c r="G3033" s="673" t="s">
        <v>27</v>
      </c>
      <c r="H3033" s="674" t="s">
        <v>793</v>
      </c>
      <c r="I3033" s="1246"/>
      <c r="J3033" s="1246"/>
      <c r="K3033" s="1247"/>
      <c r="L3033" s="675" t="s">
        <v>1246</v>
      </c>
      <c r="M3033" s="676"/>
    </row>
    <row r="3034" spans="3:13">
      <c r="C3034" s="660"/>
      <c r="D3034" s="677">
        <v>45687</v>
      </c>
      <c r="E3034" s="691">
        <v>2.3E-2</v>
      </c>
      <c r="F3034" s="691" t="s">
        <v>665</v>
      </c>
      <c r="G3034" s="691">
        <v>3.1E-2</v>
      </c>
      <c r="H3034" s="933">
        <v>0.5625</v>
      </c>
      <c r="I3034" s="1246"/>
      <c r="J3034" s="1246"/>
      <c r="K3034" s="1247"/>
      <c r="L3034" s="679">
        <v>0.79166666666666663</v>
      </c>
      <c r="M3034" s="680"/>
    </row>
    <row r="3035" spans="3:13">
      <c r="C3035" s="660"/>
      <c r="D3035" s="677">
        <v>45645</v>
      </c>
      <c r="E3035" s="691">
        <v>3.1E-2</v>
      </c>
      <c r="F3035" s="691" t="s">
        <v>666</v>
      </c>
      <c r="G3035" s="691">
        <v>0.03</v>
      </c>
      <c r="H3035" s="933">
        <v>0.5625</v>
      </c>
      <c r="I3035" s="1246"/>
      <c r="J3035" s="1246"/>
      <c r="K3035" s="1247"/>
      <c r="L3035" s="679">
        <v>0.79166666666666663</v>
      </c>
      <c r="M3035" s="681"/>
    </row>
    <row r="3036" spans="3:13">
      <c r="C3036" s="660"/>
      <c r="D3036" s="677">
        <v>45623</v>
      </c>
      <c r="E3036" s="691">
        <v>2.8000000000000001E-2</v>
      </c>
      <c r="F3036" s="691" t="s">
        <v>666</v>
      </c>
      <c r="G3036" s="691">
        <v>0.03</v>
      </c>
      <c r="H3036" s="933">
        <v>0.5625</v>
      </c>
      <c r="I3036" s="1246"/>
      <c r="J3036" s="1246"/>
      <c r="K3036" s="1247"/>
      <c r="L3036" s="679">
        <v>0.79166666666666663</v>
      </c>
      <c r="M3036" s="667"/>
    </row>
    <row r="3037" spans="3:13">
      <c r="C3037" s="660"/>
      <c r="D3037" s="677">
        <v>45595</v>
      </c>
      <c r="E3037" s="691">
        <v>2.8000000000000001E-2</v>
      </c>
      <c r="F3037" s="691" t="s">
        <v>669</v>
      </c>
      <c r="G3037" s="691">
        <v>0.03</v>
      </c>
      <c r="H3037" s="933">
        <v>0.52083333333333337</v>
      </c>
      <c r="I3037" s="1246"/>
      <c r="J3037" s="1246"/>
      <c r="K3037" s="1247"/>
      <c r="L3037" s="679">
        <v>0.75</v>
      </c>
      <c r="M3037" s="667"/>
    </row>
    <row r="3038" spans="3:13">
      <c r="C3038" s="660"/>
      <c r="D3038" s="677">
        <v>45561</v>
      </c>
      <c r="E3038" s="691">
        <v>0.03</v>
      </c>
      <c r="F3038" s="691" t="s">
        <v>669</v>
      </c>
      <c r="G3038" s="691">
        <v>1.6E-2</v>
      </c>
      <c r="H3038" s="933">
        <v>0.52083333333333337</v>
      </c>
      <c r="I3038" s="1246"/>
      <c r="J3038" s="1246"/>
      <c r="K3038" s="1247"/>
      <c r="L3038" s="679">
        <v>0.75</v>
      </c>
      <c r="M3038" s="667"/>
    </row>
    <row r="3039" spans="3:13" ht="17" thickBot="1">
      <c r="C3039" s="660"/>
      <c r="D3039" s="677">
        <v>45533</v>
      </c>
      <c r="E3039" s="691">
        <v>0.03</v>
      </c>
      <c r="F3039" s="691" t="s">
        <v>666</v>
      </c>
      <c r="G3039" s="691">
        <v>1.4E-2</v>
      </c>
      <c r="H3039" s="933">
        <v>0.52083333333333337</v>
      </c>
      <c r="I3039" s="1249"/>
      <c r="J3039" s="1249"/>
      <c r="K3039" s="1250"/>
      <c r="L3039" s="679">
        <v>0.75</v>
      </c>
      <c r="M3039" s="682"/>
    </row>
    <row r="3040" spans="3:13" ht="17" thickBot="1">
      <c r="C3040" s="660" t="s">
        <v>105</v>
      </c>
      <c r="D3040" s="661" t="s">
        <v>30</v>
      </c>
      <c r="E3040" s="1568" t="s">
        <v>1421</v>
      </c>
      <c r="F3040" s="1569"/>
      <c r="G3040" s="1570"/>
      <c r="H3040" s="674" t="s">
        <v>790</v>
      </c>
      <c r="I3040" s="1256" t="s">
        <v>633</v>
      </c>
      <c r="J3040" s="1256"/>
      <c r="K3040" s="1257"/>
      <c r="L3040" s="674" t="s">
        <v>430</v>
      </c>
      <c r="M3040" s="685" t="s">
        <v>431</v>
      </c>
    </row>
    <row r="3041" spans="3:13">
      <c r="C3041" s="660"/>
      <c r="D3041" s="663" t="s">
        <v>432</v>
      </c>
      <c r="E3041" s="1266"/>
      <c r="F3041" s="1267"/>
      <c r="G3041" s="1268"/>
      <c r="H3041" s="930" t="s">
        <v>906</v>
      </c>
      <c r="I3041" s="1243" t="s">
        <v>1633</v>
      </c>
      <c r="J3041" s="1243"/>
      <c r="K3041" s="1244"/>
      <c r="L3041" s="664"/>
      <c r="M3041" s="665" t="s">
        <v>1421</v>
      </c>
    </row>
    <row r="3042" spans="3:13">
      <c r="C3042" s="660"/>
      <c r="D3042" s="666" t="s">
        <v>433</v>
      </c>
      <c r="E3042" s="1577">
        <v>0</v>
      </c>
      <c r="F3042" s="1572"/>
      <c r="G3042" s="1573"/>
      <c r="H3042" s="931" t="s">
        <v>907</v>
      </c>
      <c r="I3042" s="1246"/>
      <c r="J3042" s="1246"/>
      <c r="K3042" s="1247"/>
      <c r="L3042" s="664"/>
      <c r="M3042" s="667"/>
    </row>
    <row r="3043" spans="3:13">
      <c r="C3043" s="660"/>
      <c r="D3043" s="666" t="s">
        <v>434</v>
      </c>
      <c r="E3043" s="1578">
        <v>0</v>
      </c>
      <c r="F3043" s="1579"/>
      <c r="G3043" s="1580"/>
      <c r="H3043" s="931"/>
      <c r="I3043" s="1246"/>
      <c r="J3043" s="1246"/>
      <c r="K3043" s="1247"/>
      <c r="L3043" s="664"/>
      <c r="M3043" s="667"/>
    </row>
    <row r="3044" spans="3:13" ht="17" thickBot="1">
      <c r="C3044" s="660"/>
      <c r="D3044" s="668" t="s">
        <v>435</v>
      </c>
      <c r="E3044" s="1275">
        <v>0.79166666666666663</v>
      </c>
      <c r="F3044" s="1276"/>
      <c r="G3044" s="1277"/>
      <c r="H3044" s="932"/>
      <c r="I3044" s="1246"/>
      <c r="J3044" s="1246"/>
      <c r="K3044" s="1247"/>
      <c r="L3044" s="669">
        <v>0.79166666666666663</v>
      </c>
      <c r="M3044" s="670">
        <v>0.64583333333333326</v>
      </c>
    </row>
    <row r="3045" spans="3:13" ht="17" thickBot="1">
      <c r="C3045" s="660"/>
      <c r="D3045" s="671" t="s">
        <v>436</v>
      </c>
      <c r="E3045" s="672" t="s">
        <v>29</v>
      </c>
      <c r="F3045" s="672" t="s">
        <v>28</v>
      </c>
      <c r="G3045" s="673" t="s">
        <v>27</v>
      </c>
      <c r="H3045" s="674" t="s">
        <v>793</v>
      </c>
      <c r="I3045" s="1246"/>
      <c r="J3045" s="1246"/>
      <c r="K3045" s="1247"/>
      <c r="L3045" s="675" t="s">
        <v>1246</v>
      </c>
      <c r="M3045" s="676"/>
    </row>
    <row r="3046" spans="3:13">
      <c r="C3046" s="660"/>
      <c r="D3046" s="677">
        <v>45708</v>
      </c>
      <c r="E3046" s="691" t="s">
        <v>1090</v>
      </c>
      <c r="F3046" s="691" t="s">
        <v>1439</v>
      </c>
      <c r="G3046" s="691" t="s">
        <v>1111</v>
      </c>
      <c r="H3046" s="933">
        <v>0.5625</v>
      </c>
      <c r="I3046" s="1246"/>
      <c r="J3046" s="1246"/>
      <c r="K3046" s="1247"/>
      <c r="L3046" s="679">
        <v>0.79166666666666663</v>
      </c>
      <c r="M3046" s="680"/>
    </row>
    <row r="3047" spans="3:13">
      <c r="C3047" s="660"/>
      <c r="D3047" s="677">
        <v>45701</v>
      </c>
      <c r="E3047" s="691" t="s">
        <v>1111</v>
      </c>
      <c r="F3047" s="691" t="s">
        <v>1031</v>
      </c>
      <c r="G3047" s="691" t="s">
        <v>1112</v>
      </c>
      <c r="H3047" s="933">
        <v>0.5625</v>
      </c>
      <c r="I3047" s="1246"/>
      <c r="J3047" s="1246"/>
      <c r="K3047" s="1247"/>
      <c r="L3047" s="679">
        <v>0.79166666666666663</v>
      </c>
      <c r="M3047" s="681"/>
    </row>
    <row r="3048" spans="3:13">
      <c r="C3048" s="660"/>
      <c r="D3048" s="677">
        <v>45694</v>
      </c>
      <c r="E3048" s="691" t="s">
        <v>987</v>
      </c>
      <c r="F3048" s="691" t="s">
        <v>1439</v>
      </c>
      <c r="G3048" s="691" t="s">
        <v>1654</v>
      </c>
      <c r="H3048" s="933">
        <v>0.5625</v>
      </c>
      <c r="I3048" s="1246"/>
      <c r="J3048" s="1246"/>
      <c r="K3048" s="1247"/>
      <c r="L3048" s="679">
        <v>0.79166666666666663</v>
      </c>
      <c r="M3048" s="667"/>
    </row>
    <row r="3049" spans="3:13">
      <c r="C3049" s="660"/>
      <c r="D3049" s="677">
        <v>45687</v>
      </c>
      <c r="E3049" s="691" t="s">
        <v>1612</v>
      </c>
      <c r="F3049" s="691" t="s">
        <v>1032</v>
      </c>
      <c r="G3049" s="691" t="s">
        <v>973</v>
      </c>
      <c r="H3049" s="933">
        <v>0.5625</v>
      </c>
      <c r="I3049" s="1246"/>
      <c r="J3049" s="1246"/>
      <c r="K3049" s="1247"/>
      <c r="L3049" s="679">
        <v>0.79166666666666663</v>
      </c>
      <c r="M3049" s="667"/>
    </row>
    <row r="3050" spans="3:13">
      <c r="C3050" s="660"/>
      <c r="D3050" s="677">
        <v>45680</v>
      </c>
      <c r="E3050" s="691" t="s">
        <v>973</v>
      </c>
      <c r="F3050" s="691" t="s">
        <v>972</v>
      </c>
      <c r="G3050" s="691" t="s">
        <v>1031</v>
      </c>
      <c r="H3050" s="933">
        <v>0.5625</v>
      </c>
      <c r="I3050" s="1246"/>
      <c r="J3050" s="1246"/>
      <c r="K3050" s="1247"/>
      <c r="L3050" s="679">
        <v>0.79166666666666663</v>
      </c>
      <c r="M3050" s="667"/>
    </row>
    <row r="3051" spans="3:13" ht="17" thickBot="1">
      <c r="C3051" s="660"/>
      <c r="D3051" s="677">
        <v>45673</v>
      </c>
      <c r="E3051" s="691" t="s">
        <v>1031</v>
      </c>
      <c r="F3051" s="691" t="s">
        <v>1554</v>
      </c>
      <c r="G3051" s="691" t="s">
        <v>1555</v>
      </c>
      <c r="H3051" s="933">
        <v>0.5625</v>
      </c>
      <c r="I3051" s="1249"/>
      <c r="J3051" s="1249"/>
      <c r="K3051" s="1250"/>
      <c r="L3051" s="679">
        <v>0.79166666666666663</v>
      </c>
      <c r="M3051" s="682"/>
    </row>
    <row r="3052" spans="3:13" ht="17" thickBot="1">
      <c r="C3052" s="660" t="s">
        <v>105</v>
      </c>
      <c r="D3052" s="661" t="s">
        <v>30</v>
      </c>
      <c r="E3052" s="1568" t="s">
        <v>1634</v>
      </c>
      <c r="F3052" s="1569"/>
      <c r="G3052" s="1570"/>
      <c r="H3052" s="674" t="s">
        <v>790</v>
      </c>
      <c r="I3052" s="1256" t="s">
        <v>633</v>
      </c>
      <c r="J3052" s="1256"/>
      <c r="K3052" s="1257"/>
      <c r="L3052" s="674" t="s">
        <v>430</v>
      </c>
      <c r="M3052" s="685" t="s">
        <v>431</v>
      </c>
    </row>
    <row r="3053" spans="3:13">
      <c r="C3053" s="660"/>
      <c r="D3053" s="663" t="s">
        <v>432</v>
      </c>
      <c r="E3053" s="1266"/>
      <c r="F3053" s="1267"/>
      <c r="G3053" s="1268"/>
      <c r="H3053" s="930" t="s">
        <v>906</v>
      </c>
      <c r="I3053" s="1243" t="s">
        <v>1635</v>
      </c>
      <c r="J3053" s="1243"/>
      <c r="K3053" s="1244"/>
      <c r="L3053" s="664"/>
      <c r="M3053" s="665" t="s">
        <v>1634</v>
      </c>
    </row>
    <row r="3054" spans="3:13">
      <c r="C3054" s="660"/>
      <c r="D3054" s="666" t="s">
        <v>433</v>
      </c>
      <c r="E3054" s="1578"/>
      <c r="F3054" s="1579"/>
      <c r="G3054" s="1580"/>
      <c r="H3054" s="931" t="s">
        <v>907</v>
      </c>
      <c r="I3054" s="1246"/>
      <c r="J3054" s="1246"/>
      <c r="K3054" s="1247"/>
      <c r="L3054" s="664"/>
      <c r="M3054" s="667"/>
    </row>
    <row r="3055" spans="3:13">
      <c r="C3055" s="660"/>
      <c r="D3055" s="666" t="s">
        <v>434</v>
      </c>
      <c r="E3055" s="1578">
        <v>-2E-3</v>
      </c>
      <c r="F3055" s="1579"/>
      <c r="G3055" s="1580"/>
      <c r="H3055" s="931"/>
      <c r="I3055" s="1246"/>
      <c r="J3055" s="1246"/>
      <c r="K3055" s="1247"/>
      <c r="L3055" s="664"/>
      <c r="M3055" s="667"/>
    </row>
    <row r="3056" spans="3:13" ht="17" thickBot="1">
      <c r="C3056" s="660"/>
      <c r="D3056" s="668" t="s">
        <v>435</v>
      </c>
      <c r="E3056" s="1275">
        <v>0.54166666666666674</v>
      </c>
      <c r="F3056" s="1276"/>
      <c r="G3056" s="1277"/>
      <c r="H3056" s="932">
        <v>0.33333333333333337</v>
      </c>
      <c r="I3056" s="1246"/>
      <c r="J3056" s="1246"/>
      <c r="K3056" s="1247"/>
      <c r="L3056" s="669">
        <v>0.77083333333333337</v>
      </c>
      <c r="M3056" s="670">
        <v>0.625</v>
      </c>
    </row>
    <row r="3057" spans="3:13" ht="17" thickBot="1">
      <c r="C3057" s="660"/>
      <c r="D3057" s="671" t="s">
        <v>436</v>
      </c>
      <c r="E3057" s="672" t="s">
        <v>29</v>
      </c>
      <c r="F3057" s="672" t="s">
        <v>28</v>
      </c>
      <c r="G3057" s="673" t="s">
        <v>27</v>
      </c>
      <c r="H3057" s="674" t="s">
        <v>793</v>
      </c>
      <c r="I3057" s="1246"/>
      <c r="J3057" s="1246"/>
      <c r="K3057" s="1247"/>
      <c r="L3057" s="675" t="s">
        <v>1246</v>
      </c>
      <c r="M3057" s="676"/>
    </row>
    <row r="3058" spans="3:13">
      <c r="C3058" s="660"/>
      <c r="D3058" s="677">
        <v>45701</v>
      </c>
      <c r="E3058" s="691">
        <v>-2E-3</v>
      </c>
      <c r="F3058" s="691" t="s">
        <v>461</v>
      </c>
      <c r="G3058" s="691">
        <v>5.0000000000000001E-3</v>
      </c>
      <c r="H3058" s="933">
        <v>0.29166666666666674</v>
      </c>
      <c r="I3058" s="1246"/>
      <c r="J3058" s="1246"/>
      <c r="K3058" s="1247"/>
      <c r="L3058" s="679">
        <v>0.52083333333333337</v>
      </c>
      <c r="M3058" s="692">
        <v>0.375</v>
      </c>
    </row>
    <row r="3059" spans="3:13">
      <c r="C3059" s="660"/>
      <c r="D3059" s="677">
        <v>45688</v>
      </c>
      <c r="E3059" s="691">
        <v>-2E-3</v>
      </c>
      <c r="F3059" s="691" t="s">
        <v>462</v>
      </c>
      <c r="G3059" s="691">
        <v>5.0000000000000001E-3</v>
      </c>
      <c r="H3059" s="933">
        <v>0.54166666666666674</v>
      </c>
      <c r="I3059" s="1246"/>
      <c r="J3059" s="1246"/>
      <c r="K3059" s="1247"/>
      <c r="L3059" s="679">
        <v>0.77083333333333337</v>
      </c>
      <c r="M3059" s="692">
        <v>0.625</v>
      </c>
    </row>
    <row r="3060" spans="3:13">
      <c r="C3060" s="660"/>
      <c r="D3060" s="677">
        <v>45673</v>
      </c>
      <c r="E3060" s="691">
        <v>5.0000000000000001E-3</v>
      </c>
      <c r="F3060" s="691" t="s">
        <v>452</v>
      </c>
      <c r="G3060" s="691">
        <v>-2E-3</v>
      </c>
      <c r="H3060" s="933">
        <v>0.29166666666666674</v>
      </c>
      <c r="I3060" s="1246"/>
      <c r="J3060" s="1246"/>
      <c r="K3060" s="1247"/>
      <c r="L3060" s="679">
        <v>0.52083333333333337</v>
      </c>
      <c r="M3060" s="692">
        <v>0.375</v>
      </c>
    </row>
    <row r="3061" spans="3:13">
      <c r="C3061" s="660"/>
      <c r="D3061" s="677">
        <v>45663</v>
      </c>
      <c r="E3061" s="691">
        <v>4.0000000000000001E-3</v>
      </c>
      <c r="F3061" s="691" t="s">
        <v>467</v>
      </c>
      <c r="G3061" s="691">
        <v>-2E-3</v>
      </c>
      <c r="H3061" s="933">
        <v>0.54166666666666674</v>
      </c>
      <c r="I3061" s="1246"/>
      <c r="J3061" s="1246"/>
      <c r="K3061" s="1247"/>
      <c r="L3061" s="679">
        <v>0.77083333333333337</v>
      </c>
      <c r="M3061" s="692">
        <v>0.625</v>
      </c>
    </row>
    <row r="3062" spans="3:13">
      <c r="C3062" s="660"/>
      <c r="D3062" s="677">
        <v>45636</v>
      </c>
      <c r="E3062" s="691">
        <v>-2E-3</v>
      </c>
      <c r="F3062" s="691" t="s">
        <v>461</v>
      </c>
      <c r="G3062" s="691">
        <v>4.0000000000000001E-3</v>
      </c>
      <c r="H3062" s="933">
        <v>0.29166666666666674</v>
      </c>
      <c r="I3062" s="1246"/>
      <c r="J3062" s="1246"/>
      <c r="K3062" s="1247"/>
      <c r="L3062" s="679">
        <v>0.52083333333333337</v>
      </c>
      <c r="M3062" s="692">
        <v>0.375</v>
      </c>
    </row>
    <row r="3063" spans="3:13" ht="17" thickBot="1">
      <c r="C3063" s="660"/>
      <c r="D3063" s="677">
        <v>45624</v>
      </c>
      <c r="E3063" s="691">
        <v>-2E-3</v>
      </c>
      <c r="F3063" s="691" t="s">
        <v>461</v>
      </c>
      <c r="G3063" s="691">
        <v>4.0000000000000001E-3</v>
      </c>
      <c r="H3063" s="933">
        <v>0.54166666666666674</v>
      </c>
      <c r="I3063" s="1249"/>
      <c r="J3063" s="1249"/>
      <c r="K3063" s="1250"/>
      <c r="L3063" s="679">
        <v>0.77083333333333337</v>
      </c>
      <c r="M3063" s="692">
        <v>0.625</v>
      </c>
    </row>
    <row r="3064" spans="3:13" ht="17" thickBot="1">
      <c r="C3064" s="660" t="s">
        <v>105</v>
      </c>
      <c r="D3064" s="661" t="s">
        <v>30</v>
      </c>
      <c r="E3064" s="1568" t="s">
        <v>1636</v>
      </c>
      <c r="F3064" s="1569"/>
      <c r="G3064" s="1570"/>
      <c r="H3064" s="674" t="s">
        <v>790</v>
      </c>
      <c r="I3064" s="1256" t="s">
        <v>633</v>
      </c>
      <c r="J3064" s="1256"/>
      <c r="K3064" s="1257"/>
      <c r="L3064" s="674" t="s">
        <v>430</v>
      </c>
      <c r="M3064" s="685" t="s">
        <v>431</v>
      </c>
    </row>
    <row r="3065" spans="3:13">
      <c r="C3065" s="660"/>
      <c r="D3065" s="663" t="s">
        <v>432</v>
      </c>
      <c r="E3065" s="1266"/>
      <c r="F3065" s="1267"/>
      <c r="G3065" s="1268"/>
      <c r="H3065" s="930" t="s">
        <v>906</v>
      </c>
      <c r="I3065" s="1243" t="s">
        <v>1637</v>
      </c>
      <c r="J3065" s="1243"/>
      <c r="K3065" s="1244"/>
      <c r="L3065" s="664"/>
      <c r="M3065" s="665" t="s">
        <v>1636</v>
      </c>
    </row>
    <row r="3066" spans="3:13">
      <c r="C3066" s="660"/>
      <c r="D3066" s="666" t="s">
        <v>433</v>
      </c>
      <c r="E3066" s="1578"/>
      <c r="F3066" s="1579"/>
      <c r="G3066" s="1580"/>
      <c r="H3066" s="931" t="s">
        <v>907</v>
      </c>
      <c r="I3066" s="1246"/>
      <c r="J3066" s="1246"/>
      <c r="K3066" s="1247"/>
      <c r="L3066" s="664"/>
      <c r="M3066" s="667"/>
    </row>
    <row r="3067" spans="3:13">
      <c r="C3067" s="660"/>
      <c r="D3067" s="666" t="s">
        <v>434</v>
      </c>
      <c r="E3067" s="1577">
        <v>2E-3</v>
      </c>
      <c r="F3067" s="1572"/>
      <c r="G3067" s="1573"/>
      <c r="H3067" s="931"/>
      <c r="I3067" s="1246"/>
      <c r="J3067" s="1246"/>
      <c r="K3067" s="1247"/>
      <c r="L3067" s="664"/>
      <c r="M3067" s="667"/>
    </row>
    <row r="3068" spans="3:13" ht="17" thickBot="1">
      <c r="C3068" s="660"/>
      <c r="D3068" s="668" t="s">
        <v>435</v>
      </c>
      <c r="E3068" s="1275">
        <v>0.5625</v>
      </c>
      <c r="F3068" s="1276"/>
      <c r="G3068" s="1277"/>
      <c r="H3068" s="932">
        <v>0.35416666666666663</v>
      </c>
      <c r="I3068" s="1246"/>
      <c r="J3068" s="1246"/>
      <c r="K3068" s="1247"/>
      <c r="L3068" s="669">
        <v>0.79166666666666663</v>
      </c>
      <c r="M3068" s="670">
        <v>0.64583333333333326</v>
      </c>
    </row>
    <row r="3069" spans="3:13" ht="17" thickBot="1">
      <c r="C3069" s="660"/>
      <c r="D3069" s="671" t="s">
        <v>436</v>
      </c>
      <c r="E3069" s="672" t="s">
        <v>29</v>
      </c>
      <c r="F3069" s="672" t="s">
        <v>28</v>
      </c>
      <c r="G3069" s="673" t="s">
        <v>27</v>
      </c>
      <c r="H3069" s="674" t="s">
        <v>793</v>
      </c>
      <c r="I3069" s="1246"/>
      <c r="J3069" s="1246"/>
      <c r="K3069" s="1247"/>
      <c r="L3069" s="675" t="s">
        <v>1246</v>
      </c>
      <c r="M3069" s="676"/>
    </row>
    <row r="3070" spans="3:13">
      <c r="C3070" s="660"/>
      <c r="D3070" s="677">
        <v>45688</v>
      </c>
      <c r="E3070" s="693">
        <v>2E-3</v>
      </c>
      <c r="F3070" s="693" t="s">
        <v>460</v>
      </c>
      <c r="G3070" s="693">
        <v>1E-3</v>
      </c>
      <c r="H3070" s="933">
        <v>0.5625</v>
      </c>
      <c r="I3070" s="1246"/>
      <c r="J3070" s="1246"/>
      <c r="K3070" s="1247"/>
      <c r="L3070" s="679">
        <v>0.79166666666666663</v>
      </c>
      <c r="M3070" s="692">
        <v>0.64583333333333326</v>
      </c>
    </row>
    <row r="3071" spans="3:13">
      <c r="C3071" s="660"/>
      <c r="D3071" s="677">
        <v>45646</v>
      </c>
      <c r="E3071" s="693">
        <v>1E-3</v>
      </c>
      <c r="F3071" s="693" t="s">
        <v>460</v>
      </c>
      <c r="G3071" s="693">
        <v>3.0000000000000001E-3</v>
      </c>
      <c r="H3071" s="933">
        <v>0.5625</v>
      </c>
      <c r="I3071" s="1246"/>
      <c r="J3071" s="1246"/>
      <c r="K3071" s="1247"/>
      <c r="L3071" s="679">
        <v>0.79166666666666663</v>
      </c>
      <c r="M3071" s="692">
        <v>0.64583333333333326</v>
      </c>
    </row>
    <row r="3072" spans="3:13">
      <c r="C3072" s="660"/>
      <c r="D3072" s="677">
        <v>45623</v>
      </c>
      <c r="E3072" s="693">
        <v>3.0000000000000001E-3</v>
      </c>
      <c r="F3072" s="693" t="s">
        <v>467</v>
      </c>
      <c r="G3072" s="693">
        <v>3.0000000000000001E-3</v>
      </c>
      <c r="H3072" s="933">
        <v>0.625</v>
      </c>
      <c r="I3072" s="1246"/>
      <c r="J3072" s="1246"/>
      <c r="K3072" s="1247"/>
      <c r="L3072" s="679">
        <v>0.85416666666666663</v>
      </c>
      <c r="M3072" s="692">
        <v>0.70833333333333326</v>
      </c>
    </row>
    <row r="3073" spans="3:13">
      <c r="C3073" s="660"/>
      <c r="D3073" s="677">
        <v>45596</v>
      </c>
      <c r="E3073" s="693">
        <v>3.0000000000000001E-3</v>
      </c>
      <c r="F3073" s="693" t="s">
        <v>467</v>
      </c>
      <c r="G3073" s="693">
        <v>2E-3</v>
      </c>
      <c r="H3073" s="933">
        <v>0.52083333333333337</v>
      </c>
      <c r="I3073" s="1246"/>
      <c r="J3073" s="1246"/>
      <c r="K3073" s="1247"/>
      <c r="L3073" s="679">
        <v>0.75</v>
      </c>
      <c r="M3073" s="692">
        <v>0.60416666666666663</v>
      </c>
    </row>
    <row r="3074" spans="3:13">
      <c r="C3074" s="660"/>
      <c r="D3074" s="677">
        <v>45562</v>
      </c>
      <c r="E3074" s="693">
        <v>1E-3</v>
      </c>
      <c r="F3074" s="693" t="s">
        <v>460</v>
      </c>
      <c r="G3074" s="693">
        <v>2E-3</v>
      </c>
      <c r="H3074" s="933">
        <v>0.52083333333333337</v>
      </c>
      <c r="I3074" s="1246"/>
      <c r="J3074" s="1246"/>
      <c r="K3074" s="1247"/>
      <c r="L3074" s="679">
        <v>0.75</v>
      </c>
      <c r="M3074" s="692">
        <v>0.60416666666666663</v>
      </c>
    </row>
    <row r="3075" spans="3:13" ht="17" thickBot="1">
      <c r="C3075" s="660"/>
      <c r="D3075" s="677">
        <v>45534</v>
      </c>
      <c r="E3075" s="693">
        <v>2E-3</v>
      </c>
      <c r="F3075" s="693" t="s">
        <v>460</v>
      </c>
      <c r="G3075" s="693">
        <v>2E-3</v>
      </c>
      <c r="H3075" s="933">
        <v>0.52083333333333337</v>
      </c>
      <c r="I3075" s="1249"/>
      <c r="J3075" s="1249"/>
      <c r="K3075" s="1250"/>
      <c r="L3075" s="679">
        <v>0.75</v>
      </c>
      <c r="M3075" s="692">
        <v>0.60416666666666663</v>
      </c>
    </row>
    <row r="3076" spans="3:13" ht="17" thickBot="1">
      <c r="C3076" s="660" t="s">
        <v>105</v>
      </c>
      <c r="D3076" s="661" t="s">
        <v>30</v>
      </c>
      <c r="E3076" s="1568" t="s">
        <v>1638</v>
      </c>
      <c r="F3076" s="1569"/>
      <c r="G3076" s="1570"/>
      <c r="H3076" s="674" t="s">
        <v>790</v>
      </c>
      <c r="I3076" s="1256" t="s">
        <v>633</v>
      </c>
      <c r="J3076" s="1256"/>
      <c r="K3076" s="1257"/>
      <c r="L3076" s="674" t="s">
        <v>430</v>
      </c>
      <c r="M3076" s="685" t="s">
        <v>431</v>
      </c>
    </row>
    <row r="3077" spans="3:13">
      <c r="C3077" s="660"/>
      <c r="D3077" s="663" t="s">
        <v>432</v>
      </c>
      <c r="E3077" s="1266"/>
      <c r="F3077" s="1267"/>
      <c r="G3077" s="1268"/>
      <c r="H3077" s="930" t="s">
        <v>906</v>
      </c>
      <c r="I3077" s="1243" t="s">
        <v>1637</v>
      </c>
      <c r="J3077" s="1243"/>
      <c r="K3077" s="1244"/>
      <c r="L3077" s="664"/>
      <c r="M3077" s="665" t="s">
        <v>1638</v>
      </c>
    </row>
    <row r="3078" spans="3:13">
      <c r="C3078" s="660"/>
      <c r="D3078" s="666" t="s">
        <v>433</v>
      </c>
      <c r="E3078" s="1578"/>
      <c r="F3078" s="1579"/>
      <c r="G3078" s="1580"/>
      <c r="H3078" s="931" t="s">
        <v>907</v>
      </c>
      <c r="I3078" s="1246"/>
      <c r="J3078" s="1246"/>
      <c r="K3078" s="1247"/>
      <c r="L3078" s="664"/>
      <c r="M3078" s="667"/>
    </row>
    <row r="3079" spans="3:13">
      <c r="C3079" s="660"/>
      <c r="D3079" s="666" t="s">
        <v>434</v>
      </c>
      <c r="E3079" s="1577">
        <v>2.8000000000000001E-2</v>
      </c>
      <c r="F3079" s="1572"/>
      <c r="G3079" s="1573"/>
      <c r="H3079" s="931"/>
      <c r="I3079" s="1246"/>
      <c r="J3079" s="1246"/>
      <c r="K3079" s="1247"/>
      <c r="L3079" s="664"/>
      <c r="M3079" s="667"/>
    </row>
    <row r="3080" spans="3:13" ht="17" thickBot="1">
      <c r="C3080" s="660"/>
      <c r="D3080" s="668" t="s">
        <v>435</v>
      </c>
      <c r="E3080" s="1275">
        <v>0.5625</v>
      </c>
      <c r="F3080" s="1276"/>
      <c r="G3080" s="1277"/>
      <c r="H3080" s="932">
        <v>0.35416666666666663</v>
      </c>
      <c r="I3080" s="1246"/>
      <c r="J3080" s="1246"/>
      <c r="K3080" s="1247"/>
      <c r="L3080" s="669">
        <v>0.79166666666666663</v>
      </c>
      <c r="M3080" s="670">
        <v>0.64583333333333326</v>
      </c>
    </row>
    <row r="3081" spans="3:13" ht="17" thickBot="1">
      <c r="C3081" s="660"/>
      <c r="D3081" s="671" t="s">
        <v>436</v>
      </c>
      <c r="E3081" s="672" t="s">
        <v>29</v>
      </c>
      <c r="F3081" s="672" t="s">
        <v>28</v>
      </c>
      <c r="G3081" s="673" t="s">
        <v>27</v>
      </c>
      <c r="H3081" s="674" t="s">
        <v>793</v>
      </c>
      <c r="I3081" s="1246"/>
      <c r="J3081" s="1246"/>
      <c r="K3081" s="1247"/>
      <c r="L3081" s="675" t="s">
        <v>1246</v>
      </c>
      <c r="M3081" s="676"/>
    </row>
    <row r="3082" spans="3:13">
      <c r="C3082" s="660"/>
      <c r="D3082" s="677">
        <v>45688</v>
      </c>
      <c r="E3082" s="693">
        <v>2.8000000000000001E-2</v>
      </c>
      <c r="F3082" s="693" t="s">
        <v>666</v>
      </c>
      <c r="G3082" s="693">
        <v>2.8000000000000001E-2</v>
      </c>
      <c r="H3082" s="933">
        <v>0.5625</v>
      </c>
      <c r="I3082" s="1246"/>
      <c r="J3082" s="1246"/>
      <c r="K3082" s="1247"/>
      <c r="L3082" s="679">
        <v>0.79166666666666663</v>
      </c>
      <c r="M3082" s="692">
        <v>0.64583333333333326</v>
      </c>
    </row>
    <row r="3083" spans="3:13">
      <c r="C3083" s="660"/>
      <c r="D3083" s="677">
        <v>45646</v>
      </c>
      <c r="E3083" s="693">
        <v>2.8000000000000001E-2</v>
      </c>
      <c r="F3083" s="693" t="s">
        <v>667</v>
      </c>
      <c r="G3083" s="693">
        <v>2.8000000000000001E-2</v>
      </c>
      <c r="H3083" s="933">
        <v>0.5625</v>
      </c>
      <c r="I3083" s="1246"/>
      <c r="J3083" s="1246"/>
      <c r="K3083" s="1247"/>
      <c r="L3083" s="679">
        <v>0.79166666666666663</v>
      </c>
      <c r="M3083" s="692">
        <v>0.64583333333333326</v>
      </c>
    </row>
    <row r="3084" spans="3:13">
      <c r="C3084" s="660"/>
      <c r="D3084" s="677">
        <v>45623</v>
      </c>
      <c r="E3084" s="693">
        <v>2.8000000000000001E-2</v>
      </c>
      <c r="F3084" s="693" t="s">
        <v>666</v>
      </c>
      <c r="G3084" s="693">
        <v>2.7E-2</v>
      </c>
      <c r="H3084" s="933">
        <v>0.625</v>
      </c>
      <c r="I3084" s="1246"/>
      <c r="J3084" s="1246"/>
      <c r="K3084" s="1247"/>
      <c r="L3084" s="679">
        <v>0.85416666666666663</v>
      </c>
      <c r="M3084" s="692">
        <v>0.70833333333333326</v>
      </c>
    </row>
    <row r="3085" spans="3:13">
      <c r="C3085" s="660"/>
      <c r="D3085" s="677">
        <v>45596</v>
      </c>
      <c r="E3085" s="693">
        <v>2.7E-2</v>
      </c>
      <c r="F3085" s="693" t="s">
        <v>493</v>
      </c>
      <c r="G3085" s="693">
        <v>2.7E-2</v>
      </c>
      <c r="H3085" s="933">
        <v>0.52083333333333337</v>
      </c>
      <c r="I3085" s="1246"/>
      <c r="J3085" s="1246"/>
      <c r="K3085" s="1247"/>
      <c r="L3085" s="679">
        <v>0.75</v>
      </c>
      <c r="M3085" s="692">
        <v>0.60416666666666663</v>
      </c>
    </row>
    <row r="3086" spans="3:13">
      <c r="C3086" s="660"/>
      <c r="D3086" s="677">
        <v>45562</v>
      </c>
      <c r="E3086" s="693">
        <v>2.7E-2</v>
      </c>
      <c r="F3086" s="693" t="s">
        <v>665</v>
      </c>
      <c r="G3086" s="693">
        <v>2.5999999999999999E-2</v>
      </c>
      <c r="H3086" s="933">
        <v>0.52083333333333337</v>
      </c>
      <c r="I3086" s="1246"/>
      <c r="J3086" s="1246"/>
      <c r="K3086" s="1247"/>
      <c r="L3086" s="679">
        <v>0.75</v>
      </c>
      <c r="M3086" s="692">
        <v>0.60416666666666663</v>
      </c>
    </row>
    <row r="3087" spans="3:13" ht="17" thickBot="1">
      <c r="C3087" s="660"/>
      <c r="D3087" s="677">
        <v>45534</v>
      </c>
      <c r="E3087" s="693">
        <v>2.5999999999999999E-2</v>
      </c>
      <c r="F3087" s="693" t="s">
        <v>665</v>
      </c>
      <c r="G3087" s="693">
        <v>2.5999999999999999E-2</v>
      </c>
      <c r="H3087" s="933">
        <v>0.52083333333333337</v>
      </c>
      <c r="I3087" s="1249"/>
      <c r="J3087" s="1249"/>
      <c r="K3087" s="1250"/>
      <c r="L3087" s="679">
        <v>0.75</v>
      </c>
      <c r="M3087" s="692">
        <v>0.60416666666666663</v>
      </c>
    </row>
    <row r="3088" spans="3:13" ht="17" thickBot="1">
      <c r="C3088" s="660" t="s">
        <v>105</v>
      </c>
      <c r="D3088" s="661" t="s">
        <v>30</v>
      </c>
      <c r="E3088" s="1568" t="s">
        <v>1639</v>
      </c>
      <c r="F3088" s="1569"/>
      <c r="G3088" s="1570"/>
      <c r="H3088" s="674" t="s">
        <v>790</v>
      </c>
      <c r="I3088" s="1256" t="s">
        <v>633</v>
      </c>
      <c r="J3088" s="1256"/>
      <c r="K3088" s="1257"/>
      <c r="L3088" s="674" t="s">
        <v>430</v>
      </c>
      <c r="M3088" s="685" t="s">
        <v>431</v>
      </c>
    </row>
    <row r="3089" spans="3:13">
      <c r="C3089" s="660"/>
      <c r="D3089" s="663" t="s">
        <v>432</v>
      </c>
      <c r="E3089" s="1266"/>
      <c r="F3089" s="1267"/>
      <c r="G3089" s="1268"/>
      <c r="H3089" s="930" t="s">
        <v>906</v>
      </c>
      <c r="I3089" s="1243" t="s">
        <v>1640</v>
      </c>
      <c r="J3089" s="1243"/>
      <c r="K3089" s="1244"/>
      <c r="L3089" s="664"/>
      <c r="M3089" s="665" t="s">
        <v>1639</v>
      </c>
    </row>
    <row r="3090" spans="3:13">
      <c r="C3090" s="660"/>
      <c r="D3090" s="666" t="s">
        <v>433</v>
      </c>
      <c r="E3090" s="1578"/>
      <c r="F3090" s="1579"/>
      <c r="G3090" s="1580"/>
      <c r="H3090" s="931" t="s">
        <v>907</v>
      </c>
      <c r="I3090" s="1246"/>
      <c r="J3090" s="1246"/>
      <c r="K3090" s="1247"/>
      <c r="L3090" s="664"/>
      <c r="M3090" s="667"/>
    </row>
    <row r="3091" spans="3:13">
      <c r="C3091" s="660"/>
      <c r="D3091" s="666" t="s">
        <v>434</v>
      </c>
      <c r="E3091" s="1577">
        <v>39.5</v>
      </c>
      <c r="F3091" s="1572"/>
      <c r="G3091" s="1573"/>
      <c r="H3091" s="931"/>
      <c r="I3091" s="1246"/>
      <c r="J3091" s="1246"/>
      <c r="K3091" s="1247"/>
      <c r="L3091" s="664"/>
      <c r="M3091" s="667"/>
    </row>
    <row r="3092" spans="3:13" ht="17" thickBot="1">
      <c r="C3092" s="660"/>
      <c r="D3092" s="668" t="s">
        <v>435</v>
      </c>
      <c r="E3092" s="1275">
        <v>0.61458333333333337</v>
      </c>
      <c r="F3092" s="1276"/>
      <c r="G3092" s="1277"/>
      <c r="H3092" s="932">
        <v>0.40625</v>
      </c>
      <c r="I3092" s="1246"/>
      <c r="J3092" s="1246"/>
      <c r="K3092" s="1247"/>
      <c r="L3092" s="669">
        <v>0.84375</v>
      </c>
      <c r="M3092" s="670">
        <v>0.69791666666666663</v>
      </c>
    </row>
    <row r="3093" spans="3:13" ht="17" thickBot="1">
      <c r="C3093" s="660"/>
      <c r="D3093" s="671" t="s">
        <v>436</v>
      </c>
      <c r="E3093" s="672" t="s">
        <v>29</v>
      </c>
      <c r="F3093" s="672" t="s">
        <v>28</v>
      </c>
      <c r="G3093" s="673" t="s">
        <v>27</v>
      </c>
      <c r="H3093" s="674" t="s">
        <v>793</v>
      </c>
      <c r="I3093" s="1246"/>
      <c r="J3093" s="1246"/>
      <c r="K3093" s="1247"/>
      <c r="L3093" s="675" t="s">
        <v>1246</v>
      </c>
      <c r="M3093" s="676"/>
    </row>
    <row r="3094" spans="3:13">
      <c r="C3094" s="660" t="s">
        <v>105</v>
      </c>
      <c r="D3094" s="677">
        <v>45688</v>
      </c>
      <c r="E3094" s="693">
        <v>39.5</v>
      </c>
      <c r="F3094" s="693" t="s">
        <v>1655</v>
      </c>
      <c r="G3094" s="693">
        <v>36.9</v>
      </c>
      <c r="H3094" s="933">
        <v>0.61458333333333337</v>
      </c>
      <c r="I3094" s="1246"/>
      <c r="J3094" s="1246"/>
      <c r="K3094" s="1247"/>
      <c r="L3094" s="679">
        <v>0.84375</v>
      </c>
      <c r="M3094" s="692">
        <v>0.69791666666666663</v>
      </c>
    </row>
    <row r="3095" spans="3:13">
      <c r="C3095" s="660" t="s">
        <v>1652</v>
      </c>
      <c r="D3095" s="677">
        <v>45656</v>
      </c>
      <c r="E3095" s="693">
        <v>36.9</v>
      </c>
      <c r="F3095" s="693" t="s">
        <v>1556</v>
      </c>
      <c r="G3095" s="693">
        <v>40.200000000000003</v>
      </c>
      <c r="H3095" s="933">
        <v>0.61458333333333337</v>
      </c>
      <c r="I3095" s="1246"/>
      <c r="J3095" s="1246"/>
      <c r="K3095" s="1247"/>
      <c r="L3095" s="679">
        <v>0.84375</v>
      </c>
      <c r="M3095" s="692">
        <v>0.69791666666666663</v>
      </c>
    </row>
    <row r="3096" spans="3:13">
      <c r="C3096" s="660" t="s">
        <v>1652</v>
      </c>
      <c r="D3096" s="677">
        <v>45625</v>
      </c>
      <c r="E3096" s="693">
        <v>40.200000000000003</v>
      </c>
      <c r="F3096" s="693" t="s">
        <v>477</v>
      </c>
      <c r="G3096" s="693">
        <v>41.6</v>
      </c>
      <c r="H3096" s="933">
        <v>0.61458333333333337</v>
      </c>
      <c r="I3096" s="1246"/>
      <c r="J3096" s="1246"/>
      <c r="K3096" s="1247"/>
      <c r="L3096" s="679">
        <v>0.84375</v>
      </c>
      <c r="M3096" s="692">
        <v>0.69791666666666663</v>
      </c>
    </row>
    <row r="3097" spans="3:13">
      <c r="C3097" s="660" t="s">
        <v>1652</v>
      </c>
      <c r="D3097" s="677">
        <v>45596</v>
      </c>
      <c r="E3097" s="693">
        <v>41.6</v>
      </c>
      <c r="F3097" s="693" t="s">
        <v>1126</v>
      </c>
      <c r="G3097" s="693">
        <v>46.6</v>
      </c>
      <c r="H3097" s="933">
        <v>0.57291666666666674</v>
      </c>
      <c r="I3097" s="1246"/>
      <c r="J3097" s="1246"/>
      <c r="K3097" s="1247"/>
      <c r="L3097" s="679">
        <v>0.80208333333333337</v>
      </c>
      <c r="M3097" s="692">
        <v>0.65625</v>
      </c>
    </row>
    <row r="3098" spans="3:13">
      <c r="C3098" s="660" t="s">
        <v>1653</v>
      </c>
      <c r="D3098" s="677">
        <v>45565</v>
      </c>
      <c r="E3098" s="693">
        <v>46.6</v>
      </c>
      <c r="F3098" s="693" t="s">
        <v>899</v>
      </c>
      <c r="G3098" s="693">
        <v>46.1</v>
      </c>
      <c r="H3098" s="933">
        <v>0.57291666666666674</v>
      </c>
      <c r="I3098" s="1246"/>
      <c r="J3098" s="1246"/>
      <c r="K3098" s="1247"/>
      <c r="L3098" s="679">
        <v>0.80208333333333337</v>
      </c>
      <c r="M3098" s="692">
        <v>0.65625</v>
      </c>
    </row>
    <row r="3099" spans="3:13" ht="17" thickBot="1">
      <c r="C3099" s="660" t="s">
        <v>1653</v>
      </c>
      <c r="D3099" s="677">
        <v>45534</v>
      </c>
      <c r="E3099" s="693">
        <v>46.1</v>
      </c>
      <c r="F3099" s="693" t="s">
        <v>473</v>
      </c>
      <c r="G3099" s="693">
        <v>45.3</v>
      </c>
      <c r="H3099" s="933">
        <v>0.57291666666666674</v>
      </c>
      <c r="I3099" s="1249"/>
      <c r="J3099" s="1249"/>
      <c r="K3099" s="1250"/>
      <c r="L3099" s="679">
        <v>0.80208333333333337</v>
      </c>
      <c r="M3099" s="692">
        <v>0.65625</v>
      </c>
    </row>
    <row r="3100" spans="3:13" ht="17" thickBot="1">
      <c r="C3100" s="660" t="s">
        <v>105</v>
      </c>
      <c r="D3100" s="661" t="s">
        <v>30</v>
      </c>
      <c r="E3100" s="1568" t="s">
        <v>1641</v>
      </c>
      <c r="F3100" s="1569"/>
      <c r="G3100" s="1570"/>
      <c r="H3100" s="674" t="s">
        <v>790</v>
      </c>
      <c r="I3100" s="1256" t="s">
        <v>633</v>
      </c>
      <c r="J3100" s="1256"/>
      <c r="K3100" s="1257"/>
      <c r="L3100" s="674" t="s">
        <v>430</v>
      </c>
      <c r="M3100" s="685" t="s">
        <v>431</v>
      </c>
    </row>
    <row r="3101" spans="3:13">
      <c r="C3101" s="660"/>
      <c r="D3101" s="663" t="s">
        <v>432</v>
      </c>
      <c r="E3101" s="1266"/>
      <c r="F3101" s="1267"/>
      <c r="G3101" s="1268"/>
      <c r="H3101" s="930" t="s">
        <v>1661</v>
      </c>
      <c r="I3101" s="1243" t="s">
        <v>1642</v>
      </c>
      <c r="J3101" s="1243"/>
      <c r="K3101" s="1244"/>
      <c r="L3101" s="664"/>
      <c r="M3101" s="665" t="s">
        <v>1641</v>
      </c>
    </row>
    <row r="3102" spans="3:13">
      <c r="C3102" s="660"/>
      <c r="D3102" s="666" t="s">
        <v>433</v>
      </c>
      <c r="E3102" s="1578"/>
      <c r="F3102" s="1579"/>
      <c r="G3102" s="1580"/>
      <c r="H3102" s="931" t="s">
        <v>1662</v>
      </c>
      <c r="I3102" s="1246"/>
      <c r="J3102" s="1246"/>
      <c r="K3102" s="1247"/>
      <c r="L3102" s="664"/>
      <c r="M3102" s="667"/>
    </row>
    <row r="3103" spans="3:13">
      <c r="C3103" s="660"/>
      <c r="D3103" s="666" t="s">
        <v>434</v>
      </c>
      <c r="E3103" s="1577">
        <v>0</v>
      </c>
      <c r="F3103" s="1572"/>
      <c r="G3103" s="1573"/>
      <c r="H3103" s="931"/>
      <c r="I3103" s="1246"/>
      <c r="J3103" s="1246"/>
      <c r="K3103" s="1247"/>
      <c r="L3103" s="664"/>
      <c r="M3103" s="667"/>
    </row>
    <row r="3104" spans="3:13" ht="17" thickBot="1">
      <c r="C3104" s="660"/>
      <c r="D3104" s="668" t="s">
        <v>435</v>
      </c>
      <c r="E3104" s="1275" t="e">
        <v>#VALUE!</v>
      </c>
      <c r="F3104" s="1276"/>
      <c r="G3104" s="1277"/>
      <c r="H3104" s="932"/>
      <c r="I3104" s="1246"/>
      <c r="J3104" s="1246"/>
      <c r="K3104" s="1247"/>
      <c r="L3104" s="669" t="s">
        <v>1560</v>
      </c>
      <c r="M3104" s="670" t="e">
        <v>#VALUE!</v>
      </c>
    </row>
    <row r="3105" spans="3:13" ht="17" thickBot="1">
      <c r="C3105" s="660"/>
      <c r="D3105" s="671" t="s">
        <v>436</v>
      </c>
      <c r="E3105" s="672" t="s">
        <v>29</v>
      </c>
      <c r="F3105" s="672" t="s">
        <v>28</v>
      </c>
      <c r="G3105" s="673" t="s">
        <v>27</v>
      </c>
      <c r="H3105" s="674" t="s">
        <v>793</v>
      </c>
      <c r="I3105" s="1246"/>
      <c r="J3105" s="1246"/>
      <c r="K3105" s="1247"/>
      <c r="L3105" s="675" t="s">
        <v>1246</v>
      </c>
      <c r="M3105" s="676"/>
    </row>
    <row r="3106" spans="3:13">
      <c r="C3106" s="660"/>
      <c r="D3106" s="677">
        <v>45693</v>
      </c>
      <c r="E3106" s="693">
        <v>52.9</v>
      </c>
      <c r="F3106" s="693" t="s">
        <v>600</v>
      </c>
      <c r="G3106" s="693">
        <v>56.8</v>
      </c>
      <c r="H3106" s="933">
        <v>6.2500000000000028E-2</v>
      </c>
      <c r="I3106" s="1246"/>
      <c r="J3106" s="1246"/>
      <c r="K3106" s="1247"/>
      <c r="L3106" s="679">
        <v>0.29166666666666669</v>
      </c>
      <c r="M3106" s="692">
        <v>0.14583333333333334</v>
      </c>
    </row>
    <row r="3107" spans="3:13">
      <c r="C3107" s="660"/>
      <c r="D3107" s="677">
        <v>45681</v>
      </c>
      <c r="E3107" s="693">
        <v>52.8</v>
      </c>
      <c r="F3107" s="693" t="s">
        <v>1345</v>
      </c>
      <c r="G3107" s="693">
        <v>56.8</v>
      </c>
      <c r="H3107" s="933">
        <v>6.2500000000000028E-2</v>
      </c>
      <c r="I3107" s="1246"/>
      <c r="J3107" s="1246"/>
      <c r="K3107" s="1247"/>
      <c r="L3107" s="679">
        <v>0.29166666666666669</v>
      </c>
      <c r="M3107" s="692">
        <v>0.14583333333333334</v>
      </c>
    </row>
    <row r="3108" spans="3:13">
      <c r="C3108" s="660"/>
      <c r="D3108" s="677">
        <v>45663</v>
      </c>
      <c r="E3108" s="693">
        <v>56.8</v>
      </c>
      <c r="F3108" s="693" t="s">
        <v>1539</v>
      </c>
      <c r="G3108" s="693">
        <v>56.1</v>
      </c>
      <c r="H3108" s="933">
        <v>6.2500000000000028E-2</v>
      </c>
      <c r="I3108" s="1246"/>
      <c r="J3108" s="1246"/>
      <c r="K3108" s="1247"/>
      <c r="L3108" s="679">
        <v>0.29166666666666669</v>
      </c>
      <c r="M3108" s="692">
        <v>0.14583333333333334</v>
      </c>
    </row>
    <row r="3109" spans="3:13">
      <c r="C3109" s="660"/>
      <c r="D3109" s="677">
        <v>45642</v>
      </c>
      <c r="E3109" s="693">
        <v>58.5</v>
      </c>
      <c r="F3109" s="693" t="s">
        <v>1339</v>
      </c>
      <c r="G3109" s="693">
        <v>56.1</v>
      </c>
      <c r="H3109" s="933">
        <v>6.2500000000000028E-2</v>
      </c>
      <c r="I3109" s="1246"/>
      <c r="J3109" s="1246"/>
      <c r="K3109" s="1247"/>
      <c r="L3109" s="679">
        <v>0.29166666666666669</v>
      </c>
      <c r="M3109" s="692">
        <v>0.14583333333333334</v>
      </c>
    </row>
    <row r="3110" spans="3:13">
      <c r="C3110" s="660"/>
      <c r="D3110" s="677">
        <v>45630</v>
      </c>
      <c r="E3110" s="693">
        <v>56.1</v>
      </c>
      <c r="F3110" s="693" t="s">
        <v>1285</v>
      </c>
      <c r="G3110" s="693">
        <v>55</v>
      </c>
      <c r="H3110" s="933">
        <v>6.2500000000000028E-2</v>
      </c>
      <c r="I3110" s="1246"/>
      <c r="J3110" s="1246"/>
      <c r="K3110" s="1247"/>
      <c r="L3110" s="679">
        <v>0.29166666666666669</v>
      </c>
      <c r="M3110" s="692">
        <v>0.14583333333333334</v>
      </c>
    </row>
    <row r="3111" spans="3:13" ht="17" thickBot="1">
      <c r="C3111" s="660"/>
      <c r="D3111" s="677">
        <v>45618</v>
      </c>
      <c r="E3111" s="693">
        <v>57</v>
      </c>
      <c r="F3111" s="693" t="s">
        <v>586</v>
      </c>
      <c r="G3111" s="693">
        <v>55</v>
      </c>
      <c r="H3111" s="933">
        <v>6.2500000000000028E-2</v>
      </c>
      <c r="I3111" s="1249"/>
      <c r="J3111" s="1249"/>
      <c r="K3111" s="1250"/>
      <c r="L3111" s="679">
        <v>0.29166666666666669</v>
      </c>
      <c r="M3111" s="692">
        <v>0.14583333333333334</v>
      </c>
    </row>
    <row r="3112" spans="3:13" ht="17" thickBot="1">
      <c r="C3112" s="660">
        <v>3</v>
      </c>
      <c r="D3112" s="661" t="s">
        <v>30</v>
      </c>
      <c r="E3112" s="1568" t="s">
        <v>1643</v>
      </c>
      <c r="F3112" s="1569"/>
      <c r="G3112" s="1570"/>
      <c r="H3112" s="674" t="s">
        <v>790</v>
      </c>
      <c r="I3112" s="1256" t="s">
        <v>633</v>
      </c>
      <c r="J3112" s="1256"/>
      <c r="K3112" s="1257"/>
      <c r="L3112" s="674" t="s">
        <v>430</v>
      </c>
      <c r="M3112" s="694" t="s">
        <v>431</v>
      </c>
    </row>
    <row r="3113" spans="3:13">
      <c r="C3113" s="660"/>
      <c r="D3113" s="663" t="s">
        <v>432</v>
      </c>
      <c r="E3113" s="1266"/>
      <c r="F3113" s="1267"/>
      <c r="G3113" s="1268"/>
      <c r="H3113" s="930" t="s">
        <v>1132</v>
      </c>
      <c r="I3113" s="1243" t="s">
        <v>1478</v>
      </c>
      <c r="J3113" s="1243"/>
      <c r="K3113" s="1244"/>
      <c r="L3113" s="664"/>
      <c r="M3113" s="665" t="s">
        <v>1643</v>
      </c>
    </row>
    <row r="3114" spans="3:13">
      <c r="C3114" s="660"/>
      <c r="D3114" s="666" t="s">
        <v>433</v>
      </c>
      <c r="E3114" s="1581"/>
      <c r="F3114" s="1582"/>
      <c r="G3114" s="1583"/>
      <c r="H3114" s="931" t="s">
        <v>1133</v>
      </c>
      <c r="I3114" s="1246"/>
      <c r="J3114" s="1246"/>
      <c r="K3114" s="1247"/>
      <c r="L3114" s="664"/>
      <c r="M3114" s="667"/>
    </row>
    <row r="3115" spans="3:13">
      <c r="C3115" s="660"/>
      <c r="D3115" s="666" t="s">
        <v>434</v>
      </c>
      <c r="E3115" s="1577">
        <v>49.1</v>
      </c>
      <c r="F3115" s="1572"/>
      <c r="G3115" s="1573"/>
      <c r="H3115" s="931"/>
      <c r="I3115" s="1246"/>
      <c r="J3115" s="1246"/>
      <c r="K3115" s="1247"/>
      <c r="L3115" s="664"/>
      <c r="M3115" s="667"/>
    </row>
    <row r="3116" spans="3:13" ht="17" thickBot="1">
      <c r="C3116" s="660"/>
      <c r="D3116" s="668" t="s">
        <v>435</v>
      </c>
      <c r="E3116" s="1275">
        <v>6.2500000000000028E-2</v>
      </c>
      <c r="F3116" s="1276"/>
      <c r="G3116" s="1277"/>
      <c r="H3116" s="932"/>
      <c r="I3116" s="1246"/>
      <c r="J3116" s="1246"/>
      <c r="K3116" s="1247"/>
      <c r="L3116" s="669">
        <v>0.29166666666666669</v>
      </c>
      <c r="M3116" s="670">
        <v>0.14583333333333334</v>
      </c>
    </row>
    <row r="3117" spans="3:13" ht="17" thickBot="1">
      <c r="C3117" s="660"/>
      <c r="D3117" s="671" t="s">
        <v>436</v>
      </c>
      <c r="E3117" s="672" t="s">
        <v>29</v>
      </c>
      <c r="F3117" s="672" t="s">
        <v>28</v>
      </c>
      <c r="G3117" s="673" t="s">
        <v>27</v>
      </c>
      <c r="H3117" s="674" t="s">
        <v>793</v>
      </c>
      <c r="I3117" s="1246"/>
      <c r="J3117" s="1246"/>
      <c r="K3117" s="1247"/>
      <c r="L3117" s="675"/>
      <c r="M3117" s="676"/>
    </row>
    <row r="3118" spans="3:13">
      <c r="C3118" s="660"/>
      <c r="D3118" s="677">
        <v>45684</v>
      </c>
      <c r="E3118" s="691" t="s">
        <v>1656</v>
      </c>
      <c r="F3118" s="691" t="s">
        <v>1657</v>
      </c>
      <c r="G3118" s="691" t="s">
        <v>1657</v>
      </c>
      <c r="H3118" s="933">
        <v>6.2500000000000028E-2</v>
      </c>
      <c r="I3118" s="1246"/>
      <c r="J3118" s="1246"/>
      <c r="K3118" s="1247"/>
      <c r="L3118" s="679">
        <v>0.29166666666666669</v>
      </c>
      <c r="M3118" s="680"/>
    </row>
    <row r="3119" spans="3:13">
      <c r="C3119" s="660"/>
      <c r="D3119" s="677">
        <v>45657</v>
      </c>
      <c r="E3119" s="691" t="s">
        <v>1657</v>
      </c>
      <c r="F3119" s="691" t="s">
        <v>1658</v>
      </c>
      <c r="G3119" s="691" t="s">
        <v>1658</v>
      </c>
      <c r="H3119" s="933">
        <v>6.2500000000000028E-2</v>
      </c>
      <c r="I3119" s="1246"/>
      <c r="J3119" s="1246"/>
      <c r="K3119" s="1247"/>
      <c r="L3119" s="679">
        <v>0.29166666666666669</v>
      </c>
      <c r="M3119" s="681"/>
    </row>
    <row r="3120" spans="3:13">
      <c r="C3120" s="660"/>
      <c r="D3120" s="677">
        <v>45626</v>
      </c>
      <c r="E3120" s="691" t="s">
        <v>1658</v>
      </c>
      <c r="F3120" s="691" t="s">
        <v>1659</v>
      </c>
      <c r="G3120" s="691" t="s">
        <v>1657</v>
      </c>
      <c r="H3120" s="933">
        <v>6.2500000000000028E-2</v>
      </c>
      <c r="I3120" s="1246"/>
      <c r="J3120" s="1246"/>
      <c r="K3120" s="1247"/>
      <c r="L3120" s="679">
        <v>0.29166666666666669</v>
      </c>
      <c r="M3120" s="667"/>
    </row>
    <row r="3121" spans="2:13">
      <c r="C3121" s="660"/>
      <c r="D3121" s="677">
        <v>45596</v>
      </c>
      <c r="E3121" s="691" t="s">
        <v>1657</v>
      </c>
      <c r="F3121" s="691" t="s">
        <v>1172</v>
      </c>
      <c r="G3121" s="691" t="s">
        <v>1172</v>
      </c>
      <c r="H3121" s="933">
        <v>6.2500000000000028E-2</v>
      </c>
      <c r="I3121" s="1246"/>
      <c r="J3121" s="1246"/>
      <c r="K3121" s="1247"/>
      <c r="L3121" s="679">
        <v>0.29166666666666669</v>
      </c>
      <c r="M3121" s="667"/>
    </row>
    <row r="3122" spans="2:13">
      <c r="C3122" s="660"/>
      <c r="D3122" s="677">
        <v>45565</v>
      </c>
      <c r="E3122" s="691" t="s">
        <v>1172</v>
      </c>
      <c r="F3122" s="691" t="s">
        <v>1219</v>
      </c>
      <c r="G3122" s="691" t="s">
        <v>1656</v>
      </c>
      <c r="H3122" s="933">
        <v>6.2500000000000028E-2</v>
      </c>
      <c r="I3122" s="1246"/>
      <c r="J3122" s="1246"/>
      <c r="K3122" s="1247"/>
      <c r="L3122" s="679">
        <v>0.29166666666666669</v>
      </c>
      <c r="M3122" s="667"/>
    </row>
    <row r="3123" spans="2:13" ht="17" thickBot="1">
      <c r="C3123" s="660"/>
      <c r="D3123" s="677">
        <v>45535</v>
      </c>
      <c r="E3123" s="691" t="s">
        <v>1656</v>
      </c>
      <c r="F3123" s="691" t="s">
        <v>1660</v>
      </c>
      <c r="G3123" s="691" t="s">
        <v>1219</v>
      </c>
      <c r="H3123" s="933">
        <v>6.2500000000000028E-2</v>
      </c>
      <c r="I3123" s="1249"/>
      <c r="J3123" s="1249"/>
      <c r="K3123" s="1250"/>
      <c r="L3123" s="679">
        <v>0.29166666666666669</v>
      </c>
      <c r="M3123" s="682"/>
    </row>
    <row r="3124" spans="2:13" ht="17" thickBot="1">
      <c r="B3124" s="90" t="s">
        <v>105</v>
      </c>
      <c r="C3124" s="660">
        <v>1</v>
      </c>
      <c r="D3124" s="671" t="s">
        <v>30</v>
      </c>
      <c r="E3124" s="1252" t="s">
        <v>1663</v>
      </c>
      <c r="F3124" s="1253"/>
      <c r="G3124" s="1254"/>
      <c r="H3124" s="712" t="s">
        <v>790</v>
      </c>
      <c r="I3124" s="1256" t="s">
        <v>633</v>
      </c>
      <c r="J3124" s="1256"/>
      <c r="K3124" s="1257"/>
      <c r="L3124" s="674" t="s">
        <v>430</v>
      </c>
      <c r="M3124" s="713" t="s">
        <v>431</v>
      </c>
    </row>
    <row r="3125" spans="2:13">
      <c r="C3125" s="660"/>
      <c r="D3125" s="663" t="s">
        <v>432</v>
      </c>
      <c r="E3125" s="1266"/>
      <c r="F3125" s="1267"/>
      <c r="G3125" s="1268"/>
      <c r="H3125" s="714" t="s">
        <v>906</v>
      </c>
      <c r="I3125" s="1243" t="s">
        <v>1664</v>
      </c>
      <c r="J3125" s="1243"/>
      <c r="K3125" s="1244"/>
      <c r="L3125" s="664"/>
      <c r="M3125" s="665" t="s">
        <v>1663</v>
      </c>
    </row>
    <row r="3126" spans="2:13">
      <c r="C3126" s="660"/>
      <c r="D3126" s="666" t="s">
        <v>433</v>
      </c>
      <c r="E3126" s="1269"/>
      <c r="F3126" s="1270"/>
      <c r="G3126" s="1271"/>
      <c r="H3126" s="715" t="s">
        <v>907</v>
      </c>
      <c r="I3126" s="1246"/>
      <c r="J3126" s="1246"/>
      <c r="K3126" s="1247"/>
      <c r="L3126" s="664"/>
      <c r="M3126" s="667"/>
    </row>
    <row r="3127" spans="2:13">
      <c r="C3127" s="660"/>
      <c r="D3127" s="666" t="s">
        <v>434</v>
      </c>
      <c r="E3127" s="1278">
        <v>52.7</v>
      </c>
      <c r="F3127" s="1270"/>
      <c r="G3127" s="1271"/>
      <c r="H3127" s="715"/>
      <c r="I3127" s="1246"/>
      <c r="J3127" s="1246"/>
      <c r="K3127" s="1247"/>
      <c r="L3127" s="664"/>
      <c r="M3127" s="667"/>
    </row>
    <row r="3128" spans="2:13" ht="17" thickBot="1">
      <c r="C3128" s="660"/>
      <c r="D3128" s="668" t="s">
        <v>435</v>
      </c>
      <c r="E3128" s="1275">
        <v>0.57291666666666674</v>
      </c>
      <c r="F3128" s="1276"/>
      <c r="G3128" s="1277"/>
      <c r="H3128" s="716"/>
      <c r="I3128" s="1246"/>
      <c r="J3128" s="1246"/>
      <c r="K3128" s="1247"/>
      <c r="L3128" s="669">
        <v>0.80208333333333337</v>
      </c>
      <c r="M3128" s="670">
        <v>0.69791666666666674</v>
      </c>
    </row>
    <row r="3129" spans="2:13" ht="17" thickBot="1">
      <c r="C3129" s="660"/>
      <c r="D3129" s="671" t="s">
        <v>436</v>
      </c>
      <c r="E3129" s="672" t="s">
        <v>29</v>
      </c>
      <c r="F3129" s="672" t="s">
        <v>28</v>
      </c>
      <c r="G3129" s="673" t="s">
        <v>27</v>
      </c>
      <c r="H3129" s="712" t="s">
        <v>793</v>
      </c>
      <c r="I3129" s="1246"/>
      <c r="J3129" s="1246"/>
      <c r="K3129" s="1247"/>
      <c r="L3129" s="675" t="s">
        <v>1246</v>
      </c>
      <c r="M3129" s="676"/>
    </row>
    <row r="3130" spans="2:13">
      <c r="C3130" s="660"/>
      <c r="D3130" s="717">
        <v>45719</v>
      </c>
      <c r="E3130" s="693">
        <v>52.7</v>
      </c>
      <c r="F3130" s="693" t="s">
        <v>1689</v>
      </c>
      <c r="G3130" s="693">
        <v>51.2</v>
      </c>
      <c r="H3130" s="718">
        <v>0.61458333333333337</v>
      </c>
      <c r="I3130" s="1246"/>
      <c r="J3130" s="1246"/>
      <c r="K3130" s="1247"/>
      <c r="L3130" s="679">
        <v>0.84375</v>
      </c>
      <c r="M3130" s="680"/>
    </row>
    <row r="3131" spans="2:13">
      <c r="C3131" s="660"/>
      <c r="D3131" s="717">
        <v>45709</v>
      </c>
      <c r="E3131" s="693">
        <v>51.6</v>
      </c>
      <c r="F3131" s="693" t="s">
        <v>594</v>
      </c>
      <c r="G3131" s="693">
        <v>51.2</v>
      </c>
      <c r="H3131" s="718">
        <v>0.61458333333333337</v>
      </c>
      <c r="I3131" s="1246"/>
      <c r="J3131" s="1246"/>
      <c r="K3131" s="1247"/>
      <c r="L3131" s="679">
        <v>0.84375</v>
      </c>
      <c r="M3131" s="681"/>
    </row>
    <row r="3132" spans="2:13">
      <c r="C3132" s="660"/>
      <c r="D3132" s="719"/>
      <c r="E3132" s="693">
        <v>0</v>
      </c>
      <c r="F3132" s="693">
        <v>0</v>
      </c>
      <c r="G3132" s="693">
        <v>0</v>
      </c>
      <c r="H3132" s="718">
        <v>0.61458333333333337</v>
      </c>
      <c r="I3132" s="1246"/>
      <c r="J3132" s="1246"/>
      <c r="K3132" s="1247"/>
      <c r="L3132" s="679">
        <v>0.84375</v>
      </c>
      <c r="M3132" s="667"/>
    </row>
    <row r="3133" spans="2:13">
      <c r="C3133" s="660"/>
      <c r="D3133" s="719"/>
      <c r="E3133" s="693">
        <v>0</v>
      </c>
      <c r="F3133" s="693">
        <v>0</v>
      </c>
      <c r="G3133" s="693">
        <v>0</v>
      </c>
      <c r="H3133" s="718">
        <v>0.61458333333333337</v>
      </c>
      <c r="I3133" s="1246"/>
      <c r="J3133" s="1246"/>
      <c r="K3133" s="1247"/>
      <c r="L3133" s="679">
        <v>0.84375</v>
      </c>
      <c r="M3133" s="667"/>
    </row>
    <row r="3134" spans="2:13">
      <c r="C3134" s="660"/>
      <c r="D3134" s="719"/>
      <c r="E3134" s="693">
        <v>0</v>
      </c>
      <c r="F3134" s="693">
        <v>0</v>
      </c>
      <c r="G3134" s="693">
        <v>0</v>
      </c>
      <c r="H3134" s="718">
        <v>0.61458333333333337</v>
      </c>
      <c r="I3134" s="1246"/>
      <c r="J3134" s="1246"/>
      <c r="K3134" s="1247"/>
      <c r="L3134" s="679">
        <v>0.84375</v>
      </c>
      <c r="M3134" s="667"/>
    </row>
    <row r="3135" spans="2:13" ht="17" thickBot="1">
      <c r="C3135" s="660"/>
      <c r="D3135" s="719"/>
      <c r="E3135" s="693">
        <v>0</v>
      </c>
      <c r="F3135" s="693">
        <v>0</v>
      </c>
      <c r="G3135" s="693">
        <v>0</v>
      </c>
      <c r="H3135" s="718">
        <v>0.61458333333333337</v>
      </c>
      <c r="I3135" s="1249"/>
      <c r="J3135" s="1249"/>
      <c r="K3135" s="1250"/>
      <c r="L3135" s="679">
        <v>0.84375</v>
      </c>
      <c r="M3135" s="682"/>
    </row>
    <row r="3136" spans="2:13" ht="17" thickBot="1">
      <c r="C3136" s="660">
        <v>1</v>
      </c>
      <c r="D3136" s="671" t="s">
        <v>30</v>
      </c>
      <c r="E3136" s="1252" t="s">
        <v>1665</v>
      </c>
      <c r="F3136" s="1253"/>
      <c r="G3136" s="1254"/>
      <c r="H3136" s="712" t="s">
        <v>790</v>
      </c>
      <c r="I3136" s="1256" t="s">
        <v>633</v>
      </c>
      <c r="J3136" s="1256"/>
      <c r="K3136" s="1257"/>
      <c r="L3136" s="674" t="s">
        <v>430</v>
      </c>
      <c r="M3136" s="713" t="s">
        <v>431</v>
      </c>
    </row>
    <row r="3137" spans="3:13">
      <c r="C3137" s="660"/>
      <c r="D3137" s="663" t="s">
        <v>432</v>
      </c>
      <c r="E3137" s="1266"/>
      <c r="F3137" s="1267"/>
      <c r="G3137" s="1268"/>
      <c r="H3137" s="714" t="s">
        <v>906</v>
      </c>
      <c r="I3137" s="1243" t="s">
        <v>1666</v>
      </c>
      <c r="J3137" s="1243"/>
      <c r="K3137" s="1244"/>
      <c r="L3137" s="664"/>
      <c r="M3137" s="665" t="s">
        <v>1665</v>
      </c>
    </row>
    <row r="3138" spans="3:13">
      <c r="C3138" s="660"/>
      <c r="D3138" s="666" t="s">
        <v>433</v>
      </c>
      <c r="E3138" s="1269"/>
      <c r="F3138" s="1270"/>
      <c r="G3138" s="1271"/>
      <c r="H3138" s="715" t="s">
        <v>907</v>
      </c>
      <c r="I3138" s="1246"/>
      <c r="J3138" s="1246"/>
      <c r="K3138" s="1247"/>
      <c r="L3138" s="664"/>
      <c r="M3138" s="667"/>
    </row>
    <row r="3139" spans="3:13">
      <c r="C3139" s="660"/>
      <c r="D3139" s="666" t="s">
        <v>434</v>
      </c>
      <c r="E3139" s="1278">
        <v>51</v>
      </c>
      <c r="F3139" s="1270"/>
      <c r="G3139" s="1271"/>
      <c r="H3139" s="715"/>
      <c r="I3139" s="1246"/>
      <c r="J3139" s="1246"/>
      <c r="K3139" s="1247"/>
      <c r="L3139" s="664"/>
      <c r="M3139" s="667"/>
    </row>
    <row r="3140" spans="3:13" ht="17" thickBot="1">
      <c r="C3140" s="660"/>
      <c r="D3140" s="668" t="s">
        <v>435</v>
      </c>
      <c r="E3140" s="1275">
        <v>0.57291666666666674</v>
      </c>
      <c r="F3140" s="1276"/>
      <c r="G3140" s="1277"/>
      <c r="H3140" s="716"/>
      <c r="I3140" s="1246"/>
      <c r="J3140" s="1246"/>
      <c r="K3140" s="1247"/>
      <c r="L3140" s="669">
        <v>0.80208333333333337</v>
      </c>
      <c r="M3140" s="670">
        <v>0.69791666666666674</v>
      </c>
    </row>
    <row r="3141" spans="3:13" ht="17" thickBot="1">
      <c r="C3141" s="660"/>
      <c r="D3141" s="671" t="s">
        <v>436</v>
      </c>
      <c r="E3141" s="672" t="s">
        <v>29</v>
      </c>
      <c r="F3141" s="672" t="s">
        <v>28</v>
      </c>
      <c r="G3141" s="673" t="s">
        <v>27</v>
      </c>
      <c r="H3141" s="712" t="s">
        <v>793</v>
      </c>
      <c r="I3141" s="1246"/>
      <c r="J3141" s="1246"/>
      <c r="K3141" s="1247"/>
      <c r="L3141" s="675" t="s">
        <v>1246</v>
      </c>
      <c r="M3141" s="676"/>
    </row>
    <row r="3142" spans="3:13">
      <c r="C3142" s="660"/>
      <c r="D3142" s="717">
        <v>45721</v>
      </c>
      <c r="E3142" s="693">
        <v>51</v>
      </c>
      <c r="F3142" s="693" t="s">
        <v>1690</v>
      </c>
      <c r="G3142" s="693">
        <v>52.9</v>
      </c>
      <c r="H3142" s="718">
        <v>0.61458333333333337</v>
      </c>
      <c r="I3142" s="1246"/>
      <c r="J3142" s="1246"/>
      <c r="K3142" s="1247"/>
      <c r="L3142" s="679">
        <v>0.84375</v>
      </c>
      <c r="M3142" s="680"/>
    </row>
    <row r="3143" spans="3:13">
      <c r="C3143" s="660"/>
      <c r="D3143" s="717">
        <v>45709</v>
      </c>
      <c r="E3143" s="693">
        <v>49.7</v>
      </c>
      <c r="F3143" s="693" t="s">
        <v>1691</v>
      </c>
      <c r="G3143" s="693">
        <v>52.9</v>
      </c>
      <c r="H3143" s="718">
        <v>0.61458333333333337</v>
      </c>
      <c r="I3143" s="1246"/>
      <c r="J3143" s="1246"/>
      <c r="K3143" s="1247"/>
      <c r="L3143" s="679">
        <v>0.84375</v>
      </c>
      <c r="M3143" s="681"/>
    </row>
    <row r="3144" spans="3:13">
      <c r="C3144" s="660"/>
      <c r="D3144" s="719"/>
      <c r="E3144" s="693">
        <v>51</v>
      </c>
      <c r="F3144" s="693" t="s">
        <v>1690</v>
      </c>
      <c r="G3144" s="693">
        <v>52.9</v>
      </c>
      <c r="H3144" s="718">
        <v>0.61458333333333337</v>
      </c>
      <c r="I3144" s="1246"/>
      <c r="J3144" s="1246"/>
      <c r="K3144" s="1247"/>
      <c r="L3144" s="679">
        <v>0.84375</v>
      </c>
      <c r="M3144" s="667"/>
    </row>
    <row r="3145" spans="3:13">
      <c r="C3145" s="660"/>
      <c r="D3145" s="719"/>
      <c r="E3145" s="693">
        <v>49.7</v>
      </c>
      <c r="F3145" s="693" t="s">
        <v>1691</v>
      </c>
      <c r="G3145" s="693">
        <v>52.9</v>
      </c>
      <c r="H3145" s="718">
        <v>0.61458333333333337</v>
      </c>
      <c r="I3145" s="1246"/>
      <c r="J3145" s="1246"/>
      <c r="K3145" s="1247"/>
      <c r="L3145" s="679">
        <v>0.84375</v>
      </c>
      <c r="M3145" s="667"/>
    </row>
    <row r="3146" spans="3:13">
      <c r="C3146" s="660"/>
      <c r="D3146" s="719"/>
      <c r="E3146" s="693">
        <v>51</v>
      </c>
      <c r="F3146" s="693" t="s">
        <v>1690</v>
      </c>
      <c r="G3146" s="693">
        <v>52.9</v>
      </c>
      <c r="H3146" s="718">
        <v>0.61458333333333337</v>
      </c>
      <c r="I3146" s="1246"/>
      <c r="J3146" s="1246"/>
      <c r="K3146" s="1247"/>
      <c r="L3146" s="679">
        <v>0.84375</v>
      </c>
      <c r="M3146" s="667"/>
    </row>
    <row r="3147" spans="3:13" ht="17" thickBot="1">
      <c r="C3147" s="660"/>
      <c r="D3147" s="719"/>
      <c r="E3147" s="693">
        <v>49.7</v>
      </c>
      <c r="F3147" s="693" t="s">
        <v>1691</v>
      </c>
      <c r="G3147" s="693">
        <v>52.9</v>
      </c>
      <c r="H3147" s="718">
        <v>0.61458333333333337</v>
      </c>
      <c r="I3147" s="1249"/>
      <c r="J3147" s="1249"/>
      <c r="K3147" s="1250"/>
      <c r="L3147" s="679">
        <v>0.84375</v>
      </c>
      <c r="M3147" s="682"/>
    </row>
    <row r="3148" spans="3:13" ht="17" thickBot="1">
      <c r="C3148" s="660">
        <v>1</v>
      </c>
      <c r="D3148" s="671" t="s">
        <v>30</v>
      </c>
      <c r="E3148" s="1252" t="s">
        <v>1667</v>
      </c>
      <c r="F3148" s="1253"/>
      <c r="G3148" s="1254"/>
      <c r="H3148" s="712" t="s">
        <v>790</v>
      </c>
      <c r="I3148" s="1256" t="s">
        <v>633</v>
      </c>
      <c r="J3148" s="1256"/>
      <c r="K3148" s="1257"/>
      <c r="L3148" s="674" t="s">
        <v>430</v>
      </c>
      <c r="M3148" s="713" t="s">
        <v>431</v>
      </c>
    </row>
    <row r="3149" spans="3:13">
      <c r="C3149" s="660"/>
      <c r="D3149" s="663" t="s">
        <v>432</v>
      </c>
      <c r="E3149" s="1266"/>
      <c r="F3149" s="1267"/>
      <c r="G3149" s="1268"/>
      <c r="H3149" s="714" t="s">
        <v>906</v>
      </c>
      <c r="I3149" s="1243" t="s">
        <v>1620</v>
      </c>
      <c r="J3149" s="1243"/>
      <c r="K3149" s="1244"/>
      <c r="L3149" s="664"/>
      <c r="M3149" s="665" t="s">
        <v>1667</v>
      </c>
    </row>
    <row r="3150" spans="3:13">
      <c r="C3150" s="660"/>
      <c r="D3150" s="666" t="s">
        <v>433</v>
      </c>
      <c r="E3150" s="1269"/>
      <c r="F3150" s="1270"/>
      <c r="G3150" s="1271"/>
      <c r="H3150" s="715" t="s">
        <v>907</v>
      </c>
      <c r="I3150" s="1246"/>
      <c r="J3150" s="1246"/>
      <c r="K3150" s="1247"/>
      <c r="L3150" s="664"/>
      <c r="M3150" s="667"/>
    </row>
    <row r="3151" spans="3:13">
      <c r="C3151" s="660"/>
      <c r="D3151" s="666" t="s">
        <v>434</v>
      </c>
      <c r="E3151" s="1278">
        <v>98.3</v>
      </c>
      <c r="F3151" s="1270"/>
      <c r="G3151" s="1271"/>
      <c r="H3151" s="715"/>
      <c r="I3151" s="1246"/>
      <c r="J3151" s="1246"/>
      <c r="K3151" s="1247"/>
      <c r="L3151" s="664"/>
      <c r="M3151" s="667"/>
    </row>
    <row r="3152" spans="3:13" ht="17" thickBot="1">
      <c r="C3152" s="660"/>
      <c r="D3152" s="668" t="s">
        <v>435</v>
      </c>
      <c r="E3152" s="1275">
        <v>0.58333333333333337</v>
      </c>
      <c r="F3152" s="1276"/>
      <c r="G3152" s="1277"/>
      <c r="H3152" s="716"/>
      <c r="I3152" s="1246"/>
      <c r="J3152" s="1246"/>
      <c r="K3152" s="1247"/>
      <c r="L3152" s="669">
        <v>0.8125</v>
      </c>
      <c r="M3152" s="670">
        <v>0.70833333333333337</v>
      </c>
    </row>
    <row r="3153" spans="3:13" ht="17" thickBot="1">
      <c r="C3153" s="660"/>
      <c r="D3153" s="671" t="s">
        <v>436</v>
      </c>
      <c r="E3153" s="672" t="s">
        <v>29</v>
      </c>
      <c r="F3153" s="672" t="s">
        <v>28</v>
      </c>
      <c r="G3153" s="673" t="s">
        <v>27</v>
      </c>
      <c r="H3153" s="712" t="s">
        <v>793</v>
      </c>
      <c r="I3153" s="1246"/>
      <c r="J3153" s="1246"/>
      <c r="K3153" s="1247"/>
      <c r="L3153" s="675" t="s">
        <v>1246</v>
      </c>
      <c r="M3153" s="676"/>
    </row>
    <row r="3154" spans="3:13">
      <c r="C3154" s="660"/>
      <c r="D3154" s="717">
        <v>45713</v>
      </c>
      <c r="E3154" s="693">
        <v>98.3</v>
      </c>
      <c r="F3154" s="693" t="s">
        <v>1692</v>
      </c>
      <c r="G3154" s="693">
        <v>105.3</v>
      </c>
      <c r="H3154" s="718">
        <v>0.625</v>
      </c>
      <c r="I3154" s="1246"/>
      <c r="J3154" s="1246"/>
      <c r="K3154" s="1247"/>
      <c r="L3154" s="718">
        <v>0.85416666666666663</v>
      </c>
      <c r="M3154" s="680"/>
    </row>
    <row r="3155" spans="3:13">
      <c r="C3155" s="660"/>
      <c r="D3155" s="717">
        <v>45685</v>
      </c>
      <c r="E3155" s="693">
        <v>104.1</v>
      </c>
      <c r="F3155" s="693" t="s">
        <v>1646</v>
      </c>
      <c r="G3155" s="693">
        <v>109.5</v>
      </c>
      <c r="H3155" s="718">
        <v>0.625</v>
      </c>
      <c r="I3155" s="1246"/>
      <c r="J3155" s="1246"/>
      <c r="K3155" s="1247"/>
      <c r="L3155" s="718">
        <v>0.85416666666666663</v>
      </c>
      <c r="M3155" s="681"/>
    </row>
    <row r="3156" spans="3:13">
      <c r="C3156" s="660"/>
      <c r="D3156" s="717">
        <v>45649</v>
      </c>
      <c r="E3156" s="693">
        <v>104.7</v>
      </c>
      <c r="F3156" s="693" t="s">
        <v>1537</v>
      </c>
      <c r="G3156" s="693">
        <v>112.8</v>
      </c>
      <c r="H3156" s="718">
        <v>0.625</v>
      </c>
      <c r="I3156" s="1246"/>
      <c r="J3156" s="1246"/>
      <c r="K3156" s="1247"/>
      <c r="L3156" s="718">
        <v>0.85416666666666663</v>
      </c>
      <c r="M3156" s="667"/>
    </row>
    <row r="3157" spans="3:13">
      <c r="C3157" s="660"/>
      <c r="D3157" s="717">
        <v>45622</v>
      </c>
      <c r="E3157" s="693">
        <v>111.7</v>
      </c>
      <c r="F3157" s="693" t="s">
        <v>1314</v>
      </c>
      <c r="G3157" s="693">
        <v>109.6</v>
      </c>
      <c r="H3157" s="718">
        <v>0.625</v>
      </c>
      <c r="I3157" s="1246"/>
      <c r="J3157" s="1246"/>
      <c r="K3157" s="1247"/>
      <c r="L3157" s="718">
        <v>0.85416666666666663</v>
      </c>
      <c r="M3157" s="667"/>
    </row>
    <row r="3158" spans="3:13">
      <c r="C3158" s="660"/>
      <c r="D3158" s="717">
        <v>45594</v>
      </c>
      <c r="E3158" s="693">
        <v>108.7</v>
      </c>
      <c r="F3158" s="693" t="s">
        <v>1091</v>
      </c>
      <c r="G3158" s="693">
        <v>99.2</v>
      </c>
      <c r="H3158" s="718">
        <v>0.58333333333333337</v>
      </c>
      <c r="I3158" s="1246"/>
      <c r="J3158" s="1246"/>
      <c r="K3158" s="1247"/>
      <c r="L3158" s="718">
        <v>0.8125</v>
      </c>
      <c r="M3158" s="667"/>
    </row>
    <row r="3159" spans="3:13" ht="17" thickBot="1">
      <c r="C3159" s="660"/>
      <c r="D3159" s="717">
        <v>45559</v>
      </c>
      <c r="E3159" s="693">
        <v>98.7</v>
      </c>
      <c r="F3159" s="693" t="s">
        <v>874</v>
      </c>
      <c r="G3159" s="693">
        <v>105.6</v>
      </c>
      <c r="H3159" s="718">
        <v>0.58333333333333337</v>
      </c>
      <c r="I3159" s="1249"/>
      <c r="J3159" s="1249"/>
      <c r="K3159" s="1250"/>
      <c r="L3159" s="718">
        <v>0.8125</v>
      </c>
      <c r="M3159" s="682"/>
    </row>
    <row r="3160" spans="3:13" ht="17" thickBot="1">
      <c r="C3160" s="660">
        <v>1</v>
      </c>
      <c r="D3160" s="671" t="s">
        <v>30</v>
      </c>
      <c r="E3160" s="1252" t="s">
        <v>1668</v>
      </c>
      <c r="F3160" s="1253"/>
      <c r="G3160" s="1254"/>
      <c r="H3160" s="712" t="s">
        <v>790</v>
      </c>
      <c r="I3160" s="1256" t="s">
        <v>633</v>
      </c>
      <c r="J3160" s="1256"/>
      <c r="K3160" s="1257"/>
      <c r="L3160" s="674" t="s">
        <v>430</v>
      </c>
      <c r="M3160" s="713" t="s">
        <v>431</v>
      </c>
    </row>
    <row r="3161" spans="3:13">
      <c r="C3161" s="660"/>
      <c r="D3161" s="663" t="s">
        <v>432</v>
      </c>
      <c r="E3161" s="1266"/>
      <c r="F3161" s="1267"/>
      <c r="G3161" s="1268"/>
      <c r="H3161" s="714" t="s">
        <v>906</v>
      </c>
      <c r="I3161" s="1243" t="s">
        <v>1670</v>
      </c>
      <c r="J3161" s="1243"/>
      <c r="K3161" s="1244"/>
      <c r="L3161" s="664"/>
      <c r="M3161" s="665" t="s">
        <v>1668</v>
      </c>
    </row>
    <row r="3162" spans="3:13">
      <c r="C3162" s="660"/>
      <c r="D3162" s="666" t="s">
        <v>433</v>
      </c>
      <c r="E3162" s="1269"/>
      <c r="F3162" s="1270"/>
      <c r="G3162" s="1271"/>
      <c r="H3162" s="715" t="s">
        <v>907</v>
      </c>
      <c r="I3162" s="1246"/>
      <c r="J3162" s="1246"/>
      <c r="K3162" s="1247"/>
      <c r="L3162" s="664"/>
      <c r="M3162" s="667"/>
    </row>
    <row r="3163" spans="3:13">
      <c r="C3163" s="660"/>
      <c r="D3163" s="666" t="s">
        <v>434</v>
      </c>
      <c r="E3163" s="1278" t="s">
        <v>1669</v>
      </c>
      <c r="F3163" s="1270"/>
      <c r="G3163" s="1271"/>
      <c r="H3163" s="715"/>
      <c r="I3163" s="1246"/>
      <c r="J3163" s="1246"/>
      <c r="K3163" s="1247"/>
      <c r="L3163" s="664"/>
      <c r="M3163" s="667"/>
    </row>
    <row r="3164" spans="3:13" ht="17" thickBot="1">
      <c r="C3164" s="660"/>
      <c r="D3164" s="668" t="s">
        <v>435</v>
      </c>
      <c r="E3164" s="1275">
        <v>0.58333333333333337</v>
      </c>
      <c r="F3164" s="1276"/>
      <c r="G3164" s="1277"/>
      <c r="H3164" s="716"/>
      <c r="I3164" s="1246"/>
      <c r="J3164" s="1246"/>
      <c r="K3164" s="1247"/>
      <c r="L3164" s="669">
        <v>0.8125</v>
      </c>
      <c r="M3164" s="670">
        <v>0.70833333333333337</v>
      </c>
    </row>
    <row r="3165" spans="3:13" ht="17" thickBot="1">
      <c r="C3165" s="660"/>
      <c r="D3165" s="671" t="s">
        <v>436</v>
      </c>
      <c r="E3165" s="672" t="s">
        <v>29</v>
      </c>
      <c r="F3165" s="672" t="s">
        <v>28</v>
      </c>
      <c r="G3165" s="673" t="s">
        <v>27</v>
      </c>
      <c r="H3165" s="712" t="s">
        <v>793</v>
      </c>
      <c r="I3165" s="1246"/>
      <c r="J3165" s="1246"/>
      <c r="K3165" s="1247"/>
      <c r="L3165" s="675" t="s">
        <v>1246</v>
      </c>
      <c r="M3165" s="676"/>
    </row>
    <row r="3166" spans="3:13">
      <c r="C3166" s="660"/>
      <c r="D3166" s="717">
        <v>45714</v>
      </c>
      <c r="E3166" s="693" t="s">
        <v>1693</v>
      </c>
      <c r="F3166" s="693" t="s">
        <v>1694</v>
      </c>
      <c r="G3166" s="693" t="s">
        <v>1695</v>
      </c>
      <c r="H3166" s="718">
        <v>0.625</v>
      </c>
      <c r="I3166" s="1246"/>
      <c r="J3166" s="1246"/>
      <c r="K3166" s="1247"/>
      <c r="L3166" s="679">
        <v>0.85416666666666663</v>
      </c>
      <c r="M3166" s="680"/>
    </row>
    <row r="3167" spans="3:13">
      <c r="C3167" s="660"/>
      <c r="D3167" s="717">
        <v>45684</v>
      </c>
      <c r="E3167" s="693" t="s">
        <v>1106</v>
      </c>
      <c r="F3167" s="693" t="s">
        <v>1650</v>
      </c>
      <c r="G3167" s="693" t="s">
        <v>1651</v>
      </c>
      <c r="H3167" s="718">
        <v>0.625</v>
      </c>
      <c r="I3167" s="1246"/>
      <c r="J3167" s="1246"/>
      <c r="K3167" s="1247"/>
      <c r="L3167" s="679">
        <v>0.85416666666666663</v>
      </c>
      <c r="M3167" s="681"/>
    </row>
    <row r="3168" spans="3:13">
      <c r="C3168" s="660"/>
      <c r="D3168" s="717">
        <v>45649</v>
      </c>
      <c r="E3168" s="693" t="s">
        <v>1532</v>
      </c>
      <c r="F3168" s="693" t="s">
        <v>1533</v>
      </c>
      <c r="G3168" s="693" t="s">
        <v>1534</v>
      </c>
      <c r="H3168" s="718">
        <v>0.625</v>
      </c>
      <c r="I3168" s="1246"/>
      <c r="J3168" s="1246"/>
      <c r="K3168" s="1247"/>
      <c r="L3168" s="679">
        <v>0.85416666666666663</v>
      </c>
      <c r="M3168" s="667"/>
    </row>
    <row r="3169" spans="3:13">
      <c r="C3169" s="660"/>
      <c r="D3169" s="717">
        <v>45622</v>
      </c>
      <c r="E3169" s="693" t="s">
        <v>1316</v>
      </c>
      <c r="F3169" s="693" t="s">
        <v>1317</v>
      </c>
      <c r="G3169" s="693" t="s">
        <v>1092</v>
      </c>
      <c r="H3169" s="718">
        <v>0.625</v>
      </c>
      <c r="I3169" s="1246"/>
      <c r="J3169" s="1246"/>
      <c r="K3169" s="1247"/>
      <c r="L3169" s="679">
        <v>0.85416666666666663</v>
      </c>
      <c r="M3169" s="667"/>
    </row>
    <row r="3170" spans="3:13">
      <c r="C3170" s="660"/>
      <c r="D3170" s="717">
        <v>45589</v>
      </c>
      <c r="E3170" s="693" t="s">
        <v>1092</v>
      </c>
      <c r="F3170" s="693" t="s">
        <v>1093</v>
      </c>
      <c r="G3170" s="693" t="s">
        <v>1094</v>
      </c>
      <c r="H3170" s="718">
        <v>0.58333333333333337</v>
      </c>
      <c r="I3170" s="1246"/>
      <c r="J3170" s="1246"/>
      <c r="K3170" s="1247"/>
      <c r="L3170" s="679">
        <v>0.8125</v>
      </c>
      <c r="M3170" s="667"/>
    </row>
    <row r="3171" spans="3:13" ht="17" thickBot="1">
      <c r="C3171" s="660"/>
      <c r="D3171" s="717">
        <v>45560</v>
      </c>
      <c r="E3171" s="693" t="s">
        <v>1095</v>
      </c>
      <c r="F3171" s="693" t="s">
        <v>1096</v>
      </c>
      <c r="G3171" s="693" t="s">
        <v>1097</v>
      </c>
      <c r="H3171" s="718">
        <v>0.58333333333333337</v>
      </c>
      <c r="I3171" s="1249"/>
      <c r="J3171" s="1249"/>
      <c r="K3171" s="1250"/>
      <c r="L3171" s="679">
        <v>0.8125</v>
      </c>
      <c r="M3171" s="682"/>
    </row>
    <row r="3172" spans="3:13" ht="17" thickBot="1">
      <c r="C3172" s="660">
        <v>1</v>
      </c>
      <c r="D3172" s="671" t="s">
        <v>30</v>
      </c>
      <c r="E3172" s="1252" t="s">
        <v>1671</v>
      </c>
      <c r="F3172" s="1253"/>
      <c r="G3172" s="1254"/>
      <c r="H3172" s="712" t="s">
        <v>790</v>
      </c>
      <c r="I3172" s="1256" t="s">
        <v>633</v>
      </c>
      <c r="J3172" s="1256"/>
      <c r="K3172" s="1257"/>
      <c r="L3172" s="674" t="s">
        <v>430</v>
      </c>
      <c r="M3172" s="713" t="s">
        <v>431</v>
      </c>
    </row>
    <row r="3173" spans="3:13">
      <c r="C3173" s="660"/>
      <c r="D3173" s="663" t="s">
        <v>432</v>
      </c>
      <c r="E3173" s="1266"/>
      <c r="F3173" s="1267"/>
      <c r="G3173" s="1268"/>
      <c r="H3173" s="714" t="s">
        <v>798</v>
      </c>
      <c r="I3173" s="1243" t="s">
        <v>1672</v>
      </c>
      <c r="J3173" s="1243"/>
      <c r="K3173" s="1244"/>
      <c r="L3173" s="664"/>
      <c r="M3173" s="665" t="s">
        <v>1671</v>
      </c>
    </row>
    <row r="3174" spans="3:13">
      <c r="C3174" s="660"/>
      <c r="D3174" s="666" t="s">
        <v>433</v>
      </c>
      <c r="E3174" s="1269"/>
      <c r="F3174" s="1270"/>
      <c r="G3174" s="1271"/>
      <c r="H3174" s="715" t="s">
        <v>799</v>
      </c>
      <c r="I3174" s="1246"/>
      <c r="J3174" s="1246"/>
      <c r="K3174" s="1247"/>
      <c r="L3174" s="664"/>
      <c r="M3174" s="667"/>
    </row>
    <row r="3175" spans="3:13">
      <c r="C3175" s="660"/>
      <c r="D3175" s="666" t="s">
        <v>434</v>
      </c>
      <c r="E3175" s="1272">
        <v>0.03</v>
      </c>
      <c r="F3175" s="1273"/>
      <c r="G3175" s="1274"/>
      <c r="H3175" s="715"/>
      <c r="I3175" s="1246"/>
      <c r="J3175" s="1246"/>
      <c r="K3175" s="1247"/>
      <c r="L3175" s="664"/>
      <c r="M3175" s="667"/>
    </row>
    <row r="3176" spans="3:13" ht="17" thickBot="1">
      <c r="C3176" s="660"/>
      <c r="D3176" s="668" t="s">
        <v>435</v>
      </c>
      <c r="E3176" s="1275">
        <v>0.29166666666666674</v>
      </c>
      <c r="F3176" s="1276"/>
      <c r="G3176" s="1277"/>
      <c r="H3176" s="716"/>
      <c r="I3176" s="1246"/>
      <c r="J3176" s="1246"/>
      <c r="K3176" s="1247"/>
      <c r="L3176" s="669">
        <v>0.52083333333333337</v>
      </c>
      <c r="M3176" s="670">
        <v>0.41666666666666669</v>
      </c>
    </row>
    <row r="3177" spans="3:13" ht="17" thickBot="1">
      <c r="C3177" s="660"/>
      <c r="D3177" s="671" t="s">
        <v>436</v>
      </c>
      <c r="E3177" s="672" t="s">
        <v>29</v>
      </c>
      <c r="F3177" s="672" t="s">
        <v>28</v>
      </c>
      <c r="G3177" s="673" t="s">
        <v>27</v>
      </c>
      <c r="H3177" s="712" t="s">
        <v>793</v>
      </c>
      <c r="I3177" s="1246"/>
      <c r="J3177" s="1246"/>
      <c r="K3177" s="1247"/>
      <c r="L3177" s="675" t="s">
        <v>1246</v>
      </c>
      <c r="M3177" s="676"/>
    </row>
    <row r="3178" spans="3:13">
      <c r="C3178" s="660"/>
      <c r="D3178" s="717">
        <v>45707</v>
      </c>
      <c r="E3178" s="691">
        <v>0.03</v>
      </c>
      <c r="F3178" s="691" t="s">
        <v>666</v>
      </c>
      <c r="G3178" s="691">
        <v>2.5000000000000001E-2</v>
      </c>
      <c r="H3178" s="718">
        <v>0.29166666666666674</v>
      </c>
      <c r="I3178" s="1246"/>
      <c r="J3178" s="1246"/>
      <c r="K3178" s="1247"/>
      <c r="L3178" s="679">
        <v>0.52083333333333337</v>
      </c>
      <c r="M3178" s="680"/>
    </row>
    <row r="3179" spans="3:13">
      <c r="C3179" s="660"/>
      <c r="D3179" s="717">
        <v>45672</v>
      </c>
      <c r="E3179" s="691">
        <v>2.5000000000000001E-2</v>
      </c>
      <c r="F3179" s="691" t="s">
        <v>493</v>
      </c>
      <c r="G3179" s="691">
        <v>2.5999999999999999E-2</v>
      </c>
      <c r="H3179" s="718">
        <v>0.29166666666666674</v>
      </c>
      <c r="I3179" s="1246"/>
      <c r="J3179" s="1246"/>
      <c r="K3179" s="1247"/>
      <c r="L3179" s="679">
        <v>0.52083333333333337</v>
      </c>
      <c r="M3179" s="681"/>
    </row>
    <row r="3180" spans="3:13">
      <c r="C3180" s="660"/>
      <c r="D3180" s="717">
        <v>45644</v>
      </c>
      <c r="E3180" s="691">
        <v>2.5999999999999999E-2</v>
      </c>
      <c r="F3180" s="691" t="s">
        <v>493</v>
      </c>
      <c r="G3180" s="691">
        <v>2.3E-2</v>
      </c>
      <c r="H3180" s="718">
        <v>0.29166666666666674</v>
      </c>
      <c r="I3180" s="1246"/>
      <c r="J3180" s="1246"/>
      <c r="K3180" s="1247"/>
      <c r="L3180" s="679">
        <v>0.52083333333333337</v>
      </c>
      <c r="M3180" s="667"/>
    </row>
    <row r="3181" spans="3:13">
      <c r="C3181" s="660"/>
      <c r="D3181" s="717">
        <v>45616</v>
      </c>
      <c r="E3181" s="691">
        <v>2.3E-2</v>
      </c>
      <c r="F3181" s="691" t="s">
        <v>490</v>
      </c>
      <c r="G3181" s="691">
        <v>1.7000000000000001E-2</v>
      </c>
      <c r="H3181" s="718">
        <v>0.29166666666666674</v>
      </c>
      <c r="I3181" s="1246"/>
      <c r="J3181" s="1246"/>
      <c r="K3181" s="1247"/>
      <c r="L3181" s="679">
        <v>0.52083333333333337</v>
      </c>
      <c r="M3181" s="667"/>
    </row>
    <row r="3182" spans="3:13">
      <c r="C3182" s="660"/>
      <c r="D3182" s="717">
        <v>45581</v>
      </c>
      <c r="E3182" s="691">
        <v>1.7000000000000001E-2</v>
      </c>
      <c r="F3182" s="691" t="s">
        <v>789</v>
      </c>
      <c r="G3182" s="691">
        <v>2.1999999999999999E-2</v>
      </c>
      <c r="H3182" s="718">
        <v>0.25</v>
      </c>
      <c r="I3182" s="1246"/>
      <c r="J3182" s="1246"/>
      <c r="K3182" s="1247"/>
      <c r="L3182" s="679">
        <v>0.47916666666666669</v>
      </c>
      <c r="M3182" s="667"/>
    </row>
    <row r="3183" spans="3:13" ht="17" thickBot="1">
      <c r="C3183" s="660"/>
      <c r="D3183" s="717">
        <v>45553</v>
      </c>
      <c r="E3183" s="691">
        <v>2.1999999999999999E-2</v>
      </c>
      <c r="F3183" s="691" t="s">
        <v>490</v>
      </c>
      <c r="G3183" s="691">
        <v>2.1999999999999999E-2</v>
      </c>
      <c r="H3183" s="718">
        <v>0.25</v>
      </c>
      <c r="I3183" s="1249"/>
      <c r="J3183" s="1249"/>
      <c r="K3183" s="1250"/>
      <c r="L3183" s="679">
        <v>0.47916666666666669</v>
      </c>
      <c r="M3183" s="682"/>
    </row>
    <row r="3184" spans="3:13" ht="17" thickBot="1">
      <c r="C3184" s="660">
        <v>1</v>
      </c>
      <c r="D3184" s="671" t="s">
        <v>30</v>
      </c>
      <c r="E3184" s="1252" t="s">
        <v>1673</v>
      </c>
      <c r="F3184" s="1253"/>
      <c r="G3184" s="1254"/>
      <c r="H3184" s="712" t="s">
        <v>790</v>
      </c>
      <c r="I3184" s="1256" t="s">
        <v>633</v>
      </c>
      <c r="J3184" s="1256"/>
      <c r="K3184" s="1257"/>
      <c r="L3184" s="674" t="s">
        <v>430</v>
      </c>
      <c r="M3184" s="713" t="s">
        <v>431</v>
      </c>
    </row>
    <row r="3185" spans="3:13">
      <c r="C3185" s="660"/>
      <c r="D3185" s="663" t="s">
        <v>432</v>
      </c>
      <c r="E3185" s="1266"/>
      <c r="F3185" s="1267"/>
      <c r="G3185" s="1268"/>
      <c r="H3185" s="714" t="s">
        <v>798</v>
      </c>
      <c r="I3185" s="1243" t="s">
        <v>1674</v>
      </c>
      <c r="J3185" s="1243"/>
      <c r="K3185" s="1244"/>
      <c r="L3185" s="664"/>
      <c r="M3185" s="665" t="s">
        <v>1673</v>
      </c>
    </row>
    <row r="3186" spans="3:13">
      <c r="C3186" s="660"/>
      <c r="D3186" s="666" t="s">
        <v>433</v>
      </c>
      <c r="E3186" s="1269"/>
      <c r="F3186" s="1270"/>
      <c r="G3186" s="1271"/>
      <c r="H3186" s="715" t="s">
        <v>799</v>
      </c>
      <c r="I3186" s="1246"/>
      <c r="J3186" s="1246"/>
      <c r="K3186" s="1247"/>
      <c r="L3186" s="664"/>
      <c r="M3186" s="667"/>
    </row>
    <row r="3187" spans="3:13">
      <c r="C3187" s="660"/>
      <c r="D3187" s="666" t="s">
        <v>434</v>
      </c>
      <c r="E3187" s="1278">
        <v>0</v>
      </c>
      <c r="F3187" s="1270"/>
      <c r="G3187" s="1271"/>
      <c r="H3187" s="715"/>
      <c r="I3187" s="1246"/>
      <c r="J3187" s="1246"/>
      <c r="K3187" s="1247"/>
      <c r="L3187" s="664"/>
      <c r="M3187" s="667"/>
    </row>
    <row r="3188" spans="3:13" ht="17" thickBot="1">
      <c r="C3188" s="660"/>
      <c r="D3188" s="668" t="s">
        <v>435</v>
      </c>
      <c r="E3188" s="1275">
        <v>0.41666666666666674</v>
      </c>
      <c r="F3188" s="1276"/>
      <c r="G3188" s="1277"/>
      <c r="H3188" s="716"/>
      <c r="I3188" s="1246"/>
      <c r="J3188" s="1246"/>
      <c r="K3188" s="1247"/>
      <c r="L3188" s="669">
        <v>0.64583333333333337</v>
      </c>
      <c r="M3188" s="670">
        <v>0.54166666666666674</v>
      </c>
    </row>
    <row r="3189" spans="3:13" ht="17" thickBot="1">
      <c r="C3189" s="660"/>
      <c r="D3189" s="671" t="s">
        <v>436</v>
      </c>
      <c r="E3189" s="672" t="s">
        <v>29</v>
      </c>
      <c r="F3189" s="672" t="s">
        <v>28</v>
      </c>
      <c r="G3189" s="673" t="s">
        <v>27</v>
      </c>
      <c r="H3189" s="712" t="s">
        <v>793</v>
      </c>
      <c r="I3189" s="1246"/>
      <c r="J3189" s="1246"/>
      <c r="K3189" s="1247"/>
      <c r="L3189" s="675" t="s">
        <v>1246</v>
      </c>
      <c r="M3189" s="676"/>
    </row>
    <row r="3190" spans="3:13">
      <c r="C3190" s="660"/>
      <c r="D3190" s="717">
        <v>45357</v>
      </c>
      <c r="E3190" s="691"/>
      <c r="F3190" s="691"/>
      <c r="G3190" s="691"/>
      <c r="H3190" s="718">
        <v>0.52083333333333337</v>
      </c>
      <c r="I3190" s="1246"/>
      <c r="J3190" s="1246"/>
      <c r="K3190" s="1247"/>
      <c r="L3190" s="679">
        <v>0.75</v>
      </c>
      <c r="M3190" s="680"/>
    </row>
    <row r="3191" spans="3:13">
      <c r="C3191" s="660"/>
      <c r="D3191" s="717">
        <v>45000</v>
      </c>
      <c r="E3191" s="691"/>
      <c r="F3191" s="691"/>
      <c r="G3191" s="691"/>
      <c r="H3191" s="718">
        <v>0.52083333333333337</v>
      </c>
      <c r="I3191" s="1246"/>
      <c r="J3191" s="1246"/>
      <c r="K3191" s="1247"/>
      <c r="L3191" s="679">
        <v>0.75</v>
      </c>
      <c r="M3191" s="681"/>
    </row>
    <row r="3192" spans="3:13">
      <c r="C3192" s="660"/>
      <c r="D3192" s="717">
        <v>44642</v>
      </c>
      <c r="E3192" s="691"/>
      <c r="F3192" s="691"/>
      <c r="G3192" s="691"/>
      <c r="H3192" s="718">
        <v>0.52083333333333337</v>
      </c>
      <c r="I3192" s="1246"/>
      <c r="J3192" s="1246"/>
      <c r="K3192" s="1247"/>
      <c r="L3192" s="679">
        <v>0.75</v>
      </c>
      <c r="M3192" s="667"/>
    </row>
    <row r="3193" spans="3:13">
      <c r="C3193" s="660"/>
      <c r="D3193" s="717">
        <v>44258</v>
      </c>
      <c r="E3193" s="691"/>
      <c r="F3193" s="691"/>
      <c r="G3193" s="691"/>
      <c r="H3193" s="718">
        <v>0.52083333333333337</v>
      </c>
      <c r="I3193" s="1246"/>
      <c r="J3193" s="1246"/>
      <c r="K3193" s="1247"/>
      <c r="L3193" s="679">
        <v>0.75</v>
      </c>
      <c r="M3193" s="667"/>
    </row>
    <row r="3194" spans="3:13">
      <c r="C3194" s="660"/>
      <c r="D3194" s="717">
        <v>43901</v>
      </c>
      <c r="E3194" s="691"/>
      <c r="F3194" s="691"/>
      <c r="G3194" s="691"/>
      <c r="H3194" s="718">
        <v>0.52083333333333337</v>
      </c>
      <c r="I3194" s="1246"/>
      <c r="J3194" s="1246"/>
      <c r="K3194" s="1247"/>
      <c r="L3194" s="679">
        <v>0.75</v>
      </c>
      <c r="M3194" s="667"/>
    </row>
    <row r="3195" spans="3:13" ht="17" thickBot="1">
      <c r="C3195" s="660"/>
      <c r="D3195" s="717">
        <v>43537</v>
      </c>
      <c r="E3195" s="691"/>
      <c r="F3195" s="691"/>
      <c r="G3195" s="691"/>
      <c r="H3195" s="718">
        <v>0.52083333333333337</v>
      </c>
      <c r="I3195" s="1249"/>
      <c r="J3195" s="1249"/>
      <c r="K3195" s="1250"/>
      <c r="L3195" s="679">
        <v>0.75</v>
      </c>
      <c r="M3195" s="682"/>
    </row>
    <row r="3196" spans="3:13" ht="17" thickBot="1">
      <c r="C3196" s="660">
        <v>1</v>
      </c>
      <c r="D3196" s="671" t="s">
        <v>30</v>
      </c>
      <c r="E3196" s="1252" t="s">
        <v>1675</v>
      </c>
      <c r="F3196" s="1253"/>
      <c r="G3196" s="1254"/>
      <c r="H3196" s="712" t="s">
        <v>790</v>
      </c>
      <c r="I3196" s="1256" t="s">
        <v>633</v>
      </c>
      <c r="J3196" s="1256"/>
      <c r="K3196" s="1257"/>
      <c r="L3196" s="674" t="s">
        <v>430</v>
      </c>
      <c r="M3196" s="713" t="s">
        <v>431</v>
      </c>
    </row>
    <row r="3197" spans="3:13">
      <c r="C3197" s="660"/>
      <c r="D3197" s="663" t="s">
        <v>432</v>
      </c>
      <c r="E3197" s="1266"/>
      <c r="F3197" s="1267"/>
      <c r="G3197" s="1268"/>
      <c r="H3197" s="930" t="s">
        <v>906</v>
      </c>
      <c r="I3197" s="1243" t="s">
        <v>1676</v>
      </c>
      <c r="J3197" s="1243"/>
      <c r="K3197" s="1244"/>
      <c r="L3197" s="664"/>
      <c r="M3197" s="665" t="s">
        <v>1675</v>
      </c>
    </row>
    <row r="3198" spans="3:13">
      <c r="C3198" s="660"/>
      <c r="D3198" s="666" t="s">
        <v>433</v>
      </c>
      <c r="E3198" s="1269"/>
      <c r="F3198" s="1270"/>
      <c r="G3198" s="1271"/>
      <c r="H3198" s="930" t="s">
        <v>907</v>
      </c>
      <c r="I3198" s="1246"/>
      <c r="J3198" s="1246"/>
      <c r="K3198" s="1247"/>
      <c r="L3198" s="664"/>
      <c r="M3198" s="667"/>
    </row>
    <row r="3199" spans="3:13">
      <c r="C3199" s="660"/>
      <c r="D3199" s="666" t="s">
        <v>434</v>
      </c>
      <c r="E3199" s="1287">
        <v>3.2000000000000001E-2</v>
      </c>
      <c r="F3199" s="1288"/>
      <c r="G3199" s="1289"/>
      <c r="H3199" s="715"/>
      <c r="I3199" s="1246"/>
      <c r="J3199" s="1246"/>
      <c r="K3199" s="1247"/>
      <c r="L3199" s="664"/>
      <c r="M3199" s="667"/>
    </row>
    <row r="3200" spans="3:13" ht="17" thickBot="1">
      <c r="C3200" s="660"/>
      <c r="D3200" s="668" t="s">
        <v>435</v>
      </c>
      <c r="E3200" s="1275">
        <v>0.52083333333333337</v>
      </c>
      <c r="F3200" s="1276"/>
      <c r="G3200" s="1277"/>
      <c r="H3200" s="716"/>
      <c r="I3200" s="1246"/>
      <c r="J3200" s="1246"/>
      <c r="K3200" s="1247"/>
      <c r="L3200" s="669">
        <v>0.75</v>
      </c>
      <c r="M3200" s="670">
        <v>0.64583333333333337</v>
      </c>
    </row>
    <row r="3201" spans="3:13" ht="17" thickBot="1">
      <c r="C3201" s="660"/>
      <c r="D3201" s="671" t="s">
        <v>436</v>
      </c>
      <c r="E3201" s="672" t="s">
        <v>29</v>
      </c>
      <c r="F3201" s="672" t="s">
        <v>28</v>
      </c>
      <c r="G3201" s="673" t="s">
        <v>27</v>
      </c>
      <c r="H3201" s="712" t="s">
        <v>793</v>
      </c>
      <c r="I3201" s="1246"/>
      <c r="J3201" s="1246"/>
      <c r="K3201" s="1247"/>
      <c r="L3201" s="675" t="s">
        <v>1246</v>
      </c>
      <c r="M3201" s="676"/>
    </row>
    <row r="3202" spans="3:13">
      <c r="C3202" s="660"/>
      <c r="D3202" s="717">
        <v>45715</v>
      </c>
      <c r="E3202" s="691">
        <v>3.1E-2</v>
      </c>
      <c r="F3202" s="691" t="s">
        <v>788</v>
      </c>
      <c r="G3202" s="691">
        <v>-1.7999999999999999E-2</v>
      </c>
      <c r="H3202" s="718">
        <v>0.5625</v>
      </c>
      <c r="I3202" s="1246"/>
      <c r="J3202" s="1246"/>
      <c r="K3202" s="1247"/>
      <c r="L3202" s="679">
        <v>0.79166666666666663</v>
      </c>
      <c r="M3202" s="680"/>
    </row>
    <row r="3203" spans="3:13">
      <c r="C3203" s="660"/>
      <c r="D3203" s="717">
        <v>45685</v>
      </c>
      <c r="E3203" s="691">
        <v>-2.1999999999999999E-2</v>
      </c>
      <c r="F3203" s="691" t="s">
        <v>467</v>
      </c>
      <c r="G3203" s="691">
        <v>-0.02</v>
      </c>
      <c r="H3203" s="718">
        <v>0.5625</v>
      </c>
      <c r="I3203" s="1246"/>
      <c r="J3203" s="1246"/>
      <c r="K3203" s="1247"/>
      <c r="L3203" s="679">
        <v>0.79166666666666663</v>
      </c>
      <c r="M3203" s="681"/>
    </row>
    <row r="3204" spans="3:13">
      <c r="C3204" s="660"/>
      <c r="D3204" s="717">
        <v>45649</v>
      </c>
      <c r="E3204" s="691">
        <v>-1.0999999999999999E-2</v>
      </c>
      <c r="F3204" s="691" t="s">
        <v>454</v>
      </c>
      <c r="G3204" s="691">
        <v>8.0000000000000002E-3</v>
      </c>
      <c r="H3204" s="718">
        <v>0.5625</v>
      </c>
      <c r="I3204" s="1246"/>
      <c r="J3204" s="1246"/>
      <c r="K3204" s="1247"/>
      <c r="L3204" s="679">
        <v>0.79166666666666663</v>
      </c>
      <c r="M3204" s="667"/>
    </row>
    <row r="3205" spans="3:13">
      <c r="C3205" s="660"/>
      <c r="D3205" s="717">
        <v>45623</v>
      </c>
      <c r="E3205" s="691">
        <v>2E-3</v>
      </c>
      <c r="F3205" s="691" t="s">
        <v>1315</v>
      </c>
      <c r="G3205" s="691">
        <v>-4.0000000000000001E-3</v>
      </c>
      <c r="H3205" s="718">
        <v>0.5625</v>
      </c>
      <c r="I3205" s="1246"/>
      <c r="J3205" s="1246"/>
      <c r="K3205" s="1247"/>
      <c r="L3205" s="679">
        <v>0.79166666666666663</v>
      </c>
      <c r="M3205" s="667"/>
    </row>
    <row r="3206" spans="3:13">
      <c r="C3206" s="660"/>
      <c r="D3206" s="717">
        <v>45590</v>
      </c>
      <c r="E3206" s="691">
        <v>-8.0000000000000002E-3</v>
      </c>
      <c r="F3206" s="691" t="s">
        <v>1110</v>
      </c>
      <c r="G3206" s="691">
        <v>-8.0000000000000002E-3</v>
      </c>
      <c r="H3206" s="718">
        <v>0.52083333333333337</v>
      </c>
      <c r="I3206" s="1246"/>
      <c r="J3206" s="1246"/>
      <c r="K3206" s="1247"/>
      <c r="L3206" s="679">
        <v>0.75</v>
      </c>
      <c r="M3206" s="667"/>
    </row>
    <row r="3207" spans="3:13" ht="17" thickBot="1">
      <c r="C3207" s="660"/>
      <c r="D3207" s="717">
        <v>45561</v>
      </c>
      <c r="E3207" s="691">
        <v>0</v>
      </c>
      <c r="F3207" s="691" t="s">
        <v>778</v>
      </c>
      <c r="G3207" s="691">
        <v>9.9000000000000005E-2</v>
      </c>
      <c r="H3207" s="718">
        <v>0.52083333333333337</v>
      </c>
      <c r="I3207" s="1249"/>
      <c r="J3207" s="1249"/>
      <c r="K3207" s="1250"/>
      <c r="L3207" s="679">
        <v>0.75</v>
      </c>
      <c r="M3207" s="682"/>
    </row>
    <row r="3208" spans="3:13" ht="17" thickBot="1">
      <c r="C3208" s="660">
        <v>1</v>
      </c>
      <c r="D3208" s="671" t="s">
        <v>30</v>
      </c>
      <c r="E3208" s="1252" t="s">
        <v>1503</v>
      </c>
      <c r="F3208" s="1253"/>
      <c r="G3208" s="1254"/>
      <c r="H3208" s="712" t="s">
        <v>790</v>
      </c>
      <c r="I3208" s="1256" t="s">
        <v>633</v>
      </c>
      <c r="J3208" s="1256"/>
      <c r="K3208" s="1257"/>
      <c r="L3208" s="674" t="s">
        <v>430</v>
      </c>
      <c r="M3208" s="713" t="s">
        <v>431</v>
      </c>
    </row>
    <row r="3209" spans="3:13">
      <c r="C3209" s="660"/>
      <c r="D3209" s="663" t="s">
        <v>432</v>
      </c>
      <c r="E3209" s="1266"/>
      <c r="F3209" s="1267"/>
      <c r="G3209" s="1268"/>
      <c r="H3209" s="930" t="s">
        <v>796</v>
      </c>
      <c r="I3209" s="1243" t="s">
        <v>1678</v>
      </c>
      <c r="J3209" s="1243"/>
      <c r="K3209" s="1244"/>
      <c r="L3209" s="664"/>
      <c r="M3209" s="665" t="s">
        <v>1503</v>
      </c>
    </row>
    <row r="3210" spans="3:13">
      <c r="C3210" s="660"/>
      <c r="D3210" s="666" t="s">
        <v>433</v>
      </c>
      <c r="E3210" s="1269"/>
      <c r="F3210" s="1270"/>
      <c r="G3210" s="1271"/>
      <c r="H3210" s="930" t="s">
        <v>796</v>
      </c>
      <c r="I3210" s="1246"/>
      <c r="J3210" s="1246"/>
      <c r="K3210" s="1247"/>
      <c r="L3210" s="664"/>
      <c r="M3210" s="667"/>
    </row>
    <row r="3211" spans="3:13">
      <c r="C3211" s="660"/>
      <c r="D3211" s="666" t="s">
        <v>434</v>
      </c>
      <c r="E3211" s="1287" t="s">
        <v>1677</v>
      </c>
      <c r="F3211" s="1288"/>
      <c r="G3211" s="1289"/>
      <c r="H3211" s="715"/>
      <c r="I3211" s="1246"/>
      <c r="J3211" s="1246"/>
      <c r="K3211" s="1247"/>
      <c r="L3211" s="664"/>
      <c r="M3211" s="667"/>
    </row>
    <row r="3212" spans="3:13" ht="17" thickBot="1">
      <c r="C3212" s="660"/>
      <c r="D3212" s="668" t="s">
        <v>435</v>
      </c>
      <c r="E3212" s="1275">
        <v>0.5625</v>
      </c>
      <c r="F3212" s="1276"/>
      <c r="G3212" s="1277"/>
      <c r="H3212" s="716"/>
      <c r="I3212" s="1246"/>
      <c r="J3212" s="1246"/>
      <c r="K3212" s="1247"/>
      <c r="L3212" s="669">
        <v>0.79166666666666663</v>
      </c>
      <c r="M3212" s="670">
        <v>0.6875</v>
      </c>
    </row>
    <row r="3213" spans="3:13" ht="17" thickBot="1">
      <c r="C3213" s="660"/>
      <c r="D3213" s="671" t="s">
        <v>436</v>
      </c>
      <c r="E3213" s="672" t="s">
        <v>29</v>
      </c>
      <c r="F3213" s="672" t="s">
        <v>28</v>
      </c>
      <c r="G3213" s="673" t="s">
        <v>27</v>
      </c>
      <c r="H3213" s="712" t="s">
        <v>793</v>
      </c>
      <c r="I3213" s="1246"/>
      <c r="J3213" s="1246"/>
      <c r="K3213" s="1247"/>
      <c r="L3213" s="675" t="s">
        <v>1246</v>
      </c>
      <c r="M3213" s="676"/>
    </row>
    <row r="3214" spans="3:13">
      <c r="C3214" s="660"/>
      <c r="D3214" s="717">
        <v>45735</v>
      </c>
      <c r="E3214" s="691" t="s">
        <v>1696</v>
      </c>
      <c r="F3214" s="691" t="s">
        <v>993</v>
      </c>
      <c r="G3214" s="691" t="s">
        <v>1697</v>
      </c>
      <c r="H3214" s="933">
        <v>0.64583333333333326</v>
      </c>
      <c r="I3214" s="1246"/>
      <c r="J3214" s="1246"/>
      <c r="K3214" s="1247"/>
      <c r="L3214" s="679">
        <v>0.79166666666666663</v>
      </c>
      <c r="M3214" s="680"/>
    </row>
    <row r="3215" spans="3:13">
      <c r="C3215" s="660"/>
      <c r="D3215" s="717">
        <v>45728</v>
      </c>
      <c r="E3215" s="691" t="s">
        <v>1697</v>
      </c>
      <c r="F3215" s="691" t="s">
        <v>1698</v>
      </c>
      <c r="G3215" s="691" t="s">
        <v>1699</v>
      </c>
      <c r="H3215" s="933">
        <v>0.64583333333333326</v>
      </c>
      <c r="I3215" s="1246"/>
      <c r="J3215" s="1246"/>
      <c r="K3215" s="1247"/>
      <c r="L3215" s="679">
        <v>0.79166666666666663</v>
      </c>
      <c r="M3215" s="681"/>
    </row>
    <row r="3216" spans="3:13">
      <c r="C3216" s="660"/>
      <c r="D3216" s="717">
        <v>45721</v>
      </c>
      <c r="E3216" s="691" t="s">
        <v>1699</v>
      </c>
      <c r="F3216" s="691" t="s">
        <v>1700</v>
      </c>
      <c r="G3216" s="691" t="s">
        <v>1701</v>
      </c>
      <c r="H3216" s="933">
        <v>0.72916666666666663</v>
      </c>
      <c r="I3216" s="1246"/>
      <c r="J3216" s="1246"/>
      <c r="K3216" s="1247"/>
      <c r="L3216" s="679">
        <v>0.875</v>
      </c>
      <c r="M3216" s="667"/>
    </row>
    <row r="3217" spans="3:13">
      <c r="C3217" s="660"/>
      <c r="D3217" s="717">
        <v>45714</v>
      </c>
      <c r="E3217" s="691" t="s">
        <v>1701</v>
      </c>
      <c r="F3217" s="691" t="s">
        <v>1702</v>
      </c>
      <c r="G3217" s="691" t="s">
        <v>1647</v>
      </c>
      <c r="H3217" s="933">
        <v>0.70833333333333326</v>
      </c>
      <c r="I3217" s="1246"/>
      <c r="J3217" s="1246"/>
      <c r="K3217" s="1247"/>
      <c r="L3217" s="679">
        <v>0.85416666666666663</v>
      </c>
      <c r="M3217" s="667"/>
    </row>
    <row r="3218" spans="3:13">
      <c r="C3218" s="660"/>
      <c r="D3218" s="717">
        <v>45708</v>
      </c>
      <c r="E3218" s="691" t="s">
        <v>1647</v>
      </c>
      <c r="F3218" s="691" t="s">
        <v>1648</v>
      </c>
      <c r="G3218" s="691" t="s">
        <v>1649</v>
      </c>
      <c r="H3218" s="933">
        <v>0.79166666666666663</v>
      </c>
      <c r="I3218" s="1246"/>
      <c r="J3218" s="1246"/>
      <c r="K3218" s="1247"/>
      <c r="L3218" s="679">
        <v>0.9375</v>
      </c>
      <c r="M3218" s="667"/>
    </row>
    <row r="3219" spans="3:13" ht="17" thickBot="1">
      <c r="C3219" s="660"/>
      <c r="D3219" s="717">
        <v>45700</v>
      </c>
      <c r="E3219" s="691" t="s">
        <v>1649</v>
      </c>
      <c r="F3219" s="691" t="s">
        <v>1600</v>
      </c>
      <c r="G3219" s="691" t="s">
        <v>1599</v>
      </c>
      <c r="H3219" s="933">
        <v>0.72916666666666663</v>
      </c>
      <c r="I3219" s="1249"/>
      <c r="J3219" s="1249"/>
      <c r="K3219" s="1250"/>
      <c r="L3219" s="679">
        <v>0.875</v>
      </c>
      <c r="M3219" s="682"/>
    </row>
    <row r="3220" spans="3:13" ht="17" thickBot="1">
      <c r="C3220" s="660">
        <v>1</v>
      </c>
      <c r="D3220" s="671" t="s">
        <v>30</v>
      </c>
      <c r="E3220" s="1252" t="s">
        <v>1679</v>
      </c>
      <c r="F3220" s="1253"/>
      <c r="G3220" s="1254"/>
      <c r="H3220" s="712" t="s">
        <v>790</v>
      </c>
      <c r="I3220" s="1256" t="s">
        <v>633</v>
      </c>
      <c r="J3220" s="1256"/>
      <c r="K3220" s="1257"/>
      <c r="L3220" s="674" t="s">
        <v>430</v>
      </c>
      <c r="M3220" s="713" t="s">
        <v>431</v>
      </c>
    </row>
    <row r="3221" spans="3:13">
      <c r="C3221" s="660"/>
      <c r="D3221" s="663" t="s">
        <v>432</v>
      </c>
      <c r="E3221" s="1266"/>
      <c r="F3221" s="1267"/>
      <c r="G3221" s="1268"/>
      <c r="H3221" s="930" t="s">
        <v>906</v>
      </c>
      <c r="I3221" s="1243" t="s">
        <v>1680</v>
      </c>
      <c r="J3221" s="1243"/>
      <c r="K3221" s="1244"/>
      <c r="L3221" s="664"/>
      <c r="M3221" s="665" t="s">
        <v>1679</v>
      </c>
    </row>
    <row r="3222" spans="3:13">
      <c r="C3222" s="660"/>
      <c r="D3222" s="666" t="s">
        <v>433</v>
      </c>
      <c r="E3222" s="1269"/>
      <c r="F3222" s="1270"/>
      <c r="G3222" s="1271"/>
      <c r="H3222" s="930" t="s">
        <v>907</v>
      </c>
      <c r="I3222" s="1246"/>
      <c r="J3222" s="1246"/>
      <c r="K3222" s="1247"/>
      <c r="L3222" s="664"/>
      <c r="M3222" s="667"/>
    </row>
    <row r="3223" spans="3:13">
      <c r="C3223" s="660"/>
      <c r="D3223" s="666" t="s">
        <v>434</v>
      </c>
      <c r="E3223" s="1287">
        <v>2.3E-2</v>
      </c>
      <c r="F3223" s="1288"/>
      <c r="G3223" s="1289"/>
      <c r="H3223" s="715"/>
      <c r="I3223" s="1246"/>
      <c r="J3223" s="1246"/>
      <c r="K3223" s="1247"/>
      <c r="L3223" s="664"/>
      <c r="M3223" s="667"/>
    </row>
    <row r="3224" spans="3:13" ht="17" thickBot="1">
      <c r="C3224" s="660"/>
      <c r="D3224" s="668" t="s">
        <v>435</v>
      </c>
      <c r="E3224" s="1275">
        <v>0.52083333333333337</v>
      </c>
      <c r="F3224" s="1276"/>
      <c r="G3224" s="1277"/>
      <c r="H3224" s="716"/>
      <c r="I3224" s="1246"/>
      <c r="J3224" s="1246"/>
      <c r="K3224" s="1247"/>
      <c r="L3224" s="669">
        <v>0.75</v>
      </c>
      <c r="M3224" s="670">
        <v>0.64583333333333337</v>
      </c>
    </row>
    <row r="3225" spans="3:13" ht="17" thickBot="1">
      <c r="C3225" s="660"/>
      <c r="D3225" s="671" t="s">
        <v>436</v>
      </c>
      <c r="E3225" s="672" t="s">
        <v>29</v>
      </c>
      <c r="F3225" s="672" t="s">
        <v>28</v>
      </c>
      <c r="G3225" s="673" t="s">
        <v>27</v>
      </c>
      <c r="H3225" s="712" t="s">
        <v>793</v>
      </c>
      <c r="I3225" s="1246"/>
      <c r="J3225" s="1246"/>
      <c r="K3225" s="1247"/>
      <c r="L3225" s="675" t="s">
        <v>1246</v>
      </c>
      <c r="M3225" s="676"/>
    </row>
    <row r="3226" spans="3:13">
      <c r="C3226" s="660"/>
      <c r="D3226" s="717">
        <v>45715</v>
      </c>
      <c r="E3226" s="691">
        <v>2.3E-2</v>
      </c>
      <c r="F3226" s="691" t="s">
        <v>971</v>
      </c>
      <c r="G3226" s="691">
        <v>3.1E-2</v>
      </c>
      <c r="H3226" s="718">
        <v>0.5625</v>
      </c>
      <c r="I3226" s="1246"/>
      <c r="J3226" s="1246"/>
      <c r="K3226" s="1247"/>
      <c r="L3226" s="934">
        <v>0.79166666666666663</v>
      </c>
      <c r="M3226" s="680"/>
    </row>
    <row r="3227" spans="3:13">
      <c r="C3227" s="660"/>
      <c r="D3227" s="717">
        <v>45687</v>
      </c>
      <c r="E3227" s="691">
        <v>2.3E-2</v>
      </c>
      <c r="F3227" s="691" t="s">
        <v>665</v>
      </c>
      <c r="G3227" s="691">
        <v>3.1E-2</v>
      </c>
      <c r="H3227" s="718">
        <v>0.5625</v>
      </c>
      <c r="I3227" s="1246"/>
      <c r="J3227" s="1246"/>
      <c r="K3227" s="1247"/>
      <c r="L3227" s="934">
        <v>0.79166666666666663</v>
      </c>
      <c r="M3227" s="681"/>
    </row>
    <row r="3228" spans="3:13">
      <c r="C3228" s="660"/>
      <c r="D3228" s="717">
        <v>45645</v>
      </c>
      <c r="E3228" s="691">
        <v>3.1E-2</v>
      </c>
      <c r="F3228" s="691" t="s">
        <v>666</v>
      </c>
      <c r="G3228" s="691">
        <v>0.03</v>
      </c>
      <c r="H3228" s="718">
        <v>0.5625</v>
      </c>
      <c r="I3228" s="1246"/>
      <c r="J3228" s="1246"/>
      <c r="K3228" s="1247"/>
      <c r="L3228" s="934">
        <v>0.79166666666666663</v>
      </c>
      <c r="M3228" s="667"/>
    </row>
    <row r="3229" spans="3:13">
      <c r="C3229" s="660"/>
      <c r="D3229" s="717">
        <v>45623</v>
      </c>
      <c r="E3229" s="691">
        <v>2.8000000000000001E-2</v>
      </c>
      <c r="F3229" s="691" t="s">
        <v>666</v>
      </c>
      <c r="G3229" s="691">
        <v>0.03</v>
      </c>
      <c r="H3229" s="718">
        <v>0.5625</v>
      </c>
      <c r="I3229" s="1246"/>
      <c r="J3229" s="1246"/>
      <c r="K3229" s="1247"/>
      <c r="L3229" s="934">
        <v>0.79166666666666663</v>
      </c>
      <c r="M3229" s="667"/>
    </row>
    <row r="3230" spans="3:13">
      <c r="C3230" s="660"/>
      <c r="D3230" s="717">
        <v>45595</v>
      </c>
      <c r="E3230" s="691">
        <v>2.8000000000000001E-2</v>
      </c>
      <c r="F3230" s="691" t="s">
        <v>669</v>
      </c>
      <c r="G3230" s="691">
        <v>0.03</v>
      </c>
      <c r="H3230" s="718">
        <v>0.52083333333333337</v>
      </c>
      <c r="I3230" s="1246"/>
      <c r="J3230" s="1246"/>
      <c r="K3230" s="1247"/>
      <c r="L3230" s="679">
        <v>0.75</v>
      </c>
      <c r="M3230" s="667"/>
    </row>
    <row r="3231" spans="3:13" ht="17" thickBot="1">
      <c r="C3231" s="660"/>
      <c r="D3231" s="717">
        <v>45561</v>
      </c>
      <c r="E3231" s="691">
        <v>0.03</v>
      </c>
      <c r="F3231" s="691" t="s">
        <v>669</v>
      </c>
      <c r="G3231" s="691">
        <v>1.6E-2</v>
      </c>
      <c r="H3231" s="718">
        <v>0.52083333333333337</v>
      </c>
      <c r="I3231" s="1249"/>
      <c r="J3231" s="1249"/>
      <c r="K3231" s="1250"/>
      <c r="L3231" s="679">
        <v>0.75</v>
      </c>
      <c r="M3231" s="682"/>
    </row>
    <row r="3232" spans="3:13" ht="17" thickBot="1">
      <c r="C3232" s="660">
        <v>1</v>
      </c>
      <c r="D3232" s="671" t="s">
        <v>30</v>
      </c>
      <c r="E3232" s="1252" t="s">
        <v>1421</v>
      </c>
      <c r="F3232" s="1253"/>
      <c r="G3232" s="1254"/>
      <c r="H3232" s="712" t="s">
        <v>790</v>
      </c>
      <c r="I3232" s="1256" t="s">
        <v>633</v>
      </c>
      <c r="J3232" s="1256"/>
      <c r="K3232" s="1257"/>
      <c r="L3232" s="674" t="s">
        <v>430</v>
      </c>
      <c r="M3232" s="713" t="s">
        <v>431</v>
      </c>
    </row>
    <row r="3233" spans="3:13">
      <c r="C3233" s="660"/>
      <c r="D3233" s="663" t="s">
        <v>432</v>
      </c>
      <c r="E3233" s="1266"/>
      <c r="F3233" s="1267"/>
      <c r="G3233" s="1268"/>
      <c r="H3233" s="930" t="s">
        <v>906</v>
      </c>
      <c r="I3233" s="1243" t="s">
        <v>1460</v>
      </c>
      <c r="J3233" s="1243"/>
      <c r="K3233" s="1244"/>
      <c r="L3233" s="664"/>
      <c r="M3233" s="665" t="s">
        <v>1421</v>
      </c>
    </row>
    <row r="3234" spans="3:13">
      <c r="C3234" s="660"/>
      <c r="D3234" s="666" t="s">
        <v>433</v>
      </c>
      <c r="E3234" s="1269"/>
      <c r="F3234" s="1270"/>
      <c r="G3234" s="1271"/>
      <c r="H3234" s="930" t="s">
        <v>907</v>
      </c>
      <c r="I3234" s="1246"/>
      <c r="J3234" s="1246"/>
      <c r="K3234" s="1247"/>
      <c r="L3234" s="664"/>
      <c r="M3234" s="667"/>
    </row>
    <row r="3235" spans="3:13">
      <c r="C3235" s="660"/>
      <c r="D3235" s="666" t="s">
        <v>434</v>
      </c>
      <c r="E3235" s="1287"/>
      <c r="F3235" s="1288"/>
      <c r="G3235" s="1289"/>
      <c r="H3235" s="715"/>
      <c r="I3235" s="1246"/>
      <c r="J3235" s="1246"/>
      <c r="K3235" s="1247"/>
      <c r="L3235" s="664"/>
      <c r="M3235" s="667"/>
    </row>
    <row r="3236" spans="3:13" ht="17" thickBot="1">
      <c r="C3236" s="660"/>
      <c r="D3236" s="668" t="s">
        <v>435</v>
      </c>
      <c r="E3236" s="1275">
        <v>0.52083333333333337</v>
      </c>
      <c r="F3236" s="1276"/>
      <c r="G3236" s="1277"/>
      <c r="H3236" s="716"/>
      <c r="I3236" s="1246"/>
      <c r="J3236" s="1246"/>
      <c r="K3236" s="1247"/>
      <c r="L3236" s="669">
        <v>0.75</v>
      </c>
      <c r="M3236" s="670">
        <v>0.64583333333333337</v>
      </c>
    </row>
    <row r="3237" spans="3:13" ht="17" thickBot="1">
      <c r="C3237" s="660"/>
      <c r="D3237" s="671" t="s">
        <v>436</v>
      </c>
      <c r="E3237" s="672" t="s">
        <v>29</v>
      </c>
      <c r="F3237" s="672" t="s">
        <v>28</v>
      </c>
      <c r="G3237" s="673" t="s">
        <v>27</v>
      </c>
      <c r="H3237" s="712" t="s">
        <v>793</v>
      </c>
      <c r="I3237" s="1246"/>
      <c r="J3237" s="1246"/>
      <c r="K3237" s="1247"/>
      <c r="L3237" s="675" t="s">
        <v>1246</v>
      </c>
      <c r="M3237" s="676"/>
    </row>
    <row r="3238" spans="3:13">
      <c r="C3238" s="660"/>
      <c r="D3238" s="717">
        <v>45736</v>
      </c>
      <c r="E3238" s="691" t="s">
        <v>1090</v>
      </c>
      <c r="F3238" s="691" t="s">
        <v>986</v>
      </c>
      <c r="G3238" s="691" t="s">
        <v>1112</v>
      </c>
      <c r="H3238" s="718">
        <v>0.52083333333333337</v>
      </c>
      <c r="I3238" s="1246"/>
      <c r="J3238" s="1246"/>
      <c r="K3238" s="1247"/>
      <c r="L3238" s="679">
        <v>0.75</v>
      </c>
      <c r="M3238" s="680"/>
    </row>
    <row r="3239" spans="3:13">
      <c r="C3239" s="660"/>
      <c r="D3239" s="717">
        <v>45729</v>
      </c>
      <c r="E3239" s="691" t="s">
        <v>1112</v>
      </c>
      <c r="F3239" s="691" t="s">
        <v>1703</v>
      </c>
      <c r="G3239" s="691" t="s">
        <v>986</v>
      </c>
      <c r="H3239" s="718">
        <v>0.52083333333333337</v>
      </c>
      <c r="I3239" s="1246"/>
      <c r="J3239" s="1246"/>
      <c r="K3239" s="1247"/>
      <c r="L3239" s="679">
        <v>0.75</v>
      </c>
      <c r="M3239" s="681"/>
    </row>
    <row r="3240" spans="3:13">
      <c r="C3240" s="660"/>
      <c r="D3240" s="717">
        <v>45722</v>
      </c>
      <c r="E3240" s="691" t="s">
        <v>972</v>
      </c>
      <c r="F3240" s="691" t="s">
        <v>1704</v>
      </c>
      <c r="G3240" s="691" t="s">
        <v>980</v>
      </c>
      <c r="H3240" s="718">
        <v>0.5625</v>
      </c>
      <c r="I3240" s="1246"/>
      <c r="J3240" s="1246"/>
      <c r="K3240" s="1247"/>
      <c r="L3240" s="679">
        <v>0.79166666666666663</v>
      </c>
      <c r="M3240" s="667"/>
    </row>
    <row r="3241" spans="3:13">
      <c r="C3241" s="660"/>
      <c r="D3241" s="717">
        <v>45715</v>
      </c>
      <c r="E3241" s="691" t="s">
        <v>980</v>
      </c>
      <c r="F3241" s="691" t="s">
        <v>986</v>
      </c>
      <c r="G3241" s="691" t="s">
        <v>1112</v>
      </c>
      <c r="H3241" s="718">
        <v>0.5625</v>
      </c>
      <c r="I3241" s="1246"/>
      <c r="J3241" s="1246"/>
      <c r="K3241" s="1247"/>
      <c r="L3241" s="679">
        <v>0.79166666666666663</v>
      </c>
      <c r="M3241" s="667"/>
    </row>
    <row r="3242" spans="3:13">
      <c r="C3242" s="660"/>
      <c r="D3242" s="717">
        <v>45708</v>
      </c>
      <c r="E3242" s="691" t="s">
        <v>987</v>
      </c>
      <c r="F3242" s="691" t="s">
        <v>1232</v>
      </c>
      <c r="G3242" s="691" t="s">
        <v>1439</v>
      </c>
      <c r="H3242" s="718">
        <v>0.5625</v>
      </c>
      <c r="I3242" s="1246"/>
      <c r="J3242" s="1246"/>
      <c r="K3242" s="1247"/>
      <c r="L3242" s="679">
        <v>0.79166666666666663</v>
      </c>
      <c r="M3242" s="667"/>
    </row>
    <row r="3243" spans="3:13" ht="17" thickBot="1">
      <c r="C3243" s="660"/>
      <c r="D3243" s="717">
        <v>45701</v>
      </c>
      <c r="E3243" s="691" t="s">
        <v>1111</v>
      </c>
      <c r="F3243" s="691" t="s">
        <v>1031</v>
      </c>
      <c r="G3243" s="691" t="s">
        <v>1112</v>
      </c>
      <c r="H3243" s="718">
        <v>0.5625</v>
      </c>
      <c r="I3243" s="1249"/>
      <c r="J3243" s="1249"/>
      <c r="K3243" s="1250"/>
      <c r="L3243" s="679">
        <v>0.79166666666666663</v>
      </c>
      <c r="M3243" s="682"/>
    </row>
    <row r="3244" spans="3:13" ht="17" thickBot="1">
      <c r="C3244" s="660">
        <v>1</v>
      </c>
      <c r="D3244" s="671" t="s">
        <v>30</v>
      </c>
      <c r="E3244" s="1252" t="s">
        <v>1681</v>
      </c>
      <c r="F3244" s="1253"/>
      <c r="G3244" s="1254"/>
      <c r="H3244" s="712" t="s">
        <v>790</v>
      </c>
      <c r="I3244" s="1256" t="s">
        <v>633</v>
      </c>
      <c r="J3244" s="1256"/>
      <c r="K3244" s="1257"/>
      <c r="L3244" s="674" t="s">
        <v>430</v>
      </c>
      <c r="M3244" s="713" t="s">
        <v>431</v>
      </c>
    </row>
    <row r="3245" spans="3:13">
      <c r="C3245" s="660"/>
      <c r="D3245" s="663" t="s">
        <v>432</v>
      </c>
      <c r="E3245" s="1266"/>
      <c r="F3245" s="1267"/>
      <c r="G3245" s="1268"/>
      <c r="H3245" s="714" t="s">
        <v>798</v>
      </c>
      <c r="I3245" s="1243" t="s">
        <v>1682</v>
      </c>
      <c r="J3245" s="1243"/>
      <c r="K3245" s="1244"/>
      <c r="L3245" s="664"/>
      <c r="M3245" s="665" t="s">
        <v>1681</v>
      </c>
    </row>
    <row r="3246" spans="3:13">
      <c r="C3246" s="660"/>
      <c r="D3246" s="666" t="s">
        <v>433</v>
      </c>
      <c r="E3246" s="1269"/>
      <c r="F3246" s="1270"/>
      <c r="G3246" s="1271"/>
      <c r="H3246" s="715" t="s">
        <v>799</v>
      </c>
      <c r="I3246" s="1246"/>
      <c r="J3246" s="1246"/>
      <c r="K3246" s="1247"/>
      <c r="L3246" s="664"/>
      <c r="M3246" s="667"/>
    </row>
    <row r="3247" spans="3:13">
      <c r="C3247" s="660"/>
      <c r="D3247" s="666" t="s">
        <v>434</v>
      </c>
      <c r="E3247" s="1272">
        <v>1E-3</v>
      </c>
      <c r="F3247" s="1273"/>
      <c r="G3247" s="1274"/>
      <c r="H3247" s="715"/>
      <c r="I3247" s="1246"/>
      <c r="J3247" s="1246"/>
      <c r="K3247" s="1247"/>
      <c r="L3247" s="664"/>
      <c r="M3247" s="667"/>
    </row>
    <row r="3248" spans="3:13" ht="17" thickBot="1">
      <c r="C3248" s="660"/>
      <c r="D3248" s="668" t="s">
        <v>435</v>
      </c>
      <c r="E3248" s="1275">
        <v>0.29166666666666674</v>
      </c>
      <c r="F3248" s="1276"/>
      <c r="G3248" s="1277"/>
      <c r="H3248" s="716"/>
      <c r="I3248" s="1246"/>
      <c r="J3248" s="1246"/>
      <c r="K3248" s="1247"/>
      <c r="L3248" s="669">
        <v>0.52083333333333337</v>
      </c>
      <c r="M3248" s="670">
        <v>0.41666666666666669</v>
      </c>
    </row>
    <row r="3249" spans="3:13" ht="17" thickBot="1">
      <c r="C3249" s="660"/>
      <c r="D3249" s="671" t="s">
        <v>436</v>
      </c>
      <c r="E3249" s="672" t="s">
        <v>29</v>
      </c>
      <c r="F3249" s="672" t="s">
        <v>28</v>
      </c>
      <c r="G3249" s="673" t="s">
        <v>27</v>
      </c>
      <c r="H3249" s="712" t="s">
        <v>793</v>
      </c>
      <c r="I3249" s="1246"/>
      <c r="J3249" s="1246"/>
      <c r="K3249" s="1247"/>
      <c r="L3249" s="675" t="s">
        <v>1246</v>
      </c>
      <c r="M3249" s="676"/>
    </row>
    <row r="3250" spans="3:13">
      <c r="C3250" s="660"/>
      <c r="D3250" s="717">
        <v>45701</v>
      </c>
      <c r="E3250" s="691">
        <v>1E-3</v>
      </c>
      <c r="F3250" s="691" t="s">
        <v>456</v>
      </c>
      <c r="G3250" s="691">
        <v>0</v>
      </c>
      <c r="H3250" s="718">
        <v>0.29166666666666674</v>
      </c>
      <c r="I3250" s="1246"/>
      <c r="J3250" s="1246"/>
      <c r="K3250" s="1247"/>
      <c r="L3250" s="679">
        <v>0.52083333333333337</v>
      </c>
      <c r="M3250" s="680"/>
    </row>
    <row r="3251" spans="3:13">
      <c r="C3251" s="660"/>
      <c r="D3251" s="717">
        <v>45649</v>
      </c>
      <c r="E3251" s="691">
        <v>0</v>
      </c>
      <c r="F3251" s="691" t="s">
        <v>462</v>
      </c>
      <c r="G3251" s="691">
        <v>4.0000000000000001E-3</v>
      </c>
      <c r="H3251" s="718">
        <v>0.29166666666666674</v>
      </c>
      <c r="I3251" s="1246"/>
      <c r="J3251" s="1246"/>
      <c r="K3251" s="1247"/>
      <c r="L3251" s="679">
        <v>0.52083333333333337</v>
      </c>
      <c r="M3251" s="681"/>
    </row>
    <row r="3252" spans="3:13">
      <c r="C3252" s="660"/>
      <c r="D3252" s="717">
        <v>45611</v>
      </c>
      <c r="E3252" s="691">
        <v>1E-3</v>
      </c>
      <c r="F3252" s="691" t="s">
        <v>460</v>
      </c>
      <c r="G3252" s="691">
        <v>5.0000000000000001E-3</v>
      </c>
      <c r="H3252" s="718">
        <v>0.29166666666666674</v>
      </c>
      <c r="I3252" s="1246"/>
      <c r="J3252" s="1246"/>
      <c r="K3252" s="1247"/>
      <c r="L3252" s="679">
        <v>0.52083333333333337</v>
      </c>
      <c r="M3252" s="667"/>
    </row>
    <row r="3253" spans="3:13">
      <c r="C3253" s="660"/>
      <c r="D3253" s="717">
        <v>45565</v>
      </c>
      <c r="E3253" s="691">
        <v>5.0000000000000001E-3</v>
      </c>
      <c r="F3253" s="691" t="s">
        <v>449</v>
      </c>
      <c r="G3253" s="691">
        <v>7.0000000000000001E-3</v>
      </c>
      <c r="H3253" s="718">
        <v>0.25</v>
      </c>
      <c r="I3253" s="1246"/>
      <c r="J3253" s="1246"/>
      <c r="K3253" s="1247"/>
      <c r="L3253" s="679">
        <v>0.47916666666666669</v>
      </c>
      <c r="M3253" s="667"/>
    </row>
    <row r="3254" spans="3:13">
      <c r="C3254" s="660"/>
      <c r="D3254" s="717">
        <v>45519</v>
      </c>
      <c r="E3254" s="691">
        <v>6.0000000000000001E-3</v>
      </c>
      <c r="F3254" s="691" t="s">
        <v>449</v>
      </c>
      <c r="G3254" s="691">
        <v>7.0000000000000001E-3</v>
      </c>
      <c r="H3254" s="718">
        <v>0.25</v>
      </c>
      <c r="I3254" s="1246"/>
      <c r="J3254" s="1246"/>
      <c r="K3254" s="1247"/>
      <c r="L3254" s="679">
        <v>0.47916666666666669</v>
      </c>
      <c r="M3254" s="667"/>
    </row>
    <row r="3255" spans="3:13" ht="17" thickBot="1">
      <c r="C3255" s="660"/>
      <c r="D3255" s="717">
        <v>45471</v>
      </c>
      <c r="E3255" s="691">
        <v>7.0000000000000001E-3</v>
      </c>
      <c r="F3255" s="691" t="s">
        <v>449</v>
      </c>
      <c r="G3255" s="691">
        <v>-3.0000000000000001E-3</v>
      </c>
      <c r="H3255" s="718">
        <v>0.25</v>
      </c>
      <c r="I3255" s="1249"/>
      <c r="J3255" s="1249"/>
      <c r="K3255" s="1250"/>
      <c r="L3255" s="679">
        <v>0.47916666666666669</v>
      </c>
      <c r="M3255" s="682"/>
    </row>
    <row r="3256" spans="3:13" ht="17" thickBot="1">
      <c r="C3256" s="660">
        <v>1</v>
      </c>
      <c r="D3256" s="671" t="s">
        <v>30</v>
      </c>
      <c r="E3256" s="1252" t="s">
        <v>1683</v>
      </c>
      <c r="F3256" s="1253"/>
      <c r="G3256" s="1254"/>
      <c r="H3256" s="712" t="s">
        <v>790</v>
      </c>
      <c r="I3256" s="1256" t="s">
        <v>633</v>
      </c>
      <c r="J3256" s="1256"/>
      <c r="K3256" s="1257"/>
      <c r="L3256" s="674" t="s">
        <v>430</v>
      </c>
      <c r="M3256" s="713" t="s">
        <v>431</v>
      </c>
    </row>
    <row r="3257" spans="3:13">
      <c r="C3257" s="660"/>
      <c r="D3257" s="663" t="s">
        <v>432</v>
      </c>
      <c r="E3257" s="1266"/>
      <c r="F3257" s="1267"/>
      <c r="G3257" s="1268"/>
      <c r="H3257" s="714" t="s">
        <v>798</v>
      </c>
      <c r="I3257" s="1243" t="s">
        <v>1682</v>
      </c>
      <c r="J3257" s="1243"/>
      <c r="K3257" s="1244"/>
      <c r="L3257" s="664"/>
      <c r="M3257" s="665" t="s">
        <v>1683</v>
      </c>
    </row>
    <row r="3258" spans="3:13">
      <c r="C3258" s="660"/>
      <c r="D3258" s="666" t="s">
        <v>433</v>
      </c>
      <c r="E3258" s="1269"/>
      <c r="F3258" s="1270"/>
      <c r="G3258" s="1271"/>
      <c r="H3258" s="715" t="s">
        <v>799</v>
      </c>
      <c r="I3258" s="1246"/>
      <c r="J3258" s="1246"/>
      <c r="K3258" s="1247"/>
      <c r="L3258" s="664"/>
      <c r="M3258" s="667"/>
    </row>
    <row r="3259" spans="3:13">
      <c r="C3259" s="660"/>
      <c r="D3259" s="666" t="s">
        <v>434</v>
      </c>
      <c r="E3259" s="1272">
        <v>1.4E-2</v>
      </c>
      <c r="F3259" s="1273"/>
      <c r="G3259" s="1274"/>
      <c r="H3259" s="715"/>
      <c r="I3259" s="1246"/>
      <c r="J3259" s="1246"/>
      <c r="K3259" s="1247"/>
      <c r="L3259" s="664"/>
      <c r="M3259" s="667"/>
    </row>
    <row r="3260" spans="3:13" ht="17" thickBot="1">
      <c r="C3260" s="660"/>
      <c r="D3260" s="668" t="s">
        <v>435</v>
      </c>
      <c r="E3260" s="1275">
        <v>0.29166666666666674</v>
      </c>
      <c r="F3260" s="1276"/>
      <c r="G3260" s="1277"/>
      <c r="H3260" s="716"/>
      <c r="I3260" s="1246"/>
      <c r="J3260" s="1246"/>
      <c r="K3260" s="1247"/>
      <c r="L3260" s="669">
        <v>0.52083333333333337</v>
      </c>
      <c r="M3260" s="670">
        <v>0.41666666666666669</v>
      </c>
    </row>
    <row r="3261" spans="3:13" ht="17" thickBot="1">
      <c r="C3261" s="660"/>
      <c r="D3261" s="671" t="s">
        <v>436</v>
      </c>
      <c r="E3261" s="672" t="s">
        <v>29</v>
      </c>
      <c r="F3261" s="672" t="s">
        <v>28</v>
      </c>
      <c r="G3261" s="673" t="s">
        <v>27</v>
      </c>
      <c r="H3261" s="712" t="s">
        <v>793</v>
      </c>
      <c r="I3261" s="1246"/>
      <c r="J3261" s="1246"/>
      <c r="K3261" s="1247"/>
      <c r="L3261" s="675" t="s">
        <v>1246</v>
      </c>
      <c r="M3261" s="676"/>
    </row>
    <row r="3262" spans="3:13">
      <c r="C3262" s="660"/>
      <c r="D3262" s="717">
        <v>45701</v>
      </c>
      <c r="E3262" s="691">
        <v>1.4E-2</v>
      </c>
      <c r="F3262" s="691" t="s">
        <v>1382</v>
      </c>
      <c r="G3262" s="691">
        <v>0.01</v>
      </c>
      <c r="H3262" s="718">
        <v>0.29166666666666674</v>
      </c>
      <c r="I3262" s="1246"/>
      <c r="J3262" s="1246"/>
      <c r="K3262" s="1247"/>
      <c r="L3262" s="679">
        <v>0.52083333333333337</v>
      </c>
      <c r="M3262" s="680"/>
    </row>
    <row r="3263" spans="3:13">
      <c r="C3263" s="660"/>
      <c r="D3263" s="717">
        <v>45649</v>
      </c>
      <c r="E3263" s="691">
        <v>8.9999999999999993E-3</v>
      </c>
      <c r="F3263" s="691" t="s">
        <v>1536</v>
      </c>
      <c r="G3263" s="691">
        <v>7.0000000000000001E-3</v>
      </c>
      <c r="H3263" s="718">
        <v>0.29166666666666674</v>
      </c>
      <c r="I3263" s="1246"/>
      <c r="J3263" s="1246"/>
      <c r="K3263" s="1247"/>
      <c r="L3263" s="679">
        <v>0.52083333333333337</v>
      </c>
      <c r="M3263" s="681"/>
    </row>
    <row r="3264" spans="3:13">
      <c r="C3264" s="660"/>
      <c r="D3264" s="717">
        <v>45611</v>
      </c>
      <c r="E3264" s="691">
        <v>0.01</v>
      </c>
      <c r="F3264" s="691" t="s">
        <v>462</v>
      </c>
      <c r="G3264" s="691">
        <v>7.0000000000000001E-3</v>
      </c>
      <c r="H3264" s="718">
        <v>0.29166666666666674</v>
      </c>
      <c r="I3264" s="1246"/>
      <c r="J3264" s="1246"/>
      <c r="K3264" s="1247"/>
      <c r="L3264" s="679">
        <v>0.52083333333333337</v>
      </c>
      <c r="M3264" s="667"/>
    </row>
    <row r="3265" spans="3:13">
      <c r="C3265" s="660"/>
      <c r="D3265" s="717">
        <v>45565</v>
      </c>
      <c r="E3265" s="691">
        <v>7.0000000000000001E-3</v>
      </c>
      <c r="F3265" s="691" t="s">
        <v>459</v>
      </c>
      <c r="G3265" s="691">
        <v>3.0000000000000001E-3</v>
      </c>
      <c r="H3265" s="718">
        <v>0.25</v>
      </c>
      <c r="I3265" s="1246"/>
      <c r="J3265" s="1246"/>
      <c r="K3265" s="1247"/>
      <c r="L3265" s="679">
        <v>0.47916666666666669</v>
      </c>
      <c r="M3265" s="667"/>
    </row>
    <row r="3266" spans="3:13">
      <c r="C3266" s="660"/>
      <c r="D3266" s="717">
        <v>45519</v>
      </c>
      <c r="E3266" s="691">
        <v>8.9999999999999993E-3</v>
      </c>
      <c r="F3266" s="691" t="s">
        <v>459</v>
      </c>
      <c r="G3266" s="691">
        <v>3.0000000000000001E-3</v>
      </c>
      <c r="H3266" s="718">
        <v>0.25</v>
      </c>
      <c r="I3266" s="1246"/>
      <c r="J3266" s="1246"/>
      <c r="K3266" s="1247"/>
      <c r="L3266" s="679">
        <v>0.47916666666666669</v>
      </c>
      <c r="M3266" s="667"/>
    </row>
    <row r="3267" spans="3:13" ht="17" thickBot="1">
      <c r="C3267" s="660"/>
      <c r="D3267" s="717">
        <v>45471</v>
      </c>
      <c r="E3267" s="691">
        <v>3.0000000000000001E-3</v>
      </c>
      <c r="F3267" s="691" t="s">
        <v>460</v>
      </c>
      <c r="G3267" s="691">
        <v>-2E-3</v>
      </c>
      <c r="H3267" s="718">
        <v>0.25</v>
      </c>
      <c r="I3267" s="1249"/>
      <c r="J3267" s="1249"/>
      <c r="K3267" s="1250"/>
      <c r="L3267" s="679">
        <v>0.47916666666666669</v>
      </c>
      <c r="M3267" s="682"/>
    </row>
    <row r="3268" spans="3:13" ht="17" thickBot="1">
      <c r="C3268" s="660">
        <v>1</v>
      </c>
      <c r="D3268" s="671" t="s">
        <v>30</v>
      </c>
      <c r="E3268" s="1252" t="s">
        <v>1684</v>
      </c>
      <c r="F3268" s="1253"/>
      <c r="G3268" s="1254"/>
      <c r="H3268" s="712" t="s">
        <v>790</v>
      </c>
      <c r="I3268" s="1256" t="s">
        <v>633</v>
      </c>
      <c r="J3268" s="1256"/>
      <c r="K3268" s="1257"/>
      <c r="L3268" s="674" t="s">
        <v>430</v>
      </c>
      <c r="M3268" s="713" t="s">
        <v>431</v>
      </c>
    </row>
    <row r="3269" spans="3:13">
      <c r="C3269" s="660"/>
      <c r="D3269" s="663" t="s">
        <v>432</v>
      </c>
      <c r="E3269" s="1266"/>
      <c r="F3269" s="1267"/>
      <c r="G3269" s="1268"/>
      <c r="H3269" s="930" t="s">
        <v>906</v>
      </c>
      <c r="I3269" s="1243" t="s">
        <v>1685</v>
      </c>
      <c r="J3269" s="1243"/>
      <c r="K3269" s="1244"/>
      <c r="L3269" s="664"/>
      <c r="M3269" s="665" t="s">
        <v>1684</v>
      </c>
    </row>
    <row r="3270" spans="3:13">
      <c r="C3270" s="660"/>
      <c r="D3270" s="666" t="s">
        <v>433</v>
      </c>
      <c r="E3270" s="1269"/>
      <c r="F3270" s="1270"/>
      <c r="G3270" s="1271"/>
      <c r="H3270" s="930" t="s">
        <v>907</v>
      </c>
      <c r="I3270" s="1246"/>
      <c r="J3270" s="1246"/>
      <c r="K3270" s="1247"/>
      <c r="L3270" s="664"/>
      <c r="M3270" s="667"/>
    </row>
    <row r="3271" spans="3:13">
      <c r="C3271" s="660"/>
      <c r="D3271" s="666" t="s">
        <v>434</v>
      </c>
      <c r="E3271" s="1278">
        <v>3.0000000000000001E-3</v>
      </c>
      <c r="F3271" s="1270"/>
      <c r="G3271" s="1271"/>
      <c r="H3271" s="715"/>
      <c r="I3271" s="1246"/>
      <c r="J3271" s="1246"/>
      <c r="K3271" s="1247"/>
      <c r="L3271" s="664"/>
      <c r="M3271" s="667"/>
    </row>
    <row r="3272" spans="3:13" ht="17" thickBot="1">
      <c r="C3272" s="660"/>
      <c r="D3272" s="668" t="s">
        <v>435</v>
      </c>
      <c r="E3272" s="1275">
        <v>0.52083333333333337</v>
      </c>
      <c r="F3272" s="1276"/>
      <c r="G3272" s="1277"/>
      <c r="H3272" s="716"/>
      <c r="I3272" s="1246"/>
      <c r="J3272" s="1246"/>
      <c r="K3272" s="1247"/>
      <c r="L3272" s="669">
        <v>0.75</v>
      </c>
      <c r="M3272" s="670">
        <v>0.64583333333333337</v>
      </c>
    </row>
    <row r="3273" spans="3:13" ht="17" thickBot="1">
      <c r="C3273" s="660"/>
      <c r="D3273" s="671" t="s">
        <v>436</v>
      </c>
      <c r="E3273" s="672" t="s">
        <v>29</v>
      </c>
      <c r="F3273" s="672" t="s">
        <v>28</v>
      </c>
      <c r="G3273" s="673" t="s">
        <v>27</v>
      </c>
      <c r="H3273" s="712" t="s">
        <v>793</v>
      </c>
      <c r="I3273" s="1246"/>
      <c r="J3273" s="1246"/>
      <c r="K3273" s="1247"/>
      <c r="L3273" s="675" t="s">
        <v>1246</v>
      </c>
      <c r="M3273" s="676"/>
    </row>
    <row r="3274" spans="3:13">
      <c r="C3274" s="660"/>
      <c r="D3274" s="717">
        <v>45716</v>
      </c>
      <c r="E3274" s="720">
        <v>3.0000000000000001E-3</v>
      </c>
      <c r="F3274" s="720" t="s">
        <v>467</v>
      </c>
      <c r="G3274" s="720">
        <v>2E-3</v>
      </c>
      <c r="H3274" s="718">
        <v>0.5625</v>
      </c>
      <c r="I3274" s="1246"/>
      <c r="J3274" s="1246"/>
      <c r="K3274" s="1247"/>
      <c r="L3274" s="679">
        <v>0.79166666666666663</v>
      </c>
      <c r="M3274" s="680"/>
    </row>
    <row r="3275" spans="3:13">
      <c r="C3275" s="660"/>
      <c r="D3275" s="717">
        <v>45688</v>
      </c>
      <c r="E3275" s="720">
        <v>2E-3</v>
      </c>
      <c r="F3275" s="720" t="s">
        <v>460</v>
      </c>
      <c r="G3275" s="720">
        <v>1E-3</v>
      </c>
      <c r="H3275" s="718">
        <v>0.5625</v>
      </c>
      <c r="I3275" s="1246"/>
      <c r="J3275" s="1246"/>
      <c r="K3275" s="1247"/>
      <c r="L3275" s="679">
        <v>0.79166666666666663</v>
      </c>
      <c r="M3275" s="681"/>
    </row>
    <row r="3276" spans="3:13">
      <c r="C3276" s="660"/>
      <c r="D3276" s="717">
        <v>45646</v>
      </c>
      <c r="E3276" s="720">
        <v>1E-3</v>
      </c>
      <c r="F3276" s="720" t="s">
        <v>460</v>
      </c>
      <c r="G3276" s="720">
        <v>3.0000000000000001E-3</v>
      </c>
      <c r="H3276" s="718">
        <v>0.5625</v>
      </c>
      <c r="I3276" s="1246"/>
      <c r="J3276" s="1246"/>
      <c r="K3276" s="1247"/>
      <c r="L3276" s="679">
        <v>0.79166666666666663</v>
      </c>
      <c r="M3276" s="667"/>
    </row>
    <row r="3277" spans="3:13">
      <c r="C3277" s="660"/>
      <c r="D3277" s="717">
        <v>45623</v>
      </c>
      <c r="E3277" s="720">
        <v>3.0000000000000001E-3</v>
      </c>
      <c r="F3277" s="720" t="s">
        <v>467</v>
      </c>
      <c r="G3277" s="720">
        <v>3.0000000000000001E-3</v>
      </c>
      <c r="H3277" s="718">
        <v>0.625</v>
      </c>
      <c r="I3277" s="1246"/>
      <c r="J3277" s="1246"/>
      <c r="K3277" s="1247"/>
      <c r="L3277" s="679">
        <v>0.85416666666666663</v>
      </c>
      <c r="M3277" s="667"/>
    </row>
    <row r="3278" spans="3:13">
      <c r="C3278" s="660"/>
      <c r="D3278" s="717">
        <v>45596</v>
      </c>
      <c r="E3278" s="720">
        <v>3.0000000000000001E-3</v>
      </c>
      <c r="F3278" s="720" t="s">
        <v>467</v>
      </c>
      <c r="G3278" s="720">
        <v>2E-3</v>
      </c>
      <c r="H3278" s="718">
        <v>0.52083333333333337</v>
      </c>
      <c r="I3278" s="1246"/>
      <c r="J3278" s="1246"/>
      <c r="K3278" s="1247"/>
      <c r="L3278" s="679">
        <v>0.75</v>
      </c>
      <c r="M3278" s="667"/>
    </row>
    <row r="3279" spans="3:13" ht="17" thickBot="1">
      <c r="C3279" s="660"/>
      <c r="D3279" s="717">
        <v>45562</v>
      </c>
      <c r="E3279" s="720">
        <v>1E-3</v>
      </c>
      <c r="F3279" s="720" t="s">
        <v>460</v>
      </c>
      <c r="G3279" s="720">
        <v>2E-3</v>
      </c>
      <c r="H3279" s="718">
        <v>0.52083333333333337</v>
      </c>
      <c r="I3279" s="1249"/>
      <c r="J3279" s="1249"/>
      <c r="K3279" s="1250"/>
      <c r="L3279" s="679">
        <v>0.75</v>
      </c>
      <c r="M3279" s="682"/>
    </row>
    <row r="3280" spans="3:13" ht="17" thickBot="1">
      <c r="C3280" s="660">
        <v>1</v>
      </c>
      <c r="D3280" s="671" t="s">
        <v>30</v>
      </c>
      <c r="E3280" s="1252" t="s">
        <v>1686</v>
      </c>
      <c r="F3280" s="1253"/>
      <c r="G3280" s="1254"/>
      <c r="H3280" s="712" t="s">
        <v>790</v>
      </c>
      <c r="I3280" s="1256" t="s">
        <v>633</v>
      </c>
      <c r="J3280" s="1256"/>
      <c r="K3280" s="1257"/>
      <c r="L3280" s="674" t="s">
        <v>430</v>
      </c>
      <c r="M3280" s="713" t="s">
        <v>431</v>
      </c>
    </row>
    <row r="3281" spans="2:13">
      <c r="C3281" s="660"/>
      <c r="D3281" s="663" t="s">
        <v>432</v>
      </c>
      <c r="E3281" s="1266"/>
      <c r="F3281" s="1267"/>
      <c r="G3281" s="1268"/>
      <c r="H3281" s="930" t="s">
        <v>906</v>
      </c>
      <c r="I3281" s="1243" t="s">
        <v>1687</v>
      </c>
      <c r="J3281" s="1243"/>
      <c r="K3281" s="1244"/>
      <c r="L3281" s="664"/>
      <c r="M3281" s="665" t="s">
        <v>1686</v>
      </c>
    </row>
    <row r="3282" spans="2:13">
      <c r="C3282" s="660"/>
      <c r="D3282" s="666" t="s">
        <v>433</v>
      </c>
      <c r="E3282" s="1269"/>
      <c r="F3282" s="1270"/>
      <c r="G3282" s="1271"/>
      <c r="H3282" s="930" t="s">
        <v>907</v>
      </c>
      <c r="I3282" s="1246"/>
      <c r="J3282" s="1246"/>
      <c r="K3282" s="1247"/>
      <c r="L3282" s="664"/>
      <c r="M3282" s="667"/>
    </row>
    <row r="3283" spans="2:13">
      <c r="C3283" s="660"/>
      <c r="D3283" s="666" t="s">
        <v>434</v>
      </c>
      <c r="E3283" s="1278">
        <v>2.5999999999999999E-2</v>
      </c>
      <c r="F3283" s="1270"/>
      <c r="G3283" s="1271"/>
      <c r="H3283" s="715"/>
      <c r="I3283" s="1246"/>
      <c r="J3283" s="1246"/>
      <c r="K3283" s="1247"/>
      <c r="L3283" s="664"/>
      <c r="M3283" s="667"/>
    </row>
    <row r="3284" spans="2:13" ht="17" thickBot="1">
      <c r="C3284" s="660"/>
      <c r="D3284" s="668" t="s">
        <v>435</v>
      </c>
      <c r="E3284" s="1275">
        <v>0.52083333333333337</v>
      </c>
      <c r="F3284" s="1276"/>
      <c r="G3284" s="1277"/>
      <c r="H3284" s="716"/>
      <c r="I3284" s="1246"/>
      <c r="J3284" s="1246"/>
      <c r="K3284" s="1247"/>
      <c r="L3284" s="669">
        <v>0.75</v>
      </c>
      <c r="M3284" s="670">
        <v>0.64583333333333337</v>
      </c>
    </row>
    <row r="3285" spans="2:13" ht="17" thickBot="1">
      <c r="C3285" s="660"/>
      <c r="D3285" s="671" t="s">
        <v>436</v>
      </c>
      <c r="E3285" s="672" t="s">
        <v>29</v>
      </c>
      <c r="F3285" s="672" t="s">
        <v>28</v>
      </c>
      <c r="G3285" s="673" t="s">
        <v>27</v>
      </c>
      <c r="H3285" s="712" t="s">
        <v>793</v>
      </c>
      <c r="I3285" s="1246"/>
      <c r="J3285" s="1246"/>
      <c r="K3285" s="1247"/>
      <c r="L3285" s="675" t="s">
        <v>1246</v>
      </c>
      <c r="M3285" s="676"/>
    </row>
    <row r="3286" spans="2:13">
      <c r="C3286" s="660"/>
      <c r="D3286" s="717">
        <v>45716</v>
      </c>
      <c r="E3286" s="691">
        <v>2.5999999999999999E-2</v>
      </c>
      <c r="F3286" s="691" t="s">
        <v>493</v>
      </c>
      <c r="G3286" s="691">
        <v>2.9000000000000001E-2</v>
      </c>
      <c r="H3286" s="718">
        <v>0.5625</v>
      </c>
      <c r="I3286" s="1246"/>
      <c r="J3286" s="1246"/>
      <c r="K3286" s="1247"/>
      <c r="L3286" s="679">
        <v>0.79166666666666663</v>
      </c>
      <c r="M3286" s="680"/>
    </row>
    <row r="3287" spans="2:13">
      <c r="C3287" s="660"/>
      <c r="D3287" s="717">
        <v>45688</v>
      </c>
      <c r="E3287" s="691">
        <v>2.8000000000000001E-2</v>
      </c>
      <c r="F3287" s="691" t="s">
        <v>666</v>
      </c>
      <c r="G3287" s="691">
        <v>2.8000000000000001E-2</v>
      </c>
      <c r="H3287" s="718">
        <v>0.5625</v>
      </c>
      <c r="I3287" s="1246"/>
      <c r="J3287" s="1246"/>
      <c r="K3287" s="1247"/>
      <c r="L3287" s="679">
        <v>0.79166666666666663</v>
      </c>
      <c r="M3287" s="681"/>
    </row>
    <row r="3288" spans="2:13">
      <c r="C3288" s="660"/>
      <c r="D3288" s="717">
        <v>45646</v>
      </c>
      <c r="E3288" s="691">
        <v>2.8000000000000001E-2</v>
      </c>
      <c r="F3288" s="691" t="s">
        <v>667</v>
      </c>
      <c r="G3288" s="691">
        <v>2.8000000000000001E-2</v>
      </c>
      <c r="H3288" s="718">
        <v>0.5625</v>
      </c>
      <c r="I3288" s="1246"/>
      <c r="J3288" s="1246"/>
      <c r="K3288" s="1247"/>
      <c r="L3288" s="679">
        <v>0.79166666666666663</v>
      </c>
      <c r="M3288" s="667"/>
    </row>
    <row r="3289" spans="2:13">
      <c r="C3289" s="660"/>
      <c r="D3289" s="717">
        <v>45623</v>
      </c>
      <c r="E3289" s="691">
        <v>2.8000000000000001E-2</v>
      </c>
      <c r="F3289" s="691" t="s">
        <v>666</v>
      </c>
      <c r="G3289" s="691">
        <v>2.7E-2</v>
      </c>
      <c r="H3289" s="718">
        <v>0.625</v>
      </c>
      <c r="I3289" s="1246"/>
      <c r="J3289" s="1246"/>
      <c r="K3289" s="1247"/>
      <c r="L3289" s="679">
        <v>0.85416666666666663</v>
      </c>
      <c r="M3289" s="667"/>
    </row>
    <row r="3290" spans="2:13">
      <c r="C3290" s="660"/>
      <c r="D3290" s="717">
        <v>45596</v>
      </c>
      <c r="E3290" s="691">
        <v>2.7E-2</v>
      </c>
      <c r="F3290" s="691" t="s">
        <v>493</v>
      </c>
      <c r="G3290" s="691">
        <v>2.7E-2</v>
      </c>
      <c r="H3290" s="718">
        <v>0.52083333333333337</v>
      </c>
      <c r="I3290" s="1246"/>
      <c r="J3290" s="1246"/>
      <c r="K3290" s="1247"/>
      <c r="L3290" s="679">
        <v>0.75</v>
      </c>
      <c r="M3290" s="667"/>
    </row>
    <row r="3291" spans="2:13" ht="17" thickBot="1">
      <c r="C3291" s="660"/>
      <c r="D3291" s="717">
        <v>45562</v>
      </c>
      <c r="E3291" s="691">
        <v>2.7E-2</v>
      </c>
      <c r="F3291" s="691" t="s">
        <v>665</v>
      </c>
      <c r="G3291" s="691">
        <v>2.5999999999999999E-2</v>
      </c>
      <c r="H3291" s="718">
        <v>0.52083333333333337</v>
      </c>
      <c r="I3291" s="1249"/>
      <c r="J3291" s="1249"/>
      <c r="K3291" s="1250"/>
      <c r="L3291" s="679">
        <v>0.75</v>
      </c>
      <c r="M3291" s="682"/>
    </row>
    <row r="3292" spans="2:13" ht="17" thickBot="1">
      <c r="B3292" s="90" t="s">
        <v>105</v>
      </c>
      <c r="C3292" s="660">
        <v>1</v>
      </c>
      <c r="D3292" s="671" t="s">
        <v>30</v>
      </c>
      <c r="E3292" s="1252" t="s">
        <v>1707</v>
      </c>
      <c r="F3292" s="1253"/>
      <c r="G3292" s="1254"/>
      <c r="H3292" s="712" t="s">
        <v>790</v>
      </c>
      <c r="I3292" s="1256" t="s">
        <v>633</v>
      </c>
      <c r="J3292" s="1256"/>
      <c r="K3292" s="1257"/>
      <c r="L3292" s="674" t="s">
        <v>430</v>
      </c>
    </row>
    <row r="3293" spans="2:13">
      <c r="C3293" s="660"/>
      <c r="D3293" s="663" t="s">
        <v>432</v>
      </c>
      <c r="E3293" s="1266"/>
      <c r="F3293" s="1267"/>
      <c r="G3293" s="1268"/>
      <c r="H3293" s="714" t="s">
        <v>1132</v>
      </c>
      <c r="I3293" s="1243" t="s">
        <v>1478</v>
      </c>
      <c r="J3293" s="1243"/>
      <c r="K3293" s="1244"/>
      <c r="L3293" s="664"/>
    </row>
    <row r="3294" spans="2:13">
      <c r="C3294" s="660"/>
      <c r="D3294" s="666" t="s">
        <v>433</v>
      </c>
      <c r="E3294" s="1269"/>
      <c r="F3294" s="1270"/>
      <c r="G3294" s="1271"/>
      <c r="H3294" s="715" t="s">
        <v>1133</v>
      </c>
      <c r="I3294" s="1246"/>
      <c r="J3294" s="1246"/>
      <c r="K3294" s="1247"/>
      <c r="L3294" s="664"/>
    </row>
    <row r="3295" spans="2:13">
      <c r="C3295" s="660"/>
      <c r="D3295" s="666" t="s">
        <v>434</v>
      </c>
      <c r="E3295" s="1278">
        <v>50.2</v>
      </c>
      <c r="F3295" s="1270"/>
      <c r="G3295" s="1271"/>
      <c r="H3295" s="715"/>
      <c r="I3295" s="1246"/>
      <c r="J3295" s="1246"/>
      <c r="K3295" s="1247"/>
      <c r="L3295" s="664"/>
    </row>
    <row r="3296" spans="2:13" ht="17" thickBot="1">
      <c r="C3296" s="660"/>
      <c r="D3296" s="668" t="s">
        <v>435</v>
      </c>
      <c r="E3296" s="1275">
        <v>6.2500000000000028E-2</v>
      </c>
      <c r="F3296" s="1276"/>
      <c r="G3296" s="1277"/>
      <c r="H3296" s="716"/>
      <c r="I3296" s="1246"/>
      <c r="J3296" s="1246"/>
      <c r="K3296" s="1247"/>
      <c r="L3296" s="669">
        <v>0.29166666666666669</v>
      </c>
    </row>
    <row r="3297" spans="3:12" ht="17" thickBot="1">
      <c r="C3297" s="660"/>
      <c r="D3297" s="671" t="s">
        <v>436</v>
      </c>
      <c r="E3297" s="672" t="s">
        <v>29</v>
      </c>
      <c r="F3297" s="672" t="s">
        <v>28</v>
      </c>
      <c r="G3297" s="673" t="s">
        <v>27</v>
      </c>
      <c r="H3297" s="712" t="s">
        <v>793</v>
      </c>
      <c r="I3297" s="1246"/>
      <c r="J3297" s="1246"/>
      <c r="K3297" s="1247"/>
      <c r="L3297" s="675" t="s">
        <v>1246</v>
      </c>
    </row>
    <row r="3298" spans="3:12">
      <c r="C3298" s="660"/>
      <c r="D3298" s="717">
        <v>45717</v>
      </c>
      <c r="E3298" s="693">
        <v>50.2</v>
      </c>
      <c r="F3298" s="693" t="s">
        <v>515</v>
      </c>
      <c r="G3298" s="693">
        <v>49.1</v>
      </c>
      <c r="H3298" s="718">
        <v>6.2500000000000028E-2</v>
      </c>
      <c r="I3298" s="1246"/>
      <c r="J3298" s="1246"/>
      <c r="K3298" s="1247"/>
      <c r="L3298" s="718">
        <v>0.29166666666666669</v>
      </c>
    </row>
    <row r="3299" spans="3:12">
      <c r="C3299" s="660"/>
      <c r="D3299" s="717">
        <v>45684</v>
      </c>
      <c r="E3299" s="693">
        <v>49.1</v>
      </c>
      <c r="F3299" s="693" t="s">
        <v>447</v>
      </c>
      <c r="G3299" s="693">
        <v>50.1</v>
      </c>
      <c r="H3299" s="718">
        <v>6.2500000000000028E-2</v>
      </c>
      <c r="I3299" s="1246"/>
      <c r="J3299" s="1246"/>
      <c r="K3299" s="1247"/>
      <c r="L3299" s="718">
        <v>0.29166666666666669</v>
      </c>
    </row>
    <row r="3300" spans="3:12">
      <c r="C3300" s="660"/>
      <c r="D3300" s="717">
        <v>45657</v>
      </c>
      <c r="E3300" s="693">
        <v>50.1</v>
      </c>
      <c r="F3300" s="693" t="s">
        <v>445</v>
      </c>
      <c r="G3300" s="693">
        <v>50.3</v>
      </c>
      <c r="H3300" s="718">
        <v>6.2500000000000028E-2</v>
      </c>
      <c r="I3300" s="1246"/>
      <c r="J3300" s="1246"/>
      <c r="K3300" s="1247"/>
      <c r="L3300" s="718">
        <v>0.29166666666666669</v>
      </c>
    </row>
    <row r="3301" spans="3:12">
      <c r="C3301" s="660"/>
      <c r="D3301" s="717">
        <v>45626</v>
      </c>
      <c r="E3301" s="693">
        <v>50.3</v>
      </c>
      <c r="F3301" s="693" t="s">
        <v>1340</v>
      </c>
      <c r="G3301" s="693">
        <v>50.1</v>
      </c>
      <c r="H3301" s="718">
        <v>6.2500000000000028E-2</v>
      </c>
      <c r="I3301" s="1246"/>
      <c r="J3301" s="1246"/>
      <c r="K3301" s="1247"/>
      <c r="L3301" s="718">
        <v>0.29166666666666669</v>
      </c>
    </row>
    <row r="3302" spans="3:12">
      <c r="C3302" s="660"/>
      <c r="D3302" s="717">
        <v>45596</v>
      </c>
      <c r="E3302" s="693">
        <v>50.1</v>
      </c>
      <c r="F3302" s="693" t="s">
        <v>513</v>
      </c>
      <c r="G3302" s="693">
        <v>49.8</v>
      </c>
      <c r="H3302" s="718">
        <v>6.2500000000000028E-2</v>
      </c>
      <c r="I3302" s="1246"/>
      <c r="J3302" s="1246"/>
      <c r="K3302" s="1247"/>
      <c r="L3302" s="718">
        <v>0.29166666666666669</v>
      </c>
    </row>
    <row r="3303" spans="3:12" ht="17" thickBot="1">
      <c r="C3303" s="660"/>
      <c r="D3303" s="717">
        <v>45565</v>
      </c>
      <c r="E3303" s="693">
        <v>49.8</v>
      </c>
      <c r="F3303" s="693" t="s">
        <v>440</v>
      </c>
      <c r="G3303" s="693">
        <v>49.1</v>
      </c>
      <c r="H3303" s="718">
        <v>6.2500000000000028E-2</v>
      </c>
      <c r="I3303" s="1249"/>
      <c r="J3303" s="1249"/>
      <c r="K3303" s="1250"/>
      <c r="L3303" s="718">
        <v>0.29166666666666669</v>
      </c>
    </row>
    <row r="3304" spans="3:12" ht="17" thickBot="1">
      <c r="C3304" s="660">
        <v>1</v>
      </c>
      <c r="D3304" s="671" t="s">
        <v>30</v>
      </c>
      <c r="E3304" s="1252" t="s">
        <v>1708</v>
      </c>
      <c r="F3304" s="1253"/>
      <c r="G3304" s="1254"/>
      <c r="H3304" s="712" t="s">
        <v>790</v>
      </c>
      <c r="I3304" s="1256" t="s">
        <v>633</v>
      </c>
      <c r="J3304" s="1256"/>
      <c r="K3304" s="1257"/>
      <c r="L3304" s="674" t="s">
        <v>430</v>
      </c>
    </row>
    <row r="3305" spans="3:12">
      <c r="C3305" s="660"/>
      <c r="D3305" s="663" t="s">
        <v>432</v>
      </c>
      <c r="E3305" s="1266"/>
      <c r="F3305" s="1267"/>
      <c r="G3305" s="1268"/>
      <c r="H3305" s="714" t="s">
        <v>909</v>
      </c>
      <c r="I3305" s="1243" t="s">
        <v>1709</v>
      </c>
      <c r="J3305" s="1243"/>
      <c r="K3305" s="1244"/>
      <c r="L3305" s="664"/>
    </row>
    <row r="3306" spans="3:12">
      <c r="C3306" s="660"/>
      <c r="D3306" s="666" t="s">
        <v>433</v>
      </c>
      <c r="E3306" s="1269"/>
      <c r="F3306" s="1270"/>
      <c r="G3306" s="1271"/>
      <c r="H3306" s="715" t="s">
        <v>910</v>
      </c>
      <c r="I3306" s="1246"/>
      <c r="J3306" s="1246"/>
      <c r="K3306" s="1247"/>
      <c r="L3306" s="664"/>
    </row>
    <row r="3307" spans="3:12">
      <c r="C3307" s="660"/>
      <c r="D3307" s="666" t="s">
        <v>434</v>
      </c>
      <c r="E3307" s="1272">
        <v>4.0000000000000001E-3</v>
      </c>
      <c r="F3307" s="1273"/>
      <c r="G3307" s="1274"/>
      <c r="H3307" s="715"/>
      <c r="I3307" s="1246"/>
      <c r="J3307" s="1246"/>
      <c r="K3307" s="1247"/>
      <c r="L3307" s="664"/>
    </row>
    <row r="3308" spans="3:12" ht="17" thickBot="1">
      <c r="C3308" s="660"/>
      <c r="D3308" s="668" t="s">
        <v>435</v>
      </c>
      <c r="E3308" s="1275">
        <v>0.5</v>
      </c>
      <c r="F3308" s="1276"/>
      <c r="G3308" s="1277"/>
      <c r="H3308" s="716"/>
      <c r="I3308" s="1246"/>
      <c r="J3308" s="1246"/>
      <c r="K3308" s="1247"/>
      <c r="L3308" s="669">
        <v>0.72916666666666663</v>
      </c>
    </row>
    <row r="3309" spans="3:12" ht="17" thickBot="1">
      <c r="C3309" s="660"/>
      <c r="D3309" s="671" t="s">
        <v>436</v>
      </c>
      <c r="E3309" s="672" t="s">
        <v>29</v>
      </c>
      <c r="F3309" s="672" t="s">
        <v>28</v>
      </c>
      <c r="G3309" s="673" t="s">
        <v>27</v>
      </c>
      <c r="H3309" s="712" t="s">
        <v>793</v>
      </c>
      <c r="I3309" s="1246"/>
      <c r="J3309" s="1246"/>
      <c r="K3309" s="1247"/>
      <c r="L3309" s="675" t="s">
        <v>1246</v>
      </c>
    </row>
    <row r="3310" spans="3:12">
      <c r="C3310" s="660"/>
      <c r="D3310" s="717">
        <v>45730</v>
      </c>
      <c r="E3310" s="720">
        <v>4.0000000000000001E-3</v>
      </c>
      <c r="F3310" s="720" t="s">
        <v>452</v>
      </c>
      <c r="G3310" s="720">
        <v>-2E-3</v>
      </c>
      <c r="H3310" s="718">
        <v>0.29166666666666674</v>
      </c>
      <c r="I3310" s="1246"/>
      <c r="J3310" s="1246"/>
      <c r="K3310" s="1247"/>
      <c r="L3310" s="679">
        <v>0.52083333333333337</v>
      </c>
    </row>
    <row r="3311" spans="3:12">
      <c r="C3311" s="660"/>
      <c r="D3311" s="717">
        <v>45716</v>
      </c>
      <c r="E3311" s="720">
        <v>4.0000000000000001E-3</v>
      </c>
      <c r="F3311" s="720" t="s">
        <v>452</v>
      </c>
      <c r="G3311" s="720">
        <v>-2E-3</v>
      </c>
      <c r="H3311" s="718">
        <v>0.54166666666666674</v>
      </c>
      <c r="I3311" s="1246"/>
      <c r="J3311" s="1246"/>
      <c r="K3311" s="1247"/>
      <c r="L3311" s="679">
        <v>0.77083333333333337</v>
      </c>
    </row>
    <row r="3312" spans="3:12">
      <c r="C3312" s="660"/>
      <c r="D3312" s="717">
        <v>45701</v>
      </c>
      <c r="E3312" s="720">
        <v>-2E-3</v>
      </c>
      <c r="F3312" s="720" t="s">
        <v>461</v>
      </c>
      <c r="G3312" s="720">
        <v>5.0000000000000001E-3</v>
      </c>
      <c r="H3312" s="718">
        <v>0.29166666666666674</v>
      </c>
      <c r="I3312" s="1246"/>
      <c r="J3312" s="1246"/>
      <c r="K3312" s="1247"/>
      <c r="L3312" s="679">
        <v>0.52083333333333337</v>
      </c>
    </row>
    <row r="3313" spans="3:12">
      <c r="C3313" s="660"/>
      <c r="D3313" s="717">
        <v>45688</v>
      </c>
      <c r="E3313" s="720">
        <v>-2E-3</v>
      </c>
      <c r="F3313" s="720" t="s">
        <v>462</v>
      </c>
      <c r="G3313" s="720">
        <v>5.0000000000000001E-3</v>
      </c>
      <c r="H3313" s="718">
        <v>0.54166666666666674</v>
      </c>
      <c r="I3313" s="1246"/>
      <c r="J3313" s="1246"/>
      <c r="K3313" s="1247"/>
      <c r="L3313" s="679">
        <v>0.77083333333333337</v>
      </c>
    </row>
    <row r="3314" spans="3:12">
      <c r="C3314" s="660"/>
      <c r="D3314" s="717">
        <v>45673</v>
      </c>
      <c r="E3314" s="720">
        <v>5.0000000000000001E-3</v>
      </c>
      <c r="F3314" s="720" t="s">
        <v>452</v>
      </c>
      <c r="G3314" s="720">
        <v>-2E-3</v>
      </c>
      <c r="H3314" s="718">
        <v>0.29166666666666674</v>
      </c>
      <c r="I3314" s="1246"/>
      <c r="J3314" s="1246"/>
      <c r="K3314" s="1247"/>
      <c r="L3314" s="679">
        <v>0.52083333333333337</v>
      </c>
    </row>
    <row r="3315" spans="3:12" ht="17" thickBot="1">
      <c r="C3315" s="660"/>
      <c r="D3315" s="717">
        <v>45663</v>
      </c>
      <c r="E3315" s="720">
        <v>4.0000000000000001E-3</v>
      </c>
      <c r="F3315" s="720" t="s">
        <v>467</v>
      </c>
      <c r="G3315" s="720">
        <v>-2E-3</v>
      </c>
      <c r="H3315" s="718">
        <v>0.54166666666666674</v>
      </c>
      <c r="I3315" s="1249"/>
      <c r="J3315" s="1249"/>
      <c r="K3315" s="1250"/>
      <c r="L3315" s="679">
        <v>0.77083333333333337</v>
      </c>
    </row>
    <row r="3316" spans="3:12" ht="17" thickBot="1">
      <c r="C3316" s="660">
        <v>1</v>
      </c>
      <c r="D3316" s="671" t="s">
        <v>30</v>
      </c>
      <c r="E3316" s="1252" t="s">
        <v>1710</v>
      </c>
      <c r="F3316" s="1253"/>
      <c r="G3316" s="1254"/>
      <c r="H3316" s="712" t="s">
        <v>790</v>
      </c>
      <c r="I3316" s="1256" t="s">
        <v>633</v>
      </c>
      <c r="J3316" s="1256"/>
      <c r="K3316" s="1257"/>
      <c r="L3316" s="674" t="s">
        <v>430</v>
      </c>
    </row>
    <row r="3317" spans="3:12">
      <c r="C3317" s="660"/>
      <c r="D3317" s="663" t="s">
        <v>432</v>
      </c>
      <c r="E3317" s="1266"/>
      <c r="F3317" s="1267"/>
      <c r="G3317" s="1268"/>
      <c r="H3317" s="714" t="s">
        <v>794</v>
      </c>
      <c r="I3317" s="1243" t="s">
        <v>1711</v>
      </c>
      <c r="J3317" s="1243"/>
      <c r="K3317" s="1244"/>
      <c r="L3317" s="664"/>
    </row>
    <row r="3318" spans="3:12">
      <c r="C3318" s="660"/>
      <c r="D3318" s="666" t="s">
        <v>433</v>
      </c>
      <c r="E3318" s="1269"/>
      <c r="F3318" s="1270"/>
      <c r="G3318" s="1271"/>
      <c r="H3318" s="715" t="s">
        <v>795</v>
      </c>
      <c r="I3318" s="1246"/>
      <c r="J3318" s="1246"/>
      <c r="K3318" s="1247"/>
      <c r="L3318" s="664"/>
    </row>
    <row r="3319" spans="3:12">
      <c r="C3319" s="660"/>
      <c r="D3319" s="666" t="s">
        <v>434</v>
      </c>
      <c r="E3319" s="1278">
        <v>45.5</v>
      </c>
      <c r="F3319" s="1270"/>
      <c r="G3319" s="1271"/>
      <c r="H3319" s="715"/>
      <c r="I3319" s="1246"/>
      <c r="J3319" s="1246"/>
      <c r="K3319" s="1247"/>
      <c r="L3319" s="664"/>
    </row>
    <row r="3320" spans="3:12" ht="17" thickBot="1">
      <c r="C3320" s="660"/>
      <c r="D3320" s="668" t="s">
        <v>435</v>
      </c>
      <c r="E3320" s="1275">
        <v>0.57291666666666674</v>
      </c>
      <c r="F3320" s="1276"/>
      <c r="G3320" s="1277"/>
      <c r="H3320" s="716"/>
      <c r="I3320" s="1246"/>
      <c r="J3320" s="1246"/>
      <c r="K3320" s="1247"/>
      <c r="L3320" s="669">
        <v>0.80208333333333337</v>
      </c>
    </row>
    <row r="3321" spans="3:12" ht="17" thickBot="1">
      <c r="C3321" s="660"/>
      <c r="D3321" s="671" t="s">
        <v>436</v>
      </c>
      <c r="E3321" s="672" t="s">
        <v>29</v>
      </c>
      <c r="F3321" s="672" t="s">
        <v>28</v>
      </c>
      <c r="G3321" s="673" t="s">
        <v>27</v>
      </c>
      <c r="H3321" s="712" t="s">
        <v>793</v>
      </c>
      <c r="I3321" s="1246"/>
      <c r="J3321" s="1246"/>
      <c r="K3321" s="1247"/>
      <c r="L3321" s="675" t="s">
        <v>1246</v>
      </c>
    </row>
    <row r="3322" spans="3:12">
      <c r="C3322" s="660"/>
      <c r="D3322" s="717">
        <v>45716</v>
      </c>
      <c r="E3322" s="742">
        <v>45.5</v>
      </c>
      <c r="F3322" s="742" t="s">
        <v>1778</v>
      </c>
      <c r="G3322" s="742">
        <v>39.5</v>
      </c>
      <c r="H3322" s="718">
        <v>0.61458333333333337</v>
      </c>
      <c r="I3322" s="1246"/>
      <c r="J3322" s="1246"/>
      <c r="K3322" s="1247"/>
      <c r="L3322" s="679">
        <v>0.84375</v>
      </c>
    </row>
    <row r="3323" spans="3:12">
      <c r="C3323" s="660"/>
      <c r="D3323" s="717">
        <v>45688</v>
      </c>
      <c r="E3323" s="742">
        <v>39.5</v>
      </c>
      <c r="F3323" s="742" t="s">
        <v>1655</v>
      </c>
      <c r="G3323" s="742">
        <v>36.9</v>
      </c>
      <c r="H3323" s="718">
        <v>0.61458333333333337</v>
      </c>
      <c r="I3323" s="1246"/>
      <c r="J3323" s="1246"/>
      <c r="K3323" s="1247"/>
      <c r="L3323" s="679">
        <v>0.84375</v>
      </c>
    </row>
    <row r="3324" spans="3:12">
      <c r="C3324" s="660"/>
      <c r="D3324" s="717">
        <v>45656</v>
      </c>
      <c r="E3324" s="742">
        <v>36.9</v>
      </c>
      <c r="F3324" s="742" t="s">
        <v>1556</v>
      </c>
      <c r="G3324" s="742">
        <v>40.200000000000003</v>
      </c>
      <c r="H3324" s="718">
        <v>0.61458333333333337</v>
      </c>
      <c r="I3324" s="1246"/>
      <c r="J3324" s="1246"/>
      <c r="K3324" s="1247"/>
      <c r="L3324" s="679">
        <v>0.84375</v>
      </c>
    </row>
    <row r="3325" spans="3:12">
      <c r="C3325" s="660"/>
      <c r="D3325" s="717">
        <v>45625</v>
      </c>
      <c r="E3325" s="742">
        <v>40.200000000000003</v>
      </c>
      <c r="F3325" s="742" t="s">
        <v>477</v>
      </c>
      <c r="G3325" s="742">
        <v>41.6</v>
      </c>
      <c r="H3325" s="718">
        <v>0.61458333333333337</v>
      </c>
      <c r="I3325" s="1246"/>
      <c r="J3325" s="1246"/>
      <c r="K3325" s="1247"/>
      <c r="L3325" s="679">
        <v>0.84375</v>
      </c>
    </row>
    <row r="3326" spans="3:12">
      <c r="C3326" s="660"/>
      <c r="D3326" s="717">
        <v>45596</v>
      </c>
      <c r="E3326" s="742">
        <v>41.6</v>
      </c>
      <c r="F3326" s="742" t="s">
        <v>1126</v>
      </c>
      <c r="G3326" s="742">
        <v>46.6</v>
      </c>
      <c r="H3326" s="718">
        <v>0.57291666666666674</v>
      </c>
      <c r="I3326" s="1246"/>
      <c r="J3326" s="1246"/>
      <c r="K3326" s="1247"/>
      <c r="L3326" s="679">
        <v>0.80208333333333337</v>
      </c>
    </row>
    <row r="3327" spans="3:12" ht="17" thickBot="1">
      <c r="C3327" s="660"/>
      <c r="D3327" s="717">
        <v>45565</v>
      </c>
      <c r="E3327" s="742">
        <v>46.6</v>
      </c>
      <c r="F3327" s="742" t="s">
        <v>899</v>
      </c>
      <c r="G3327" s="742">
        <v>46.1</v>
      </c>
      <c r="H3327" s="718">
        <v>0.57291666666666674</v>
      </c>
      <c r="I3327" s="1249"/>
      <c r="J3327" s="1249"/>
      <c r="K3327" s="1250"/>
      <c r="L3327" s="679">
        <v>0.80208333333333337</v>
      </c>
    </row>
    <row r="3328" spans="3:12" ht="17" thickBot="1">
      <c r="C3328" s="660">
        <v>1</v>
      </c>
      <c r="D3328" s="671" t="s">
        <v>30</v>
      </c>
      <c r="E3328" s="1252" t="s">
        <v>1712</v>
      </c>
      <c r="F3328" s="1253"/>
      <c r="G3328" s="1254"/>
      <c r="H3328" s="712" t="s">
        <v>790</v>
      </c>
      <c r="I3328" s="1256" t="s">
        <v>633</v>
      </c>
      <c r="J3328" s="1256"/>
      <c r="K3328" s="1257"/>
      <c r="L3328" s="674" t="s">
        <v>430</v>
      </c>
    </row>
    <row r="3329" spans="3:12">
      <c r="C3329" s="660"/>
      <c r="D3329" s="663" t="s">
        <v>432</v>
      </c>
      <c r="E3329" s="1266"/>
      <c r="F3329" s="1267"/>
      <c r="G3329" s="1268"/>
      <c r="H3329" s="714" t="s">
        <v>904</v>
      </c>
      <c r="I3329" s="1243" t="s">
        <v>1713</v>
      </c>
      <c r="J3329" s="1243"/>
      <c r="K3329" s="1244"/>
      <c r="L3329" s="664"/>
    </row>
    <row r="3330" spans="3:12">
      <c r="C3330" s="660"/>
      <c r="D3330" s="666" t="s">
        <v>433</v>
      </c>
      <c r="E3330" s="1269"/>
      <c r="F3330" s="1270"/>
      <c r="G3330" s="1271"/>
      <c r="H3330" s="715" t="s">
        <v>905</v>
      </c>
      <c r="I3330" s="1246"/>
      <c r="J3330" s="1246"/>
      <c r="K3330" s="1247"/>
      <c r="L3330" s="664"/>
    </row>
    <row r="3331" spans="3:12">
      <c r="C3331" s="660"/>
      <c r="D3331" s="666" t="s">
        <v>434</v>
      </c>
      <c r="E3331" s="1272">
        <v>4.1000000000000002E-2</v>
      </c>
      <c r="F3331" s="1273"/>
      <c r="G3331" s="1274"/>
      <c r="H3331" s="715"/>
      <c r="I3331" s="1246"/>
      <c r="J3331" s="1246"/>
      <c r="K3331" s="1247"/>
      <c r="L3331" s="664"/>
    </row>
    <row r="3332" spans="3:12" ht="17" thickBot="1">
      <c r="C3332" s="660"/>
      <c r="D3332" s="668" t="s">
        <v>435</v>
      </c>
      <c r="E3332" s="1275">
        <v>0.14583333333333334</v>
      </c>
      <c r="F3332" s="1276"/>
      <c r="G3332" s="1277"/>
      <c r="H3332" s="716"/>
      <c r="I3332" s="1246"/>
      <c r="J3332" s="1246"/>
      <c r="K3332" s="1247"/>
      <c r="L3332" s="669">
        <v>0.375</v>
      </c>
    </row>
    <row r="3333" spans="3:12" ht="17" thickBot="1">
      <c r="C3333" s="660"/>
      <c r="D3333" s="671" t="s">
        <v>436</v>
      </c>
      <c r="E3333" s="672" t="s">
        <v>29</v>
      </c>
      <c r="F3333" s="672" t="s">
        <v>28</v>
      </c>
      <c r="G3333" s="673" t="s">
        <v>27</v>
      </c>
      <c r="H3333" s="712" t="s">
        <v>793</v>
      </c>
      <c r="I3333" s="1246"/>
      <c r="J3333" s="1246"/>
      <c r="K3333" s="1247"/>
      <c r="L3333" s="675" t="s">
        <v>1246</v>
      </c>
    </row>
    <row r="3334" spans="3:12">
      <c r="C3334" s="660"/>
      <c r="D3334" s="717">
        <v>45706</v>
      </c>
      <c r="E3334" s="720">
        <v>4.1000000000000002E-2</v>
      </c>
      <c r="F3334" s="720" t="s">
        <v>1780</v>
      </c>
      <c r="G3334" s="720">
        <v>4.3499999999999997E-2</v>
      </c>
      <c r="H3334" s="718">
        <v>0.14583333333333334</v>
      </c>
      <c r="I3334" s="1246"/>
      <c r="J3334" s="1246"/>
      <c r="K3334" s="1247"/>
      <c r="L3334" s="679">
        <v>0.375</v>
      </c>
    </row>
    <row r="3335" spans="3:12">
      <c r="C3335" s="660"/>
      <c r="D3335" s="717">
        <v>45636</v>
      </c>
      <c r="E3335" s="720">
        <v>4.3499999999999997E-2</v>
      </c>
      <c r="F3335" s="720" t="s">
        <v>938</v>
      </c>
      <c r="G3335" s="720">
        <v>4.3499999999999997E-2</v>
      </c>
      <c r="H3335" s="718">
        <v>0.14583333333333334</v>
      </c>
      <c r="I3335" s="1246"/>
      <c r="J3335" s="1246"/>
      <c r="K3335" s="1247"/>
      <c r="L3335" s="679">
        <v>0.375</v>
      </c>
    </row>
    <row r="3336" spans="3:12">
      <c r="C3336" s="660"/>
      <c r="D3336" s="717">
        <v>45601</v>
      </c>
      <c r="E3336" s="720">
        <v>4.3499999999999997E-2</v>
      </c>
      <c r="F3336" s="720" t="s">
        <v>938</v>
      </c>
      <c r="G3336" s="720">
        <v>4.3499999999999997E-2</v>
      </c>
      <c r="H3336" s="718">
        <v>0.14583333333333334</v>
      </c>
      <c r="I3336" s="1246"/>
      <c r="J3336" s="1246"/>
      <c r="K3336" s="1247"/>
      <c r="L3336" s="679">
        <v>0.375</v>
      </c>
    </row>
    <row r="3337" spans="3:12">
      <c r="C3337" s="660"/>
      <c r="D3337" s="717">
        <v>45559</v>
      </c>
      <c r="E3337" s="720">
        <v>4.3499999999999997E-2</v>
      </c>
      <c r="F3337" s="720" t="s">
        <v>938</v>
      </c>
      <c r="G3337" s="720">
        <v>4.3499999999999997E-2</v>
      </c>
      <c r="H3337" s="718">
        <v>0.18750000000000003</v>
      </c>
      <c r="I3337" s="1246"/>
      <c r="J3337" s="1246"/>
      <c r="K3337" s="1247"/>
      <c r="L3337" s="679">
        <v>0.41666666666666669</v>
      </c>
    </row>
    <row r="3338" spans="3:12">
      <c r="C3338" s="660"/>
      <c r="D3338" s="717">
        <v>45510</v>
      </c>
      <c r="E3338" s="720">
        <v>4.3499999999999997E-2</v>
      </c>
      <c r="F3338" s="720" t="s">
        <v>938</v>
      </c>
      <c r="G3338" s="720">
        <v>4.3499999999999997E-2</v>
      </c>
      <c r="H3338" s="718">
        <v>0.18750000000000003</v>
      </c>
      <c r="I3338" s="1246"/>
      <c r="J3338" s="1246"/>
      <c r="K3338" s="1247"/>
      <c r="L3338" s="679">
        <v>0.41666666666666669</v>
      </c>
    </row>
    <row r="3339" spans="3:12" ht="17" thickBot="1">
      <c r="C3339" s="660"/>
      <c r="D3339" s="717">
        <v>45461</v>
      </c>
      <c r="E3339" s="720">
        <v>4.3499999999999997E-2</v>
      </c>
      <c r="F3339" s="720" t="s">
        <v>938</v>
      </c>
      <c r="G3339" s="720">
        <v>4.3499999999999997E-2</v>
      </c>
      <c r="H3339" s="718">
        <v>0.18750000000000003</v>
      </c>
      <c r="I3339" s="1249"/>
      <c r="J3339" s="1249"/>
      <c r="K3339" s="1250"/>
      <c r="L3339" s="679">
        <v>0.41666666666666669</v>
      </c>
    </row>
    <row r="3340" spans="3:12" ht="17" thickBot="1">
      <c r="C3340" s="660">
        <v>1</v>
      </c>
      <c r="D3340" s="671" t="s">
        <v>30</v>
      </c>
      <c r="E3340" s="1252" t="s">
        <v>1714</v>
      </c>
      <c r="F3340" s="1253"/>
      <c r="G3340" s="1254"/>
      <c r="H3340" s="712" t="s">
        <v>790</v>
      </c>
      <c r="I3340" s="1256" t="s">
        <v>633</v>
      </c>
      <c r="J3340" s="1256"/>
      <c r="K3340" s="1257"/>
      <c r="L3340" s="674" t="s">
        <v>430</v>
      </c>
    </row>
    <row r="3341" spans="3:12">
      <c r="C3341" s="660"/>
      <c r="D3341" s="663" t="s">
        <v>432</v>
      </c>
      <c r="E3341" s="1266"/>
      <c r="F3341" s="1267"/>
      <c r="G3341" s="1268"/>
      <c r="H3341" s="930" t="s">
        <v>909</v>
      </c>
      <c r="I3341" s="1243" t="s">
        <v>1715</v>
      </c>
      <c r="J3341" s="1243"/>
      <c r="K3341" s="1244"/>
      <c r="L3341" s="664"/>
    </row>
    <row r="3342" spans="3:12">
      <c r="C3342" s="660"/>
      <c r="D3342" s="666" t="s">
        <v>433</v>
      </c>
      <c r="E3342" s="1269"/>
      <c r="F3342" s="1270"/>
      <c r="G3342" s="1271"/>
      <c r="H3342" s="930" t="s">
        <v>910</v>
      </c>
      <c r="I3342" s="1246"/>
      <c r="J3342" s="1246"/>
      <c r="K3342" s="1247"/>
      <c r="L3342" s="664"/>
    </row>
    <row r="3343" spans="3:12">
      <c r="C3343" s="660"/>
      <c r="D3343" s="666" t="s">
        <v>434</v>
      </c>
      <c r="E3343" s="1287">
        <v>2.3E-2</v>
      </c>
      <c r="F3343" s="1288"/>
      <c r="G3343" s="1289"/>
      <c r="H3343" s="715"/>
      <c r="I3343" s="1246"/>
      <c r="J3343" s="1246"/>
      <c r="K3343" s="1247"/>
      <c r="L3343" s="664"/>
    </row>
    <row r="3344" spans="3:12" ht="17" thickBot="1">
      <c r="C3344" s="660"/>
      <c r="D3344" s="668" t="s">
        <v>435</v>
      </c>
      <c r="E3344" s="1275">
        <v>0.375</v>
      </c>
      <c r="F3344" s="1276"/>
      <c r="G3344" s="1277"/>
      <c r="H3344" s="716"/>
      <c r="I3344" s="1246"/>
      <c r="J3344" s="1246"/>
      <c r="K3344" s="1247"/>
      <c r="L3344" s="669">
        <v>0.60416666666666663</v>
      </c>
    </row>
    <row r="3345" spans="3:12" ht="17" thickBot="1">
      <c r="C3345" s="660"/>
      <c r="D3345" s="671" t="s">
        <v>436</v>
      </c>
      <c r="E3345" s="672" t="s">
        <v>29</v>
      </c>
      <c r="F3345" s="672" t="s">
        <v>28</v>
      </c>
      <c r="G3345" s="673" t="s">
        <v>27</v>
      </c>
      <c r="H3345" s="712" t="s">
        <v>793</v>
      </c>
      <c r="I3345" s="1246"/>
      <c r="J3345" s="1246"/>
      <c r="K3345" s="1247"/>
      <c r="L3345" s="675" t="s">
        <v>1246</v>
      </c>
    </row>
    <row r="3346" spans="3:12">
      <c r="C3346" s="660"/>
      <c r="D3346" s="717">
        <v>45735</v>
      </c>
      <c r="E3346" s="691">
        <v>2.3E-2</v>
      </c>
      <c r="F3346" s="691" t="s">
        <v>1447</v>
      </c>
      <c r="G3346" s="691">
        <v>2.5000000000000001E-2</v>
      </c>
      <c r="H3346" s="718">
        <v>0.41666666666666674</v>
      </c>
      <c r="I3346" s="1246"/>
      <c r="J3346" s="1246"/>
      <c r="K3346" s="1247"/>
      <c r="L3346" s="679">
        <v>0.64583333333333337</v>
      </c>
    </row>
    <row r="3347" spans="3:12">
      <c r="C3347" s="660"/>
      <c r="D3347" s="717">
        <v>45719</v>
      </c>
      <c r="E3347" s="691">
        <v>2.4E-2</v>
      </c>
      <c r="F3347" s="691" t="s">
        <v>971</v>
      </c>
      <c r="G3347" s="691">
        <v>2.5000000000000001E-2</v>
      </c>
      <c r="H3347" s="718">
        <v>0.41666666666666674</v>
      </c>
      <c r="I3347" s="1246"/>
      <c r="J3347" s="1246"/>
      <c r="K3347" s="1247"/>
      <c r="L3347" s="679">
        <v>0.64583333333333337</v>
      </c>
    </row>
    <row r="3348" spans="3:12">
      <c r="C3348" s="660"/>
      <c r="D3348" s="717">
        <v>45712</v>
      </c>
      <c r="E3348" s="691">
        <v>2.5000000000000001E-2</v>
      </c>
      <c r="F3348" s="691" t="s">
        <v>495</v>
      </c>
      <c r="G3348" s="691">
        <v>2.4E-2</v>
      </c>
      <c r="H3348" s="718">
        <v>0.41666666666666674</v>
      </c>
      <c r="I3348" s="1246"/>
      <c r="J3348" s="1246"/>
      <c r="K3348" s="1247"/>
      <c r="L3348" s="679">
        <v>0.64583333333333337</v>
      </c>
    </row>
    <row r="3349" spans="3:12">
      <c r="C3349" s="660"/>
      <c r="D3349" s="717">
        <v>45691</v>
      </c>
      <c r="E3349" s="691">
        <v>2.5000000000000001E-2</v>
      </c>
      <c r="F3349" s="691" t="s">
        <v>1447</v>
      </c>
      <c r="G3349" s="691">
        <v>2.4E-2</v>
      </c>
      <c r="H3349" s="718">
        <v>0.41666666666666674</v>
      </c>
      <c r="I3349" s="1246"/>
      <c r="J3349" s="1246"/>
      <c r="K3349" s="1247"/>
      <c r="L3349" s="679">
        <v>0.64583333333333337</v>
      </c>
    </row>
    <row r="3350" spans="3:12">
      <c r="C3350" s="660"/>
      <c r="D3350" s="717">
        <v>45674</v>
      </c>
      <c r="E3350" s="691">
        <v>2.4E-2</v>
      </c>
      <c r="F3350" s="691" t="s">
        <v>1447</v>
      </c>
      <c r="G3350" s="691">
        <v>2.1999999999999999E-2</v>
      </c>
      <c r="H3350" s="718">
        <v>0.41666666666666674</v>
      </c>
      <c r="I3350" s="1246"/>
      <c r="J3350" s="1246"/>
      <c r="K3350" s="1247"/>
      <c r="L3350" s="679">
        <v>0.64583333333333337</v>
      </c>
    </row>
    <row r="3351" spans="3:12" ht="17" thickBot="1">
      <c r="C3351" s="660"/>
      <c r="D3351" s="717">
        <v>45664</v>
      </c>
      <c r="E3351" s="691">
        <v>2.4E-2</v>
      </c>
      <c r="F3351" s="691" t="s">
        <v>1447</v>
      </c>
      <c r="G3351" s="691">
        <v>2.1999999999999999E-2</v>
      </c>
      <c r="H3351" s="718">
        <v>0.41666666666666674</v>
      </c>
      <c r="I3351" s="1249"/>
      <c r="J3351" s="1249"/>
      <c r="K3351" s="1250"/>
      <c r="L3351" s="679">
        <v>0.64583333333333337</v>
      </c>
    </row>
    <row r="3352" spans="3:12" ht="17" thickBot="1">
      <c r="C3352" s="660">
        <v>1</v>
      </c>
      <c r="D3352" s="671" t="s">
        <v>30</v>
      </c>
      <c r="E3352" s="1252" t="s">
        <v>1716</v>
      </c>
      <c r="F3352" s="1253"/>
      <c r="G3352" s="1254"/>
      <c r="H3352" s="712" t="s">
        <v>790</v>
      </c>
      <c r="I3352" s="1256" t="s">
        <v>633</v>
      </c>
      <c r="J3352" s="1256"/>
      <c r="K3352" s="1257"/>
      <c r="L3352" s="674" t="s">
        <v>430</v>
      </c>
    </row>
    <row r="3353" spans="3:12">
      <c r="C3353" s="660"/>
      <c r="D3353" s="663" t="s">
        <v>432</v>
      </c>
      <c r="E3353" s="1266"/>
      <c r="F3353" s="1267"/>
      <c r="G3353" s="1268"/>
      <c r="H3353" s="930" t="s">
        <v>909</v>
      </c>
      <c r="I3353" s="1243" t="s">
        <v>1717</v>
      </c>
      <c r="J3353" s="1243"/>
      <c r="K3353" s="1244"/>
      <c r="L3353" s="664"/>
    </row>
    <row r="3354" spans="3:12">
      <c r="C3354" s="660"/>
      <c r="D3354" s="666" t="s">
        <v>433</v>
      </c>
      <c r="E3354" s="1269"/>
      <c r="F3354" s="1270"/>
      <c r="G3354" s="1271"/>
      <c r="H3354" s="930" t="s">
        <v>910</v>
      </c>
      <c r="I3354" s="1246"/>
      <c r="J3354" s="1246"/>
      <c r="K3354" s="1247"/>
      <c r="L3354" s="664"/>
    </row>
    <row r="3355" spans="3:12">
      <c r="C3355" s="660"/>
      <c r="D3355" s="666" t="s">
        <v>434</v>
      </c>
      <c r="E3355" s="1287">
        <v>52.7</v>
      </c>
      <c r="F3355" s="1288"/>
      <c r="G3355" s="1289"/>
      <c r="H3355" s="715"/>
      <c r="I3355" s="1246"/>
      <c r="J3355" s="1246"/>
      <c r="K3355" s="1247"/>
      <c r="L3355" s="664"/>
    </row>
    <row r="3356" spans="3:12" ht="17" thickBot="1">
      <c r="C3356" s="660"/>
      <c r="D3356" s="668" t="s">
        <v>435</v>
      </c>
      <c r="E3356" s="1275">
        <v>0.57291666666666674</v>
      </c>
      <c r="F3356" s="1276"/>
      <c r="G3356" s="1277"/>
      <c r="H3356" s="716"/>
      <c r="I3356" s="1246"/>
      <c r="J3356" s="1246"/>
      <c r="K3356" s="1247"/>
      <c r="L3356" s="669">
        <v>0.80208333333333337</v>
      </c>
    </row>
    <row r="3357" spans="3:12" ht="17" thickBot="1">
      <c r="C3357" s="660"/>
      <c r="D3357" s="671" t="s">
        <v>436</v>
      </c>
      <c r="E3357" s="672" t="s">
        <v>29</v>
      </c>
      <c r="F3357" s="672" t="s">
        <v>28</v>
      </c>
      <c r="G3357" s="673" t="s">
        <v>27</v>
      </c>
      <c r="H3357" s="712" t="s">
        <v>793</v>
      </c>
      <c r="I3357" s="1246"/>
      <c r="J3357" s="1246"/>
      <c r="K3357" s="1247"/>
      <c r="L3357" s="675" t="s">
        <v>1246</v>
      </c>
    </row>
    <row r="3358" spans="3:12">
      <c r="C3358" s="660"/>
      <c r="D3358" s="717">
        <v>45740</v>
      </c>
      <c r="E3358" s="693">
        <v>49.8</v>
      </c>
      <c r="F3358" s="693" t="s">
        <v>520</v>
      </c>
      <c r="G3358" s="693">
        <v>52.7</v>
      </c>
      <c r="H3358" s="718">
        <v>0.57291666666666674</v>
      </c>
      <c r="I3358" s="1246"/>
      <c r="J3358" s="1246"/>
      <c r="K3358" s="1247"/>
      <c r="L3358" s="679">
        <v>0.80208333333333337</v>
      </c>
    </row>
    <row r="3359" spans="3:12">
      <c r="C3359" s="660"/>
      <c r="D3359" s="717">
        <v>45719</v>
      </c>
      <c r="E3359" s="693">
        <v>52.7</v>
      </c>
      <c r="F3359" s="693" t="s">
        <v>1689</v>
      </c>
      <c r="G3359" s="693">
        <v>51.2</v>
      </c>
      <c r="H3359" s="718">
        <v>0.61458333333333337</v>
      </c>
      <c r="I3359" s="1246"/>
      <c r="J3359" s="1246"/>
      <c r="K3359" s="1247"/>
      <c r="L3359" s="679">
        <v>0.84375</v>
      </c>
    </row>
    <row r="3360" spans="3:12">
      <c r="C3360" s="660"/>
      <c r="D3360" s="717">
        <v>45740</v>
      </c>
      <c r="E3360" s="693">
        <v>49.8</v>
      </c>
      <c r="F3360" s="693" t="s">
        <v>520</v>
      </c>
      <c r="G3360" s="693">
        <v>52.7</v>
      </c>
      <c r="H3360" s="718">
        <v>0.57291666666666674</v>
      </c>
      <c r="I3360" s="1246"/>
      <c r="J3360" s="1246"/>
      <c r="K3360" s="1247"/>
      <c r="L3360" s="679">
        <v>0.80208333333333337</v>
      </c>
    </row>
    <row r="3361" spans="3:12">
      <c r="C3361" s="660"/>
      <c r="D3361" s="717">
        <v>45719</v>
      </c>
      <c r="E3361" s="693">
        <v>52.7</v>
      </c>
      <c r="F3361" s="693" t="s">
        <v>1689</v>
      </c>
      <c r="G3361" s="693">
        <v>51.2</v>
      </c>
      <c r="H3361" s="718">
        <v>0.61458333333333337</v>
      </c>
      <c r="I3361" s="1246"/>
      <c r="J3361" s="1246"/>
      <c r="K3361" s="1247"/>
      <c r="L3361" s="679">
        <v>0.84375</v>
      </c>
    </row>
    <row r="3362" spans="3:12">
      <c r="C3362" s="660"/>
      <c r="D3362" s="717">
        <v>45740</v>
      </c>
      <c r="E3362" s="693">
        <v>49.8</v>
      </c>
      <c r="F3362" s="693" t="s">
        <v>520</v>
      </c>
      <c r="G3362" s="693">
        <v>52.7</v>
      </c>
      <c r="H3362" s="718">
        <v>0.57291666666666674</v>
      </c>
      <c r="I3362" s="1246"/>
      <c r="J3362" s="1246"/>
      <c r="K3362" s="1247"/>
      <c r="L3362" s="679">
        <v>0.80208333333333337</v>
      </c>
    </row>
    <row r="3363" spans="3:12" ht="17" thickBot="1">
      <c r="C3363" s="660"/>
      <c r="D3363" s="717">
        <v>45719</v>
      </c>
      <c r="E3363" s="693">
        <v>52.7</v>
      </c>
      <c r="F3363" s="693" t="s">
        <v>1689</v>
      </c>
      <c r="G3363" s="693">
        <v>51.2</v>
      </c>
      <c r="H3363" s="718">
        <v>0.61458333333333337</v>
      </c>
      <c r="I3363" s="1249"/>
      <c r="J3363" s="1249"/>
      <c r="K3363" s="1250"/>
      <c r="L3363" s="679">
        <v>0.84375</v>
      </c>
    </row>
    <row r="3364" spans="3:12" ht="17" thickBot="1">
      <c r="C3364" s="660">
        <v>1</v>
      </c>
      <c r="D3364" s="671" t="s">
        <v>30</v>
      </c>
      <c r="E3364" s="1252" t="s">
        <v>1718</v>
      </c>
      <c r="F3364" s="1253"/>
      <c r="G3364" s="1254"/>
      <c r="H3364" s="712" t="s">
        <v>790</v>
      </c>
      <c r="I3364" s="1256" t="s">
        <v>633</v>
      </c>
      <c r="J3364" s="1256"/>
      <c r="K3364" s="1257"/>
      <c r="L3364" s="674" t="s">
        <v>430</v>
      </c>
    </row>
    <row r="3365" spans="3:12">
      <c r="C3365" s="660"/>
      <c r="D3365" s="663" t="s">
        <v>432</v>
      </c>
      <c r="E3365" s="1266"/>
      <c r="F3365" s="1267"/>
      <c r="G3365" s="1268"/>
      <c r="H3365" s="930" t="s">
        <v>794</v>
      </c>
      <c r="I3365" s="1243" t="s">
        <v>1719</v>
      </c>
      <c r="J3365" s="1243"/>
      <c r="K3365" s="1244"/>
      <c r="L3365" s="664"/>
    </row>
    <row r="3366" spans="3:12">
      <c r="C3366" s="660"/>
      <c r="D3366" s="666" t="s">
        <v>433</v>
      </c>
      <c r="E3366" s="1269"/>
      <c r="F3366" s="1270"/>
      <c r="G3366" s="1271"/>
      <c r="H3366" s="930" t="s">
        <v>795</v>
      </c>
      <c r="I3366" s="1246"/>
      <c r="J3366" s="1246"/>
      <c r="K3366" s="1247"/>
      <c r="L3366" s="664"/>
    </row>
    <row r="3367" spans="3:12">
      <c r="C3367" s="660"/>
      <c r="D3367" s="666" t="s">
        <v>434</v>
      </c>
      <c r="E3367" s="1278">
        <v>50.3</v>
      </c>
      <c r="F3367" s="1270"/>
      <c r="G3367" s="1271"/>
      <c r="H3367" s="715"/>
      <c r="I3367" s="1246"/>
      <c r="J3367" s="1246"/>
      <c r="K3367" s="1247"/>
      <c r="L3367" s="664"/>
    </row>
    <row r="3368" spans="3:12" ht="17" thickBot="1">
      <c r="C3368" s="660"/>
      <c r="D3368" s="668" t="s">
        <v>435</v>
      </c>
      <c r="E3368" s="1275">
        <v>0.58333333333333337</v>
      </c>
      <c r="F3368" s="1276"/>
      <c r="G3368" s="1277"/>
      <c r="H3368" s="716"/>
      <c r="I3368" s="1246"/>
      <c r="J3368" s="1246"/>
      <c r="K3368" s="1247"/>
      <c r="L3368" s="669">
        <v>0.8125</v>
      </c>
    </row>
    <row r="3369" spans="3:12" ht="17" thickBot="1">
      <c r="C3369" s="660"/>
      <c r="D3369" s="671" t="s">
        <v>436</v>
      </c>
      <c r="E3369" s="672" t="s">
        <v>29</v>
      </c>
      <c r="F3369" s="672" t="s">
        <v>28</v>
      </c>
      <c r="G3369" s="673" t="s">
        <v>27</v>
      </c>
      <c r="H3369" s="712" t="s">
        <v>793</v>
      </c>
      <c r="I3369" s="1246"/>
      <c r="J3369" s="1246"/>
      <c r="K3369" s="1247"/>
      <c r="L3369" s="675" t="s">
        <v>1246</v>
      </c>
    </row>
    <row r="3370" spans="3:12">
      <c r="C3370" s="660"/>
      <c r="D3370" s="717">
        <v>45719</v>
      </c>
      <c r="E3370" s="691" t="s">
        <v>1658</v>
      </c>
      <c r="F3370" s="691" t="s">
        <v>1789</v>
      </c>
      <c r="G3370" s="691" t="s">
        <v>1790</v>
      </c>
      <c r="H3370" s="718">
        <v>0.625</v>
      </c>
      <c r="I3370" s="1246"/>
      <c r="J3370" s="1246"/>
      <c r="K3370" s="1247"/>
      <c r="L3370" s="679">
        <v>0.85416666666666663</v>
      </c>
    </row>
    <row r="3371" spans="3:12">
      <c r="C3371" s="660"/>
      <c r="D3371" s="717">
        <v>45691</v>
      </c>
      <c r="E3371" s="691" t="s">
        <v>1790</v>
      </c>
      <c r="F3371" s="691" t="s">
        <v>1791</v>
      </c>
      <c r="G3371" s="691" t="s">
        <v>1170</v>
      </c>
      <c r="H3371" s="718">
        <v>0.625</v>
      </c>
      <c r="I3371" s="1246"/>
      <c r="J3371" s="1246"/>
      <c r="K3371" s="1247"/>
      <c r="L3371" s="679">
        <v>0.85416666666666663</v>
      </c>
    </row>
    <row r="3372" spans="3:12">
      <c r="C3372" s="660"/>
      <c r="D3372" s="717">
        <v>45660</v>
      </c>
      <c r="E3372" s="691" t="s">
        <v>1792</v>
      </c>
      <c r="F3372" s="691" t="s">
        <v>1793</v>
      </c>
      <c r="G3372" s="691" t="s">
        <v>1794</v>
      </c>
      <c r="H3372" s="718">
        <v>0.625</v>
      </c>
      <c r="I3372" s="1246"/>
      <c r="J3372" s="1246"/>
      <c r="K3372" s="1247"/>
      <c r="L3372" s="679">
        <v>0.85416666666666663</v>
      </c>
    </row>
    <row r="3373" spans="3:12">
      <c r="C3373" s="660"/>
      <c r="D3373" s="717">
        <v>45628</v>
      </c>
      <c r="E3373" s="691" t="s">
        <v>1794</v>
      </c>
      <c r="F3373" s="691" t="s">
        <v>1341</v>
      </c>
      <c r="G3373" s="691" t="s">
        <v>1163</v>
      </c>
      <c r="H3373" s="718">
        <v>0.625</v>
      </c>
      <c r="I3373" s="1246"/>
      <c r="J3373" s="1246"/>
      <c r="K3373" s="1247"/>
      <c r="L3373" s="679">
        <v>0.85416666666666663</v>
      </c>
    </row>
    <row r="3374" spans="3:12">
      <c r="C3374" s="660"/>
      <c r="D3374" s="717">
        <v>45597</v>
      </c>
      <c r="E3374" s="691" t="s">
        <v>1163</v>
      </c>
      <c r="F3374" s="691" t="s">
        <v>901</v>
      </c>
      <c r="G3374" s="691" t="s">
        <v>1165</v>
      </c>
      <c r="H3374" s="718">
        <v>0.58333333333333337</v>
      </c>
      <c r="I3374" s="1246"/>
      <c r="J3374" s="1246"/>
      <c r="K3374" s="1247"/>
      <c r="L3374" s="679">
        <v>0.8125</v>
      </c>
    </row>
    <row r="3375" spans="3:12" ht="17" thickBot="1">
      <c r="C3375" s="660"/>
      <c r="D3375" s="717">
        <v>45566</v>
      </c>
      <c r="E3375" s="691" t="s">
        <v>1165</v>
      </c>
      <c r="F3375" s="691" t="s">
        <v>901</v>
      </c>
      <c r="G3375" s="691" t="s">
        <v>1165</v>
      </c>
      <c r="H3375" s="718">
        <v>0.58333333333333337</v>
      </c>
      <c r="I3375" s="1249"/>
      <c r="J3375" s="1249"/>
      <c r="K3375" s="1250"/>
      <c r="L3375" s="679">
        <v>0.8125</v>
      </c>
    </row>
    <row r="3376" spans="3:12" ht="17" thickBot="1">
      <c r="C3376" s="660">
        <v>1</v>
      </c>
      <c r="D3376" s="671" t="s">
        <v>30</v>
      </c>
      <c r="E3376" s="1252" t="s">
        <v>1720</v>
      </c>
      <c r="F3376" s="1253"/>
      <c r="G3376" s="1254"/>
      <c r="H3376" s="712" t="s">
        <v>790</v>
      </c>
      <c r="I3376" s="1256" t="s">
        <v>633</v>
      </c>
      <c r="J3376" s="1256"/>
      <c r="K3376" s="1257"/>
      <c r="L3376" s="674" t="s">
        <v>430</v>
      </c>
    </row>
    <row r="3377" spans="3:12">
      <c r="C3377" s="660"/>
      <c r="D3377" s="663" t="s">
        <v>432</v>
      </c>
      <c r="E3377" s="1266"/>
      <c r="F3377" s="1267"/>
      <c r="G3377" s="1268"/>
      <c r="H3377" s="930" t="s">
        <v>794</v>
      </c>
      <c r="I3377" s="1243" t="s">
        <v>1721</v>
      </c>
      <c r="J3377" s="1243"/>
      <c r="K3377" s="1244"/>
      <c r="L3377" s="664"/>
    </row>
    <row r="3378" spans="3:12">
      <c r="C3378" s="660"/>
      <c r="D3378" s="666" t="s">
        <v>433</v>
      </c>
      <c r="E3378" s="1269"/>
      <c r="F3378" s="1270"/>
      <c r="G3378" s="1271"/>
      <c r="H3378" s="930" t="s">
        <v>795</v>
      </c>
      <c r="I3378" s="1246"/>
      <c r="J3378" s="1246"/>
      <c r="K3378" s="1247"/>
      <c r="L3378" s="664"/>
    </row>
    <row r="3379" spans="3:12">
      <c r="C3379" s="660"/>
      <c r="D3379" s="666" t="s">
        <v>434</v>
      </c>
      <c r="E3379" s="1278">
        <v>62.4</v>
      </c>
      <c r="F3379" s="1270"/>
      <c r="G3379" s="1271"/>
      <c r="H3379" s="715"/>
      <c r="I3379" s="1246"/>
      <c r="J3379" s="1246"/>
      <c r="K3379" s="1247"/>
      <c r="L3379" s="664"/>
    </row>
    <row r="3380" spans="3:12" ht="17" thickBot="1">
      <c r="C3380" s="660"/>
      <c r="D3380" s="668" t="s">
        <v>435</v>
      </c>
      <c r="E3380" s="1275">
        <v>0.58333333333333337</v>
      </c>
      <c r="F3380" s="1276"/>
      <c r="G3380" s="1277"/>
      <c r="H3380" s="716"/>
      <c r="I3380" s="1246"/>
      <c r="J3380" s="1246"/>
      <c r="K3380" s="1247"/>
      <c r="L3380" s="669">
        <v>0.8125</v>
      </c>
    </row>
    <row r="3381" spans="3:12" ht="17" thickBot="1">
      <c r="C3381" s="660"/>
      <c r="D3381" s="671" t="s">
        <v>436</v>
      </c>
      <c r="E3381" s="672" t="s">
        <v>29</v>
      </c>
      <c r="F3381" s="672" t="s">
        <v>28</v>
      </c>
      <c r="G3381" s="673" t="s">
        <v>27</v>
      </c>
      <c r="H3381" s="712" t="s">
        <v>793</v>
      </c>
      <c r="I3381" s="1246"/>
      <c r="J3381" s="1246"/>
      <c r="K3381" s="1247"/>
      <c r="L3381" s="675" t="s">
        <v>1246</v>
      </c>
    </row>
    <row r="3382" spans="3:12">
      <c r="C3382" s="660"/>
      <c r="D3382" s="717">
        <v>45719</v>
      </c>
      <c r="E3382" s="742">
        <v>62.4</v>
      </c>
      <c r="F3382" s="742" t="s">
        <v>1796</v>
      </c>
      <c r="G3382" s="742">
        <v>54.9</v>
      </c>
      <c r="H3382" s="718">
        <v>0.625</v>
      </c>
      <c r="I3382" s="1246"/>
      <c r="J3382" s="1246"/>
      <c r="K3382" s="1247"/>
      <c r="L3382" s="679">
        <v>0.85416666666666663</v>
      </c>
    </row>
    <row r="3383" spans="3:12">
      <c r="C3383" s="660"/>
      <c r="D3383" s="717">
        <v>45691</v>
      </c>
      <c r="E3383" s="742">
        <v>54.9</v>
      </c>
      <c r="F3383" s="742" t="s">
        <v>596</v>
      </c>
      <c r="G3383" s="742">
        <v>52.5</v>
      </c>
      <c r="H3383" s="718">
        <v>0.625</v>
      </c>
      <c r="I3383" s="1246"/>
      <c r="J3383" s="1246"/>
      <c r="K3383" s="1247"/>
      <c r="L3383" s="679">
        <v>0.85416666666666663</v>
      </c>
    </row>
    <row r="3384" spans="3:12">
      <c r="C3384" s="660"/>
      <c r="D3384" s="717">
        <v>45660</v>
      </c>
      <c r="E3384" s="742">
        <v>52.5</v>
      </c>
      <c r="F3384" s="742" t="s">
        <v>1797</v>
      </c>
      <c r="G3384" s="742">
        <v>50.3</v>
      </c>
      <c r="H3384" s="718">
        <v>0.625</v>
      </c>
      <c r="I3384" s="1246"/>
      <c r="J3384" s="1246"/>
      <c r="K3384" s="1247"/>
      <c r="L3384" s="679">
        <v>0.85416666666666663</v>
      </c>
    </row>
    <row r="3385" spans="3:12">
      <c r="C3385" s="660"/>
      <c r="D3385" s="717">
        <v>45628</v>
      </c>
      <c r="E3385" s="742">
        <v>50.3</v>
      </c>
      <c r="F3385" s="742" t="s">
        <v>586</v>
      </c>
      <c r="G3385" s="742">
        <v>54.8</v>
      </c>
      <c r="H3385" s="718">
        <v>0.625</v>
      </c>
      <c r="I3385" s="1246"/>
      <c r="J3385" s="1246"/>
      <c r="K3385" s="1247"/>
      <c r="L3385" s="679">
        <v>0.85416666666666663</v>
      </c>
    </row>
    <row r="3386" spans="3:12">
      <c r="C3386" s="660"/>
      <c r="D3386" s="717">
        <v>45597</v>
      </c>
      <c r="E3386" s="742">
        <v>54.8</v>
      </c>
      <c r="F3386" s="742" t="s">
        <v>1173</v>
      </c>
      <c r="G3386" s="742">
        <v>48.3</v>
      </c>
      <c r="H3386" s="718">
        <v>0.58333333333333337</v>
      </c>
      <c r="I3386" s="1246"/>
      <c r="J3386" s="1246"/>
      <c r="K3386" s="1247"/>
      <c r="L3386" s="679">
        <v>0.8125</v>
      </c>
    </row>
    <row r="3387" spans="3:12" ht="17" thickBot="1">
      <c r="C3387" s="660"/>
      <c r="D3387" s="717">
        <v>45566</v>
      </c>
      <c r="E3387" s="742">
        <v>48.3</v>
      </c>
      <c r="F3387" s="742" t="s">
        <v>902</v>
      </c>
      <c r="G3387" s="742">
        <v>54</v>
      </c>
      <c r="H3387" s="718">
        <v>0.58333333333333337</v>
      </c>
      <c r="I3387" s="1249"/>
      <c r="J3387" s="1249"/>
      <c r="K3387" s="1250"/>
      <c r="L3387" s="679">
        <v>0.8125</v>
      </c>
    </row>
    <row r="3388" spans="3:12" ht="17" thickBot="1">
      <c r="C3388" s="660">
        <v>1</v>
      </c>
      <c r="D3388" s="671" t="s">
        <v>30</v>
      </c>
      <c r="E3388" s="1252" t="s">
        <v>1722</v>
      </c>
      <c r="F3388" s="1253"/>
      <c r="G3388" s="1254"/>
      <c r="H3388" s="712" t="s">
        <v>790</v>
      </c>
      <c r="I3388" s="1256" t="s">
        <v>633</v>
      </c>
      <c r="J3388" s="1256"/>
      <c r="K3388" s="1257"/>
      <c r="L3388" s="674" t="s">
        <v>430</v>
      </c>
    </row>
    <row r="3389" spans="3:12">
      <c r="C3389" s="660"/>
      <c r="D3389" s="663" t="s">
        <v>432</v>
      </c>
      <c r="E3389" s="1266"/>
      <c r="F3389" s="1267"/>
      <c r="G3389" s="1268"/>
      <c r="H3389" s="930" t="s">
        <v>794</v>
      </c>
      <c r="I3389" s="1243" t="s">
        <v>1724</v>
      </c>
      <c r="J3389" s="1243"/>
      <c r="K3389" s="1244"/>
      <c r="L3389" s="664"/>
    </row>
    <row r="3390" spans="3:12">
      <c r="C3390" s="660"/>
      <c r="D3390" s="666" t="s">
        <v>433</v>
      </c>
      <c r="E3390" s="1269"/>
      <c r="F3390" s="1270"/>
      <c r="G3390" s="1271"/>
      <c r="H3390" s="930" t="s">
        <v>795</v>
      </c>
      <c r="I3390" s="1246"/>
      <c r="J3390" s="1246"/>
      <c r="K3390" s="1247"/>
      <c r="L3390" s="664"/>
    </row>
    <row r="3391" spans="3:12">
      <c r="C3391" s="660"/>
      <c r="D3391" s="666" t="s">
        <v>434</v>
      </c>
      <c r="E3391" s="1278" t="s">
        <v>1723</v>
      </c>
      <c r="F3391" s="1270"/>
      <c r="G3391" s="1271"/>
      <c r="H3391" s="715"/>
      <c r="I3391" s="1246"/>
      <c r="J3391" s="1246"/>
      <c r="K3391" s="1247"/>
      <c r="L3391" s="664"/>
    </row>
    <row r="3392" spans="3:12" ht="17" thickBot="1">
      <c r="C3392" s="660"/>
      <c r="D3392" s="668" t="s">
        <v>435</v>
      </c>
      <c r="E3392" s="1275">
        <v>0.58333333333333337</v>
      </c>
      <c r="F3392" s="1276"/>
      <c r="G3392" s="1277"/>
      <c r="H3392" s="716"/>
      <c r="I3392" s="1246"/>
      <c r="J3392" s="1246"/>
      <c r="K3392" s="1247"/>
      <c r="L3392" s="669">
        <v>0.8125</v>
      </c>
    </row>
    <row r="3393" spans="3:12" ht="17" thickBot="1">
      <c r="C3393" s="660"/>
      <c r="D3393" s="671" t="s">
        <v>436</v>
      </c>
      <c r="E3393" s="672" t="s">
        <v>29</v>
      </c>
      <c r="F3393" s="672" t="s">
        <v>28</v>
      </c>
      <c r="G3393" s="673" t="s">
        <v>27</v>
      </c>
      <c r="H3393" s="712" t="s">
        <v>793</v>
      </c>
      <c r="I3393" s="1246"/>
      <c r="J3393" s="1246"/>
      <c r="K3393" s="1247"/>
      <c r="L3393" s="675" t="s">
        <v>1246</v>
      </c>
    </row>
    <row r="3394" spans="3:12">
      <c r="C3394" s="660"/>
      <c r="D3394" s="717">
        <v>45727</v>
      </c>
      <c r="E3394" s="691" t="s">
        <v>1798</v>
      </c>
      <c r="F3394" s="691" t="s">
        <v>1799</v>
      </c>
      <c r="G3394" s="691" t="s">
        <v>1800</v>
      </c>
      <c r="H3394" s="718">
        <v>0.58333333333333337</v>
      </c>
      <c r="I3394" s="1246"/>
      <c r="J3394" s="1246"/>
      <c r="K3394" s="1247"/>
      <c r="L3394" s="679">
        <v>0.8125</v>
      </c>
    </row>
    <row r="3395" spans="3:12">
      <c r="C3395" s="660"/>
      <c r="D3395" s="717">
        <v>45692</v>
      </c>
      <c r="E3395" s="691" t="s">
        <v>1804</v>
      </c>
      <c r="F3395" s="691" t="s">
        <v>1805</v>
      </c>
      <c r="G3395" s="691" t="s">
        <v>1806</v>
      </c>
      <c r="H3395" s="718">
        <v>0.625</v>
      </c>
      <c r="I3395" s="1246"/>
      <c r="J3395" s="1246"/>
      <c r="K3395" s="1247"/>
      <c r="L3395" s="679">
        <v>0.85416666666666663</v>
      </c>
    </row>
    <row r="3396" spans="3:12">
      <c r="C3396" s="660"/>
      <c r="D3396" s="717">
        <v>45664</v>
      </c>
      <c r="E3396" s="691" t="s">
        <v>1811</v>
      </c>
      <c r="F3396" s="691" t="s">
        <v>1812</v>
      </c>
      <c r="G3396" s="691" t="s">
        <v>1813</v>
      </c>
      <c r="H3396" s="718">
        <v>0.625</v>
      </c>
      <c r="I3396" s="1246"/>
      <c r="J3396" s="1246"/>
      <c r="K3396" s="1247"/>
      <c r="L3396" s="679">
        <v>0.85416666666666663</v>
      </c>
    </row>
    <row r="3397" spans="3:12">
      <c r="C3397" s="660"/>
      <c r="D3397" s="717">
        <v>45629</v>
      </c>
      <c r="E3397" s="691" t="s">
        <v>1385</v>
      </c>
      <c r="F3397" s="691" t="s">
        <v>1386</v>
      </c>
      <c r="G3397" s="691" t="s">
        <v>1387</v>
      </c>
      <c r="H3397" s="718">
        <v>0.625</v>
      </c>
      <c r="I3397" s="1246"/>
      <c r="J3397" s="1246"/>
      <c r="K3397" s="1247"/>
      <c r="L3397" s="679">
        <v>0.85416666666666663</v>
      </c>
    </row>
    <row r="3398" spans="3:12">
      <c r="C3398" s="660"/>
      <c r="D3398" s="717">
        <v>45594</v>
      </c>
      <c r="E3398" s="691" t="s">
        <v>1174</v>
      </c>
      <c r="F3398" s="691" t="s">
        <v>1175</v>
      </c>
      <c r="G3398" s="691" t="s">
        <v>1176</v>
      </c>
      <c r="H3398" s="718">
        <v>0.58333333333333337</v>
      </c>
      <c r="I3398" s="1246"/>
      <c r="J3398" s="1246"/>
      <c r="K3398" s="1247"/>
      <c r="L3398" s="679">
        <v>0.8125</v>
      </c>
    </row>
    <row r="3399" spans="3:12" ht="17" thickBot="1">
      <c r="C3399" s="660"/>
      <c r="D3399" s="717">
        <v>45566</v>
      </c>
      <c r="E3399" s="691" t="s">
        <v>1177</v>
      </c>
      <c r="F3399" s="691" t="s">
        <v>1178</v>
      </c>
      <c r="G3399" s="691" t="s">
        <v>1179</v>
      </c>
      <c r="H3399" s="718">
        <v>0.58333333333333337</v>
      </c>
      <c r="I3399" s="1249"/>
      <c r="J3399" s="1249"/>
      <c r="K3399" s="1250"/>
      <c r="L3399" s="679">
        <v>0.8125</v>
      </c>
    </row>
    <row r="3400" spans="3:12" ht="17" thickBot="1">
      <c r="C3400" s="660">
        <v>1</v>
      </c>
      <c r="D3400" s="671" t="s">
        <v>30</v>
      </c>
      <c r="E3400" s="1252" t="s">
        <v>1725</v>
      </c>
      <c r="F3400" s="1253"/>
      <c r="G3400" s="1254"/>
      <c r="H3400" s="712" t="s">
        <v>790</v>
      </c>
      <c r="I3400" s="1256" t="s">
        <v>633</v>
      </c>
      <c r="J3400" s="1256"/>
      <c r="K3400" s="1257"/>
      <c r="L3400" s="674" t="s">
        <v>430</v>
      </c>
    </row>
    <row r="3401" spans="3:12">
      <c r="C3401" s="660"/>
      <c r="D3401" s="663" t="s">
        <v>432</v>
      </c>
      <c r="E3401" s="1266"/>
      <c r="F3401" s="1267"/>
      <c r="G3401" s="1268"/>
      <c r="H3401" s="930" t="s">
        <v>794</v>
      </c>
      <c r="I3401" s="1243" t="s">
        <v>1727</v>
      </c>
      <c r="J3401" s="1243"/>
      <c r="K3401" s="1244"/>
      <c r="L3401" s="664"/>
    </row>
    <row r="3402" spans="3:12">
      <c r="C3402" s="660"/>
      <c r="D3402" s="666" t="s">
        <v>433</v>
      </c>
      <c r="E3402" s="1269"/>
      <c r="F3402" s="1270"/>
      <c r="G3402" s="1271"/>
      <c r="H3402" s="930" t="s">
        <v>795</v>
      </c>
      <c r="I3402" s="1246"/>
      <c r="J3402" s="1246"/>
      <c r="K3402" s="1247"/>
      <c r="L3402" s="664"/>
    </row>
    <row r="3403" spans="3:12">
      <c r="C3403" s="660"/>
      <c r="D3403" s="666" t="s">
        <v>434</v>
      </c>
      <c r="E3403" s="1272" t="s">
        <v>1726</v>
      </c>
      <c r="F3403" s="1273"/>
      <c r="G3403" s="1274"/>
      <c r="H3403" s="715"/>
      <c r="I3403" s="1246"/>
      <c r="J3403" s="1246"/>
      <c r="K3403" s="1247"/>
      <c r="L3403" s="664"/>
    </row>
    <row r="3404" spans="3:12" ht="17" thickBot="1">
      <c r="C3404" s="660"/>
      <c r="D3404" s="668" t="s">
        <v>435</v>
      </c>
      <c r="E3404" s="1275">
        <v>0.51041666666666674</v>
      </c>
      <c r="F3404" s="1276"/>
      <c r="G3404" s="1277"/>
      <c r="H3404" s="716"/>
      <c r="I3404" s="1246"/>
      <c r="J3404" s="1246"/>
      <c r="K3404" s="1247"/>
      <c r="L3404" s="669">
        <v>0.73958333333333337</v>
      </c>
    </row>
    <row r="3405" spans="3:12" ht="17" thickBot="1">
      <c r="C3405" s="660"/>
      <c r="D3405" s="671" t="s">
        <v>436</v>
      </c>
      <c r="E3405" s="672" t="s">
        <v>29</v>
      </c>
      <c r="F3405" s="672" t="s">
        <v>28</v>
      </c>
      <c r="G3405" s="673" t="s">
        <v>27</v>
      </c>
      <c r="H3405" s="712" t="s">
        <v>793</v>
      </c>
      <c r="I3405" s="1246"/>
      <c r="J3405" s="1246"/>
      <c r="K3405" s="1247"/>
      <c r="L3405" s="675" t="s">
        <v>1246</v>
      </c>
    </row>
    <row r="3406" spans="3:12">
      <c r="C3406" s="660"/>
      <c r="D3406" s="717">
        <v>45721</v>
      </c>
      <c r="E3406" s="691" t="s">
        <v>1825</v>
      </c>
      <c r="F3406" s="691" t="s">
        <v>1826</v>
      </c>
      <c r="G3406" s="691" t="s">
        <v>1827</v>
      </c>
      <c r="H3406" s="718">
        <v>0.55208333333333337</v>
      </c>
      <c r="I3406" s="1246"/>
      <c r="J3406" s="1246"/>
      <c r="K3406" s="1247"/>
      <c r="L3406" s="679">
        <v>0.78125</v>
      </c>
    </row>
    <row r="3407" spans="3:12">
      <c r="C3407" s="660"/>
      <c r="D3407" s="717">
        <v>45693</v>
      </c>
      <c r="E3407" s="691" t="s">
        <v>1830</v>
      </c>
      <c r="F3407" s="691" t="s">
        <v>1831</v>
      </c>
      <c r="G3407" s="691" t="s">
        <v>1239</v>
      </c>
      <c r="H3407" s="718">
        <v>0.55208333333333337</v>
      </c>
      <c r="I3407" s="1246"/>
      <c r="J3407" s="1246"/>
      <c r="K3407" s="1247"/>
      <c r="L3407" s="679">
        <v>0.78125</v>
      </c>
    </row>
    <row r="3408" spans="3:12">
      <c r="C3408" s="660"/>
      <c r="D3408" s="717">
        <v>45665</v>
      </c>
      <c r="E3408" s="691" t="s">
        <v>1201</v>
      </c>
      <c r="F3408" s="691" t="s">
        <v>1834</v>
      </c>
      <c r="G3408" s="691" t="s">
        <v>1388</v>
      </c>
      <c r="H3408" s="718">
        <v>0.55208333333333337</v>
      </c>
      <c r="I3408" s="1246"/>
      <c r="J3408" s="1246"/>
      <c r="K3408" s="1247"/>
      <c r="L3408" s="679">
        <v>0.78125</v>
      </c>
    </row>
    <row r="3409" spans="3:12">
      <c r="C3409" s="660"/>
      <c r="D3409" s="717">
        <v>45630</v>
      </c>
      <c r="E3409" s="691" t="s">
        <v>1388</v>
      </c>
      <c r="F3409" s="691" t="s">
        <v>1389</v>
      </c>
      <c r="G3409" s="691" t="s">
        <v>1390</v>
      </c>
      <c r="H3409" s="718">
        <v>0.55208333333333337</v>
      </c>
      <c r="I3409" s="1246"/>
      <c r="J3409" s="1246"/>
      <c r="K3409" s="1247"/>
      <c r="L3409" s="679">
        <v>0.78125</v>
      </c>
    </row>
    <row r="3410" spans="3:12">
      <c r="C3410" s="660"/>
      <c r="D3410" s="717">
        <v>45595</v>
      </c>
      <c r="E3410" s="691" t="s">
        <v>1192</v>
      </c>
      <c r="F3410" s="691" t="s">
        <v>1193</v>
      </c>
      <c r="G3410" s="691" t="s">
        <v>1194</v>
      </c>
      <c r="H3410" s="718">
        <v>0.51041666666666674</v>
      </c>
      <c r="I3410" s="1246"/>
      <c r="J3410" s="1246"/>
      <c r="K3410" s="1247"/>
      <c r="L3410" s="679">
        <v>0.73958333333333337</v>
      </c>
    </row>
    <row r="3411" spans="3:12" ht="17" thickBot="1">
      <c r="C3411" s="660"/>
      <c r="D3411" s="717">
        <v>45567</v>
      </c>
      <c r="E3411" s="691" t="s">
        <v>1195</v>
      </c>
      <c r="F3411" s="691" t="s">
        <v>1196</v>
      </c>
      <c r="G3411" s="691" t="s">
        <v>1197</v>
      </c>
      <c r="H3411" s="718">
        <v>0.51041666666666674</v>
      </c>
      <c r="I3411" s="1249"/>
      <c r="J3411" s="1249"/>
      <c r="K3411" s="1250"/>
      <c r="L3411" s="679">
        <v>0.73958333333333337</v>
      </c>
    </row>
    <row r="3412" spans="3:12" ht="17" thickBot="1">
      <c r="C3412" s="660">
        <v>1</v>
      </c>
      <c r="D3412" s="671" t="s">
        <v>30</v>
      </c>
      <c r="E3412" s="1252" t="s">
        <v>1503</v>
      </c>
      <c r="F3412" s="1253"/>
      <c r="G3412" s="1254"/>
      <c r="H3412" s="712" t="s">
        <v>790</v>
      </c>
      <c r="I3412" s="1256" t="s">
        <v>633</v>
      </c>
      <c r="J3412" s="1256"/>
      <c r="K3412" s="1257"/>
      <c r="L3412" s="674" t="s">
        <v>430</v>
      </c>
    </row>
    <row r="3413" spans="3:12">
      <c r="C3413" s="660"/>
      <c r="D3413" s="663" t="s">
        <v>432</v>
      </c>
      <c r="E3413" s="1266"/>
      <c r="F3413" s="1267"/>
      <c r="G3413" s="1268"/>
      <c r="H3413" s="930" t="s">
        <v>796</v>
      </c>
      <c r="I3413" s="1243" t="s">
        <v>1727</v>
      </c>
      <c r="J3413" s="1243"/>
      <c r="K3413" s="1244"/>
      <c r="L3413" s="664"/>
    </row>
    <row r="3414" spans="3:12">
      <c r="C3414" s="660"/>
      <c r="D3414" s="666" t="s">
        <v>433</v>
      </c>
      <c r="E3414" s="1269"/>
      <c r="F3414" s="1270"/>
      <c r="G3414" s="1271"/>
      <c r="H3414" s="930" t="s">
        <v>796</v>
      </c>
      <c r="I3414" s="1246"/>
      <c r="J3414" s="1246"/>
      <c r="K3414" s="1247"/>
      <c r="L3414" s="664"/>
    </row>
    <row r="3415" spans="3:12">
      <c r="C3415" s="660"/>
      <c r="D3415" s="666" t="s">
        <v>434</v>
      </c>
      <c r="E3415" s="1272" t="s">
        <v>1728</v>
      </c>
      <c r="F3415" s="1273"/>
      <c r="G3415" s="1274"/>
      <c r="H3415" s="715"/>
      <c r="I3415" s="1246"/>
      <c r="J3415" s="1246"/>
      <c r="K3415" s="1247"/>
      <c r="L3415" s="664"/>
    </row>
    <row r="3416" spans="3:12" ht="17" thickBot="1">
      <c r="C3416" s="660"/>
      <c r="D3416" s="668" t="s">
        <v>435</v>
      </c>
      <c r="E3416" s="1275">
        <v>0.60416666666666674</v>
      </c>
      <c r="F3416" s="1276"/>
      <c r="G3416" s="1277"/>
      <c r="H3416" s="716"/>
      <c r="I3416" s="1246"/>
      <c r="J3416" s="1246"/>
      <c r="K3416" s="1247"/>
      <c r="L3416" s="669">
        <v>0.83333333333333337</v>
      </c>
    </row>
    <row r="3417" spans="3:12" ht="17" thickBot="1">
      <c r="C3417" s="660"/>
      <c r="D3417" s="671" t="s">
        <v>436</v>
      </c>
      <c r="E3417" s="672" t="s">
        <v>29</v>
      </c>
      <c r="F3417" s="672" t="s">
        <v>28</v>
      </c>
      <c r="G3417" s="673" t="s">
        <v>27</v>
      </c>
      <c r="H3417" s="712" t="s">
        <v>793</v>
      </c>
      <c r="I3417" s="1246"/>
      <c r="J3417" s="1246"/>
      <c r="K3417" s="1247"/>
      <c r="L3417" s="675" t="s">
        <v>1246</v>
      </c>
    </row>
    <row r="3418" spans="3:12">
      <c r="C3418" s="660"/>
      <c r="D3418" s="717">
        <v>45742</v>
      </c>
      <c r="E3418" s="691" t="s">
        <v>1840</v>
      </c>
      <c r="F3418" s="691" t="s">
        <v>991</v>
      </c>
      <c r="G3418" s="691" t="s">
        <v>1696</v>
      </c>
      <c r="H3418" s="718">
        <v>0.60416666666666674</v>
      </c>
      <c r="I3418" s="1246"/>
      <c r="J3418" s="1246"/>
      <c r="K3418" s="1247"/>
      <c r="L3418" s="679">
        <v>0.83333333333333337</v>
      </c>
    </row>
    <row r="3419" spans="3:12">
      <c r="C3419" s="660"/>
      <c r="D3419" s="717">
        <v>45735</v>
      </c>
      <c r="E3419" s="691" t="s">
        <v>1696</v>
      </c>
      <c r="F3419" s="691" t="s">
        <v>993</v>
      </c>
      <c r="G3419" s="691" t="s">
        <v>1697</v>
      </c>
      <c r="H3419" s="718">
        <v>0.5625</v>
      </c>
      <c r="I3419" s="1246"/>
      <c r="J3419" s="1246"/>
      <c r="K3419" s="1247"/>
      <c r="L3419" s="679">
        <v>0.79166666666666663</v>
      </c>
    </row>
    <row r="3420" spans="3:12">
      <c r="C3420" s="660"/>
      <c r="D3420" s="717">
        <v>45728</v>
      </c>
      <c r="E3420" s="691" t="s">
        <v>1697</v>
      </c>
      <c r="F3420" s="691" t="s">
        <v>1698</v>
      </c>
      <c r="G3420" s="691" t="s">
        <v>1699</v>
      </c>
      <c r="H3420" s="718">
        <v>0.5625</v>
      </c>
      <c r="I3420" s="1246"/>
      <c r="J3420" s="1246"/>
      <c r="K3420" s="1247"/>
      <c r="L3420" s="679">
        <v>0.79166666666666663</v>
      </c>
    </row>
    <row r="3421" spans="3:12">
      <c r="C3421" s="660"/>
      <c r="D3421" s="717">
        <v>45721</v>
      </c>
      <c r="E3421" s="691" t="s">
        <v>1699</v>
      </c>
      <c r="F3421" s="691" t="s">
        <v>1700</v>
      </c>
      <c r="G3421" s="691" t="s">
        <v>1701</v>
      </c>
      <c r="H3421" s="718">
        <v>0.64583333333333337</v>
      </c>
      <c r="I3421" s="1246"/>
      <c r="J3421" s="1246"/>
      <c r="K3421" s="1247"/>
      <c r="L3421" s="679">
        <v>0.875</v>
      </c>
    </row>
    <row r="3422" spans="3:12">
      <c r="C3422" s="660"/>
      <c r="D3422" s="717">
        <v>45714</v>
      </c>
      <c r="E3422" s="691" t="s">
        <v>1701</v>
      </c>
      <c r="F3422" s="691" t="s">
        <v>1702</v>
      </c>
      <c r="G3422" s="691" t="s">
        <v>1647</v>
      </c>
      <c r="H3422" s="718">
        <v>0.625</v>
      </c>
      <c r="I3422" s="1246"/>
      <c r="J3422" s="1246"/>
      <c r="K3422" s="1247"/>
      <c r="L3422" s="679">
        <v>0.85416666666666663</v>
      </c>
    </row>
    <row r="3423" spans="3:12" ht="17" thickBot="1">
      <c r="C3423" s="660"/>
      <c r="D3423" s="717">
        <v>45708</v>
      </c>
      <c r="E3423" s="691" t="s">
        <v>1647</v>
      </c>
      <c r="F3423" s="691" t="s">
        <v>1648</v>
      </c>
      <c r="G3423" s="691" t="s">
        <v>1649</v>
      </c>
      <c r="H3423" s="718">
        <v>0.70833333333333337</v>
      </c>
      <c r="I3423" s="1249"/>
      <c r="J3423" s="1249"/>
      <c r="K3423" s="1250"/>
      <c r="L3423" s="679">
        <v>0.9375</v>
      </c>
    </row>
    <row r="3424" spans="3:12" ht="17" thickBot="1">
      <c r="C3424" s="660">
        <v>1</v>
      </c>
      <c r="D3424" s="671" t="s">
        <v>30</v>
      </c>
      <c r="E3424" s="1252" t="s">
        <v>1421</v>
      </c>
      <c r="F3424" s="1253"/>
      <c r="G3424" s="1254"/>
      <c r="H3424" s="712" t="s">
        <v>790</v>
      </c>
      <c r="I3424" s="1256" t="s">
        <v>633</v>
      </c>
      <c r="J3424" s="1256"/>
      <c r="K3424" s="1257"/>
      <c r="L3424" s="674" t="s">
        <v>430</v>
      </c>
    </row>
    <row r="3425" spans="3:12">
      <c r="C3425" s="660"/>
      <c r="D3425" s="663" t="s">
        <v>432</v>
      </c>
      <c r="E3425" s="1266"/>
      <c r="F3425" s="1267"/>
      <c r="G3425" s="1268"/>
      <c r="H3425" s="930" t="s">
        <v>794</v>
      </c>
      <c r="I3425" s="1243" t="s">
        <v>1729</v>
      </c>
      <c r="J3425" s="1243"/>
      <c r="K3425" s="1244"/>
      <c r="L3425" s="664"/>
    </row>
    <row r="3426" spans="3:12">
      <c r="C3426" s="660"/>
      <c r="D3426" s="666" t="s">
        <v>433</v>
      </c>
      <c r="E3426" s="1269"/>
      <c r="F3426" s="1270"/>
      <c r="G3426" s="1271"/>
      <c r="H3426" s="930" t="s">
        <v>795</v>
      </c>
      <c r="I3426" s="1246"/>
      <c r="J3426" s="1246"/>
      <c r="K3426" s="1247"/>
      <c r="L3426" s="664"/>
    </row>
    <row r="3427" spans="3:12">
      <c r="C3427" s="660"/>
      <c r="D3427" s="666" t="s">
        <v>434</v>
      </c>
      <c r="E3427" s="1272" t="s">
        <v>381</v>
      </c>
      <c r="F3427" s="1273"/>
      <c r="G3427" s="1274"/>
      <c r="H3427" s="715"/>
      <c r="I3427" s="1246"/>
      <c r="J3427" s="1246"/>
      <c r="K3427" s="1247"/>
      <c r="L3427" s="664"/>
    </row>
    <row r="3428" spans="3:12" ht="17" thickBot="1">
      <c r="C3428" s="660"/>
      <c r="D3428" s="668" t="s">
        <v>435</v>
      </c>
      <c r="E3428" s="1275">
        <v>0.52083333333333337</v>
      </c>
      <c r="F3428" s="1276"/>
      <c r="G3428" s="1277"/>
      <c r="H3428" s="716"/>
      <c r="I3428" s="1246"/>
      <c r="J3428" s="1246"/>
      <c r="K3428" s="1247"/>
      <c r="L3428" s="669">
        <v>0.75</v>
      </c>
    </row>
    <row r="3429" spans="3:12" ht="17" thickBot="1">
      <c r="C3429" s="660"/>
      <c r="D3429" s="671" t="s">
        <v>436</v>
      </c>
      <c r="E3429" s="672" t="s">
        <v>29</v>
      </c>
      <c r="F3429" s="672" t="s">
        <v>28</v>
      </c>
      <c r="G3429" s="673" t="s">
        <v>27</v>
      </c>
      <c r="H3429" s="712" t="s">
        <v>793</v>
      </c>
      <c r="I3429" s="1246"/>
      <c r="J3429" s="1246"/>
      <c r="K3429" s="1247"/>
      <c r="L3429" s="675" t="s">
        <v>1246</v>
      </c>
    </row>
    <row r="3430" spans="3:12">
      <c r="C3430" s="660"/>
      <c r="D3430" s="717">
        <v>45743</v>
      </c>
      <c r="E3430" s="691" t="s">
        <v>1090</v>
      </c>
      <c r="F3430" s="691" t="s">
        <v>985</v>
      </c>
      <c r="G3430" s="691" t="s">
        <v>973</v>
      </c>
      <c r="H3430" s="718">
        <v>0.52083333333333337</v>
      </c>
      <c r="I3430" s="1246"/>
      <c r="J3430" s="1246"/>
      <c r="K3430" s="1247"/>
      <c r="L3430" s="679">
        <v>0.75</v>
      </c>
    </row>
    <row r="3431" spans="3:12">
      <c r="C3431" s="660"/>
      <c r="D3431" s="717">
        <v>45736</v>
      </c>
      <c r="E3431" s="691" t="s">
        <v>973</v>
      </c>
      <c r="F3431" s="691" t="s">
        <v>1032</v>
      </c>
      <c r="G3431" s="691" t="s">
        <v>972</v>
      </c>
      <c r="H3431" s="718">
        <v>0.52083333333333337</v>
      </c>
      <c r="I3431" s="1246"/>
      <c r="J3431" s="1246"/>
      <c r="K3431" s="1247"/>
      <c r="L3431" s="679">
        <v>0.75</v>
      </c>
    </row>
    <row r="3432" spans="3:12">
      <c r="C3432" s="660"/>
      <c r="D3432" s="717">
        <v>45729</v>
      </c>
      <c r="E3432" s="691" t="s">
        <v>1112</v>
      </c>
      <c r="F3432" s="691" t="s">
        <v>1703</v>
      </c>
      <c r="G3432" s="691" t="s">
        <v>986</v>
      </c>
      <c r="H3432" s="718">
        <v>0.52083333333333337</v>
      </c>
      <c r="I3432" s="1246"/>
      <c r="J3432" s="1246"/>
      <c r="K3432" s="1247"/>
      <c r="L3432" s="679">
        <v>0.75</v>
      </c>
    </row>
    <row r="3433" spans="3:12">
      <c r="C3433" s="660"/>
      <c r="D3433" s="717">
        <v>45722</v>
      </c>
      <c r="E3433" s="691" t="s">
        <v>972</v>
      </c>
      <c r="F3433" s="691" t="s">
        <v>1704</v>
      </c>
      <c r="G3433" s="691" t="s">
        <v>980</v>
      </c>
      <c r="H3433" s="718">
        <v>0.5625</v>
      </c>
      <c r="I3433" s="1246"/>
      <c r="J3433" s="1246"/>
      <c r="K3433" s="1247"/>
      <c r="L3433" s="679">
        <v>0.79166666666666663</v>
      </c>
    </row>
    <row r="3434" spans="3:12">
      <c r="C3434" s="660"/>
      <c r="D3434" s="717">
        <v>45715</v>
      </c>
      <c r="E3434" s="691" t="s">
        <v>980</v>
      </c>
      <c r="F3434" s="691" t="s">
        <v>986</v>
      </c>
      <c r="G3434" s="691" t="s">
        <v>1112</v>
      </c>
      <c r="H3434" s="718">
        <v>0.5625</v>
      </c>
      <c r="I3434" s="1246"/>
      <c r="J3434" s="1246"/>
      <c r="K3434" s="1247"/>
      <c r="L3434" s="679">
        <v>0.79166666666666663</v>
      </c>
    </row>
    <row r="3435" spans="3:12" ht="17" thickBot="1">
      <c r="C3435" s="660"/>
      <c r="D3435" s="717">
        <v>45708</v>
      </c>
      <c r="E3435" s="691" t="s">
        <v>987</v>
      </c>
      <c r="F3435" s="691" t="s">
        <v>1232</v>
      </c>
      <c r="G3435" s="691" t="s">
        <v>1439</v>
      </c>
      <c r="H3435" s="718">
        <v>0.5625</v>
      </c>
      <c r="I3435" s="1249"/>
      <c r="J3435" s="1249"/>
      <c r="K3435" s="1250"/>
      <c r="L3435" s="679">
        <v>0.79166666666666663</v>
      </c>
    </row>
    <row r="3436" spans="3:12" ht="17" thickBot="1">
      <c r="C3436" s="660">
        <v>1</v>
      </c>
      <c r="D3436" s="671" t="s">
        <v>30</v>
      </c>
      <c r="E3436" s="1252" t="s">
        <v>1730</v>
      </c>
      <c r="F3436" s="1253"/>
      <c r="G3436" s="1254"/>
      <c r="H3436" s="712" t="s">
        <v>790</v>
      </c>
      <c r="I3436" s="1256" t="s">
        <v>633</v>
      </c>
      <c r="J3436" s="1256"/>
      <c r="K3436" s="1257"/>
      <c r="L3436" s="674" t="s">
        <v>430</v>
      </c>
    </row>
    <row r="3437" spans="3:12">
      <c r="C3437" s="660"/>
      <c r="D3437" s="663" t="s">
        <v>432</v>
      </c>
      <c r="E3437" s="1266"/>
      <c r="F3437" s="1267"/>
      <c r="G3437" s="1268"/>
      <c r="H3437" s="930" t="s">
        <v>794</v>
      </c>
      <c r="I3437" s="1243" t="s">
        <v>1731</v>
      </c>
      <c r="J3437" s="1243"/>
      <c r="K3437" s="1244"/>
      <c r="L3437" s="664"/>
    </row>
    <row r="3438" spans="3:12">
      <c r="C3438" s="660"/>
      <c r="D3438" s="666" t="s">
        <v>433</v>
      </c>
      <c r="E3438" s="1269"/>
      <c r="F3438" s="1270"/>
      <c r="G3438" s="1271"/>
      <c r="H3438" s="930" t="s">
        <v>795</v>
      </c>
      <c r="I3438" s="1246"/>
      <c r="J3438" s="1246"/>
      <c r="K3438" s="1247"/>
      <c r="L3438" s="664"/>
    </row>
    <row r="3439" spans="3:12">
      <c r="C3439" s="660"/>
      <c r="D3439" s="666" t="s">
        <v>434</v>
      </c>
      <c r="E3439" s="1278">
        <v>51</v>
      </c>
      <c r="F3439" s="1270"/>
      <c r="G3439" s="1271"/>
      <c r="H3439" s="715"/>
      <c r="I3439" s="1246"/>
      <c r="J3439" s="1246"/>
      <c r="K3439" s="1247"/>
      <c r="L3439" s="664"/>
    </row>
    <row r="3440" spans="3:12" ht="17" thickBot="1">
      <c r="C3440" s="660"/>
      <c r="D3440" s="668" t="s">
        <v>435</v>
      </c>
      <c r="E3440" s="1275">
        <v>0.58333333333333337</v>
      </c>
      <c r="F3440" s="1276"/>
      <c r="G3440" s="1277"/>
      <c r="H3440" s="716"/>
      <c r="I3440" s="1246"/>
      <c r="J3440" s="1246"/>
      <c r="K3440" s="1247"/>
      <c r="L3440" s="669">
        <v>0.8125</v>
      </c>
    </row>
    <row r="3441" spans="3:12" ht="17" thickBot="1">
      <c r="C3441" s="660"/>
      <c r="D3441" s="671" t="s">
        <v>436</v>
      </c>
      <c r="E3441" s="672" t="s">
        <v>29</v>
      </c>
      <c r="F3441" s="672" t="s">
        <v>28</v>
      </c>
      <c r="G3441" s="673" t="s">
        <v>27</v>
      </c>
      <c r="H3441" s="712" t="s">
        <v>793</v>
      </c>
      <c r="I3441" s="1246"/>
      <c r="J3441" s="1246"/>
      <c r="K3441" s="1247"/>
      <c r="L3441" s="675" t="s">
        <v>1246</v>
      </c>
    </row>
    <row r="3442" spans="3:12">
      <c r="C3442" s="660"/>
      <c r="D3442" s="717">
        <v>45740</v>
      </c>
      <c r="E3442" s="693">
        <v>54.3</v>
      </c>
      <c r="F3442" s="693" t="s">
        <v>1856</v>
      </c>
      <c r="G3442" s="693">
        <v>51</v>
      </c>
      <c r="H3442" s="718">
        <v>0.57291666666666674</v>
      </c>
      <c r="I3442" s="1246"/>
      <c r="J3442" s="1246"/>
      <c r="K3442" s="1247"/>
      <c r="L3442" s="679">
        <v>0.80208333333333337</v>
      </c>
    </row>
    <row r="3443" spans="3:12">
      <c r="C3443" s="660"/>
      <c r="D3443" s="717">
        <v>45721</v>
      </c>
      <c r="E3443" s="693">
        <v>51</v>
      </c>
      <c r="F3443" s="693" t="s">
        <v>1690</v>
      </c>
      <c r="G3443" s="693">
        <v>52.9</v>
      </c>
      <c r="H3443" s="718">
        <v>0.61458333333333337</v>
      </c>
      <c r="I3443" s="1246"/>
      <c r="J3443" s="1246"/>
      <c r="K3443" s="1247"/>
      <c r="L3443" s="679">
        <v>0.84375</v>
      </c>
    </row>
    <row r="3444" spans="3:12">
      <c r="C3444" s="660"/>
      <c r="D3444" s="717">
        <v>45740</v>
      </c>
      <c r="E3444" s="693">
        <v>54.3</v>
      </c>
      <c r="F3444" s="693" t="s">
        <v>1856</v>
      </c>
      <c r="G3444" s="693">
        <v>51</v>
      </c>
      <c r="H3444" s="718">
        <v>0.57291666666666674</v>
      </c>
      <c r="I3444" s="1246"/>
      <c r="J3444" s="1246"/>
      <c r="K3444" s="1247"/>
      <c r="L3444" s="679">
        <v>0.80208333333333337</v>
      </c>
    </row>
    <row r="3445" spans="3:12">
      <c r="C3445" s="660"/>
      <c r="D3445" s="717">
        <v>45721</v>
      </c>
      <c r="E3445" s="693">
        <v>51</v>
      </c>
      <c r="F3445" s="693" t="s">
        <v>1690</v>
      </c>
      <c r="G3445" s="693">
        <v>52.9</v>
      </c>
      <c r="H3445" s="718">
        <v>0.61458333333333337</v>
      </c>
      <c r="I3445" s="1246"/>
      <c r="J3445" s="1246"/>
      <c r="K3445" s="1247"/>
      <c r="L3445" s="679">
        <v>0.84375</v>
      </c>
    </row>
    <row r="3446" spans="3:12">
      <c r="C3446" s="660"/>
      <c r="D3446" s="717">
        <v>45740</v>
      </c>
      <c r="E3446" s="693">
        <v>54.3</v>
      </c>
      <c r="F3446" s="693" t="s">
        <v>1856</v>
      </c>
      <c r="G3446" s="693">
        <v>51</v>
      </c>
      <c r="H3446" s="718">
        <v>0.57291666666666674</v>
      </c>
      <c r="I3446" s="1246"/>
      <c r="J3446" s="1246"/>
      <c r="K3446" s="1247"/>
      <c r="L3446" s="679">
        <v>0.80208333333333337</v>
      </c>
    </row>
    <row r="3447" spans="3:12" ht="17" thickBot="1">
      <c r="C3447" s="660"/>
      <c r="D3447" s="717">
        <v>45721</v>
      </c>
      <c r="E3447" s="693">
        <v>51</v>
      </c>
      <c r="F3447" s="693" t="s">
        <v>1690</v>
      </c>
      <c r="G3447" s="693">
        <v>52.9</v>
      </c>
      <c r="H3447" s="718">
        <v>0.61458333333333337</v>
      </c>
      <c r="I3447" s="1249"/>
      <c r="J3447" s="1249"/>
      <c r="K3447" s="1250"/>
      <c r="L3447" s="679">
        <v>0.84375</v>
      </c>
    </row>
    <row r="3448" spans="3:12" ht="17" thickBot="1">
      <c r="C3448" s="660">
        <v>1</v>
      </c>
      <c r="D3448" s="671" t="s">
        <v>30</v>
      </c>
      <c r="E3448" s="1252" t="s">
        <v>1732</v>
      </c>
      <c r="F3448" s="1253"/>
      <c r="G3448" s="1254"/>
      <c r="H3448" s="712" t="s">
        <v>790</v>
      </c>
      <c r="I3448" s="1256" t="s">
        <v>633</v>
      </c>
      <c r="J3448" s="1256"/>
      <c r="K3448" s="1257"/>
      <c r="L3448" s="674" t="s">
        <v>430</v>
      </c>
    </row>
    <row r="3449" spans="3:12">
      <c r="C3449" s="660"/>
      <c r="D3449" s="663" t="s">
        <v>432</v>
      </c>
      <c r="E3449" s="1266"/>
      <c r="F3449" s="1267"/>
      <c r="G3449" s="1268"/>
      <c r="H3449" s="930" t="s">
        <v>794</v>
      </c>
      <c r="I3449" s="1243" t="s">
        <v>1731</v>
      </c>
      <c r="J3449" s="1243"/>
      <c r="K3449" s="1244"/>
      <c r="L3449" s="664"/>
    </row>
    <row r="3450" spans="3:12">
      <c r="C3450" s="660"/>
      <c r="D3450" s="666" t="s">
        <v>433</v>
      </c>
      <c r="E3450" s="1269"/>
      <c r="F3450" s="1270"/>
      <c r="G3450" s="1271"/>
      <c r="H3450" s="930" t="s">
        <v>795</v>
      </c>
      <c r="I3450" s="1246"/>
      <c r="J3450" s="1246"/>
      <c r="K3450" s="1247"/>
      <c r="L3450" s="664"/>
    </row>
    <row r="3451" spans="3:12">
      <c r="C3451" s="660"/>
      <c r="D3451" s="666" t="s">
        <v>434</v>
      </c>
      <c r="E3451" s="1278">
        <v>53.5</v>
      </c>
      <c r="F3451" s="1270"/>
      <c r="G3451" s="1271"/>
      <c r="H3451" s="715"/>
      <c r="I3451" s="1246"/>
      <c r="J3451" s="1246"/>
      <c r="K3451" s="1247"/>
      <c r="L3451" s="664"/>
    </row>
    <row r="3452" spans="3:12" ht="17" thickBot="1">
      <c r="C3452" s="660"/>
      <c r="D3452" s="668" t="s">
        <v>435</v>
      </c>
      <c r="E3452" s="1275">
        <v>0.58333333333333337</v>
      </c>
      <c r="F3452" s="1276"/>
      <c r="G3452" s="1277"/>
      <c r="H3452" s="716"/>
      <c r="I3452" s="1246"/>
      <c r="J3452" s="1246"/>
      <c r="K3452" s="1247"/>
      <c r="L3452" s="669">
        <v>0.8125</v>
      </c>
    </row>
    <row r="3453" spans="3:12" ht="17" thickBot="1">
      <c r="C3453" s="660"/>
      <c r="D3453" s="671" t="s">
        <v>436</v>
      </c>
      <c r="E3453" s="672" t="s">
        <v>29</v>
      </c>
      <c r="F3453" s="672" t="s">
        <v>28</v>
      </c>
      <c r="G3453" s="673" t="s">
        <v>27</v>
      </c>
      <c r="H3453" s="712" t="s">
        <v>793</v>
      </c>
      <c r="I3453" s="1246"/>
      <c r="J3453" s="1246"/>
      <c r="K3453" s="1247"/>
      <c r="L3453" s="675" t="s">
        <v>1246</v>
      </c>
    </row>
    <row r="3454" spans="3:12">
      <c r="C3454" s="660"/>
      <c r="D3454" s="717">
        <v>45721</v>
      </c>
      <c r="E3454" s="693">
        <v>53.5</v>
      </c>
      <c r="F3454" s="693" t="s">
        <v>1863</v>
      </c>
      <c r="G3454" s="693">
        <v>52.8</v>
      </c>
      <c r="H3454" s="718">
        <v>0.625</v>
      </c>
      <c r="I3454" s="1246"/>
      <c r="J3454" s="1246"/>
      <c r="K3454" s="1247"/>
      <c r="L3454" s="679">
        <v>0.85416666666666663</v>
      </c>
    </row>
    <row r="3455" spans="3:12">
      <c r="C3455" s="660"/>
      <c r="D3455" s="717">
        <v>45693</v>
      </c>
      <c r="E3455" s="693">
        <v>52.8</v>
      </c>
      <c r="F3455" s="693" t="s">
        <v>1865</v>
      </c>
      <c r="G3455" s="693">
        <v>54</v>
      </c>
      <c r="H3455" s="718">
        <v>0.625</v>
      </c>
      <c r="I3455" s="1246"/>
      <c r="J3455" s="1246"/>
      <c r="K3455" s="1247"/>
      <c r="L3455" s="679">
        <v>0.85416666666666663</v>
      </c>
    </row>
    <row r="3456" spans="3:12">
      <c r="C3456" s="660"/>
      <c r="D3456" s="717">
        <v>45664</v>
      </c>
      <c r="E3456" s="693">
        <v>54.1</v>
      </c>
      <c r="F3456" s="693" t="s">
        <v>902</v>
      </c>
      <c r="G3456" s="693">
        <v>52.1</v>
      </c>
      <c r="H3456" s="718">
        <v>0.625</v>
      </c>
      <c r="I3456" s="1246"/>
      <c r="J3456" s="1246"/>
      <c r="K3456" s="1247"/>
      <c r="L3456" s="679">
        <v>0.85416666666666663</v>
      </c>
    </row>
    <row r="3457" spans="3:12">
      <c r="C3457" s="660"/>
      <c r="D3457" s="717">
        <v>45630</v>
      </c>
      <c r="E3457" s="693">
        <v>52.1</v>
      </c>
      <c r="F3457" s="693" t="s">
        <v>523</v>
      </c>
      <c r="G3457" s="693">
        <v>56</v>
      </c>
      <c r="H3457" s="718">
        <v>0.625</v>
      </c>
      <c r="I3457" s="1246"/>
      <c r="J3457" s="1246"/>
      <c r="K3457" s="1247"/>
      <c r="L3457" s="679">
        <v>0.85416666666666663</v>
      </c>
    </row>
    <row r="3458" spans="3:12">
      <c r="C3458" s="660"/>
      <c r="D3458" s="717">
        <v>45601</v>
      </c>
      <c r="E3458" s="693">
        <v>56</v>
      </c>
      <c r="F3458" s="693" t="s">
        <v>1344</v>
      </c>
      <c r="G3458" s="693">
        <v>54.9</v>
      </c>
      <c r="H3458" s="718">
        <v>0.625</v>
      </c>
      <c r="I3458" s="1246"/>
      <c r="J3458" s="1246"/>
      <c r="K3458" s="1247"/>
      <c r="L3458" s="679">
        <v>0.85416666666666663</v>
      </c>
    </row>
    <row r="3459" spans="3:12" ht="17" thickBot="1">
      <c r="C3459" s="660"/>
      <c r="D3459" s="717">
        <v>45568</v>
      </c>
      <c r="E3459" s="693">
        <v>54.9</v>
      </c>
      <c r="F3459" s="693" t="s">
        <v>506</v>
      </c>
      <c r="G3459" s="693">
        <v>51.5</v>
      </c>
      <c r="H3459" s="718">
        <v>0.58333333333333337</v>
      </c>
      <c r="I3459" s="1249"/>
      <c r="J3459" s="1249"/>
      <c r="K3459" s="1250"/>
      <c r="L3459" s="679">
        <v>0.8125</v>
      </c>
    </row>
    <row r="3460" spans="3:12" ht="17" thickBot="1">
      <c r="C3460" s="660">
        <v>1</v>
      </c>
      <c r="D3460" s="671" t="s">
        <v>30</v>
      </c>
      <c r="E3460" s="1252" t="s">
        <v>1733</v>
      </c>
      <c r="F3460" s="1253"/>
      <c r="G3460" s="1254"/>
      <c r="H3460" s="712" t="s">
        <v>790</v>
      </c>
      <c r="I3460" s="1256" t="s">
        <v>633</v>
      </c>
      <c r="J3460" s="1256"/>
      <c r="K3460" s="1257"/>
      <c r="L3460" s="674" t="s">
        <v>430</v>
      </c>
    </row>
    <row r="3461" spans="3:12">
      <c r="C3461" s="660"/>
      <c r="D3461" s="663" t="s">
        <v>432</v>
      </c>
      <c r="E3461" s="1266"/>
      <c r="F3461" s="1267"/>
      <c r="G3461" s="1268"/>
      <c r="H3461" s="930" t="s">
        <v>794</v>
      </c>
      <c r="I3461" s="1243" t="s">
        <v>1734</v>
      </c>
      <c r="J3461" s="1243"/>
      <c r="K3461" s="1244"/>
      <c r="L3461" s="664"/>
    </row>
    <row r="3462" spans="3:12">
      <c r="C3462" s="660"/>
      <c r="D3462" s="666" t="s">
        <v>433</v>
      </c>
      <c r="E3462" s="1269"/>
      <c r="F3462" s="1270"/>
      <c r="G3462" s="1271"/>
      <c r="H3462" s="930" t="s">
        <v>795</v>
      </c>
      <c r="I3462" s="1246"/>
      <c r="J3462" s="1246"/>
      <c r="K3462" s="1247"/>
      <c r="L3462" s="664"/>
    </row>
    <row r="3463" spans="3:12">
      <c r="C3463" s="660"/>
      <c r="D3463" s="666" t="s">
        <v>434</v>
      </c>
      <c r="E3463" s="1278">
        <v>62.6</v>
      </c>
      <c r="F3463" s="1270"/>
      <c r="G3463" s="1271"/>
      <c r="H3463" s="715"/>
      <c r="I3463" s="1246"/>
      <c r="J3463" s="1246"/>
      <c r="K3463" s="1247"/>
      <c r="L3463" s="664"/>
    </row>
    <row r="3464" spans="3:12" ht="17" thickBot="1">
      <c r="C3464" s="660"/>
      <c r="D3464" s="668" t="s">
        <v>435</v>
      </c>
      <c r="E3464" s="1275">
        <v>0.58333333333333337</v>
      </c>
      <c r="F3464" s="1276"/>
      <c r="G3464" s="1277"/>
      <c r="H3464" s="716"/>
      <c r="I3464" s="1246"/>
      <c r="J3464" s="1246"/>
      <c r="K3464" s="1247"/>
      <c r="L3464" s="669">
        <v>0.8125</v>
      </c>
    </row>
    <row r="3465" spans="3:12" ht="17" thickBot="1">
      <c r="C3465" s="660"/>
      <c r="D3465" s="671" t="s">
        <v>436</v>
      </c>
      <c r="E3465" s="672" t="s">
        <v>29</v>
      </c>
      <c r="F3465" s="672" t="s">
        <v>28</v>
      </c>
      <c r="G3465" s="673" t="s">
        <v>27</v>
      </c>
      <c r="H3465" s="712" t="s">
        <v>793</v>
      </c>
      <c r="I3465" s="1246"/>
      <c r="J3465" s="1246"/>
      <c r="K3465" s="1247"/>
      <c r="L3465" s="675" t="s">
        <v>1246</v>
      </c>
    </row>
    <row r="3466" spans="3:12">
      <c r="C3466" s="660"/>
      <c r="D3466" s="717">
        <v>45721</v>
      </c>
      <c r="E3466" s="693">
        <v>62.6</v>
      </c>
      <c r="F3466" s="693" t="s">
        <v>522</v>
      </c>
      <c r="G3466" s="693">
        <v>60.4</v>
      </c>
      <c r="H3466" s="718">
        <v>0.625</v>
      </c>
      <c r="I3466" s="1246"/>
      <c r="J3466" s="1246"/>
      <c r="K3466" s="1247"/>
      <c r="L3466" s="679">
        <v>0.85416666666666663</v>
      </c>
    </row>
    <row r="3467" spans="3:12">
      <c r="C3467" s="660"/>
      <c r="D3467" s="717">
        <v>45693</v>
      </c>
      <c r="E3467" s="693">
        <v>60.4</v>
      </c>
      <c r="F3467" s="693" t="s">
        <v>754</v>
      </c>
      <c r="G3467" s="693">
        <v>64.400000000000006</v>
      </c>
      <c r="H3467" s="718">
        <v>0.625</v>
      </c>
      <c r="I3467" s="1246"/>
      <c r="J3467" s="1246"/>
      <c r="K3467" s="1247"/>
      <c r="L3467" s="679">
        <v>0.85416666666666663</v>
      </c>
    </row>
    <row r="3468" spans="3:12">
      <c r="C3468" s="660"/>
      <c r="D3468" s="717">
        <v>45664</v>
      </c>
      <c r="E3468" s="693">
        <v>64.400000000000006</v>
      </c>
      <c r="F3468" s="693" t="s">
        <v>1866</v>
      </c>
      <c r="G3468" s="693">
        <v>58.2</v>
      </c>
      <c r="H3468" s="718">
        <v>0.625</v>
      </c>
      <c r="I3468" s="1246"/>
      <c r="J3468" s="1246"/>
      <c r="K3468" s="1247"/>
      <c r="L3468" s="679">
        <v>0.85416666666666663</v>
      </c>
    </row>
    <row r="3469" spans="3:12">
      <c r="C3469" s="660"/>
      <c r="D3469" s="717">
        <v>45630</v>
      </c>
      <c r="E3469" s="693">
        <v>58.2</v>
      </c>
      <c r="F3469" s="693" t="s">
        <v>1345</v>
      </c>
      <c r="G3469" s="693">
        <v>58.1</v>
      </c>
      <c r="H3469" s="718">
        <v>0.625</v>
      </c>
      <c r="I3469" s="1246"/>
      <c r="J3469" s="1246"/>
      <c r="K3469" s="1247"/>
      <c r="L3469" s="679">
        <v>0.85416666666666663</v>
      </c>
    </row>
    <row r="3470" spans="3:12">
      <c r="C3470" s="660"/>
      <c r="D3470" s="717">
        <v>45601</v>
      </c>
      <c r="E3470" s="693">
        <v>58.1</v>
      </c>
      <c r="F3470" s="693" t="s">
        <v>1346</v>
      </c>
      <c r="G3470" s="693">
        <v>59.4</v>
      </c>
      <c r="H3470" s="718">
        <v>0.625</v>
      </c>
      <c r="I3470" s="1246"/>
      <c r="J3470" s="1246"/>
      <c r="K3470" s="1247"/>
      <c r="L3470" s="679">
        <v>0.85416666666666663</v>
      </c>
    </row>
    <row r="3471" spans="3:12" ht="17" thickBot="1">
      <c r="C3471" s="660"/>
      <c r="D3471" s="717">
        <v>45568</v>
      </c>
      <c r="E3471" s="693">
        <v>59.4</v>
      </c>
      <c r="F3471" s="693" t="s">
        <v>943</v>
      </c>
      <c r="G3471" s="693">
        <v>57.3</v>
      </c>
      <c r="H3471" s="718">
        <v>0.58333333333333337</v>
      </c>
      <c r="I3471" s="1249"/>
      <c r="J3471" s="1249"/>
      <c r="K3471" s="1250"/>
      <c r="L3471" s="679">
        <v>0.8125</v>
      </c>
    </row>
    <row r="3472" spans="3:12" ht="17" thickBot="1">
      <c r="C3472" s="660">
        <v>1</v>
      </c>
      <c r="D3472" s="671" t="s">
        <v>30</v>
      </c>
      <c r="E3472" s="1252" t="s">
        <v>1735</v>
      </c>
      <c r="F3472" s="1253"/>
      <c r="G3472" s="1254"/>
      <c r="H3472" s="712" t="s">
        <v>790</v>
      </c>
      <c r="I3472" s="1256" t="s">
        <v>633</v>
      </c>
      <c r="J3472" s="1256"/>
      <c r="K3472" s="1257"/>
      <c r="L3472" s="674" t="s">
        <v>430</v>
      </c>
    </row>
    <row r="3473" spans="3:12">
      <c r="C3473" s="660"/>
      <c r="D3473" s="663" t="s">
        <v>432</v>
      </c>
      <c r="E3473" s="1266"/>
      <c r="F3473" s="1267"/>
      <c r="G3473" s="1268"/>
      <c r="H3473" s="930" t="s">
        <v>794</v>
      </c>
      <c r="I3473" s="1243" t="s">
        <v>1520</v>
      </c>
      <c r="J3473" s="1243"/>
      <c r="K3473" s="1244"/>
      <c r="L3473" s="664"/>
    </row>
    <row r="3474" spans="3:12">
      <c r="C3474" s="660"/>
      <c r="D3474" s="666" t="s">
        <v>433</v>
      </c>
      <c r="E3474" s="1269"/>
      <c r="F3474" s="1270"/>
      <c r="G3474" s="1271"/>
      <c r="H3474" s="930" t="s">
        <v>795</v>
      </c>
      <c r="I3474" s="1246"/>
      <c r="J3474" s="1246"/>
      <c r="K3474" s="1247"/>
      <c r="L3474" s="664"/>
    </row>
    <row r="3475" spans="3:12">
      <c r="C3475" s="660"/>
      <c r="D3475" s="666" t="s">
        <v>434</v>
      </c>
      <c r="E3475" s="1278">
        <v>0</v>
      </c>
      <c r="F3475" s="1270"/>
      <c r="G3475" s="1271"/>
      <c r="H3475" s="715"/>
      <c r="I3475" s="1246"/>
      <c r="J3475" s="1246"/>
      <c r="K3475" s="1247"/>
      <c r="L3475" s="664"/>
    </row>
    <row r="3476" spans="3:12" ht="17" thickBot="1">
      <c r="C3476" s="660"/>
      <c r="D3476" s="668" t="s">
        <v>435</v>
      </c>
      <c r="E3476" s="1275" t="e">
        <v>#VALUE!</v>
      </c>
      <c r="F3476" s="1276"/>
      <c r="G3476" s="1277"/>
      <c r="H3476" s="716"/>
      <c r="I3476" s="1246"/>
      <c r="J3476" s="1246"/>
      <c r="K3476" s="1247"/>
      <c r="L3476" s="669" t="s">
        <v>1449</v>
      </c>
    </row>
    <row r="3477" spans="3:12" ht="17" thickBot="1">
      <c r="C3477" s="660"/>
      <c r="D3477" s="671" t="s">
        <v>436</v>
      </c>
      <c r="E3477" s="672" t="s">
        <v>29</v>
      </c>
      <c r="F3477" s="672" t="s">
        <v>28</v>
      </c>
      <c r="G3477" s="673" t="s">
        <v>27</v>
      </c>
      <c r="H3477" s="712" t="s">
        <v>793</v>
      </c>
      <c r="I3477" s="1246"/>
      <c r="J3477" s="1246"/>
      <c r="K3477" s="1247"/>
      <c r="L3477" s="675" t="s">
        <v>1246</v>
      </c>
    </row>
    <row r="3478" spans="3:12">
      <c r="C3478" s="660"/>
      <c r="D3478" s="717">
        <v>45686</v>
      </c>
      <c r="E3478" s="693">
        <v>0.03</v>
      </c>
      <c r="F3478" s="693" t="s">
        <v>1548</v>
      </c>
      <c r="G3478" s="693">
        <v>3.2500000000000001E-2</v>
      </c>
      <c r="H3478" s="718">
        <v>0.625</v>
      </c>
      <c r="I3478" s="1246"/>
      <c r="J3478" s="1246"/>
      <c r="K3478" s="1247"/>
      <c r="L3478" s="679">
        <v>0.85416666666666663</v>
      </c>
    </row>
    <row r="3479" spans="3:12">
      <c r="C3479" s="660"/>
      <c r="D3479" s="717">
        <v>45637</v>
      </c>
      <c r="E3479" s="693">
        <v>3.2500000000000001E-2</v>
      </c>
      <c r="F3479" s="693" t="s">
        <v>1542</v>
      </c>
      <c r="G3479" s="693">
        <v>3.7499999999999999E-2</v>
      </c>
      <c r="H3479" s="718">
        <v>0.625</v>
      </c>
      <c r="I3479" s="1246"/>
      <c r="J3479" s="1246"/>
      <c r="K3479" s="1247"/>
      <c r="L3479" s="679">
        <v>0.85416666666666663</v>
      </c>
    </row>
    <row r="3480" spans="3:12">
      <c r="C3480" s="660"/>
      <c r="D3480" s="717">
        <v>45588</v>
      </c>
      <c r="E3480" s="693">
        <v>3.7499999999999999E-2</v>
      </c>
      <c r="F3480" s="693" t="s">
        <v>1543</v>
      </c>
      <c r="G3480" s="693">
        <v>4.2500000000000003E-2</v>
      </c>
      <c r="H3480" s="718">
        <v>0.625</v>
      </c>
      <c r="I3480" s="1246"/>
      <c r="J3480" s="1246"/>
      <c r="K3480" s="1247"/>
      <c r="L3480" s="679">
        <v>0.85416666666666663</v>
      </c>
    </row>
    <row r="3481" spans="3:12">
      <c r="C3481" s="660"/>
      <c r="D3481" s="717">
        <v>45539</v>
      </c>
      <c r="E3481" s="693">
        <v>4.2500000000000003E-2</v>
      </c>
      <c r="F3481" s="693" t="s">
        <v>723</v>
      </c>
      <c r="G3481" s="693">
        <v>4.4999999999999998E-2</v>
      </c>
      <c r="H3481" s="718">
        <v>0.625</v>
      </c>
      <c r="I3481" s="1246"/>
      <c r="J3481" s="1246"/>
      <c r="K3481" s="1247"/>
      <c r="L3481" s="679">
        <v>0.85416666666666663</v>
      </c>
    </row>
    <row r="3482" spans="3:12">
      <c r="C3482" s="660"/>
      <c r="D3482" s="717">
        <v>45497</v>
      </c>
      <c r="E3482" s="693">
        <v>4.4999999999999998E-2</v>
      </c>
      <c r="F3482" s="693" t="s">
        <v>725</v>
      </c>
      <c r="G3482" s="693">
        <v>4.7500000000000001E-2</v>
      </c>
      <c r="H3482" s="718">
        <v>0.625</v>
      </c>
      <c r="I3482" s="1246"/>
      <c r="J3482" s="1246"/>
      <c r="K3482" s="1247"/>
      <c r="L3482" s="679">
        <v>0.85416666666666663</v>
      </c>
    </row>
    <row r="3483" spans="3:12" ht="17" thickBot="1">
      <c r="C3483" s="660"/>
      <c r="D3483" s="717">
        <v>45448</v>
      </c>
      <c r="E3483" s="693">
        <v>4.7500000000000001E-2</v>
      </c>
      <c r="F3483" s="693" t="s">
        <v>726</v>
      </c>
      <c r="G3483" s="693">
        <v>0.05</v>
      </c>
      <c r="H3483" s="718">
        <v>0.58333333333333337</v>
      </c>
      <c r="I3483" s="1249"/>
      <c r="J3483" s="1249"/>
      <c r="K3483" s="1250"/>
      <c r="L3483" s="679">
        <v>0.8125</v>
      </c>
    </row>
    <row r="3484" spans="3:12" ht="17" thickBot="1">
      <c r="C3484" s="660">
        <v>1</v>
      </c>
      <c r="D3484" s="671" t="s">
        <v>30</v>
      </c>
      <c r="E3484" s="1252" t="s">
        <v>1736</v>
      </c>
      <c r="F3484" s="1253"/>
      <c r="G3484" s="1254"/>
      <c r="H3484" s="712" t="s">
        <v>790</v>
      </c>
      <c r="I3484" s="1256" t="s">
        <v>633</v>
      </c>
      <c r="J3484" s="1256"/>
      <c r="K3484" s="1257"/>
      <c r="L3484" s="674" t="s">
        <v>430</v>
      </c>
    </row>
    <row r="3485" spans="3:12">
      <c r="C3485" s="660"/>
      <c r="D3485" s="663" t="s">
        <v>432</v>
      </c>
      <c r="E3485" s="1266"/>
      <c r="F3485" s="1267"/>
      <c r="G3485" s="1268"/>
      <c r="H3485" s="930" t="s">
        <v>794</v>
      </c>
      <c r="I3485" s="1243" t="s">
        <v>1520</v>
      </c>
      <c r="J3485" s="1243"/>
      <c r="K3485" s="1244"/>
      <c r="L3485" s="664"/>
    </row>
    <row r="3486" spans="3:12">
      <c r="C3486" s="660"/>
      <c r="D3486" s="666" t="s">
        <v>433</v>
      </c>
      <c r="E3486" s="1269"/>
      <c r="F3486" s="1270"/>
      <c r="G3486" s="1271"/>
      <c r="H3486" s="930" t="s">
        <v>795</v>
      </c>
      <c r="I3486" s="1246"/>
      <c r="J3486" s="1246"/>
      <c r="K3486" s="1247"/>
      <c r="L3486" s="664"/>
    </row>
    <row r="3487" spans="3:12">
      <c r="C3487" s="660"/>
      <c r="D3487" s="666" t="s">
        <v>434</v>
      </c>
      <c r="E3487" s="1278">
        <v>0</v>
      </c>
      <c r="F3487" s="1270"/>
      <c r="G3487" s="1271"/>
      <c r="H3487" s="715"/>
      <c r="I3487" s="1246"/>
      <c r="J3487" s="1246"/>
      <c r="K3487" s="1247"/>
      <c r="L3487" s="664"/>
    </row>
    <row r="3488" spans="3:12" ht="17" thickBot="1">
      <c r="C3488" s="660"/>
      <c r="D3488" s="668" t="s">
        <v>435</v>
      </c>
      <c r="E3488" s="1275">
        <v>0.77083333333333337</v>
      </c>
      <c r="F3488" s="1276"/>
      <c r="G3488" s="1277"/>
      <c r="H3488" s="716"/>
      <c r="I3488" s="1246"/>
      <c r="J3488" s="1246"/>
      <c r="K3488" s="1247"/>
      <c r="L3488" s="669">
        <v>0</v>
      </c>
    </row>
    <row r="3489" spans="3:12" ht="17" thickBot="1">
      <c r="C3489" s="660"/>
      <c r="D3489" s="671" t="s">
        <v>436</v>
      </c>
      <c r="E3489" s="672" t="s">
        <v>29</v>
      </c>
      <c r="F3489" s="672" t="s">
        <v>28</v>
      </c>
      <c r="G3489" s="673" t="s">
        <v>27</v>
      </c>
      <c r="H3489" s="712" t="s">
        <v>793</v>
      </c>
      <c r="I3489" s="1246"/>
      <c r="J3489" s="1246"/>
      <c r="K3489" s="1247"/>
      <c r="L3489" s="675" t="s">
        <v>1246</v>
      </c>
    </row>
    <row r="3490" spans="3:12">
      <c r="C3490" s="660"/>
      <c r="D3490" s="717">
        <v>45686</v>
      </c>
      <c r="E3490" s="693">
        <v>0</v>
      </c>
      <c r="F3490" s="693">
        <v>0</v>
      </c>
      <c r="G3490" s="693">
        <v>0</v>
      </c>
      <c r="H3490" s="718">
        <v>0.625</v>
      </c>
      <c r="I3490" s="1246"/>
      <c r="J3490" s="1246"/>
      <c r="K3490" s="1247"/>
      <c r="L3490" s="679">
        <v>0.85416666666666663</v>
      </c>
    </row>
    <row r="3491" spans="3:12">
      <c r="C3491" s="660"/>
      <c r="D3491" s="717">
        <v>45644</v>
      </c>
      <c r="E3491" s="693">
        <v>0</v>
      </c>
      <c r="F3491" s="693">
        <v>0</v>
      </c>
      <c r="G3491" s="693">
        <v>0</v>
      </c>
      <c r="H3491" s="718">
        <v>0.625</v>
      </c>
      <c r="I3491" s="1246"/>
      <c r="J3491" s="1246"/>
      <c r="K3491" s="1247"/>
      <c r="L3491" s="679">
        <v>0.85416666666666663</v>
      </c>
    </row>
    <row r="3492" spans="3:12">
      <c r="C3492" s="660"/>
      <c r="D3492" s="717">
        <v>45603</v>
      </c>
      <c r="E3492" s="693">
        <v>0</v>
      </c>
      <c r="F3492" s="693">
        <v>0</v>
      </c>
      <c r="G3492" s="693">
        <v>0</v>
      </c>
      <c r="H3492" s="718">
        <v>0.625</v>
      </c>
      <c r="I3492" s="1246"/>
      <c r="J3492" s="1246"/>
      <c r="K3492" s="1247"/>
      <c r="L3492" s="679">
        <v>0.85416666666666663</v>
      </c>
    </row>
    <row r="3493" spans="3:12">
      <c r="C3493" s="660"/>
      <c r="D3493" s="717">
        <v>45553</v>
      </c>
      <c r="E3493" s="693">
        <v>0</v>
      </c>
      <c r="F3493" s="693">
        <v>0</v>
      </c>
      <c r="G3493" s="693">
        <v>0</v>
      </c>
      <c r="H3493" s="718">
        <v>0.625</v>
      </c>
      <c r="I3493" s="1246"/>
      <c r="J3493" s="1246"/>
      <c r="K3493" s="1247"/>
      <c r="L3493" s="679">
        <v>0.85416666666666663</v>
      </c>
    </row>
    <row r="3494" spans="3:12">
      <c r="C3494" s="660"/>
      <c r="D3494" s="717">
        <v>45504</v>
      </c>
      <c r="E3494" s="693">
        <v>0</v>
      </c>
      <c r="F3494" s="693">
        <v>0</v>
      </c>
      <c r="G3494" s="693">
        <v>0</v>
      </c>
      <c r="H3494" s="718">
        <v>0.625</v>
      </c>
      <c r="I3494" s="1246"/>
      <c r="J3494" s="1246"/>
      <c r="K3494" s="1247"/>
      <c r="L3494" s="679">
        <v>0.85416666666666663</v>
      </c>
    </row>
    <row r="3495" spans="3:12" ht="17" thickBot="1">
      <c r="C3495" s="660"/>
      <c r="D3495" s="717">
        <v>45455</v>
      </c>
      <c r="E3495" s="693">
        <v>0</v>
      </c>
      <c r="F3495" s="693">
        <v>0</v>
      </c>
      <c r="G3495" s="693">
        <v>0</v>
      </c>
      <c r="H3495" s="718">
        <v>0.58333333333333337</v>
      </c>
      <c r="I3495" s="1249"/>
      <c r="J3495" s="1249"/>
      <c r="K3495" s="1250"/>
      <c r="L3495" s="679">
        <v>0.8125</v>
      </c>
    </row>
    <row r="3496" spans="3:12" ht="17" thickBot="1">
      <c r="C3496" s="660">
        <v>1</v>
      </c>
      <c r="D3496" s="671" t="s">
        <v>30</v>
      </c>
      <c r="E3496" s="1252" t="s">
        <v>1737</v>
      </c>
      <c r="F3496" s="1253"/>
      <c r="G3496" s="1254"/>
      <c r="H3496" s="712" t="s">
        <v>790</v>
      </c>
      <c r="I3496" s="1256" t="s">
        <v>633</v>
      </c>
      <c r="J3496" s="1256"/>
      <c r="K3496" s="1257"/>
      <c r="L3496" s="674" t="s">
        <v>430</v>
      </c>
    </row>
    <row r="3497" spans="3:12">
      <c r="C3497" s="660"/>
      <c r="D3497" s="663" t="s">
        <v>432</v>
      </c>
      <c r="E3497" s="1266"/>
      <c r="F3497" s="1267"/>
      <c r="G3497" s="1268"/>
      <c r="H3497" s="930" t="s">
        <v>794</v>
      </c>
      <c r="I3497" s="1243" t="s">
        <v>1738</v>
      </c>
      <c r="J3497" s="1243"/>
      <c r="K3497" s="1244"/>
      <c r="L3497" s="664"/>
    </row>
    <row r="3498" spans="3:12">
      <c r="C3498" s="660"/>
      <c r="D3498" s="666" t="s">
        <v>433</v>
      </c>
      <c r="E3498" s="1269"/>
      <c r="F3498" s="1270"/>
      <c r="G3498" s="1271"/>
      <c r="H3498" s="930" t="s">
        <v>795</v>
      </c>
      <c r="I3498" s="1246"/>
      <c r="J3498" s="1246"/>
      <c r="K3498" s="1247"/>
      <c r="L3498" s="664"/>
    </row>
    <row r="3499" spans="3:12">
      <c r="C3499" s="660"/>
      <c r="D3499" s="666" t="s">
        <v>434</v>
      </c>
      <c r="E3499" s="1278">
        <v>3.0000000000000001E-3</v>
      </c>
      <c r="F3499" s="1270"/>
      <c r="G3499" s="1271"/>
      <c r="H3499" s="715"/>
      <c r="I3499" s="1246"/>
      <c r="J3499" s="1246"/>
      <c r="K3499" s="1247"/>
      <c r="L3499" s="664"/>
    </row>
    <row r="3500" spans="3:12" ht="17" thickBot="1">
      <c r="C3500" s="660"/>
      <c r="D3500" s="668" t="s">
        <v>435</v>
      </c>
      <c r="E3500" s="1275">
        <v>0.52083333333333337</v>
      </c>
      <c r="F3500" s="1276"/>
      <c r="G3500" s="1277"/>
      <c r="H3500" s="716"/>
      <c r="I3500" s="1246"/>
      <c r="J3500" s="1246"/>
      <c r="K3500" s="1247"/>
      <c r="L3500" s="669">
        <v>0.75</v>
      </c>
    </row>
    <row r="3501" spans="3:12" ht="17" thickBot="1">
      <c r="C3501" s="660"/>
      <c r="D3501" s="671" t="s">
        <v>436</v>
      </c>
      <c r="E3501" s="672" t="s">
        <v>29</v>
      </c>
      <c r="F3501" s="672" t="s">
        <v>28</v>
      </c>
      <c r="G3501" s="673" t="s">
        <v>27</v>
      </c>
      <c r="H3501" s="712" t="s">
        <v>793</v>
      </c>
      <c r="I3501" s="1246"/>
      <c r="J3501" s="1246"/>
      <c r="K3501" s="1247"/>
      <c r="L3501" s="675" t="s">
        <v>1246</v>
      </c>
    </row>
    <row r="3502" spans="3:12">
      <c r="C3502" s="660"/>
      <c r="D3502" s="717">
        <v>45723</v>
      </c>
      <c r="E3502" s="691">
        <v>3.0000000000000001E-3</v>
      </c>
      <c r="F3502" s="691" t="s">
        <v>467</v>
      </c>
      <c r="G3502" s="691">
        <v>4.0000000000000001E-3</v>
      </c>
      <c r="H3502" s="718">
        <v>0.5625</v>
      </c>
      <c r="I3502" s="1246"/>
      <c r="J3502" s="1246"/>
      <c r="K3502" s="1247"/>
      <c r="L3502" s="679">
        <v>0.79166666666666663</v>
      </c>
    </row>
    <row r="3503" spans="3:12">
      <c r="C3503" s="660"/>
      <c r="D3503" s="717">
        <v>45695</v>
      </c>
      <c r="E3503" s="691">
        <v>5.0000000000000001E-3</v>
      </c>
      <c r="F3503" s="691" t="s">
        <v>467</v>
      </c>
      <c r="G3503" s="691">
        <v>3.0000000000000001E-3</v>
      </c>
      <c r="H3503" s="718">
        <v>0.5625</v>
      </c>
      <c r="I3503" s="1246"/>
      <c r="J3503" s="1246"/>
      <c r="K3503" s="1247"/>
      <c r="L3503" s="679">
        <v>0.79166666666666663</v>
      </c>
    </row>
    <row r="3504" spans="3:12">
      <c r="C3504" s="660"/>
      <c r="D3504" s="717">
        <v>45667</v>
      </c>
      <c r="E3504" s="691">
        <v>3.0000000000000001E-3</v>
      </c>
      <c r="F3504" s="691" t="s">
        <v>467</v>
      </c>
      <c r="G3504" s="691">
        <v>4.0000000000000001E-3</v>
      </c>
      <c r="H3504" s="718">
        <v>0.5625</v>
      </c>
      <c r="I3504" s="1246"/>
      <c r="J3504" s="1246"/>
      <c r="K3504" s="1247"/>
      <c r="L3504" s="679">
        <v>0.79166666666666663</v>
      </c>
    </row>
    <row r="3505" spans="3:12">
      <c r="C3505" s="660"/>
      <c r="D3505" s="717">
        <v>45632</v>
      </c>
      <c r="E3505" s="691">
        <v>4.0000000000000001E-3</v>
      </c>
      <c r="F3505" s="691" t="s">
        <v>467</v>
      </c>
      <c r="G3505" s="691">
        <v>4.0000000000000001E-3</v>
      </c>
      <c r="H3505" s="718">
        <v>0.5625</v>
      </c>
      <c r="I3505" s="1246"/>
      <c r="J3505" s="1246"/>
      <c r="K3505" s="1247"/>
      <c r="L3505" s="679">
        <v>0.79166666666666663</v>
      </c>
    </row>
    <row r="3506" spans="3:12">
      <c r="C3506" s="660"/>
      <c r="D3506" s="717">
        <v>45597</v>
      </c>
      <c r="E3506" s="691">
        <v>4.0000000000000001E-3</v>
      </c>
      <c r="F3506" s="691" t="s">
        <v>467</v>
      </c>
      <c r="G3506" s="691">
        <v>3.0000000000000001E-3</v>
      </c>
      <c r="H3506" s="718">
        <v>0.52083333333333337</v>
      </c>
      <c r="I3506" s="1246"/>
      <c r="J3506" s="1246"/>
      <c r="K3506" s="1247"/>
      <c r="L3506" s="679">
        <v>0.75</v>
      </c>
    </row>
    <row r="3507" spans="3:12" ht="17" thickBot="1">
      <c r="C3507" s="660"/>
      <c r="D3507" s="717">
        <v>45569</v>
      </c>
      <c r="E3507" s="691">
        <v>4.0000000000000001E-3</v>
      </c>
      <c r="F3507" s="691" t="s">
        <v>467</v>
      </c>
      <c r="G3507" s="691">
        <v>5.0000000000000001E-3</v>
      </c>
      <c r="H3507" s="718">
        <v>0.52083333333333337</v>
      </c>
      <c r="I3507" s="1249"/>
      <c r="J3507" s="1249"/>
      <c r="K3507" s="1250"/>
      <c r="L3507" s="679">
        <v>0.75</v>
      </c>
    </row>
    <row r="3508" spans="3:12" ht="17" thickBot="1">
      <c r="C3508" s="660">
        <v>1</v>
      </c>
      <c r="D3508" s="671" t="s">
        <v>30</v>
      </c>
      <c r="E3508" s="1252" t="s">
        <v>1739</v>
      </c>
      <c r="F3508" s="1253"/>
      <c r="G3508" s="1254"/>
      <c r="H3508" s="712" t="s">
        <v>790</v>
      </c>
      <c r="I3508" s="1256" t="s">
        <v>633</v>
      </c>
      <c r="J3508" s="1256"/>
      <c r="K3508" s="1257"/>
      <c r="L3508" s="674" t="s">
        <v>430</v>
      </c>
    </row>
    <row r="3509" spans="3:12">
      <c r="C3509" s="660"/>
      <c r="D3509" s="663" t="s">
        <v>432</v>
      </c>
      <c r="E3509" s="1266"/>
      <c r="F3509" s="1267"/>
      <c r="G3509" s="1268"/>
      <c r="H3509" s="930" t="s">
        <v>794</v>
      </c>
      <c r="I3509" s="1243" t="s">
        <v>1742</v>
      </c>
      <c r="J3509" s="1243"/>
      <c r="K3509" s="1244"/>
      <c r="L3509" s="664"/>
    </row>
    <row r="3510" spans="3:12">
      <c r="C3510" s="660"/>
      <c r="D3510" s="666" t="s">
        <v>433</v>
      </c>
      <c r="E3510" s="1269"/>
      <c r="F3510" s="1270"/>
      <c r="G3510" s="1271"/>
      <c r="H3510" s="930" t="s">
        <v>795</v>
      </c>
      <c r="I3510" s="1246"/>
      <c r="J3510" s="1246"/>
      <c r="K3510" s="1247"/>
      <c r="L3510" s="664"/>
    </row>
    <row r="3511" spans="3:12">
      <c r="C3511" s="660"/>
      <c r="D3511" s="666" t="s">
        <v>434</v>
      </c>
      <c r="E3511" s="1278" t="s">
        <v>1741</v>
      </c>
      <c r="F3511" s="1270"/>
      <c r="G3511" s="1271"/>
      <c r="H3511" s="715"/>
      <c r="I3511" s="1246"/>
      <c r="J3511" s="1246"/>
      <c r="K3511" s="1247"/>
      <c r="L3511" s="664"/>
    </row>
    <row r="3512" spans="3:12" ht="17" thickBot="1">
      <c r="C3512" s="660"/>
      <c r="D3512" s="668" t="s">
        <v>435</v>
      </c>
      <c r="E3512" s="1275">
        <v>0.52083333333333337</v>
      </c>
      <c r="F3512" s="1276"/>
      <c r="G3512" s="1277"/>
      <c r="H3512" s="716"/>
      <c r="I3512" s="1246"/>
      <c r="J3512" s="1246"/>
      <c r="K3512" s="1247"/>
      <c r="L3512" s="669">
        <v>0.75</v>
      </c>
    </row>
    <row r="3513" spans="3:12" ht="17" thickBot="1">
      <c r="C3513" s="660"/>
      <c r="D3513" s="671" t="s">
        <v>436</v>
      </c>
      <c r="E3513" s="672" t="s">
        <v>29</v>
      </c>
      <c r="F3513" s="672" t="s">
        <v>28</v>
      </c>
      <c r="G3513" s="673" t="s">
        <v>27</v>
      </c>
      <c r="H3513" s="712" t="s">
        <v>793</v>
      </c>
      <c r="I3513" s="1246"/>
      <c r="J3513" s="1246"/>
      <c r="K3513" s="1247"/>
      <c r="L3513" s="675" t="s">
        <v>1246</v>
      </c>
    </row>
    <row r="3514" spans="3:12">
      <c r="C3514" s="660"/>
      <c r="D3514" s="717">
        <v>45723</v>
      </c>
      <c r="E3514" s="693" t="s">
        <v>1870</v>
      </c>
      <c r="F3514" s="693" t="s">
        <v>1194</v>
      </c>
      <c r="G3514" s="693" t="s">
        <v>1871</v>
      </c>
      <c r="H3514" s="718">
        <v>0.5625</v>
      </c>
      <c r="I3514" s="1246"/>
      <c r="J3514" s="1246"/>
      <c r="K3514" s="1247"/>
      <c r="L3514" s="679">
        <v>0.79166666666666663</v>
      </c>
    </row>
    <row r="3515" spans="3:12">
      <c r="C3515" s="660"/>
      <c r="D3515" s="717">
        <v>45695</v>
      </c>
      <c r="E3515" s="693" t="s">
        <v>1195</v>
      </c>
      <c r="F3515" s="693" t="s">
        <v>1875</v>
      </c>
      <c r="G3515" s="693" t="s">
        <v>1876</v>
      </c>
      <c r="H3515" s="718">
        <v>0.5625</v>
      </c>
      <c r="I3515" s="1246"/>
      <c r="J3515" s="1246"/>
      <c r="K3515" s="1247"/>
      <c r="L3515" s="679">
        <v>0.79166666666666663</v>
      </c>
    </row>
    <row r="3516" spans="3:12">
      <c r="C3516" s="660"/>
      <c r="D3516" s="717">
        <v>45667</v>
      </c>
      <c r="E3516" s="693" t="s">
        <v>1880</v>
      </c>
      <c r="F3516" s="693" t="s">
        <v>1237</v>
      </c>
      <c r="G3516" s="693" t="s">
        <v>1881</v>
      </c>
      <c r="H3516" s="718">
        <v>0.5625</v>
      </c>
      <c r="I3516" s="1246"/>
      <c r="J3516" s="1246"/>
      <c r="K3516" s="1247"/>
      <c r="L3516" s="679">
        <v>0.79166666666666663</v>
      </c>
    </row>
    <row r="3517" spans="3:12">
      <c r="C3517" s="660"/>
      <c r="D3517" s="717">
        <v>45632</v>
      </c>
      <c r="E3517" s="693" t="s">
        <v>978</v>
      </c>
      <c r="F3517" s="693" t="s">
        <v>1397</v>
      </c>
      <c r="G3517" s="693" t="s">
        <v>1398</v>
      </c>
      <c r="H3517" s="718">
        <v>0.5625</v>
      </c>
      <c r="I3517" s="1246"/>
      <c r="J3517" s="1246"/>
      <c r="K3517" s="1247"/>
      <c r="L3517" s="679">
        <v>0.79166666666666663</v>
      </c>
    </row>
    <row r="3518" spans="3:12">
      <c r="C3518" s="660"/>
      <c r="D3518" s="717">
        <v>45597</v>
      </c>
      <c r="E3518" s="693" t="s">
        <v>1233</v>
      </c>
      <c r="F3518" s="693" t="s">
        <v>1234</v>
      </c>
      <c r="G3518" s="693" t="s">
        <v>973</v>
      </c>
      <c r="H3518" s="718">
        <v>0.52083333333333337</v>
      </c>
      <c r="I3518" s="1246"/>
      <c r="J3518" s="1246"/>
      <c r="K3518" s="1247"/>
      <c r="L3518" s="679">
        <v>0.75</v>
      </c>
    </row>
    <row r="3519" spans="3:12" ht="17" thickBot="1">
      <c r="C3519" s="660"/>
      <c r="D3519" s="717">
        <v>45569</v>
      </c>
      <c r="E3519" s="693" t="s">
        <v>1235</v>
      </c>
      <c r="F3519" s="693" t="s">
        <v>1202</v>
      </c>
      <c r="G3519" s="693" t="s">
        <v>1194</v>
      </c>
      <c r="H3519" s="718">
        <v>0.52083333333333337</v>
      </c>
      <c r="I3519" s="1249"/>
      <c r="J3519" s="1249"/>
      <c r="K3519" s="1250"/>
      <c r="L3519" s="679">
        <v>0.75</v>
      </c>
    </row>
    <row r="3520" spans="3:12" ht="17" thickBot="1">
      <c r="C3520" s="660">
        <v>1</v>
      </c>
      <c r="D3520" s="671" t="s">
        <v>30</v>
      </c>
      <c r="E3520" s="1252" t="s">
        <v>1743</v>
      </c>
      <c r="F3520" s="1253"/>
      <c r="G3520" s="1254"/>
      <c r="H3520" s="712" t="s">
        <v>790</v>
      </c>
      <c r="I3520" s="1256" t="s">
        <v>633</v>
      </c>
      <c r="J3520" s="1256"/>
      <c r="K3520" s="1257"/>
      <c r="L3520" s="674" t="s">
        <v>430</v>
      </c>
    </row>
    <row r="3521" spans="3:12">
      <c r="C3521" s="660"/>
      <c r="D3521" s="663" t="s">
        <v>432</v>
      </c>
      <c r="E3521" s="1266"/>
      <c r="F3521" s="1267"/>
      <c r="G3521" s="1268"/>
      <c r="H3521" s="930" t="s">
        <v>794</v>
      </c>
      <c r="I3521" s="1243" t="s">
        <v>1744</v>
      </c>
      <c r="J3521" s="1243"/>
      <c r="K3521" s="1244"/>
      <c r="L3521" s="664"/>
    </row>
    <row r="3522" spans="3:12">
      <c r="C3522" s="660"/>
      <c r="D3522" s="666" t="s">
        <v>433</v>
      </c>
      <c r="E3522" s="1269"/>
      <c r="F3522" s="1270"/>
      <c r="G3522" s="1271"/>
      <c r="H3522" s="930" t="s">
        <v>795</v>
      </c>
      <c r="I3522" s="1246"/>
      <c r="J3522" s="1246"/>
      <c r="K3522" s="1247"/>
      <c r="L3522" s="664"/>
    </row>
    <row r="3523" spans="3:12">
      <c r="C3523" s="660"/>
      <c r="D3523" s="666" t="s">
        <v>434</v>
      </c>
      <c r="E3523" s="1278">
        <v>4.1000000000000002E-2</v>
      </c>
      <c r="F3523" s="1270"/>
      <c r="G3523" s="1271"/>
      <c r="H3523" s="715"/>
      <c r="I3523" s="1246"/>
      <c r="J3523" s="1246"/>
      <c r="K3523" s="1247"/>
      <c r="L3523" s="664"/>
    </row>
    <row r="3524" spans="3:12" ht="17" thickBot="1">
      <c r="C3524" s="660"/>
      <c r="D3524" s="668" t="s">
        <v>435</v>
      </c>
      <c r="E3524" s="1275">
        <v>0.52083333333333337</v>
      </c>
      <c r="F3524" s="1276"/>
      <c r="G3524" s="1277"/>
      <c r="H3524" s="716"/>
      <c r="I3524" s="1246"/>
      <c r="J3524" s="1246"/>
      <c r="K3524" s="1247"/>
      <c r="L3524" s="669">
        <v>0.75</v>
      </c>
    </row>
    <row r="3525" spans="3:12" ht="17" thickBot="1">
      <c r="C3525" s="660"/>
      <c r="D3525" s="671" t="s">
        <v>436</v>
      </c>
      <c r="E3525" s="672" t="s">
        <v>29</v>
      </c>
      <c r="F3525" s="672" t="s">
        <v>28</v>
      </c>
      <c r="G3525" s="673" t="s">
        <v>27</v>
      </c>
      <c r="H3525" s="712" t="s">
        <v>793</v>
      </c>
      <c r="I3525" s="1246"/>
      <c r="J3525" s="1246"/>
      <c r="K3525" s="1247"/>
      <c r="L3525" s="675" t="s">
        <v>1246</v>
      </c>
    </row>
    <row r="3526" spans="3:12">
      <c r="C3526" s="660"/>
      <c r="D3526" s="717">
        <v>45723</v>
      </c>
      <c r="E3526" s="691">
        <v>4.1000000000000002E-2</v>
      </c>
      <c r="F3526" s="691" t="s">
        <v>630</v>
      </c>
      <c r="G3526" s="691">
        <v>0.04</v>
      </c>
      <c r="H3526" s="718">
        <v>0.5625</v>
      </c>
      <c r="I3526" s="1246"/>
      <c r="J3526" s="1246"/>
      <c r="K3526" s="1247"/>
      <c r="L3526" s="679">
        <v>0.79166666666666663</v>
      </c>
    </row>
    <row r="3527" spans="3:12">
      <c r="C3527" s="660"/>
      <c r="D3527" s="717">
        <v>45695</v>
      </c>
      <c r="E3527" s="691">
        <v>0.04</v>
      </c>
      <c r="F3527" s="691" t="s">
        <v>629</v>
      </c>
      <c r="G3527" s="691">
        <v>4.1000000000000002E-2</v>
      </c>
      <c r="H3527" s="718">
        <v>0.5625</v>
      </c>
      <c r="I3527" s="1246"/>
      <c r="J3527" s="1246"/>
      <c r="K3527" s="1247"/>
      <c r="L3527" s="679">
        <v>0.79166666666666663</v>
      </c>
    </row>
    <row r="3528" spans="3:12">
      <c r="C3528" s="660"/>
      <c r="D3528" s="717">
        <v>45667</v>
      </c>
      <c r="E3528" s="691">
        <v>4.1000000000000002E-2</v>
      </c>
      <c r="F3528" s="691" t="s">
        <v>628</v>
      </c>
      <c r="G3528" s="691">
        <v>4.2000000000000003E-2</v>
      </c>
      <c r="H3528" s="718">
        <v>0.5625</v>
      </c>
      <c r="I3528" s="1246"/>
      <c r="J3528" s="1246"/>
      <c r="K3528" s="1247"/>
      <c r="L3528" s="679">
        <v>0.79166666666666663</v>
      </c>
    </row>
    <row r="3529" spans="3:12">
      <c r="C3529" s="660"/>
      <c r="D3529" s="717">
        <v>45632</v>
      </c>
      <c r="E3529" s="691">
        <v>4.2000000000000003E-2</v>
      </c>
      <c r="F3529" s="691" t="s">
        <v>628</v>
      </c>
      <c r="G3529" s="691">
        <v>4.1000000000000002E-2</v>
      </c>
      <c r="H3529" s="718">
        <v>0.5625</v>
      </c>
      <c r="I3529" s="1246"/>
      <c r="J3529" s="1246"/>
      <c r="K3529" s="1247"/>
      <c r="L3529" s="679">
        <v>0.79166666666666663</v>
      </c>
    </row>
    <row r="3530" spans="3:12">
      <c r="C3530" s="660"/>
      <c r="D3530" s="717">
        <v>45597</v>
      </c>
      <c r="E3530" s="691">
        <v>4.1000000000000002E-2</v>
      </c>
      <c r="F3530" s="691" t="s">
        <v>629</v>
      </c>
      <c r="G3530" s="691">
        <v>4.1000000000000002E-2</v>
      </c>
      <c r="H3530" s="718">
        <v>0.52083333333333337</v>
      </c>
      <c r="I3530" s="1246"/>
      <c r="J3530" s="1246"/>
      <c r="K3530" s="1247"/>
      <c r="L3530" s="679">
        <v>0.75</v>
      </c>
    </row>
    <row r="3531" spans="3:12" ht="17" thickBot="1">
      <c r="C3531" s="660"/>
      <c r="D3531" s="717">
        <v>45569</v>
      </c>
      <c r="E3531" s="691">
        <v>4.1000000000000002E-2</v>
      </c>
      <c r="F3531" s="691" t="s">
        <v>628</v>
      </c>
      <c r="G3531" s="691">
        <v>4.2000000000000003E-2</v>
      </c>
      <c r="H3531" s="718">
        <v>0.52083333333333337</v>
      </c>
      <c r="I3531" s="1249"/>
      <c r="J3531" s="1249"/>
      <c r="K3531" s="1250"/>
      <c r="L3531" s="679">
        <v>0.75</v>
      </c>
    </row>
    <row r="3532" spans="3:12" ht="17" thickBot="1">
      <c r="C3532" s="660">
        <v>1</v>
      </c>
      <c r="D3532" s="671" t="s">
        <v>30</v>
      </c>
      <c r="E3532" s="1252" t="s">
        <v>1745</v>
      </c>
      <c r="F3532" s="1253"/>
      <c r="G3532" s="1254"/>
      <c r="H3532" s="712" t="s">
        <v>790</v>
      </c>
      <c r="I3532" s="1256" t="s">
        <v>633</v>
      </c>
      <c r="J3532" s="1256"/>
      <c r="K3532" s="1257"/>
      <c r="L3532" s="674" t="s">
        <v>430</v>
      </c>
    </row>
    <row r="3533" spans="3:12">
      <c r="C3533" s="660"/>
      <c r="D3533" s="663" t="s">
        <v>432</v>
      </c>
      <c r="E3533" s="1266"/>
      <c r="F3533" s="1267"/>
      <c r="G3533" s="1268"/>
      <c r="H3533" s="930" t="s">
        <v>794</v>
      </c>
      <c r="I3533" s="1243" t="s">
        <v>1746</v>
      </c>
      <c r="J3533" s="1243"/>
      <c r="K3533" s="1244"/>
      <c r="L3533" s="664"/>
    </row>
    <row r="3534" spans="3:12">
      <c r="C3534" s="660"/>
      <c r="D3534" s="666" t="s">
        <v>433</v>
      </c>
      <c r="E3534" s="1269"/>
      <c r="F3534" s="1270"/>
      <c r="G3534" s="1271"/>
      <c r="H3534" s="930" t="s">
        <v>795</v>
      </c>
      <c r="I3534" s="1246"/>
      <c r="J3534" s="1246"/>
      <c r="K3534" s="1247"/>
      <c r="L3534" s="664"/>
    </row>
    <row r="3535" spans="3:12">
      <c r="C3535" s="660"/>
      <c r="D3535" s="666" t="s">
        <v>434</v>
      </c>
      <c r="E3535" s="1278">
        <v>18.100000000000001</v>
      </c>
      <c r="F3535" s="1270"/>
      <c r="G3535" s="1271"/>
      <c r="H3535" s="715"/>
      <c r="I3535" s="1246"/>
      <c r="J3535" s="1246"/>
      <c r="K3535" s="1247"/>
      <c r="L3535" s="664"/>
    </row>
    <row r="3536" spans="3:12" ht="17" thickBot="1">
      <c r="C3536" s="660"/>
      <c r="D3536" s="668" t="s">
        <v>435</v>
      </c>
      <c r="E3536" s="1275">
        <v>0.64236111111111116</v>
      </c>
      <c r="F3536" s="1276"/>
      <c r="G3536" s="1277"/>
      <c r="H3536" s="716"/>
      <c r="I3536" s="1246"/>
      <c r="J3536" s="1246"/>
      <c r="K3536" s="1247"/>
      <c r="L3536" s="669">
        <v>0.87152777777777779</v>
      </c>
    </row>
    <row r="3537" spans="2:13" ht="17" thickBot="1">
      <c r="C3537" s="660"/>
      <c r="D3537" s="671" t="s">
        <v>436</v>
      </c>
      <c r="E3537" s="672" t="s">
        <v>29</v>
      </c>
      <c r="F3537" s="672" t="s">
        <v>28</v>
      </c>
      <c r="G3537" s="673" t="s">
        <v>27</v>
      </c>
      <c r="H3537" s="712" t="s">
        <v>793</v>
      </c>
      <c r="I3537" s="1246"/>
      <c r="J3537" s="1246"/>
      <c r="K3537" s="1247"/>
      <c r="L3537" s="675" t="s">
        <v>1246</v>
      </c>
    </row>
    <row r="3538" spans="2:13">
      <c r="C3538" s="660"/>
      <c r="D3538" s="719">
        <v>45722</v>
      </c>
      <c r="E3538" s="691"/>
      <c r="F3538" s="691"/>
      <c r="G3538" s="691"/>
      <c r="H3538" s="718">
        <v>0.72916666666666674</v>
      </c>
      <c r="I3538" s="1246"/>
      <c r="J3538" s="1246"/>
      <c r="K3538" s="1247"/>
      <c r="L3538" s="679">
        <v>0.95833333333333337</v>
      </c>
    </row>
    <row r="3539" spans="2:13">
      <c r="C3539" s="660"/>
      <c r="D3539" s="719">
        <v>45629</v>
      </c>
      <c r="E3539" s="691"/>
      <c r="F3539" s="691"/>
      <c r="G3539" s="691"/>
      <c r="H3539" s="718">
        <v>0.78125</v>
      </c>
      <c r="I3539" s="1246"/>
      <c r="J3539" s="1246"/>
      <c r="K3539" s="1247"/>
      <c r="L3539" s="679">
        <v>1.0416666666666666E-2</v>
      </c>
    </row>
    <row r="3540" spans="2:13">
      <c r="C3540" s="660"/>
      <c r="D3540" s="719">
        <v>45609</v>
      </c>
      <c r="E3540" s="691"/>
      <c r="F3540" s="691"/>
      <c r="G3540" s="691"/>
      <c r="H3540" s="718">
        <v>0.83333333333333337</v>
      </c>
      <c r="I3540" s="1246"/>
      <c r="J3540" s="1246"/>
      <c r="K3540" s="1247"/>
      <c r="L3540" s="679">
        <v>6.25E-2</v>
      </c>
    </row>
    <row r="3541" spans="2:13">
      <c r="C3541" s="660"/>
      <c r="D3541" s="719">
        <v>45723</v>
      </c>
      <c r="E3541" s="691"/>
      <c r="F3541" s="691"/>
      <c r="G3541" s="691"/>
      <c r="H3541" s="718">
        <v>0.74652777777777779</v>
      </c>
      <c r="I3541" s="1246"/>
      <c r="J3541" s="1246"/>
      <c r="K3541" s="1247"/>
      <c r="L3541" s="679">
        <v>0.97569444444444442</v>
      </c>
    </row>
    <row r="3542" spans="2:13">
      <c r="C3542" s="660"/>
      <c r="D3542" s="719">
        <v>45630</v>
      </c>
      <c r="E3542" s="691"/>
      <c r="F3542" s="691"/>
      <c r="G3542" s="691"/>
      <c r="H3542" s="718">
        <v>0.55555555555555558</v>
      </c>
      <c r="I3542" s="1246"/>
      <c r="J3542" s="1246"/>
      <c r="K3542" s="1247"/>
      <c r="L3542" s="679">
        <v>0.78472222222222221</v>
      </c>
    </row>
    <row r="3543" spans="2:13" ht="17" thickBot="1">
      <c r="C3543" s="660"/>
      <c r="D3543" s="719">
        <v>45610</v>
      </c>
      <c r="E3543" s="691"/>
      <c r="F3543" s="691"/>
      <c r="G3543" s="691"/>
      <c r="H3543" s="718">
        <v>0.58333333333333337</v>
      </c>
      <c r="I3543" s="1249"/>
      <c r="J3543" s="1249"/>
      <c r="K3543" s="1250"/>
      <c r="L3543" s="679">
        <v>0.8125</v>
      </c>
    </row>
    <row r="3544" spans="2:13" ht="17" thickBot="1">
      <c r="B3544" s="90" t="s">
        <v>105</v>
      </c>
      <c r="C3544" s="660">
        <v>1</v>
      </c>
      <c r="D3544" s="671" t="s">
        <v>30</v>
      </c>
      <c r="E3544" s="1252" t="s">
        <v>1897</v>
      </c>
      <c r="F3544" s="1253"/>
      <c r="G3544" s="1254"/>
      <c r="H3544" s="712" t="s">
        <v>790</v>
      </c>
      <c r="I3544" s="1256" t="s">
        <v>633</v>
      </c>
      <c r="J3544" s="1256"/>
      <c r="K3544" s="1257"/>
      <c r="L3544" s="674" t="s">
        <v>430</v>
      </c>
      <c r="M3544" s="713" t="s">
        <v>431</v>
      </c>
    </row>
    <row r="3545" spans="2:13">
      <c r="C3545" s="660"/>
      <c r="D3545" s="663" t="s">
        <v>432</v>
      </c>
      <c r="E3545" s="1266"/>
      <c r="F3545" s="1267"/>
      <c r="G3545" s="1268"/>
      <c r="H3545" s="714" t="s">
        <v>1924</v>
      </c>
      <c r="I3545" s="1243" t="s">
        <v>1898</v>
      </c>
      <c r="J3545" s="1243"/>
      <c r="K3545" s="1244"/>
      <c r="L3545" s="664"/>
      <c r="M3545" s="665" t="s">
        <v>1897</v>
      </c>
    </row>
    <row r="3546" spans="2:13">
      <c r="C3546" s="660"/>
      <c r="D3546" s="666" t="s">
        <v>433</v>
      </c>
      <c r="E3546" s="1269"/>
      <c r="F3546" s="1270"/>
      <c r="G3546" s="1271"/>
      <c r="H3546" s="715" t="s">
        <v>1925</v>
      </c>
      <c r="I3546" s="1246"/>
      <c r="J3546" s="1246"/>
      <c r="K3546" s="1247"/>
      <c r="L3546" s="664"/>
      <c r="M3546" s="667"/>
    </row>
    <row r="3547" spans="2:13">
      <c r="C3547" s="660"/>
      <c r="D3547" s="666" t="s">
        <v>434</v>
      </c>
      <c r="E3547" s="1272">
        <v>3.7499999999999999E-2</v>
      </c>
      <c r="F3547" s="1273"/>
      <c r="G3547" s="1274"/>
      <c r="H3547" s="715"/>
      <c r="I3547" s="1246"/>
      <c r="J3547" s="1246"/>
      <c r="K3547" s="1247"/>
      <c r="L3547" s="664"/>
      <c r="M3547" s="667"/>
    </row>
    <row r="3548" spans="2:13" ht="17" thickBot="1">
      <c r="C3548" s="660"/>
      <c r="D3548" s="668" t="s">
        <v>435</v>
      </c>
      <c r="E3548" s="1275">
        <v>8.3333333333333343E-2</v>
      </c>
      <c r="F3548" s="1276"/>
      <c r="G3548" s="1277"/>
      <c r="H3548" s="716"/>
      <c r="I3548" s="1246"/>
      <c r="J3548" s="1246"/>
      <c r="K3548" s="1247"/>
      <c r="L3548" s="669">
        <v>0.3125</v>
      </c>
      <c r="M3548" s="670">
        <v>0.20833333333333331</v>
      </c>
    </row>
    <row r="3549" spans="2:13" ht="17" thickBot="1">
      <c r="C3549" s="660"/>
      <c r="D3549" s="671" t="s">
        <v>436</v>
      </c>
      <c r="E3549" s="672" t="s">
        <v>29</v>
      </c>
      <c r="F3549" s="672" t="s">
        <v>28</v>
      </c>
      <c r="G3549" s="673" t="s">
        <v>27</v>
      </c>
      <c r="H3549" s="712" t="s">
        <v>793</v>
      </c>
      <c r="I3549" s="1246"/>
      <c r="J3549" s="1246"/>
      <c r="K3549" s="1247"/>
      <c r="L3549" s="675" t="s">
        <v>1246</v>
      </c>
      <c r="M3549" s="676"/>
    </row>
    <row r="3550" spans="2:13">
      <c r="C3550" s="660"/>
      <c r="D3550" s="717">
        <v>45707</v>
      </c>
      <c r="E3550" s="720">
        <v>3.7499999999999999E-2</v>
      </c>
      <c r="F3550" s="720" t="s">
        <v>1543</v>
      </c>
      <c r="G3550" s="720">
        <v>4.2500000000000003E-2</v>
      </c>
      <c r="H3550" s="718">
        <v>4.1666666666666657E-2</v>
      </c>
      <c r="I3550" s="1246"/>
      <c r="J3550" s="1246"/>
      <c r="K3550" s="1247"/>
      <c r="L3550" s="679">
        <v>0.27083333333333331</v>
      </c>
      <c r="M3550" s="680"/>
    </row>
    <row r="3551" spans="2:13">
      <c r="C3551" s="660"/>
      <c r="D3551" s="717">
        <v>45623</v>
      </c>
      <c r="E3551" s="720">
        <v>4.2500000000000003E-2</v>
      </c>
      <c r="F3551" s="720" t="s">
        <v>723</v>
      </c>
      <c r="G3551" s="720">
        <v>4.7500000000000001E-2</v>
      </c>
      <c r="H3551" s="718">
        <v>4.1666666666666657E-2</v>
      </c>
      <c r="I3551" s="1246"/>
      <c r="J3551" s="1246"/>
      <c r="K3551" s="1247"/>
      <c r="L3551" s="679">
        <v>0.27083333333333331</v>
      </c>
      <c r="M3551" s="681"/>
    </row>
    <row r="3552" spans="2:13">
      <c r="C3552" s="660"/>
      <c r="D3552" s="717">
        <v>45574</v>
      </c>
      <c r="E3552" s="720">
        <v>4.7500000000000001E-2</v>
      </c>
      <c r="F3552" s="720" t="s">
        <v>726</v>
      </c>
      <c r="G3552" s="720">
        <v>5.2499999999999998E-2</v>
      </c>
      <c r="H3552" s="718">
        <v>4.1666666666666657E-2</v>
      </c>
      <c r="I3552" s="1246"/>
      <c r="J3552" s="1246"/>
      <c r="K3552" s="1247"/>
      <c r="L3552" s="679">
        <v>0.27083333333333331</v>
      </c>
      <c r="M3552" s="667"/>
    </row>
    <row r="3553" spans="3:13">
      <c r="C3553" s="660"/>
      <c r="D3553" s="717">
        <v>45518</v>
      </c>
      <c r="E3553" s="720">
        <v>5.2499999999999998E-2</v>
      </c>
      <c r="F3553" s="720" t="s">
        <v>942</v>
      </c>
      <c r="G3553" s="720">
        <v>5.5E-2</v>
      </c>
      <c r="H3553" s="718">
        <v>8.3333333333333343E-2</v>
      </c>
      <c r="I3553" s="1246"/>
      <c r="J3553" s="1246"/>
      <c r="K3553" s="1247"/>
      <c r="L3553" s="679">
        <v>0.3125</v>
      </c>
      <c r="M3553" s="667"/>
    </row>
    <row r="3554" spans="3:13">
      <c r="C3554" s="660"/>
      <c r="D3554" s="717">
        <v>45483</v>
      </c>
      <c r="E3554" s="720">
        <v>5.5E-2</v>
      </c>
      <c r="F3554" s="720" t="s">
        <v>942</v>
      </c>
      <c r="G3554" s="720">
        <v>5.5E-2</v>
      </c>
      <c r="H3554" s="718">
        <v>8.3333333333333343E-2</v>
      </c>
      <c r="I3554" s="1246"/>
      <c r="J3554" s="1246"/>
      <c r="K3554" s="1247"/>
      <c r="L3554" s="679">
        <v>0.3125</v>
      </c>
      <c r="M3554" s="667"/>
    </row>
    <row r="3555" spans="3:13" ht="17" thickBot="1">
      <c r="C3555" s="660"/>
      <c r="D3555" s="717">
        <v>45434</v>
      </c>
      <c r="E3555" s="720">
        <v>5.5E-2</v>
      </c>
      <c r="F3555" s="720" t="s">
        <v>942</v>
      </c>
      <c r="G3555" s="720">
        <v>5.5E-2</v>
      </c>
      <c r="H3555" s="718">
        <v>8.3333333333333343E-2</v>
      </c>
      <c r="I3555" s="1249"/>
      <c r="J3555" s="1249"/>
      <c r="K3555" s="1250"/>
      <c r="L3555" s="679">
        <v>0.3125</v>
      </c>
      <c r="M3555" s="682"/>
    </row>
    <row r="3556" spans="3:13" ht="17" thickBot="1">
      <c r="C3556" s="757">
        <v>1</v>
      </c>
      <c r="D3556" s="684" t="s">
        <v>30</v>
      </c>
      <c r="E3556" s="1290" t="s">
        <v>1503</v>
      </c>
      <c r="F3556" s="1291"/>
      <c r="G3556" s="1292"/>
      <c r="H3556" s="712" t="s">
        <v>790</v>
      </c>
      <c r="I3556" s="1256" t="s">
        <v>633</v>
      </c>
      <c r="J3556" s="1256"/>
      <c r="K3556" s="1257"/>
      <c r="L3556" s="674" t="s">
        <v>430</v>
      </c>
      <c r="M3556" s="758" t="s">
        <v>431</v>
      </c>
    </row>
    <row r="3557" spans="3:13">
      <c r="C3557" s="660"/>
      <c r="D3557" s="663" t="s">
        <v>432</v>
      </c>
      <c r="E3557" s="1266"/>
      <c r="F3557" s="1267"/>
      <c r="G3557" s="1268"/>
      <c r="H3557" s="714" t="s">
        <v>796</v>
      </c>
      <c r="I3557" s="1243" t="s">
        <v>1505</v>
      </c>
      <c r="J3557" s="1243"/>
      <c r="K3557" s="1244"/>
      <c r="L3557" s="664"/>
      <c r="M3557" s="665" t="s">
        <v>1503</v>
      </c>
    </row>
    <row r="3558" spans="3:13">
      <c r="C3558" s="660"/>
      <c r="D3558" s="666" t="s">
        <v>433</v>
      </c>
      <c r="E3558" s="1269"/>
      <c r="F3558" s="1270"/>
      <c r="G3558" s="1271"/>
      <c r="H3558" s="714" t="s">
        <v>796</v>
      </c>
      <c r="I3558" s="1246"/>
      <c r="J3558" s="1246"/>
      <c r="K3558" s="1247"/>
      <c r="L3558" s="664"/>
      <c r="M3558" s="667"/>
    </row>
    <row r="3559" spans="3:13">
      <c r="C3559" s="660"/>
      <c r="D3559" s="666" t="s">
        <v>434</v>
      </c>
      <c r="E3559" s="1272" t="s">
        <v>1899</v>
      </c>
      <c r="F3559" s="1273"/>
      <c r="G3559" s="1274"/>
      <c r="H3559" s="715"/>
      <c r="I3559" s="1246"/>
      <c r="J3559" s="1246"/>
      <c r="K3559" s="1247"/>
      <c r="L3559" s="664"/>
      <c r="M3559" s="667"/>
    </row>
    <row r="3560" spans="3:13" ht="17" thickBot="1">
      <c r="C3560" s="660"/>
      <c r="D3560" s="668" t="s">
        <v>435</v>
      </c>
      <c r="E3560" s="1275">
        <v>0.60416666666666674</v>
      </c>
      <c r="F3560" s="1276"/>
      <c r="G3560" s="1277"/>
      <c r="H3560" s="716"/>
      <c r="I3560" s="1246"/>
      <c r="J3560" s="1246"/>
      <c r="K3560" s="1247"/>
      <c r="L3560" s="669">
        <v>0.83333333333333337</v>
      </c>
      <c r="M3560" s="670">
        <v>0.72916666666666674</v>
      </c>
    </row>
    <row r="3561" spans="3:13" ht="17" thickBot="1">
      <c r="C3561" s="660"/>
      <c r="D3561" s="671" t="s">
        <v>436</v>
      </c>
      <c r="E3561" s="672" t="s">
        <v>29</v>
      </c>
      <c r="F3561" s="672" t="s">
        <v>28</v>
      </c>
      <c r="G3561" s="673" t="s">
        <v>27</v>
      </c>
      <c r="H3561" s="712" t="s">
        <v>793</v>
      </c>
      <c r="I3561" s="1246"/>
      <c r="J3561" s="1246"/>
      <c r="K3561" s="1247"/>
      <c r="L3561" s="675" t="s">
        <v>1246</v>
      </c>
      <c r="M3561" s="676"/>
    </row>
    <row r="3562" spans="3:13">
      <c r="C3562" s="660"/>
      <c r="D3562" s="717">
        <v>45749</v>
      </c>
      <c r="E3562" s="720" t="s">
        <v>1899</v>
      </c>
      <c r="F3562" s="720" t="s">
        <v>1926</v>
      </c>
      <c r="G3562" s="720" t="s">
        <v>1840</v>
      </c>
      <c r="H3562" s="718">
        <v>0.60416666666666674</v>
      </c>
      <c r="I3562" s="1246"/>
      <c r="J3562" s="1246"/>
      <c r="K3562" s="1247"/>
      <c r="L3562" s="679">
        <v>0.83333333333333337</v>
      </c>
      <c r="M3562" s="680"/>
    </row>
    <row r="3563" spans="3:13">
      <c r="C3563" s="660"/>
      <c r="D3563" s="717">
        <v>45742</v>
      </c>
      <c r="E3563" s="720" t="s">
        <v>1840</v>
      </c>
      <c r="F3563" s="720" t="s">
        <v>991</v>
      </c>
      <c r="G3563" s="720" t="s">
        <v>1696</v>
      </c>
      <c r="H3563" s="718">
        <v>0.60416666666666674</v>
      </c>
      <c r="I3563" s="1246"/>
      <c r="J3563" s="1246"/>
      <c r="K3563" s="1247"/>
      <c r="L3563" s="679">
        <v>0.83333333333333337</v>
      </c>
      <c r="M3563" s="681"/>
    </row>
    <row r="3564" spans="3:13">
      <c r="C3564" s="660"/>
      <c r="D3564" s="717">
        <v>45735</v>
      </c>
      <c r="E3564" s="720" t="s">
        <v>1696</v>
      </c>
      <c r="F3564" s="720" t="s">
        <v>993</v>
      </c>
      <c r="G3564" s="720" t="s">
        <v>1697</v>
      </c>
      <c r="H3564" s="718">
        <v>0.5625</v>
      </c>
      <c r="I3564" s="1246"/>
      <c r="J3564" s="1246"/>
      <c r="K3564" s="1247"/>
      <c r="L3564" s="679">
        <v>0.79166666666666663</v>
      </c>
      <c r="M3564" s="667"/>
    </row>
    <row r="3565" spans="3:13">
      <c r="C3565" s="660"/>
      <c r="D3565" s="717">
        <v>45728</v>
      </c>
      <c r="E3565" s="720" t="s">
        <v>1697</v>
      </c>
      <c r="F3565" s="720" t="s">
        <v>1698</v>
      </c>
      <c r="G3565" s="720" t="s">
        <v>1699</v>
      </c>
      <c r="H3565" s="718">
        <v>0.5625</v>
      </c>
      <c r="I3565" s="1246"/>
      <c r="J3565" s="1246"/>
      <c r="K3565" s="1247"/>
      <c r="L3565" s="679">
        <v>0.79166666666666663</v>
      </c>
      <c r="M3565" s="667"/>
    </row>
    <row r="3566" spans="3:13">
      <c r="C3566" s="660"/>
      <c r="D3566" s="717">
        <v>45721</v>
      </c>
      <c r="E3566" s="720" t="s">
        <v>1699</v>
      </c>
      <c r="F3566" s="720" t="s">
        <v>1700</v>
      </c>
      <c r="G3566" s="720" t="s">
        <v>1701</v>
      </c>
      <c r="H3566" s="718">
        <v>0.64583333333333337</v>
      </c>
      <c r="I3566" s="1246"/>
      <c r="J3566" s="1246"/>
      <c r="K3566" s="1247"/>
      <c r="L3566" s="679">
        <v>0.875</v>
      </c>
      <c r="M3566" s="667"/>
    </row>
    <row r="3567" spans="3:13" ht="17" thickBot="1">
      <c r="C3567" s="660"/>
      <c r="D3567" s="717">
        <v>45714</v>
      </c>
      <c r="E3567" s="720" t="s">
        <v>1701</v>
      </c>
      <c r="F3567" s="720" t="s">
        <v>1702</v>
      </c>
      <c r="G3567" s="720" t="s">
        <v>1647</v>
      </c>
      <c r="H3567" s="718">
        <v>0.625</v>
      </c>
      <c r="I3567" s="1249"/>
      <c r="J3567" s="1249"/>
      <c r="K3567" s="1250"/>
      <c r="L3567" s="679">
        <v>0.85416666666666663</v>
      </c>
      <c r="M3567" s="682"/>
    </row>
    <row r="3568" spans="3:13" ht="17" thickBot="1">
      <c r="C3568" s="757">
        <v>1</v>
      </c>
      <c r="D3568" s="684" t="s">
        <v>30</v>
      </c>
      <c r="E3568" s="1290" t="s">
        <v>1900</v>
      </c>
      <c r="F3568" s="1291"/>
      <c r="G3568" s="1292"/>
      <c r="H3568" s="712" t="s">
        <v>790</v>
      </c>
      <c r="I3568" s="1256" t="s">
        <v>633</v>
      </c>
      <c r="J3568" s="1256"/>
      <c r="K3568" s="1257"/>
      <c r="L3568" s="674" t="s">
        <v>430</v>
      </c>
      <c r="M3568" s="758" t="s">
        <v>431</v>
      </c>
    </row>
    <row r="3569" spans="3:13">
      <c r="C3569" s="660"/>
      <c r="D3569" s="663" t="s">
        <v>432</v>
      </c>
      <c r="E3569" s="1266"/>
      <c r="F3569" s="1267"/>
      <c r="G3569" s="1268"/>
      <c r="H3569" s="714" t="s">
        <v>794</v>
      </c>
      <c r="I3569" s="1243" t="s">
        <v>1901</v>
      </c>
      <c r="J3569" s="1243"/>
      <c r="K3569" s="1244"/>
      <c r="L3569" s="664"/>
      <c r="M3569" s="665" t="s">
        <v>1900</v>
      </c>
    </row>
    <row r="3570" spans="3:13">
      <c r="C3570" s="660"/>
      <c r="D3570" s="666" t="s">
        <v>433</v>
      </c>
      <c r="E3570" s="1269"/>
      <c r="F3570" s="1270"/>
      <c r="G3570" s="1271"/>
      <c r="H3570" s="715" t="s">
        <v>795</v>
      </c>
      <c r="I3570" s="1246"/>
      <c r="J3570" s="1246"/>
      <c r="K3570" s="1247"/>
      <c r="L3570" s="664"/>
      <c r="M3570" s="667"/>
    </row>
    <row r="3571" spans="3:13">
      <c r="C3571" s="660"/>
      <c r="D3571" s="666" t="s">
        <v>434</v>
      </c>
      <c r="E3571" s="1272">
        <v>4.3099999999999999E-2</v>
      </c>
      <c r="F3571" s="1273"/>
      <c r="G3571" s="1274"/>
      <c r="H3571" s="715"/>
      <c r="I3571" s="1246"/>
      <c r="J3571" s="1246"/>
      <c r="K3571" s="1247"/>
      <c r="L3571" s="664"/>
      <c r="M3571" s="667"/>
    </row>
    <row r="3572" spans="3:13" ht="17" thickBot="1">
      <c r="C3572" s="660"/>
      <c r="D3572" s="668" t="s">
        <v>435</v>
      </c>
      <c r="E3572" s="1275">
        <v>0.70833333333333337</v>
      </c>
      <c r="F3572" s="1276"/>
      <c r="G3572" s="1277"/>
      <c r="H3572" s="716"/>
      <c r="I3572" s="1246"/>
      <c r="J3572" s="1246"/>
      <c r="K3572" s="1247"/>
      <c r="L3572" s="669">
        <v>0.9375</v>
      </c>
      <c r="M3572" s="670">
        <v>0.83333333333333337</v>
      </c>
    </row>
    <row r="3573" spans="3:13" ht="17" thickBot="1">
      <c r="C3573" s="660"/>
      <c r="D3573" s="671" t="s">
        <v>436</v>
      </c>
      <c r="E3573" s="672" t="s">
        <v>29</v>
      </c>
      <c r="F3573" s="672" t="s">
        <v>28</v>
      </c>
      <c r="G3573" s="673" t="s">
        <v>27</v>
      </c>
      <c r="H3573" s="712" t="s">
        <v>793</v>
      </c>
      <c r="I3573" s="1246"/>
      <c r="J3573" s="1246"/>
      <c r="K3573" s="1247"/>
      <c r="L3573" s="675" t="s">
        <v>1246</v>
      </c>
      <c r="M3573" s="676"/>
    </row>
    <row r="3574" spans="3:13">
      <c r="C3574" s="660"/>
      <c r="D3574" s="717">
        <v>45728</v>
      </c>
      <c r="E3574" s="720">
        <v>4.3099999999999999E-2</v>
      </c>
      <c r="F3574" s="720" t="s">
        <v>754</v>
      </c>
      <c r="G3574" s="720">
        <v>4.632E-2</v>
      </c>
      <c r="H3574" s="718">
        <v>0.70833333333333337</v>
      </c>
      <c r="I3574" s="1246"/>
      <c r="J3574" s="1246"/>
      <c r="K3574" s="1247"/>
      <c r="L3574" s="679">
        <v>0.9375</v>
      </c>
      <c r="M3574" s="680"/>
    </row>
    <row r="3575" spans="3:13">
      <c r="C3575" s="660"/>
      <c r="D3575" s="717">
        <v>45700</v>
      </c>
      <c r="E3575" s="720">
        <v>4.632E-2</v>
      </c>
      <c r="F3575" s="720" t="s">
        <v>754</v>
      </c>
      <c r="G3575" s="720">
        <v>4.6800000000000001E-2</v>
      </c>
      <c r="H3575" s="718">
        <v>0.75</v>
      </c>
      <c r="I3575" s="1246"/>
      <c r="J3575" s="1246"/>
      <c r="K3575" s="1247"/>
      <c r="L3575" s="679">
        <v>0.97916666666666663</v>
      </c>
      <c r="M3575" s="681"/>
    </row>
    <row r="3576" spans="3:13">
      <c r="C3576" s="660"/>
      <c r="D3576" s="717">
        <v>45664</v>
      </c>
      <c r="E3576" s="720">
        <v>4.6800000000000001E-2</v>
      </c>
      <c r="F3576" s="720" t="s">
        <v>754</v>
      </c>
      <c r="G3576" s="720">
        <v>4.2349999999999999E-2</v>
      </c>
      <c r="H3576" s="718">
        <v>0.75</v>
      </c>
      <c r="I3576" s="1246"/>
      <c r="J3576" s="1246"/>
      <c r="K3576" s="1247"/>
      <c r="L3576" s="679">
        <v>0.97916666666666663</v>
      </c>
      <c r="M3576" s="667"/>
    </row>
    <row r="3577" spans="3:13">
      <c r="C3577" s="660"/>
      <c r="D3577" s="717">
        <v>45637</v>
      </c>
      <c r="E3577" s="720">
        <v>4.2349999999999999E-2</v>
      </c>
      <c r="F3577" s="720" t="s">
        <v>754</v>
      </c>
      <c r="G3577" s="720">
        <v>4.3470000000000002E-2</v>
      </c>
      <c r="H3577" s="718">
        <v>0.75</v>
      </c>
      <c r="I3577" s="1246"/>
      <c r="J3577" s="1246"/>
      <c r="K3577" s="1247"/>
      <c r="L3577" s="679">
        <v>0.97916666666666663</v>
      </c>
      <c r="M3577" s="667"/>
    </row>
    <row r="3578" spans="3:13">
      <c r="C3578" s="660"/>
      <c r="D3578" s="717">
        <v>45601</v>
      </c>
      <c r="E3578" s="720">
        <v>4.3470000000000002E-2</v>
      </c>
      <c r="F3578" s="720" t="s">
        <v>754</v>
      </c>
      <c r="G3578" s="720">
        <v>4.0660000000000002E-2</v>
      </c>
      <c r="H3578" s="718">
        <v>0.75</v>
      </c>
      <c r="I3578" s="1246"/>
      <c r="J3578" s="1246"/>
      <c r="K3578" s="1247"/>
      <c r="L3578" s="679">
        <v>0.97916666666666663</v>
      </c>
      <c r="M3578" s="667"/>
    </row>
    <row r="3579" spans="3:13" ht="17" thickBot="1">
      <c r="C3579" s="660"/>
      <c r="D3579" s="717">
        <v>45574</v>
      </c>
      <c r="E3579" s="720">
        <v>4.0660000000000002E-2</v>
      </c>
      <c r="F3579" s="720" t="s">
        <v>754</v>
      </c>
      <c r="G3579" s="720">
        <v>3.6479999999999999E-2</v>
      </c>
      <c r="H3579" s="718">
        <v>0.70833333333333337</v>
      </c>
      <c r="I3579" s="1249"/>
      <c r="J3579" s="1249"/>
      <c r="K3579" s="1250"/>
      <c r="L3579" s="679">
        <v>0.9375</v>
      </c>
      <c r="M3579" s="682"/>
    </row>
    <row r="3580" spans="3:13" ht="17" thickBot="1">
      <c r="C3580" s="757">
        <v>1</v>
      </c>
      <c r="D3580" s="684" t="s">
        <v>30</v>
      </c>
      <c r="E3580" s="1290" t="s">
        <v>1902</v>
      </c>
      <c r="F3580" s="1291"/>
      <c r="G3580" s="1292"/>
      <c r="H3580" s="712" t="s">
        <v>790</v>
      </c>
      <c r="I3580" s="1256" t="s">
        <v>633</v>
      </c>
      <c r="J3580" s="1256"/>
      <c r="K3580" s="1257"/>
      <c r="L3580" s="674" t="s">
        <v>430</v>
      </c>
      <c r="M3580" s="758" t="s">
        <v>431</v>
      </c>
    </row>
    <row r="3581" spans="3:13">
      <c r="C3581" s="660"/>
      <c r="D3581" s="663" t="s">
        <v>432</v>
      </c>
      <c r="E3581" s="1266"/>
      <c r="F3581" s="1267"/>
      <c r="G3581" s="1268"/>
      <c r="H3581" s="714" t="s">
        <v>794</v>
      </c>
      <c r="I3581" s="1243" t="s">
        <v>1903</v>
      </c>
      <c r="J3581" s="1243"/>
      <c r="K3581" s="1244"/>
      <c r="L3581" s="664"/>
      <c r="M3581" s="665" t="s">
        <v>1902</v>
      </c>
    </row>
    <row r="3582" spans="3:13">
      <c r="C3582" s="660"/>
      <c r="D3582" s="666" t="s">
        <v>433</v>
      </c>
      <c r="E3582" s="1269"/>
      <c r="F3582" s="1270"/>
      <c r="G3582" s="1271"/>
      <c r="H3582" s="715" t="s">
        <v>795</v>
      </c>
      <c r="I3582" s="1246"/>
      <c r="J3582" s="1246"/>
      <c r="K3582" s="1247"/>
      <c r="L3582" s="664"/>
      <c r="M3582" s="667"/>
    </row>
    <row r="3583" spans="3:13">
      <c r="C3583" s="660"/>
      <c r="D3583" s="666" t="s">
        <v>434</v>
      </c>
      <c r="E3583" s="1272">
        <v>0</v>
      </c>
      <c r="F3583" s="1273"/>
      <c r="G3583" s="1274"/>
      <c r="H3583" s="715"/>
      <c r="I3583" s="1246"/>
      <c r="J3583" s="1246"/>
      <c r="K3583" s="1247"/>
      <c r="L3583" s="664"/>
      <c r="M3583" s="667"/>
    </row>
    <row r="3584" spans="3:13" ht="17" thickBot="1">
      <c r="C3584" s="660"/>
      <c r="D3584" s="668" t="s">
        <v>435</v>
      </c>
      <c r="E3584" s="1275">
        <v>0.75</v>
      </c>
      <c r="F3584" s="1276"/>
      <c r="G3584" s="1277"/>
      <c r="H3584" s="716"/>
      <c r="I3584" s="1246"/>
      <c r="J3584" s="1246"/>
      <c r="K3584" s="1247"/>
      <c r="L3584" s="669">
        <v>0.97916666666666663</v>
      </c>
      <c r="M3584" s="670">
        <v>0.875</v>
      </c>
    </row>
    <row r="3585" spans="3:13" ht="17" thickBot="1">
      <c r="C3585" s="660"/>
      <c r="D3585" s="671" t="s">
        <v>436</v>
      </c>
      <c r="E3585" s="672" t="s">
        <v>29</v>
      </c>
      <c r="F3585" s="672" t="s">
        <v>28</v>
      </c>
      <c r="G3585" s="673" t="s">
        <v>27</v>
      </c>
      <c r="H3585" s="712" t="s">
        <v>793</v>
      </c>
      <c r="I3585" s="1246"/>
      <c r="J3585" s="1246"/>
      <c r="K3585" s="1247"/>
      <c r="L3585" s="675" t="s">
        <v>1246</v>
      </c>
      <c r="M3585" s="676"/>
    </row>
    <row r="3586" spans="3:13">
      <c r="C3586" s="660"/>
      <c r="D3586" s="717">
        <v>45707</v>
      </c>
      <c r="E3586" s="720">
        <v>0</v>
      </c>
      <c r="F3586" s="720">
        <v>0</v>
      </c>
      <c r="G3586" s="720">
        <v>0</v>
      </c>
      <c r="H3586" s="718">
        <v>0.79166666666666674</v>
      </c>
      <c r="I3586" s="1246"/>
      <c r="J3586" s="1246"/>
      <c r="K3586" s="1247"/>
      <c r="L3586" s="679">
        <v>2.0833333333333332E-2</v>
      </c>
      <c r="M3586" s="680"/>
    </row>
    <row r="3587" spans="3:13">
      <c r="C3587" s="660"/>
      <c r="D3587" s="717">
        <v>45665</v>
      </c>
      <c r="E3587" s="720">
        <v>0</v>
      </c>
      <c r="F3587" s="720">
        <v>0</v>
      </c>
      <c r="G3587" s="720">
        <v>0</v>
      </c>
      <c r="H3587" s="718">
        <v>0.79166666666666674</v>
      </c>
      <c r="I3587" s="1246"/>
      <c r="J3587" s="1246"/>
      <c r="K3587" s="1247"/>
      <c r="L3587" s="679">
        <v>2.0833333333333332E-2</v>
      </c>
      <c r="M3587" s="681"/>
    </row>
    <row r="3588" spans="3:13">
      <c r="C3588" s="660"/>
      <c r="D3588" s="717">
        <v>45622</v>
      </c>
      <c r="E3588" s="720">
        <v>0</v>
      </c>
      <c r="F3588" s="720">
        <v>0</v>
      </c>
      <c r="G3588" s="720">
        <v>0</v>
      </c>
      <c r="H3588" s="718">
        <v>0.79166666666666674</v>
      </c>
      <c r="I3588" s="1246"/>
      <c r="J3588" s="1246"/>
      <c r="K3588" s="1247"/>
      <c r="L3588" s="679">
        <v>2.0833333333333332E-2</v>
      </c>
      <c r="M3588" s="667"/>
    </row>
    <row r="3589" spans="3:13">
      <c r="C3589" s="660"/>
      <c r="D3589" s="717">
        <v>45574</v>
      </c>
      <c r="E3589" s="720">
        <v>0</v>
      </c>
      <c r="F3589" s="720">
        <v>0</v>
      </c>
      <c r="G3589" s="720">
        <v>0</v>
      </c>
      <c r="H3589" s="718">
        <v>0.75</v>
      </c>
      <c r="I3589" s="1246"/>
      <c r="J3589" s="1246"/>
      <c r="K3589" s="1247"/>
      <c r="L3589" s="679">
        <v>0.97916666666666663</v>
      </c>
      <c r="M3589" s="667"/>
    </row>
    <row r="3590" spans="3:13">
      <c r="C3590" s="660"/>
      <c r="D3590" s="717">
        <v>45525</v>
      </c>
      <c r="E3590" s="720">
        <v>0</v>
      </c>
      <c r="F3590" s="720">
        <v>0</v>
      </c>
      <c r="G3590" s="720">
        <v>0</v>
      </c>
      <c r="H3590" s="718">
        <v>0.75</v>
      </c>
      <c r="I3590" s="1246"/>
      <c r="J3590" s="1246"/>
      <c r="K3590" s="1247"/>
      <c r="L3590" s="679">
        <v>0.97916666666666663</v>
      </c>
      <c r="M3590" s="667"/>
    </row>
    <row r="3591" spans="3:13" ht="17" thickBot="1">
      <c r="C3591" s="660"/>
      <c r="D3591" s="717">
        <v>45476</v>
      </c>
      <c r="E3591" s="720">
        <v>0</v>
      </c>
      <c r="F3591" s="720">
        <v>0</v>
      </c>
      <c r="G3591" s="720">
        <v>0</v>
      </c>
      <c r="H3591" s="718">
        <v>0.75</v>
      </c>
      <c r="I3591" s="1249"/>
      <c r="J3591" s="1249"/>
      <c r="K3591" s="1250"/>
      <c r="L3591" s="679">
        <v>0.97916666666666663</v>
      </c>
      <c r="M3591" s="682"/>
    </row>
    <row r="3592" spans="3:13" ht="17" thickBot="1">
      <c r="C3592" s="660">
        <v>1</v>
      </c>
      <c r="D3592" s="671" t="s">
        <v>30</v>
      </c>
      <c r="E3592" s="1252" t="s">
        <v>1904</v>
      </c>
      <c r="F3592" s="1253"/>
      <c r="G3592" s="1254"/>
      <c r="H3592" s="712" t="s">
        <v>790</v>
      </c>
      <c r="I3592" s="1256" t="s">
        <v>633</v>
      </c>
      <c r="J3592" s="1256"/>
      <c r="K3592" s="1257"/>
      <c r="L3592" s="674" t="s">
        <v>430</v>
      </c>
      <c r="M3592" s="713" t="s">
        <v>431</v>
      </c>
    </row>
    <row r="3593" spans="3:13">
      <c r="C3593" s="660"/>
      <c r="D3593" s="663" t="s">
        <v>432</v>
      </c>
      <c r="E3593" s="1266"/>
      <c r="F3593" s="1267"/>
      <c r="G3593" s="1268"/>
      <c r="H3593" s="714" t="s">
        <v>906</v>
      </c>
      <c r="I3593" s="1243" t="s">
        <v>1905</v>
      </c>
      <c r="J3593" s="1243"/>
      <c r="K3593" s="1244"/>
      <c r="L3593" s="664"/>
      <c r="M3593" s="665" t="s">
        <v>1904</v>
      </c>
    </row>
    <row r="3594" spans="3:13">
      <c r="C3594" s="660"/>
      <c r="D3594" s="666" t="s">
        <v>433</v>
      </c>
      <c r="E3594" s="1269"/>
      <c r="F3594" s="1270"/>
      <c r="G3594" s="1271"/>
      <c r="H3594" s="715" t="s">
        <v>907</v>
      </c>
      <c r="I3594" s="1246"/>
      <c r="J3594" s="1246"/>
      <c r="K3594" s="1247"/>
      <c r="L3594" s="664"/>
      <c r="M3594" s="667"/>
    </row>
    <row r="3595" spans="3:13">
      <c r="C3595" s="660"/>
      <c r="D3595" s="666" t="s">
        <v>434</v>
      </c>
      <c r="E3595" s="1278">
        <v>0</v>
      </c>
      <c r="F3595" s="1270"/>
      <c r="G3595" s="1271"/>
      <c r="H3595" s="715"/>
      <c r="I3595" s="1246"/>
      <c r="J3595" s="1246"/>
      <c r="K3595" s="1247"/>
      <c r="L3595" s="664"/>
      <c r="M3595" s="667"/>
    </row>
    <row r="3596" spans="3:13" ht="17" thickBot="1">
      <c r="C3596" s="660"/>
      <c r="D3596" s="668" t="s">
        <v>435</v>
      </c>
      <c r="E3596" s="1275" t="e">
        <v>#VALUE!</v>
      </c>
      <c r="F3596" s="1276"/>
      <c r="G3596" s="1277"/>
      <c r="H3596" s="716"/>
      <c r="I3596" s="1246"/>
      <c r="J3596" s="1246"/>
      <c r="K3596" s="1247"/>
      <c r="L3596" s="669" t="s">
        <v>1449</v>
      </c>
      <c r="M3596" s="670" t="e">
        <v>#VALUE!</v>
      </c>
    </row>
    <row r="3597" spans="3:13" ht="17" thickBot="1">
      <c r="C3597" s="660"/>
      <c r="D3597" s="671" t="s">
        <v>436</v>
      </c>
      <c r="E3597" s="672" t="s">
        <v>29</v>
      </c>
      <c r="F3597" s="672" t="s">
        <v>28</v>
      </c>
      <c r="G3597" s="673" t="s">
        <v>27</v>
      </c>
      <c r="H3597" s="712" t="s">
        <v>793</v>
      </c>
      <c r="I3597" s="1246"/>
      <c r="J3597" s="1246"/>
      <c r="K3597" s="1247"/>
      <c r="L3597" s="675" t="s">
        <v>1246</v>
      </c>
      <c r="M3597" s="676"/>
    </row>
    <row r="3598" spans="3:13">
      <c r="C3598" s="660"/>
      <c r="D3598" s="717">
        <v>45721</v>
      </c>
      <c r="E3598" s="693">
        <v>51</v>
      </c>
      <c r="F3598" s="693" t="s">
        <v>1690</v>
      </c>
      <c r="G3598" s="693">
        <v>52.9</v>
      </c>
      <c r="H3598" s="718">
        <v>0.61458333333333337</v>
      </c>
      <c r="I3598" s="1246"/>
      <c r="J3598" s="1246"/>
      <c r="K3598" s="1247"/>
      <c r="L3598" s="679">
        <v>0.84375</v>
      </c>
      <c r="M3598" s="680"/>
    </row>
    <row r="3599" spans="3:13">
      <c r="C3599" s="660"/>
      <c r="D3599" s="717">
        <v>45709</v>
      </c>
      <c r="E3599" s="693">
        <v>49.7</v>
      </c>
      <c r="F3599" s="693" t="s">
        <v>1691</v>
      </c>
      <c r="G3599" s="693">
        <v>52.9</v>
      </c>
      <c r="H3599" s="718">
        <v>0.61458333333333337</v>
      </c>
      <c r="I3599" s="1246"/>
      <c r="J3599" s="1246"/>
      <c r="K3599" s="1247"/>
      <c r="L3599" s="679">
        <v>0.84375</v>
      </c>
      <c r="M3599" s="681"/>
    </row>
    <row r="3600" spans="3:13">
      <c r="C3600" s="660"/>
      <c r="D3600" s="717">
        <v>0</v>
      </c>
      <c r="E3600" s="693">
        <v>51</v>
      </c>
      <c r="F3600" s="693" t="s">
        <v>1690</v>
      </c>
      <c r="G3600" s="693">
        <v>52.9</v>
      </c>
      <c r="H3600" s="718">
        <v>0.61458333333333337</v>
      </c>
      <c r="I3600" s="1246"/>
      <c r="J3600" s="1246"/>
      <c r="K3600" s="1247"/>
      <c r="L3600" s="679">
        <v>0.84375</v>
      </c>
      <c r="M3600" s="667"/>
    </row>
    <row r="3601" spans="3:13">
      <c r="C3601" s="660"/>
      <c r="D3601" s="717">
        <v>0</v>
      </c>
      <c r="E3601" s="693">
        <v>49.7</v>
      </c>
      <c r="F3601" s="693" t="s">
        <v>1691</v>
      </c>
      <c r="G3601" s="693">
        <v>52.9</v>
      </c>
      <c r="H3601" s="718">
        <v>0.61458333333333337</v>
      </c>
      <c r="I3601" s="1246"/>
      <c r="J3601" s="1246"/>
      <c r="K3601" s="1247"/>
      <c r="L3601" s="679">
        <v>0.84375</v>
      </c>
      <c r="M3601" s="667"/>
    </row>
    <row r="3602" spans="3:13">
      <c r="C3602" s="660"/>
      <c r="D3602" s="717">
        <v>0</v>
      </c>
      <c r="E3602" s="693">
        <v>51</v>
      </c>
      <c r="F3602" s="693" t="s">
        <v>1690</v>
      </c>
      <c r="G3602" s="693">
        <v>52.9</v>
      </c>
      <c r="H3602" s="718">
        <v>0.61458333333333337</v>
      </c>
      <c r="I3602" s="1246"/>
      <c r="J3602" s="1246"/>
      <c r="K3602" s="1247"/>
      <c r="L3602" s="679">
        <v>0.84375</v>
      </c>
      <c r="M3602" s="667"/>
    </row>
    <row r="3603" spans="3:13" ht="17" thickBot="1">
      <c r="C3603" s="660"/>
      <c r="D3603" s="717">
        <v>0</v>
      </c>
      <c r="E3603" s="693">
        <v>49.7</v>
      </c>
      <c r="F3603" s="693" t="s">
        <v>1691</v>
      </c>
      <c r="G3603" s="693">
        <v>52.9</v>
      </c>
      <c r="H3603" s="718">
        <v>0.61458333333333337</v>
      </c>
      <c r="I3603" s="1249"/>
      <c r="J3603" s="1249"/>
      <c r="K3603" s="1250"/>
      <c r="L3603" s="679">
        <v>0.84375</v>
      </c>
      <c r="M3603" s="682"/>
    </row>
    <row r="3604" spans="3:13" ht="17" thickBot="1">
      <c r="C3604" s="660">
        <v>1</v>
      </c>
      <c r="D3604" s="671" t="s">
        <v>30</v>
      </c>
      <c r="E3604" s="1252" t="s">
        <v>1900</v>
      </c>
      <c r="F3604" s="1253"/>
      <c r="G3604" s="1254"/>
      <c r="H3604" s="712" t="s">
        <v>790</v>
      </c>
      <c r="I3604" s="1256" t="s">
        <v>633</v>
      </c>
      <c r="J3604" s="1256"/>
      <c r="K3604" s="1257"/>
      <c r="L3604" s="674" t="s">
        <v>430</v>
      </c>
      <c r="M3604" s="713" t="s">
        <v>431</v>
      </c>
    </row>
    <row r="3605" spans="3:13">
      <c r="C3605" s="660"/>
      <c r="D3605" s="663" t="s">
        <v>432</v>
      </c>
      <c r="E3605" s="1266"/>
      <c r="F3605" s="1267"/>
      <c r="G3605" s="1268"/>
      <c r="H3605" s="714" t="s">
        <v>1924</v>
      </c>
      <c r="I3605" s="1243" t="s">
        <v>1901</v>
      </c>
      <c r="J3605" s="1243"/>
      <c r="K3605" s="1244"/>
      <c r="L3605" s="664"/>
      <c r="M3605" s="665" t="s">
        <v>1900</v>
      </c>
    </row>
    <row r="3606" spans="3:13">
      <c r="C3606" s="660"/>
      <c r="D3606" s="666" t="s">
        <v>433</v>
      </c>
      <c r="E3606" s="1269"/>
      <c r="F3606" s="1270"/>
      <c r="G3606" s="1271"/>
      <c r="H3606" s="715" t="s">
        <v>1925</v>
      </c>
      <c r="I3606" s="1246"/>
      <c r="J3606" s="1246"/>
      <c r="K3606" s="1247"/>
      <c r="L3606" s="664"/>
      <c r="M3606" s="667"/>
    </row>
    <row r="3607" spans="3:13">
      <c r="C3607" s="660"/>
      <c r="D3607" s="666" t="s">
        <v>434</v>
      </c>
      <c r="E3607" s="1272">
        <v>4.3099999999999999E-2</v>
      </c>
      <c r="F3607" s="1273"/>
      <c r="G3607" s="1274"/>
      <c r="H3607" s="715"/>
      <c r="I3607" s="1246"/>
      <c r="J3607" s="1246"/>
      <c r="K3607" s="1247"/>
      <c r="L3607" s="664"/>
      <c r="M3607" s="667"/>
    </row>
    <row r="3608" spans="3:13" ht="17" thickBot="1">
      <c r="C3608" s="660"/>
      <c r="D3608" s="668" t="s">
        <v>435</v>
      </c>
      <c r="E3608" s="1275">
        <v>0.70833333333333337</v>
      </c>
      <c r="F3608" s="1276"/>
      <c r="G3608" s="1277"/>
      <c r="H3608" s="716"/>
      <c r="I3608" s="1246"/>
      <c r="J3608" s="1246"/>
      <c r="K3608" s="1247"/>
      <c r="L3608" s="669">
        <v>0.9375</v>
      </c>
      <c r="M3608" s="670">
        <v>0.83333333333333337</v>
      </c>
    </row>
    <row r="3609" spans="3:13" ht="17" thickBot="1">
      <c r="C3609" s="660"/>
      <c r="D3609" s="671" t="s">
        <v>436</v>
      </c>
      <c r="E3609" s="672" t="s">
        <v>29</v>
      </c>
      <c r="F3609" s="672" t="s">
        <v>28</v>
      </c>
      <c r="G3609" s="673" t="s">
        <v>27</v>
      </c>
      <c r="H3609" s="712" t="s">
        <v>793</v>
      </c>
      <c r="I3609" s="1246"/>
      <c r="J3609" s="1246"/>
      <c r="K3609" s="1247"/>
      <c r="L3609" s="675" t="s">
        <v>1246</v>
      </c>
      <c r="M3609" s="676"/>
    </row>
    <row r="3610" spans="3:13">
      <c r="C3610" s="660"/>
      <c r="D3610" s="717">
        <v>45728</v>
      </c>
      <c r="E3610" s="720">
        <v>4.3099999999999999E-2</v>
      </c>
      <c r="F3610" s="720" t="s">
        <v>754</v>
      </c>
      <c r="G3610" s="720">
        <v>4.632E-2</v>
      </c>
      <c r="H3610" s="718">
        <v>4.1666666666666657E-2</v>
      </c>
      <c r="I3610" s="1246"/>
      <c r="J3610" s="1246"/>
      <c r="K3610" s="1247"/>
      <c r="L3610" s="679">
        <v>0.27083333333333331</v>
      </c>
      <c r="M3610" s="680"/>
    </row>
    <row r="3611" spans="3:13">
      <c r="C3611" s="660"/>
      <c r="D3611" s="717">
        <v>45700</v>
      </c>
      <c r="E3611" s="720">
        <v>4.632E-2</v>
      </c>
      <c r="F3611" s="720" t="s">
        <v>754</v>
      </c>
      <c r="G3611" s="720">
        <v>4.6800000000000001E-2</v>
      </c>
      <c r="H3611" s="718">
        <v>4.1666666666666657E-2</v>
      </c>
      <c r="I3611" s="1246"/>
      <c r="J3611" s="1246"/>
      <c r="K3611" s="1247"/>
      <c r="L3611" s="679">
        <v>0.27083333333333331</v>
      </c>
      <c r="M3611" s="681"/>
    </row>
    <row r="3612" spans="3:13">
      <c r="C3612" s="660"/>
      <c r="D3612" s="717">
        <v>45664</v>
      </c>
      <c r="E3612" s="720">
        <v>4.6800000000000001E-2</v>
      </c>
      <c r="F3612" s="720" t="s">
        <v>754</v>
      </c>
      <c r="G3612" s="720">
        <v>4.2349999999999999E-2</v>
      </c>
      <c r="H3612" s="718">
        <v>4.1666666666666657E-2</v>
      </c>
      <c r="I3612" s="1246"/>
      <c r="J3612" s="1246"/>
      <c r="K3612" s="1247"/>
      <c r="L3612" s="679">
        <v>0.27083333333333331</v>
      </c>
      <c r="M3612" s="667"/>
    </row>
    <row r="3613" spans="3:13">
      <c r="C3613" s="660"/>
      <c r="D3613" s="717">
        <v>45637</v>
      </c>
      <c r="E3613" s="720">
        <v>4.2349999999999999E-2</v>
      </c>
      <c r="F3613" s="720" t="s">
        <v>754</v>
      </c>
      <c r="G3613" s="720">
        <v>4.3470000000000002E-2</v>
      </c>
      <c r="H3613" s="718">
        <v>8.3333333333333343E-2</v>
      </c>
      <c r="I3613" s="1246"/>
      <c r="J3613" s="1246"/>
      <c r="K3613" s="1247"/>
      <c r="L3613" s="679">
        <v>0.3125</v>
      </c>
      <c r="M3613" s="667"/>
    </row>
    <row r="3614" spans="3:13">
      <c r="C3614" s="660"/>
      <c r="D3614" s="717">
        <v>45601</v>
      </c>
      <c r="E3614" s="720">
        <v>4.3470000000000002E-2</v>
      </c>
      <c r="F3614" s="720" t="s">
        <v>754</v>
      </c>
      <c r="G3614" s="720">
        <v>4.0660000000000002E-2</v>
      </c>
      <c r="H3614" s="718">
        <v>8.3333333333333343E-2</v>
      </c>
      <c r="I3614" s="1246"/>
      <c r="J3614" s="1246"/>
      <c r="K3614" s="1247"/>
      <c r="L3614" s="679">
        <v>0.3125</v>
      </c>
      <c r="M3614" s="667"/>
    </row>
    <row r="3615" spans="3:13" ht="17" thickBot="1">
      <c r="C3615" s="660"/>
      <c r="D3615" s="717">
        <v>45574</v>
      </c>
      <c r="E3615" s="720">
        <v>4.0660000000000002E-2</v>
      </c>
      <c r="F3615" s="720" t="s">
        <v>754</v>
      </c>
      <c r="G3615" s="720">
        <v>3.6479999999999999E-2</v>
      </c>
      <c r="H3615" s="718">
        <v>8.3333333333333343E-2</v>
      </c>
      <c r="I3615" s="1249"/>
      <c r="J3615" s="1249"/>
      <c r="K3615" s="1250"/>
      <c r="L3615" s="679">
        <v>0.3125</v>
      </c>
      <c r="M3615" s="682"/>
    </row>
    <row r="3616" spans="3:13" ht="17" thickBot="1">
      <c r="C3616" s="660">
        <v>1</v>
      </c>
      <c r="D3616" s="671" t="s">
        <v>30</v>
      </c>
      <c r="E3616" s="1252" t="s">
        <v>1906</v>
      </c>
      <c r="F3616" s="1253"/>
      <c r="G3616" s="1254"/>
      <c r="H3616" s="712" t="s">
        <v>790</v>
      </c>
      <c r="I3616" s="1256" t="s">
        <v>633</v>
      </c>
      <c r="J3616" s="1256"/>
      <c r="K3616" s="1257"/>
      <c r="L3616" s="674" t="s">
        <v>430</v>
      </c>
      <c r="M3616" s="713" t="s">
        <v>431</v>
      </c>
    </row>
    <row r="3617" spans="3:13">
      <c r="C3617" s="660"/>
      <c r="D3617" s="663" t="s">
        <v>432</v>
      </c>
      <c r="E3617" s="1266"/>
      <c r="F3617" s="1267"/>
      <c r="G3617" s="1268"/>
      <c r="H3617" s="714" t="s">
        <v>794</v>
      </c>
      <c r="I3617" s="1243" t="s">
        <v>1907</v>
      </c>
      <c r="J3617" s="1243"/>
      <c r="K3617" s="1244"/>
      <c r="L3617" s="664"/>
      <c r="M3617" s="665" t="s">
        <v>1906</v>
      </c>
    </row>
    <row r="3618" spans="3:13">
      <c r="C3618" s="660"/>
      <c r="D3618" s="666" t="s">
        <v>433</v>
      </c>
      <c r="E3618" s="1269"/>
      <c r="F3618" s="1270"/>
      <c r="G3618" s="1271"/>
      <c r="H3618" s="715" t="s">
        <v>795</v>
      </c>
      <c r="I3618" s="1246"/>
      <c r="J3618" s="1246"/>
      <c r="K3618" s="1247"/>
      <c r="L3618" s="664"/>
      <c r="M3618" s="667"/>
    </row>
    <row r="3619" spans="3:13">
      <c r="C3619" s="660"/>
      <c r="D3619" s="666" t="s">
        <v>434</v>
      </c>
      <c r="E3619" s="1272">
        <v>2E-3</v>
      </c>
      <c r="F3619" s="1273"/>
      <c r="G3619" s="1274"/>
      <c r="H3619" s="715"/>
      <c r="I3619" s="1246"/>
      <c r="J3619" s="1246"/>
      <c r="K3619" s="1247"/>
      <c r="L3619" s="664"/>
      <c r="M3619" s="667"/>
    </row>
    <row r="3620" spans="3:13" ht="17" thickBot="1">
      <c r="C3620" s="660"/>
      <c r="D3620" s="668" t="s">
        <v>435</v>
      </c>
      <c r="E3620" s="1275">
        <v>0.52083333333333337</v>
      </c>
      <c r="F3620" s="1276"/>
      <c r="G3620" s="1277"/>
      <c r="H3620" s="716"/>
      <c r="I3620" s="1246"/>
      <c r="J3620" s="1246"/>
      <c r="K3620" s="1247"/>
      <c r="L3620" s="669">
        <v>0.75</v>
      </c>
      <c r="M3620" s="670">
        <v>0.64583333333333337</v>
      </c>
    </row>
    <row r="3621" spans="3:13" ht="17" thickBot="1">
      <c r="C3621" s="660"/>
      <c r="D3621" s="671" t="s">
        <v>436</v>
      </c>
      <c r="E3621" s="672" t="s">
        <v>29</v>
      </c>
      <c r="F3621" s="672" t="s">
        <v>28</v>
      </c>
      <c r="G3621" s="673" t="s">
        <v>27</v>
      </c>
      <c r="H3621" s="712" t="s">
        <v>793</v>
      </c>
      <c r="I3621" s="1246"/>
      <c r="J3621" s="1246"/>
      <c r="K3621" s="1247"/>
      <c r="L3621" s="675" t="s">
        <v>1246</v>
      </c>
      <c r="M3621" s="676"/>
    </row>
    <row r="3622" spans="3:13">
      <c r="C3622" s="660"/>
      <c r="D3622" s="717">
        <v>45728</v>
      </c>
      <c r="E3622" s="720">
        <v>2E-3</v>
      </c>
      <c r="F3622" s="720" t="s">
        <v>467</v>
      </c>
      <c r="G3622" s="720">
        <v>4.0000000000000001E-3</v>
      </c>
      <c r="H3622" s="718">
        <v>0.52083333333333337</v>
      </c>
      <c r="I3622" s="1246"/>
      <c r="J3622" s="1246"/>
      <c r="K3622" s="1247"/>
      <c r="L3622" s="718">
        <v>0.75</v>
      </c>
      <c r="M3622" s="680"/>
    </row>
    <row r="3623" spans="3:13">
      <c r="C3623" s="660"/>
      <c r="D3623" s="717">
        <v>45700</v>
      </c>
      <c r="E3623" s="720">
        <v>4.0000000000000001E-3</v>
      </c>
      <c r="F3623" s="720" t="s">
        <v>467</v>
      </c>
      <c r="G3623" s="720">
        <v>2E-3</v>
      </c>
      <c r="H3623" s="718">
        <v>0.5625</v>
      </c>
      <c r="I3623" s="1246"/>
      <c r="J3623" s="1246"/>
      <c r="K3623" s="1247"/>
      <c r="L3623" s="718">
        <v>0.79166666666666663</v>
      </c>
      <c r="M3623" s="681"/>
    </row>
    <row r="3624" spans="3:13">
      <c r="C3624" s="660"/>
      <c r="D3624" s="717">
        <v>45672</v>
      </c>
      <c r="E3624" s="720">
        <v>2E-3</v>
      </c>
      <c r="F3624" s="720" t="s">
        <v>467</v>
      </c>
      <c r="G3624" s="720">
        <v>3.0000000000000001E-3</v>
      </c>
      <c r="H3624" s="718">
        <v>0.5625</v>
      </c>
      <c r="I3624" s="1246"/>
      <c r="J3624" s="1246"/>
      <c r="K3624" s="1247"/>
      <c r="L3624" s="718">
        <v>0.79166666666666663</v>
      </c>
      <c r="M3624" s="667"/>
    </row>
    <row r="3625" spans="3:13">
      <c r="C3625" s="660"/>
      <c r="D3625" s="717">
        <v>45637</v>
      </c>
      <c r="E3625" s="720">
        <v>3.0000000000000001E-3</v>
      </c>
      <c r="F3625" s="720" t="s">
        <v>467</v>
      </c>
      <c r="G3625" s="720">
        <v>3.0000000000000001E-3</v>
      </c>
      <c r="H3625" s="718">
        <v>0.5625</v>
      </c>
      <c r="I3625" s="1246"/>
      <c r="J3625" s="1246"/>
      <c r="K3625" s="1247"/>
      <c r="L3625" s="718">
        <v>0.79166666666666663</v>
      </c>
      <c r="M3625" s="667"/>
    </row>
    <row r="3626" spans="3:13">
      <c r="C3626" s="660"/>
      <c r="D3626" s="717">
        <v>45609</v>
      </c>
      <c r="E3626" s="720">
        <v>3.0000000000000001E-3</v>
      </c>
      <c r="F3626" s="720" t="s">
        <v>467</v>
      </c>
      <c r="G3626" s="720">
        <v>3.0000000000000001E-3</v>
      </c>
      <c r="H3626" s="718">
        <v>0.5625</v>
      </c>
      <c r="I3626" s="1246"/>
      <c r="J3626" s="1246"/>
      <c r="K3626" s="1247"/>
      <c r="L3626" s="718">
        <v>0.79166666666666663</v>
      </c>
      <c r="M3626" s="667"/>
    </row>
    <row r="3627" spans="3:13" ht="17" thickBot="1">
      <c r="C3627" s="660"/>
      <c r="D3627" s="717">
        <v>45575</v>
      </c>
      <c r="E3627" s="720">
        <v>3.0000000000000001E-3</v>
      </c>
      <c r="F3627" s="720" t="s">
        <v>460</v>
      </c>
      <c r="G3627" s="720">
        <v>3.0000000000000001E-3</v>
      </c>
      <c r="H3627" s="718">
        <v>0.52083333333333337</v>
      </c>
      <c r="I3627" s="1249"/>
      <c r="J3627" s="1249"/>
      <c r="K3627" s="1250"/>
      <c r="L3627" s="718">
        <v>0.75</v>
      </c>
      <c r="M3627" s="682"/>
    </row>
    <row r="3628" spans="3:13" ht="17" thickBot="1">
      <c r="C3628" s="660">
        <v>1</v>
      </c>
      <c r="D3628" s="671" t="s">
        <v>30</v>
      </c>
      <c r="E3628" s="1252" t="s">
        <v>1908</v>
      </c>
      <c r="F3628" s="1253"/>
      <c r="G3628" s="1254"/>
      <c r="H3628" s="712" t="s">
        <v>790</v>
      </c>
      <c r="I3628" s="1256" t="s">
        <v>633</v>
      </c>
      <c r="J3628" s="1256"/>
      <c r="K3628" s="1257"/>
      <c r="L3628" s="674" t="s">
        <v>430</v>
      </c>
      <c r="M3628" s="713" t="s">
        <v>431</v>
      </c>
    </row>
    <row r="3629" spans="3:13">
      <c r="C3629" s="660"/>
      <c r="D3629" s="663" t="s">
        <v>432</v>
      </c>
      <c r="E3629" s="1266"/>
      <c r="F3629" s="1267"/>
      <c r="G3629" s="1268"/>
      <c r="H3629" s="714" t="s">
        <v>794</v>
      </c>
      <c r="I3629" s="1243" t="s">
        <v>1909</v>
      </c>
      <c r="J3629" s="1243"/>
      <c r="K3629" s="1244"/>
      <c r="L3629" s="664"/>
      <c r="M3629" s="665" t="s">
        <v>1908</v>
      </c>
    </row>
    <row r="3630" spans="3:13">
      <c r="C3630" s="660"/>
      <c r="D3630" s="666" t="s">
        <v>433</v>
      </c>
      <c r="E3630" s="1269"/>
      <c r="F3630" s="1270"/>
      <c r="G3630" s="1271"/>
      <c r="H3630" s="715" t="s">
        <v>795</v>
      </c>
      <c r="I3630" s="1246"/>
      <c r="J3630" s="1246"/>
      <c r="K3630" s="1247"/>
      <c r="L3630" s="664"/>
      <c r="M3630" s="667"/>
    </row>
    <row r="3631" spans="3:13">
      <c r="C3631" s="660"/>
      <c r="D3631" s="666" t="s">
        <v>434</v>
      </c>
      <c r="E3631" s="1272">
        <v>2.8000000000000001E-2</v>
      </c>
      <c r="F3631" s="1273"/>
      <c r="G3631" s="1274"/>
      <c r="H3631" s="715"/>
      <c r="I3631" s="1246"/>
      <c r="J3631" s="1246"/>
      <c r="K3631" s="1247"/>
      <c r="L3631" s="664"/>
      <c r="M3631" s="667"/>
    </row>
    <row r="3632" spans="3:13" ht="17" thickBot="1">
      <c r="C3632" s="660"/>
      <c r="D3632" s="668" t="s">
        <v>435</v>
      </c>
      <c r="E3632" s="1275">
        <v>0.52083333333333337</v>
      </c>
      <c r="F3632" s="1276"/>
      <c r="G3632" s="1277"/>
      <c r="H3632" s="716"/>
      <c r="I3632" s="1246"/>
      <c r="J3632" s="1246"/>
      <c r="K3632" s="1247"/>
      <c r="L3632" s="669">
        <v>0.75</v>
      </c>
      <c r="M3632" s="670">
        <v>0.64583333333333337</v>
      </c>
    </row>
    <row r="3633" spans="3:13" ht="17" thickBot="1">
      <c r="C3633" s="660"/>
      <c r="D3633" s="671" t="s">
        <v>436</v>
      </c>
      <c r="E3633" s="672" t="s">
        <v>29</v>
      </c>
      <c r="F3633" s="672" t="s">
        <v>28</v>
      </c>
      <c r="G3633" s="673" t="s">
        <v>27</v>
      </c>
      <c r="H3633" s="712" t="s">
        <v>793</v>
      </c>
      <c r="I3633" s="1246"/>
      <c r="J3633" s="1246"/>
      <c r="K3633" s="1247"/>
      <c r="L3633" s="675" t="s">
        <v>1246</v>
      </c>
      <c r="M3633" s="676"/>
    </row>
    <row r="3634" spans="3:13">
      <c r="C3634" s="660"/>
      <c r="D3634" s="717">
        <v>45728</v>
      </c>
      <c r="E3634" s="720">
        <v>2.8000000000000001E-2</v>
      </c>
      <c r="F3634" s="720" t="s">
        <v>667</v>
      </c>
      <c r="G3634" s="720">
        <v>0.03</v>
      </c>
      <c r="H3634" s="718">
        <v>0.52083333333333337</v>
      </c>
      <c r="I3634" s="1246"/>
      <c r="J3634" s="1246"/>
      <c r="K3634" s="1247"/>
      <c r="L3634" s="718">
        <v>0.75</v>
      </c>
      <c r="M3634" s="680"/>
    </row>
    <row r="3635" spans="3:13">
      <c r="C3635" s="660"/>
      <c r="D3635" s="717">
        <v>45700</v>
      </c>
      <c r="E3635" s="720">
        <v>0.03</v>
      </c>
      <c r="F3635" s="720" t="s">
        <v>667</v>
      </c>
      <c r="G3635" s="720">
        <v>2.9000000000000001E-2</v>
      </c>
      <c r="H3635" s="718">
        <v>0.5625</v>
      </c>
      <c r="I3635" s="1246"/>
      <c r="J3635" s="1246"/>
      <c r="K3635" s="1247"/>
      <c r="L3635" s="718">
        <v>0.79166666666666663</v>
      </c>
      <c r="M3635" s="681"/>
    </row>
    <row r="3636" spans="3:13">
      <c r="C3636" s="660"/>
      <c r="D3636" s="717">
        <v>45672</v>
      </c>
      <c r="E3636" s="720">
        <v>2.9000000000000001E-2</v>
      </c>
      <c r="F3636" s="720" t="s">
        <v>667</v>
      </c>
      <c r="G3636" s="720">
        <v>2.7E-2</v>
      </c>
      <c r="H3636" s="718">
        <v>0.5625</v>
      </c>
      <c r="I3636" s="1246"/>
      <c r="J3636" s="1246"/>
      <c r="K3636" s="1247"/>
      <c r="L3636" s="718">
        <v>0.79166666666666663</v>
      </c>
      <c r="M3636" s="667"/>
    </row>
    <row r="3637" spans="3:13">
      <c r="C3637" s="660"/>
      <c r="D3637" s="717">
        <v>45637</v>
      </c>
      <c r="E3637" s="720">
        <v>2.7E-2</v>
      </c>
      <c r="F3637" s="720" t="s">
        <v>665</v>
      </c>
      <c r="G3637" s="720">
        <v>2.5999999999999999E-2</v>
      </c>
      <c r="H3637" s="718">
        <v>0.5625</v>
      </c>
      <c r="I3637" s="1246"/>
      <c r="J3637" s="1246"/>
      <c r="K3637" s="1247"/>
      <c r="L3637" s="718">
        <v>0.79166666666666663</v>
      </c>
      <c r="M3637" s="667"/>
    </row>
    <row r="3638" spans="3:13">
      <c r="C3638" s="660"/>
      <c r="D3638" s="717">
        <v>45609</v>
      </c>
      <c r="E3638" s="720">
        <v>2.5999999999999999E-2</v>
      </c>
      <c r="F3638" s="720" t="s">
        <v>493</v>
      </c>
      <c r="G3638" s="720">
        <v>2.4E-2</v>
      </c>
      <c r="H3638" s="718">
        <v>0.5625</v>
      </c>
      <c r="I3638" s="1246"/>
      <c r="J3638" s="1246"/>
      <c r="K3638" s="1247"/>
      <c r="L3638" s="718">
        <v>0.79166666666666663</v>
      </c>
      <c r="M3638" s="667"/>
    </row>
    <row r="3639" spans="3:13" ht="17" thickBot="1">
      <c r="C3639" s="660"/>
      <c r="D3639" s="717">
        <v>45575</v>
      </c>
      <c r="E3639" s="720">
        <v>2.4E-2</v>
      </c>
      <c r="F3639" s="720" t="s">
        <v>971</v>
      </c>
      <c r="G3639" s="720">
        <v>2.5000000000000001E-2</v>
      </c>
      <c r="H3639" s="718">
        <v>0.52083333333333337</v>
      </c>
      <c r="I3639" s="1249"/>
      <c r="J3639" s="1249"/>
      <c r="K3639" s="1250"/>
      <c r="L3639" s="718">
        <v>0.75</v>
      </c>
      <c r="M3639" s="682"/>
    </row>
    <row r="3640" spans="3:13" ht="17" thickBot="1">
      <c r="C3640" s="660">
        <v>1</v>
      </c>
      <c r="D3640" s="671" t="s">
        <v>30</v>
      </c>
      <c r="E3640" s="1252" t="s">
        <v>1910</v>
      </c>
      <c r="F3640" s="1253"/>
      <c r="G3640" s="1254"/>
      <c r="H3640" s="712" t="s">
        <v>790</v>
      </c>
      <c r="I3640" s="1256" t="s">
        <v>633</v>
      </c>
      <c r="J3640" s="1256"/>
      <c r="K3640" s="1257"/>
      <c r="L3640" s="674" t="s">
        <v>430</v>
      </c>
      <c r="M3640" s="713" t="s">
        <v>431</v>
      </c>
    </row>
    <row r="3641" spans="3:13">
      <c r="C3641" s="660"/>
      <c r="D3641" s="663" t="s">
        <v>432</v>
      </c>
      <c r="E3641" s="1266"/>
      <c r="F3641" s="1267"/>
      <c r="G3641" s="1268"/>
      <c r="H3641" s="714" t="s">
        <v>794</v>
      </c>
      <c r="I3641" s="1243" t="s">
        <v>1911</v>
      </c>
      <c r="J3641" s="1243"/>
      <c r="K3641" s="1244"/>
      <c r="L3641" s="664"/>
      <c r="M3641" s="665" t="s">
        <v>1910</v>
      </c>
    </row>
    <row r="3642" spans="3:13">
      <c r="C3642" s="660"/>
      <c r="D3642" s="666" t="s">
        <v>433</v>
      </c>
      <c r="E3642" s="1269"/>
      <c r="F3642" s="1270"/>
      <c r="G3642" s="1271"/>
      <c r="H3642" s="715" t="s">
        <v>795</v>
      </c>
      <c r="I3642" s="1246"/>
      <c r="J3642" s="1246"/>
      <c r="K3642" s="1247"/>
      <c r="L3642" s="664"/>
      <c r="M3642" s="667"/>
    </row>
    <row r="3643" spans="3:13">
      <c r="C3643" s="660"/>
      <c r="D3643" s="666" t="s">
        <v>434</v>
      </c>
      <c r="E3643" s="1272">
        <v>2E-3</v>
      </c>
      <c r="F3643" s="1273"/>
      <c r="G3643" s="1274"/>
      <c r="H3643" s="715"/>
      <c r="I3643" s="1246"/>
      <c r="J3643" s="1246"/>
      <c r="K3643" s="1247"/>
      <c r="L3643" s="664"/>
      <c r="M3643" s="667"/>
    </row>
    <row r="3644" spans="3:13" ht="17" thickBot="1">
      <c r="C3644" s="660"/>
      <c r="D3644" s="668" t="s">
        <v>435</v>
      </c>
      <c r="E3644" s="1275">
        <v>0.52083333333333337</v>
      </c>
      <c r="F3644" s="1276"/>
      <c r="G3644" s="1277"/>
      <c r="H3644" s="716"/>
      <c r="I3644" s="1246"/>
      <c r="J3644" s="1246"/>
      <c r="K3644" s="1247"/>
      <c r="L3644" s="669">
        <v>0.75</v>
      </c>
      <c r="M3644" s="670">
        <v>0.64583333333333337</v>
      </c>
    </row>
    <row r="3645" spans="3:13" ht="17" thickBot="1">
      <c r="C3645" s="660"/>
      <c r="D3645" s="671" t="s">
        <v>436</v>
      </c>
      <c r="E3645" s="672" t="s">
        <v>29</v>
      </c>
      <c r="F3645" s="672" t="s">
        <v>28</v>
      </c>
      <c r="G3645" s="673" t="s">
        <v>27</v>
      </c>
      <c r="H3645" s="712" t="s">
        <v>793</v>
      </c>
      <c r="I3645" s="1246"/>
      <c r="J3645" s="1246"/>
      <c r="K3645" s="1247"/>
      <c r="L3645" s="675" t="s">
        <v>1246</v>
      </c>
      <c r="M3645" s="676"/>
    </row>
    <row r="3646" spans="3:13">
      <c r="C3646" s="660"/>
      <c r="D3646" s="717">
        <v>45728</v>
      </c>
      <c r="E3646" s="720">
        <v>2E-3</v>
      </c>
      <c r="F3646" s="720" t="s">
        <v>467</v>
      </c>
      <c r="G3646" s="720">
        <v>5.0000000000000001E-3</v>
      </c>
      <c r="H3646" s="718">
        <v>0.52083333333333337</v>
      </c>
      <c r="I3646" s="1246"/>
      <c r="J3646" s="1246"/>
      <c r="K3646" s="1247"/>
      <c r="L3646" s="718">
        <v>0.75</v>
      </c>
      <c r="M3646" s="680"/>
    </row>
    <row r="3647" spans="3:13">
      <c r="C3647" s="660"/>
      <c r="D3647" s="717">
        <v>45700</v>
      </c>
      <c r="E3647" s="720">
        <v>5.0000000000000001E-3</v>
      </c>
      <c r="F3647" s="720" t="s">
        <v>467</v>
      </c>
      <c r="G3647" s="720">
        <v>4.0000000000000001E-3</v>
      </c>
      <c r="H3647" s="718">
        <v>0.5625</v>
      </c>
      <c r="I3647" s="1246"/>
      <c r="J3647" s="1246"/>
      <c r="K3647" s="1247"/>
      <c r="L3647" s="718">
        <v>0.79166666666666663</v>
      </c>
      <c r="M3647" s="681"/>
    </row>
    <row r="3648" spans="3:13">
      <c r="C3648" s="660"/>
      <c r="D3648" s="717">
        <v>45672</v>
      </c>
      <c r="E3648" s="720">
        <v>4.0000000000000001E-3</v>
      </c>
      <c r="F3648" s="720" t="s">
        <v>452</v>
      </c>
      <c r="G3648" s="720">
        <v>3.0000000000000001E-3</v>
      </c>
      <c r="H3648" s="718">
        <v>0.5625</v>
      </c>
      <c r="I3648" s="1246"/>
      <c r="J3648" s="1246"/>
      <c r="K3648" s="1247"/>
      <c r="L3648" s="718">
        <v>0.79166666666666663</v>
      </c>
      <c r="M3648" s="667"/>
    </row>
    <row r="3649" spans="3:13">
      <c r="C3649" s="660"/>
      <c r="D3649" s="717">
        <v>45637</v>
      </c>
      <c r="E3649" s="720">
        <v>3.0000000000000001E-3</v>
      </c>
      <c r="F3649" s="720" t="s">
        <v>467</v>
      </c>
      <c r="G3649" s="720">
        <v>2E-3</v>
      </c>
      <c r="H3649" s="718">
        <v>0.5625</v>
      </c>
      <c r="I3649" s="1246"/>
      <c r="J3649" s="1246"/>
      <c r="K3649" s="1247"/>
      <c r="L3649" s="718">
        <v>0.79166666666666663</v>
      </c>
      <c r="M3649" s="667"/>
    </row>
    <row r="3650" spans="3:13">
      <c r="C3650" s="660"/>
      <c r="D3650" s="717">
        <v>45609</v>
      </c>
      <c r="E3650" s="720">
        <v>2E-3</v>
      </c>
      <c r="F3650" s="720" t="s">
        <v>460</v>
      </c>
      <c r="G3650" s="720">
        <v>2E-3</v>
      </c>
      <c r="H3650" s="718">
        <v>0.5625</v>
      </c>
      <c r="I3650" s="1246"/>
      <c r="J3650" s="1246"/>
      <c r="K3650" s="1247"/>
      <c r="L3650" s="718">
        <v>0.79166666666666663</v>
      </c>
      <c r="M3650" s="667"/>
    </row>
    <row r="3651" spans="3:13" ht="17" thickBot="1">
      <c r="C3651" s="660"/>
      <c r="D3651" s="717">
        <v>45575</v>
      </c>
      <c r="E3651" s="720">
        <v>2E-3</v>
      </c>
      <c r="F3651" s="720" t="s">
        <v>462</v>
      </c>
      <c r="G3651" s="720">
        <v>2E-3</v>
      </c>
      <c r="H3651" s="718">
        <v>0.52083333333333337</v>
      </c>
      <c r="I3651" s="1249"/>
      <c r="J3651" s="1249"/>
      <c r="K3651" s="1250"/>
      <c r="L3651" s="718">
        <v>0.75</v>
      </c>
      <c r="M3651" s="682"/>
    </row>
    <row r="3652" spans="3:13" ht="17" thickBot="1">
      <c r="C3652" s="757">
        <v>1</v>
      </c>
      <c r="D3652" s="684" t="s">
        <v>30</v>
      </c>
      <c r="E3652" s="1290" t="s">
        <v>1421</v>
      </c>
      <c r="F3652" s="1291"/>
      <c r="G3652" s="1292"/>
      <c r="H3652" s="712" t="s">
        <v>790</v>
      </c>
      <c r="I3652" s="1256" t="s">
        <v>633</v>
      </c>
      <c r="J3652" s="1256"/>
      <c r="K3652" s="1257"/>
      <c r="L3652" s="674" t="s">
        <v>430</v>
      </c>
      <c r="M3652" s="758" t="s">
        <v>431</v>
      </c>
    </row>
    <row r="3653" spans="3:13">
      <c r="C3653" s="660"/>
      <c r="D3653" s="663" t="s">
        <v>432</v>
      </c>
      <c r="E3653" s="1266"/>
      <c r="F3653" s="1267"/>
      <c r="G3653" s="1268"/>
      <c r="H3653" s="714" t="s">
        <v>794</v>
      </c>
      <c r="I3653" s="1243" t="s">
        <v>1912</v>
      </c>
      <c r="J3653" s="1243"/>
      <c r="K3653" s="1244"/>
      <c r="L3653" s="664"/>
      <c r="M3653" s="665" t="s">
        <v>1421</v>
      </c>
    </row>
    <row r="3654" spans="3:13">
      <c r="C3654" s="660"/>
      <c r="D3654" s="666" t="s">
        <v>433</v>
      </c>
      <c r="E3654" s="1269"/>
      <c r="F3654" s="1270"/>
      <c r="G3654" s="1271"/>
      <c r="H3654" s="715" t="s">
        <v>795</v>
      </c>
      <c r="I3654" s="1246"/>
      <c r="J3654" s="1246"/>
      <c r="K3654" s="1247"/>
      <c r="L3654" s="664"/>
      <c r="M3654" s="667"/>
    </row>
    <row r="3655" spans="3:13">
      <c r="C3655" s="660"/>
      <c r="D3655" s="666" t="s">
        <v>434</v>
      </c>
      <c r="E3655" s="1272" t="s">
        <v>345</v>
      </c>
      <c r="F3655" s="1273"/>
      <c r="G3655" s="1274"/>
      <c r="H3655" s="715"/>
      <c r="I3655" s="1246"/>
      <c r="J3655" s="1246"/>
      <c r="K3655" s="1247"/>
      <c r="L3655" s="664"/>
      <c r="M3655" s="667"/>
    </row>
    <row r="3656" spans="3:13" ht="17" thickBot="1">
      <c r="C3656" s="660"/>
      <c r="D3656" s="668" t="s">
        <v>435</v>
      </c>
      <c r="E3656" s="1275">
        <v>0.52083333333333337</v>
      </c>
      <c r="F3656" s="1276"/>
      <c r="G3656" s="1277"/>
      <c r="H3656" s="716"/>
      <c r="I3656" s="1246"/>
      <c r="J3656" s="1246"/>
      <c r="K3656" s="1247"/>
      <c r="L3656" s="669">
        <v>0.75</v>
      </c>
      <c r="M3656" s="670">
        <v>0.64583333333333337</v>
      </c>
    </row>
    <row r="3657" spans="3:13" ht="17" thickBot="1">
      <c r="C3657" s="660"/>
      <c r="D3657" s="671" t="s">
        <v>436</v>
      </c>
      <c r="E3657" s="672" t="s">
        <v>29</v>
      </c>
      <c r="F3657" s="672" t="s">
        <v>28</v>
      </c>
      <c r="G3657" s="673" t="s">
        <v>27</v>
      </c>
      <c r="H3657" s="712" t="s">
        <v>793</v>
      </c>
      <c r="I3657" s="1246"/>
      <c r="J3657" s="1246"/>
      <c r="K3657" s="1247"/>
      <c r="L3657" s="675" t="s">
        <v>1246</v>
      </c>
      <c r="M3657" s="676"/>
    </row>
    <row r="3658" spans="3:13">
      <c r="C3658" s="660"/>
      <c r="D3658" s="717">
        <v>45750</v>
      </c>
      <c r="E3658" s="720" t="s">
        <v>987</v>
      </c>
      <c r="F3658" s="720" t="s">
        <v>985</v>
      </c>
      <c r="G3658" s="720" t="s">
        <v>985</v>
      </c>
      <c r="H3658" s="718">
        <v>0.52083333333333337</v>
      </c>
      <c r="I3658" s="1246"/>
      <c r="J3658" s="1246"/>
      <c r="K3658" s="1247"/>
      <c r="L3658" s="679">
        <v>0.75</v>
      </c>
      <c r="M3658" s="680"/>
    </row>
    <row r="3659" spans="3:13">
      <c r="C3659" s="660"/>
      <c r="D3659" s="717">
        <v>45743</v>
      </c>
      <c r="E3659" s="720" t="s">
        <v>1032</v>
      </c>
      <c r="F3659" s="720" t="s">
        <v>985</v>
      </c>
      <c r="G3659" s="720" t="s">
        <v>985</v>
      </c>
      <c r="H3659" s="718">
        <v>0.52083333333333337</v>
      </c>
      <c r="I3659" s="1246"/>
      <c r="J3659" s="1246"/>
      <c r="K3659" s="1247"/>
      <c r="L3659" s="679">
        <v>0.75</v>
      </c>
      <c r="M3659" s="681"/>
    </row>
    <row r="3660" spans="3:13">
      <c r="C3660" s="660"/>
      <c r="D3660" s="717">
        <v>45736</v>
      </c>
      <c r="E3660" s="720" t="s">
        <v>973</v>
      </c>
      <c r="F3660" s="720" t="s">
        <v>1032</v>
      </c>
      <c r="G3660" s="720" t="s">
        <v>972</v>
      </c>
      <c r="H3660" s="718">
        <v>0.52083333333333337</v>
      </c>
      <c r="I3660" s="1246"/>
      <c r="J3660" s="1246"/>
      <c r="K3660" s="1247"/>
      <c r="L3660" s="679">
        <v>0.75</v>
      </c>
      <c r="M3660" s="667"/>
    </row>
    <row r="3661" spans="3:13">
      <c r="C3661" s="660"/>
      <c r="D3661" s="717">
        <v>45729</v>
      </c>
      <c r="E3661" s="720" t="s">
        <v>1112</v>
      </c>
      <c r="F3661" s="720" t="s">
        <v>1703</v>
      </c>
      <c r="G3661" s="720" t="s">
        <v>986</v>
      </c>
      <c r="H3661" s="718">
        <v>0.52083333333333337</v>
      </c>
      <c r="I3661" s="1246"/>
      <c r="J3661" s="1246"/>
      <c r="K3661" s="1247"/>
      <c r="L3661" s="679">
        <v>0.75</v>
      </c>
      <c r="M3661" s="667"/>
    </row>
    <row r="3662" spans="3:13">
      <c r="C3662" s="660"/>
      <c r="D3662" s="717">
        <v>45722</v>
      </c>
      <c r="E3662" s="720" t="s">
        <v>972</v>
      </c>
      <c r="F3662" s="720" t="s">
        <v>1704</v>
      </c>
      <c r="G3662" s="720" t="s">
        <v>980</v>
      </c>
      <c r="H3662" s="718">
        <v>0.5625</v>
      </c>
      <c r="I3662" s="1246"/>
      <c r="J3662" s="1246"/>
      <c r="K3662" s="1247"/>
      <c r="L3662" s="679">
        <v>0.79166666666666663</v>
      </c>
      <c r="M3662" s="667"/>
    </row>
    <row r="3663" spans="3:13" ht="17" thickBot="1">
      <c r="C3663" s="660"/>
      <c r="D3663" s="717">
        <v>45715</v>
      </c>
      <c r="E3663" s="720" t="s">
        <v>980</v>
      </c>
      <c r="F3663" s="720" t="s">
        <v>986</v>
      </c>
      <c r="G3663" s="720" t="s">
        <v>1112</v>
      </c>
      <c r="H3663" s="718">
        <v>0.5625</v>
      </c>
      <c r="I3663" s="1249"/>
      <c r="J3663" s="1249"/>
      <c r="K3663" s="1250"/>
      <c r="L3663" s="679">
        <v>0.79166666666666663</v>
      </c>
      <c r="M3663" s="682"/>
    </row>
    <row r="3664" spans="3:13" ht="17" thickBot="1">
      <c r="C3664" s="757">
        <v>1</v>
      </c>
      <c r="D3664" s="684" t="s">
        <v>30</v>
      </c>
      <c r="E3664" s="1290" t="s">
        <v>1913</v>
      </c>
      <c r="F3664" s="1291"/>
      <c r="G3664" s="1292"/>
      <c r="H3664" s="712" t="s">
        <v>790</v>
      </c>
      <c r="I3664" s="1256" t="s">
        <v>633</v>
      </c>
      <c r="J3664" s="1256"/>
      <c r="K3664" s="1257"/>
      <c r="L3664" s="674" t="s">
        <v>430</v>
      </c>
      <c r="M3664" s="758" t="s">
        <v>431</v>
      </c>
    </row>
    <row r="3665" spans="3:13">
      <c r="C3665" s="660"/>
      <c r="D3665" s="663" t="s">
        <v>432</v>
      </c>
      <c r="E3665" s="1266"/>
      <c r="F3665" s="1267"/>
      <c r="G3665" s="1268"/>
      <c r="H3665" s="714" t="s">
        <v>794</v>
      </c>
      <c r="I3665" s="1243" t="s">
        <v>1914</v>
      </c>
      <c r="J3665" s="1243"/>
      <c r="K3665" s="1244"/>
      <c r="L3665" s="664"/>
      <c r="M3665" s="665" t="s">
        <v>1913</v>
      </c>
    </row>
    <row r="3666" spans="3:13">
      <c r="C3666" s="660"/>
      <c r="D3666" s="666" t="s">
        <v>433</v>
      </c>
      <c r="E3666" s="1269"/>
      <c r="F3666" s="1270"/>
      <c r="G3666" s="1271"/>
      <c r="H3666" s="715" t="s">
        <v>795</v>
      </c>
      <c r="I3666" s="1246"/>
      <c r="J3666" s="1246"/>
      <c r="K3666" s="1247"/>
      <c r="L3666" s="664"/>
      <c r="M3666" s="667"/>
    </row>
    <row r="3667" spans="3:13">
      <c r="C3667" s="660"/>
      <c r="D3667" s="666" t="s">
        <v>434</v>
      </c>
      <c r="E3667" s="1272">
        <v>4.623E-2</v>
      </c>
      <c r="F3667" s="1273"/>
      <c r="G3667" s="1274"/>
      <c r="H3667" s="715"/>
      <c r="I3667" s="1246"/>
      <c r="J3667" s="1246"/>
      <c r="K3667" s="1247"/>
      <c r="L3667" s="664"/>
      <c r="M3667" s="667"/>
    </row>
    <row r="3668" spans="3:13" ht="17" thickBot="1">
      <c r="C3668" s="660"/>
      <c r="D3668" s="668" t="s">
        <v>435</v>
      </c>
      <c r="E3668" s="1275">
        <v>0.70833333333333337</v>
      </c>
      <c r="F3668" s="1276"/>
      <c r="G3668" s="1277"/>
      <c r="H3668" s="716"/>
      <c r="I3668" s="1246"/>
      <c r="J3668" s="1246"/>
      <c r="K3668" s="1247"/>
      <c r="L3668" s="669">
        <v>0.9375</v>
      </c>
      <c r="M3668" s="670">
        <v>0.83333333333333337</v>
      </c>
    </row>
    <row r="3669" spans="3:13" ht="17" thickBot="1">
      <c r="C3669" s="660"/>
      <c r="D3669" s="671" t="s">
        <v>436</v>
      </c>
      <c r="E3669" s="672" t="s">
        <v>29</v>
      </c>
      <c r="F3669" s="672" t="s">
        <v>28</v>
      </c>
      <c r="G3669" s="673" t="s">
        <v>27</v>
      </c>
      <c r="H3669" s="712" t="s">
        <v>793</v>
      </c>
      <c r="I3669" s="1246"/>
      <c r="J3669" s="1246"/>
      <c r="K3669" s="1247"/>
      <c r="L3669" s="675" t="s">
        <v>1246</v>
      </c>
      <c r="M3669" s="676"/>
    </row>
    <row r="3670" spans="3:13">
      <c r="C3670" s="660"/>
      <c r="D3670" s="717">
        <v>45729</v>
      </c>
      <c r="E3670" s="720">
        <v>4.623E-2</v>
      </c>
      <c r="F3670" s="720"/>
      <c r="G3670" s="720">
        <v>4.7480000000000001E-2</v>
      </c>
      <c r="H3670" s="718">
        <v>0.70833333333333337</v>
      </c>
      <c r="I3670" s="1246"/>
      <c r="J3670" s="1246"/>
      <c r="K3670" s="1247"/>
      <c r="L3670" s="679">
        <v>0.9375</v>
      </c>
      <c r="M3670" s="680"/>
    </row>
    <row r="3671" spans="3:13">
      <c r="C3671" s="660"/>
      <c r="D3671" s="717">
        <v>45701</v>
      </c>
      <c r="E3671" s="720">
        <v>4.7480000000000001E-2</v>
      </c>
      <c r="F3671" s="720"/>
      <c r="G3671" s="720">
        <v>4.913E-2</v>
      </c>
      <c r="H3671" s="718">
        <v>0.75</v>
      </c>
      <c r="I3671" s="1246"/>
      <c r="J3671" s="1246"/>
      <c r="K3671" s="1247"/>
      <c r="L3671" s="679">
        <v>0.97916666666666663</v>
      </c>
      <c r="M3671" s="681"/>
    </row>
    <row r="3672" spans="3:13">
      <c r="C3672" s="660"/>
      <c r="D3672" s="717">
        <v>45665</v>
      </c>
      <c r="E3672" s="720">
        <v>4.913E-2</v>
      </c>
      <c r="F3672" s="720"/>
      <c r="G3672" s="720">
        <v>4.5350000000000001E-2</v>
      </c>
      <c r="H3672" s="718">
        <v>0.75</v>
      </c>
      <c r="I3672" s="1246"/>
      <c r="J3672" s="1246"/>
      <c r="K3672" s="1247"/>
      <c r="L3672" s="679">
        <v>0.97916666666666663</v>
      </c>
      <c r="M3672" s="667"/>
    </row>
    <row r="3673" spans="3:13">
      <c r="C3673" s="660"/>
      <c r="D3673" s="717">
        <v>45638</v>
      </c>
      <c r="E3673" s="720">
        <v>4.5350000000000001E-2</v>
      </c>
      <c r="F3673" s="720"/>
      <c r="G3673" s="720">
        <v>4.6080000000000003E-2</v>
      </c>
      <c r="H3673" s="718">
        <v>0.75</v>
      </c>
      <c r="I3673" s="1246"/>
      <c r="J3673" s="1246"/>
      <c r="K3673" s="1247"/>
      <c r="L3673" s="679">
        <v>0.97916666666666663</v>
      </c>
      <c r="M3673" s="667"/>
    </row>
    <row r="3674" spans="3:13">
      <c r="C3674" s="660"/>
      <c r="D3674" s="717">
        <v>45602</v>
      </c>
      <c r="E3674" s="720">
        <v>4.6080000000000003E-2</v>
      </c>
      <c r="F3674" s="720"/>
      <c r="G3674" s="720">
        <v>4.3889999999999998E-2</v>
      </c>
      <c r="H3674" s="718">
        <v>0.75</v>
      </c>
      <c r="I3674" s="1246"/>
      <c r="J3674" s="1246"/>
      <c r="K3674" s="1247"/>
      <c r="L3674" s="679">
        <v>0.97916666666666663</v>
      </c>
      <c r="M3674" s="667"/>
    </row>
    <row r="3675" spans="3:13" ht="17" thickBot="1">
      <c r="C3675" s="660"/>
      <c r="D3675" s="717">
        <v>45575</v>
      </c>
      <c r="E3675" s="720">
        <v>4.3889999999999998E-2</v>
      </c>
      <c r="F3675" s="720"/>
      <c r="G3675" s="720">
        <v>4.0149999999999998E-2</v>
      </c>
      <c r="H3675" s="718">
        <v>0.70833333333333337</v>
      </c>
      <c r="I3675" s="1249"/>
      <c r="J3675" s="1249"/>
      <c r="K3675" s="1250"/>
      <c r="L3675" s="679">
        <v>0.9375</v>
      </c>
      <c r="M3675" s="682"/>
    </row>
    <row r="3676" spans="3:13" ht="17" thickBot="1">
      <c r="C3676" s="660">
        <v>1</v>
      </c>
      <c r="D3676" s="671" t="s">
        <v>30</v>
      </c>
      <c r="E3676" s="1252" t="s">
        <v>1915</v>
      </c>
      <c r="F3676" s="1253"/>
      <c r="G3676" s="1254"/>
      <c r="H3676" s="712" t="s">
        <v>790</v>
      </c>
      <c r="I3676" s="1256" t="s">
        <v>633</v>
      </c>
      <c r="J3676" s="1256"/>
      <c r="K3676" s="1257"/>
      <c r="L3676" s="674" t="s">
        <v>430</v>
      </c>
      <c r="M3676" s="713" t="s">
        <v>431</v>
      </c>
    </row>
    <row r="3677" spans="3:13">
      <c r="C3677" s="660"/>
      <c r="D3677" s="663" t="s">
        <v>432</v>
      </c>
      <c r="E3677" s="1266"/>
      <c r="F3677" s="1267"/>
      <c r="G3677" s="1268"/>
      <c r="H3677" s="714" t="s">
        <v>947</v>
      </c>
      <c r="I3677" s="1243" t="s">
        <v>1916</v>
      </c>
      <c r="J3677" s="1243"/>
      <c r="K3677" s="1244"/>
      <c r="L3677" s="664"/>
      <c r="M3677" s="665" t="s">
        <v>1915</v>
      </c>
    </row>
    <row r="3678" spans="3:13">
      <c r="C3678" s="660"/>
      <c r="D3678" s="666" t="s">
        <v>433</v>
      </c>
      <c r="E3678" s="1269"/>
      <c r="F3678" s="1270"/>
      <c r="G3678" s="1271"/>
      <c r="H3678" s="715" t="s">
        <v>908</v>
      </c>
      <c r="I3678" s="1246"/>
      <c r="J3678" s="1246"/>
      <c r="K3678" s="1247"/>
      <c r="L3678" s="664"/>
      <c r="M3678" s="667"/>
    </row>
    <row r="3679" spans="3:13">
      <c r="C3679" s="660"/>
      <c r="D3679" s="666" t="s">
        <v>434</v>
      </c>
      <c r="E3679" s="1272">
        <v>-1E-3</v>
      </c>
      <c r="F3679" s="1273"/>
      <c r="G3679" s="1274"/>
      <c r="H3679" s="715"/>
      <c r="I3679" s="1246"/>
      <c r="J3679" s="1246"/>
      <c r="K3679" s="1247"/>
      <c r="L3679" s="664"/>
      <c r="M3679" s="667"/>
    </row>
    <row r="3680" spans="3:13" ht="17" thickBot="1">
      <c r="C3680" s="660"/>
      <c r="D3680" s="668" t="s">
        <v>435</v>
      </c>
      <c r="E3680" s="1275">
        <v>0.25</v>
      </c>
      <c r="F3680" s="1276"/>
      <c r="G3680" s="1277"/>
      <c r="H3680" s="716"/>
      <c r="I3680" s="1246"/>
      <c r="J3680" s="1246"/>
      <c r="K3680" s="1247"/>
      <c r="L3680" s="669">
        <v>0.47916666666666669</v>
      </c>
      <c r="M3680" s="670">
        <v>0.375</v>
      </c>
    </row>
    <row r="3681" spans="3:13" ht="17" thickBot="1">
      <c r="C3681" s="660"/>
      <c r="D3681" s="671" t="s">
        <v>436</v>
      </c>
      <c r="E3681" s="672" t="s">
        <v>29</v>
      </c>
      <c r="F3681" s="672" t="s">
        <v>28</v>
      </c>
      <c r="G3681" s="673" t="s">
        <v>27</v>
      </c>
      <c r="H3681" s="712" t="s">
        <v>793</v>
      </c>
      <c r="I3681" s="1246"/>
      <c r="J3681" s="1246"/>
      <c r="K3681" s="1247"/>
      <c r="L3681" s="675" t="s">
        <v>1246</v>
      </c>
      <c r="M3681" s="676"/>
    </row>
    <row r="3682" spans="3:13">
      <c r="C3682" s="660"/>
      <c r="D3682" s="717">
        <v>45730</v>
      </c>
      <c r="E3682" s="720">
        <v>-1E-3</v>
      </c>
      <c r="F3682" s="720" t="s">
        <v>462</v>
      </c>
      <c r="G3682" s="720">
        <v>4.0000000000000001E-3</v>
      </c>
      <c r="H3682" s="718">
        <v>0.29166666666666674</v>
      </c>
      <c r="I3682" s="1246"/>
      <c r="J3682" s="1246"/>
      <c r="K3682" s="1247"/>
      <c r="L3682" s="679">
        <v>0.52083333333333337</v>
      </c>
      <c r="M3682" s="680"/>
    </row>
    <row r="3683" spans="3:13">
      <c r="C3683" s="660"/>
      <c r="D3683" s="717">
        <v>45701</v>
      </c>
      <c r="E3683" s="720">
        <v>4.0000000000000001E-3</v>
      </c>
      <c r="F3683" s="720" t="s">
        <v>462</v>
      </c>
      <c r="G3683" s="720">
        <v>1E-3</v>
      </c>
      <c r="H3683" s="718">
        <v>0.29166666666666674</v>
      </c>
      <c r="I3683" s="1246"/>
      <c r="J3683" s="1246"/>
      <c r="K3683" s="1247"/>
      <c r="L3683" s="679">
        <v>0.52083333333333337</v>
      </c>
      <c r="M3683" s="681"/>
    </row>
    <row r="3684" spans="3:13">
      <c r="C3684" s="660"/>
      <c r="D3684" s="717">
        <v>45673</v>
      </c>
      <c r="E3684" s="720">
        <v>1E-3</v>
      </c>
      <c r="F3684" s="720" t="s">
        <v>460</v>
      </c>
      <c r="G3684" s="720">
        <v>-1E-3</v>
      </c>
      <c r="H3684" s="718">
        <v>0.29166666666666674</v>
      </c>
      <c r="I3684" s="1246"/>
      <c r="J3684" s="1246"/>
      <c r="K3684" s="1247"/>
      <c r="L3684" s="679">
        <v>0.52083333333333337</v>
      </c>
      <c r="M3684" s="667"/>
    </row>
    <row r="3685" spans="3:13">
      <c r="C3685" s="660"/>
      <c r="D3685" s="717">
        <v>45639</v>
      </c>
      <c r="E3685" s="720">
        <v>-1E-3</v>
      </c>
      <c r="F3685" s="720" t="s">
        <v>462</v>
      </c>
      <c r="G3685" s="720">
        <v>-1E-3</v>
      </c>
      <c r="H3685" s="718">
        <v>0.29166666666666674</v>
      </c>
      <c r="I3685" s="1246"/>
      <c r="J3685" s="1246"/>
      <c r="K3685" s="1247"/>
      <c r="L3685" s="679">
        <v>0.52083333333333337</v>
      </c>
      <c r="M3685" s="667"/>
    </row>
    <row r="3686" spans="3:13">
      <c r="C3686" s="660"/>
      <c r="D3686" s="717">
        <v>45611</v>
      </c>
      <c r="E3686" s="720">
        <v>-1E-3</v>
      </c>
      <c r="F3686" s="720" t="s">
        <v>460</v>
      </c>
      <c r="G3686" s="720">
        <v>2E-3</v>
      </c>
      <c r="H3686" s="718">
        <v>0.29166666666666674</v>
      </c>
      <c r="I3686" s="1246"/>
      <c r="J3686" s="1246"/>
      <c r="K3686" s="1247"/>
      <c r="L3686" s="679">
        <v>0.52083333333333337</v>
      </c>
      <c r="M3686" s="667"/>
    </row>
    <row r="3687" spans="3:13" ht="17" thickBot="1">
      <c r="C3687" s="660"/>
      <c r="D3687" s="717">
        <v>45576</v>
      </c>
      <c r="E3687" s="720">
        <v>2E-3</v>
      </c>
      <c r="F3687" s="720" t="s">
        <v>460</v>
      </c>
      <c r="G3687" s="720">
        <v>0</v>
      </c>
      <c r="H3687" s="718">
        <v>0.25</v>
      </c>
      <c r="I3687" s="1249"/>
      <c r="J3687" s="1249"/>
      <c r="K3687" s="1250"/>
      <c r="L3687" s="679">
        <v>0.47916666666666669</v>
      </c>
      <c r="M3687" s="682"/>
    </row>
    <row r="3688" spans="3:13" ht="17" thickBot="1">
      <c r="C3688" s="660">
        <v>1</v>
      </c>
      <c r="D3688" s="671" t="s">
        <v>30</v>
      </c>
      <c r="E3688" s="1252" t="s">
        <v>1917</v>
      </c>
      <c r="F3688" s="1253"/>
      <c r="G3688" s="1254"/>
      <c r="H3688" s="712" t="s">
        <v>790</v>
      </c>
      <c r="I3688" s="1256" t="s">
        <v>633</v>
      </c>
      <c r="J3688" s="1256"/>
      <c r="K3688" s="1257"/>
      <c r="L3688" s="674" t="s">
        <v>430</v>
      </c>
      <c r="M3688" s="713" t="s">
        <v>431</v>
      </c>
    </row>
    <row r="3689" spans="3:13">
      <c r="C3689" s="660"/>
      <c r="D3689" s="663" t="s">
        <v>432</v>
      </c>
      <c r="E3689" s="1266"/>
      <c r="F3689" s="1267"/>
      <c r="G3689" s="1268"/>
      <c r="H3689" s="930" t="s">
        <v>909</v>
      </c>
      <c r="I3689" s="1243" t="s">
        <v>1635</v>
      </c>
      <c r="J3689" s="1243"/>
      <c r="K3689" s="1244"/>
      <c r="L3689" s="664"/>
      <c r="M3689" s="665" t="s">
        <v>1917</v>
      </c>
    </row>
    <row r="3690" spans="3:13">
      <c r="C3690" s="660"/>
      <c r="D3690" s="666" t="s">
        <v>433</v>
      </c>
      <c r="E3690" s="1269"/>
      <c r="F3690" s="1270"/>
      <c r="G3690" s="1271"/>
      <c r="H3690" s="930" t="s">
        <v>910</v>
      </c>
      <c r="I3690" s="1246"/>
      <c r="J3690" s="1246"/>
      <c r="K3690" s="1247"/>
      <c r="L3690" s="664"/>
      <c r="M3690" s="667"/>
    </row>
    <row r="3691" spans="3:13">
      <c r="C3691" s="660"/>
      <c r="D3691" s="666" t="s">
        <v>434</v>
      </c>
      <c r="E3691" s="1287">
        <v>4.0000000000000001E-3</v>
      </c>
      <c r="F3691" s="1288"/>
      <c r="G3691" s="1289"/>
      <c r="H3691" s="715"/>
      <c r="I3691" s="1246"/>
      <c r="J3691" s="1246"/>
      <c r="K3691" s="1247"/>
      <c r="L3691" s="664"/>
      <c r="M3691" s="667"/>
    </row>
    <row r="3692" spans="3:13" ht="17" thickBot="1">
      <c r="C3692" s="660"/>
      <c r="D3692" s="668" t="s">
        <v>435</v>
      </c>
      <c r="E3692" s="1275">
        <v>0.25</v>
      </c>
      <c r="F3692" s="1276"/>
      <c r="G3692" s="1277"/>
      <c r="H3692" s="716"/>
      <c r="I3692" s="1246"/>
      <c r="J3692" s="1246"/>
      <c r="K3692" s="1247"/>
      <c r="L3692" s="669">
        <v>0.47916666666666669</v>
      </c>
      <c r="M3692" s="670">
        <v>0.375</v>
      </c>
    </row>
    <row r="3693" spans="3:13" ht="17" thickBot="1">
      <c r="C3693" s="660"/>
      <c r="D3693" s="671" t="s">
        <v>436</v>
      </c>
      <c r="E3693" s="672" t="s">
        <v>29</v>
      </c>
      <c r="F3693" s="672" t="s">
        <v>28</v>
      </c>
      <c r="G3693" s="673" t="s">
        <v>27</v>
      </c>
      <c r="H3693" s="712" t="s">
        <v>793</v>
      </c>
      <c r="I3693" s="1246"/>
      <c r="J3693" s="1246"/>
      <c r="K3693" s="1247"/>
      <c r="L3693" s="675" t="s">
        <v>1246</v>
      </c>
      <c r="M3693" s="676"/>
    </row>
    <row r="3694" spans="3:13">
      <c r="C3694" s="660"/>
      <c r="D3694" s="717">
        <v>45747</v>
      </c>
      <c r="E3694" s="691">
        <v>3.0000000000000001E-3</v>
      </c>
      <c r="F3694" s="691" t="s">
        <v>467</v>
      </c>
      <c r="G3694" s="691">
        <v>4.0000000000000001E-3</v>
      </c>
      <c r="H3694" s="718">
        <v>0.5</v>
      </c>
      <c r="I3694" s="1246"/>
      <c r="J3694" s="1246"/>
      <c r="K3694" s="1247"/>
      <c r="L3694" s="679">
        <v>0.72916666666666663</v>
      </c>
      <c r="M3694" s="680"/>
    </row>
    <row r="3695" spans="3:13">
      <c r="C3695" s="660"/>
      <c r="D3695" s="717">
        <v>45730</v>
      </c>
      <c r="E3695" s="691">
        <v>4.0000000000000001E-3</v>
      </c>
      <c r="F3695" s="691" t="s">
        <v>452</v>
      </c>
      <c r="G3695" s="691">
        <v>-2E-3</v>
      </c>
      <c r="H3695" s="718">
        <v>0.29166666666666674</v>
      </c>
      <c r="I3695" s="1246"/>
      <c r="J3695" s="1246"/>
      <c r="K3695" s="1247"/>
      <c r="L3695" s="679">
        <v>0.52083333333333337</v>
      </c>
      <c r="M3695" s="681"/>
    </row>
    <row r="3696" spans="3:13">
      <c r="C3696" s="660"/>
      <c r="D3696" s="717">
        <v>45716</v>
      </c>
      <c r="E3696" s="691">
        <v>4.0000000000000001E-3</v>
      </c>
      <c r="F3696" s="691" t="s">
        <v>452</v>
      </c>
      <c r="G3696" s="691">
        <v>-2E-3</v>
      </c>
      <c r="H3696" s="718">
        <v>0.54166666666666674</v>
      </c>
      <c r="I3696" s="1246"/>
      <c r="J3696" s="1246"/>
      <c r="K3696" s="1247"/>
      <c r="L3696" s="679">
        <v>0.77083333333333337</v>
      </c>
      <c r="M3696" s="667"/>
    </row>
    <row r="3697" spans="2:13">
      <c r="C3697" s="660"/>
      <c r="D3697" s="717">
        <v>45701</v>
      </c>
      <c r="E3697" s="691">
        <v>-2E-3</v>
      </c>
      <c r="F3697" s="691" t="s">
        <v>461</v>
      </c>
      <c r="G3697" s="691">
        <v>5.0000000000000001E-3</v>
      </c>
      <c r="H3697" s="718">
        <v>0.29166666666666674</v>
      </c>
      <c r="I3697" s="1246"/>
      <c r="J3697" s="1246"/>
      <c r="K3697" s="1247"/>
      <c r="L3697" s="679">
        <v>0.52083333333333337</v>
      </c>
      <c r="M3697" s="667"/>
    </row>
    <row r="3698" spans="2:13">
      <c r="C3698" s="660"/>
      <c r="D3698" s="717">
        <v>45688</v>
      </c>
      <c r="E3698" s="691">
        <v>-2E-3</v>
      </c>
      <c r="F3698" s="691" t="s">
        <v>462</v>
      </c>
      <c r="G3698" s="691">
        <v>5.0000000000000001E-3</v>
      </c>
      <c r="H3698" s="718">
        <v>0.54166666666666674</v>
      </c>
      <c r="I3698" s="1246"/>
      <c r="J3698" s="1246"/>
      <c r="K3698" s="1247"/>
      <c r="L3698" s="679">
        <v>0.77083333333333337</v>
      </c>
      <c r="M3698" s="667"/>
    </row>
    <row r="3699" spans="2:13" ht="17" thickBot="1">
      <c r="C3699" s="660"/>
      <c r="D3699" s="717">
        <v>45673</v>
      </c>
      <c r="E3699" s="691">
        <v>5.0000000000000001E-3</v>
      </c>
      <c r="F3699" s="691" t="s">
        <v>452</v>
      </c>
      <c r="G3699" s="691">
        <v>-2E-3</v>
      </c>
      <c r="H3699" s="718">
        <v>0.29166666666666674</v>
      </c>
      <c r="I3699" s="1249"/>
      <c r="J3699" s="1249"/>
      <c r="K3699" s="1250"/>
      <c r="L3699" s="679">
        <v>0.52083333333333337</v>
      </c>
      <c r="M3699" s="682"/>
    </row>
    <row r="3700" spans="2:13" ht="17" thickBot="1">
      <c r="C3700" s="660">
        <v>1</v>
      </c>
      <c r="D3700" s="671" t="s">
        <v>30</v>
      </c>
      <c r="E3700" s="1252" t="s">
        <v>1918</v>
      </c>
      <c r="F3700" s="1253"/>
      <c r="G3700" s="1254"/>
      <c r="H3700" s="712" t="s">
        <v>790</v>
      </c>
      <c r="I3700" s="1256" t="s">
        <v>633</v>
      </c>
      <c r="J3700" s="1256"/>
      <c r="K3700" s="1257"/>
      <c r="L3700" s="674" t="s">
        <v>430</v>
      </c>
      <c r="M3700" s="713" t="s">
        <v>431</v>
      </c>
    </row>
    <row r="3701" spans="2:13">
      <c r="C3701" s="660"/>
      <c r="D3701" s="663" t="s">
        <v>432</v>
      </c>
      <c r="E3701" s="1266"/>
      <c r="F3701" s="1267"/>
      <c r="G3701" s="1268"/>
      <c r="H3701" s="930" t="s">
        <v>794</v>
      </c>
      <c r="I3701" s="1243" t="s">
        <v>1919</v>
      </c>
      <c r="J3701" s="1243"/>
      <c r="K3701" s="1244"/>
      <c r="L3701" s="664"/>
      <c r="M3701" s="665" t="s">
        <v>1918</v>
      </c>
    </row>
    <row r="3702" spans="2:13">
      <c r="C3702" s="660"/>
      <c r="D3702" s="666" t="s">
        <v>433</v>
      </c>
      <c r="E3702" s="1269"/>
      <c r="F3702" s="1270"/>
      <c r="G3702" s="1271"/>
      <c r="H3702" s="930" t="s">
        <v>795</v>
      </c>
      <c r="I3702" s="1246"/>
      <c r="J3702" s="1246"/>
      <c r="K3702" s="1247"/>
      <c r="L3702" s="664"/>
      <c r="M3702" s="667"/>
    </row>
    <row r="3703" spans="2:13">
      <c r="C3703" s="660"/>
      <c r="D3703" s="666" t="s">
        <v>434</v>
      </c>
      <c r="E3703" s="1287">
        <v>0</v>
      </c>
      <c r="F3703" s="1288"/>
      <c r="G3703" s="1289"/>
      <c r="H3703" s="715"/>
      <c r="I3703" s="1246"/>
      <c r="J3703" s="1246"/>
      <c r="K3703" s="1247"/>
      <c r="L3703" s="664"/>
      <c r="M3703" s="667"/>
    </row>
    <row r="3704" spans="2:13" ht="17" thickBot="1">
      <c r="C3704" s="660"/>
      <c r="D3704" s="668" t="s">
        <v>435</v>
      </c>
      <c r="E3704" s="1275">
        <v>0.52083333333333337</v>
      </c>
      <c r="F3704" s="1276"/>
      <c r="G3704" s="1277"/>
      <c r="H3704" s="716"/>
      <c r="I3704" s="1246"/>
      <c r="J3704" s="1246"/>
      <c r="K3704" s="1247"/>
      <c r="L3704" s="669">
        <v>0.75</v>
      </c>
      <c r="M3704" s="670">
        <v>0.64583333333333337</v>
      </c>
    </row>
    <row r="3705" spans="2:13" ht="17" thickBot="1">
      <c r="C3705" s="660"/>
      <c r="D3705" s="671" t="s">
        <v>435</v>
      </c>
      <c r="E3705" s="672" t="s">
        <v>29</v>
      </c>
      <c r="F3705" s="672" t="s">
        <v>28</v>
      </c>
      <c r="G3705" s="673" t="s">
        <v>27</v>
      </c>
      <c r="H3705" s="712" t="s">
        <v>793</v>
      </c>
      <c r="I3705" s="1246"/>
      <c r="J3705" s="1246"/>
      <c r="K3705" s="1247"/>
      <c r="L3705" s="675" t="s">
        <v>1246</v>
      </c>
      <c r="M3705" s="676"/>
    </row>
    <row r="3706" spans="2:13">
      <c r="C3706" s="660"/>
      <c r="D3706" s="717">
        <v>45729</v>
      </c>
      <c r="E3706" s="691">
        <v>0</v>
      </c>
      <c r="F3706" s="691" t="s">
        <v>467</v>
      </c>
      <c r="G3706" s="691">
        <v>6.0000000000000001E-3</v>
      </c>
      <c r="H3706" s="718">
        <v>0.52083333333333337</v>
      </c>
      <c r="I3706" s="1246"/>
      <c r="J3706" s="1246"/>
      <c r="K3706" s="1247"/>
      <c r="L3706" s="679">
        <v>0.75</v>
      </c>
      <c r="M3706" s="680"/>
    </row>
    <row r="3707" spans="2:13">
      <c r="C3707" s="660"/>
      <c r="D3707" s="717">
        <v>45701</v>
      </c>
      <c r="E3707" s="691">
        <v>4.0000000000000001E-3</v>
      </c>
      <c r="F3707" s="691" t="s">
        <v>467</v>
      </c>
      <c r="G3707" s="691">
        <v>5.0000000000000001E-3</v>
      </c>
      <c r="H3707" s="718">
        <v>0.5625</v>
      </c>
      <c r="I3707" s="1246"/>
      <c r="J3707" s="1246"/>
      <c r="K3707" s="1247"/>
      <c r="L3707" s="679">
        <v>0.79166666666666663</v>
      </c>
      <c r="M3707" s="681"/>
    </row>
    <row r="3708" spans="2:13">
      <c r="C3708" s="660"/>
      <c r="D3708" s="717">
        <v>45671</v>
      </c>
      <c r="E3708" s="691">
        <v>2E-3</v>
      </c>
      <c r="F3708" s="691" t="s">
        <v>452</v>
      </c>
      <c r="G3708" s="691">
        <v>4.0000000000000001E-3</v>
      </c>
      <c r="H3708" s="718">
        <v>0.5625</v>
      </c>
      <c r="I3708" s="1246"/>
      <c r="J3708" s="1246"/>
      <c r="K3708" s="1247"/>
      <c r="L3708" s="679">
        <v>0.79166666666666663</v>
      </c>
      <c r="M3708" s="667"/>
    </row>
    <row r="3709" spans="2:13">
      <c r="C3709" s="660"/>
      <c r="D3709" s="717">
        <v>45638</v>
      </c>
      <c r="E3709" s="691">
        <v>4.0000000000000001E-3</v>
      </c>
      <c r="F3709" s="691" t="s">
        <v>460</v>
      </c>
      <c r="G3709" s="691">
        <v>3.0000000000000001E-3</v>
      </c>
      <c r="H3709" s="718">
        <v>0.5625</v>
      </c>
      <c r="I3709" s="1246"/>
      <c r="J3709" s="1246"/>
      <c r="K3709" s="1247"/>
      <c r="L3709" s="679">
        <v>0.79166666666666663</v>
      </c>
      <c r="M3709" s="667"/>
    </row>
    <row r="3710" spans="2:13">
      <c r="C3710" s="660"/>
      <c r="D3710" s="717">
        <v>45610</v>
      </c>
      <c r="E3710" s="691">
        <v>2E-3</v>
      </c>
      <c r="F3710" s="691" t="s">
        <v>460</v>
      </c>
      <c r="G3710" s="691">
        <v>1E-3</v>
      </c>
      <c r="H3710" s="718">
        <v>0.5625</v>
      </c>
      <c r="I3710" s="1246"/>
      <c r="J3710" s="1246"/>
      <c r="K3710" s="1247"/>
      <c r="L3710" s="679">
        <v>0.79166666666666663</v>
      </c>
      <c r="M3710" s="667"/>
    </row>
    <row r="3711" spans="2:13" ht="17" thickBot="1">
      <c r="C3711" s="660"/>
      <c r="D3711" s="717">
        <v>45576</v>
      </c>
      <c r="E3711" s="691">
        <v>0</v>
      </c>
      <c r="F3711" s="691" t="s">
        <v>462</v>
      </c>
      <c r="G3711" s="691">
        <v>2E-3</v>
      </c>
      <c r="H3711" s="718">
        <v>0.52083333333333337</v>
      </c>
      <c r="I3711" s="1249"/>
      <c r="J3711" s="1249"/>
      <c r="K3711" s="1250"/>
      <c r="L3711" s="679">
        <v>0.75</v>
      </c>
      <c r="M3711" s="682"/>
    </row>
    <row r="3712" spans="2:13" ht="17" thickBot="1">
      <c r="B3712" s="90" t="s">
        <v>105</v>
      </c>
      <c r="C3712" s="660">
        <v>1</v>
      </c>
      <c r="D3712" s="671" t="s">
        <v>30</v>
      </c>
      <c r="E3712" s="1252" t="s">
        <v>1930</v>
      </c>
      <c r="F3712" s="1253"/>
      <c r="G3712" s="1254"/>
      <c r="H3712" s="712" t="s">
        <v>790</v>
      </c>
      <c r="I3712" s="1256" t="s">
        <v>633</v>
      </c>
      <c r="J3712" s="1256"/>
      <c r="K3712" s="1257"/>
      <c r="L3712" s="674" t="s">
        <v>430</v>
      </c>
      <c r="M3712" s="713" t="s">
        <v>431</v>
      </c>
    </row>
    <row r="3713" spans="3:13">
      <c r="C3713" s="660"/>
      <c r="D3713" s="663" t="s">
        <v>432</v>
      </c>
      <c r="E3713" s="1266"/>
      <c r="F3713" s="1267"/>
      <c r="G3713" s="1268"/>
      <c r="H3713" s="714" t="s">
        <v>1132</v>
      </c>
      <c r="I3713" s="1243" t="s">
        <v>1931</v>
      </c>
      <c r="J3713" s="1243"/>
      <c r="K3713" s="1244"/>
      <c r="L3713" s="664"/>
      <c r="M3713" s="665" t="s">
        <v>1930</v>
      </c>
    </row>
    <row r="3714" spans="3:13">
      <c r="C3714" s="660"/>
      <c r="D3714" s="666" t="s">
        <v>433</v>
      </c>
      <c r="E3714" s="1269"/>
      <c r="F3714" s="1270"/>
      <c r="G3714" s="1271"/>
      <c r="H3714" s="715" t="s">
        <v>1133</v>
      </c>
      <c r="I3714" s="1246"/>
      <c r="J3714" s="1246"/>
      <c r="K3714" s="1247"/>
      <c r="L3714" s="664"/>
      <c r="M3714" s="667"/>
    </row>
    <row r="3715" spans="3:13">
      <c r="C3715" s="660"/>
      <c r="D3715" s="666" t="s">
        <v>434</v>
      </c>
      <c r="E3715" s="1272">
        <v>5.3999999999999999E-2</v>
      </c>
      <c r="F3715" s="1273"/>
      <c r="G3715" s="1274"/>
      <c r="H3715" s="715"/>
      <c r="I3715" s="1246"/>
      <c r="J3715" s="1246"/>
      <c r="K3715" s="1247"/>
      <c r="L3715" s="664"/>
      <c r="M3715" s="667"/>
    </row>
    <row r="3716" spans="3:13" ht="17" thickBot="1">
      <c r="C3716" s="660"/>
      <c r="D3716" s="668" t="s">
        <v>435</v>
      </c>
      <c r="E3716" s="1275">
        <v>8.3333333333333343E-2</v>
      </c>
      <c r="F3716" s="1276"/>
      <c r="G3716" s="1277"/>
      <c r="H3716" s="716"/>
      <c r="I3716" s="1246"/>
      <c r="J3716" s="1246"/>
      <c r="K3716" s="1247"/>
      <c r="L3716" s="669">
        <v>0.3125</v>
      </c>
      <c r="M3716" s="670">
        <v>0.20833333333333331</v>
      </c>
    </row>
    <row r="3717" spans="3:13" ht="17" thickBot="1">
      <c r="C3717" s="660"/>
      <c r="D3717" s="671" t="s">
        <v>436</v>
      </c>
      <c r="E3717" s="672" t="s">
        <v>29</v>
      </c>
      <c r="F3717" s="672" t="s">
        <v>28</v>
      </c>
      <c r="G3717" s="673" t="s">
        <v>27</v>
      </c>
      <c r="H3717" s="712" t="s">
        <v>793</v>
      </c>
      <c r="I3717" s="1246"/>
      <c r="J3717" s="1246"/>
      <c r="K3717" s="1247"/>
      <c r="L3717" s="675" t="s">
        <v>1246</v>
      </c>
      <c r="M3717" s="676"/>
    </row>
    <row r="3718" spans="3:13">
      <c r="C3718" s="660"/>
      <c r="D3718" s="717">
        <v>45674</v>
      </c>
      <c r="E3718" s="720">
        <v>5.3999999999999999E-2</v>
      </c>
      <c r="F3718" s="720">
        <v>0.05</v>
      </c>
      <c r="G3718" s="720">
        <v>4.5999999999999999E-2</v>
      </c>
      <c r="H3718" s="718">
        <v>8.3333333333333343E-2</v>
      </c>
      <c r="I3718" s="1246"/>
      <c r="J3718" s="1246"/>
      <c r="K3718" s="1247"/>
      <c r="L3718" s="679">
        <v>0.3125</v>
      </c>
      <c r="M3718" s="680"/>
    </row>
    <row r="3719" spans="3:13">
      <c r="C3719" s="660"/>
      <c r="D3719" s="717">
        <v>45583</v>
      </c>
      <c r="E3719" s="720">
        <v>4.5999999999999999E-2</v>
      </c>
      <c r="F3719" s="720">
        <v>4.5999999999999999E-2</v>
      </c>
      <c r="G3719" s="720">
        <v>4.7E-2</v>
      </c>
      <c r="H3719" s="718">
        <v>8.3333333333333343E-2</v>
      </c>
      <c r="I3719" s="1246"/>
      <c r="J3719" s="1246"/>
      <c r="K3719" s="1247"/>
      <c r="L3719" s="679">
        <v>0.3125</v>
      </c>
      <c r="M3719" s="681"/>
    </row>
    <row r="3720" spans="3:13">
      <c r="C3720" s="660"/>
      <c r="D3720" s="717">
        <v>45488</v>
      </c>
      <c r="E3720" s="720">
        <v>4.7E-2</v>
      </c>
      <c r="F3720" s="720">
        <v>5.0999999999999997E-2</v>
      </c>
      <c r="G3720" s="720">
        <v>5.2999999999999999E-2</v>
      </c>
      <c r="H3720" s="718">
        <v>8.3333333333333343E-2</v>
      </c>
      <c r="I3720" s="1246"/>
      <c r="J3720" s="1246"/>
      <c r="K3720" s="1247"/>
      <c r="L3720" s="679">
        <v>0.3125</v>
      </c>
      <c r="M3720" s="667"/>
    </row>
    <row r="3721" spans="3:13">
      <c r="C3721" s="660"/>
      <c r="D3721" s="717">
        <v>45398</v>
      </c>
      <c r="E3721" s="720">
        <v>5.2999999999999999E-2</v>
      </c>
      <c r="F3721" s="720">
        <v>4.8000000000000001E-2</v>
      </c>
      <c r="G3721" s="720">
        <v>5.1999999999999998E-2</v>
      </c>
      <c r="H3721" s="718">
        <v>8.3333333333333343E-2</v>
      </c>
      <c r="I3721" s="1246"/>
      <c r="J3721" s="1246"/>
      <c r="K3721" s="1247"/>
      <c r="L3721" s="679">
        <v>0.3125</v>
      </c>
      <c r="M3721" s="667"/>
    </row>
    <row r="3722" spans="3:13">
      <c r="C3722" s="660"/>
      <c r="D3722" s="717">
        <v>45308</v>
      </c>
      <c r="E3722" s="720">
        <v>5.1999999999999998E-2</v>
      </c>
      <c r="F3722" s="720">
        <v>5.2999999999999999E-2</v>
      </c>
      <c r="G3722" s="720">
        <v>4.9000000000000002E-2</v>
      </c>
      <c r="H3722" s="718">
        <v>8.3333333333333343E-2</v>
      </c>
      <c r="I3722" s="1246"/>
      <c r="J3722" s="1246"/>
      <c r="K3722" s="1247"/>
      <c r="L3722" s="679">
        <v>0.3125</v>
      </c>
      <c r="M3722" s="667"/>
    </row>
    <row r="3723" spans="3:13" ht="17" thickBot="1">
      <c r="C3723" s="660"/>
      <c r="D3723" s="717">
        <v>45217</v>
      </c>
      <c r="E3723" s="720">
        <v>4.9000000000000002E-2</v>
      </c>
      <c r="F3723" s="720">
        <v>4.3999999999999997E-2</v>
      </c>
      <c r="G3723" s="720">
        <v>6.3E-2</v>
      </c>
      <c r="H3723" s="718">
        <v>8.3333333333333343E-2</v>
      </c>
      <c r="I3723" s="1249"/>
      <c r="J3723" s="1249"/>
      <c r="K3723" s="1250"/>
      <c r="L3723" s="679">
        <v>0.3125</v>
      </c>
      <c r="M3723" s="682"/>
    </row>
    <row r="3724" spans="3:13" ht="17" thickBot="1">
      <c r="C3724" s="660">
        <v>1</v>
      </c>
      <c r="D3724" s="671" t="s">
        <v>30</v>
      </c>
      <c r="E3724" s="1252" t="s">
        <v>1932</v>
      </c>
      <c r="F3724" s="1253"/>
      <c r="G3724" s="1254"/>
      <c r="H3724" s="712" t="s">
        <v>790</v>
      </c>
      <c r="I3724" s="1256" t="s">
        <v>633</v>
      </c>
      <c r="J3724" s="1256"/>
      <c r="K3724" s="1257"/>
      <c r="L3724" s="674" t="s">
        <v>430</v>
      </c>
      <c r="M3724" s="713" t="s">
        <v>431</v>
      </c>
    </row>
    <row r="3725" spans="3:13">
      <c r="C3725" s="660"/>
      <c r="D3725" s="663" t="s">
        <v>432</v>
      </c>
      <c r="E3725" s="1266"/>
      <c r="F3725" s="1267"/>
      <c r="G3725" s="1268"/>
      <c r="H3725" s="714" t="s">
        <v>947</v>
      </c>
      <c r="I3725" s="1243" t="s">
        <v>1933</v>
      </c>
      <c r="J3725" s="1243"/>
      <c r="K3725" s="1244"/>
      <c r="L3725" s="664"/>
      <c r="M3725" s="665" t="s">
        <v>1932</v>
      </c>
    </row>
    <row r="3726" spans="3:13">
      <c r="C3726" s="660"/>
      <c r="D3726" s="666" t="s">
        <v>433</v>
      </c>
      <c r="E3726" s="1269"/>
      <c r="F3726" s="1270"/>
      <c r="G3726" s="1271"/>
      <c r="H3726" s="715" t="s">
        <v>908</v>
      </c>
      <c r="I3726" s="1246"/>
      <c r="J3726" s="1246"/>
      <c r="K3726" s="1247"/>
      <c r="L3726" s="664"/>
      <c r="M3726" s="667"/>
    </row>
    <row r="3727" spans="3:13">
      <c r="C3727" s="660"/>
      <c r="D3727" s="666" t="s">
        <v>434</v>
      </c>
      <c r="E3727" s="1272">
        <v>2.8000000000000001E-2</v>
      </c>
      <c r="F3727" s="1273"/>
      <c r="G3727" s="1274"/>
      <c r="H3727" s="715"/>
      <c r="I3727" s="1246"/>
      <c r="J3727" s="1246"/>
      <c r="K3727" s="1247"/>
      <c r="L3727" s="664"/>
      <c r="M3727" s="667"/>
    </row>
    <row r="3728" spans="3:13" ht="17" thickBot="1">
      <c r="C3728" s="660"/>
      <c r="D3728" s="668" t="s">
        <v>435</v>
      </c>
      <c r="E3728" s="1275">
        <v>0.25</v>
      </c>
      <c r="F3728" s="1276"/>
      <c r="G3728" s="1277"/>
      <c r="H3728" s="716"/>
      <c r="I3728" s="1246"/>
      <c r="J3728" s="1246"/>
      <c r="K3728" s="1247"/>
      <c r="L3728" s="669">
        <v>0.47916666666666669</v>
      </c>
      <c r="M3728" s="670">
        <v>0.375</v>
      </c>
    </row>
    <row r="3729" spans="3:13" ht="17" thickBot="1">
      <c r="C3729" s="660"/>
      <c r="D3729" s="671" t="s">
        <v>436</v>
      </c>
      <c r="E3729" s="672" t="s">
        <v>29</v>
      </c>
      <c r="F3729" s="672" t="s">
        <v>28</v>
      </c>
      <c r="G3729" s="673" t="s">
        <v>27</v>
      </c>
      <c r="H3729" s="712" t="s">
        <v>793</v>
      </c>
      <c r="I3729" s="1246"/>
      <c r="J3729" s="1246"/>
      <c r="K3729" s="1247"/>
      <c r="L3729" s="675" t="s">
        <v>1246</v>
      </c>
      <c r="M3729" s="676"/>
    </row>
    <row r="3730" spans="3:13">
      <c r="C3730" s="660"/>
      <c r="D3730" s="717">
        <v>45742</v>
      </c>
      <c r="E3730" s="720">
        <v>2.8000000000000001E-2</v>
      </c>
      <c r="F3730" s="720">
        <v>0.03</v>
      </c>
      <c r="G3730" s="720">
        <v>0.03</v>
      </c>
      <c r="H3730" s="718">
        <v>0.29166666666666674</v>
      </c>
      <c r="I3730" s="1246"/>
      <c r="J3730" s="1246"/>
      <c r="K3730" s="1247"/>
      <c r="L3730" s="679">
        <v>0.52083333333333337</v>
      </c>
      <c r="M3730" s="680"/>
    </row>
    <row r="3731" spans="3:13">
      <c r="C3731" s="660"/>
      <c r="D3731" s="717">
        <v>45707</v>
      </c>
      <c r="E3731" s="720">
        <v>0.03</v>
      </c>
      <c r="F3731" s="720">
        <v>2.8000000000000001E-2</v>
      </c>
      <c r="G3731" s="720">
        <v>2.5000000000000001E-2</v>
      </c>
      <c r="H3731" s="718">
        <v>0.29166666666666674</v>
      </c>
      <c r="I3731" s="1246"/>
      <c r="J3731" s="1246"/>
      <c r="K3731" s="1247"/>
      <c r="L3731" s="679">
        <v>0.52083333333333337</v>
      </c>
      <c r="M3731" s="681"/>
    </row>
    <row r="3732" spans="3:13">
      <c r="C3732" s="660"/>
      <c r="D3732" s="717">
        <v>45672</v>
      </c>
      <c r="E3732" s="720">
        <v>2.5000000000000001E-2</v>
      </c>
      <c r="F3732" s="720">
        <v>2.5999999999999999E-2</v>
      </c>
      <c r="G3732" s="720">
        <v>2.5999999999999999E-2</v>
      </c>
      <c r="H3732" s="718">
        <v>0.29166666666666674</v>
      </c>
      <c r="I3732" s="1246"/>
      <c r="J3732" s="1246"/>
      <c r="K3732" s="1247"/>
      <c r="L3732" s="679">
        <v>0.52083333333333337</v>
      </c>
      <c r="M3732" s="667"/>
    </row>
    <row r="3733" spans="3:13">
      <c r="C3733" s="660"/>
      <c r="D3733" s="717">
        <v>45644</v>
      </c>
      <c r="E3733" s="720">
        <v>2.5999999999999999E-2</v>
      </c>
      <c r="F3733" s="720">
        <v>2.5999999999999999E-2</v>
      </c>
      <c r="G3733" s="720">
        <v>2.3E-2</v>
      </c>
      <c r="H3733" s="718">
        <v>0.29166666666666674</v>
      </c>
      <c r="I3733" s="1246"/>
      <c r="J3733" s="1246"/>
      <c r="K3733" s="1247"/>
      <c r="L3733" s="679">
        <v>0.52083333333333337</v>
      </c>
      <c r="M3733" s="667"/>
    </row>
    <row r="3734" spans="3:13">
      <c r="C3734" s="660"/>
      <c r="D3734" s="717">
        <v>45616</v>
      </c>
      <c r="E3734" s="720">
        <v>2.3E-2</v>
      </c>
      <c r="F3734" s="720">
        <v>2.1999999999999999E-2</v>
      </c>
      <c r="G3734" s="720">
        <v>1.7000000000000001E-2</v>
      </c>
      <c r="H3734" s="718">
        <v>0.29166666666666674</v>
      </c>
      <c r="I3734" s="1246"/>
      <c r="J3734" s="1246"/>
      <c r="K3734" s="1247"/>
      <c r="L3734" s="679">
        <v>0.52083333333333337</v>
      </c>
      <c r="M3734" s="667"/>
    </row>
    <row r="3735" spans="3:13" ht="17" thickBot="1">
      <c r="C3735" s="660"/>
      <c r="D3735" s="717">
        <v>45581</v>
      </c>
      <c r="E3735" s="720">
        <v>1.7000000000000001E-2</v>
      </c>
      <c r="F3735" s="720">
        <v>1.9E-2</v>
      </c>
      <c r="G3735" s="720">
        <v>2.1999999999999999E-2</v>
      </c>
      <c r="H3735" s="718">
        <v>0.25</v>
      </c>
      <c r="I3735" s="1249"/>
      <c r="J3735" s="1249"/>
      <c r="K3735" s="1250"/>
      <c r="L3735" s="679">
        <v>0.47916666666666669</v>
      </c>
      <c r="M3735" s="682"/>
    </row>
    <row r="3736" spans="3:13" ht="17" thickBot="1">
      <c r="C3736" s="660">
        <v>1</v>
      </c>
      <c r="D3736" s="671" t="s">
        <v>30</v>
      </c>
      <c r="E3736" s="1252" t="s">
        <v>1934</v>
      </c>
      <c r="F3736" s="1253"/>
      <c r="G3736" s="1254"/>
      <c r="H3736" s="712" t="s">
        <v>790</v>
      </c>
      <c r="I3736" s="1256" t="s">
        <v>633</v>
      </c>
      <c r="J3736" s="1256"/>
      <c r="K3736" s="1257"/>
      <c r="L3736" s="674" t="s">
        <v>430</v>
      </c>
      <c r="M3736" s="713" t="s">
        <v>431</v>
      </c>
    </row>
    <row r="3737" spans="3:13">
      <c r="C3737" s="660"/>
      <c r="D3737" s="663" t="s">
        <v>432</v>
      </c>
      <c r="E3737" s="1266"/>
      <c r="F3737" s="1267"/>
      <c r="G3737" s="1268"/>
      <c r="H3737" s="714" t="s">
        <v>909</v>
      </c>
      <c r="I3737" s="1243" t="s">
        <v>1935</v>
      </c>
      <c r="J3737" s="1243"/>
      <c r="K3737" s="1244"/>
      <c r="L3737" s="664"/>
      <c r="M3737" s="665" t="s">
        <v>1934</v>
      </c>
    </row>
    <row r="3738" spans="3:13">
      <c r="C3738" s="660"/>
      <c r="D3738" s="666" t="s">
        <v>433</v>
      </c>
      <c r="E3738" s="1269"/>
      <c r="F3738" s="1270"/>
      <c r="G3738" s="1271"/>
      <c r="H3738" s="715" t="s">
        <v>910</v>
      </c>
      <c r="I3738" s="1246"/>
      <c r="J3738" s="1246"/>
      <c r="K3738" s="1247"/>
      <c r="L3738" s="664"/>
      <c r="M3738" s="667"/>
    </row>
    <row r="3739" spans="3:13">
      <c r="C3739" s="660"/>
      <c r="D3739" s="666" t="s">
        <v>434</v>
      </c>
      <c r="E3739" s="1272">
        <v>2.1999999999999999E-2</v>
      </c>
      <c r="F3739" s="1273"/>
      <c r="G3739" s="1274"/>
      <c r="H3739" s="715"/>
      <c r="I3739" s="1246"/>
      <c r="J3739" s="1246"/>
      <c r="K3739" s="1247"/>
      <c r="L3739" s="664"/>
      <c r="M3739" s="667"/>
    </row>
    <row r="3740" spans="3:13" ht="17" thickBot="1">
      <c r="C3740" s="660"/>
      <c r="D3740" s="668" t="s">
        <v>435</v>
      </c>
      <c r="E3740" s="1275">
        <v>0.375</v>
      </c>
      <c r="F3740" s="1276"/>
      <c r="G3740" s="1277"/>
      <c r="H3740" s="716"/>
      <c r="I3740" s="1246"/>
      <c r="J3740" s="1246"/>
      <c r="K3740" s="1247"/>
      <c r="L3740" s="669">
        <v>0.60416666666666663</v>
      </c>
      <c r="M3740" s="670">
        <v>0.49999999999999994</v>
      </c>
    </row>
    <row r="3741" spans="3:13" ht="17" thickBot="1">
      <c r="C3741" s="660"/>
      <c r="D3741" s="671" t="s">
        <v>436</v>
      </c>
      <c r="E3741" s="672" t="s">
        <v>29</v>
      </c>
      <c r="F3741" s="672" t="s">
        <v>28</v>
      </c>
      <c r="G3741" s="673" t="s">
        <v>27</v>
      </c>
      <c r="H3741" s="712" t="s">
        <v>793</v>
      </c>
      <c r="I3741" s="1246"/>
      <c r="J3741" s="1246"/>
      <c r="K3741" s="1247"/>
      <c r="L3741" s="675" t="s">
        <v>1246</v>
      </c>
      <c r="M3741" s="676"/>
    </row>
    <row r="3742" spans="3:13">
      <c r="C3742" s="660"/>
      <c r="D3742" s="717">
        <v>45748</v>
      </c>
      <c r="E3742" s="720">
        <v>2.1999999999999999E-2</v>
      </c>
      <c r="F3742" s="720">
        <v>2.1999999999999999E-2</v>
      </c>
      <c r="G3742" s="720">
        <v>2.3E-2</v>
      </c>
      <c r="H3742" s="718">
        <v>0.375</v>
      </c>
      <c r="I3742" s="1246"/>
      <c r="J3742" s="1246"/>
      <c r="K3742" s="1247"/>
      <c r="L3742" s="679">
        <v>0.60416666666666663</v>
      </c>
      <c r="M3742" s="680"/>
    </row>
    <row r="3743" spans="3:13">
      <c r="C3743" s="660"/>
      <c r="D3743" s="717">
        <v>45735</v>
      </c>
      <c r="E3743" s="720">
        <v>2.3E-2</v>
      </c>
      <c r="F3743" s="720">
        <v>2.4E-2</v>
      </c>
      <c r="G3743" s="720">
        <v>2.5000000000000001E-2</v>
      </c>
      <c r="H3743" s="718">
        <v>0.41666666666666674</v>
      </c>
      <c r="I3743" s="1246"/>
      <c r="J3743" s="1246"/>
      <c r="K3743" s="1247"/>
      <c r="L3743" s="679">
        <v>0.64583333333333337</v>
      </c>
      <c r="M3743" s="681"/>
    </row>
    <row r="3744" spans="3:13">
      <c r="C3744" s="660"/>
      <c r="D3744" s="717">
        <v>45719</v>
      </c>
      <c r="E3744" s="720">
        <v>2.4E-2</v>
      </c>
      <c r="F3744" s="720">
        <v>2.3E-2</v>
      </c>
      <c r="G3744" s="720">
        <v>2.5000000000000001E-2</v>
      </c>
      <c r="H3744" s="718">
        <v>0.41666666666666674</v>
      </c>
      <c r="I3744" s="1246"/>
      <c r="J3744" s="1246"/>
      <c r="K3744" s="1247"/>
      <c r="L3744" s="679">
        <v>0.64583333333333337</v>
      </c>
      <c r="M3744" s="667"/>
    </row>
    <row r="3745" spans="3:13">
      <c r="C3745" s="660"/>
      <c r="D3745" s="717">
        <v>45712</v>
      </c>
      <c r="E3745" s="720">
        <v>2.5000000000000001E-2</v>
      </c>
      <c r="F3745" s="720">
        <v>2.5000000000000001E-2</v>
      </c>
      <c r="G3745" s="720">
        <v>2.4E-2</v>
      </c>
      <c r="H3745" s="718">
        <v>0.41666666666666674</v>
      </c>
      <c r="I3745" s="1246"/>
      <c r="J3745" s="1246"/>
      <c r="K3745" s="1247"/>
      <c r="L3745" s="679">
        <v>0.64583333333333337</v>
      </c>
      <c r="M3745" s="667"/>
    </row>
    <row r="3746" spans="3:13">
      <c r="C3746" s="660"/>
      <c r="D3746" s="717">
        <v>45691</v>
      </c>
      <c r="E3746" s="720">
        <v>2.5000000000000001E-2</v>
      </c>
      <c r="F3746" s="720">
        <v>2.4E-2</v>
      </c>
      <c r="G3746" s="720">
        <v>2.4E-2</v>
      </c>
      <c r="H3746" s="718">
        <v>0.41666666666666674</v>
      </c>
      <c r="I3746" s="1246"/>
      <c r="J3746" s="1246"/>
      <c r="K3746" s="1247"/>
      <c r="L3746" s="679">
        <v>0.64583333333333337</v>
      </c>
      <c r="M3746" s="667"/>
    </row>
    <row r="3747" spans="3:13" ht="17" thickBot="1">
      <c r="C3747" s="660"/>
      <c r="D3747" s="717">
        <v>45674</v>
      </c>
      <c r="E3747" s="720">
        <v>2.4E-2</v>
      </c>
      <c r="F3747" s="720">
        <v>2.4E-2</v>
      </c>
      <c r="G3747" s="720">
        <v>2.1999999999999999E-2</v>
      </c>
      <c r="H3747" s="718">
        <v>0.41666666666666674</v>
      </c>
      <c r="I3747" s="1249"/>
      <c r="J3747" s="1249"/>
      <c r="K3747" s="1250"/>
      <c r="L3747" s="679">
        <v>0.64583333333333337</v>
      </c>
      <c r="M3747" s="682"/>
    </row>
    <row r="3748" spans="3:13" ht="17" thickBot="1">
      <c r="C3748" s="660">
        <v>1</v>
      </c>
      <c r="D3748" s="671" t="s">
        <v>30</v>
      </c>
      <c r="E3748" s="1252" t="s">
        <v>1936</v>
      </c>
      <c r="F3748" s="1253"/>
      <c r="G3748" s="1254"/>
      <c r="H3748" s="712" t="s">
        <v>790</v>
      </c>
      <c r="I3748" s="1256" t="s">
        <v>633</v>
      </c>
      <c r="J3748" s="1256"/>
      <c r="K3748" s="1257"/>
      <c r="L3748" s="674" t="s">
        <v>430</v>
      </c>
      <c r="M3748" s="713" t="s">
        <v>431</v>
      </c>
    </row>
    <row r="3749" spans="3:13">
      <c r="C3749" s="660"/>
      <c r="D3749" s="663" t="s">
        <v>432</v>
      </c>
      <c r="E3749" s="1266"/>
      <c r="F3749" s="1267"/>
      <c r="G3749" s="1268"/>
      <c r="H3749" s="714" t="s">
        <v>794</v>
      </c>
      <c r="I3749" s="1243" t="s">
        <v>1937</v>
      </c>
      <c r="J3749" s="1243"/>
      <c r="K3749" s="1244"/>
      <c r="L3749" s="664"/>
      <c r="M3749" s="665" t="s">
        <v>1936</v>
      </c>
    </row>
    <row r="3750" spans="3:13">
      <c r="C3750" s="660"/>
      <c r="D3750" s="666" t="s">
        <v>433</v>
      </c>
      <c r="E3750" s="1269"/>
      <c r="F3750" s="1270"/>
      <c r="G3750" s="1271"/>
      <c r="H3750" s="715" t="s">
        <v>795</v>
      </c>
      <c r="I3750" s="1246"/>
      <c r="J3750" s="1246"/>
      <c r="K3750" s="1247"/>
      <c r="L3750" s="664"/>
      <c r="M3750" s="667"/>
    </row>
    <row r="3751" spans="3:13">
      <c r="C3751" s="660"/>
      <c r="D3751" s="666" t="s">
        <v>434</v>
      </c>
      <c r="E3751" s="1272">
        <v>3.0000000000000001E-3</v>
      </c>
      <c r="F3751" s="1273"/>
      <c r="G3751" s="1274"/>
      <c r="H3751" s="715"/>
      <c r="I3751" s="1246"/>
      <c r="J3751" s="1246"/>
      <c r="K3751" s="1247"/>
      <c r="L3751" s="664"/>
      <c r="M3751" s="667"/>
    </row>
    <row r="3752" spans="3:13" ht="17" thickBot="1">
      <c r="C3752" s="660"/>
      <c r="D3752" s="668" t="s">
        <v>435</v>
      </c>
      <c r="E3752" s="1275">
        <v>0.52083333333333337</v>
      </c>
      <c r="F3752" s="1276"/>
      <c r="G3752" s="1277"/>
      <c r="H3752" s="716"/>
      <c r="I3752" s="1246"/>
      <c r="J3752" s="1246"/>
      <c r="K3752" s="1247"/>
      <c r="L3752" s="669">
        <v>0.75</v>
      </c>
      <c r="M3752" s="670">
        <v>0.60416666666666663</v>
      </c>
    </row>
    <row r="3753" spans="3:13" ht="17" thickBot="1">
      <c r="C3753" s="660"/>
      <c r="D3753" s="671" t="s">
        <v>436</v>
      </c>
      <c r="E3753" s="672" t="s">
        <v>29</v>
      </c>
      <c r="F3753" s="672" t="s">
        <v>28</v>
      </c>
      <c r="G3753" s="673" t="s">
        <v>27</v>
      </c>
      <c r="H3753" s="712" t="s">
        <v>793</v>
      </c>
      <c r="I3753" s="1246"/>
      <c r="J3753" s="1246"/>
      <c r="K3753" s="1247"/>
      <c r="L3753" s="675" t="s">
        <v>1246</v>
      </c>
      <c r="M3753" s="676"/>
    </row>
    <row r="3754" spans="3:13">
      <c r="C3754" s="660"/>
      <c r="D3754" s="717">
        <v>45733</v>
      </c>
      <c r="E3754" s="720">
        <v>3.0000000000000001E-3</v>
      </c>
      <c r="F3754" s="720">
        <v>3.0000000000000001E-3</v>
      </c>
      <c r="G3754" s="720">
        <v>-6.0000000000000001E-3</v>
      </c>
      <c r="H3754" s="718">
        <v>0.52083333333333337</v>
      </c>
      <c r="I3754" s="1246"/>
      <c r="J3754" s="1246"/>
      <c r="K3754" s="1247"/>
      <c r="L3754" s="718">
        <v>0.75</v>
      </c>
      <c r="M3754" s="680"/>
    </row>
    <row r="3755" spans="3:13">
      <c r="C3755" s="660"/>
      <c r="D3755" s="717">
        <v>45702</v>
      </c>
      <c r="E3755" s="720">
        <v>-4.0000000000000001E-3</v>
      </c>
      <c r="F3755" s="720">
        <v>3.0000000000000001E-3</v>
      </c>
      <c r="G3755" s="720">
        <v>7.0000000000000001E-3</v>
      </c>
      <c r="H3755" s="718">
        <v>0.5625</v>
      </c>
      <c r="I3755" s="1246"/>
      <c r="J3755" s="1246"/>
      <c r="K3755" s="1247"/>
      <c r="L3755" s="718">
        <v>0.79166666666666663</v>
      </c>
      <c r="M3755" s="681"/>
    </row>
    <row r="3756" spans="3:13">
      <c r="C3756" s="660"/>
      <c r="D3756" s="717">
        <v>45673</v>
      </c>
      <c r="E3756" s="720">
        <v>4.0000000000000001E-3</v>
      </c>
      <c r="F3756" s="720">
        <v>5.0000000000000001E-3</v>
      </c>
      <c r="G3756" s="720">
        <v>2E-3</v>
      </c>
      <c r="H3756" s="718">
        <v>0.5625</v>
      </c>
      <c r="I3756" s="1246"/>
      <c r="J3756" s="1246"/>
      <c r="K3756" s="1247"/>
      <c r="L3756" s="718">
        <v>0.79166666666666663</v>
      </c>
      <c r="M3756" s="667"/>
    </row>
    <row r="3757" spans="3:13">
      <c r="C3757" s="660"/>
      <c r="D3757" s="717">
        <v>45643</v>
      </c>
      <c r="E3757" s="720">
        <v>2E-3</v>
      </c>
      <c r="F3757" s="720">
        <v>4.0000000000000001E-3</v>
      </c>
      <c r="G3757" s="720">
        <v>2E-3</v>
      </c>
      <c r="H3757" s="718">
        <v>0.5625</v>
      </c>
      <c r="I3757" s="1246"/>
      <c r="J3757" s="1246"/>
      <c r="K3757" s="1247"/>
      <c r="L3757" s="718">
        <v>0.79166666666666663</v>
      </c>
      <c r="M3757" s="667"/>
    </row>
    <row r="3758" spans="3:13">
      <c r="C3758" s="660"/>
      <c r="D3758" s="717">
        <v>45611</v>
      </c>
      <c r="E3758" s="720">
        <v>1E-3</v>
      </c>
      <c r="F3758" s="720">
        <v>3.0000000000000001E-3</v>
      </c>
      <c r="G3758" s="720">
        <v>0.01</v>
      </c>
      <c r="H3758" s="718">
        <v>0.5625</v>
      </c>
      <c r="I3758" s="1246"/>
      <c r="J3758" s="1246"/>
      <c r="K3758" s="1247"/>
      <c r="L3758" s="718">
        <v>0.79166666666666663</v>
      </c>
      <c r="M3758" s="667"/>
    </row>
    <row r="3759" spans="3:13" ht="17" thickBot="1">
      <c r="C3759" s="660"/>
      <c r="D3759" s="717">
        <v>45582</v>
      </c>
      <c r="E3759" s="720">
        <v>5.0000000000000001E-3</v>
      </c>
      <c r="F3759" s="720">
        <v>1E-3</v>
      </c>
      <c r="G3759" s="720">
        <v>2E-3</v>
      </c>
      <c r="H3759" s="718">
        <v>0.52083333333333337</v>
      </c>
      <c r="I3759" s="1249"/>
      <c r="J3759" s="1249"/>
      <c r="K3759" s="1250"/>
      <c r="L3759" s="718">
        <v>0.75</v>
      </c>
      <c r="M3759" s="682"/>
    </row>
    <row r="3760" spans="3:13" ht="17" thickBot="1">
      <c r="C3760" s="660">
        <v>1</v>
      </c>
      <c r="D3760" s="671" t="s">
        <v>30</v>
      </c>
      <c r="E3760" s="1252" t="s">
        <v>1938</v>
      </c>
      <c r="F3760" s="1253"/>
      <c r="G3760" s="1254"/>
      <c r="H3760" s="712" t="s">
        <v>790</v>
      </c>
      <c r="I3760" s="1256" t="s">
        <v>633</v>
      </c>
      <c r="J3760" s="1256"/>
      <c r="K3760" s="1257"/>
      <c r="L3760" s="674" t="s">
        <v>430</v>
      </c>
      <c r="M3760" s="713" t="s">
        <v>431</v>
      </c>
    </row>
    <row r="3761" spans="3:13">
      <c r="C3761" s="660"/>
      <c r="D3761" s="663" t="s">
        <v>432</v>
      </c>
      <c r="E3761" s="1266"/>
      <c r="F3761" s="1267"/>
      <c r="G3761" s="1268"/>
      <c r="H3761" s="714" t="s">
        <v>794</v>
      </c>
      <c r="I3761" s="1243" t="s">
        <v>1939</v>
      </c>
      <c r="J3761" s="1243"/>
      <c r="K3761" s="1244"/>
      <c r="L3761" s="664"/>
      <c r="M3761" s="665" t="s">
        <v>1938</v>
      </c>
    </row>
    <row r="3762" spans="3:13">
      <c r="C3762" s="660"/>
      <c r="D3762" s="666" t="s">
        <v>433</v>
      </c>
      <c r="E3762" s="1269"/>
      <c r="F3762" s="1270"/>
      <c r="G3762" s="1271"/>
      <c r="H3762" s="715" t="s">
        <v>795</v>
      </c>
      <c r="I3762" s="1246"/>
      <c r="J3762" s="1246"/>
      <c r="K3762" s="1247"/>
      <c r="L3762" s="664"/>
      <c r="M3762" s="667"/>
    </row>
    <row r="3763" spans="3:13">
      <c r="C3763" s="660"/>
      <c r="D3763" s="666" t="s">
        <v>434</v>
      </c>
      <c r="E3763" s="1272">
        <v>2E-3</v>
      </c>
      <c r="F3763" s="1273"/>
      <c r="G3763" s="1274"/>
      <c r="H3763" s="715"/>
      <c r="I3763" s="1246"/>
      <c r="J3763" s="1246"/>
      <c r="K3763" s="1247"/>
      <c r="L3763" s="664"/>
      <c r="M3763" s="667"/>
    </row>
    <row r="3764" spans="3:13" ht="17" thickBot="1">
      <c r="C3764" s="660"/>
      <c r="D3764" s="668" t="s">
        <v>435</v>
      </c>
      <c r="E3764" s="1275">
        <v>0.52083333333333337</v>
      </c>
      <c r="F3764" s="1276"/>
      <c r="G3764" s="1277"/>
      <c r="H3764" s="716"/>
      <c r="I3764" s="1246"/>
      <c r="J3764" s="1246"/>
      <c r="K3764" s="1247"/>
      <c r="L3764" s="669">
        <v>0.75</v>
      </c>
      <c r="M3764" s="670">
        <v>0.64583333333333337</v>
      </c>
    </row>
    <row r="3765" spans="3:13" ht="17" thickBot="1">
      <c r="C3765" s="660"/>
      <c r="D3765" s="671" t="s">
        <v>436</v>
      </c>
      <c r="E3765" s="672" t="s">
        <v>29</v>
      </c>
      <c r="F3765" s="672" t="s">
        <v>28</v>
      </c>
      <c r="G3765" s="673" t="s">
        <v>27</v>
      </c>
      <c r="H3765" s="712" t="s">
        <v>793</v>
      </c>
      <c r="I3765" s="1246"/>
      <c r="J3765" s="1246"/>
      <c r="K3765" s="1247"/>
      <c r="L3765" s="675" t="s">
        <v>1246</v>
      </c>
      <c r="M3765" s="676"/>
    </row>
    <row r="3766" spans="3:13">
      <c r="C3766" s="660"/>
      <c r="D3766" s="717">
        <v>45733</v>
      </c>
      <c r="E3766" s="720">
        <v>2E-3</v>
      </c>
      <c r="F3766" s="720">
        <v>6.0000000000000001E-3</v>
      </c>
      <c r="G3766" s="720">
        <v>-1.2E-2</v>
      </c>
      <c r="H3766" s="718">
        <v>0.52083333333333337</v>
      </c>
      <c r="I3766" s="1246"/>
      <c r="J3766" s="1246"/>
      <c r="K3766" s="1247"/>
      <c r="L3766" s="718">
        <v>0.75</v>
      </c>
      <c r="M3766" s="680"/>
    </row>
    <row r="3767" spans="3:13">
      <c r="C3767" s="660"/>
      <c r="D3767" s="717">
        <v>45702</v>
      </c>
      <c r="E3767" s="720">
        <v>-8.9999999999999993E-3</v>
      </c>
      <c r="F3767" s="720">
        <v>-2E-3</v>
      </c>
      <c r="G3767" s="720">
        <v>7.0000000000000001E-3</v>
      </c>
      <c r="H3767" s="718">
        <v>0.5625</v>
      </c>
      <c r="I3767" s="1246"/>
      <c r="J3767" s="1246"/>
      <c r="K3767" s="1247"/>
      <c r="L3767" s="718">
        <v>0.79166666666666663</v>
      </c>
      <c r="M3767" s="681"/>
    </row>
    <row r="3768" spans="3:13">
      <c r="C3768" s="660"/>
      <c r="D3768" s="717">
        <v>45673</v>
      </c>
      <c r="E3768" s="720">
        <v>4.0000000000000001E-3</v>
      </c>
      <c r="F3768" s="720">
        <v>6.0000000000000001E-3</v>
      </c>
      <c r="G3768" s="720">
        <v>8.0000000000000002E-3</v>
      </c>
      <c r="H3768" s="718">
        <v>0.5625</v>
      </c>
      <c r="I3768" s="1246"/>
      <c r="J3768" s="1246"/>
      <c r="K3768" s="1247"/>
      <c r="L3768" s="718">
        <v>0.79166666666666663</v>
      </c>
      <c r="M3768" s="667"/>
    </row>
    <row r="3769" spans="3:13">
      <c r="C3769" s="660"/>
      <c r="D3769" s="717">
        <v>45643</v>
      </c>
      <c r="E3769" s="720">
        <v>7.0000000000000001E-3</v>
      </c>
      <c r="F3769" s="720">
        <v>6.0000000000000001E-3</v>
      </c>
      <c r="G3769" s="720">
        <v>5.0000000000000001E-3</v>
      </c>
      <c r="H3769" s="718">
        <v>0.5625</v>
      </c>
      <c r="I3769" s="1246"/>
      <c r="J3769" s="1246"/>
      <c r="K3769" s="1247"/>
      <c r="L3769" s="718">
        <v>0.79166666666666663</v>
      </c>
      <c r="M3769" s="667"/>
    </row>
    <row r="3770" spans="3:13">
      <c r="C3770" s="660"/>
      <c r="D3770" s="717">
        <v>45611</v>
      </c>
      <c r="E3770" s="720">
        <v>4.0000000000000001E-3</v>
      </c>
      <c r="F3770" s="720">
        <v>3.0000000000000001E-3</v>
      </c>
      <c r="G3770" s="720">
        <v>8.0000000000000002E-3</v>
      </c>
      <c r="H3770" s="718">
        <v>0.5625</v>
      </c>
      <c r="I3770" s="1246"/>
      <c r="J3770" s="1246"/>
      <c r="K3770" s="1247"/>
      <c r="L3770" s="718">
        <v>0.79166666666666663</v>
      </c>
      <c r="M3770" s="667"/>
    </row>
    <row r="3771" spans="3:13" ht="17" thickBot="1">
      <c r="C3771" s="660"/>
      <c r="D3771" s="717">
        <v>45582</v>
      </c>
      <c r="E3771" s="720">
        <v>4.0000000000000001E-3</v>
      </c>
      <c r="F3771" s="720">
        <v>3.0000000000000001E-3</v>
      </c>
      <c r="G3771" s="720">
        <v>1E-3</v>
      </c>
      <c r="H3771" s="718">
        <v>0.52083333333333337</v>
      </c>
      <c r="I3771" s="1249"/>
      <c r="J3771" s="1249"/>
      <c r="K3771" s="1250"/>
      <c r="L3771" s="718">
        <v>0.75</v>
      </c>
      <c r="M3771" s="682"/>
    </row>
    <row r="3772" spans="3:13" ht="17" thickBot="1">
      <c r="C3772" s="660">
        <v>1</v>
      </c>
      <c r="D3772" s="671" t="s">
        <v>30</v>
      </c>
      <c r="E3772" s="1252" t="s">
        <v>1501</v>
      </c>
      <c r="F3772" s="1253"/>
      <c r="G3772" s="1254"/>
      <c r="H3772" s="712" t="s">
        <v>790</v>
      </c>
      <c r="I3772" s="1256" t="s">
        <v>633</v>
      </c>
      <c r="J3772" s="1256"/>
      <c r="K3772" s="1257"/>
      <c r="L3772" s="674" t="s">
        <v>430</v>
      </c>
      <c r="M3772" s="713" t="s">
        <v>431</v>
      </c>
    </row>
    <row r="3773" spans="3:13">
      <c r="C3773" s="660"/>
      <c r="D3773" s="663" t="s">
        <v>432</v>
      </c>
      <c r="E3773" s="1266"/>
      <c r="F3773" s="1267"/>
      <c r="G3773" s="1268"/>
      <c r="H3773" s="714" t="s">
        <v>1056</v>
      </c>
      <c r="I3773" s="1243" t="s">
        <v>1940</v>
      </c>
      <c r="J3773" s="1243"/>
      <c r="K3773" s="1244"/>
      <c r="L3773" s="664"/>
      <c r="M3773" s="665" t="s">
        <v>1501</v>
      </c>
    </row>
    <row r="3774" spans="3:13">
      <c r="C3774" s="660"/>
      <c r="D3774" s="666" t="s">
        <v>433</v>
      </c>
      <c r="E3774" s="1269"/>
      <c r="F3774" s="1270"/>
      <c r="G3774" s="1271"/>
      <c r="H3774" s="715" t="s">
        <v>1057</v>
      </c>
      <c r="I3774" s="1246"/>
      <c r="J3774" s="1246"/>
      <c r="K3774" s="1247"/>
      <c r="L3774" s="664"/>
      <c r="M3774" s="667"/>
    </row>
    <row r="3775" spans="3:13">
      <c r="C3775" s="660"/>
      <c r="D3775" s="666" t="s">
        <v>434</v>
      </c>
      <c r="E3775" s="1272">
        <v>2.75E-2</v>
      </c>
      <c r="F3775" s="1273"/>
      <c r="G3775" s="1274"/>
      <c r="H3775" s="715"/>
      <c r="I3775" s="1246"/>
      <c r="J3775" s="1246"/>
      <c r="K3775" s="1247"/>
      <c r="L3775" s="664"/>
      <c r="M3775" s="667"/>
    </row>
    <row r="3776" spans="3:13" ht="17" thickBot="1">
      <c r="C3776" s="660"/>
      <c r="D3776" s="668" t="s">
        <v>435</v>
      </c>
      <c r="E3776" s="1275">
        <v>0.57291666666666674</v>
      </c>
      <c r="F3776" s="1276"/>
      <c r="G3776" s="1277"/>
      <c r="H3776" s="716"/>
      <c r="I3776" s="1246"/>
      <c r="J3776" s="1246"/>
      <c r="K3776" s="1247"/>
      <c r="L3776" s="669">
        <v>0.80208333333333337</v>
      </c>
      <c r="M3776" s="670">
        <v>0.69791666666666674</v>
      </c>
    </row>
    <row r="3777" spans="3:13" ht="17" thickBot="1">
      <c r="C3777" s="660"/>
      <c r="D3777" s="671" t="s">
        <v>436</v>
      </c>
      <c r="E3777" s="672" t="s">
        <v>29</v>
      </c>
      <c r="F3777" s="672" t="s">
        <v>28</v>
      </c>
      <c r="G3777" s="673" t="s">
        <v>27</v>
      </c>
      <c r="H3777" s="712" t="s">
        <v>793</v>
      </c>
      <c r="I3777" s="1246"/>
      <c r="J3777" s="1246"/>
      <c r="K3777" s="1247"/>
      <c r="L3777" s="675" t="s">
        <v>1246</v>
      </c>
      <c r="M3777" s="676"/>
    </row>
    <row r="3778" spans="3:13">
      <c r="C3778" s="660"/>
      <c r="D3778" s="717">
        <v>45728</v>
      </c>
      <c r="E3778" s="720">
        <v>2.75E-2</v>
      </c>
      <c r="F3778" s="720">
        <v>2.75E-2</v>
      </c>
      <c r="G3778" s="720">
        <v>0.03</v>
      </c>
      <c r="H3778" s="718">
        <v>0.72916666666666674</v>
      </c>
      <c r="I3778" s="1246"/>
      <c r="J3778" s="1246"/>
      <c r="K3778" s="1247"/>
      <c r="L3778" s="718">
        <v>0.83333333333333337</v>
      </c>
      <c r="M3778" s="680"/>
    </row>
    <row r="3779" spans="3:13">
      <c r="C3779" s="660"/>
      <c r="D3779" s="717">
        <v>45686</v>
      </c>
      <c r="E3779" s="720">
        <v>0.03</v>
      </c>
      <c r="F3779" s="720">
        <v>0.03</v>
      </c>
      <c r="G3779" s="720">
        <v>3.2500000000000001E-2</v>
      </c>
      <c r="H3779" s="718">
        <v>0.61458333333333337</v>
      </c>
      <c r="I3779" s="1246"/>
      <c r="J3779" s="1246"/>
      <c r="K3779" s="1247"/>
      <c r="L3779" s="718">
        <v>0.84375</v>
      </c>
      <c r="M3779" s="681"/>
    </row>
    <row r="3780" spans="3:13">
      <c r="C3780" s="660"/>
      <c r="D3780" s="717">
        <v>45637</v>
      </c>
      <c r="E3780" s="720">
        <v>3.2500000000000001E-2</v>
      </c>
      <c r="F3780" s="720">
        <v>3.2500000000000001E-2</v>
      </c>
      <c r="G3780" s="720">
        <v>3.7499999999999999E-2</v>
      </c>
      <c r="H3780" s="718">
        <v>0.61458333333333337</v>
      </c>
      <c r="I3780" s="1246"/>
      <c r="J3780" s="1246"/>
      <c r="K3780" s="1247"/>
      <c r="L3780" s="718">
        <v>0.84375</v>
      </c>
      <c r="M3780" s="667"/>
    </row>
    <row r="3781" spans="3:13">
      <c r="C3781" s="660"/>
      <c r="D3781" s="717">
        <v>45588</v>
      </c>
      <c r="E3781" s="720">
        <v>3.7499999999999999E-2</v>
      </c>
      <c r="F3781" s="720">
        <v>3.7499999999999999E-2</v>
      </c>
      <c r="G3781" s="720">
        <v>4.2500000000000003E-2</v>
      </c>
      <c r="H3781" s="718">
        <v>0.57291666666666674</v>
      </c>
      <c r="I3781" s="1246"/>
      <c r="J3781" s="1246"/>
      <c r="K3781" s="1247"/>
      <c r="L3781" s="718">
        <v>0.80208333333333337</v>
      </c>
      <c r="M3781" s="667"/>
    </row>
    <row r="3782" spans="3:13">
      <c r="C3782" s="660"/>
      <c r="D3782" s="717">
        <v>45539</v>
      </c>
      <c r="E3782" s="720">
        <v>4.2500000000000003E-2</v>
      </c>
      <c r="F3782" s="720">
        <v>4.2500000000000003E-2</v>
      </c>
      <c r="G3782" s="720">
        <v>4.4999999999999998E-2</v>
      </c>
      <c r="H3782" s="718">
        <v>0.57291666666666674</v>
      </c>
      <c r="I3782" s="1246"/>
      <c r="J3782" s="1246"/>
      <c r="K3782" s="1247"/>
      <c r="L3782" s="718">
        <v>0.80208333333333337</v>
      </c>
      <c r="M3782" s="667"/>
    </row>
    <row r="3783" spans="3:13" ht="17" thickBot="1">
      <c r="C3783" s="660"/>
      <c r="D3783" s="717">
        <v>45497</v>
      </c>
      <c r="E3783" s="720">
        <v>4.4999999999999998E-2</v>
      </c>
      <c r="F3783" s="720">
        <v>4.4999999999999998E-2</v>
      </c>
      <c r="G3783" s="720">
        <v>4.7500000000000001E-2</v>
      </c>
      <c r="H3783" s="718">
        <v>0.57291666666666674</v>
      </c>
      <c r="I3783" s="1249"/>
      <c r="J3783" s="1249"/>
      <c r="K3783" s="1250"/>
      <c r="L3783" s="718">
        <v>0.80208333333333337</v>
      </c>
      <c r="M3783" s="682"/>
    </row>
    <row r="3784" spans="3:13" ht="17" thickBot="1">
      <c r="C3784" s="660">
        <v>1</v>
      </c>
      <c r="D3784" s="671" t="s">
        <v>30</v>
      </c>
      <c r="E3784" s="1252" t="s">
        <v>1503</v>
      </c>
      <c r="F3784" s="1253"/>
      <c r="G3784" s="1254"/>
      <c r="H3784" s="712" t="s">
        <v>790</v>
      </c>
      <c r="I3784" s="1256" t="s">
        <v>633</v>
      </c>
      <c r="J3784" s="1256"/>
      <c r="K3784" s="1257"/>
      <c r="L3784" s="674" t="s">
        <v>430</v>
      </c>
      <c r="M3784" s="713" t="s">
        <v>431</v>
      </c>
    </row>
    <row r="3785" spans="3:13">
      <c r="C3785" s="660"/>
      <c r="D3785" s="663" t="s">
        <v>432</v>
      </c>
      <c r="E3785" s="1266"/>
      <c r="F3785" s="1267"/>
      <c r="G3785" s="1268"/>
      <c r="H3785" s="714" t="s">
        <v>796</v>
      </c>
      <c r="I3785" s="1243" t="s">
        <v>1678</v>
      </c>
      <c r="J3785" s="1243"/>
      <c r="K3785" s="1244"/>
      <c r="L3785" s="664"/>
      <c r="M3785" s="665" t="s">
        <v>1503</v>
      </c>
    </row>
    <row r="3786" spans="3:13">
      <c r="C3786" s="660"/>
      <c r="D3786" s="666" t="s">
        <v>433</v>
      </c>
      <c r="E3786" s="1269"/>
      <c r="F3786" s="1270"/>
      <c r="G3786" s="1271"/>
      <c r="H3786" s="714" t="s">
        <v>796</v>
      </c>
      <c r="I3786" s="1246"/>
      <c r="J3786" s="1246"/>
      <c r="K3786" s="1247"/>
      <c r="L3786" s="664"/>
      <c r="M3786" s="667"/>
    </row>
    <row r="3787" spans="3:13">
      <c r="C3787" s="660"/>
      <c r="D3787" s="666" t="s">
        <v>434</v>
      </c>
      <c r="E3787" s="1272" t="s">
        <v>1941</v>
      </c>
      <c r="F3787" s="1273"/>
      <c r="G3787" s="1274"/>
      <c r="H3787" s="715"/>
      <c r="I3787" s="1246"/>
      <c r="J3787" s="1246"/>
      <c r="K3787" s="1247"/>
      <c r="L3787" s="664"/>
      <c r="M3787" s="667"/>
    </row>
    <row r="3788" spans="3:13" ht="17" thickBot="1">
      <c r="C3788" s="660"/>
      <c r="D3788" s="668" t="s">
        <v>435</v>
      </c>
      <c r="E3788" s="1275">
        <v>0.60416666666666674</v>
      </c>
      <c r="F3788" s="1276"/>
      <c r="G3788" s="1277"/>
      <c r="H3788" s="716"/>
      <c r="I3788" s="1246"/>
      <c r="J3788" s="1246"/>
      <c r="K3788" s="1247"/>
      <c r="L3788" s="669">
        <v>0.83333333333333337</v>
      </c>
      <c r="M3788" s="670">
        <v>0.72916666666666674</v>
      </c>
    </row>
    <row r="3789" spans="3:13" ht="17" thickBot="1">
      <c r="C3789" s="660"/>
      <c r="D3789" s="671" t="s">
        <v>436</v>
      </c>
      <c r="E3789" s="672" t="s">
        <v>29</v>
      </c>
      <c r="F3789" s="672" t="s">
        <v>28</v>
      </c>
      <c r="G3789" s="673" t="s">
        <v>27</v>
      </c>
      <c r="H3789" s="712" t="s">
        <v>793</v>
      </c>
      <c r="I3789" s="1246"/>
      <c r="J3789" s="1246"/>
      <c r="K3789" s="1247"/>
      <c r="L3789" s="675" t="s">
        <v>1246</v>
      </c>
      <c r="M3789" s="676"/>
    </row>
    <row r="3790" spans="3:13">
      <c r="C3790" s="660"/>
      <c r="D3790" s="717">
        <v>45756</v>
      </c>
      <c r="E3790" s="720" t="s">
        <v>1957</v>
      </c>
      <c r="F3790" s="720" t="s">
        <v>1602</v>
      </c>
      <c r="G3790" s="720" t="s">
        <v>1899</v>
      </c>
      <c r="H3790" s="935">
        <v>0.72916666666666674</v>
      </c>
      <c r="I3790" s="1246"/>
      <c r="J3790" s="1246"/>
      <c r="K3790" s="1247"/>
      <c r="L3790" s="718">
        <v>0.83333333333333337</v>
      </c>
      <c r="M3790" s="680"/>
    </row>
    <row r="3791" spans="3:13">
      <c r="C3791" s="660"/>
      <c r="D3791" s="717">
        <v>45749</v>
      </c>
      <c r="E3791" s="720" t="s">
        <v>1899</v>
      </c>
      <c r="F3791" s="720" t="s">
        <v>1926</v>
      </c>
      <c r="G3791" s="720" t="s">
        <v>1840</v>
      </c>
      <c r="H3791" s="935">
        <v>0.72916666666666674</v>
      </c>
      <c r="I3791" s="1246"/>
      <c r="J3791" s="1246"/>
      <c r="K3791" s="1247"/>
      <c r="L3791" s="718">
        <v>0.83333333333333337</v>
      </c>
      <c r="M3791" s="681"/>
    </row>
    <row r="3792" spans="3:13">
      <c r="C3792" s="660"/>
      <c r="D3792" s="717">
        <v>45742</v>
      </c>
      <c r="E3792" s="720" t="s">
        <v>1840</v>
      </c>
      <c r="F3792" s="720" t="s">
        <v>991</v>
      </c>
      <c r="G3792" s="720" t="s">
        <v>1696</v>
      </c>
      <c r="H3792" s="935">
        <v>0.72916666666666674</v>
      </c>
      <c r="I3792" s="1246"/>
      <c r="J3792" s="1246"/>
      <c r="K3792" s="1247"/>
      <c r="L3792" s="718">
        <v>0.83333333333333337</v>
      </c>
      <c r="M3792" s="667"/>
    </row>
    <row r="3793" spans="3:13">
      <c r="C3793" s="660"/>
      <c r="D3793" s="717">
        <v>45735</v>
      </c>
      <c r="E3793" s="720" t="s">
        <v>1696</v>
      </c>
      <c r="F3793" s="720" t="s">
        <v>993</v>
      </c>
      <c r="G3793" s="720" t="s">
        <v>1697</v>
      </c>
      <c r="H3793" s="935">
        <v>0.6875</v>
      </c>
      <c r="I3793" s="1246"/>
      <c r="J3793" s="1246"/>
      <c r="K3793" s="1247"/>
      <c r="L3793" s="718">
        <v>0.79166666666666663</v>
      </c>
      <c r="M3793" s="667"/>
    </row>
    <row r="3794" spans="3:13">
      <c r="C3794" s="660"/>
      <c r="D3794" s="717">
        <v>45728</v>
      </c>
      <c r="E3794" s="720" t="s">
        <v>1697</v>
      </c>
      <c r="F3794" s="720" t="s">
        <v>1698</v>
      </c>
      <c r="G3794" s="720" t="s">
        <v>1699</v>
      </c>
      <c r="H3794" s="935">
        <v>0.6875</v>
      </c>
      <c r="I3794" s="1246"/>
      <c r="J3794" s="1246"/>
      <c r="K3794" s="1247"/>
      <c r="L3794" s="718">
        <v>0.79166666666666663</v>
      </c>
      <c r="M3794" s="667"/>
    </row>
    <row r="3795" spans="3:13" ht="17" thickBot="1">
      <c r="C3795" s="660"/>
      <c r="D3795" s="717">
        <v>45721</v>
      </c>
      <c r="E3795" s="720" t="s">
        <v>1699</v>
      </c>
      <c r="F3795" s="720" t="s">
        <v>1700</v>
      </c>
      <c r="G3795" s="720" t="s">
        <v>1701</v>
      </c>
      <c r="H3795" s="935">
        <v>0.77083333333333337</v>
      </c>
      <c r="I3795" s="1249"/>
      <c r="J3795" s="1249"/>
      <c r="K3795" s="1250"/>
      <c r="L3795" s="718">
        <v>0.875</v>
      </c>
      <c r="M3795" s="682"/>
    </row>
    <row r="3796" spans="3:13" ht="17" thickBot="1">
      <c r="C3796" s="660">
        <v>1</v>
      </c>
      <c r="D3796" s="671" t="s">
        <v>30</v>
      </c>
      <c r="E3796" s="1252" t="s">
        <v>1745</v>
      </c>
      <c r="F3796" s="1253"/>
      <c r="G3796" s="1254"/>
      <c r="H3796" s="712" t="s">
        <v>790</v>
      </c>
      <c r="I3796" s="1256" t="s">
        <v>633</v>
      </c>
      <c r="J3796" s="1256"/>
      <c r="K3796" s="1257"/>
      <c r="L3796" s="674" t="s">
        <v>430</v>
      </c>
      <c r="M3796" s="713" t="s">
        <v>431</v>
      </c>
    </row>
    <row r="3797" spans="3:13">
      <c r="C3797" s="660"/>
      <c r="D3797" s="663" t="s">
        <v>432</v>
      </c>
      <c r="E3797" s="1266"/>
      <c r="F3797" s="1267"/>
      <c r="G3797" s="1268"/>
      <c r="H3797" s="714" t="s">
        <v>794</v>
      </c>
      <c r="I3797" s="1243" t="s">
        <v>1942</v>
      </c>
      <c r="J3797" s="1243"/>
      <c r="K3797" s="1244"/>
      <c r="L3797" s="664"/>
      <c r="M3797" s="665" t="s">
        <v>1745</v>
      </c>
    </row>
    <row r="3798" spans="3:13">
      <c r="C3798" s="660"/>
      <c r="D3798" s="666" t="s">
        <v>433</v>
      </c>
      <c r="E3798" s="1269"/>
      <c r="F3798" s="1270"/>
      <c r="G3798" s="1271"/>
      <c r="H3798" s="715" t="s">
        <v>795</v>
      </c>
      <c r="I3798" s="1246"/>
      <c r="J3798" s="1246"/>
      <c r="K3798" s="1247"/>
      <c r="L3798" s="664"/>
      <c r="M3798" s="667"/>
    </row>
    <row r="3799" spans="3:13">
      <c r="C3799" s="660"/>
      <c r="D3799" s="666" t="s">
        <v>434</v>
      </c>
      <c r="E3799" s="1272">
        <v>0</v>
      </c>
      <c r="F3799" s="1273"/>
      <c r="G3799" s="1274"/>
      <c r="H3799" s="715"/>
      <c r="I3799" s="1246"/>
      <c r="J3799" s="1246"/>
      <c r="K3799" s="1247"/>
      <c r="L3799" s="664"/>
      <c r="M3799" s="667"/>
    </row>
    <row r="3800" spans="3:13" ht="17" thickBot="1">
      <c r="C3800" s="660"/>
      <c r="D3800" s="668" t="s">
        <v>435</v>
      </c>
      <c r="E3800" s="1275">
        <v>0.71875</v>
      </c>
      <c r="F3800" s="1276"/>
      <c r="G3800" s="1277"/>
      <c r="H3800" s="716"/>
      <c r="I3800" s="1246"/>
      <c r="J3800" s="1246"/>
      <c r="K3800" s="1247"/>
      <c r="L3800" s="669">
        <v>0.94791666666666663</v>
      </c>
      <c r="M3800" s="670">
        <v>0.84375</v>
      </c>
    </row>
    <row r="3801" spans="3:13" ht="17" thickBot="1">
      <c r="C3801" s="660"/>
      <c r="D3801" s="671" t="s">
        <v>436</v>
      </c>
      <c r="E3801" s="672" t="s">
        <v>29</v>
      </c>
      <c r="F3801" s="672" t="s">
        <v>28</v>
      </c>
      <c r="G3801" s="673" t="s">
        <v>27</v>
      </c>
      <c r="H3801" s="712" t="s">
        <v>793</v>
      </c>
      <c r="I3801" s="1246"/>
      <c r="J3801" s="1246"/>
      <c r="K3801" s="1247"/>
      <c r="L3801" s="675" t="s">
        <v>1246</v>
      </c>
      <c r="M3801" s="676"/>
    </row>
    <row r="3802" spans="3:13">
      <c r="C3802" s="660"/>
      <c r="D3802" s="717">
        <v>45763</v>
      </c>
      <c r="E3802" s="720"/>
      <c r="F3802" s="720"/>
      <c r="G3802" s="720"/>
      <c r="H3802" s="718">
        <v>0.71875</v>
      </c>
      <c r="I3802" s="1246"/>
      <c r="J3802" s="1246"/>
      <c r="K3802" s="1247"/>
      <c r="L3802" s="718">
        <v>0.94791666666666663</v>
      </c>
      <c r="M3802" s="680"/>
    </row>
    <row r="3803" spans="3:13">
      <c r="C3803" s="660"/>
      <c r="D3803" s="717">
        <v>45751</v>
      </c>
      <c r="E3803" s="720"/>
      <c r="F3803" s="720"/>
      <c r="G3803" s="720"/>
      <c r="H3803" s="718">
        <v>0.64236111111111116</v>
      </c>
      <c r="I3803" s="1246"/>
      <c r="J3803" s="1246"/>
      <c r="K3803" s="1247"/>
      <c r="L3803" s="718">
        <v>0.87152777777777779</v>
      </c>
      <c r="M3803" s="681"/>
    </row>
    <row r="3804" spans="3:13">
      <c r="C3804" s="660"/>
      <c r="D3804" s="717">
        <v>45723</v>
      </c>
      <c r="E3804" s="720"/>
      <c r="F3804" s="720"/>
      <c r="G3804" s="720"/>
      <c r="H3804" s="718">
        <v>0.72916666666666674</v>
      </c>
      <c r="I3804" s="1246"/>
      <c r="J3804" s="1246"/>
      <c r="K3804" s="1247"/>
      <c r="L3804" s="718">
        <v>0.95833333333333337</v>
      </c>
      <c r="M3804" s="667"/>
    </row>
    <row r="3805" spans="3:13">
      <c r="C3805" s="660"/>
      <c r="D3805" s="760">
        <v>45630</v>
      </c>
      <c r="E3805" s="720"/>
      <c r="F3805" s="720"/>
      <c r="G3805" s="720"/>
      <c r="H3805" s="718">
        <v>0.78125</v>
      </c>
      <c r="I3805" s="1246"/>
      <c r="J3805" s="1246"/>
      <c r="K3805" s="1247"/>
      <c r="L3805" s="718">
        <v>1.0416666666666666E-2</v>
      </c>
      <c r="M3805" s="667"/>
    </row>
    <row r="3806" spans="3:13">
      <c r="C3806" s="660"/>
      <c r="D3806" s="760">
        <v>45610</v>
      </c>
      <c r="E3806" s="720"/>
      <c r="F3806" s="720"/>
      <c r="G3806" s="720"/>
      <c r="H3806" s="718">
        <v>0.83333333333333337</v>
      </c>
      <c r="I3806" s="1246"/>
      <c r="J3806" s="1246"/>
      <c r="K3806" s="1247"/>
      <c r="L3806" s="718">
        <v>6.25E-2</v>
      </c>
      <c r="M3806" s="667"/>
    </row>
    <row r="3807" spans="3:13" ht="17" thickBot="1">
      <c r="C3807" s="660"/>
      <c r="D3807" s="717">
        <v>45565</v>
      </c>
      <c r="E3807" s="720"/>
      <c r="F3807" s="720"/>
      <c r="G3807" s="720"/>
      <c r="H3807" s="718">
        <v>0.73055555555555562</v>
      </c>
      <c r="I3807" s="1249"/>
      <c r="J3807" s="1249"/>
      <c r="K3807" s="1250"/>
      <c r="L3807" s="718">
        <v>0.95972222222222225</v>
      </c>
      <c r="M3807" s="682"/>
    </row>
    <row r="3808" spans="3:13" ht="17" thickBot="1">
      <c r="C3808" s="761">
        <v>1</v>
      </c>
      <c r="D3808" s="671" t="s">
        <v>30</v>
      </c>
      <c r="E3808" s="1252" t="s">
        <v>1946</v>
      </c>
      <c r="F3808" s="1253"/>
      <c r="G3808" s="1346"/>
      <c r="H3808" s="675" t="s">
        <v>790</v>
      </c>
      <c r="I3808" s="675" t="s">
        <v>430</v>
      </c>
      <c r="J3808" s="713" t="s">
        <v>431</v>
      </c>
      <c r="K3808" s="936" t="s">
        <v>105</v>
      </c>
      <c r="L3808" s="674" t="s">
        <v>430</v>
      </c>
      <c r="M3808" s="713" t="s">
        <v>431</v>
      </c>
    </row>
    <row r="3809" spans="3:13">
      <c r="C3809" s="761"/>
      <c r="D3809" s="663" t="s">
        <v>432</v>
      </c>
      <c r="E3809" s="1279"/>
      <c r="F3809" s="1280"/>
      <c r="G3809" s="1347"/>
      <c r="H3809" s="714" t="s">
        <v>909</v>
      </c>
      <c r="I3809" s="937"/>
      <c r="J3809" s="938" t="s">
        <v>1946</v>
      </c>
      <c r="K3809" s="936"/>
      <c r="L3809" s="664"/>
      <c r="M3809" s="665" t="s">
        <v>1946</v>
      </c>
    </row>
    <row r="3810" spans="3:13">
      <c r="C3810" s="761"/>
      <c r="D3810" s="663" t="s">
        <v>433</v>
      </c>
      <c r="E3810" s="1348"/>
      <c r="F3810" s="1349"/>
      <c r="G3810" s="1350"/>
      <c r="H3810" s="715" t="s">
        <v>910</v>
      </c>
      <c r="I3810" s="939"/>
      <c r="J3810" s="940"/>
      <c r="K3810" s="936"/>
      <c r="L3810" s="664"/>
      <c r="M3810" s="667"/>
    </row>
    <row r="3811" spans="3:13">
      <c r="C3811" s="761"/>
      <c r="D3811" s="663" t="s">
        <v>434</v>
      </c>
      <c r="E3811" s="1351">
        <v>2.5000000000000001E-2</v>
      </c>
      <c r="F3811" s="1352"/>
      <c r="G3811" s="1353"/>
      <c r="H3811" s="941"/>
      <c r="I3811" s="939"/>
      <c r="J3811" s="940"/>
      <c r="K3811" s="936"/>
      <c r="L3811" s="664"/>
      <c r="M3811" s="667"/>
    </row>
    <row r="3812" spans="3:13" ht="17" thickBot="1">
      <c r="C3812" s="761"/>
      <c r="D3812" s="762" t="s">
        <v>435</v>
      </c>
      <c r="E3812" s="1275">
        <v>0.51041666666666663</v>
      </c>
      <c r="F3812" s="1276"/>
      <c r="G3812" s="1354"/>
      <c r="H3812" s="942"/>
      <c r="I3812" s="943">
        <v>0.73958333333333337</v>
      </c>
      <c r="J3812" s="944">
        <v>0.63541666666666663</v>
      </c>
      <c r="K3812" s="936"/>
      <c r="L3812" s="669">
        <v>0.83333333333333337</v>
      </c>
      <c r="M3812" s="670"/>
    </row>
    <row r="3813" spans="3:13" ht="17" thickBot="1">
      <c r="C3813" s="761"/>
      <c r="D3813" s="671" t="s">
        <v>435</v>
      </c>
      <c r="E3813" s="763" t="s">
        <v>29</v>
      </c>
      <c r="F3813" s="763" t="s">
        <v>28</v>
      </c>
      <c r="G3813" s="764" t="s">
        <v>27</v>
      </c>
      <c r="H3813" s="675" t="s">
        <v>793</v>
      </c>
      <c r="I3813" s="675" t="s">
        <v>1246</v>
      </c>
      <c r="J3813" s="676"/>
      <c r="K3813" s="936"/>
      <c r="L3813" s="675" t="s">
        <v>1246</v>
      </c>
      <c r="M3813" s="676"/>
    </row>
    <row r="3814" spans="3:13">
      <c r="C3814" s="761"/>
      <c r="D3814" s="677">
        <v>45729</v>
      </c>
      <c r="E3814" s="765">
        <v>0</v>
      </c>
      <c r="F3814" s="765" t="s">
        <v>467</v>
      </c>
      <c r="G3814" s="765">
        <v>6.0000000000000001E-3</v>
      </c>
      <c r="H3814" s="945">
        <v>0.52083333333333337</v>
      </c>
      <c r="I3814" s="934">
        <v>0.75</v>
      </c>
      <c r="J3814" s="940"/>
      <c r="K3814" s="936"/>
      <c r="L3814" s="718">
        <v>0.78125</v>
      </c>
      <c r="M3814" s="680"/>
    </row>
    <row r="3815" spans="3:13">
      <c r="C3815" s="761"/>
      <c r="D3815" s="677">
        <v>45701</v>
      </c>
      <c r="E3815" s="765">
        <v>4.0000000000000001E-3</v>
      </c>
      <c r="F3815" s="765" t="s">
        <v>467</v>
      </c>
      <c r="G3815" s="765">
        <v>5.0000000000000001E-3</v>
      </c>
      <c r="H3815" s="946">
        <v>0.5625</v>
      </c>
      <c r="I3815" s="947">
        <v>0.79166666666666663</v>
      </c>
      <c r="J3815" s="948"/>
      <c r="K3815" s="936"/>
      <c r="L3815" s="718">
        <v>0.78125</v>
      </c>
      <c r="M3815" s="681"/>
    </row>
    <row r="3816" spans="3:13">
      <c r="C3816" s="761"/>
      <c r="D3816" s="677">
        <v>45671</v>
      </c>
      <c r="E3816" s="765">
        <v>2E-3</v>
      </c>
      <c r="F3816" s="765" t="s">
        <v>452</v>
      </c>
      <c r="G3816" s="765">
        <v>4.0000000000000001E-3</v>
      </c>
      <c r="H3816" s="946">
        <v>0.5625</v>
      </c>
      <c r="I3816" s="947">
        <v>0.79166666666666663</v>
      </c>
      <c r="J3816" s="940"/>
      <c r="K3816" s="936"/>
      <c r="L3816" s="718">
        <v>0.78125</v>
      </c>
      <c r="M3816" s="667"/>
    </row>
    <row r="3817" spans="3:13">
      <c r="C3817" s="761"/>
      <c r="D3817" s="677">
        <v>45638</v>
      </c>
      <c r="E3817" s="765">
        <v>4.0000000000000001E-3</v>
      </c>
      <c r="F3817" s="765" t="s">
        <v>460</v>
      </c>
      <c r="G3817" s="765">
        <v>3.0000000000000001E-3</v>
      </c>
      <c r="H3817" s="946">
        <v>0.5625</v>
      </c>
      <c r="I3817" s="947">
        <v>0.79166666666666663</v>
      </c>
      <c r="J3817" s="940"/>
      <c r="K3817" s="936"/>
      <c r="L3817" s="718">
        <v>0.73958333333333337</v>
      </c>
      <c r="M3817" s="667"/>
    </row>
    <row r="3818" spans="3:13">
      <c r="C3818" s="761"/>
      <c r="D3818" s="677">
        <v>45610</v>
      </c>
      <c r="E3818" s="765">
        <v>2E-3</v>
      </c>
      <c r="F3818" s="765" t="s">
        <v>460</v>
      </c>
      <c r="G3818" s="765">
        <v>1E-3</v>
      </c>
      <c r="H3818" s="946">
        <v>0.5625</v>
      </c>
      <c r="I3818" s="947">
        <v>0.79166666666666663</v>
      </c>
      <c r="J3818" s="940"/>
      <c r="K3818" s="936"/>
      <c r="L3818" s="718">
        <v>0.73958333333333337</v>
      </c>
      <c r="M3818" s="667"/>
    </row>
    <row r="3819" spans="3:13" ht="17" thickBot="1">
      <c r="C3819" s="761"/>
      <c r="D3819" s="677">
        <v>45576</v>
      </c>
      <c r="E3819" s="765">
        <v>0</v>
      </c>
      <c r="F3819" s="765" t="s">
        <v>462</v>
      </c>
      <c r="G3819" s="765">
        <v>2E-3</v>
      </c>
      <c r="H3819" s="946">
        <v>0.52083333333333337</v>
      </c>
      <c r="I3819" s="947">
        <v>0.75</v>
      </c>
      <c r="J3819" s="949"/>
      <c r="K3819" s="936"/>
      <c r="L3819" s="718">
        <v>0.73958333333333337</v>
      </c>
      <c r="M3819" s="682"/>
    </row>
    <row r="3820" spans="3:13" ht="17" thickBot="1">
      <c r="C3820" s="761">
        <v>1</v>
      </c>
      <c r="D3820" s="671" t="s">
        <v>30</v>
      </c>
      <c r="E3820" s="1252" t="s">
        <v>1948</v>
      </c>
      <c r="F3820" s="1253"/>
      <c r="G3820" s="1346"/>
      <c r="H3820" s="675" t="s">
        <v>790</v>
      </c>
      <c r="I3820" s="675" t="s">
        <v>430</v>
      </c>
      <c r="J3820" s="950" t="s">
        <v>431</v>
      </c>
      <c r="K3820" s="936" t="s">
        <v>105</v>
      </c>
      <c r="L3820" s="674" t="s">
        <v>430</v>
      </c>
      <c r="M3820" s="713" t="s">
        <v>431</v>
      </c>
    </row>
    <row r="3821" spans="3:13">
      <c r="C3821" s="761"/>
      <c r="D3821" s="663" t="s">
        <v>432</v>
      </c>
      <c r="E3821" s="1279"/>
      <c r="F3821" s="1280"/>
      <c r="G3821" s="1347"/>
      <c r="H3821" s="941" t="s">
        <v>794</v>
      </c>
      <c r="I3821" s="937"/>
      <c r="J3821" s="938" t="s">
        <v>1948</v>
      </c>
      <c r="K3821" s="936"/>
      <c r="L3821" s="664"/>
      <c r="M3821" s="665" t="s">
        <v>1948</v>
      </c>
    </row>
    <row r="3822" spans="3:13">
      <c r="C3822" s="761"/>
      <c r="D3822" s="663" t="s">
        <v>433</v>
      </c>
      <c r="E3822" s="1348"/>
      <c r="F3822" s="1349"/>
      <c r="G3822" s="1350"/>
      <c r="H3822" s="941" t="s">
        <v>795</v>
      </c>
      <c r="I3822" s="939"/>
      <c r="J3822" s="940"/>
      <c r="K3822" s="936"/>
      <c r="L3822" s="664"/>
      <c r="M3822" s="667"/>
    </row>
    <row r="3823" spans="3:13">
      <c r="C3823" s="761"/>
      <c r="D3823" s="663" t="s">
        <v>434</v>
      </c>
      <c r="E3823" s="1355">
        <v>0.03</v>
      </c>
      <c r="F3823" s="1356"/>
      <c r="G3823" s="1357"/>
      <c r="H3823" s="941"/>
      <c r="I3823" s="939"/>
      <c r="J3823" s="940"/>
      <c r="K3823" s="936"/>
      <c r="L3823" s="664"/>
      <c r="M3823" s="667"/>
    </row>
    <row r="3824" spans="3:13" ht="17" thickBot="1">
      <c r="C3824" s="761"/>
      <c r="D3824" s="762" t="s">
        <v>435</v>
      </c>
      <c r="E3824" s="1275">
        <v>0.51041666666666663</v>
      </c>
      <c r="F3824" s="1276"/>
      <c r="G3824" s="1354"/>
      <c r="H3824" s="942"/>
      <c r="I3824" s="943">
        <v>0.73958333333333337</v>
      </c>
      <c r="J3824" s="944">
        <v>0.63541666666666663</v>
      </c>
      <c r="K3824" s="936"/>
      <c r="L3824" s="669">
        <v>0.94791666666666663</v>
      </c>
      <c r="M3824" s="670"/>
    </row>
    <row r="3825" spans="3:13" ht="17" thickBot="1">
      <c r="C3825" s="761"/>
      <c r="D3825" s="671" t="s">
        <v>436</v>
      </c>
      <c r="E3825" s="763" t="s">
        <v>29</v>
      </c>
      <c r="F3825" s="763" t="s">
        <v>28</v>
      </c>
      <c r="G3825" s="764" t="s">
        <v>27</v>
      </c>
      <c r="H3825" s="675" t="s">
        <v>793</v>
      </c>
      <c r="I3825" s="675" t="s">
        <v>1246</v>
      </c>
      <c r="J3825" s="676"/>
      <c r="K3825" s="936"/>
      <c r="L3825" s="675" t="s">
        <v>1246</v>
      </c>
      <c r="M3825" s="676"/>
    </row>
    <row r="3826" spans="3:13">
      <c r="C3826" s="761"/>
      <c r="D3826" s="677">
        <v>45719</v>
      </c>
      <c r="E3826" s="765">
        <v>50.3</v>
      </c>
      <c r="F3826" s="765" t="s">
        <v>1789</v>
      </c>
      <c r="G3826" s="765">
        <v>50.9</v>
      </c>
      <c r="H3826" s="945">
        <v>0.625</v>
      </c>
      <c r="I3826" s="934">
        <v>0.85416666666666663</v>
      </c>
      <c r="J3826" s="940"/>
      <c r="K3826" s="936"/>
      <c r="L3826" s="718">
        <v>0.84375</v>
      </c>
      <c r="M3826" s="680"/>
    </row>
    <row r="3827" spans="3:13">
      <c r="C3827" s="761"/>
      <c r="D3827" s="677">
        <v>45691</v>
      </c>
      <c r="E3827" s="765">
        <v>50.9</v>
      </c>
      <c r="F3827" s="765" t="s">
        <v>1791</v>
      </c>
      <c r="G3827" s="765">
        <v>49.2</v>
      </c>
      <c r="H3827" s="946">
        <v>0.625</v>
      </c>
      <c r="I3827" s="947">
        <v>0.85416666666666663</v>
      </c>
      <c r="J3827" s="948"/>
      <c r="K3827" s="936"/>
      <c r="L3827" s="718">
        <v>0.84375</v>
      </c>
      <c r="M3827" s="681"/>
    </row>
    <row r="3828" spans="3:13">
      <c r="C3828" s="761"/>
      <c r="D3828" s="677">
        <v>45660</v>
      </c>
      <c r="E3828" s="765">
        <v>49.3</v>
      </c>
      <c r="F3828" s="765" t="s">
        <v>1793</v>
      </c>
      <c r="G3828" s="765">
        <v>48.4</v>
      </c>
      <c r="H3828" s="946">
        <v>0.625</v>
      </c>
      <c r="I3828" s="947">
        <v>0.85416666666666663</v>
      </c>
      <c r="J3828" s="940"/>
      <c r="K3828" s="936"/>
      <c r="L3828" s="718">
        <v>0.84375</v>
      </c>
      <c r="M3828" s="667"/>
    </row>
    <row r="3829" spans="3:13">
      <c r="C3829" s="761"/>
      <c r="D3829" s="677">
        <v>45628</v>
      </c>
      <c r="E3829" s="765">
        <v>48.4</v>
      </c>
      <c r="F3829" s="765" t="s">
        <v>1341</v>
      </c>
      <c r="G3829" s="765">
        <v>46.5</v>
      </c>
      <c r="H3829" s="946">
        <v>0.625</v>
      </c>
      <c r="I3829" s="947">
        <v>0.85416666666666663</v>
      </c>
      <c r="J3829" s="940"/>
      <c r="K3829" s="936"/>
      <c r="L3829" s="718">
        <v>0.80208333333333337</v>
      </c>
      <c r="M3829" s="667"/>
    </row>
    <row r="3830" spans="3:13">
      <c r="C3830" s="761"/>
      <c r="D3830" s="677">
        <v>45597</v>
      </c>
      <c r="E3830" s="765">
        <v>46.5</v>
      </c>
      <c r="F3830" s="765" t="s">
        <v>901</v>
      </c>
      <c r="G3830" s="765">
        <v>47.2</v>
      </c>
      <c r="H3830" s="946">
        <v>0.58333333333333337</v>
      </c>
      <c r="I3830" s="947">
        <v>0.8125</v>
      </c>
      <c r="J3830" s="940"/>
      <c r="K3830" s="936"/>
      <c r="L3830" s="718">
        <v>0.80208333333333337</v>
      </c>
      <c r="M3830" s="667"/>
    </row>
    <row r="3831" spans="3:13" ht="17" thickBot="1">
      <c r="C3831" s="761"/>
      <c r="D3831" s="677">
        <v>45566</v>
      </c>
      <c r="E3831" s="765">
        <v>47.2</v>
      </c>
      <c r="F3831" s="765" t="s">
        <v>901</v>
      </c>
      <c r="G3831" s="765">
        <v>47.2</v>
      </c>
      <c r="H3831" s="946">
        <v>0.58333333333333337</v>
      </c>
      <c r="I3831" s="947">
        <v>0.8125</v>
      </c>
      <c r="J3831" s="949"/>
      <c r="K3831" s="936"/>
      <c r="L3831" s="718">
        <v>0.80208333333333337</v>
      </c>
      <c r="M3831" s="682"/>
    </row>
    <row r="3832" spans="3:13" ht="17" thickBot="1">
      <c r="C3832" s="660">
        <v>1</v>
      </c>
      <c r="D3832" s="671" t="s">
        <v>30</v>
      </c>
      <c r="E3832" s="1252" t="s">
        <v>1421</v>
      </c>
      <c r="F3832" s="1253"/>
      <c r="G3832" s="1254"/>
      <c r="H3832" s="712" t="s">
        <v>790</v>
      </c>
      <c r="I3832" s="1256" t="s">
        <v>633</v>
      </c>
      <c r="J3832" s="1256"/>
      <c r="K3832" s="1257"/>
      <c r="L3832" s="674" t="s">
        <v>430</v>
      </c>
      <c r="M3832" s="713" t="s">
        <v>431</v>
      </c>
    </row>
    <row r="3833" spans="3:13">
      <c r="C3833" s="660"/>
      <c r="D3833" s="663" t="s">
        <v>432</v>
      </c>
      <c r="E3833" s="1266"/>
      <c r="F3833" s="1267"/>
      <c r="G3833" s="1268"/>
      <c r="H3833" s="714" t="s">
        <v>794</v>
      </c>
      <c r="I3833" s="1243" t="s">
        <v>1912</v>
      </c>
      <c r="J3833" s="1243"/>
      <c r="K3833" s="1244"/>
      <c r="L3833" s="664"/>
      <c r="M3833" s="665" t="s">
        <v>1421</v>
      </c>
    </row>
    <row r="3834" spans="3:13">
      <c r="C3834" s="660"/>
      <c r="D3834" s="666" t="s">
        <v>433</v>
      </c>
      <c r="E3834" s="1269"/>
      <c r="F3834" s="1270"/>
      <c r="G3834" s="1271"/>
      <c r="H3834" s="715" t="s">
        <v>795</v>
      </c>
      <c r="I3834" s="1246"/>
      <c r="J3834" s="1246"/>
      <c r="K3834" s="1247"/>
      <c r="L3834" s="664"/>
      <c r="M3834" s="667"/>
    </row>
    <row r="3835" spans="3:13">
      <c r="C3835" s="660"/>
      <c r="D3835" s="666" t="s">
        <v>434</v>
      </c>
      <c r="E3835" s="1272">
        <v>0</v>
      </c>
      <c r="F3835" s="1273"/>
      <c r="G3835" s="1274"/>
      <c r="H3835" s="715"/>
      <c r="I3835" s="1246"/>
      <c r="J3835" s="1246"/>
      <c r="K3835" s="1247"/>
      <c r="L3835" s="664"/>
      <c r="M3835" s="667"/>
    </row>
    <row r="3836" spans="3:13" ht="17" thickBot="1">
      <c r="C3836" s="660"/>
      <c r="D3836" s="668" t="s">
        <v>435</v>
      </c>
      <c r="E3836" s="1275">
        <v>0.52083333333333337</v>
      </c>
      <c r="F3836" s="1276"/>
      <c r="G3836" s="1277"/>
      <c r="H3836" s="716"/>
      <c r="I3836" s="1246"/>
      <c r="J3836" s="1246"/>
      <c r="K3836" s="1247"/>
      <c r="L3836" s="669">
        <v>0.75</v>
      </c>
      <c r="M3836" s="670">
        <v>0.64583333333333337</v>
      </c>
    </row>
    <row r="3837" spans="3:13" ht="17" thickBot="1">
      <c r="C3837" s="660"/>
      <c r="D3837" s="671" t="s">
        <v>436</v>
      </c>
      <c r="E3837" s="672" t="s">
        <v>29</v>
      </c>
      <c r="F3837" s="672" t="s">
        <v>28</v>
      </c>
      <c r="G3837" s="673" t="s">
        <v>27</v>
      </c>
      <c r="H3837" s="712" t="s">
        <v>793</v>
      </c>
      <c r="I3837" s="1246"/>
      <c r="J3837" s="1246"/>
      <c r="K3837" s="1247"/>
      <c r="L3837" s="675" t="s">
        <v>1246</v>
      </c>
      <c r="M3837" s="676"/>
    </row>
    <row r="3838" spans="3:13">
      <c r="C3838" s="660"/>
      <c r="D3838" s="717">
        <v>45750</v>
      </c>
      <c r="E3838" s="720" t="s">
        <v>987</v>
      </c>
      <c r="F3838" s="720" t="s">
        <v>985</v>
      </c>
      <c r="G3838" s="720" t="s">
        <v>985</v>
      </c>
      <c r="H3838" s="718">
        <v>0.52083333333333337</v>
      </c>
      <c r="I3838" s="1246"/>
      <c r="J3838" s="1246"/>
      <c r="K3838" s="1247"/>
      <c r="L3838" s="679">
        <v>0.75</v>
      </c>
      <c r="M3838" s="680"/>
    </row>
    <row r="3839" spans="3:13">
      <c r="C3839" s="660"/>
      <c r="D3839" s="717">
        <v>45743</v>
      </c>
      <c r="E3839" s="720" t="s">
        <v>1032</v>
      </c>
      <c r="F3839" s="720" t="s">
        <v>985</v>
      </c>
      <c r="G3839" s="720" t="s">
        <v>985</v>
      </c>
      <c r="H3839" s="718">
        <v>0.52083333333333337</v>
      </c>
      <c r="I3839" s="1246"/>
      <c r="J3839" s="1246"/>
      <c r="K3839" s="1247"/>
      <c r="L3839" s="679">
        <v>0.75</v>
      </c>
      <c r="M3839" s="681"/>
    </row>
    <row r="3840" spans="3:13">
      <c r="C3840" s="660"/>
      <c r="D3840" s="717">
        <v>45736</v>
      </c>
      <c r="E3840" s="720" t="s">
        <v>973</v>
      </c>
      <c r="F3840" s="720" t="s">
        <v>1032</v>
      </c>
      <c r="G3840" s="720" t="s">
        <v>972</v>
      </c>
      <c r="H3840" s="718">
        <v>0.52083333333333337</v>
      </c>
      <c r="I3840" s="1246"/>
      <c r="J3840" s="1246"/>
      <c r="K3840" s="1247"/>
      <c r="L3840" s="679">
        <v>0.75</v>
      </c>
      <c r="M3840" s="667"/>
    </row>
    <row r="3841" spans="3:13">
      <c r="C3841" s="660"/>
      <c r="D3841" s="717">
        <v>45729</v>
      </c>
      <c r="E3841" s="720" t="s">
        <v>1112</v>
      </c>
      <c r="F3841" s="720" t="s">
        <v>1703</v>
      </c>
      <c r="G3841" s="720" t="s">
        <v>986</v>
      </c>
      <c r="H3841" s="718">
        <v>0.52083333333333337</v>
      </c>
      <c r="I3841" s="1246"/>
      <c r="J3841" s="1246"/>
      <c r="K3841" s="1247"/>
      <c r="L3841" s="679">
        <v>0.75</v>
      </c>
      <c r="M3841" s="667"/>
    </row>
    <row r="3842" spans="3:13">
      <c r="C3842" s="660"/>
      <c r="D3842" s="717">
        <v>45722</v>
      </c>
      <c r="E3842" s="720" t="s">
        <v>972</v>
      </c>
      <c r="F3842" s="720" t="s">
        <v>1704</v>
      </c>
      <c r="G3842" s="720" t="s">
        <v>980</v>
      </c>
      <c r="H3842" s="718">
        <v>0.5625</v>
      </c>
      <c r="I3842" s="1246"/>
      <c r="J3842" s="1246"/>
      <c r="K3842" s="1247"/>
      <c r="L3842" s="679">
        <v>0.79166666666666663</v>
      </c>
      <c r="M3842" s="667"/>
    </row>
    <row r="3843" spans="3:13" ht="17" thickBot="1">
      <c r="C3843" s="660"/>
      <c r="D3843" s="717">
        <v>45715</v>
      </c>
      <c r="E3843" s="720" t="s">
        <v>980</v>
      </c>
      <c r="F3843" s="720" t="s">
        <v>986</v>
      </c>
      <c r="G3843" s="720" t="s">
        <v>1112</v>
      </c>
      <c r="H3843" s="718">
        <v>0.5625</v>
      </c>
      <c r="I3843" s="1249"/>
      <c r="J3843" s="1249"/>
      <c r="K3843" s="1250"/>
      <c r="L3843" s="679">
        <v>0.79166666666666663</v>
      </c>
      <c r="M3843" s="682"/>
    </row>
    <row r="3844" spans="3:13" ht="17" thickBot="1">
      <c r="C3844" s="660">
        <v>1</v>
      </c>
      <c r="D3844" s="671" t="s">
        <v>30</v>
      </c>
      <c r="E3844" s="1252" t="s">
        <v>1950</v>
      </c>
      <c r="F3844" s="1253"/>
      <c r="G3844" s="1254"/>
      <c r="H3844" s="712" t="s">
        <v>790</v>
      </c>
      <c r="I3844" s="1256" t="s">
        <v>633</v>
      </c>
      <c r="J3844" s="1256"/>
      <c r="K3844" s="1257"/>
      <c r="L3844" s="674" t="s">
        <v>430</v>
      </c>
      <c r="M3844" s="713" t="s">
        <v>431</v>
      </c>
    </row>
    <row r="3845" spans="3:13">
      <c r="C3845" s="660"/>
      <c r="D3845" s="663" t="s">
        <v>432</v>
      </c>
      <c r="E3845" s="1266"/>
      <c r="F3845" s="1267"/>
      <c r="G3845" s="1268"/>
      <c r="H3845" s="714" t="s">
        <v>794</v>
      </c>
      <c r="I3845" s="1243" t="s">
        <v>1951</v>
      </c>
      <c r="J3845" s="1243"/>
      <c r="K3845" s="1244"/>
      <c r="L3845" s="664"/>
      <c r="M3845" s="665" t="s">
        <v>1950</v>
      </c>
    </row>
    <row r="3846" spans="3:13">
      <c r="C3846" s="660"/>
      <c r="D3846" s="666" t="s">
        <v>433</v>
      </c>
      <c r="E3846" s="1269"/>
      <c r="F3846" s="1270"/>
      <c r="G3846" s="1271"/>
      <c r="H3846" s="715" t="s">
        <v>795</v>
      </c>
      <c r="I3846" s="1246"/>
      <c r="J3846" s="1246"/>
      <c r="K3846" s="1247"/>
      <c r="L3846" s="664"/>
      <c r="M3846" s="667"/>
    </row>
    <row r="3847" spans="3:13">
      <c r="C3847" s="660"/>
      <c r="D3847" s="666" t="s">
        <v>434</v>
      </c>
      <c r="E3847" s="1278">
        <v>12.5</v>
      </c>
      <c r="F3847" s="1270"/>
      <c r="G3847" s="1271"/>
      <c r="H3847" s="715"/>
      <c r="I3847" s="1246"/>
      <c r="J3847" s="1246"/>
      <c r="K3847" s="1247"/>
      <c r="L3847" s="664"/>
      <c r="M3847" s="667"/>
    </row>
    <row r="3848" spans="3:13" ht="17" thickBot="1">
      <c r="C3848" s="660"/>
      <c r="D3848" s="668" t="s">
        <v>435</v>
      </c>
      <c r="E3848" s="1275">
        <v>0.52083333333333337</v>
      </c>
      <c r="F3848" s="1276"/>
      <c r="G3848" s="1277"/>
      <c r="H3848" s="716"/>
      <c r="I3848" s="1246"/>
      <c r="J3848" s="1246"/>
      <c r="K3848" s="1247"/>
      <c r="L3848" s="669">
        <v>0.75</v>
      </c>
      <c r="M3848" s="670">
        <v>0.64583333333333337</v>
      </c>
    </row>
    <row r="3849" spans="3:13" ht="17" thickBot="1">
      <c r="C3849" s="660"/>
      <c r="D3849" s="671" t="s">
        <v>436</v>
      </c>
      <c r="E3849" s="672" t="s">
        <v>29</v>
      </c>
      <c r="F3849" s="672" t="s">
        <v>28</v>
      </c>
      <c r="G3849" s="673" t="s">
        <v>27</v>
      </c>
      <c r="H3849" s="712" t="s">
        <v>793</v>
      </c>
      <c r="I3849" s="1246"/>
      <c r="J3849" s="1246"/>
      <c r="K3849" s="1247"/>
      <c r="L3849" s="675" t="s">
        <v>1246</v>
      </c>
      <c r="M3849" s="676"/>
    </row>
    <row r="3850" spans="3:13">
      <c r="C3850" s="660"/>
      <c r="D3850" s="717">
        <v>45736</v>
      </c>
      <c r="E3850" s="693">
        <v>12.5</v>
      </c>
      <c r="F3850" s="693">
        <v>8.8000000000000007</v>
      </c>
      <c r="G3850" s="693">
        <v>18.100000000000001</v>
      </c>
      <c r="H3850" s="718">
        <v>0.52083333333333337</v>
      </c>
      <c r="I3850" s="1246"/>
      <c r="J3850" s="1246"/>
      <c r="K3850" s="1247"/>
      <c r="L3850" s="679">
        <v>0.75</v>
      </c>
      <c r="M3850" s="680"/>
    </row>
    <row r="3851" spans="3:13">
      <c r="C3851" s="660"/>
      <c r="D3851" s="717">
        <v>45708</v>
      </c>
      <c r="E3851" s="693">
        <v>18.100000000000001</v>
      </c>
      <c r="F3851" s="693">
        <v>19.399999999999999</v>
      </c>
      <c r="G3851" s="693">
        <v>44.3</v>
      </c>
      <c r="H3851" s="718">
        <v>0.5625</v>
      </c>
      <c r="I3851" s="1246"/>
      <c r="J3851" s="1246"/>
      <c r="K3851" s="1247"/>
      <c r="L3851" s="679">
        <v>0.79166666666666663</v>
      </c>
      <c r="M3851" s="681"/>
    </row>
    <row r="3852" spans="3:13">
      <c r="C3852" s="660"/>
      <c r="D3852" s="717">
        <v>45673</v>
      </c>
      <c r="E3852" s="693">
        <v>44.3</v>
      </c>
      <c r="F3852" s="693">
        <v>-5</v>
      </c>
      <c r="G3852" s="693">
        <v>-10.9</v>
      </c>
      <c r="H3852" s="718">
        <v>0.5625</v>
      </c>
      <c r="I3852" s="1246"/>
      <c r="J3852" s="1246"/>
      <c r="K3852" s="1247"/>
      <c r="L3852" s="679">
        <v>0.79166666666666663</v>
      </c>
      <c r="M3852" s="667"/>
    </row>
    <row r="3853" spans="3:13">
      <c r="C3853" s="660"/>
      <c r="D3853" s="717">
        <v>45645</v>
      </c>
      <c r="E3853" s="693">
        <v>-16.399999999999999</v>
      </c>
      <c r="F3853" s="693">
        <v>2.9</v>
      </c>
      <c r="G3853" s="693">
        <v>-5.5</v>
      </c>
      <c r="H3853" s="718">
        <v>0.5625</v>
      </c>
      <c r="I3853" s="1246"/>
      <c r="J3853" s="1246"/>
      <c r="K3853" s="1247"/>
      <c r="L3853" s="679">
        <v>0.79166666666666663</v>
      </c>
      <c r="M3853" s="667"/>
    </row>
    <row r="3854" spans="3:13">
      <c r="C3854" s="660"/>
      <c r="D3854" s="717">
        <v>45617</v>
      </c>
      <c r="E3854" s="693">
        <v>-5.5</v>
      </c>
      <c r="F3854" s="693">
        <v>7.4</v>
      </c>
      <c r="G3854" s="693">
        <v>10.3</v>
      </c>
      <c r="H3854" s="718">
        <v>0.5625</v>
      </c>
      <c r="I3854" s="1246"/>
      <c r="J3854" s="1246"/>
      <c r="K3854" s="1247"/>
      <c r="L3854" s="679">
        <v>0.79166666666666663</v>
      </c>
      <c r="M3854" s="667"/>
    </row>
    <row r="3855" spans="3:13" ht="17" thickBot="1">
      <c r="C3855" s="660"/>
      <c r="D3855" s="717">
        <v>45582</v>
      </c>
      <c r="E3855" s="693">
        <v>10.3</v>
      </c>
      <c r="F3855" s="693">
        <v>4.2</v>
      </c>
      <c r="G3855" s="693">
        <v>1.7</v>
      </c>
      <c r="H3855" s="718">
        <v>0.52083333333333337</v>
      </c>
      <c r="I3855" s="1249"/>
      <c r="J3855" s="1249"/>
      <c r="K3855" s="1250"/>
      <c r="L3855" s="679">
        <v>0.75</v>
      </c>
      <c r="M3855" s="682"/>
    </row>
    <row r="3856" spans="3:13" ht="17" thickBot="1">
      <c r="C3856" s="660">
        <v>1</v>
      </c>
      <c r="D3856" s="671" t="s">
        <v>30</v>
      </c>
      <c r="E3856" s="1252" t="s">
        <v>1952</v>
      </c>
      <c r="F3856" s="1253"/>
      <c r="G3856" s="1254"/>
      <c r="H3856" s="712" t="s">
        <v>790</v>
      </c>
      <c r="I3856" s="1256" t="s">
        <v>633</v>
      </c>
      <c r="J3856" s="1256"/>
      <c r="K3856" s="1257"/>
      <c r="L3856" s="674" t="s">
        <v>430</v>
      </c>
      <c r="M3856" s="713" t="s">
        <v>431</v>
      </c>
    </row>
    <row r="3857" spans="2:13">
      <c r="C3857" s="660"/>
      <c r="D3857" s="663" t="s">
        <v>432</v>
      </c>
      <c r="E3857" s="1266"/>
      <c r="F3857" s="1267"/>
      <c r="G3857" s="1268"/>
      <c r="H3857" s="714" t="s">
        <v>909</v>
      </c>
      <c r="I3857" s="1243" t="s">
        <v>1953</v>
      </c>
      <c r="J3857" s="1243"/>
      <c r="K3857" s="1244"/>
      <c r="L3857" s="664"/>
      <c r="M3857" s="665" t="s">
        <v>1952</v>
      </c>
    </row>
    <row r="3858" spans="2:13">
      <c r="C3858" s="660"/>
      <c r="D3858" s="666" t="s">
        <v>433</v>
      </c>
      <c r="E3858" s="1269"/>
      <c r="F3858" s="1270"/>
      <c r="G3858" s="1271"/>
      <c r="H3858" s="715" t="s">
        <v>910</v>
      </c>
      <c r="I3858" s="1246"/>
      <c r="J3858" s="1246"/>
      <c r="K3858" s="1247"/>
      <c r="L3858" s="664"/>
      <c r="M3858" s="667"/>
    </row>
    <row r="3859" spans="2:13">
      <c r="C3859" s="660"/>
      <c r="D3859" s="666" t="s">
        <v>434</v>
      </c>
      <c r="E3859" s="1278">
        <v>0</v>
      </c>
      <c r="F3859" s="1270"/>
      <c r="G3859" s="1271"/>
      <c r="H3859" s="715"/>
      <c r="I3859" s="1246"/>
      <c r="J3859" s="1246"/>
      <c r="K3859" s="1247"/>
      <c r="L3859" s="664"/>
      <c r="M3859" s="667"/>
    </row>
    <row r="3860" spans="2:13" ht="17" thickBot="1">
      <c r="C3860" s="660"/>
      <c r="D3860" s="668" t="s">
        <v>435</v>
      </c>
      <c r="E3860" s="1275">
        <v>0.53125</v>
      </c>
      <c r="F3860" s="1276"/>
      <c r="G3860" s="1277"/>
      <c r="H3860" s="716"/>
      <c r="I3860" s="1246"/>
      <c r="J3860" s="1246"/>
      <c r="K3860" s="1247"/>
      <c r="L3860" s="669">
        <v>0.76041666666666663</v>
      </c>
      <c r="M3860" s="670">
        <v>0.65625</v>
      </c>
    </row>
    <row r="3861" spans="2:13" ht="17" thickBot="1">
      <c r="C3861" s="660"/>
      <c r="D3861" s="671" t="s">
        <v>436</v>
      </c>
      <c r="E3861" s="672" t="s">
        <v>29</v>
      </c>
      <c r="F3861" s="672" t="s">
        <v>28</v>
      </c>
      <c r="G3861" s="673" t="s">
        <v>27</v>
      </c>
      <c r="H3861" s="712" t="s">
        <v>793</v>
      </c>
      <c r="I3861" s="1246"/>
      <c r="J3861" s="1246"/>
      <c r="K3861" s="1247"/>
      <c r="L3861" s="675" t="s">
        <v>1246</v>
      </c>
      <c r="M3861" s="676"/>
    </row>
    <row r="3862" spans="2:13">
      <c r="C3862" s="660"/>
      <c r="D3862" s="717">
        <v>45722</v>
      </c>
      <c r="E3862" s="693">
        <v>0</v>
      </c>
      <c r="F3862" s="693">
        <v>0</v>
      </c>
      <c r="G3862" s="693">
        <v>0</v>
      </c>
      <c r="H3862" s="718">
        <v>0.57291666666666674</v>
      </c>
      <c r="I3862" s="1246"/>
      <c r="J3862" s="1246"/>
      <c r="K3862" s="1247"/>
      <c r="L3862" s="679">
        <v>0.80208333333333337</v>
      </c>
      <c r="M3862" s="680"/>
    </row>
    <row r="3863" spans="2:13">
      <c r="C3863" s="660"/>
      <c r="D3863" s="717">
        <v>45687</v>
      </c>
      <c r="E3863" s="693">
        <v>0</v>
      </c>
      <c r="F3863" s="693">
        <v>0</v>
      </c>
      <c r="G3863" s="693">
        <v>0</v>
      </c>
      <c r="H3863" s="718">
        <v>0.57291666666666674</v>
      </c>
      <c r="I3863" s="1246"/>
      <c r="J3863" s="1246"/>
      <c r="K3863" s="1247"/>
      <c r="L3863" s="679">
        <v>0.80208333333333337</v>
      </c>
      <c r="M3863" s="681"/>
    </row>
    <row r="3864" spans="2:13">
      <c r="C3864" s="660"/>
      <c r="D3864" s="717">
        <v>45638</v>
      </c>
      <c r="E3864" s="693">
        <v>0</v>
      </c>
      <c r="F3864" s="693">
        <v>0</v>
      </c>
      <c r="G3864" s="693">
        <v>0</v>
      </c>
      <c r="H3864" s="718">
        <v>0.57291666666666674</v>
      </c>
      <c r="I3864" s="1246"/>
      <c r="J3864" s="1246"/>
      <c r="K3864" s="1247"/>
      <c r="L3864" s="679">
        <v>0.80208333333333337</v>
      </c>
      <c r="M3864" s="667"/>
    </row>
    <row r="3865" spans="2:13">
      <c r="C3865" s="660"/>
      <c r="D3865" s="717">
        <v>45582</v>
      </c>
      <c r="E3865" s="693">
        <v>0</v>
      </c>
      <c r="F3865" s="693">
        <v>0</v>
      </c>
      <c r="G3865" s="693">
        <v>0</v>
      </c>
      <c r="H3865" s="718">
        <v>0.53125</v>
      </c>
      <c r="I3865" s="1246"/>
      <c r="J3865" s="1246"/>
      <c r="K3865" s="1247"/>
      <c r="L3865" s="679">
        <v>0.76041666666666663</v>
      </c>
      <c r="M3865" s="667"/>
    </row>
    <row r="3866" spans="2:13">
      <c r="C3866" s="660"/>
      <c r="D3866" s="717">
        <v>45547</v>
      </c>
      <c r="E3866" s="693">
        <v>0</v>
      </c>
      <c r="F3866" s="693">
        <v>0</v>
      </c>
      <c r="G3866" s="693">
        <v>0</v>
      </c>
      <c r="H3866" s="718">
        <v>0.53125</v>
      </c>
      <c r="I3866" s="1246"/>
      <c r="J3866" s="1246"/>
      <c r="K3866" s="1247"/>
      <c r="L3866" s="679">
        <v>0.76041666666666663</v>
      </c>
      <c r="M3866" s="667"/>
    </row>
    <row r="3867" spans="2:13" ht="17" thickBot="1">
      <c r="C3867" s="660"/>
      <c r="D3867" s="717">
        <v>45491</v>
      </c>
      <c r="E3867" s="693">
        <v>0</v>
      </c>
      <c r="F3867" s="693">
        <v>0</v>
      </c>
      <c r="G3867" s="693">
        <v>0</v>
      </c>
      <c r="H3867" s="718">
        <v>0.53125</v>
      </c>
      <c r="I3867" s="1249"/>
      <c r="J3867" s="1249"/>
      <c r="K3867" s="1250"/>
      <c r="L3867" s="679">
        <v>0.76041666666666663</v>
      </c>
      <c r="M3867" s="682"/>
    </row>
    <row r="3868" spans="2:13" ht="17" thickBot="1">
      <c r="B3868" s="90" t="s">
        <v>105</v>
      </c>
      <c r="C3868" s="660">
        <v>1</v>
      </c>
      <c r="D3868" s="671" t="s">
        <v>30</v>
      </c>
      <c r="E3868" s="1252" t="s">
        <v>1970</v>
      </c>
      <c r="F3868" s="1253"/>
      <c r="G3868" s="1254"/>
      <c r="H3868" s="712" t="s">
        <v>790</v>
      </c>
      <c r="I3868" s="1256" t="s">
        <v>633</v>
      </c>
      <c r="J3868" s="1256"/>
      <c r="K3868" s="1257"/>
      <c r="L3868" s="674" t="s">
        <v>430</v>
      </c>
      <c r="M3868" s="713" t="s">
        <v>431</v>
      </c>
    </row>
    <row r="3869" spans="2:13">
      <c r="C3869" s="660"/>
      <c r="D3869" s="663" t="s">
        <v>432</v>
      </c>
      <c r="E3869" s="1266"/>
      <c r="F3869" s="1267"/>
      <c r="G3869" s="1268"/>
      <c r="H3869" s="714" t="s">
        <v>794</v>
      </c>
      <c r="I3869" s="1243" t="s">
        <v>1482</v>
      </c>
      <c r="J3869" s="1243"/>
      <c r="K3869" s="1244"/>
      <c r="L3869" s="664"/>
      <c r="M3869" s="665" t="s">
        <v>1970</v>
      </c>
    </row>
    <row r="3870" spans="2:13">
      <c r="C3870" s="660"/>
      <c r="D3870" s="666" t="s">
        <v>433</v>
      </c>
      <c r="E3870" s="1269"/>
      <c r="F3870" s="1270"/>
      <c r="G3870" s="1271"/>
      <c r="H3870" s="714" t="s">
        <v>795</v>
      </c>
      <c r="I3870" s="1246"/>
      <c r="J3870" s="1246"/>
      <c r="K3870" s="1247"/>
      <c r="L3870" s="664"/>
      <c r="M3870" s="667"/>
    </row>
    <row r="3871" spans="2:13">
      <c r="C3871" s="660"/>
      <c r="D3871" s="666" t="s">
        <v>434</v>
      </c>
      <c r="E3871" s="1272" t="s">
        <v>1971</v>
      </c>
      <c r="F3871" s="1273"/>
      <c r="G3871" s="1274"/>
      <c r="H3871" s="715"/>
      <c r="I3871" s="1246"/>
      <c r="J3871" s="1246"/>
      <c r="K3871" s="1247"/>
      <c r="L3871" s="664"/>
      <c r="M3871" s="667"/>
    </row>
    <row r="3872" spans="2:13" ht="17" thickBot="1">
      <c r="C3872" s="660"/>
      <c r="D3872" s="668" t="s">
        <v>435</v>
      </c>
      <c r="E3872" s="1275">
        <v>0.58333333333333337</v>
      </c>
      <c r="F3872" s="1276"/>
      <c r="G3872" s="1277"/>
      <c r="H3872" s="716"/>
      <c r="I3872" s="1246"/>
      <c r="J3872" s="1246"/>
      <c r="K3872" s="1247"/>
      <c r="L3872" s="669">
        <v>0.8125</v>
      </c>
      <c r="M3872" s="670">
        <v>0.70833333333333337</v>
      </c>
    </row>
    <row r="3873" spans="3:13" ht="17" thickBot="1">
      <c r="C3873" s="660"/>
      <c r="D3873" s="671" t="s">
        <v>436</v>
      </c>
      <c r="E3873" s="672" t="s">
        <v>29</v>
      </c>
      <c r="F3873" s="672" t="s">
        <v>28</v>
      </c>
      <c r="G3873" s="673" t="s">
        <v>27</v>
      </c>
      <c r="H3873" s="712" t="s">
        <v>793</v>
      </c>
      <c r="I3873" s="1246"/>
      <c r="J3873" s="1246"/>
      <c r="K3873" s="1247"/>
      <c r="L3873" s="675" t="s">
        <v>1246</v>
      </c>
      <c r="M3873" s="676"/>
    </row>
    <row r="3874" spans="3:13">
      <c r="C3874" s="660"/>
      <c r="D3874" s="717">
        <v>45741</v>
      </c>
      <c r="E3874" s="720" t="s">
        <v>2001</v>
      </c>
      <c r="F3874" s="720" t="s">
        <v>2002</v>
      </c>
      <c r="G3874" s="720" t="s">
        <v>1532</v>
      </c>
      <c r="H3874" s="718">
        <v>0.58333333333333337</v>
      </c>
      <c r="I3874" s="1246"/>
      <c r="J3874" s="1246"/>
      <c r="K3874" s="1247"/>
      <c r="L3874" s="679">
        <v>0.8125</v>
      </c>
      <c r="M3874" s="680"/>
    </row>
    <row r="3875" spans="3:13">
      <c r="C3875" s="660"/>
      <c r="D3875" s="717">
        <v>45714</v>
      </c>
      <c r="E3875" s="720" t="s">
        <v>1693</v>
      </c>
      <c r="F3875" s="720" t="s">
        <v>1694</v>
      </c>
      <c r="G3875" s="720" t="s">
        <v>1695</v>
      </c>
      <c r="H3875" s="718">
        <v>0.625</v>
      </c>
      <c r="I3875" s="1246"/>
      <c r="J3875" s="1246"/>
      <c r="K3875" s="1247"/>
      <c r="L3875" s="679">
        <v>0.85416666666666663</v>
      </c>
      <c r="M3875" s="681"/>
    </row>
    <row r="3876" spans="3:13">
      <c r="C3876" s="660"/>
      <c r="D3876" s="717">
        <v>45684</v>
      </c>
      <c r="E3876" s="720" t="s">
        <v>1106</v>
      </c>
      <c r="F3876" s="720" t="s">
        <v>1650</v>
      </c>
      <c r="G3876" s="720" t="s">
        <v>1651</v>
      </c>
      <c r="H3876" s="718">
        <v>0.625</v>
      </c>
      <c r="I3876" s="1246"/>
      <c r="J3876" s="1246"/>
      <c r="K3876" s="1247"/>
      <c r="L3876" s="679">
        <v>0.85416666666666663</v>
      </c>
      <c r="M3876" s="667"/>
    </row>
    <row r="3877" spans="3:13">
      <c r="C3877" s="660"/>
      <c r="D3877" s="717">
        <v>45649</v>
      </c>
      <c r="E3877" s="720" t="s">
        <v>1532</v>
      </c>
      <c r="F3877" s="720" t="s">
        <v>1533</v>
      </c>
      <c r="G3877" s="720" t="s">
        <v>1534</v>
      </c>
      <c r="H3877" s="718">
        <v>0.625</v>
      </c>
      <c r="I3877" s="1246"/>
      <c r="J3877" s="1246"/>
      <c r="K3877" s="1247"/>
      <c r="L3877" s="679">
        <v>0.85416666666666663</v>
      </c>
      <c r="M3877" s="667"/>
    </row>
    <row r="3878" spans="3:13">
      <c r="C3878" s="660"/>
      <c r="D3878" s="717">
        <v>45622</v>
      </c>
      <c r="E3878" s="720" t="s">
        <v>1316</v>
      </c>
      <c r="F3878" s="720" t="s">
        <v>1317</v>
      </c>
      <c r="G3878" s="720" t="s">
        <v>1092</v>
      </c>
      <c r="H3878" s="718">
        <v>0.625</v>
      </c>
      <c r="I3878" s="1246"/>
      <c r="J3878" s="1246"/>
      <c r="K3878" s="1247"/>
      <c r="L3878" s="679">
        <v>0.85416666666666663</v>
      </c>
      <c r="M3878" s="667"/>
    </row>
    <row r="3879" spans="3:13" ht="17" thickBot="1">
      <c r="C3879" s="660"/>
      <c r="D3879" s="717">
        <v>45589</v>
      </c>
      <c r="E3879" s="720" t="s">
        <v>1092</v>
      </c>
      <c r="F3879" s="720" t="s">
        <v>1093</v>
      </c>
      <c r="G3879" s="720" t="s">
        <v>1094</v>
      </c>
      <c r="H3879" s="718">
        <v>0.58333333333333337</v>
      </c>
      <c r="I3879" s="1249"/>
      <c r="J3879" s="1249"/>
      <c r="K3879" s="1250"/>
      <c r="L3879" s="679">
        <v>0.8125</v>
      </c>
      <c r="M3879" s="682"/>
    </row>
    <row r="3880" spans="3:13" ht="17" thickBot="1">
      <c r="C3880" s="660">
        <v>1</v>
      </c>
      <c r="D3880" s="671" t="s">
        <v>30</v>
      </c>
      <c r="E3880" s="1252" t="s">
        <v>1964</v>
      </c>
      <c r="F3880" s="1253"/>
      <c r="G3880" s="1254"/>
      <c r="H3880" s="712" t="s">
        <v>790</v>
      </c>
      <c r="I3880" s="1256" t="s">
        <v>633</v>
      </c>
      <c r="J3880" s="1256"/>
      <c r="K3880" s="1257"/>
      <c r="L3880" s="674" t="s">
        <v>430</v>
      </c>
      <c r="M3880" s="713" t="s">
        <v>431</v>
      </c>
    </row>
    <row r="3881" spans="3:13">
      <c r="C3881" s="660"/>
      <c r="D3881" s="663" t="s">
        <v>432</v>
      </c>
      <c r="E3881" s="1266"/>
      <c r="F3881" s="1267"/>
      <c r="G3881" s="1268"/>
      <c r="H3881" s="714" t="s">
        <v>794</v>
      </c>
      <c r="I3881" s="1243" t="s">
        <v>1965</v>
      </c>
      <c r="J3881" s="1243"/>
      <c r="K3881" s="1244"/>
      <c r="L3881" s="664"/>
      <c r="M3881" s="665" t="s">
        <v>1964</v>
      </c>
    </row>
    <row r="3882" spans="3:13">
      <c r="C3882" s="660"/>
      <c r="D3882" s="666" t="s">
        <v>433</v>
      </c>
      <c r="E3882" s="1269"/>
      <c r="F3882" s="1270"/>
      <c r="G3882" s="1271"/>
      <c r="H3882" s="714" t="s">
        <v>795</v>
      </c>
      <c r="I3882" s="1246"/>
      <c r="J3882" s="1246"/>
      <c r="K3882" s="1247"/>
      <c r="L3882" s="664"/>
      <c r="M3882" s="667"/>
    </row>
    <row r="3883" spans="3:13">
      <c r="C3883" s="660"/>
      <c r="D3883" s="666" t="s">
        <v>434</v>
      </c>
      <c r="E3883" s="1272">
        <v>0</v>
      </c>
      <c r="F3883" s="1273"/>
      <c r="G3883" s="1274"/>
      <c r="H3883" s="715"/>
      <c r="I3883" s="1246"/>
      <c r="J3883" s="1246"/>
      <c r="K3883" s="1247"/>
      <c r="L3883" s="664"/>
      <c r="M3883" s="667"/>
    </row>
    <row r="3884" spans="3:13" ht="17" thickBot="1">
      <c r="C3884" s="660"/>
      <c r="D3884" s="668" t="s">
        <v>435</v>
      </c>
      <c r="E3884" s="1275">
        <v>0.83333333333333337</v>
      </c>
      <c r="F3884" s="1276"/>
      <c r="G3884" s="1277"/>
      <c r="H3884" s="716"/>
      <c r="I3884" s="1246"/>
      <c r="J3884" s="1246"/>
      <c r="K3884" s="1247"/>
      <c r="L3884" s="669">
        <v>6.25E-2</v>
      </c>
      <c r="M3884" s="670">
        <v>0.95833333333333337</v>
      </c>
    </row>
    <row r="3885" spans="3:13" ht="17" thickBot="1">
      <c r="C3885" s="660"/>
      <c r="D3885" s="671" t="s">
        <v>436</v>
      </c>
      <c r="E3885" s="672" t="s">
        <v>29</v>
      </c>
      <c r="F3885" s="672" t="s">
        <v>28</v>
      </c>
      <c r="G3885" s="673" t="s">
        <v>27</v>
      </c>
      <c r="H3885" s="712" t="s">
        <v>793</v>
      </c>
      <c r="I3885" s="1246"/>
      <c r="J3885" s="1246"/>
      <c r="K3885" s="1247"/>
      <c r="L3885" s="675" t="s">
        <v>1246</v>
      </c>
      <c r="M3885" s="676"/>
    </row>
    <row r="3886" spans="3:13">
      <c r="C3886" s="660"/>
      <c r="D3886" s="717">
        <v>45686</v>
      </c>
      <c r="E3886" s="720" t="s">
        <v>1983</v>
      </c>
      <c r="F3886" s="720" t="s">
        <v>1982</v>
      </c>
      <c r="G3886" s="720"/>
      <c r="H3886" s="718">
        <v>0.58333333333333337</v>
      </c>
      <c r="I3886" s="1246"/>
      <c r="J3886" s="1246"/>
      <c r="K3886" s="1247"/>
      <c r="L3886" s="679">
        <v>0.8125</v>
      </c>
      <c r="M3886" s="680"/>
    </row>
    <row r="3887" spans="3:13">
      <c r="C3887" s="660"/>
      <c r="D3887" s="717">
        <v>45588</v>
      </c>
      <c r="E3887" s="720" t="s">
        <v>1982</v>
      </c>
      <c r="F3887" s="720" t="s">
        <v>1984</v>
      </c>
      <c r="G3887" s="720"/>
      <c r="H3887" s="718">
        <v>0.625</v>
      </c>
      <c r="I3887" s="1246"/>
      <c r="J3887" s="1246"/>
      <c r="K3887" s="1247"/>
      <c r="L3887" s="679">
        <v>0.85416666666666663</v>
      </c>
      <c r="M3887" s="681"/>
    </row>
    <row r="3888" spans="3:13">
      <c r="C3888" s="660"/>
      <c r="D3888" s="717">
        <v>45496</v>
      </c>
      <c r="E3888" s="720" t="s">
        <v>1985</v>
      </c>
      <c r="F3888" s="720" t="s">
        <v>1984</v>
      </c>
      <c r="G3888" s="720"/>
      <c r="H3888" s="718">
        <v>0.625</v>
      </c>
      <c r="I3888" s="1246"/>
      <c r="J3888" s="1246"/>
      <c r="K3888" s="1247"/>
      <c r="L3888" s="679">
        <v>0.85416666666666663</v>
      </c>
      <c r="M3888" s="667"/>
    </row>
    <row r="3889" spans="3:13">
      <c r="C3889" s="660"/>
      <c r="D3889" s="717">
        <v>45405</v>
      </c>
      <c r="E3889" s="720" t="s">
        <v>1986</v>
      </c>
      <c r="F3889" s="720" t="s">
        <v>1986</v>
      </c>
      <c r="G3889" s="720"/>
      <c r="H3889" s="718">
        <v>0.625</v>
      </c>
      <c r="I3889" s="1246"/>
      <c r="J3889" s="1246"/>
      <c r="K3889" s="1247"/>
      <c r="L3889" s="679">
        <v>0.85416666666666663</v>
      </c>
      <c r="M3889" s="667"/>
    </row>
    <row r="3890" spans="3:13">
      <c r="C3890" s="660"/>
      <c r="D3890" s="717">
        <v>45315</v>
      </c>
      <c r="E3890" s="720" t="s">
        <v>1988</v>
      </c>
      <c r="F3890" s="720" t="s">
        <v>1987</v>
      </c>
      <c r="G3890" s="720"/>
      <c r="H3890" s="718">
        <v>0.625</v>
      </c>
      <c r="I3890" s="1246"/>
      <c r="J3890" s="1246"/>
      <c r="K3890" s="1247"/>
      <c r="L3890" s="679">
        <v>0.85416666666666663</v>
      </c>
      <c r="M3890" s="667"/>
    </row>
    <row r="3891" spans="3:13" ht="17" thickBot="1">
      <c r="C3891" s="660"/>
      <c r="D3891" s="717">
        <v>45217</v>
      </c>
      <c r="E3891" s="720" t="s">
        <v>1990</v>
      </c>
      <c r="F3891" s="720" t="s">
        <v>1989</v>
      </c>
      <c r="G3891" s="720"/>
      <c r="H3891" s="718">
        <v>0.58333333333333337</v>
      </c>
      <c r="I3891" s="1249"/>
      <c r="J3891" s="1249"/>
      <c r="K3891" s="1250"/>
      <c r="L3891" s="679">
        <v>0.8125</v>
      </c>
      <c r="M3891" s="682"/>
    </row>
    <row r="3892" spans="3:13" ht="17" thickBot="1">
      <c r="C3892" s="660">
        <v>1</v>
      </c>
      <c r="D3892" s="671" t="s">
        <v>30</v>
      </c>
      <c r="E3892" s="1252" t="s">
        <v>1966</v>
      </c>
      <c r="F3892" s="1253"/>
      <c r="G3892" s="1254"/>
      <c r="H3892" s="712" t="s">
        <v>790</v>
      </c>
      <c r="I3892" s="1256" t="s">
        <v>633</v>
      </c>
      <c r="J3892" s="1256"/>
      <c r="K3892" s="1257"/>
      <c r="L3892" s="674" t="s">
        <v>430</v>
      </c>
      <c r="M3892" s="713" t="s">
        <v>431</v>
      </c>
    </row>
    <row r="3893" spans="3:13">
      <c r="C3893" s="660"/>
      <c r="D3893" s="663" t="s">
        <v>432</v>
      </c>
      <c r="E3893" s="1266"/>
      <c r="F3893" s="1267"/>
      <c r="G3893" s="1268"/>
      <c r="H3893" s="714" t="s">
        <v>794</v>
      </c>
      <c r="I3893" s="1243" t="s">
        <v>1967</v>
      </c>
      <c r="J3893" s="1243"/>
      <c r="K3893" s="1244"/>
      <c r="L3893" s="664"/>
      <c r="M3893" s="665" t="s">
        <v>1966</v>
      </c>
    </row>
    <row r="3894" spans="3:13">
      <c r="C3894" s="660"/>
      <c r="D3894" s="666" t="s">
        <v>433</v>
      </c>
      <c r="E3894" s="1269"/>
      <c r="F3894" s="1270"/>
      <c r="G3894" s="1271"/>
      <c r="H3894" s="714" t="s">
        <v>795</v>
      </c>
      <c r="I3894" s="1246"/>
      <c r="J3894" s="1246"/>
      <c r="K3894" s="1247"/>
      <c r="L3894" s="664"/>
      <c r="M3894" s="667"/>
    </row>
    <row r="3895" spans="3:13">
      <c r="C3895" s="660"/>
      <c r="D3895" s="666" t="s">
        <v>434</v>
      </c>
      <c r="E3895" s="1278">
        <v>50.2</v>
      </c>
      <c r="F3895" s="1270"/>
      <c r="G3895" s="1271"/>
      <c r="H3895" s="715"/>
      <c r="I3895" s="1246"/>
      <c r="J3895" s="1246"/>
      <c r="K3895" s="1247"/>
      <c r="L3895" s="664"/>
      <c r="M3895" s="667"/>
    </row>
    <row r="3896" spans="3:13" ht="17" thickBot="1">
      <c r="C3896" s="660"/>
      <c r="D3896" s="668" t="s">
        <v>435</v>
      </c>
      <c r="E3896" s="1275">
        <v>0.57291666666666674</v>
      </c>
      <c r="F3896" s="1276"/>
      <c r="G3896" s="1277"/>
      <c r="H3896" s="716"/>
      <c r="I3896" s="1246"/>
      <c r="J3896" s="1246"/>
      <c r="K3896" s="1247"/>
      <c r="L3896" s="669">
        <v>0.80208333333333337</v>
      </c>
      <c r="M3896" s="670">
        <v>0.69791666666666674</v>
      </c>
    </row>
    <row r="3897" spans="3:13" ht="17" thickBot="1">
      <c r="C3897" s="660"/>
      <c r="D3897" s="671" t="s">
        <v>436</v>
      </c>
      <c r="E3897" s="672" t="s">
        <v>29</v>
      </c>
      <c r="F3897" s="672" t="s">
        <v>28</v>
      </c>
      <c r="G3897" s="673" t="s">
        <v>27</v>
      </c>
      <c r="H3897" s="712" t="s">
        <v>793</v>
      </c>
      <c r="I3897" s="1246"/>
      <c r="J3897" s="1246"/>
      <c r="K3897" s="1247"/>
      <c r="L3897" s="675" t="s">
        <v>1246</v>
      </c>
      <c r="M3897" s="676"/>
    </row>
    <row r="3898" spans="3:13">
      <c r="C3898" s="660"/>
      <c r="D3898" s="717">
        <v>45748</v>
      </c>
      <c r="E3898" s="693">
        <v>50.2</v>
      </c>
      <c r="F3898" s="693">
        <v>49.8</v>
      </c>
      <c r="G3898" s="693">
        <v>52.7</v>
      </c>
      <c r="H3898" s="718">
        <v>0.57291666666666674</v>
      </c>
      <c r="I3898" s="1246"/>
      <c r="J3898" s="1246"/>
      <c r="K3898" s="1247"/>
      <c r="L3898" s="679">
        <v>0.80208333333333337</v>
      </c>
      <c r="M3898" s="680"/>
    </row>
    <row r="3899" spans="3:13">
      <c r="C3899" s="660"/>
      <c r="D3899" s="717">
        <v>45740</v>
      </c>
      <c r="E3899" s="693">
        <v>49.8</v>
      </c>
      <c r="F3899" s="693">
        <v>51.9</v>
      </c>
      <c r="G3899" s="693">
        <v>52.7</v>
      </c>
      <c r="H3899" s="718">
        <v>0.57291666666666674</v>
      </c>
      <c r="I3899" s="1246"/>
      <c r="J3899" s="1246"/>
      <c r="K3899" s="1247"/>
      <c r="L3899" s="679">
        <v>0.80208333333333337</v>
      </c>
      <c r="M3899" s="681"/>
    </row>
    <row r="3900" spans="3:13">
      <c r="C3900" s="660"/>
      <c r="D3900" s="717">
        <v>45748</v>
      </c>
      <c r="E3900" s="693">
        <v>50.2</v>
      </c>
      <c r="F3900" s="693">
        <v>49.8</v>
      </c>
      <c r="G3900" s="693">
        <v>52.7</v>
      </c>
      <c r="H3900" s="718">
        <v>0.57291666666666674</v>
      </c>
      <c r="I3900" s="1246"/>
      <c r="J3900" s="1246"/>
      <c r="K3900" s="1247"/>
      <c r="L3900" s="679">
        <v>0.80208333333333337</v>
      </c>
      <c r="M3900" s="667"/>
    </row>
    <row r="3901" spans="3:13">
      <c r="C3901" s="660"/>
      <c r="D3901" s="717">
        <v>45740</v>
      </c>
      <c r="E3901" s="693">
        <v>49.8</v>
      </c>
      <c r="F3901" s="693">
        <v>51.9</v>
      </c>
      <c r="G3901" s="693">
        <v>52.7</v>
      </c>
      <c r="H3901" s="718">
        <v>0.57291666666666674</v>
      </c>
      <c r="I3901" s="1246"/>
      <c r="J3901" s="1246"/>
      <c r="K3901" s="1247"/>
      <c r="L3901" s="679">
        <v>0.80208333333333337</v>
      </c>
      <c r="M3901" s="667"/>
    </row>
    <row r="3902" spans="3:13">
      <c r="C3902" s="660"/>
      <c r="D3902" s="717">
        <v>45748</v>
      </c>
      <c r="E3902" s="693">
        <v>50.2</v>
      </c>
      <c r="F3902" s="693">
        <v>49.8</v>
      </c>
      <c r="G3902" s="693">
        <v>52.7</v>
      </c>
      <c r="H3902" s="718">
        <v>0.57291666666666674</v>
      </c>
      <c r="I3902" s="1246"/>
      <c r="J3902" s="1246"/>
      <c r="K3902" s="1247"/>
      <c r="L3902" s="679">
        <v>0.80208333333333337</v>
      </c>
      <c r="M3902" s="667"/>
    </row>
    <row r="3903" spans="3:13" ht="17" thickBot="1">
      <c r="C3903" s="660"/>
      <c r="D3903" s="717">
        <v>45740</v>
      </c>
      <c r="E3903" s="693">
        <v>49.8</v>
      </c>
      <c r="F3903" s="693">
        <v>51.9</v>
      </c>
      <c r="G3903" s="693">
        <v>52.7</v>
      </c>
      <c r="H3903" s="718">
        <v>0.57291666666666674</v>
      </c>
      <c r="I3903" s="1249"/>
      <c r="J3903" s="1249"/>
      <c r="K3903" s="1250"/>
      <c r="L3903" s="679">
        <v>0.80208333333333337</v>
      </c>
      <c r="M3903" s="682"/>
    </row>
    <row r="3904" spans="3:13" ht="17" thickBot="1">
      <c r="C3904" s="660">
        <v>1</v>
      </c>
      <c r="D3904" s="671" t="s">
        <v>30</v>
      </c>
      <c r="E3904" s="1252" t="s">
        <v>1968</v>
      </c>
      <c r="F3904" s="1253"/>
      <c r="G3904" s="1254"/>
      <c r="H3904" s="712" t="s">
        <v>790</v>
      </c>
      <c r="I3904" s="1256" t="s">
        <v>633</v>
      </c>
      <c r="J3904" s="1256"/>
      <c r="K3904" s="1257"/>
      <c r="L3904" s="674" t="s">
        <v>430</v>
      </c>
      <c r="M3904" s="713" t="s">
        <v>431</v>
      </c>
    </row>
    <row r="3905" spans="3:13">
      <c r="C3905" s="660"/>
      <c r="D3905" s="663" t="s">
        <v>432</v>
      </c>
      <c r="E3905" s="1266"/>
      <c r="F3905" s="1267"/>
      <c r="G3905" s="1268"/>
      <c r="H3905" s="714" t="s">
        <v>794</v>
      </c>
      <c r="I3905" s="1243" t="s">
        <v>1969</v>
      </c>
      <c r="J3905" s="1243"/>
      <c r="K3905" s="1244"/>
      <c r="L3905" s="664"/>
      <c r="M3905" s="665" t="s">
        <v>1968</v>
      </c>
    </row>
    <row r="3906" spans="3:13">
      <c r="C3906" s="660"/>
      <c r="D3906" s="666" t="s">
        <v>433</v>
      </c>
      <c r="E3906" s="1269"/>
      <c r="F3906" s="1270"/>
      <c r="G3906" s="1271"/>
      <c r="H3906" s="714" t="s">
        <v>795</v>
      </c>
      <c r="I3906" s="1246"/>
      <c r="J3906" s="1246"/>
      <c r="K3906" s="1247"/>
      <c r="L3906" s="664"/>
      <c r="M3906" s="667"/>
    </row>
    <row r="3907" spans="3:13">
      <c r="C3907" s="660"/>
      <c r="D3907" s="666" t="s">
        <v>434</v>
      </c>
      <c r="E3907" s="1278">
        <v>54.4</v>
      </c>
      <c r="F3907" s="1270"/>
      <c r="G3907" s="1271"/>
      <c r="H3907" s="715"/>
      <c r="I3907" s="1246"/>
      <c r="J3907" s="1246"/>
      <c r="K3907" s="1247"/>
      <c r="L3907" s="664"/>
      <c r="M3907" s="667"/>
    </row>
    <row r="3908" spans="3:13" ht="17" thickBot="1">
      <c r="C3908" s="660"/>
      <c r="D3908" s="668" t="s">
        <v>435</v>
      </c>
      <c r="E3908" s="1275">
        <v>0.57291666666666674</v>
      </c>
      <c r="F3908" s="1276"/>
      <c r="G3908" s="1277"/>
      <c r="H3908" s="716"/>
      <c r="I3908" s="1246"/>
      <c r="J3908" s="1246"/>
      <c r="K3908" s="1247"/>
      <c r="L3908" s="669">
        <v>0.80208333333333337</v>
      </c>
      <c r="M3908" s="670">
        <v>0.69791666666666674</v>
      </c>
    </row>
    <row r="3909" spans="3:13" ht="17" thickBot="1">
      <c r="C3909" s="660"/>
      <c r="D3909" s="671" t="s">
        <v>436</v>
      </c>
      <c r="E3909" s="672" t="s">
        <v>29</v>
      </c>
      <c r="F3909" s="672" t="s">
        <v>28</v>
      </c>
      <c r="G3909" s="673" t="s">
        <v>27</v>
      </c>
      <c r="H3909" s="712" t="s">
        <v>793</v>
      </c>
      <c r="I3909" s="1246"/>
      <c r="J3909" s="1246"/>
      <c r="K3909" s="1247"/>
      <c r="L3909" s="675" t="s">
        <v>1246</v>
      </c>
      <c r="M3909" s="676"/>
    </row>
    <row r="3910" spans="3:13">
      <c r="C3910" s="660"/>
      <c r="D3910" s="717">
        <v>45750</v>
      </c>
      <c r="E3910" s="693">
        <v>54.4</v>
      </c>
      <c r="F3910" s="693">
        <v>54.3</v>
      </c>
      <c r="G3910" s="693">
        <v>51</v>
      </c>
      <c r="H3910" s="718">
        <v>0.57291666666666674</v>
      </c>
      <c r="I3910" s="1246"/>
      <c r="J3910" s="1246"/>
      <c r="K3910" s="1247"/>
      <c r="L3910" s="679">
        <v>0.80208333333333337</v>
      </c>
      <c r="M3910" s="680"/>
    </row>
    <row r="3911" spans="3:13">
      <c r="C3911" s="660"/>
      <c r="D3911" s="717">
        <v>45740</v>
      </c>
      <c r="E3911" s="693">
        <v>54.3</v>
      </c>
      <c r="F3911" s="693">
        <v>51.2</v>
      </c>
      <c r="G3911" s="693">
        <v>51</v>
      </c>
      <c r="H3911" s="718">
        <v>0.57291666666666674</v>
      </c>
      <c r="I3911" s="1246"/>
      <c r="J3911" s="1246"/>
      <c r="K3911" s="1247"/>
      <c r="L3911" s="679">
        <v>0.80208333333333337</v>
      </c>
      <c r="M3911" s="681"/>
    </row>
    <row r="3912" spans="3:13">
      <c r="C3912" s="660"/>
      <c r="D3912" s="717">
        <v>45750</v>
      </c>
      <c r="E3912" s="693">
        <v>54.4</v>
      </c>
      <c r="F3912" s="693">
        <v>54.3</v>
      </c>
      <c r="G3912" s="693">
        <v>51</v>
      </c>
      <c r="H3912" s="718">
        <v>0.57291666666666674</v>
      </c>
      <c r="I3912" s="1246"/>
      <c r="J3912" s="1246"/>
      <c r="K3912" s="1247"/>
      <c r="L3912" s="679">
        <v>0.80208333333333337</v>
      </c>
      <c r="M3912" s="667"/>
    </row>
    <row r="3913" spans="3:13">
      <c r="C3913" s="660"/>
      <c r="D3913" s="717">
        <v>45740</v>
      </c>
      <c r="E3913" s="693">
        <v>54.3</v>
      </c>
      <c r="F3913" s="693">
        <v>51.2</v>
      </c>
      <c r="G3913" s="693">
        <v>51</v>
      </c>
      <c r="H3913" s="718">
        <v>0.57291666666666674</v>
      </c>
      <c r="I3913" s="1246"/>
      <c r="J3913" s="1246"/>
      <c r="K3913" s="1247"/>
      <c r="L3913" s="679">
        <v>0.80208333333333337</v>
      </c>
      <c r="M3913" s="667"/>
    </row>
    <row r="3914" spans="3:13">
      <c r="C3914" s="660"/>
      <c r="D3914" s="717">
        <v>45750</v>
      </c>
      <c r="E3914" s="693">
        <v>54.4</v>
      </c>
      <c r="F3914" s="693">
        <v>54.3</v>
      </c>
      <c r="G3914" s="693">
        <v>51</v>
      </c>
      <c r="H3914" s="718">
        <v>0.57291666666666674</v>
      </c>
      <c r="I3914" s="1246"/>
      <c r="J3914" s="1246"/>
      <c r="K3914" s="1247"/>
      <c r="L3914" s="679">
        <v>0.80208333333333337</v>
      </c>
      <c r="M3914" s="667"/>
    </row>
    <row r="3915" spans="3:13" ht="17" thickBot="1">
      <c r="C3915" s="660"/>
      <c r="D3915" s="717">
        <v>45740</v>
      </c>
      <c r="E3915" s="693">
        <v>54.3</v>
      </c>
      <c r="F3915" s="693">
        <v>51.2</v>
      </c>
      <c r="G3915" s="693">
        <v>51</v>
      </c>
      <c r="H3915" s="718">
        <v>0.57291666666666674</v>
      </c>
      <c r="I3915" s="1249"/>
      <c r="J3915" s="1249"/>
      <c r="K3915" s="1250"/>
      <c r="L3915" s="679">
        <v>0.80208333333333337</v>
      </c>
      <c r="M3915" s="682"/>
    </row>
    <row r="3916" spans="3:13" ht="17" thickBot="1">
      <c r="C3916" s="660">
        <v>1</v>
      </c>
      <c r="D3916" s="671" t="s">
        <v>30</v>
      </c>
      <c r="E3916" s="1252" t="s">
        <v>1503</v>
      </c>
      <c r="F3916" s="1253"/>
      <c r="G3916" s="1254"/>
      <c r="H3916" s="712" t="s">
        <v>790</v>
      </c>
      <c r="I3916" s="1256" t="s">
        <v>633</v>
      </c>
      <c r="J3916" s="1256"/>
      <c r="K3916" s="1257"/>
      <c r="L3916" s="674" t="s">
        <v>430</v>
      </c>
      <c r="M3916" s="713" t="s">
        <v>431</v>
      </c>
    </row>
    <row r="3917" spans="3:13">
      <c r="C3917" s="660"/>
      <c r="D3917" s="663" t="s">
        <v>432</v>
      </c>
      <c r="E3917" s="1266"/>
      <c r="F3917" s="1267"/>
      <c r="G3917" s="1268"/>
      <c r="H3917" s="714" t="s">
        <v>794</v>
      </c>
      <c r="I3917" s="1243" t="s">
        <v>1631</v>
      </c>
      <c r="J3917" s="1243"/>
      <c r="K3917" s="1244"/>
      <c r="L3917" s="664"/>
      <c r="M3917" s="665" t="s">
        <v>1503</v>
      </c>
    </row>
    <row r="3918" spans="3:13">
      <c r="C3918" s="660"/>
      <c r="D3918" s="666" t="s">
        <v>433</v>
      </c>
      <c r="E3918" s="1269"/>
      <c r="F3918" s="1270"/>
      <c r="G3918" s="1271"/>
      <c r="H3918" s="714" t="s">
        <v>795</v>
      </c>
      <c r="I3918" s="1246"/>
      <c r="J3918" s="1246"/>
      <c r="K3918" s="1247"/>
      <c r="L3918" s="664"/>
      <c r="M3918" s="667"/>
    </row>
    <row r="3919" spans="3:13">
      <c r="C3919" s="660"/>
      <c r="D3919" s="666" t="s">
        <v>434</v>
      </c>
      <c r="E3919" s="1278" t="s">
        <v>1972</v>
      </c>
      <c r="F3919" s="1270"/>
      <c r="G3919" s="1271"/>
      <c r="H3919" s="715"/>
      <c r="I3919" s="1246"/>
      <c r="J3919" s="1246"/>
      <c r="K3919" s="1247"/>
      <c r="L3919" s="664"/>
      <c r="M3919" s="667"/>
    </row>
    <row r="3920" spans="3:13" ht="17" thickBot="1">
      <c r="C3920" s="660"/>
      <c r="D3920" s="668" t="s">
        <v>435</v>
      </c>
      <c r="E3920" s="1275">
        <v>0.60416666666666674</v>
      </c>
      <c r="F3920" s="1276"/>
      <c r="G3920" s="1277"/>
      <c r="H3920" s="716"/>
      <c r="I3920" s="1246"/>
      <c r="J3920" s="1246"/>
      <c r="K3920" s="1247"/>
      <c r="L3920" s="669">
        <v>0.83333333333333337</v>
      </c>
      <c r="M3920" s="670">
        <v>0.72916666666666674</v>
      </c>
    </row>
    <row r="3921" spans="3:13" ht="17" thickBot="1">
      <c r="C3921" s="660"/>
      <c r="D3921" s="671" t="s">
        <v>436</v>
      </c>
      <c r="E3921" s="672" t="s">
        <v>29</v>
      </c>
      <c r="F3921" s="672" t="s">
        <v>28</v>
      </c>
      <c r="G3921" s="673" t="s">
        <v>27</v>
      </c>
      <c r="H3921" s="712" t="s">
        <v>793</v>
      </c>
      <c r="I3921" s="1246"/>
      <c r="J3921" s="1246"/>
      <c r="K3921" s="1247"/>
      <c r="L3921" s="675" t="s">
        <v>1246</v>
      </c>
      <c r="M3921" s="676"/>
    </row>
    <row r="3922" spans="3:13">
      <c r="C3922" s="660"/>
      <c r="D3922" s="717">
        <v>45763</v>
      </c>
      <c r="E3922" s="720" t="s">
        <v>2003</v>
      </c>
      <c r="F3922" s="720" t="s">
        <v>1030</v>
      </c>
      <c r="G3922" s="720" t="s">
        <v>1957</v>
      </c>
      <c r="H3922" s="933">
        <v>0.72916666666666674</v>
      </c>
      <c r="I3922" s="1246"/>
      <c r="J3922" s="1246"/>
      <c r="K3922" s="1247"/>
      <c r="L3922" s="679">
        <v>0.83333333333333337</v>
      </c>
      <c r="M3922" s="680"/>
    </row>
    <row r="3923" spans="3:13">
      <c r="C3923" s="660"/>
      <c r="D3923" s="717">
        <v>45756</v>
      </c>
      <c r="E3923" s="720" t="s">
        <v>1957</v>
      </c>
      <c r="F3923" s="720" t="s">
        <v>1602</v>
      </c>
      <c r="G3923" s="720" t="s">
        <v>1899</v>
      </c>
      <c r="H3923" s="933">
        <v>0.72916666666666674</v>
      </c>
      <c r="I3923" s="1246"/>
      <c r="J3923" s="1246"/>
      <c r="K3923" s="1247"/>
      <c r="L3923" s="679">
        <v>0.83333333333333337</v>
      </c>
      <c r="M3923" s="681"/>
    </row>
    <row r="3924" spans="3:13">
      <c r="C3924" s="660"/>
      <c r="D3924" s="717">
        <v>45749</v>
      </c>
      <c r="E3924" s="720" t="s">
        <v>1899</v>
      </c>
      <c r="F3924" s="720" t="s">
        <v>1926</v>
      </c>
      <c r="G3924" s="720" t="s">
        <v>1840</v>
      </c>
      <c r="H3924" s="933">
        <v>0.72916666666666674</v>
      </c>
      <c r="I3924" s="1246"/>
      <c r="J3924" s="1246"/>
      <c r="K3924" s="1247"/>
      <c r="L3924" s="679">
        <v>0.83333333333333337</v>
      </c>
      <c r="M3924" s="667"/>
    </row>
    <row r="3925" spans="3:13">
      <c r="C3925" s="660"/>
      <c r="D3925" s="717">
        <v>45742</v>
      </c>
      <c r="E3925" s="720" t="s">
        <v>1840</v>
      </c>
      <c r="F3925" s="720" t="s">
        <v>991</v>
      </c>
      <c r="G3925" s="720" t="s">
        <v>1696</v>
      </c>
      <c r="H3925" s="933">
        <v>0.72916666666666674</v>
      </c>
      <c r="I3925" s="1246"/>
      <c r="J3925" s="1246"/>
      <c r="K3925" s="1247"/>
      <c r="L3925" s="679">
        <v>0.83333333333333337</v>
      </c>
      <c r="M3925" s="667"/>
    </row>
    <row r="3926" spans="3:13">
      <c r="C3926" s="660"/>
      <c r="D3926" s="717">
        <v>45735</v>
      </c>
      <c r="E3926" s="720" t="s">
        <v>1696</v>
      </c>
      <c r="F3926" s="720" t="s">
        <v>993</v>
      </c>
      <c r="G3926" s="720" t="s">
        <v>1697</v>
      </c>
      <c r="H3926" s="933">
        <v>0.6875</v>
      </c>
      <c r="I3926" s="1246"/>
      <c r="J3926" s="1246"/>
      <c r="K3926" s="1247"/>
      <c r="L3926" s="679">
        <v>0.79166666666666663</v>
      </c>
      <c r="M3926" s="667"/>
    </row>
    <row r="3927" spans="3:13" ht="17" thickBot="1">
      <c r="C3927" s="660"/>
      <c r="D3927" s="717">
        <v>45728</v>
      </c>
      <c r="E3927" s="720" t="s">
        <v>1697</v>
      </c>
      <c r="F3927" s="720" t="s">
        <v>1698</v>
      </c>
      <c r="G3927" s="720" t="s">
        <v>1699</v>
      </c>
      <c r="H3927" s="933">
        <v>0.6875</v>
      </c>
      <c r="I3927" s="1249"/>
      <c r="J3927" s="1249"/>
      <c r="K3927" s="1250"/>
      <c r="L3927" s="679">
        <v>0.79166666666666663</v>
      </c>
      <c r="M3927" s="682"/>
    </row>
    <row r="3928" spans="3:13" ht="17" thickBot="1">
      <c r="C3928" s="660">
        <v>1</v>
      </c>
      <c r="D3928" s="671" t="s">
        <v>30</v>
      </c>
      <c r="E3928" s="1252" t="s">
        <v>1973</v>
      </c>
      <c r="F3928" s="1253"/>
      <c r="G3928" s="1254"/>
      <c r="H3928" s="712" t="s">
        <v>790</v>
      </c>
      <c r="I3928" s="1256" t="s">
        <v>633</v>
      </c>
      <c r="J3928" s="1256"/>
      <c r="K3928" s="1257"/>
      <c r="L3928" s="674" t="s">
        <v>430</v>
      </c>
      <c r="M3928" s="713" t="s">
        <v>431</v>
      </c>
    </row>
    <row r="3929" spans="3:13">
      <c r="C3929" s="660"/>
      <c r="D3929" s="663" t="s">
        <v>432</v>
      </c>
      <c r="E3929" s="1266"/>
      <c r="F3929" s="1267"/>
      <c r="G3929" s="1268"/>
      <c r="H3929" s="714" t="s">
        <v>794</v>
      </c>
      <c r="I3929" s="1243" t="s">
        <v>1631</v>
      </c>
      <c r="J3929" s="1243"/>
      <c r="K3929" s="1244"/>
      <c r="L3929" s="664"/>
      <c r="M3929" s="665" t="s">
        <v>1973</v>
      </c>
    </row>
    <row r="3930" spans="3:13">
      <c r="C3930" s="660"/>
      <c r="D3930" s="666" t="s">
        <v>433</v>
      </c>
      <c r="E3930" s="1269"/>
      <c r="F3930" s="1270"/>
      <c r="G3930" s="1271"/>
      <c r="H3930" s="714" t="s">
        <v>795</v>
      </c>
      <c r="I3930" s="1246"/>
      <c r="J3930" s="1246"/>
      <c r="K3930" s="1247"/>
      <c r="L3930" s="664"/>
      <c r="M3930" s="667"/>
    </row>
    <row r="3931" spans="3:13">
      <c r="C3931" s="660"/>
      <c r="D3931" s="666" t="s">
        <v>434</v>
      </c>
      <c r="E3931" s="1272">
        <v>0.01</v>
      </c>
      <c r="F3931" s="1273"/>
      <c r="G3931" s="1274"/>
      <c r="H3931" s="715"/>
      <c r="I3931" s="1246"/>
      <c r="J3931" s="1246"/>
      <c r="K3931" s="1247"/>
      <c r="L3931" s="664"/>
      <c r="M3931" s="667"/>
    </row>
    <row r="3932" spans="3:13" ht="17" thickBot="1">
      <c r="C3932" s="660"/>
      <c r="D3932" s="668" t="s">
        <v>435</v>
      </c>
      <c r="E3932" s="1275">
        <v>0.52083333333333337</v>
      </c>
      <c r="F3932" s="1276"/>
      <c r="G3932" s="1277"/>
      <c r="H3932" s="716"/>
      <c r="I3932" s="1246"/>
      <c r="J3932" s="1246"/>
      <c r="K3932" s="1247"/>
      <c r="L3932" s="669">
        <v>0.75</v>
      </c>
      <c r="M3932" s="670">
        <v>0.64583333333333337</v>
      </c>
    </row>
    <row r="3933" spans="3:13" ht="17" thickBot="1">
      <c r="C3933" s="660"/>
      <c r="D3933" s="671" t="s">
        <v>436</v>
      </c>
      <c r="E3933" s="672" t="s">
        <v>29</v>
      </c>
      <c r="F3933" s="672" t="s">
        <v>28</v>
      </c>
      <c r="G3933" s="673" t="s">
        <v>27</v>
      </c>
      <c r="H3933" s="712" t="s">
        <v>793</v>
      </c>
      <c r="I3933" s="1246"/>
      <c r="J3933" s="1246"/>
      <c r="K3933" s="1247"/>
      <c r="L3933" s="675" t="s">
        <v>1246</v>
      </c>
      <c r="M3933" s="676"/>
    </row>
    <row r="3934" spans="3:13">
      <c r="C3934" s="660"/>
      <c r="D3934" s="717">
        <v>45742</v>
      </c>
      <c r="E3934" s="720">
        <v>8.9999999999999993E-3</v>
      </c>
      <c r="F3934" s="720">
        <v>-1.0999999999999999E-2</v>
      </c>
      <c r="G3934" s="720">
        <v>3.3000000000000002E-2</v>
      </c>
      <c r="H3934" s="718">
        <v>0.52083333333333337</v>
      </c>
      <c r="I3934" s="1246"/>
      <c r="J3934" s="1246"/>
      <c r="K3934" s="1247"/>
      <c r="L3934" s="679">
        <v>0.75</v>
      </c>
      <c r="M3934" s="680"/>
    </row>
    <row r="3935" spans="3:13">
      <c r="C3935" s="660"/>
      <c r="D3935" s="717">
        <v>45715</v>
      </c>
      <c r="E3935" s="720">
        <v>3.1E-2</v>
      </c>
      <c r="F3935" s="720">
        <v>0.02</v>
      </c>
      <c r="G3935" s="720">
        <v>-1.7999999999999999E-2</v>
      </c>
      <c r="H3935" s="718">
        <v>0.5625</v>
      </c>
      <c r="I3935" s="1246"/>
      <c r="J3935" s="1246"/>
      <c r="K3935" s="1247"/>
      <c r="L3935" s="679">
        <v>0.79166666666666663</v>
      </c>
      <c r="M3935" s="681"/>
    </row>
    <row r="3936" spans="3:13">
      <c r="C3936" s="660"/>
      <c r="D3936" s="717">
        <v>45685</v>
      </c>
      <c r="E3936" s="720">
        <v>-2.1999999999999999E-2</v>
      </c>
      <c r="F3936" s="720">
        <v>3.0000000000000001E-3</v>
      </c>
      <c r="G3936" s="720">
        <v>-0.02</v>
      </c>
      <c r="H3936" s="718">
        <v>0.5625</v>
      </c>
      <c r="I3936" s="1246"/>
      <c r="J3936" s="1246"/>
      <c r="K3936" s="1247"/>
      <c r="L3936" s="679">
        <v>0.79166666666666663</v>
      </c>
      <c r="M3936" s="667"/>
    </row>
    <row r="3937" spans="3:13">
      <c r="C3937" s="660"/>
      <c r="D3937" s="717">
        <v>45649</v>
      </c>
      <c r="E3937" s="720">
        <v>-1.0999999999999999E-2</v>
      </c>
      <c r="F3937" s="720">
        <v>-3.0000000000000001E-3</v>
      </c>
      <c r="G3937" s="720">
        <v>8.0000000000000002E-3</v>
      </c>
      <c r="H3937" s="718">
        <v>0.5625</v>
      </c>
      <c r="I3937" s="1246"/>
      <c r="J3937" s="1246"/>
      <c r="K3937" s="1247"/>
      <c r="L3937" s="679">
        <v>0.79166666666666663</v>
      </c>
      <c r="M3937" s="667"/>
    </row>
    <row r="3938" spans="3:13">
      <c r="C3938" s="660"/>
      <c r="D3938" s="717">
        <v>45623</v>
      </c>
      <c r="E3938" s="720">
        <v>2E-3</v>
      </c>
      <c r="F3938" s="720">
        <v>-8.0000000000000002E-3</v>
      </c>
      <c r="G3938" s="720">
        <v>-4.0000000000000001E-3</v>
      </c>
      <c r="H3938" s="718">
        <v>0.5625</v>
      </c>
      <c r="I3938" s="1246"/>
      <c r="J3938" s="1246"/>
      <c r="K3938" s="1247"/>
      <c r="L3938" s="679">
        <v>0.79166666666666663</v>
      </c>
      <c r="M3938" s="667"/>
    </row>
    <row r="3939" spans="3:13" ht="17" thickBot="1">
      <c r="C3939" s="660"/>
      <c r="D3939" s="717">
        <v>45590</v>
      </c>
      <c r="E3939" s="720">
        <v>-8.0000000000000002E-3</v>
      </c>
      <c r="F3939" s="720">
        <v>-1.0999999999999999E-2</v>
      </c>
      <c r="G3939" s="720">
        <v>-8.0000000000000002E-3</v>
      </c>
      <c r="H3939" s="718">
        <v>0.52083333333333337</v>
      </c>
      <c r="I3939" s="1249"/>
      <c r="J3939" s="1249"/>
      <c r="K3939" s="1250"/>
      <c r="L3939" s="679">
        <v>0.75</v>
      </c>
      <c r="M3939" s="682"/>
    </row>
    <row r="3940" spans="3:13" ht="17" thickBot="1">
      <c r="C3940" s="660">
        <v>1</v>
      </c>
      <c r="D3940" s="671" t="s">
        <v>30</v>
      </c>
      <c r="E3940" s="1252" t="s">
        <v>1421</v>
      </c>
      <c r="F3940" s="1253"/>
      <c r="G3940" s="1254"/>
      <c r="H3940" s="712" t="s">
        <v>790</v>
      </c>
      <c r="I3940" s="1256" t="s">
        <v>633</v>
      </c>
      <c r="J3940" s="1256"/>
      <c r="K3940" s="1257"/>
      <c r="L3940" s="674" t="s">
        <v>430</v>
      </c>
      <c r="M3940" s="713" t="s">
        <v>431</v>
      </c>
    </row>
    <row r="3941" spans="3:13">
      <c r="C3941" s="660"/>
      <c r="D3941" s="663" t="s">
        <v>432</v>
      </c>
      <c r="E3941" s="1266"/>
      <c r="F3941" s="1267"/>
      <c r="G3941" s="1268"/>
      <c r="H3941" s="714" t="s">
        <v>794</v>
      </c>
      <c r="I3941" s="1243" t="s">
        <v>1460</v>
      </c>
      <c r="J3941" s="1243"/>
      <c r="K3941" s="1244"/>
      <c r="L3941" s="664"/>
      <c r="M3941" s="665" t="s">
        <v>1421</v>
      </c>
    </row>
    <row r="3942" spans="3:13">
      <c r="C3942" s="660"/>
      <c r="D3942" s="666" t="s">
        <v>433</v>
      </c>
      <c r="E3942" s="1269"/>
      <c r="F3942" s="1270"/>
      <c r="G3942" s="1271"/>
      <c r="H3942" s="714" t="s">
        <v>795</v>
      </c>
      <c r="I3942" s="1246"/>
      <c r="J3942" s="1246"/>
      <c r="K3942" s="1247"/>
      <c r="L3942" s="664"/>
      <c r="M3942" s="667"/>
    </row>
    <row r="3943" spans="3:13">
      <c r="C3943" s="660"/>
      <c r="D3943" s="666" t="s">
        <v>434</v>
      </c>
      <c r="E3943" s="1272">
        <v>0</v>
      </c>
      <c r="F3943" s="1273"/>
      <c r="G3943" s="1274"/>
      <c r="H3943" s="715"/>
      <c r="I3943" s="1246"/>
      <c r="J3943" s="1246"/>
      <c r="K3943" s="1247"/>
      <c r="L3943" s="664"/>
      <c r="M3943" s="667"/>
    </row>
    <row r="3944" spans="3:13" ht="17" thickBot="1">
      <c r="C3944" s="660"/>
      <c r="D3944" s="668" t="s">
        <v>435</v>
      </c>
      <c r="E3944" s="1275">
        <v>0.52083333333333337</v>
      </c>
      <c r="F3944" s="1276"/>
      <c r="G3944" s="1277"/>
      <c r="H3944" s="716"/>
      <c r="I3944" s="1246"/>
      <c r="J3944" s="1246"/>
      <c r="K3944" s="1247"/>
      <c r="L3944" s="669">
        <v>0.75</v>
      </c>
      <c r="M3944" s="670">
        <v>0.64583333333333337</v>
      </c>
    </row>
    <row r="3945" spans="3:13" ht="17" thickBot="1">
      <c r="C3945" s="660"/>
      <c r="D3945" s="671" t="s">
        <v>436</v>
      </c>
      <c r="E3945" s="672" t="s">
        <v>29</v>
      </c>
      <c r="F3945" s="672" t="s">
        <v>28</v>
      </c>
      <c r="G3945" s="673" t="s">
        <v>27</v>
      </c>
      <c r="H3945" s="712" t="s">
        <v>793</v>
      </c>
      <c r="I3945" s="1246"/>
      <c r="J3945" s="1246"/>
      <c r="K3945" s="1247"/>
      <c r="L3945" s="675" t="s">
        <v>1246</v>
      </c>
      <c r="M3945" s="676"/>
    </row>
    <row r="3946" spans="3:13">
      <c r="C3946" s="660"/>
      <c r="D3946" s="717">
        <v>45764</v>
      </c>
      <c r="E3946" s="720" t="s">
        <v>1232</v>
      </c>
      <c r="F3946" s="720" t="s">
        <v>985</v>
      </c>
      <c r="G3946" s="720" t="s">
        <v>1032</v>
      </c>
      <c r="H3946" s="718">
        <v>0.52083333333333337</v>
      </c>
      <c r="I3946" s="1246"/>
      <c r="J3946" s="1246"/>
      <c r="K3946" s="1247"/>
      <c r="L3946" s="679">
        <v>0.75</v>
      </c>
      <c r="M3946" s="680"/>
    </row>
    <row r="3947" spans="3:13">
      <c r="C3947" s="660"/>
      <c r="D3947" s="717">
        <v>45757</v>
      </c>
      <c r="E3947" s="720" t="s">
        <v>973</v>
      </c>
      <c r="F3947" s="720" t="s">
        <v>973</v>
      </c>
      <c r="G3947" s="720" t="s">
        <v>987</v>
      </c>
      <c r="H3947" s="718">
        <v>0.52083333333333337</v>
      </c>
      <c r="I3947" s="1246"/>
      <c r="J3947" s="1246"/>
      <c r="K3947" s="1247"/>
      <c r="L3947" s="679">
        <v>0.75</v>
      </c>
      <c r="M3947" s="681"/>
    </row>
    <row r="3948" spans="3:13">
      <c r="C3948" s="660"/>
      <c r="D3948" s="717">
        <v>45750</v>
      </c>
      <c r="E3948" s="720" t="s">
        <v>987</v>
      </c>
      <c r="F3948" s="720" t="s">
        <v>985</v>
      </c>
      <c r="G3948" s="720" t="s">
        <v>985</v>
      </c>
      <c r="H3948" s="718">
        <v>0.52083333333333337</v>
      </c>
      <c r="I3948" s="1246"/>
      <c r="J3948" s="1246"/>
      <c r="K3948" s="1247"/>
      <c r="L3948" s="679">
        <v>0.75</v>
      </c>
      <c r="M3948" s="667"/>
    </row>
    <row r="3949" spans="3:13">
      <c r="C3949" s="660"/>
      <c r="D3949" s="717">
        <v>45743</v>
      </c>
      <c r="E3949" s="720" t="s">
        <v>1032</v>
      </c>
      <c r="F3949" s="720" t="s">
        <v>985</v>
      </c>
      <c r="G3949" s="720" t="s">
        <v>985</v>
      </c>
      <c r="H3949" s="718">
        <v>0.52083333333333337</v>
      </c>
      <c r="I3949" s="1246"/>
      <c r="J3949" s="1246"/>
      <c r="K3949" s="1247"/>
      <c r="L3949" s="679">
        <v>0.75</v>
      </c>
      <c r="M3949" s="667"/>
    </row>
    <row r="3950" spans="3:13">
      <c r="C3950" s="660"/>
      <c r="D3950" s="717">
        <v>45736</v>
      </c>
      <c r="E3950" s="720" t="s">
        <v>973</v>
      </c>
      <c r="F3950" s="720" t="s">
        <v>1032</v>
      </c>
      <c r="G3950" s="720" t="s">
        <v>972</v>
      </c>
      <c r="H3950" s="718">
        <v>0.52083333333333337</v>
      </c>
      <c r="I3950" s="1246"/>
      <c r="J3950" s="1246"/>
      <c r="K3950" s="1247"/>
      <c r="L3950" s="679">
        <v>0.75</v>
      </c>
      <c r="M3950" s="667"/>
    </row>
    <row r="3951" spans="3:13" ht="17" thickBot="1">
      <c r="C3951" s="660"/>
      <c r="D3951" s="717">
        <v>45729</v>
      </c>
      <c r="E3951" s="720" t="s">
        <v>1112</v>
      </c>
      <c r="F3951" s="720" t="s">
        <v>1703</v>
      </c>
      <c r="G3951" s="720" t="s">
        <v>986</v>
      </c>
      <c r="H3951" s="718">
        <v>0.52083333333333337</v>
      </c>
      <c r="I3951" s="1249"/>
      <c r="J3951" s="1249"/>
      <c r="K3951" s="1250"/>
      <c r="L3951" s="679">
        <v>0.75</v>
      </c>
      <c r="M3951" s="682"/>
    </row>
    <row r="3952" spans="3:13" ht="17" thickBot="1">
      <c r="C3952" s="660">
        <v>1</v>
      </c>
      <c r="D3952" s="671" t="s">
        <v>30</v>
      </c>
      <c r="E3952" s="1252" t="s">
        <v>1974</v>
      </c>
      <c r="F3952" s="1253"/>
      <c r="G3952" s="1254"/>
      <c r="H3952" s="712" t="s">
        <v>790</v>
      </c>
      <c r="I3952" s="1256" t="s">
        <v>633</v>
      </c>
      <c r="J3952" s="1256"/>
      <c r="K3952" s="1257"/>
      <c r="L3952" s="674" t="s">
        <v>430</v>
      </c>
      <c r="M3952" s="713" t="s">
        <v>431</v>
      </c>
    </row>
    <row r="3953" spans="3:13">
      <c r="C3953" s="660"/>
      <c r="D3953" s="663" t="s">
        <v>432</v>
      </c>
      <c r="E3953" s="1266"/>
      <c r="F3953" s="1267"/>
      <c r="G3953" s="1268"/>
      <c r="H3953" s="714" t="s">
        <v>794</v>
      </c>
      <c r="I3953" s="1243" t="s">
        <v>1976</v>
      </c>
      <c r="J3953" s="1243"/>
      <c r="K3953" s="1244"/>
      <c r="L3953" s="664"/>
      <c r="M3953" s="665" t="s">
        <v>1974</v>
      </c>
    </row>
    <row r="3954" spans="3:13">
      <c r="C3954" s="660"/>
      <c r="D3954" s="666" t="s">
        <v>433</v>
      </c>
      <c r="E3954" s="1269"/>
      <c r="F3954" s="1270"/>
      <c r="G3954" s="1271"/>
      <c r="H3954" s="714" t="s">
        <v>795</v>
      </c>
      <c r="I3954" s="1246"/>
      <c r="J3954" s="1246"/>
      <c r="K3954" s="1247"/>
      <c r="L3954" s="664"/>
      <c r="M3954" s="667"/>
    </row>
    <row r="3955" spans="3:13">
      <c r="C3955" s="660"/>
      <c r="D3955" s="666" t="s">
        <v>434</v>
      </c>
      <c r="E3955" s="1272" t="s">
        <v>1975</v>
      </c>
      <c r="F3955" s="1273"/>
      <c r="G3955" s="1274"/>
      <c r="H3955" s="715"/>
      <c r="I3955" s="1246"/>
      <c r="J3955" s="1246"/>
      <c r="K3955" s="1247"/>
      <c r="L3955" s="664"/>
      <c r="M3955" s="667"/>
    </row>
    <row r="3956" spans="3:13" ht="17" thickBot="1">
      <c r="C3956" s="660"/>
      <c r="D3956" s="668" t="s">
        <v>435</v>
      </c>
      <c r="E3956" s="1275">
        <v>0.58333333333333337</v>
      </c>
      <c r="F3956" s="1276"/>
      <c r="G3956" s="1277"/>
      <c r="H3956" s="716"/>
      <c r="I3956" s="1246"/>
      <c r="J3956" s="1246"/>
      <c r="K3956" s="1247"/>
      <c r="L3956" s="669">
        <v>0.8125</v>
      </c>
      <c r="M3956" s="670">
        <v>0.70833333333333337</v>
      </c>
    </row>
    <row r="3957" spans="3:13" ht="17" thickBot="1">
      <c r="C3957" s="660"/>
      <c r="D3957" s="671" t="s">
        <v>436</v>
      </c>
      <c r="E3957" s="672" t="s">
        <v>29</v>
      </c>
      <c r="F3957" s="672" t="s">
        <v>28</v>
      </c>
      <c r="G3957" s="673" t="s">
        <v>27</v>
      </c>
      <c r="H3957" s="712" t="s">
        <v>793</v>
      </c>
      <c r="I3957" s="1246"/>
      <c r="J3957" s="1246"/>
      <c r="K3957" s="1247"/>
      <c r="L3957" s="675" t="s">
        <v>1246</v>
      </c>
      <c r="M3957" s="676"/>
    </row>
    <row r="3958" spans="3:13">
      <c r="C3958" s="660"/>
      <c r="D3958" s="717">
        <v>45736</v>
      </c>
      <c r="E3958" s="720" t="s">
        <v>2004</v>
      </c>
      <c r="F3958" s="720" t="s">
        <v>1044</v>
      </c>
      <c r="G3958" s="720" t="s">
        <v>1541</v>
      </c>
      <c r="H3958" s="718">
        <v>0.58333333333333337</v>
      </c>
      <c r="I3958" s="1246"/>
      <c r="J3958" s="1246"/>
      <c r="K3958" s="1247"/>
      <c r="L3958" s="679">
        <v>0.8125</v>
      </c>
      <c r="M3958" s="680"/>
    </row>
    <row r="3959" spans="3:13">
      <c r="C3959" s="660"/>
      <c r="D3959" s="717">
        <v>45709</v>
      </c>
      <c r="E3959" s="720" t="s">
        <v>1050</v>
      </c>
      <c r="F3959" s="720" t="s">
        <v>2005</v>
      </c>
      <c r="G3959" s="720" t="s">
        <v>2006</v>
      </c>
      <c r="H3959" s="718">
        <v>0.58333333333333337</v>
      </c>
      <c r="I3959" s="1246"/>
      <c r="J3959" s="1246"/>
      <c r="K3959" s="1247"/>
      <c r="L3959" s="679">
        <v>0.8125</v>
      </c>
      <c r="M3959" s="681"/>
    </row>
    <row r="3960" spans="3:13">
      <c r="C3960" s="660"/>
      <c r="D3960" s="717">
        <v>45681</v>
      </c>
      <c r="E3960" s="720" t="s">
        <v>2007</v>
      </c>
      <c r="F3960" s="720" t="s">
        <v>2008</v>
      </c>
      <c r="G3960" s="720" t="s">
        <v>1540</v>
      </c>
      <c r="H3960" s="718">
        <v>0.625</v>
      </c>
      <c r="I3960" s="1246"/>
      <c r="J3960" s="1246"/>
      <c r="K3960" s="1247"/>
      <c r="L3960" s="679">
        <v>0.85416666666666663</v>
      </c>
      <c r="M3960" s="667"/>
    </row>
    <row r="3961" spans="3:13">
      <c r="C3961" s="660"/>
      <c r="D3961" s="717">
        <v>45645</v>
      </c>
      <c r="E3961" s="720" t="s">
        <v>1540</v>
      </c>
      <c r="F3961" s="720" t="s">
        <v>1541</v>
      </c>
      <c r="G3961" s="720" t="s">
        <v>1043</v>
      </c>
      <c r="H3961" s="718">
        <v>0.625</v>
      </c>
      <c r="I3961" s="1246"/>
      <c r="J3961" s="1246"/>
      <c r="K3961" s="1247"/>
      <c r="L3961" s="679">
        <v>0.85416666666666663</v>
      </c>
      <c r="M3961" s="667"/>
    </row>
    <row r="3962" spans="3:13">
      <c r="C3962" s="660"/>
      <c r="D3962" s="717">
        <v>45617</v>
      </c>
      <c r="E3962" s="720" t="s">
        <v>1043</v>
      </c>
      <c r="F3962" s="720" t="s">
        <v>1044</v>
      </c>
      <c r="G3962" s="720" t="s">
        <v>1293</v>
      </c>
      <c r="H3962" s="718">
        <v>0.625</v>
      </c>
      <c r="I3962" s="1246"/>
      <c r="J3962" s="1246"/>
      <c r="K3962" s="1247"/>
      <c r="L3962" s="679">
        <v>0.85416666666666663</v>
      </c>
      <c r="M3962" s="667"/>
    </row>
    <row r="3963" spans="3:13" ht="17" thickBot="1">
      <c r="C3963" s="660"/>
      <c r="D3963" s="717">
        <v>45588</v>
      </c>
      <c r="E3963" s="720" t="s">
        <v>1039</v>
      </c>
      <c r="F3963" s="720" t="s">
        <v>1040</v>
      </c>
      <c r="G3963" s="720" t="s">
        <v>1040</v>
      </c>
      <c r="H3963" s="718">
        <v>0.625</v>
      </c>
      <c r="I3963" s="1249"/>
      <c r="J3963" s="1249"/>
      <c r="K3963" s="1250"/>
      <c r="L3963" s="679">
        <v>0.85416666666666663</v>
      </c>
      <c r="M3963" s="682"/>
    </row>
    <row r="3964" spans="3:13" ht="17" thickBot="1">
      <c r="C3964" s="660">
        <v>1</v>
      </c>
      <c r="D3964" s="671" t="s">
        <v>30</v>
      </c>
      <c r="E3964" s="1252" t="s">
        <v>1977</v>
      </c>
      <c r="F3964" s="1253"/>
      <c r="G3964" s="1254"/>
      <c r="H3964" s="712" t="s">
        <v>790</v>
      </c>
      <c r="I3964" s="1256" t="s">
        <v>633</v>
      </c>
      <c r="J3964" s="1256"/>
      <c r="K3964" s="1257"/>
      <c r="L3964" s="674" t="s">
        <v>430</v>
      </c>
      <c r="M3964" s="713" t="s">
        <v>431</v>
      </c>
    </row>
    <row r="3965" spans="3:13">
      <c r="C3965" s="660"/>
      <c r="D3965" s="663" t="s">
        <v>432</v>
      </c>
      <c r="E3965" s="1266"/>
      <c r="F3965" s="1267"/>
      <c r="G3965" s="1268"/>
      <c r="H3965" s="714" t="s">
        <v>794</v>
      </c>
      <c r="I3965" s="1243" t="s">
        <v>1965</v>
      </c>
      <c r="J3965" s="1243"/>
      <c r="K3965" s="1244"/>
      <c r="L3965" s="664"/>
      <c r="M3965" s="665" t="s">
        <v>1977</v>
      </c>
    </row>
    <row r="3966" spans="3:13">
      <c r="C3966" s="660"/>
      <c r="D3966" s="666" t="s">
        <v>433</v>
      </c>
      <c r="E3966" s="1269"/>
      <c r="F3966" s="1270"/>
      <c r="G3966" s="1271"/>
      <c r="H3966" s="714" t="s">
        <v>795</v>
      </c>
      <c r="I3966" s="1246"/>
      <c r="J3966" s="1246"/>
      <c r="K3966" s="1247"/>
      <c r="L3966" s="664"/>
      <c r="M3966" s="667"/>
    </row>
    <row r="3967" spans="3:13">
      <c r="C3967" s="660"/>
      <c r="D3967" s="666" t="s">
        <v>434</v>
      </c>
      <c r="E3967" s="1272" t="s">
        <v>1347</v>
      </c>
      <c r="F3967" s="1273"/>
      <c r="G3967" s="1274"/>
      <c r="H3967" s="715"/>
      <c r="I3967" s="1246"/>
      <c r="J3967" s="1246"/>
      <c r="K3967" s="1247"/>
      <c r="L3967" s="664"/>
      <c r="M3967" s="667"/>
    </row>
    <row r="3968" spans="3:13" ht="17" thickBot="1">
      <c r="C3968" s="660"/>
      <c r="D3968" s="668" t="s">
        <v>435</v>
      </c>
      <c r="E3968" s="1275">
        <v>0.58333333333333337</v>
      </c>
      <c r="F3968" s="1276"/>
      <c r="G3968" s="1277"/>
      <c r="H3968" s="716"/>
      <c r="I3968" s="1246"/>
      <c r="J3968" s="1246"/>
      <c r="K3968" s="1247"/>
      <c r="L3968" s="669">
        <v>0.8125</v>
      </c>
      <c r="M3968" s="670">
        <v>0.70833333333333337</v>
      </c>
    </row>
    <row r="3969" spans="3:13" ht="17" thickBot="1">
      <c r="C3969" s="660"/>
      <c r="D3969" s="671" t="s">
        <v>436</v>
      </c>
      <c r="E3969" s="672" t="s">
        <v>29</v>
      </c>
      <c r="F3969" s="672" t="s">
        <v>28</v>
      </c>
      <c r="G3969" s="673" t="s">
        <v>27</v>
      </c>
      <c r="H3969" s="712" t="s">
        <v>793</v>
      </c>
      <c r="I3969" s="1246"/>
      <c r="J3969" s="1246"/>
      <c r="K3969" s="1247"/>
      <c r="L3969" s="675" t="s">
        <v>1246</v>
      </c>
      <c r="M3969" s="676"/>
    </row>
    <row r="3970" spans="3:13">
      <c r="C3970" s="660"/>
      <c r="D3970" s="717">
        <v>45692</v>
      </c>
      <c r="E3970" s="720" t="s">
        <v>1992</v>
      </c>
      <c r="F3970" s="720" t="s">
        <v>1991</v>
      </c>
      <c r="G3970" s="720"/>
      <c r="H3970" s="718">
        <v>0.58333333333333337</v>
      </c>
      <c r="I3970" s="1246"/>
      <c r="J3970" s="1246"/>
      <c r="K3970" s="1247"/>
      <c r="L3970" s="679">
        <v>0.8125</v>
      </c>
      <c r="M3970" s="680"/>
    </row>
    <row r="3971" spans="3:13">
      <c r="C3971" s="660"/>
      <c r="D3971" s="717">
        <v>45594</v>
      </c>
      <c r="E3971" s="720" t="s">
        <v>1991</v>
      </c>
      <c r="F3971" s="720" t="s">
        <v>1993</v>
      </c>
      <c r="G3971" s="720"/>
      <c r="H3971" s="718">
        <v>0.58333333333333337</v>
      </c>
      <c r="I3971" s="1246"/>
      <c r="J3971" s="1246"/>
      <c r="K3971" s="1247"/>
      <c r="L3971" s="679">
        <v>0.8125</v>
      </c>
      <c r="M3971" s="681"/>
    </row>
    <row r="3972" spans="3:13">
      <c r="C3972" s="660"/>
      <c r="D3972" s="717">
        <v>45496</v>
      </c>
      <c r="E3972" s="720" t="s">
        <v>1995</v>
      </c>
      <c r="F3972" s="720" t="s">
        <v>1994</v>
      </c>
      <c r="G3972" s="720"/>
      <c r="H3972" s="718">
        <v>0.625</v>
      </c>
      <c r="I3972" s="1246"/>
      <c r="J3972" s="1246"/>
      <c r="K3972" s="1247"/>
      <c r="L3972" s="679">
        <v>0.85416666666666663</v>
      </c>
      <c r="M3972" s="667"/>
    </row>
    <row r="3973" spans="3:13">
      <c r="C3973" s="660"/>
      <c r="D3973" s="717">
        <v>45407</v>
      </c>
      <c r="E3973" s="720" t="s">
        <v>1995</v>
      </c>
      <c r="F3973" s="720" t="s">
        <v>1996</v>
      </c>
      <c r="G3973" s="720"/>
      <c r="H3973" s="718">
        <v>0.625</v>
      </c>
      <c r="I3973" s="1246"/>
      <c r="J3973" s="1246"/>
      <c r="K3973" s="1247"/>
      <c r="L3973" s="679">
        <v>0.85416666666666663</v>
      </c>
      <c r="M3973" s="667"/>
    </row>
    <row r="3974" spans="3:13">
      <c r="C3974" s="660"/>
      <c r="D3974" s="717">
        <v>45321</v>
      </c>
      <c r="E3974" s="720" t="s">
        <v>1998</v>
      </c>
      <c r="F3974" s="720" t="s">
        <v>1997</v>
      </c>
      <c r="G3974" s="720"/>
      <c r="H3974" s="718">
        <v>0.625</v>
      </c>
      <c r="I3974" s="1246"/>
      <c r="J3974" s="1246"/>
      <c r="K3974" s="1247"/>
      <c r="L3974" s="679">
        <v>0.85416666666666663</v>
      </c>
      <c r="M3974" s="667"/>
    </row>
    <row r="3975" spans="3:13" ht="17" thickBot="1">
      <c r="C3975" s="660"/>
      <c r="D3975" s="717">
        <v>45223</v>
      </c>
      <c r="E3975" s="720" t="s">
        <v>2000</v>
      </c>
      <c r="F3975" s="720" t="s">
        <v>1999</v>
      </c>
      <c r="G3975" s="720"/>
      <c r="H3975" s="718">
        <v>0.625</v>
      </c>
      <c r="I3975" s="1249"/>
      <c r="J3975" s="1249"/>
      <c r="K3975" s="1250"/>
      <c r="L3975" s="679">
        <v>0.85416666666666663</v>
      </c>
      <c r="M3975" s="682"/>
    </row>
    <row r="3976" spans="3:13" ht="17" thickBot="1">
      <c r="C3976" s="660">
        <v>1</v>
      </c>
      <c r="D3976" s="671" t="s">
        <v>30</v>
      </c>
      <c r="E3976" s="1252" t="s">
        <v>1979</v>
      </c>
      <c r="F3976" s="1253"/>
      <c r="G3976" s="1254"/>
      <c r="H3976" s="712" t="s">
        <v>790</v>
      </c>
      <c r="I3976" s="1256" t="s">
        <v>633</v>
      </c>
      <c r="J3976" s="1256"/>
      <c r="K3976" s="1257"/>
      <c r="L3976" s="674" t="s">
        <v>430</v>
      </c>
      <c r="M3976" s="713" t="s">
        <v>431</v>
      </c>
    </row>
    <row r="3977" spans="3:13">
      <c r="C3977" s="660"/>
      <c r="D3977" s="663" t="s">
        <v>432</v>
      </c>
      <c r="E3977" s="1266"/>
      <c r="F3977" s="1267"/>
      <c r="G3977" s="1268"/>
      <c r="H3977" s="714" t="s">
        <v>909</v>
      </c>
      <c r="I3977" s="1243" t="s">
        <v>1963</v>
      </c>
      <c r="J3977" s="1243"/>
      <c r="K3977" s="1244"/>
      <c r="L3977" s="664"/>
      <c r="M3977" s="665" t="s">
        <v>1979</v>
      </c>
    </row>
    <row r="3978" spans="3:13">
      <c r="C3978" s="660"/>
      <c r="D3978" s="666" t="s">
        <v>433</v>
      </c>
      <c r="E3978" s="1269"/>
      <c r="F3978" s="1270"/>
      <c r="G3978" s="1271"/>
      <c r="H3978" s="715" t="s">
        <v>910</v>
      </c>
      <c r="I3978" s="1246"/>
      <c r="J3978" s="1246"/>
      <c r="K3978" s="1247"/>
      <c r="L3978" s="664"/>
      <c r="M3978" s="667"/>
    </row>
    <row r="3979" spans="3:13">
      <c r="C3979" s="660"/>
      <c r="D3979" s="666" t="s">
        <v>434</v>
      </c>
      <c r="E3979" s="1272">
        <v>0</v>
      </c>
      <c r="F3979" s="1273"/>
      <c r="G3979" s="1274"/>
      <c r="H3979" s="715"/>
      <c r="I3979" s="1246"/>
      <c r="J3979" s="1246"/>
      <c r="K3979" s="1247"/>
      <c r="L3979" s="664"/>
      <c r="M3979" s="667"/>
    </row>
    <row r="3980" spans="3:13" ht="17" thickBot="1">
      <c r="C3980" s="660"/>
      <c r="D3980" s="668" t="s">
        <v>435</v>
      </c>
      <c r="E3980" s="1275" t="e">
        <v>#VALUE!</v>
      </c>
      <c r="F3980" s="1276"/>
      <c r="G3980" s="1277"/>
      <c r="H3980" s="716"/>
      <c r="I3980" s="1246"/>
      <c r="J3980" s="1246"/>
      <c r="K3980" s="1247"/>
      <c r="L3980" s="669" t="s">
        <v>1449</v>
      </c>
      <c r="M3980" s="670" t="e">
        <v>#VALUE!</v>
      </c>
    </row>
    <row r="3981" spans="3:13" ht="17" thickBot="1">
      <c r="C3981" s="660"/>
      <c r="D3981" s="671" t="s">
        <v>436</v>
      </c>
      <c r="E3981" s="672" t="s">
        <v>29</v>
      </c>
      <c r="F3981" s="672" t="s">
        <v>28</v>
      </c>
      <c r="G3981" s="673" t="s">
        <v>27</v>
      </c>
      <c r="H3981" s="712" t="s">
        <v>793</v>
      </c>
      <c r="I3981" s="1246"/>
      <c r="J3981" s="1246"/>
      <c r="K3981" s="1247"/>
      <c r="L3981" s="675" t="s">
        <v>1246</v>
      </c>
      <c r="M3981" s="676"/>
    </row>
    <row r="3982" spans="3:13">
      <c r="C3982" s="660"/>
      <c r="D3982" s="717">
        <v>45748</v>
      </c>
      <c r="E3982" s="720">
        <v>2.1999999999999999E-2</v>
      </c>
      <c r="F3982" s="720">
        <v>2.1999999999999999E-2</v>
      </c>
      <c r="G3982" s="720">
        <v>2.3E-2</v>
      </c>
      <c r="H3982" s="718">
        <v>0.375</v>
      </c>
      <c r="I3982" s="1246"/>
      <c r="J3982" s="1246"/>
      <c r="K3982" s="1247"/>
      <c r="L3982" s="679">
        <v>0.60416666666666663</v>
      </c>
      <c r="M3982" s="680"/>
    </row>
    <row r="3983" spans="3:13">
      <c r="C3983" s="660"/>
      <c r="D3983" s="717">
        <v>45735</v>
      </c>
      <c r="E3983" s="720">
        <v>2.3E-2</v>
      </c>
      <c r="F3983" s="720">
        <v>2.4E-2</v>
      </c>
      <c r="G3983" s="720">
        <v>2.5000000000000001E-2</v>
      </c>
      <c r="H3983" s="718">
        <v>0.41666666666666674</v>
      </c>
      <c r="I3983" s="1246"/>
      <c r="J3983" s="1246"/>
      <c r="K3983" s="1247"/>
      <c r="L3983" s="679">
        <v>0.64583333333333337</v>
      </c>
      <c r="M3983" s="681"/>
    </row>
    <row r="3984" spans="3:13">
      <c r="C3984" s="660"/>
      <c r="D3984" s="717">
        <v>45719</v>
      </c>
      <c r="E3984" s="720">
        <v>2.4E-2</v>
      </c>
      <c r="F3984" s="720">
        <v>2.3E-2</v>
      </c>
      <c r="G3984" s="720">
        <v>2.5000000000000001E-2</v>
      </c>
      <c r="H3984" s="718">
        <v>0.41666666666666674</v>
      </c>
      <c r="I3984" s="1246"/>
      <c r="J3984" s="1246"/>
      <c r="K3984" s="1247"/>
      <c r="L3984" s="679">
        <v>0.64583333333333337</v>
      </c>
      <c r="M3984" s="667"/>
    </row>
    <row r="3985" spans="3:13">
      <c r="C3985" s="660"/>
      <c r="D3985" s="717">
        <v>45712</v>
      </c>
      <c r="E3985" s="720">
        <v>2.5000000000000001E-2</v>
      </c>
      <c r="F3985" s="720">
        <v>2.5000000000000001E-2</v>
      </c>
      <c r="G3985" s="720">
        <v>2.4E-2</v>
      </c>
      <c r="H3985" s="718">
        <v>0.41666666666666674</v>
      </c>
      <c r="I3985" s="1246"/>
      <c r="J3985" s="1246"/>
      <c r="K3985" s="1247"/>
      <c r="L3985" s="679">
        <v>0.64583333333333337</v>
      </c>
      <c r="M3985" s="667"/>
    </row>
    <row r="3986" spans="3:13">
      <c r="C3986" s="660"/>
      <c r="D3986" s="717">
        <v>45691</v>
      </c>
      <c r="E3986" s="720">
        <v>2.5000000000000001E-2</v>
      </c>
      <c r="F3986" s="720">
        <v>2.4E-2</v>
      </c>
      <c r="G3986" s="720">
        <v>2.4E-2</v>
      </c>
      <c r="H3986" s="718">
        <v>0.41666666666666674</v>
      </c>
      <c r="I3986" s="1246"/>
      <c r="J3986" s="1246"/>
      <c r="K3986" s="1247"/>
      <c r="L3986" s="679">
        <v>0.64583333333333337</v>
      </c>
      <c r="M3986" s="667"/>
    </row>
    <row r="3987" spans="3:13" ht="17" thickBot="1">
      <c r="C3987" s="660"/>
      <c r="D3987" s="717">
        <v>45674</v>
      </c>
      <c r="E3987" s="720">
        <v>2.4E-2</v>
      </c>
      <c r="F3987" s="720">
        <v>2.4E-2</v>
      </c>
      <c r="G3987" s="720">
        <v>2.1999999999999999E-2</v>
      </c>
      <c r="H3987" s="718">
        <v>0.41666666666666674</v>
      </c>
      <c r="I3987" s="1249"/>
      <c r="J3987" s="1249"/>
      <c r="K3987" s="1250"/>
      <c r="L3987" s="679">
        <v>0.64583333333333337</v>
      </c>
      <c r="M3987" s="682"/>
    </row>
    <row r="3988" spans="3:13" ht="17" thickBot="1">
      <c r="C3988" s="660">
        <v>1</v>
      </c>
      <c r="D3988" s="671" t="s">
        <v>30</v>
      </c>
      <c r="E3988" s="1252" t="s">
        <v>1980</v>
      </c>
      <c r="F3988" s="1253"/>
      <c r="G3988" s="1254"/>
      <c r="H3988" s="712" t="s">
        <v>790</v>
      </c>
      <c r="I3988" s="1256" t="s">
        <v>633</v>
      </c>
      <c r="J3988" s="1256"/>
      <c r="K3988" s="1257"/>
      <c r="L3988" s="674" t="s">
        <v>430</v>
      </c>
      <c r="M3988" s="713" t="s">
        <v>431</v>
      </c>
    </row>
    <row r="3989" spans="3:13">
      <c r="C3989" s="660"/>
      <c r="D3989" s="663" t="s">
        <v>432</v>
      </c>
      <c r="E3989" s="1266"/>
      <c r="F3989" s="1267"/>
      <c r="G3989" s="1268"/>
      <c r="H3989" s="714" t="s">
        <v>794</v>
      </c>
      <c r="I3989" s="1243" t="s">
        <v>1963</v>
      </c>
      <c r="J3989" s="1243"/>
      <c r="K3989" s="1244"/>
      <c r="L3989" s="664"/>
      <c r="M3989" s="665" t="s">
        <v>1980</v>
      </c>
    </row>
    <row r="3990" spans="3:13">
      <c r="C3990" s="660"/>
      <c r="D3990" s="666" t="s">
        <v>433</v>
      </c>
      <c r="E3990" s="1269"/>
      <c r="F3990" s="1270"/>
      <c r="G3990" s="1271"/>
      <c r="H3990" s="715" t="s">
        <v>795</v>
      </c>
      <c r="I3990" s="1246"/>
      <c r="J3990" s="1246"/>
      <c r="K3990" s="1247"/>
      <c r="L3990" s="664"/>
      <c r="M3990" s="667"/>
    </row>
    <row r="3991" spans="3:13">
      <c r="C3991" s="660"/>
      <c r="D3991" s="666" t="s">
        <v>434</v>
      </c>
      <c r="E3991" s="1272">
        <v>0</v>
      </c>
      <c r="F3991" s="1273"/>
      <c r="G3991" s="1274"/>
      <c r="H3991" s="715"/>
      <c r="I3991" s="1246"/>
      <c r="J3991" s="1246"/>
      <c r="K3991" s="1247"/>
      <c r="L3991" s="664"/>
      <c r="M3991" s="667"/>
    </row>
    <row r="3992" spans="3:13" ht="17" thickBot="1">
      <c r="C3992" s="660"/>
      <c r="D3992" s="668" t="s">
        <v>435</v>
      </c>
      <c r="E3992" s="1275" t="e">
        <v>#VALUE!</v>
      </c>
      <c r="F3992" s="1276"/>
      <c r="G3992" s="1277"/>
      <c r="H3992" s="716"/>
      <c r="I3992" s="1246"/>
      <c r="J3992" s="1246"/>
      <c r="K3992" s="1247"/>
      <c r="L3992" s="669" t="s">
        <v>1449</v>
      </c>
      <c r="M3992" s="670" t="e">
        <v>#VALUE!</v>
      </c>
    </row>
    <row r="3993" spans="3:13" ht="17" thickBot="1">
      <c r="C3993" s="660"/>
      <c r="D3993" s="671" t="s">
        <v>436</v>
      </c>
      <c r="E3993" s="672" t="s">
        <v>29</v>
      </c>
      <c r="F3993" s="672" t="s">
        <v>28</v>
      </c>
      <c r="G3993" s="673" t="s">
        <v>27</v>
      </c>
      <c r="H3993" s="712" t="s">
        <v>793</v>
      </c>
      <c r="I3993" s="1246"/>
      <c r="J3993" s="1246"/>
      <c r="K3993" s="1247"/>
      <c r="L3993" s="675" t="s">
        <v>1246</v>
      </c>
      <c r="M3993" s="676"/>
    </row>
    <row r="3994" spans="3:13">
      <c r="C3994" s="660"/>
      <c r="D3994" s="717">
        <v>45733</v>
      </c>
      <c r="E3994" s="720">
        <v>3.0000000000000001E-3</v>
      </c>
      <c r="F3994" s="720">
        <v>3.0000000000000001E-3</v>
      </c>
      <c r="G3994" s="720">
        <v>-6.0000000000000001E-3</v>
      </c>
      <c r="H3994" s="718">
        <v>0.52083333333333337</v>
      </c>
      <c r="I3994" s="1246"/>
      <c r="J3994" s="1246"/>
      <c r="K3994" s="1247"/>
      <c r="L3994" s="718">
        <v>0.75</v>
      </c>
      <c r="M3994" s="680"/>
    </row>
    <row r="3995" spans="3:13">
      <c r="C3995" s="660"/>
      <c r="D3995" s="717">
        <v>45702</v>
      </c>
      <c r="E3995" s="720">
        <v>-4.0000000000000001E-3</v>
      </c>
      <c r="F3995" s="720">
        <v>3.0000000000000001E-3</v>
      </c>
      <c r="G3995" s="720">
        <v>7.0000000000000001E-3</v>
      </c>
      <c r="H3995" s="718">
        <v>0.5625</v>
      </c>
      <c r="I3995" s="1246"/>
      <c r="J3995" s="1246"/>
      <c r="K3995" s="1247"/>
      <c r="L3995" s="718">
        <v>0.79166666666666663</v>
      </c>
      <c r="M3995" s="681"/>
    </row>
    <row r="3996" spans="3:13">
      <c r="C3996" s="660"/>
      <c r="D3996" s="717">
        <v>45673</v>
      </c>
      <c r="E3996" s="720">
        <v>4.0000000000000001E-3</v>
      </c>
      <c r="F3996" s="720">
        <v>5.0000000000000001E-3</v>
      </c>
      <c r="G3996" s="720">
        <v>2E-3</v>
      </c>
      <c r="H3996" s="718">
        <v>0.5625</v>
      </c>
      <c r="I3996" s="1246"/>
      <c r="J3996" s="1246"/>
      <c r="K3996" s="1247"/>
      <c r="L3996" s="718">
        <v>0.79166666666666663</v>
      </c>
      <c r="M3996" s="667"/>
    </row>
    <row r="3997" spans="3:13">
      <c r="C3997" s="660"/>
      <c r="D3997" s="717">
        <v>45643</v>
      </c>
      <c r="E3997" s="720">
        <v>2E-3</v>
      </c>
      <c r="F3997" s="720">
        <v>4.0000000000000001E-3</v>
      </c>
      <c r="G3997" s="720">
        <v>2E-3</v>
      </c>
      <c r="H3997" s="718">
        <v>0.5625</v>
      </c>
      <c r="I3997" s="1246"/>
      <c r="J3997" s="1246"/>
      <c r="K3997" s="1247"/>
      <c r="L3997" s="718">
        <v>0.79166666666666663</v>
      </c>
      <c r="M3997" s="667"/>
    </row>
    <row r="3998" spans="3:13">
      <c r="C3998" s="660"/>
      <c r="D3998" s="717">
        <v>45611</v>
      </c>
      <c r="E3998" s="720">
        <v>1E-3</v>
      </c>
      <c r="F3998" s="720">
        <v>3.0000000000000001E-3</v>
      </c>
      <c r="G3998" s="720">
        <v>0.01</v>
      </c>
      <c r="H3998" s="718">
        <v>0.5625</v>
      </c>
      <c r="I3998" s="1246"/>
      <c r="J3998" s="1246"/>
      <c r="K3998" s="1247"/>
      <c r="L3998" s="718">
        <v>0.79166666666666663</v>
      </c>
      <c r="M3998" s="667"/>
    </row>
    <row r="3999" spans="3:13" ht="17" thickBot="1">
      <c r="C3999" s="660"/>
      <c r="D3999" s="717">
        <v>45582</v>
      </c>
      <c r="E3999" s="720">
        <v>5.0000000000000001E-3</v>
      </c>
      <c r="F3999" s="720">
        <v>1E-3</v>
      </c>
      <c r="G3999" s="720">
        <v>2E-3</v>
      </c>
      <c r="H3999" s="718">
        <v>0.52083333333333337</v>
      </c>
      <c r="I3999" s="1249"/>
      <c r="J3999" s="1249"/>
      <c r="K3999" s="1250"/>
      <c r="L3999" s="718">
        <v>0.75</v>
      </c>
      <c r="M3999" s="682"/>
    </row>
    <row r="4000" spans="3:13" ht="17" thickBot="1">
      <c r="C4000" s="660">
        <v>1</v>
      </c>
      <c r="D4000" s="671" t="s">
        <v>30</v>
      </c>
      <c r="E4000" s="1252" t="s">
        <v>1938</v>
      </c>
      <c r="F4000" s="1253"/>
      <c r="G4000" s="1254"/>
      <c r="H4000" s="712" t="s">
        <v>790</v>
      </c>
      <c r="I4000" s="1256" t="s">
        <v>633</v>
      </c>
      <c r="J4000" s="1256"/>
      <c r="K4000" s="1257"/>
      <c r="L4000" s="674" t="s">
        <v>430</v>
      </c>
      <c r="M4000" s="713" t="s">
        <v>431</v>
      </c>
    </row>
    <row r="4001" spans="3:13">
      <c r="C4001" s="660"/>
      <c r="D4001" s="663" t="s">
        <v>432</v>
      </c>
      <c r="E4001" s="1266"/>
      <c r="F4001" s="1267"/>
      <c r="G4001" s="1268"/>
      <c r="H4001" s="714" t="s">
        <v>794</v>
      </c>
      <c r="I4001" s="1243" t="s">
        <v>1939</v>
      </c>
      <c r="J4001" s="1243"/>
      <c r="K4001" s="1244"/>
      <c r="L4001" s="664"/>
      <c r="M4001" s="665" t="s">
        <v>1938</v>
      </c>
    </row>
    <row r="4002" spans="3:13">
      <c r="C4002" s="660"/>
      <c r="D4002" s="666" t="s">
        <v>433</v>
      </c>
      <c r="E4002" s="1269"/>
      <c r="F4002" s="1270"/>
      <c r="G4002" s="1271"/>
      <c r="H4002" s="715" t="s">
        <v>795</v>
      </c>
      <c r="I4002" s="1246"/>
      <c r="J4002" s="1246"/>
      <c r="K4002" s="1247"/>
      <c r="L4002" s="664"/>
      <c r="M4002" s="667"/>
    </row>
    <row r="4003" spans="3:13">
      <c r="C4003" s="660"/>
      <c r="D4003" s="666" t="s">
        <v>434</v>
      </c>
      <c r="E4003" s="1272">
        <v>2E-3</v>
      </c>
      <c r="F4003" s="1273"/>
      <c r="G4003" s="1274"/>
      <c r="H4003" s="715"/>
      <c r="I4003" s="1246"/>
      <c r="J4003" s="1246"/>
      <c r="K4003" s="1247"/>
      <c r="L4003" s="664"/>
      <c r="M4003" s="667"/>
    </row>
    <row r="4004" spans="3:13" ht="17" thickBot="1">
      <c r="C4004" s="660"/>
      <c r="D4004" s="668" t="s">
        <v>435</v>
      </c>
      <c r="E4004" s="1275">
        <v>0.52083333333333337</v>
      </c>
      <c r="F4004" s="1276"/>
      <c r="G4004" s="1277"/>
      <c r="H4004" s="716"/>
      <c r="I4004" s="1246"/>
      <c r="J4004" s="1246"/>
      <c r="K4004" s="1247"/>
      <c r="L4004" s="669">
        <v>0.75</v>
      </c>
      <c r="M4004" s="670">
        <v>0.64583333333333337</v>
      </c>
    </row>
    <row r="4005" spans="3:13" ht="17" thickBot="1">
      <c r="C4005" s="660"/>
      <c r="D4005" s="671" t="s">
        <v>436</v>
      </c>
      <c r="E4005" s="672" t="s">
        <v>29</v>
      </c>
      <c r="F4005" s="672" t="s">
        <v>28</v>
      </c>
      <c r="G4005" s="673" t="s">
        <v>27</v>
      </c>
      <c r="H4005" s="712" t="s">
        <v>793</v>
      </c>
      <c r="I4005" s="1246"/>
      <c r="J4005" s="1246"/>
      <c r="K4005" s="1247"/>
      <c r="L4005" s="675" t="s">
        <v>1246</v>
      </c>
      <c r="M4005" s="676"/>
    </row>
    <row r="4006" spans="3:13">
      <c r="C4006" s="660"/>
      <c r="D4006" s="717">
        <v>45733</v>
      </c>
      <c r="E4006" s="720">
        <v>2E-3</v>
      </c>
      <c r="F4006" s="720">
        <v>6.0000000000000001E-3</v>
      </c>
      <c r="G4006" s="720">
        <v>-1.2E-2</v>
      </c>
      <c r="H4006" s="718">
        <v>0.52083333333333337</v>
      </c>
      <c r="I4006" s="1246"/>
      <c r="J4006" s="1246"/>
      <c r="K4006" s="1247"/>
      <c r="L4006" s="718">
        <v>0.75</v>
      </c>
      <c r="M4006" s="680"/>
    </row>
    <row r="4007" spans="3:13">
      <c r="C4007" s="660"/>
      <c r="D4007" s="717">
        <v>45702</v>
      </c>
      <c r="E4007" s="720">
        <v>-8.9999999999999993E-3</v>
      </c>
      <c r="F4007" s="720">
        <v>-2E-3</v>
      </c>
      <c r="G4007" s="720">
        <v>7.0000000000000001E-3</v>
      </c>
      <c r="H4007" s="718">
        <v>0.5625</v>
      </c>
      <c r="I4007" s="1246"/>
      <c r="J4007" s="1246"/>
      <c r="K4007" s="1247"/>
      <c r="L4007" s="718">
        <v>0.79166666666666663</v>
      </c>
      <c r="M4007" s="681"/>
    </row>
    <row r="4008" spans="3:13">
      <c r="C4008" s="660"/>
      <c r="D4008" s="717">
        <v>45673</v>
      </c>
      <c r="E4008" s="720">
        <v>4.0000000000000001E-3</v>
      </c>
      <c r="F4008" s="720">
        <v>6.0000000000000001E-3</v>
      </c>
      <c r="G4008" s="720">
        <v>8.0000000000000002E-3</v>
      </c>
      <c r="H4008" s="718">
        <v>0.5625</v>
      </c>
      <c r="I4008" s="1246"/>
      <c r="J4008" s="1246"/>
      <c r="K4008" s="1247"/>
      <c r="L4008" s="718">
        <v>0.79166666666666663</v>
      </c>
      <c r="M4008" s="667"/>
    </row>
    <row r="4009" spans="3:13">
      <c r="C4009" s="660"/>
      <c r="D4009" s="717">
        <v>45643</v>
      </c>
      <c r="E4009" s="720">
        <v>7.0000000000000001E-3</v>
      </c>
      <c r="F4009" s="720">
        <v>6.0000000000000001E-3</v>
      </c>
      <c r="G4009" s="720">
        <v>5.0000000000000001E-3</v>
      </c>
      <c r="H4009" s="718">
        <v>0.5625</v>
      </c>
      <c r="I4009" s="1246"/>
      <c r="J4009" s="1246"/>
      <c r="K4009" s="1247"/>
      <c r="L4009" s="718">
        <v>0.79166666666666663</v>
      </c>
      <c r="M4009" s="667"/>
    </row>
    <row r="4010" spans="3:13">
      <c r="C4010" s="660"/>
      <c r="D4010" s="717">
        <v>45611</v>
      </c>
      <c r="E4010" s="720">
        <v>4.0000000000000001E-3</v>
      </c>
      <c r="F4010" s="720">
        <v>3.0000000000000001E-3</v>
      </c>
      <c r="G4010" s="720">
        <v>8.0000000000000002E-3</v>
      </c>
      <c r="H4010" s="718">
        <v>0.5625</v>
      </c>
      <c r="I4010" s="1246"/>
      <c r="J4010" s="1246"/>
      <c r="K4010" s="1247"/>
      <c r="L4010" s="718">
        <v>0.79166666666666663</v>
      </c>
      <c r="M4010" s="667"/>
    </row>
    <row r="4011" spans="3:13" ht="17" thickBot="1">
      <c r="C4011" s="660"/>
      <c r="D4011" s="717">
        <v>45582</v>
      </c>
      <c r="E4011" s="720">
        <v>4.0000000000000001E-3</v>
      </c>
      <c r="F4011" s="720">
        <v>3.0000000000000001E-3</v>
      </c>
      <c r="G4011" s="720">
        <v>1E-3</v>
      </c>
      <c r="H4011" s="718">
        <v>0.52083333333333337</v>
      </c>
      <c r="I4011" s="1249"/>
      <c r="J4011" s="1249"/>
      <c r="K4011" s="1250"/>
      <c r="L4011" s="718">
        <v>0.75</v>
      </c>
      <c r="M4011" s="682"/>
    </row>
    <row r="4012" spans="3:13" ht="17" thickBot="1">
      <c r="C4012" s="660">
        <v>1</v>
      </c>
      <c r="D4012" s="671" t="s">
        <v>30</v>
      </c>
      <c r="E4012" s="1252" t="s">
        <v>1501</v>
      </c>
      <c r="F4012" s="1253"/>
      <c r="G4012" s="1254"/>
      <c r="H4012" s="712" t="s">
        <v>790</v>
      </c>
      <c r="I4012" s="1256" t="s">
        <v>633</v>
      </c>
      <c r="J4012" s="1256"/>
      <c r="K4012" s="1257"/>
      <c r="L4012" s="674" t="s">
        <v>430</v>
      </c>
      <c r="M4012" s="713" t="s">
        <v>431</v>
      </c>
    </row>
    <row r="4013" spans="3:13">
      <c r="C4013" s="660"/>
      <c r="D4013" s="663" t="s">
        <v>432</v>
      </c>
      <c r="E4013" s="1266"/>
      <c r="F4013" s="1267"/>
      <c r="G4013" s="1268"/>
      <c r="H4013" s="714" t="s">
        <v>1056</v>
      </c>
      <c r="I4013" s="1243" t="s">
        <v>1940</v>
      </c>
      <c r="J4013" s="1243"/>
      <c r="K4013" s="1244"/>
      <c r="L4013" s="664"/>
      <c r="M4013" s="665" t="s">
        <v>1501</v>
      </c>
    </row>
    <row r="4014" spans="3:13">
      <c r="C4014" s="660"/>
      <c r="D4014" s="666" t="s">
        <v>433</v>
      </c>
      <c r="E4014" s="1269"/>
      <c r="F4014" s="1270"/>
      <c r="G4014" s="1271"/>
      <c r="H4014" s="715" t="s">
        <v>1057</v>
      </c>
      <c r="I4014" s="1246"/>
      <c r="J4014" s="1246"/>
      <c r="K4014" s="1247"/>
      <c r="L4014" s="664"/>
      <c r="M4014" s="667"/>
    </row>
    <row r="4015" spans="3:13">
      <c r="C4015" s="660"/>
      <c r="D4015" s="666" t="s">
        <v>434</v>
      </c>
      <c r="E4015" s="1272">
        <v>2.75E-2</v>
      </c>
      <c r="F4015" s="1273"/>
      <c r="G4015" s="1274"/>
      <c r="H4015" s="715"/>
      <c r="I4015" s="1246"/>
      <c r="J4015" s="1246"/>
      <c r="K4015" s="1247"/>
      <c r="L4015" s="664"/>
      <c r="M4015" s="667"/>
    </row>
    <row r="4016" spans="3:13" ht="17" thickBot="1">
      <c r="C4016" s="660"/>
      <c r="D4016" s="668" t="s">
        <v>435</v>
      </c>
      <c r="E4016" s="1275">
        <v>0.57291666666666674</v>
      </c>
      <c r="F4016" s="1276"/>
      <c r="G4016" s="1277"/>
      <c r="H4016" s="716"/>
      <c r="I4016" s="1246"/>
      <c r="J4016" s="1246"/>
      <c r="K4016" s="1247"/>
      <c r="L4016" s="669">
        <v>0.80208333333333337</v>
      </c>
      <c r="M4016" s="670">
        <v>0.69791666666666674</v>
      </c>
    </row>
    <row r="4017" spans="3:13" ht="17" thickBot="1">
      <c r="C4017" s="660"/>
      <c r="D4017" s="671" t="s">
        <v>436</v>
      </c>
      <c r="E4017" s="672" t="s">
        <v>29</v>
      </c>
      <c r="F4017" s="672" t="s">
        <v>28</v>
      </c>
      <c r="G4017" s="673" t="s">
        <v>27</v>
      </c>
      <c r="H4017" s="712" t="s">
        <v>793</v>
      </c>
      <c r="I4017" s="1246"/>
      <c r="J4017" s="1246"/>
      <c r="K4017" s="1247"/>
      <c r="L4017" s="675" t="s">
        <v>1246</v>
      </c>
      <c r="M4017" s="676"/>
    </row>
    <row r="4018" spans="3:13">
      <c r="C4018" s="660"/>
      <c r="D4018" s="717">
        <v>45728</v>
      </c>
      <c r="E4018" s="720">
        <v>2.75E-2</v>
      </c>
      <c r="F4018" s="720">
        <v>2.75E-2</v>
      </c>
      <c r="G4018" s="720">
        <v>0.03</v>
      </c>
      <c r="H4018" s="718">
        <v>0.57291666666666674</v>
      </c>
      <c r="I4018" s="1246"/>
      <c r="J4018" s="1246"/>
      <c r="K4018" s="1247"/>
      <c r="L4018" s="718">
        <v>0.80208333333333337</v>
      </c>
      <c r="M4018" s="680"/>
    </row>
    <row r="4019" spans="3:13">
      <c r="C4019" s="660"/>
      <c r="D4019" s="717">
        <v>45700</v>
      </c>
      <c r="E4019" s="720">
        <v>0.03</v>
      </c>
      <c r="F4019" s="720">
        <v>0.03</v>
      </c>
      <c r="G4019" s="720">
        <v>3.2500000000000001E-2</v>
      </c>
      <c r="H4019" s="718">
        <v>0.61458333333333337</v>
      </c>
      <c r="I4019" s="1246"/>
      <c r="J4019" s="1246"/>
      <c r="K4019" s="1247"/>
      <c r="L4019" s="718">
        <v>0.84375</v>
      </c>
      <c r="M4019" s="681"/>
    </row>
    <row r="4020" spans="3:13">
      <c r="C4020" s="660"/>
      <c r="D4020" s="717">
        <v>45664</v>
      </c>
      <c r="E4020" s="720">
        <v>3.2500000000000001E-2</v>
      </c>
      <c r="F4020" s="720">
        <v>3.2500000000000001E-2</v>
      </c>
      <c r="G4020" s="720">
        <v>3.7499999999999999E-2</v>
      </c>
      <c r="H4020" s="718">
        <v>0.61458333333333337</v>
      </c>
      <c r="I4020" s="1246"/>
      <c r="J4020" s="1246"/>
      <c r="K4020" s="1247"/>
      <c r="L4020" s="718">
        <v>0.84375</v>
      </c>
      <c r="M4020" s="667"/>
    </row>
    <row r="4021" spans="3:13">
      <c r="C4021" s="660"/>
      <c r="D4021" s="717">
        <v>45637</v>
      </c>
      <c r="E4021" s="720">
        <v>3.7499999999999999E-2</v>
      </c>
      <c r="F4021" s="720">
        <v>3.7499999999999999E-2</v>
      </c>
      <c r="G4021" s="720">
        <v>4.2500000000000003E-2</v>
      </c>
      <c r="H4021" s="718">
        <v>0.57291666666666674</v>
      </c>
      <c r="I4021" s="1246"/>
      <c r="J4021" s="1246"/>
      <c r="K4021" s="1247"/>
      <c r="L4021" s="718">
        <v>0.80208333333333337</v>
      </c>
      <c r="M4021" s="667"/>
    </row>
    <row r="4022" spans="3:13">
      <c r="C4022" s="660"/>
      <c r="D4022" s="717">
        <v>45601</v>
      </c>
      <c r="E4022" s="720">
        <v>4.2500000000000003E-2</v>
      </c>
      <c r="F4022" s="720">
        <v>4.2500000000000003E-2</v>
      </c>
      <c r="G4022" s="720">
        <v>4.4999999999999998E-2</v>
      </c>
      <c r="H4022" s="718">
        <v>0.57291666666666674</v>
      </c>
      <c r="I4022" s="1246"/>
      <c r="J4022" s="1246"/>
      <c r="K4022" s="1247"/>
      <c r="L4022" s="718">
        <v>0.80208333333333337</v>
      </c>
      <c r="M4022" s="667"/>
    </row>
    <row r="4023" spans="3:13" ht="17" thickBot="1">
      <c r="C4023" s="660"/>
      <c r="D4023" s="717">
        <v>45574</v>
      </c>
      <c r="E4023" s="720">
        <v>4.4999999999999998E-2</v>
      </c>
      <c r="F4023" s="720">
        <v>4.4999999999999998E-2</v>
      </c>
      <c r="G4023" s="720">
        <v>4.7500000000000001E-2</v>
      </c>
      <c r="H4023" s="718">
        <v>0.57291666666666674</v>
      </c>
      <c r="I4023" s="1249"/>
      <c r="J4023" s="1249"/>
      <c r="K4023" s="1250"/>
      <c r="L4023" s="718">
        <v>0.80208333333333337</v>
      </c>
      <c r="M4023" s="682"/>
    </row>
    <row r="4024" spans="3:13" ht="17" thickBot="1">
      <c r="C4024" s="660">
        <v>1</v>
      </c>
      <c r="D4024" s="671" t="s">
        <v>30</v>
      </c>
      <c r="E4024" s="1252" t="s">
        <v>1503</v>
      </c>
      <c r="F4024" s="1253"/>
      <c r="G4024" s="1254"/>
      <c r="H4024" s="712" t="s">
        <v>790</v>
      </c>
      <c r="I4024" s="1256" t="s">
        <v>633</v>
      </c>
      <c r="J4024" s="1256"/>
      <c r="K4024" s="1257"/>
      <c r="L4024" s="674" t="s">
        <v>430</v>
      </c>
      <c r="M4024" s="713" t="s">
        <v>431</v>
      </c>
    </row>
    <row r="4025" spans="3:13">
      <c r="C4025" s="660"/>
      <c r="D4025" s="663" t="s">
        <v>432</v>
      </c>
      <c r="E4025" s="1266"/>
      <c r="F4025" s="1267"/>
      <c r="G4025" s="1268"/>
      <c r="H4025" s="714" t="s">
        <v>796</v>
      </c>
      <c r="I4025" s="1243" t="s">
        <v>1678</v>
      </c>
      <c r="J4025" s="1243"/>
      <c r="K4025" s="1244"/>
      <c r="L4025" s="664"/>
      <c r="M4025" s="665" t="s">
        <v>1503</v>
      </c>
    </row>
    <row r="4026" spans="3:13">
      <c r="C4026" s="660"/>
      <c r="D4026" s="666" t="s">
        <v>433</v>
      </c>
      <c r="E4026" s="1269"/>
      <c r="F4026" s="1270"/>
      <c r="G4026" s="1271"/>
      <c r="H4026" s="714" t="s">
        <v>796</v>
      </c>
      <c r="I4026" s="1246"/>
      <c r="J4026" s="1246"/>
      <c r="K4026" s="1247"/>
      <c r="L4026" s="664"/>
      <c r="M4026" s="667"/>
    </row>
    <row r="4027" spans="3:13">
      <c r="C4027" s="660"/>
      <c r="D4027" s="666" t="s">
        <v>434</v>
      </c>
      <c r="E4027" s="1272" t="s">
        <v>1941</v>
      </c>
      <c r="F4027" s="1273"/>
      <c r="G4027" s="1274"/>
      <c r="H4027" s="715"/>
      <c r="I4027" s="1246"/>
      <c r="J4027" s="1246"/>
      <c r="K4027" s="1247"/>
      <c r="L4027" s="664"/>
      <c r="M4027" s="667"/>
    </row>
    <row r="4028" spans="3:13" ht="17" thickBot="1">
      <c r="C4028" s="660"/>
      <c r="D4028" s="668" t="s">
        <v>435</v>
      </c>
      <c r="E4028" s="1275">
        <v>0.60416666666666674</v>
      </c>
      <c r="F4028" s="1276"/>
      <c r="G4028" s="1277"/>
      <c r="H4028" s="716"/>
      <c r="I4028" s="1246"/>
      <c r="J4028" s="1246"/>
      <c r="K4028" s="1247"/>
      <c r="L4028" s="669">
        <v>0.83333333333333337</v>
      </c>
      <c r="M4028" s="670">
        <v>0.72916666666666674</v>
      </c>
    </row>
    <row r="4029" spans="3:13" ht="17" thickBot="1">
      <c r="C4029" s="660"/>
      <c r="D4029" s="671" t="s">
        <v>436</v>
      </c>
      <c r="E4029" s="672" t="s">
        <v>29</v>
      </c>
      <c r="F4029" s="672" t="s">
        <v>28</v>
      </c>
      <c r="G4029" s="673" t="s">
        <v>27</v>
      </c>
      <c r="H4029" s="712" t="s">
        <v>793</v>
      </c>
      <c r="I4029" s="1246"/>
      <c r="J4029" s="1246"/>
      <c r="K4029" s="1247"/>
      <c r="L4029" s="675" t="s">
        <v>1246</v>
      </c>
      <c r="M4029" s="676"/>
    </row>
    <row r="4030" spans="3:13">
      <c r="C4030" s="660"/>
      <c r="D4030" s="717">
        <v>45756</v>
      </c>
      <c r="E4030" s="720" t="s">
        <v>1957</v>
      </c>
      <c r="F4030" s="720" t="s">
        <v>1602</v>
      </c>
      <c r="G4030" s="720" t="s">
        <v>1899</v>
      </c>
      <c r="H4030" s="718">
        <v>0.61458333333333337</v>
      </c>
      <c r="I4030" s="1246"/>
      <c r="J4030" s="1246"/>
      <c r="K4030" s="1247"/>
      <c r="L4030" s="718">
        <v>0.84375</v>
      </c>
      <c r="M4030" s="680"/>
    </row>
    <row r="4031" spans="3:13">
      <c r="C4031" s="660"/>
      <c r="D4031" s="717">
        <v>45749</v>
      </c>
      <c r="E4031" s="720" t="s">
        <v>1899</v>
      </c>
      <c r="F4031" s="720" t="s">
        <v>1926</v>
      </c>
      <c r="G4031" s="720" t="s">
        <v>1840</v>
      </c>
      <c r="H4031" s="718">
        <v>0.61458333333333337</v>
      </c>
      <c r="I4031" s="1246"/>
      <c r="J4031" s="1246"/>
      <c r="K4031" s="1247"/>
      <c r="L4031" s="718">
        <v>0.84375</v>
      </c>
      <c r="M4031" s="681"/>
    </row>
    <row r="4032" spans="3:13">
      <c r="C4032" s="660"/>
      <c r="D4032" s="717">
        <v>45742</v>
      </c>
      <c r="E4032" s="720" t="s">
        <v>1840</v>
      </c>
      <c r="F4032" s="720" t="s">
        <v>991</v>
      </c>
      <c r="G4032" s="720" t="s">
        <v>1696</v>
      </c>
      <c r="H4032" s="718">
        <v>0.61458333333333337</v>
      </c>
      <c r="I4032" s="1246"/>
      <c r="J4032" s="1246"/>
      <c r="K4032" s="1247"/>
      <c r="L4032" s="718">
        <v>0.84375</v>
      </c>
      <c r="M4032" s="667"/>
    </row>
    <row r="4033" spans="3:13">
      <c r="C4033" s="660"/>
      <c r="D4033" s="717">
        <v>45735</v>
      </c>
      <c r="E4033" s="720" t="s">
        <v>1696</v>
      </c>
      <c r="F4033" s="720" t="s">
        <v>993</v>
      </c>
      <c r="G4033" s="720" t="s">
        <v>1697</v>
      </c>
      <c r="H4033" s="718">
        <v>0.57291666666666674</v>
      </c>
      <c r="I4033" s="1246"/>
      <c r="J4033" s="1246"/>
      <c r="K4033" s="1247"/>
      <c r="L4033" s="718">
        <v>0.80208333333333337</v>
      </c>
      <c r="M4033" s="667"/>
    </row>
    <row r="4034" spans="3:13">
      <c r="C4034" s="660"/>
      <c r="D4034" s="717">
        <v>45728</v>
      </c>
      <c r="E4034" s="720" t="s">
        <v>1697</v>
      </c>
      <c r="F4034" s="720" t="s">
        <v>1698</v>
      </c>
      <c r="G4034" s="720" t="s">
        <v>1699</v>
      </c>
      <c r="H4034" s="718">
        <v>0.57291666666666674</v>
      </c>
      <c r="I4034" s="1246"/>
      <c r="J4034" s="1246"/>
      <c r="K4034" s="1247"/>
      <c r="L4034" s="718">
        <v>0.80208333333333337</v>
      </c>
      <c r="M4034" s="667"/>
    </row>
    <row r="4035" spans="3:13" ht="17" thickBot="1">
      <c r="C4035" s="660"/>
      <c r="D4035" s="717">
        <v>45721</v>
      </c>
      <c r="E4035" s="720" t="s">
        <v>1699</v>
      </c>
      <c r="F4035" s="720" t="s">
        <v>1700</v>
      </c>
      <c r="G4035" s="720" t="s">
        <v>1701</v>
      </c>
      <c r="H4035" s="718">
        <v>0.57291666666666674</v>
      </c>
      <c r="I4035" s="1249"/>
      <c r="J4035" s="1249"/>
      <c r="K4035" s="1250"/>
      <c r="L4035" s="718">
        <v>0.80208333333333337</v>
      </c>
      <c r="M4035" s="682"/>
    </row>
    <row r="4036" spans="3:13" ht="17" thickBot="1">
      <c r="C4036" s="660">
        <v>1</v>
      </c>
      <c r="D4036" s="671" t="s">
        <v>30</v>
      </c>
      <c r="E4036" s="1252" t="s">
        <v>1745</v>
      </c>
      <c r="F4036" s="1253"/>
      <c r="G4036" s="1254"/>
      <c r="H4036" s="712" t="s">
        <v>790</v>
      </c>
      <c r="I4036" s="1256" t="s">
        <v>633</v>
      </c>
      <c r="J4036" s="1256"/>
      <c r="K4036" s="1257"/>
      <c r="L4036" s="674" t="s">
        <v>430</v>
      </c>
      <c r="M4036" s="713" t="s">
        <v>431</v>
      </c>
    </row>
    <row r="4037" spans="3:13">
      <c r="C4037" s="660"/>
      <c r="D4037" s="663" t="s">
        <v>432</v>
      </c>
      <c r="E4037" s="1266"/>
      <c r="F4037" s="1267"/>
      <c r="G4037" s="1268"/>
      <c r="H4037" s="714" t="s">
        <v>794</v>
      </c>
      <c r="I4037" s="1243" t="s">
        <v>1942</v>
      </c>
      <c r="J4037" s="1243"/>
      <c r="K4037" s="1244"/>
      <c r="L4037" s="664"/>
      <c r="M4037" s="665" t="s">
        <v>1745</v>
      </c>
    </row>
    <row r="4038" spans="3:13">
      <c r="C4038" s="660"/>
      <c r="D4038" s="666" t="s">
        <v>433</v>
      </c>
      <c r="E4038" s="1269"/>
      <c r="F4038" s="1270"/>
      <c r="G4038" s="1271"/>
      <c r="H4038" s="715" t="s">
        <v>795</v>
      </c>
      <c r="I4038" s="1246"/>
      <c r="J4038" s="1246"/>
      <c r="K4038" s="1247"/>
      <c r="L4038" s="664"/>
      <c r="M4038" s="667"/>
    </row>
    <row r="4039" spans="3:13">
      <c r="C4039" s="660"/>
      <c r="D4039" s="666" t="s">
        <v>434</v>
      </c>
      <c r="E4039" s="1272">
        <v>0</v>
      </c>
      <c r="F4039" s="1273"/>
      <c r="G4039" s="1274"/>
      <c r="H4039" s="715"/>
      <c r="I4039" s="1246"/>
      <c r="J4039" s="1246"/>
      <c r="K4039" s="1247"/>
      <c r="L4039" s="664"/>
      <c r="M4039" s="667"/>
    </row>
    <row r="4040" spans="3:13" ht="17" thickBot="1">
      <c r="C4040" s="660"/>
      <c r="D4040" s="668" t="s">
        <v>435</v>
      </c>
      <c r="E4040" s="1275">
        <v>0.71875</v>
      </c>
      <c r="F4040" s="1276"/>
      <c r="G4040" s="1277"/>
      <c r="H4040" s="716"/>
      <c r="I4040" s="1246"/>
      <c r="J4040" s="1246"/>
      <c r="K4040" s="1247"/>
      <c r="L4040" s="669">
        <v>0.94791666666666663</v>
      </c>
      <c r="M4040" s="670">
        <v>0.84375</v>
      </c>
    </row>
    <row r="4041" spans="3:13" ht="17" thickBot="1">
      <c r="C4041" s="660"/>
      <c r="D4041" s="671" t="s">
        <v>436</v>
      </c>
      <c r="E4041" s="672" t="s">
        <v>29</v>
      </c>
      <c r="F4041" s="672" t="s">
        <v>28</v>
      </c>
      <c r="G4041" s="673" t="s">
        <v>27</v>
      </c>
      <c r="H4041" s="712" t="s">
        <v>793</v>
      </c>
      <c r="I4041" s="1246"/>
      <c r="J4041" s="1246"/>
      <c r="K4041" s="1247"/>
      <c r="L4041" s="675" t="s">
        <v>1246</v>
      </c>
      <c r="M4041" s="676"/>
    </row>
    <row r="4042" spans="3:13">
      <c r="C4042" s="660"/>
      <c r="D4042" s="717">
        <v>45763</v>
      </c>
      <c r="E4042" s="720"/>
      <c r="F4042" s="720"/>
      <c r="G4042" s="720"/>
      <c r="H4042" s="718">
        <v>0.71875</v>
      </c>
      <c r="I4042" s="1246"/>
      <c r="J4042" s="1246"/>
      <c r="K4042" s="1247"/>
      <c r="L4042" s="718">
        <v>0.94791666666666663</v>
      </c>
      <c r="M4042" s="680"/>
    </row>
    <row r="4043" spans="3:13">
      <c r="C4043" s="660"/>
      <c r="D4043" s="717">
        <v>45751</v>
      </c>
      <c r="E4043" s="720"/>
      <c r="F4043" s="720"/>
      <c r="G4043" s="720"/>
      <c r="H4043" s="718">
        <v>0.64236111111111116</v>
      </c>
      <c r="I4043" s="1246"/>
      <c r="J4043" s="1246"/>
      <c r="K4043" s="1247"/>
      <c r="L4043" s="718">
        <v>0.87152777777777779</v>
      </c>
      <c r="M4043" s="681"/>
    </row>
    <row r="4044" spans="3:13">
      <c r="C4044" s="660"/>
      <c r="D4044" s="717">
        <v>45723</v>
      </c>
      <c r="E4044" s="720"/>
      <c r="F4044" s="720"/>
      <c r="G4044" s="720"/>
      <c r="H4044" s="718">
        <v>0.72916666666666674</v>
      </c>
      <c r="I4044" s="1246"/>
      <c r="J4044" s="1246"/>
      <c r="K4044" s="1247"/>
      <c r="L4044" s="718">
        <v>0.95833333333333337</v>
      </c>
      <c r="M4044" s="667"/>
    </row>
    <row r="4045" spans="3:13">
      <c r="C4045" s="660"/>
      <c r="D4045" s="760">
        <v>45630</v>
      </c>
      <c r="E4045" s="720"/>
      <c r="F4045" s="720"/>
      <c r="G4045" s="720"/>
      <c r="H4045" s="718">
        <v>0.78125</v>
      </c>
      <c r="I4045" s="1246"/>
      <c r="J4045" s="1246"/>
      <c r="K4045" s="1247"/>
      <c r="L4045" s="718">
        <v>1.0416666666666666E-2</v>
      </c>
      <c r="M4045" s="667"/>
    </row>
    <row r="4046" spans="3:13">
      <c r="C4046" s="660"/>
      <c r="D4046" s="760">
        <v>45610</v>
      </c>
      <c r="E4046" s="720"/>
      <c r="F4046" s="720"/>
      <c r="G4046" s="720"/>
      <c r="H4046" s="718">
        <v>0.83333333333333337</v>
      </c>
      <c r="I4046" s="1246"/>
      <c r="J4046" s="1246"/>
      <c r="K4046" s="1247"/>
      <c r="L4046" s="718">
        <v>6.25E-2</v>
      </c>
      <c r="M4046" s="667"/>
    </row>
    <row r="4047" spans="3:13" ht="17" thickBot="1">
      <c r="C4047" s="660"/>
      <c r="D4047" s="717">
        <v>45565</v>
      </c>
      <c r="E4047" s="720"/>
      <c r="F4047" s="720"/>
      <c r="G4047" s="720"/>
      <c r="H4047" s="718">
        <v>0.73055555555555562</v>
      </c>
      <c r="I4047" s="1249"/>
      <c r="J4047" s="1249"/>
      <c r="K4047" s="1250"/>
      <c r="L4047" s="718">
        <v>0.95972222222222225</v>
      </c>
      <c r="M4047" s="682"/>
    </row>
    <row r="4048" spans="3:13" ht="17" thickBot="1">
      <c r="C4048" s="761">
        <v>1</v>
      </c>
      <c r="D4048" s="671" t="s">
        <v>30</v>
      </c>
      <c r="E4048" s="1252" t="s">
        <v>1946</v>
      </c>
      <c r="F4048" s="1253"/>
      <c r="G4048" s="1346"/>
      <c r="H4048" s="675" t="s">
        <v>790</v>
      </c>
      <c r="I4048" s="675" t="s">
        <v>430</v>
      </c>
      <c r="J4048" s="713" t="s">
        <v>431</v>
      </c>
      <c r="K4048" s="936" t="s">
        <v>105</v>
      </c>
      <c r="L4048" s="674" t="s">
        <v>430</v>
      </c>
      <c r="M4048" s="713" t="s">
        <v>431</v>
      </c>
    </row>
    <row r="4049" spans="3:13">
      <c r="C4049" s="761"/>
      <c r="D4049" s="663" t="s">
        <v>432</v>
      </c>
      <c r="E4049" s="1279"/>
      <c r="F4049" s="1280"/>
      <c r="G4049" s="1347"/>
      <c r="H4049" s="714" t="s">
        <v>909</v>
      </c>
      <c r="I4049" s="937"/>
      <c r="J4049" s="938" t="s">
        <v>1946</v>
      </c>
      <c r="K4049" s="936"/>
      <c r="L4049" s="664"/>
      <c r="M4049" s="665" t="s">
        <v>1946</v>
      </c>
    </row>
    <row r="4050" spans="3:13">
      <c r="C4050" s="761"/>
      <c r="D4050" s="663" t="s">
        <v>433</v>
      </c>
      <c r="E4050" s="1348"/>
      <c r="F4050" s="1349"/>
      <c r="G4050" s="1350"/>
      <c r="H4050" s="715" t="s">
        <v>910</v>
      </c>
      <c r="I4050" s="939"/>
      <c r="J4050" s="940"/>
      <c r="K4050" s="936"/>
      <c r="L4050" s="664"/>
      <c r="M4050" s="667"/>
    </row>
    <row r="4051" spans="3:13">
      <c r="C4051" s="761"/>
      <c r="D4051" s="663" t="s">
        <v>434</v>
      </c>
      <c r="E4051" s="1351">
        <v>2.5000000000000001E-2</v>
      </c>
      <c r="F4051" s="1352"/>
      <c r="G4051" s="1353"/>
      <c r="H4051" s="941"/>
      <c r="I4051" s="939"/>
      <c r="J4051" s="940"/>
      <c r="K4051" s="936"/>
      <c r="L4051" s="664"/>
      <c r="M4051" s="667"/>
    </row>
    <row r="4052" spans="3:13" ht="17" thickBot="1">
      <c r="C4052" s="761"/>
      <c r="D4052" s="762" t="s">
        <v>435</v>
      </c>
      <c r="E4052" s="1275">
        <v>0.51041666666666663</v>
      </c>
      <c r="F4052" s="1276"/>
      <c r="G4052" s="1354"/>
      <c r="H4052" s="942"/>
      <c r="I4052" s="943">
        <v>0.73958333333333337</v>
      </c>
      <c r="J4052" s="944">
        <v>0.63541666666666663</v>
      </c>
      <c r="K4052" s="936"/>
      <c r="L4052" s="669">
        <v>0.83333333333333337</v>
      </c>
      <c r="M4052" s="670"/>
    </row>
    <row r="4053" spans="3:13" ht="17" thickBot="1">
      <c r="C4053" s="761"/>
      <c r="D4053" s="671" t="s">
        <v>435</v>
      </c>
      <c r="E4053" s="763" t="s">
        <v>29</v>
      </c>
      <c r="F4053" s="763" t="s">
        <v>28</v>
      </c>
      <c r="G4053" s="764" t="s">
        <v>27</v>
      </c>
      <c r="H4053" s="675" t="s">
        <v>793</v>
      </c>
      <c r="I4053" s="675" t="s">
        <v>1246</v>
      </c>
      <c r="J4053" s="676"/>
      <c r="K4053" s="936"/>
      <c r="L4053" s="675" t="s">
        <v>1246</v>
      </c>
      <c r="M4053" s="676"/>
    </row>
    <row r="4054" spans="3:13">
      <c r="C4054" s="761"/>
      <c r="D4054" s="677">
        <v>45729</v>
      </c>
      <c r="E4054" s="765">
        <v>0</v>
      </c>
      <c r="F4054" s="765" t="s">
        <v>467</v>
      </c>
      <c r="G4054" s="765">
        <v>6.0000000000000001E-3</v>
      </c>
      <c r="H4054" s="945">
        <v>0.52083333333333337</v>
      </c>
      <c r="I4054" s="934">
        <v>0.75</v>
      </c>
      <c r="J4054" s="940"/>
      <c r="K4054" s="936"/>
      <c r="L4054" s="718">
        <v>0.78125</v>
      </c>
      <c r="M4054" s="680"/>
    </row>
    <row r="4055" spans="3:13">
      <c r="C4055" s="761"/>
      <c r="D4055" s="677">
        <v>45701</v>
      </c>
      <c r="E4055" s="765">
        <v>4.0000000000000001E-3</v>
      </c>
      <c r="F4055" s="765" t="s">
        <v>467</v>
      </c>
      <c r="G4055" s="765">
        <v>5.0000000000000001E-3</v>
      </c>
      <c r="H4055" s="946">
        <v>0.5625</v>
      </c>
      <c r="I4055" s="947">
        <v>0.79166666666666663</v>
      </c>
      <c r="J4055" s="948"/>
      <c r="K4055" s="936"/>
      <c r="L4055" s="718">
        <v>0.78125</v>
      </c>
      <c r="M4055" s="681"/>
    </row>
    <row r="4056" spans="3:13">
      <c r="C4056" s="761"/>
      <c r="D4056" s="677">
        <v>45671</v>
      </c>
      <c r="E4056" s="765">
        <v>2E-3</v>
      </c>
      <c r="F4056" s="765" t="s">
        <v>452</v>
      </c>
      <c r="G4056" s="765">
        <v>4.0000000000000001E-3</v>
      </c>
      <c r="H4056" s="946">
        <v>0.5625</v>
      </c>
      <c r="I4056" s="947">
        <v>0.79166666666666663</v>
      </c>
      <c r="J4056" s="940"/>
      <c r="K4056" s="936"/>
      <c r="L4056" s="718">
        <v>0.78125</v>
      </c>
      <c r="M4056" s="667"/>
    </row>
    <row r="4057" spans="3:13">
      <c r="C4057" s="761"/>
      <c r="D4057" s="677">
        <v>45638</v>
      </c>
      <c r="E4057" s="765">
        <v>4.0000000000000001E-3</v>
      </c>
      <c r="F4057" s="765" t="s">
        <v>460</v>
      </c>
      <c r="G4057" s="765">
        <v>3.0000000000000001E-3</v>
      </c>
      <c r="H4057" s="946">
        <v>0.5625</v>
      </c>
      <c r="I4057" s="947">
        <v>0.79166666666666663</v>
      </c>
      <c r="J4057" s="940"/>
      <c r="K4057" s="936"/>
      <c r="L4057" s="718">
        <v>0.73958333333333337</v>
      </c>
      <c r="M4057" s="667"/>
    </row>
    <row r="4058" spans="3:13">
      <c r="C4058" s="761"/>
      <c r="D4058" s="677">
        <v>45610</v>
      </c>
      <c r="E4058" s="765">
        <v>2E-3</v>
      </c>
      <c r="F4058" s="765" t="s">
        <v>460</v>
      </c>
      <c r="G4058" s="765">
        <v>1E-3</v>
      </c>
      <c r="H4058" s="946">
        <v>0.5625</v>
      </c>
      <c r="I4058" s="947">
        <v>0.79166666666666663</v>
      </c>
      <c r="J4058" s="940"/>
      <c r="K4058" s="936"/>
      <c r="L4058" s="718">
        <v>0.73958333333333337</v>
      </c>
      <c r="M4058" s="667"/>
    </row>
    <row r="4059" spans="3:13" ht="17" thickBot="1">
      <c r="C4059" s="761"/>
      <c r="D4059" s="677">
        <v>45576</v>
      </c>
      <c r="E4059" s="765">
        <v>0</v>
      </c>
      <c r="F4059" s="765" t="s">
        <v>462</v>
      </c>
      <c r="G4059" s="765">
        <v>2E-3</v>
      </c>
      <c r="H4059" s="946">
        <v>0.52083333333333337</v>
      </c>
      <c r="I4059" s="947">
        <v>0.75</v>
      </c>
      <c r="J4059" s="949"/>
      <c r="K4059" s="936"/>
      <c r="L4059" s="718">
        <v>0.73958333333333337</v>
      </c>
      <c r="M4059" s="682"/>
    </row>
    <row r="4060" spans="3:13" ht="17" thickBot="1">
      <c r="C4060" s="761">
        <v>1</v>
      </c>
      <c r="D4060" s="671" t="s">
        <v>30</v>
      </c>
      <c r="E4060" s="1252" t="s">
        <v>1948</v>
      </c>
      <c r="F4060" s="1253"/>
      <c r="G4060" s="1346"/>
      <c r="H4060" s="675" t="s">
        <v>790</v>
      </c>
      <c r="I4060" s="675" t="s">
        <v>430</v>
      </c>
      <c r="J4060" s="950" t="s">
        <v>431</v>
      </c>
      <c r="K4060" s="936" t="s">
        <v>105</v>
      </c>
      <c r="L4060" s="674" t="s">
        <v>430</v>
      </c>
      <c r="M4060" s="713" t="s">
        <v>431</v>
      </c>
    </row>
    <row r="4061" spans="3:13">
      <c r="C4061" s="761"/>
      <c r="D4061" s="663" t="s">
        <v>432</v>
      </c>
      <c r="E4061" s="1279"/>
      <c r="F4061" s="1280"/>
      <c r="G4061" s="1347"/>
      <c r="H4061" s="941" t="s">
        <v>794</v>
      </c>
      <c r="I4061" s="937"/>
      <c r="J4061" s="938" t="s">
        <v>1948</v>
      </c>
      <c r="K4061" s="936"/>
      <c r="L4061" s="664"/>
      <c r="M4061" s="665" t="s">
        <v>1948</v>
      </c>
    </row>
    <row r="4062" spans="3:13">
      <c r="C4062" s="761"/>
      <c r="D4062" s="663" t="s">
        <v>433</v>
      </c>
      <c r="E4062" s="1348"/>
      <c r="F4062" s="1349"/>
      <c r="G4062" s="1350"/>
      <c r="H4062" s="941" t="s">
        <v>795</v>
      </c>
      <c r="I4062" s="939"/>
      <c r="J4062" s="940"/>
      <c r="K4062" s="936"/>
      <c r="L4062" s="664"/>
      <c r="M4062" s="667"/>
    </row>
    <row r="4063" spans="3:13">
      <c r="C4063" s="761"/>
      <c r="D4063" s="663" t="s">
        <v>434</v>
      </c>
      <c r="E4063" s="1355">
        <v>0.03</v>
      </c>
      <c r="F4063" s="1356"/>
      <c r="G4063" s="1357"/>
      <c r="H4063" s="941"/>
      <c r="I4063" s="939"/>
      <c r="J4063" s="940"/>
      <c r="K4063" s="936"/>
      <c r="L4063" s="664"/>
      <c r="M4063" s="667"/>
    </row>
    <row r="4064" spans="3:13" ht="17" thickBot="1">
      <c r="C4064" s="761"/>
      <c r="D4064" s="762" t="s">
        <v>435</v>
      </c>
      <c r="E4064" s="1275">
        <v>0.51041666666666663</v>
      </c>
      <c r="F4064" s="1276"/>
      <c r="G4064" s="1354"/>
      <c r="H4064" s="942"/>
      <c r="I4064" s="943">
        <v>0.73958333333333337</v>
      </c>
      <c r="J4064" s="944">
        <v>0.63541666666666663</v>
      </c>
      <c r="K4064" s="936"/>
      <c r="L4064" s="669">
        <v>0.94791666666666663</v>
      </c>
      <c r="M4064" s="670"/>
    </row>
    <row r="4065" spans="3:13" ht="17" thickBot="1">
      <c r="C4065" s="761"/>
      <c r="D4065" s="671" t="s">
        <v>436</v>
      </c>
      <c r="E4065" s="763" t="s">
        <v>29</v>
      </c>
      <c r="F4065" s="763" t="s">
        <v>28</v>
      </c>
      <c r="G4065" s="764" t="s">
        <v>27</v>
      </c>
      <c r="H4065" s="675" t="s">
        <v>793</v>
      </c>
      <c r="I4065" s="675" t="s">
        <v>1246</v>
      </c>
      <c r="J4065" s="676"/>
      <c r="K4065" s="936"/>
      <c r="L4065" s="675" t="s">
        <v>1246</v>
      </c>
      <c r="M4065" s="676"/>
    </row>
    <row r="4066" spans="3:13">
      <c r="C4066" s="761"/>
      <c r="D4066" s="677">
        <v>45719</v>
      </c>
      <c r="E4066" s="765">
        <v>50.3</v>
      </c>
      <c r="F4066" s="765" t="s">
        <v>1789</v>
      </c>
      <c r="G4066" s="765">
        <v>50.9</v>
      </c>
      <c r="H4066" s="945">
        <v>0.625</v>
      </c>
      <c r="I4066" s="934">
        <v>0.85416666666666663</v>
      </c>
      <c r="J4066" s="940"/>
      <c r="K4066" s="936"/>
      <c r="L4066" s="718">
        <v>0.84375</v>
      </c>
      <c r="M4066" s="680"/>
    </row>
    <row r="4067" spans="3:13">
      <c r="C4067" s="761"/>
      <c r="D4067" s="677">
        <v>45691</v>
      </c>
      <c r="E4067" s="765">
        <v>50.9</v>
      </c>
      <c r="F4067" s="765" t="s">
        <v>1791</v>
      </c>
      <c r="G4067" s="765">
        <v>49.2</v>
      </c>
      <c r="H4067" s="946">
        <v>0.625</v>
      </c>
      <c r="I4067" s="947">
        <v>0.85416666666666663</v>
      </c>
      <c r="J4067" s="948"/>
      <c r="K4067" s="936"/>
      <c r="L4067" s="718">
        <v>0.84375</v>
      </c>
      <c r="M4067" s="681"/>
    </row>
    <row r="4068" spans="3:13">
      <c r="C4068" s="761"/>
      <c r="D4068" s="677">
        <v>45660</v>
      </c>
      <c r="E4068" s="765">
        <v>49.3</v>
      </c>
      <c r="F4068" s="765" t="s">
        <v>1793</v>
      </c>
      <c r="G4068" s="765">
        <v>48.4</v>
      </c>
      <c r="H4068" s="946">
        <v>0.625</v>
      </c>
      <c r="I4068" s="947">
        <v>0.85416666666666663</v>
      </c>
      <c r="J4068" s="940"/>
      <c r="K4068" s="936"/>
      <c r="L4068" s="718">
        <v>0.84375</v>
      </c>
      <c r="M4068" s="667"/>
    </row>
    <row r="4069" spans="3:13">
      <c r="C4069" s="761"/>
      <c r="D4069" s="677">
        <v>45628</v>
      </c>
      <c r="E4069" s="765">
        <v>48.4</v>
      </c>
      <c r="F4069" s="765" t="s">
        <v>1341</v>
      </c>
      <c r="G4069" s="765">
        <v>46.5</v>
      </c>
      <c r="H4069" s="946">
        <v>0.625</v>
      </c>
      <c r="I4069" s="947">
        <v>0.85416666666666663</v>
      </c>
      <c r="J4069" s="940"/>
      <c r="K4069" s="936"/>
      <c r="L4069" s="718">
        <v>0.80208333333333337</v>
      </c>
      <c r="M4069" s="667"/>
    </row>
    <row r="4070" spans="3:13">
      <c r="C4070" s="761"/>
      <c r="D4070" s="677">
        <v>45597</v>
      </c>
      <c r="E4070" s="765">
        <v>46.5</v>
      </c>
      <c r="F4070" s="765" t="s">
        <v>901</v>
      </c>
      <c r="G4070" s="765">
        <v>47.2</v>
      </c>
      <c r="H4070" s="946">
        <v>0.58333333333333337</v>
      </c>
      <c r="I4070" s="947">
        <v>0.8125</v>
      </c>
      <c r="J4070" s="940"/>
      <c r="K4070" s="936"/>
      <c r="L4070" s="718">
        <v>0.80208333333333337</v>
      </c>
      <c r="M4070" s="667"/>
    </row>
    <row r="4071" spans="3:13" ht="17" thickBot="1">
      <c r="C4071" s="761"/>
      <c r="D4071" s="677">
        <v>45566</v>
      </c>
      <c r="E4071" s="765">
        <v>47.2</v>
      </c>
      <c r="F4071" s="765" t="s">
        <v>901</v>
      </c>
      <c r="G4071" s="765">
        <v>47.2</v>
      </c>
      <c r="H4071" s="946">
        <v>0.58333333333333337</v>
      </c>
      <c r="I4071" s="947">
        <v>0.8125</v>
      </c>
      <c r="J4071" s="949"/>
      <c r="K4071" s="936"/>
      <c r="L4071" s="718">
        <v>0.80208333333333337</v>
      </c>
      <c r="M4071" s="682"/>
    </row>
    <row r="4072" spans="3:13" ht="17" thickBot="1">
      <c r="C4072" s="660">
        <v>1</v>
      </c>
      <c r="D4072" s="671" t="s">
        <v>30</v>
      </c>
      <c r="E4072" s="1252" t="s">
        <v>1421</v>
      </c>
      <c r="F4072" s="1253"/>
      <c r="G4072" s="1254"/>
      <c r="H4072" s="712" t="s">
        <v>790</v>
      </c>
      <c r="I4072" s="1256" t="s">
        <v>633</v>
      </c>
      <c r="J4072" s="1256"/>
      <c r="K4072" s="1257"/>
      <c r="L4072" s="674" t="s">
        <v>430</v>
      </c>
      <c r="M4072" s="713" t="s">
        <v>431</v>
      </c>
    </row>
    <row r="4073" spans="3:13">
      <c r="C4073" s="660"/>
      <c r="D4073" s="663" t="s">
        <v>432</v>
      </c>
      <c r="E4073" s="1266"/>
      <c r="F4073" s="1267"/>
      <c r="G4073" s="1268"/>
      <c r="H4073" s="714" t="s">
        <v>794</v>
      </c>
      <c r="I4073" s="1243" t="s">
        <v>1912</v>
      </c>
      <c r="J4073" s="1243"/>
      <c r="K4073" s="1244"/>
      <c r="L4073" s="664"/>
      <c r="M4073" s="665" t="s">
        <v>1421</v>
      </c>
    </row>
    <row r="4074" spans="3:13">
      <c r="C4074" s="660"/>
      <c r="D4074" s="666" t="s">
        <v>433</v>
      </c>
      <c r="E4074" s="1269"/>
      <c r="F4074" s="1270"/>
      <c r="G4074" s="1271"/>
      <c r="H4074" s="715" t="s">
        <v>795</v>
      </c>
      <c r="I4074" s="1246"/>
      <c r="J4074" s="1246"/>
      <c r="K4074" s="1247"/>
      <c r="L4074" s="664"/>
      <c r="M4074" s="667"/>
    </row>
    <row r="4075" spans="3:13">
      <c r="C4075" s="660"/>
      <c r="D4075" s="666" t="s">
        <v>434</v>
      </c>
      <c r="E4075" s="1272">
        <v>0</v>
      </c>
      <c r="F4075" s="1273"/>
      <c r="G4075" s="1274"/>
      <c r="H4075" s="715"/>
      <c r="I4075" s="1246"/>
      <c r="J4075" s="1246"/>
      <c r="K4075" s="1247"/>
      <c r="L4075" s="664"/>
      <c r="M4075" s="667"/>
    </row>
    <row r="4076" spans="3:13" ht="17" thickBot="1">
      <c r="C4076" s="660"/>
      <c r="D4076" s="668" t="s">
        <v>435</v>
      </c>
      <c r="E4076" s="1275">
        <v>0.52083333333333337</v>
      </c>
      <c r="F4076" s="1276"/>
      <c r="G4076" s="1277"/>
      <c r="H4076" s="716"/>
      <c r="I4076" s="1246"/>
      <c r="J4076" s="1246"/>
      <c r="K4076" s="1247"/>
      <c r="L4076" s="669">
        <v>0.75</v>
      </c>
      <c r="M4076" s="670">
        <v>0.64583333333333337</v>
      </c>
    </row>
    <row r="4077" spans="3:13" ht="17" thickBot="1">
      <c r="C4077" s="660"/>
      <c r="D4077" s="671" t="s">
        <v>436</v>
      </c>
      <c r="E4077" s="672" t="s">
        <v>29</v>
      </c>
      <c r="F4077" s="672" t="s">
        <v>28</v>
      </c>
      <c r="G4077" s="673" t="s">
        <v>27</v>
      </c>
      <c r="H4077" s="712" t="s">
        <v>793</v>
      </c>
      <c r="I4077" s="1246"/>
      <c r="J4077" s="1246"/>
      <c r="K4077" s="1247"/>
      <c r="L4077" s="675" t="s">
        <v>1246</v>
      </c>
      <c r="M4077" s="676"/>
    </row>
    <row r="4078" spans="3:13">
      <c r="C4078" s="660"/>
      <c r="D4078" s="717">
        <v>45750</v>
      </c>
      <c r="E4078" s="720" t="s">
        <v>987</v>
      </c>
      <c r="F4078" s="720" t="s">
        <v>985</v>
      </c>
      <c r="G4078" s="720" t="s">
        <v>985</v>
      </c>
      <c r="H4078" s="718">
        <v>0.52083333333333337</v>
      </c>
      <c r="I4078" s="1246"/>
      <c r="J4078" s="1246"/>
      <c r="K4078" s="1247"/>
      <c r="L4078" s="679">
        <v>0.75</v>
      </c>
      <c r="M4078" s="680"/>
    </row>
    <row r="4079" spans="3:13">
      <c r="C4079" s="660"/>
      <c r="D4079" s="717">
        <v>45743</v>
      </c>
      <c r="E4079" s="720" t="s">
        <v>1032</v>
      </c>
      <c r="F4079" s="720" t="s">
        <v>985</v>
      </c>
      <c r="G4079" s="720" t="s">
        <v>985</v>
      </c>
      <c r="H4079" s="718">
        <v>0.52083333333333337</v>
      </c>
      <c r="I4079" s="1246"/>
      <c r="J4079" s="1246"/>
      <c r="K4079" s="1247"/>
      <c r="L4079" s="679">
        <v>0.75</v>
      </c>
      <c r="M4079" s="681"/>
    </row>
    <row r="4080" spans="3:13">
      <c r="C4080" s="660"/>
      <c r="D4080" s="717">
        <v>45736</v>
      </c>
      <c r="E4080" s="720" t="s">
        <v>973</v>
      </c>
      <c r="F4080" s="720" t="s">
        <v>1032</v>
      </c>
      <c r="G4080" s="720" t="s">
        <v>972</v>
      </c>
      <c r="H4080" s="718">
        <v>0.52083333333333337</v>
      </c>
      <c r="I4080" s="1246"/>
      <c r="J4080" s="1246"/>
      <c r="K4080" s="1247"/>
      <c r="L4080" s="679">
        <v>0.75</v>
      </c>
      <c r="M4080" s="667"/>
    </row>
    <row r="4081" spans="3:13">
      <c r="C4081" s="660"/>
      <c r="D4081" s="717">
        <v>45729</v>
      </c>
      <c r="E4081" s="720" t="s">
        <v>1112</v>
      </c>
      <c r="F4081" s="720" t="s">
        <v>1703</v>
      </c>
      <c r="G4081" s="720" t="s">
        <v>986</v>
      </c>
      <c r="H4081" s="718">
        <v>0.52083333333333337</v>
      </c>
      <c r="I4081" s="1246"/>
      <c r="J4081" s="1246"/>
      <c r="K4081" s="1247"/>
      <c r="L4081" s="679">
        <v>0.75</v>
      </c>
      <c r="M4081" s="667"/>
    </row>
    <row r="4082" spans="3:13">
      <c r="C4082" s="660"/>
      <c r="D4082" s="717">
        <v>45722</v>
      </c>
      <c r="E4082" s="720" t="s">
        <v>972</v>
      </c>
      <c r="F4082" s="720" t="s">
        <v>1704</v>
      </c>
      <c r="G4082" s="720" t="s">
        <v>980</v>
      </c>
      <c r="H4082" s="718">
        <v>0.5625</v>
      </c>
      <c r="I4082" s="1246"/>
      <c r="J4082" s="1246"/>
      <c r="K4082" s="1247"/>
      <c r="L4082" s="679">
        <v>0.79166666666666663</v>
      </c>
      <c r="M4082" s="667"/>
    </row>
    <row r="4083" spans="3:13" ht="17" thickBot="1">
      <c r="C4083" s="660"/>
      <c r="D4083" s="717">
        <v>45715</v>
      </c>
      <c r="E4083" s="720" t="s">
        <v>980</v>
      </c>
      <c r="F4083" s="720" t="s">
        <v>986</v>
      </c>
      <c r="G4083" s="720" t="s">
        <v>1112</v>
      </c>
      <c r="H4083" s="718">
        <v>0.5625</v>
      </c>
      <c r="I4083" s="1249"/>
      <c r="J4083" s="1249"/>
      <c r="K4083" s="1250"/>
      <c r="L4083" s="679">
        <v>0.79166666666666663</v>
      </c>
      <c r="M4083" s="682"/>
    </row>
    <row r="4084" spans="3:13" ht="17" thickBot="1">
      <c r="C4084" s="660">
        <v>1</v>
      </c>
      <c r="D4084" s="671" t="s">
        <v>30</v>
      </c>
      <c r="E4084" s="1252" t="s">
        <v>1950</v>
      </c>
      <c r="F4084" s="1253"/>
      <c r="G4084" s="1254"/>
      <c r="H4084" s="712" t="s">
        <v>790</v>
      </c>
      <c r="I4084" s="1256" t="s">
        <v>633</v>
      </c>
      <c r="J4084" s="1256"/>
      <c r="K4084" s="1257"/>
      <c r="L4084" s="674" t="s">
        <v>430</v>
      </c>
      <c r="M4084" s="713" t="s">
        <v>431</v>
      </c>
    </row>
    <row r="4085" spans="3:13">
      <c r="C4085" s="660"/>
      <c r="D4085" s="663" t="s">
        <v>432</v>
      </c>
      <c r="E4085" s="1266"/>
      <c r="F4085" s="1267"/>
      <c r="G4085" s="1268"/>
      <c r="H4085" s="714" t="s">
        <v>794</v>
      </c>
      <c r="I4085" s="1243" t="s">
        <v>1951</v>
      </c>
      <c r="J4085" s="1243"/>
      <c r="K4085" s="1244"/>
      <c r="L4085" s="664"/>
      <c r="M4085" s="665" t="s">
        <v>1950</v>
      </c>
    </row>
    <row r="4086" spans="3:13">
      <c r="C4086" s="660"/>
      <c r="D4086" s="666" t="s">
        <v>433</v>
      </c>
      <c r="E4086" s="1269"/>
      <c r="F4086" s="1270"/>
      <c r="G4086" s="1271"/>
      <c r="H4086" s="715" t="s">
        <v>795</v>
      </c>
      <c r="I4086" s="1246"/>
      <c r="J4086" s="1246"/>
      <c r="K4086" s="1247"/>
      <c r="L4086" s="664"/>
      <c r="M4086" s="667"/>
    </row>
    <row r="4087" spans="3:13">
      <c r="C4087" s="660"/>
      <c r="D4087" s="666" t="s">
        <v>434</v>
      </c>
      <c r="E4087" s="1278">
        <v>12.5</v>
      </c>
      <c r="F4087" s="1270"/>
      <c r="G4087" s="1271"/>
      <c r="H4087" s="715"/>
      <c r="I4087" s="1246"/>
      <c r="J4087" s="1246"/>
      <c r="K4087" s="1247"/>
      <c r="L4087" s="664"/>
      <c r="M4087" s="667"/>
    </row>
    <row r="4088" spans="3:13" ht="17" thickBot="1">
      <c r="C4088" s="660"/>
      <c r="D4088" s="668" t="s">
        <v>435</v>
      </c>
      <c r="E4088" s="1275">
        <v>0.52083333333333337</v>
      </c>
      <c r="F4088" s="1276"/>
      <c r="G4088" s="1277"/>
      <c r="H4088" s="716"/>
      <c r="I4088" s="1246"/>
      <c r="J4088" s="1246"/>
      <c r="K4088" s="1247"/>
      <c r="L4088" s="669">
        <v>0.75</v>
      </c>
      <c r="M4088" s="670">
        <v>0.64583333333333337</v>
      </c>
    </row>
    <row r="4089" spans="3:13" ht="17" thickBot="1">
      <c r="C4089" s="660"/>
      <c r="D4089" s="671" t="s">
        <v>436</v>
      </c>
      <c r="E4089" s="672" t="s">
        <v>29</v>
      </c>
      <c r="F4089" s="672" t="s">
        <v>28</v>
      </c>
      <c r="G4089" s="673" t="s">
        <v>27</v>
      </c>
      <c r="H4089" s="712" t="s">
        <v>793</v>
      </c>
      <c r="I4089" s="1246"/>
      <c r="J4089" s="1246"/>
      <c r="K4089" s="1247"/>
      <c r="L4089" s="675" t="s">
        <v>1246</v>
      </c>
      <c r="M4089" s="676"/>
    </row>
    <row r="4090" spans="3:13">
      <c r="C4090" s="660"/>
      <c r="D4090" s="717">
        <v>45736</v>
      </c>
      <c r="E4090" s="693">
        <v>12.5</v>
      </c>
      <c r="F4090" s="693">
        <v>8.8000000000000007</v>
      </c>
      <c r="G4090" s="693">
        <v>18.100000000000001</v>
      </c>
      <c r="H4090" s="718">
        <v>0.52083333333333337</v>
      </c>
      <c r="I4090" s="1246"/>
      <c r="J4090" s="1246"/>
      <c r="K4090" s="1247"/>
      <c r="L4090" s="679">
        <v>0.75</v>
      </c>
      <c r="M4090" s="680"/>
    </row>
    <row r="4091" spans="3:13">
      <c r="C4091" s="660"/>
      <c r="D4091" s="717">
        <v>45708</v>
      </c>
      <c r="E4091" s="693">
        <v>18.100000000000001</v>
      </c>
      <c r="F4091" s="693">
        <v>19.399999999999999</v>
      </c>
      <c r="G4091" s="693">
        <v>44.3</v>
      </c>
      <c r="H4091" s="718">
        <v>0.5625</v>
      </c>
      <c r="I4091" s="1246"/>
      <c r="J4091" s="1246"/>
      <c r="K4091" s="1247"/>
      <c r="L4091" s="679">
        <v>0.79166666666666663</v>
      </c>
      <c r="M4091" s="681"/>
    </row>
    <row r="4092" spans="3:13">
      <c r="C4092" s="660"/>
      <c r="D4092" s="717">
        <v>45673</v>
      </c>
      <c r="E4092" s="693">
        <v>44.3</v>
      </c>
      <c r="F4092" s="693">
        <v>-5</v>
      </c>
      <c r="G4092" s="693">
        <v>-10.9</v>
      </c>
      <c r="H4092" s="718">
        <v>0.5625</v>
      </c>
      <c r="I4092" s="1246"/>
      <c r="J4092" s="1246"/>
      <c r="K4092" s="1247"/>
      <c r="L4092" s="679">
        <v>0.79166666666666663</v>
      </c>
      <c r="M4092" s="667"/>
    </row>
    <row r="4093" spans="3:13">
      <c r="C4093" s="660"/>
      <c r="D4093" s="717">
        <v>45645</v>
      </c>
      <c r="E4093" s="693">
        <v>-16.399999999999999</v>
      </c>
      <c r="F4093" s="693">
        <v>2.9</v>
      </c>
      <c r="G4093" s="693">
        <v>-5.5</v>
      </c>
      <c r="H4093" s="718">
        <v>0.5625</v>
      </c>
      <c r="I4093" s="1246"/>
      <c r="J4093" s="1246"/>
      <c r="K4093" s="1247"/>
      <c r="L4093" s="679">
        <v>0.79166666666666663</v>
      </c>
      <c r="M4093" s="667"/>
    </row>
    <row r="4094" spans="3:13">
      <c r="C4094" s="660"/>
      <c r="D4094" s="717">
        <v>45617</v>
      </c>
      <c r="E4094" s="693">
        <v>-5.5</v>
      </c>
      <c r="F4094" s="693">
        <v>7.4</v>
      </c>
      <c r="G4094" s="693">
        <v>10.3</v>
      </c>
      <c r="H4094" s="718">
        <v>0.5625</v>
      </c>
      <c r="I4094" s="1246"/>
      <c r="J4094" s="1246"/>
      <c r="K4094" s="1247"/>
      <c r="L4094" s="679">
        <v>0.79166666666666663</v>
      </c>
      <c r="M4094" s="667"/>
    </row>
    <row r="4095" spans="3:13" ht="17" thickBot="1">
      <c r="C4095" s="660"/>
      <c r="D4095" s="717">
        <v>45582</v>
      </c>
      <c r="E4095" s="693">
        <v>10.3</v>
      </c>
      <c r="F4095" s="693">
        <v>4.2</v>
      </c>
      <c r="G4095" s="693">
        <v>1.7</v>
      </c>
      <c r="H4095" s="718">
        <v>0.52083333333333337</v>
      </c>
      <c r="I4095" s="1249"/>
      <c r="J4095" s="1249"/>
      <c r="K4095" s="1250"/>
      <c r="L4095" s="679">
        <v>0.75</v>
      </c>
      <c r="M4095" s="682"/>
    </row>
    <row r="4096" spans="3:13" ht="17" thickBot="1">
      <c r="C4096" s="660">
        <v>1</v>
      </c>
      <c r="D4096" s="671" t="s">
        <v>30</v>
      </c>
      <c r="E4096" s="1252" t="s">
        <v>1952</v>
      </c>
      <c r="F4096" s="1253"/>
      <c r="G4096" s="1254"/>
      <c r="H4096" s="712" t="s">
        <v>790</v>
      </c>
      <c r="I4096" s="1256" t="s">
        <v>633</v>
      </c>
      <c r="J4096" s="1256"/>
      <c r="K4096" s="1257"/>
      <c r="L4096" s="674" t="s">
        <v>430</v>
      </c>
      <c r="M4096" s="713" t="s">
        <v>431</v>
      </c>
    </row>
    <row r="4097" spans="3:13">
      <c r="C4097" s="660"/>
      <c r="D4097" s="663" t="s">
        <v>432</v>
      </c>
      <c r="E4097" s="1266"/>
      <c r="F4097" s="1267"/>
      <c r="G4097" s="1268"/>
      <c r="H4097" s="714" t="s">
        <v>909</v>
      </c>
      <c r="I4097" s="1243" t="s">
        <v>1953</v>
      </c>
      <c r="J4097" s="1243"/>
      <c r="K4097" s="1244"/>
      <c r="L4097" s="664"/>
      <c r="M4097" s="665" t="s">
        <v>1952</v>
      </c>
    </row>
    <row r="4098" spans="3:13">
      <c r="C4098" s="660"/>
      <c r="D4098" s="666" t="s">
        <v>433</v>
      </c>
      <c r="E4098" s="1269"/>
      <c r="F4098" s="1270"/>
      <c r="G4098" s="1271"/>
      <c r="H4098" s="715" t="s">
        <v>910</v>
      </c>
      <c r="I4098" s="1246"/>
      <c r="J4098" s="1246"/>
      <c r="K4098" s="1247"/>
      <c r="L4098" s="664"/>
      <c r="M4098" s="667"/>
    </row>
    <row r="4099" spans="3:13">
      <c r="C4099" s="660"/>
      <c r="D4099" s="666" t="s">
        <v>434</v>
      </c>
      <c r="E4099" s="1278">
        <v>0</v>
      </c>
      <c r="F4099" s="1270"/>
      <c r="G4099" s="1271"/>
      <c r="H4099" s="715"/>
      <c r="I4099" s="1246"/>
      <c r="J4099" s="1246"/>
      <c r="K4099" s="1247"/>
      <c r="L4099" s="664"/>
      <c r="M4099" s="667"/>
    </row>
    <row r="4100" spans="3:13" ht="17" thickBot="1">
      <c r="C4100" s="660"/>
      <c r="D4100" s="668" t="s">
        <v>435</v>
      </c>
      <c r="E4100" s="1275">
        <v>0.53125</v>
      </c>
      <c r="F4100" s="1276"/>
      <c r="G4100" s="1277"/>
      <c r="H4100" s="716"/>
      <c r="I4100" s="1246"/>
      <c r="J4100" s="1246"/>
      <c r="K4100" s="1247"/>
      <c r="L4100" s="669">
        <v>0.76041666666666663</v>
      </c>
      <c r="M4100" s="670">
        <v>0.65625</v>
      </c>
    </row>
    <row r="4101" spans="3:13" ht="17" thickBot="1">
      <c r="C4101" s="660"/>
      <c r="D4101" s="671" t="s">
        <v>436</v>
      </c>
      <c r="E4101" s="672" t="s">
        <v>29</v>
      </c>
      <c r="F4101" s="672" t="s">
        <v>28</v>
      </c>
      <c r="G4101" s="673" t="s">
        <v>27</v>
      </c>
      <c r="H4101" s="712" t="s">
        <v>793</v>
      </c>
      <c r="I4101" s="1246"/>
      <c r="J4101" s="1246"/>
      <c r="K4101" s="1247"/>
      <c r="L4101" s="675" t="s">
        <v>1246</v>
      </c>
      <c r="M4101" s="676"/>
    </row>
    <row r="4102" spans="3:13">
      <c r="C4102" s="660"/>
      <c r="D4102" s="717">
        <v>45722</v>
      </c>
      <c r="E4102" s="693">
        <v>0</v>
      </c>
      <c r="F4102" s="693">
        <v>0</v>
      </c>
      <c r="G4102" s="693">
        <v>0</v>
      </c>
      <c r="H4102" s="718">
        <v>0.57291666666666674</v>
      </c>
      <c r="I4102" s="1246"/>
      <c r="J4102" s="1246"/>
      <c r="K4102" s="1247"/>
      <c r="L4102" s="679">
        <v>0.80208333333333337</v>
      </c>
      <c r="M4102" s="680"/>
    </row>
    <row r="4103" spans="3:13">
      <c r="C4103" s="660"/>
      <c r="D4103" s="717">
        <v>45687</v>
      </c>
      <c r="E4103" s="693">
        <v>0</v>
      </c>
      <c r="F4103" s="693">
        <v>0</v>
      </c>
      <c r="G4103" s="693">
        <v>0</v>
      </c>
      <c r="H4103" s="718">
        <v>0.57291666666666674</v>
      </c>
      <c r="I4103" s="1246"/>
      <c r="J4103" s="1246"/>
      <c r="K4103" s="1247"/>
      <c r="L4103" s="679">
        <v>0.80208333333333337</v>
      </c>
      <c r="M4103" s="681"/>
    </row>
    <row r="4104" spans="3:13">
      <c r="C4104" s="660"/>
      <c r="D4104" s="717">
        <v>45638</v>
      </c>
      <c r="E4104" s="693">
        <v>0</v>
      </c>
      <c r="F4104" s="693">
        <v>0</v>
      </c>
      <c r="G4104" s="693">
        <v>0</v>
      </c>
      <c r="H4104" s="718">
        <v>0.57291666666666674</v>
      </c>
      <c r="I4104" s="1246"/>
      <c r="J4104" s="1246"/>
      <c r="K4104" s="1247"/>
      <c r="L4104" s="679">
        <v>0.80208333333333337</v>
      </c>
      <c r="M4104" s="667"/>
    </row>
    <row r="4105" spans="3:13">
      <c r="C4105" s="660"/>
      <c r="D4105" s="717">
        <v>45582</v>
      </c>
      <c r="E4105" s="693">
        <v>0</v>
      </c>
      <c r="F4105" s="693">
        <v>0</v>
      </c>
      <c r="G4105" s="693">
        <v>0</v>
      </c>
      <c r="H4105" s="718">
        <v>0.53125</v>
      </c>
      <c r="I4105" s="1246"/>
      <c r="J4105" s="1246"/>
      <c r="K4105" s="1247"/>
      <c r="L4105" s="679">
        <v>0.76041666666666663</v>
      </c>
      <c r="M4105" s="667"/>
    </row>
    <row r="4106" spans="3:13">
      <c r="C4106" s="660"/>
      <c r="D4106" s="717">
        <v>45547</v>
      </c>
      <c r="E4106" s="693">
        <v>0</v>
      </c>
      <c r="F4106" s="693">
        <v>0</v>
      </c>
      <c r="G4106" s="693">
        <v>0</v>
      </c>
      <c r="H4106" s="718">
        <v>0.53125</v>
      </c>
      <c r="I4106" s="1246"/>
      <c r="J4106" s="1246"/>
      <c r="K4106" s="1247"/>
      <c r="L4106" s="679">
        <v>0.76041666666666663</v>
      </c>
      <c r="M4106" s="667"/>
    </row>
    <row r="4107" spans="3:13" ht="17" thickBot="1">
      <c r="C4107" s="660"/>
      <c r="D4107" s="717">
        <v>45491</v>
      </c>
      <c r="E4107" s="693">
        <v>0</v>
      </c>
      <c r="F4107" s="693">
        <v>0</v>
      </c>
      <c r="G4107" s="693">
        <v>0</v>
      </c>
      <c r="H4107" s="718">
        <v>0.53125</v>
      </c>
      <c r="I4107" s="1249"/>
      <c r="J4107" s="1249"/>
      <c r="K4107" s="1250"/>
      <c r="L4107" s="679">
        <v>0.76041666666666663</v>
      </c>
      <c r="M4107" s="682"/>
    </row>
    <row r="4108" spans="3:13" ht="17" thickBot="1">
      <c r="C4108" s="660">
        <v>1</v>
      </c>
      <c r="D4108" s="671" t="s">
        <v>30</v>
      </c>
      <c r="E4108" s="1252" t="s">
        <v>1946</v>
      </c>
      <c r="F4108" s="1253"/>
      <c r="G4108" s="1254"/>
      <c r="H4108" s="712" t="s">
        <v>790</v>
      </c>
      <c r="I4108" s="1256" t="s">
        <v>633</v>
      </c>
      <c r="J4108" s="1256"/>
      <c r="K4108" s="1257"/>
      <c r="L4108" s="674" t="s">
        <v>430</v>
      </c>
      <c r="M4108" s="713" t="s">
        <v>431</v>
      </c>
    </row>
    <row r="4109" spans="3:13">
      <c r="C4109" s="660"/>
      <c r="D4109" s="663" t="s">
        <v>432</v>
      </c>
      <c r="E4109" s="1266"/>
      <c r="F4109" s="1267"/>
      <c r="G4109" s="1268"/>
      <c r="H4109" s="714" t="s">
        <v>909</v>
      </c>
      <c r="I4109" s="1243" t="s">
        <v>1947</v>
      </c>
      <c r="J4109" s="1243"/>
      <c r="K4109" s="1244"/>
      <c r="L4109" s="664"/>
      <c r="M4109" s="665" t="s">
        <v>1946</v>
      </c>
    </row>
    <row r="4110" spans="3:13">
      <c r="C4110" s="660"/>
      <c r="D4110" s="666" t="s">
        <v>433</v>
      </c>
      <c r="E4110" s="1269"/>
      <c r="F4110" s="1270"/>
      <c r="G4110" s="1271"/>
      <c r="H4110" s="715" t="s">
        <v>910</v>
      </c>
      <c r="I4110" s="1246"/>
      <c r="J4110" s="1246"/>
      <c r="K4110" s="1247"/>
      <c r="L4110" s="664"/>
      <c r="M4110" s="667"/>
    </row>
    <row r="4111" spans="3:13">
      <c r="C4111" s="660"/>
      <c r="D4111" s="666" t="s">
        <v>434</v>
      </c>
      <c r="E4111" s="1287">
        <v>2.5000000000000001E-2</v>
      </c>
      <c r="F4111" s="1288"/>
      <c r="G4111" s="1289"/>
      <c r="H4111" s="715"/>
      <c r="I4111" s="1246"/>
      <c r="J4111" s="1246"/>
      <c r="K4111" s="1247"/>
      <c r="L4111" s="664"/>
      <c r="M4111" s="667"/>
    </row>
    <row r="4112" spans="3:13" ht="17" thickBot="1">
      <c r="C4112" s="660"/>
      <c r="D4112" s="668" t="s">
        <v>435</v>
      </c>
      <c r="E4112" s="1275">
        <v>0.51041666666666674</v>
      </c>
      <c r="F4112" s="1276"/>
      <c r="G4112" s="1277"/>
      <c r="H4112" s="716"/>
      <c r="I4112" s="1246"/>
      <c r="J4112" s="1246"/>
      <c r="K4112" s="1247"/>
      <c r="L4112" s="669">
        <v>0.73958333333333337</v>
      </c>
      <c r="M4112" s="670">
        <v>0.63541666666666674</v>
      </c>
    </row>
    <row r="4113" spans="3:13" ht="17" thickBot="1">
      <c r="C4113" s="660"/>
      <c r="D4113" s="671" t="s">
        <v>435</v>
      </c>
      <c r="E4113" s="672" t="s">
        <v>29</v>
      </c>
      <c r="F4113" s="672" t="s">
        <v>28</v>
      </c>
      <c r="G4113" s="673" t="s">
        <v>27</v>
      </c>
      <c r="H4113" s="712" t="s">
        <v>793</v>
      </c>
      <c r="I4113" s="1246"/>
      <c r="J4113" s="1246"/>
      <c r="K4113" s="1247"/>
      <c r="L4113" s="675" t="s">
        <v>1246</v>
      </c>
      <c r="M4113" s="676"/>
    </row>
    <row r="4114" spans="3:13">
      <c r="C4114" s="660"/>
      <c r="D4114" s="717">
        <v>45722</v>
      </c>
      <c r="E4114" s="691">
        <v>2.5000000000000001E-2</v>
      </c>
      <c r="F4114" s="691">
        <v>2.5000000000000001E-2</v>
      </c>
      <c r="G4114" s="691">
        <v>2.75E-2</v>
      </c>
      <c r="H4114" s="718">
        <v>0.52083333333333337</v>
      </c>
      <c r="I4114" s="1246"/>
      <c r="J4114" s="1246"/>
      <c r="K4114" s="1247"/>
      <c r="L4114" s="679">
        <v>0.75</v>
      </c>
      <c r="M4114" s="680"/>
    </row>
    <row r="4115" spans="3:13">
      <c r="C4115" s="660"/>
      <c r="D4115" s="717">
        <v>45687</v>
      </c>
      <c r="E4115" s="691">
        <v>2.75E-2</v>
      </c>
      <c r="F4115" s="691">
        <v>2.75E-2</v>
      </c>
      <c r="G4115" s="691">
        <v>0.03</v>
      </c>
      <c r="H4115" s="718">
        <v>0.5625</v>
      </c>
      <c r="I4115" s="1246"/>
      <c r="J4115" s="1246"/>
      <c r="K4115" s="1247"/>
      <c r="L4115" s="679">
        <v>0.79166666666666663</v>
      </c>
      <c r="M4115" s="681"/>
    </row>
    <row r="4116" spans="3:13">
      <c r="C4116" s="660"/>
      <c r="D4116" s="717">
        <v>45638</v>
      </c>
      <c r="E4116" s="691">
        <v>0.03</v>
      </c>
      <c r="F4116" s="691">
        <v>0.03</v>
      </c>
      <c r="G4116" s="691">
        <v>3.2500000000000001E-2</v>
      </c>
      <c r="H4116" s="718">
        <v>0.5625</v>
      </c>
      <c r="I4116" s="1246"/>
      <c r="J4116" s="1246"/>
      <c r="K4116" s="1247"/>
      <c r="L4116" s="679">
        <v>0.79166666666666663</v>
      </c>
      <c r="M4116" s="667"/>
    </row>
    <row r="4117" spans="3:13">
      <c r="C4117" s="660"/>
      <c r="D4117" s="717">
        <v>45582</v>
      </c>
      <c r="E4117" s="691">
        <v>3.2500000000000001E-2</v>
      </c>
      <c r="F4117" s="691">
        <v>3.2500000000000001E-2</v>
      </c>
      <c r="G4117" s="691">
        <v>3.5000000000000003E-2</v>
      </c>
      <c r="H4117" s="718">
        <v>0.5625</v>
      </c>
      <c r="I4117" s="1246"/>
      <c r="J4117" s="1246"/>
      <c r="K4117" s="1247"/>
      <c r="L4117" s="679">
        <v>0.79166666666666663</v>
      </c>
      <c r="M4117" s="667"/>
    </row>
    <row r="4118" spans="3:13">
      <c r="C4118" s="660"/>
      <c r="D4118" s="717">
        <v>45547</v>
      </c>
      <c r="E4118" s="691">
        <v>3.5000000000000003E-2</v>
      </c>
      <c r="F4118" s="691">
        <v>3.5000000000000003E-2</v>
      </c>
      <c r="G4118" s="691">
        <v>3.7499999999999999E-2</v>
      </c>
      <c r="H4118" s="718">
        <v>0.5625</v>
      </c>
      <c r="I4118" s="1246"/>
      <c r="J4118" s="1246"/>
      <c r="K4118" s="1247"/>
      <c r="L4118" s="679">
        <v>0.79166666666666663</v>
      </c>
      <c r="M4118" s="667"/>
    </row>
    <row r="4119" spans="3:13" ht="17" thickBot="1">
      <c r="C4119" s="660"/>
      <c r="D4119" s="717">
        <v>45491</v>
      </c>
      <c r="E4119" s="691">
        <v>3.7499999999999999E-2</v>
      </c>
      <c r="F4119" s="691">
        <v>3.7499999999999999E-2</v>
      </c>
      <c r="G4119" s="691">
        <v>3.7499999999999999E-2</v>
      </c>
      <c r="H4119" s="718">
        <v>0.52083333333333337</v>
      </c>
      <c r="I4119" s="1249"/>
      <c r="J4119" s="1249"/>
      <c r="K4119" s="1250"/>
      <c r="L4119" s="679">
        <v>0.75</v>
      </c>
      <c r="M4119" s="682"/>
    </row>
    <row r="4120" spans="3:13" ht="17" thickBot="1">
      <c r="C4120" s="660">
        <v>1</v>
      </c>
      <c r="D4120" s="671" t="s">
        <v>30</v>
      </c>
      <c r="E4120" s="1252" t="s">
        <v>1948</v>
      </c>
      <c r="F4120" s="1253"/>
      <c r="G4120" s="1254"/>
      <c r="H4120" s="712" t="s">
        <v>790</v>
      </c>
      <c r="I4120" s="1256" t="s">
        <v>633</v>
      </c>
      <c r="J4120" s="1256"/>
      <c r="K4120" s="1257"/>
      <c r="L4120" s="674" t="s">
        <v>430</v>
      </c>
      <c r="M4120" s="713" t="s">
        <v>431</v>
      </c>
    </row>
    <row r="4121" spans="3:13">
      <c r="C4121" s="660"/>
      <c r="D4121" s="663" t="s">
        <v>432</v>
      </c>
      <c r="E4121" s="1266"/>
      <c r="F4121" s="1267"/>
      <c r="G4121" s="1268"/>
      <c r="H4121" s="714" t="s">
        <v>909</v>
      </c>
      <c r="I4121" s="1243" t="s">
        <v>1949</v>
      </c>
      <c r="J4121" s="1243"/>
      <c r="K4121" s="1244"/>
      <c r="L4121" s="664"/>
      <c r="M4121" s="665" t="s">
        <v>1948</v>
      </c>
    </row>
    <row r="4122" spans="3:13">
      <c r="C4122" s="660"/>
      <c r="D4122" s="666" t="s">
        <v>433</v>
      </c>
      <c r="E4122" s="1269"/>
      <c r="F4122" s="1270"/>
      <c r="G4122" s="1271"/>
      <c r="H4122" s="715" t="s">
        <v>910</v>
      </c>
      <c r="I4122" s="1246"/>
      <c r="J4122" s="1246"/>
      <c r="K4122" s="1247"/>
      <c r="L4122" s="664"/>
      <c r="M4122" s="667"/>
    </row>
    <row r="4123" spans="3:13">
      <c r="C4123" s="660"/>
      <c r="D4123" s="666" t="s">
        <v>434</v>
      </c>
      <c r="E4123" s="1278">
        <v>2.6499999999999999E-2</v>
      </c>
      <c r="F4123" s="1270"/>
      <c r="G4123" s="1271"/>
      <c r="H4123" s="715"/>
      <c r="I4123" s="1246"/>
      <c r="J4123" s="1246"/>
      <c r="K4123" s="1247"/>
      <c r="L4123" s="664"/>
      <c r="M4123" s="667"/>
    </row>
    <row r="4124" spans="3:13" ht="17" thickBot="1">
      <c r="C4124" s="660"/>
      <c r="D4124" s="668" t="s">
        <v>435</v>
      </c>
      <c r="E4124" s="1275">
        <v>0.51041666666666674</v>
      </c>
      <c r="F4124" s="1276"/>
      <c r="G4124" s="1277"/>
      <c r="H4124" s="716"/>
      <c r="I4124" s="1246"/>
      <c r="J4124" s="1246"/>
      <c r="K4124" s="1247"/>
      <c r="L4124" s="669">
        <v>0.73958333333333337</v>
      </c>
      <c r="M4124" s="670">
        <v>0.63541666666666674</v>
      </c>
    </row>
    <row r="4125" spans="3:13" ht="17" thickBot="1">
      <c r="C4125" s="660"/>
      <c r="D4125" s="671" t="s">
        <v>436</v>
      </c>
      <c r="E4125" s="672" t="s">
        <v>29</v>
      </c>
      <c r="F4125" s="672" t="s">
        <v>28</v>
      </c>
      <c r="G4125" s="673" t="s">
        <v>27</v>
      </c>
      <c r="H4125" s="712" t="s">
        <v>793</v>
      </c>
      <c r="I4125" s="1246"/>
      <c r="J4125" s="1246"/>
      <c r="K4125" s="1247"/>
      <c r="L4125" s="675" t="s">
        <v>1246</v>
      </c>
      <c r="M4125" s="676"/>
    </row>
    <row r="4126" spans="3:13">
      <c r="C4126" s="660"/>
      <c r="D4126" s="717">
        <v>45722</v>
      </c>
      <c r="E4126" s="691">
        <v>2.6499999999999999E-2</v>
      </c>
      <c r="F4126" s="691">
        <v>2.6499999999999999E-2</v>
      </c>
      <c r="G4126" s="691">
        <v>2.9000000000000001E-2</v>
      </c>
      <c r="H4126" s="718">
        <v>0.625</v>
      </c>
      <c r="I4126" s="1246"/>
      <c r="J4126" s="1246"/>
      <c r="K4126" s="1247"/>
      <c r="L4126" s="679">
        <v>0.85416666666666663</v>
      </c>
      <c r="M4126" s="680"/>
    </row>
    <row r="4127" spans="3:13">
      <c r="C4127" s="660"/>
      <c r="D4127" s="717">
        <v>45687</v>
      </c>
      <c r="E4127" s="691">
        <v>2.9000000000000001E-2</v>
      </c>
      <c r="F4127" s="691">
        <v>2.9000000000000001E-2</v>
      </c>
      <c r="G4127" s="691">
        <v>3.15E-2</v>
      </c>
      <c r="H4127" s="718">
        <v>0.625</v>
      </c>
      <c r="I4127" s="1246"/>
      <c r="J4127" s="1246"/>
      <c r="K4127" s="1247"/>
      <c r="L4127" s="679">
        <v>0.85416666666666663</v>
      </c>
      <c r="M4127" s="681"/>
    </row>
    <row r="4128" spans="3:13">
      <c r="C4128" s="660"/>
      <c r="D4128" s="717">
        <v>45638</v>
      </c>
      <c r="E4128" s="691">
        <v>3.15E-2</v>
      </c>
      <c r="F4128" s="691">
        <v>3.15E-2</v>
      </c>
      <c r="G4128" s="691">
        <v>3.4000000000000002E-2</v>
      </c>
      <c r="H4128" s="718">
        <v>0.625</v>
      </c>
      <c r="I4128" s="1246"/>
      <c r="J4128" s="1246"/>
      <c r="K4128" s="1247"/>
      <c r="L4128" s="679">
        <v>0.85416666666666663</v>
      </c>
      <c r="M4128" s="667"/>
    </row>
    <row r="4129" spans="2:13">
      <c r="C4129" s="660"/>
      <c r="D4129" s="717">
        <v>45582</v>
      </c>
      <c r="E4129" s="691">
        <v>3.4000000000000002E-2</v>
      </c>
      <c r="F4129" s="691">
        <v>3.4000000000000002E-2</v>
      </c>
      <c r="G4129" s="691">
        <v>3.6499999999999998E-2</v>
      </c>
      <c r="H4129" s="718">
        <v>0.625</v>
      </c>
      <c r="I4129" s="1246"/>
      <c r="J4129" s="1246"/>
      <c r="K4129" s="1247"/>
      <c r="L4129" s="679">
        <v>0.85416666666666663</v>
      </c>
      <c r="M4129" s="667"/>
    </row>
    <row r="4130" spans="2:13">
      <c r="C4130" s="660"/>
      <c r="D4130" s="717">
        <v>45547</v>
      </c>
      <c r="E4130" s="691">
        <v>3.6499999999999998E-2</v>
      </c>
      <c r="F4130" s="691">
        <v>3.6499999999999998E-2</v>
      </c>
      <c r="G4130" s="691">
        <v>4.2500000000000003E-2</v>
      </c>
      <c r="H4130" s="718">
        <v>0.58333333333333337</v>
      </c>
      <c r="I4130" s="1246"/>
      <c r="J4130" s="1246"/>
      <c r="K4130" s="1247"/>
      <c r="L4130" s="679">
        <v>0.8125</v>
      </c>
      <c r="M4130" s="667"/>
    </row>
    <row r="4131" spans="2:13" ht="17" thickBot="1">
      <c r="C4131" s="660"/>
      <c r="D4131" s="717">
        <v>45491</v>
      </c>
      <c r="E4131" s="691">
        <v>4.2500000000000003E-2</v>
      </c>
      <c r="F4131" s="691">
        <v>4.2500000000000003E-2</v>
      </c>
      <c r="G4131" s="691">
        <v>4.2500000000000003E-2</v>
      </c>
      <c r="H4131" s="718">
        <v>0.58333333333333337</v>
      </c>
      <c r="I4131" s="1249"/>
      <c r="J4131" s="1249"/>
      <c r="K4131" s="1250"/>
      <c r="L4131" s="679">
        <v>0.8125</v>
      </c>
      <c r="M4131" s="682"/>
    </row>
    <row r="4132" spans="2:13" ht="17" thickBot="1">
      <c r="B4132" s="90" t="s">
        <v>105</v>
      </c>
      <c r="C4132" s="660">
        <v>1</v>
      </c>
      <c r="D4132" s="671" t="s">
        <v>30</v>
      </c>
      <c r="E4132" s="1252" t="s">
        <v>2012</v>
      </c>
      <c r="F4132" s="1253"/>
      <c r="G4132" s="1254"/>
      <c r="H4132" s="712" t="s">
        <v>790</v>
      </c>
      <c r="I4132" s="1256" t="s">
        <v>633</v>
      </c>
      <c r="J4132" s="1256"/>
      <c r="K4132" s="1257"/>
      <c r="L4132" s="674" t="s">
        <v>430</v>
      </c>
      <c r="M4132" s="713" t="s">
        <v>431</v>
      </c>
    </row>
    <row r="4133" spans="2:13">
      <c r="C4133" s="660"/>
      <c r="D4133" s="663" t="s">
        <v>432</v>
      </c>
      <c r="E4133" s="1266"/>
      <c r="F4133" s="1267"/>
      <c r="G4133" s="1268"/>
      <c r="H4133" s="714" t="s">
        <v>794</v>
      </c>
      <c r="I4133" s="1243" t="s">
        <v>1620</v>
      </c>
      <c r="J4133" s="1243"/>
      <c r="K4133" s="1244"/>
      <c r="L4133" s="664"/>
      <c r="M4133" s="665" t="s">
        <v>2012</v>
      </c>
    </row>
    <row r="4134" spans="2:13">
      <c r="C4134" s="660"/>
      <c r="D4134" s="666" t="s">
        <v>433</v>
      </c>
      <c r="E4134" s="1269"/>
      <c r="F4134" s="1270"/>
      <c r="G4134" s="1271"/>
      <c r="H4134" s="714" t="s">
        <v>795</v>
      </c>
      <c r="I4134" s="1246"/>
      <c r="J4134" s="1246"/>
      <c r="K4134" s="1247"/>
      <c r="L4134" s="664"/>
      <c r="M4134" s="667"/>
    </row>
    <row r="4135" spans="2:13">
      <c r="C4135" s="660"/>
      <c r="D4135" s="666" t="s">
        <v>434</v>
      </c>
      <c r="E4135" s="1278">
        <v>92.9</v>
      </c>
      <c r="F4135" s="1270"/>
      <c r="G4135" s="1271"/>
      <c r="H4135" s="715"/>
      <c r="I4135" s="1246"/>
      <c r="J4135" s="1246"/>
      <c r="K4135" s="1247"/>
      <c r="L4135" s="664"/>
      <c r="M4135" s="667"/>
    </row>
    <row r="4136" spans="2:13" ht="17" thickBot="1">
      <c r="C4136" s="660"/>
      <c r="D4136" s="668" t="s">
        <v>435</v>
      </c>
      <c r="E4136" s="1275">
        <v>0.58333333333333337</v>
      </c>
      <c r="F4136" s="1276"/>
      <c r="G4136" s="1277"/>
      <c r="H4136" s="716"/>
      <c r="I4136" s="1246"/>
      <c r="J4136" s="1246"/>
      <c r="K4136" s="1247"/>
      <c r="L4136" s="669">
        <v>0.8125</v>
      </c>
      <c r="M4136" s="670">
        <v>0.70833333333333337</v>
      </c>
    </row>
    <row r="4137" spans="2:13" ht="17" thickBot="1">
      <c r="C4137" s="660"/>
      <c r="D4137" s="671" t="s">
        <v>436</v>
      </c>
      <c r="E4137" s="672" t="s">
        <v>29</v>
      </c>
      <c r="F4137" s="672" t="s">
        <v>28</v>
      </c>
      <c r="G4137" s="673" t="s">
        <v>27</v>
      </c>
      <c r="H4137" s="712" t="s">
        <v>793</v>
      </c>
      <c r="I4137" s="1246"/>
      <c r="J4137" s="1246"/>
      <c r="K4137" s="1247"/>
      <c r="L4137" s="675" t="s">
        <v>1246</v>
      </c>
      <c r="M4137" s="676"/>
    </row>
    <row r="4138" spans="2:13">
      <c r="C4138" s="660"/>
      <c r="D4138" s="717">
        <v>45741</v>
      </c>
      <c r="E4138" s="693">
        <v>92.9</v>
      </c>
      <c r="F4138" s="693">
        <v>94.2</v>
      </c>
      <c r="G4138" s="693">
        <v>100.1</v>
      </c>
      <c r="H4138" s="718">
        <v>0.58333333333333337</v>
      </c>
      <c r="I4138" s="1246"/>
      <c r="J4138" s="1246"/>
      <c r="K4138" s="1247"/>
      <c r="L4138" s="679">
        <v>0.8125</v>
      </c>
      <c r="M4138" s="680"/>
    </row>
    <row r="4139" spans="2:13">
      <c r="C4139" s="660"/>
      <c r="D4139" s="717">
        <v>45713</v>
      </c>
      <c r="E4139" s="693">
        <v>98.3</v>
      </c>
      <c r="F4139" s="693">
        <v>102.7</v>
      </c>
      <c r="G4139" s="693">
        <v>105.3</v>
      </c>
      <c r="H4139" s="718">
        <v>0.625</v>
      </c>
      <c r="I4139" s="1246"/>
      <c r="J4139" s="1246"/>
      <c r="K4139" s="1247"/>
      <c r="L4139" s="679">
        <v>0.85416666666666663</v>
      </c>
      <c r="M4139" s="681"/>
    </row>
    <row r="4140" spans="2:13">
      <c r="C4140" s="660"/>
      <c r="D4140" s="717">
        <v>45685</v>
      </c>
      <c r="E4140" s="693">
        <v>104.1</v>
      </c>
      <c r="F4140" s="693">
        <v>105.7</v>
      </c>
      <c r="G4140" s="693">
        <v>109.5</v>
      </c>
      <c r="H4140" s="718">
        <v>0.625</v>
      </c>
      <c r="I4140" s="1246"/>
      <c r="J4140" s="1246"/>
      <c r="K4140" s="1247"/>
      <c r="L4140" s="679">
        <v>0.85416666666666663</v>
      </c>
      <c r="M4140" s="667"/>
    </row>
    <row r="4141" spans="2:13">
      <c r="C4141" s="660"/>
      <c r="D4141" s="717">
        <v>45649</v>
      </c>
      <c r="E4141" s="693">
        <v>104.7</v>
      </c>
      <c r="F4141" s="693">
        <v>112.9</v>
      </c>
      <c r="G4141" s="693">
        <v>112.8</v>
      </c>
      <c r="H4141" s="718">
        <v>0.625</v>
      </c>
      <c r="I4141" s="1246"/>
      <c r="J4141" s="1246"/>
      <c r="K4141" s="1247"/>
      <c r="L4141" s="679">
        <v>0.85416666666666663</v>
      </c>
      <c r="M4141" s="667"/>
    </row>
    <row r="4142" spans="2:13">
      <c r="C4142" s="660"/>
      <c r="D4142" s="717">
        <v>45622</v>
      </c>
      <c r="E4142" s="693">
        <v>111.7</v>
      </c>
      <c r="F4142" s="693">
        <v>111.8</v>
      </c>
      <c r="G4142" s="693">
        <v>109.6</v>
      </c>
      <c r="H4142" s="718">
        <v>0.625</v>
      </c>
      <c r="I4142" s="1246"/>
      <c r="J4142" s="1246"/>
      <c r="K4142" s="1247"/>
      <c r="L4142" s="679">
        <v>0.85416666666666663</v>
      </c>
      <c r="M4142" s="667"/>
    </row>
    <row r="4143" spans="2:13" ht="17" thickBot="1">
      <c r="C4143" s="660"/>
      <c r="D4143" s="717">
        <v>45594</v>
      </c>
      <c r="E4143" s="693">
        <v>108.7</v>
      </c>
      <c r="F4143" s="693">
        <v>99.5</v>
      </c>
      <c r="G4143" s="693">
        <v>99.2</v>
      </c>
      <c r="H4143" s="718">
        <v>0.58333333333333337</v>
      </c>
      <c r="I4143" s="1249"/>
      <c r="J4143" s="1249"/>
      <c r="K4143" s="1250"/>
      <c r="L4143" s="679">
        <v>0.8125</v>
      </c>
      <c r="M4143" s="682"/>
    </row>
    <row r="4144" spans="2:13" ht="17" thickBot="1">
      <c r="C4144" s="660">
        <v>1</v>
      </c>
      <c r="D4144" s="671" t="s">
        <v>30</v>
      </c>
      <c r="E4144" s="1252" t="s">
        <v>2013</v>
      </c>
      <c r="F4144" s="1253"/>
      <c r="G4144" s="1254"/>
      <c r="H4144" s="712" t="s">
        <v>790</v>
      </c>
      <c r="I4144" s="1256" t="s">
        <v>633</v>
      </c>
      <c r="J4144" s="1256"/>
      <c r="K4144" s="1257"/>
      <c r="L4144" s="674" t="s">
        <v>430</v>
      </c>
      <c r="M4144" s="713" t="s">
        <v>431</v>
      </c>
    </row>
    <row r="4145" spans="3:13">
      <c r="C4145" s="660"/>
      <c r="D4145" s="663" t="s">
        <v>432</v>
      </c>
      <c r="E4145" s="1266"/>
      <c r="F4145" s="1267"/>
      <c r="G4145" s="1268"/>
      <c r="H4145" s="714" t="s">
        <v>794</v>
      </c>
      <c r="I4145" s="1243" t="s">
        <v>2015</v>
      </c>
      <c r="J4145" s="1243"/>
      <c r="K4145" s="1244"/>
      <c r="L4145" s="664"/>
      <c r="M4145" s="665" t="s">
        <v>2013</v>
      </c>
    </row>
    <row r="4146" spans="3:13">
      <c r="C4146" s="660"/>
      <c r="D4146" s="666" t="s">
        <v>433</v>
      </c>
      <c r="E4146" s="1269"/>
      <c r="F4146" s="1270"/>
      <c r="G4146" s="1271"/>
      <c r="H4146" s="714" t="s">
        <v>795</v>
      </c>
      <c r="I4146" s="1246"/>
      <c r="J4146" s="1246"/>
      <c r="K4146" s="1247"/>
      <c r="L4146" s="664"/>
      <c r="M4146" s="667"/>
    </row>
    <row r="4147" spans="3:13">
      <c r="C4147" s="660"/>
      <c r="D4147" s="666" t="s">
        <v>434</v>
      </c>
      <c r="E4147" s="1278" t="s">
        <v>2014</v>
      </c>
      <c r="F4147" s="1270"/>
      <c r="G4147" s="1271"/>
      <c r="H4147" s="715"/>
      <c r="I4147" s="1246"/>
      <c r="J4147" s="1246"/>
      <c r="K4147" s="1247"/>
      <c r="L4147" s="664"/>
      <c r="M4147" s="667"/>
    </row>
    <row r="4148" spans="3:13" ht="17" thickBot="1">
      <c r="C4148" s="660"/>
      <c r="D4148" s="668" t="s">
        <v>435</v>
      </c>
      <c r="E4148" s="1275">
        <v>0.58333333333333337</v>
      </c>
      <c r="F4148" s="1276"/>
      <c r="G4148" s="1277"/>
      <c r="H4148" s="716"/>
      <c r="I4148" s="1246"/>
      <c r="J4148" s="1246"/>
      <c r="K4148" s="1247"/>
      <c r="L4148" s="669">
        <v>0.8125</v>
      </c>
      <c r="M4148" s="670">
        <v>0.70833333333333337</v>
      </c>
    </row>
    <row r="4149" spans="3:13" ht="17" thickBot="1">
      <c r="C4149" s="660"/>
      <c r="D4149" s="671" t="s">
        <v>436</v>
      </c>
      <c r="E4149" s="672" t="s">
        <v>29</v>
      </c>
      <c r="F4149" s="672" t="s">
        <v>28</v>
      </c>
      <c r="G4149" s="673" t="s">
        <v>27</v>
      </c>
      <c r="H4149" s="712" t="s">
        <v>793</v>
      </c>
      <c r="I4149" s="1246"/>
      <c r="J4149" s="1246"/>
      <c r="K4149" s="1247"/>
      <c r="L4149" s="675" t="s">
        <v>1246</v>
      </c>
      <c r="M4149" s="676"/>
    </row>
    <row r="4150" spans="3:13">
      <c r="C4150" s="660"/>
      <c r="D4150" s="717">
        <v>45748</v>
      </c>
      <c r="E4150" s="720" t="s">
        <v>2056</v>
      </c>
      <c r="F4150" s="720" t="s">
        <v>2057</v>
      </c>
      <c r="G4150" s="720" t="s">
        <v>2058</v>
      </c>
      <c r="H4150" s="718">
        <v>0.58333333333333337</v>
      </c>
      <c r="I4150" s="1246"/>
      <c r="J4150" s="1246"/>
      <c r="K4150" s="1247"/>
      <c r="L4150" s="679">
        <v>0.8125</v>
      </c>
      <c r="M4150" s="680"/>
    </row>
    <row r="4151" spans="3:13">
      <c r="C4151" s="660"/>
      <c r="D4151" s="717">
        <v>45727</v>
      </c>
      <c r="E4151" s="720" t="s">
        <v>1798</v>
      </c>
      <c r="F4151" s="720" t="s">
        <v>1799</v>
      </c>
      <c r="G4151" s="720" t="s">
        <v>1800</v>
      </c>
      <c r="H4151" s="718">
        <v>0.58333333333333337</v>
      </c>
      <c r="I4151" s="1246"/>
      <c r="J4151" s="1246"/>
      <c r="K4151" s="1247"/>
      <c r="L4151" s="679">
        <v>0.8125</v>
      </c>
      <c r="M4151" s="681"/>
    </row>
    <row r="4152" spans="3:13">
      <c r="C4152" s="660"/>
      <c r="D4152" s="717">
        <v>45692</v>
      </c>
      <c r="E4152" s="720" t="s">
        <v>1804</v>
      </c>
      <c r="F4152" s="720" t="s">
        <v>1805</v>
      </c>
      <c r="G4152" s="720" t="s">
        <v>1806</v>
      </c>
      <c r="H4152" s="718">
        <v>0.625</v>
      </c>
      <c r="I4152" s="1246"/>
      <c r="J4152" s="1246"/>
      <c r="K4152" s="1247"/>
      <c r="L4152" s="679">
        <v>0.85416666666666663</v>
      </c>
      <c r="M4152" s="667"/>
    </row>
    <row r="4153" spans="3:13">
      <c r="C4153" s="660"/>
      <c r="D4153" s="717">
        <v>45664</v>
      </c>
      <c r="E4153" s="720" t="s">
        <v>1811</v>
      </c>
      <c r="F4153" s="720" t="s">
        <v>1812</v>
      </c>
      <c r="G4153" s="720" t="s">
        <v>1813</v>
      </c>
      <c r="H4153" s="718">
        <v>0.625</v>
      </c>
      <c r="I4153" s="1246"/>
      <c r="J4153" s="1246"/>
      <c r="K4153" s="1247"/>
      <c r="L4153" s="679">
        <v>0.85416666666666663</v>
      </c>
      <c r="M4153" s="667"/>
    </row>
    <row r="4154" spans="3:13">
      <c r="C4154" s="660"/>
      <c r="D4154" s="717">
        <v>45629</v>
      </c>
      <c r="E4154" s="720" t="s">
        <v>1385</v>
      </c>
      <c r="F4154" s="720" t="s">
        <v>1386</v>
      </c>
      <c r="G4154" s="720" t="s">
        <v>1387</v>
      </c>
      <c r="H4154" s="718">
        <v>0.625</v>
      </c>
      <c r="I4154" s="1246"/>
      <c r="J4154" s="1246"/>
      <c r="K4154" s="1247"/>
      <c r="L4154" s="679">
        <v>0.85416666666666663</v>
      </c>
      <c r="M4154" s="667"/>
    </row>
    <row r="4155" spans="3:13" ht="17" thickBot="1">
      <c r="C4155" s="660"/>
      <c r="D4155" s="717">
        <v>45594</v>
      </c>
      <c r="E4155" s="720" t="s">
        <v>1174</v>
      </c>
      <c r="F4155" s="720" t="s">
        <v>1175</v>
      </c>
      <c r="G4155" s="720" t="s">
        <v>1176</v>
      </c>
      <c r="H4155" s="718">
        <v>0.58333333333333337</v>
      </c>
      <c r="I4155" s="1249"/>
      <c r="J4155" s="1249"/>
      <c r="K4155" s="1250"/>
      <c r="L4155" s="679">
        <v>0.8125</v>
      </c>
      <c r="M4155" s="682"/>
    </row>
    <row r="4156" spans="3:13" ht="17" thickBot="1">
      <c r="C4156" s="660">
        <v>1</v>
      </c>
      <c r="D4156" s="671" t="s">
        <v>30</v>
      </c>
      <c r="E4156" s="1252" t="s">
        <v>2016</v>
      </c>
      <c r="F4156" s="1253"/>
      <c r="G4156" s="1254"/>
      <c r="H4156" s="712" t="s">
        <v>790</v>
      </c>
      <c r="I4156" s="1256" t="s">
        <v>633</v>
      </c>
      <c r="J4156" s="1256"/>
      <c r="K4156" s="1257"/>
      <c r="L4156" s="674" t="s">
        <v>430</v>
      </c>
      <c r="M4156" s="713" t="s">
        <v>431</v>
      </c>
    </row>
    <row r="4157" spans="3:13">
      <c r="C4157" s="660"/>
      <c r="D4157" s="663" t="s">
        <v>432</v>
      </c>
      <c r="E4157" s="1266"/>
      <c r="F4157" s="1267"/>
      <c r="G4157" s="1268"/>
      <c r="H4157" s="714" t="s">
        <v>1132</v>
      </c>
      <c r="I4157" s="1243" t="s">
        <v>2017</v>
      </c>
      <c r="J4157" s="1243"/>
      <c r="K4157" s="1244"/>
      <c r="L4157" s="664"/>
      <c r="M4157" s="665" t="s">
        <v>2016</v>
      </c>
    </row>
    <row r="4158" spans="3:13">
      <c r="C4158" s="660"/>
      <c r="D4158" s="666" t="s">
        <v>433</v>
      </c>
      <c r="E4158" s="1269"/>
      <c r="F4158" s="1270"/>
      <c r="G4158" s="1271"/>
      <c r="H4158" s="714" t="s">
        <v>1133</v>
      </c>
      <c r="I4158" s="1246"/>
      <c r="J4158" s="1246"/>
      <c r="K4158" s="1247"/>
      <c r="L4158" s="664"/>
      <c r="M4158" s="667"/>
    </row>
    <row r="4159" spans="3:13">
      <c r="C4159" s="660"/>
      <c r="D4159" s="666" t="s">
        <v>434</v>
      </c>
      <c r="E4159" s="1278">
        <v>49</v>
      </c>
      <c r="F4159" s="1270"/>
      <c r="G4159" s="1271"/>
      <c r="H4159" s="715"/>
      <c r="I4159" s="1246"/>
      <c r="J4159" s="1246"/>
      <c r="K4159" s="1247"/>
      <c r="L4159" s="664"/>
      <c r="M4159" s="667"/>
    </row>
    <row r="4160" spans="3:13" ht="17" thickBot="1">
      <c r="C4160" s="660"/>
      <c r="D4160" s="668" t="s">
        <v>435</v>
      </c>
      <c r="E4160" s="1275">
        <v>6.2500000000000028E-2</v>
      </c>
      <c r="F4160" s="1276"/>
      <c r="G4160" s="1277"/>
      <c r="H4160" s="716"/>
      <c r="I4160" s="1246"/>
      <c r="J4160" s="1246"/>
      <c r="K4160" s="1247"/>
      <c r="L4160" s="669">
        <v>0.29166666666666669</v>
      </c>
      <c r="M4160" s="670">
        <v>0.1875</v>
      </c>
    </row>
    <row r="4161" spans="3:13" ht="17" thickBot="1">
      <c r="C4161" s="660"/>
      <c r="D4161" s="671" t="s">
        <v>436</v>
      </c>
      <c r="E4161" s="672" t="s">
        <v>29</v>
      </c>
      <c r="F4161" s="672" t="s">
        <v>28</v>
      </c>
      <c r="G4161" s="673" t="s">
        <v>27</v>
      </c>
      <c r="H4161" s="712" t="s">
        <v>793</v>
      </c>
      <c r="I4161" s="1246"/>
      <c r="J4161" s="1246"/>
      <c r="K4161" s="1247"/>
      <c r="L4161" s="675" t="s">
        <v>1246</v>
      </c>
      <c r="M4161" s="676"/>
    </row>
    <row r="4162" spans="3:13">
      <c r="C4162" s="660"/>
      <c r="D4162" s="717">
        <v>45747</v>
      </c>
      <c r="E4162" s="720" t="s">
        <v>2059</v>
      </c>
      <c r="F4162" s="720" t="s">
        <v>2060</v>
      </c>
      <c r="G4162" s="720" t="s">
        <v>1659</v>
      </c>
      <c r="H4162" s="718">
        <v>6.2500000000000028E-2</v>
      </c>
      <c r="I4162" s="1246"/>
      <c r="J4162" s="1246"/>
      <c r="K4162" s="1247"/>
      <c r="L4162" s="679">
        <v>0.29166666666666669</v>
      </c>
      <c r="M4162" s="680"/>
    </row>
    <row r="4163" spans="3:13">
      <c r="C4163" s="660"/>
      <c r="D4163" s="717">
        <v>45717</v>
      </c>
      <c r="E4163" s="720" t="s">
        <v>1659</v>
      </c>
      <c r="F4163" s="720" t="s">
        <v>2061</v>
      </c>
      <c r="G4163" s="720" t="s">
        <v>1656</v>
      </c>
      <c r="H4163" s="718">
        <v>6.2500000000000028E-2</v>
      </c>
      <c r="I4163" s="1246"/>
      <c r="J4163" s="1246"/>
      <c r="K4163" s="1247"/>
      <c r="L4163" s="679">
        <v>0.29166666666666669</v>
      </c>
      <c r="M4163" s="681"/>
    </row>
    <row r="4164" spans="3:13">
      <c r="C4164" s="660"/>
      <c r="D4164" s="717">
        <v>45684</v>
      </c>
      <c r="E4164" s="720" t="s">
        <v>1656</v>
      </c>
      <c r="F4164" s="720" t="s">
        <v>1657</v>
      </c>
      <c r="G4164" s="720" t="s">
        <v>1657</v>
      </c>
      <c r="H4164" s="718">
        <v>6.2500000000000028E-2</v>
      </c>
      <c r="I4164" s="1246"/>
      <c r="J4164" s="1246"/>
      <c r="K4164" s="1247"/>
      <c r="L4164" s="679">
        <v>0.29166666666666669</v>
      </c>
      <c r="M4164" s="667"/>
    </row>
    <row r="4165" spans="3:13">
      <c r="C4165" s="660"/>
      <c r="D4165" s="717">
        <v>45657</v>
      </c>
      <c r="E4165" s="720" t="s">
        <v>1657</v>
      </c>
      <c r="F4165" s="720" t="s">
        <v>1658</v>
      </c>
      <c r="G4165" s="720" t="s">
        <v>1658</v>
      </c>
      <c r="H4165" s="718">
        <v>6.2500000000000028E-2</v>
      </c>
      <c r="I4165" s="1246"/>
      <c r="J4165" s="1246"/>
      <c r="K4165" s="1247"/>
      <c r="L4165" s="679">
        <v>0.29166666666666669</v>
      </c>
      <c r="M4165" s="667"/>
    </row>
    <row r="4166" spans="3:13">
      <c r="C4166" s="660"/>
      <c r="D4166" s="717">
        <v>45626</v>
      </c>
      <c r="E4166" s="720" t="s">
        <v>1658</v>
      </c>
      <c r="F4166" s="720" t="s">
        <v>1659</v>
      </c>
      <c r="G4166" s="720" t="s">
        <v>1657</v>
      </c>
      <c r="H4166" s="718">
        <v>6.2500000000000028E-2</v>
      </c>
      <c r="I4166" s="1246"/>
      <c r="J4166" s="1246"/>
      <c r="K4166" s="1247"/>
      <c r="L4166" s="679">
        <v>0.29166666666666669</v>
      </c>
      <c r="M4166" s="667"/>
    </row>
    <row r="4167" spans="3:13" ht="17" thickBot="1">
      <c r="C4167" s="660"/>
      <c r="D4167" s="717">
        <v>45596</v>
      </c>
      <c r="E4167" s="720" t="s">
        <v>1657</v>
      </c>
      <c r="F4167" s="720" t="s">
        <v>1172</v>
      </c>
      <c r="G4167" s="720" t="s">
        <v>1172</v>
      </c>
      <c r="H4167" s="718">
        <v>6.2500000000000028E-2</v>
      </c>
      <c r="I4167" s="1249"/>
      <c r="J4167" s="1249"/>
      <c r="K4167" s="1250"/>
      <c r="L4167" s="679">
        <v>0.29166666666666669</v>
      </c>
      <c r="M4167" s="682"/>
    </row>
    <row r="4168" spans="3:13" ht="17" thickBot="1">
      <c r="C4168" s="660">
        <v>1</v>
      </c>
      <c r="D4168" s="671" t="s">
        <v>30</v>
      </c>
      <c r="E4168" s="1252" t="s">
        <v>2018</v>
      </c>
      <c r="F4168" s="1253"/>
      <c r="G4168" s="1254"/>
      <c r="H4168" s="712" t="s">
        <v>790</v>
      </c>
      <c r="I4168" s="1256" t="s">
        <v>633</v>
      </c>
      <c r="J4168" s="1256"/>
      <c r="K4168" s="1257"/>
      <c r="L4168" s="674" t="s">
        <v>430</v>
      </c>
      <c r="M4168" s="713" t="s">
        <v>431</v>
      </c>
    </row>
    <row r="4169" spans="3:13">
      <c r="C4169" s="660"/>
      <c r="D4169" s="663" t="s">
        <v>432</v>
      </c>
      <c r="E4169" s="1266"/>
      <c r="F4169" s="1267"/>
      <c r="G4169" s="1268"/>
      <c r="H4169" s="714" t="s">
        <v>909</v>
      </c>
      <c r="I4169" s="1243" t="s">
        <v>2021</v>
      </c>
      <c r="J4169" s="1243"/>
      <c r="K4169" s="1244"/>
      <c r="L4169" s="664"/>
      <c r="M4169" s="665" t="s">
        <v>2018</v>
      </c>
    </row>
    <row r="4170" spans="3:13">
      <c r="C4170" s="660"/>
      <c r="D4170" s="666" t="s">
        <v>433</v>
      </c>
      <c r="E4170" s="1269"/>
      <c r="F4170" s="1270"/>
      <c r="G4170" s="1271"/>
      <c r="H4170" s="714" t="s">
        <v>910</v>
      </c>
      <c r="I4170" s="1246"/>
      <c r="J4170" s="1246"/>
      <c r="K4170" s="1247"/>
      <c r="L4170" s="664"/>
      <c r="M4170" s="667"/>
    </row>
    <row r="4171" spans="3:13">
      <c r="C4171" s="660"/>
      <c r="D4171" s="666" t="s">
        <v>434</v>
      </c>
      <c r="E4171" s="1287">
        <v>-2E-3</v>
      </c>
      <c r="F4171" s="1288"/>
      <c r="G4171" s="1289"/>
      <c r="H4171" s="715"/>
      <c r="I4171" s="1246"/>
      <c r="J4171" s="1246"/>
      <c r="K4171" s="1247"/>
      <c r="L4171" s="664"/>
      <c r="M4171" s="667"/>
    </row>
    <row r="4172" spans="3:13" ht="17" thickBot="1">
      <c r="C4172" s="660"/>
      <c r="D4172" s="668" t="s">
        <v>435</v>
      </c>
      <c r="E4172" s="1275">
        <v>0.33333333333333337</v>
      </c>
      <c r="F4172" s="1276"/>
      <c r="G4172" s="1277"/>
      <c r="H4172" s="716"/>
      <c r="I4172" s="1246"/>
      <c r="J4172" s="1246"/>
      <c r="K4172" s="1247"/>
      <c r="L4172" s="669">
        <v>0.5625</v>
      </c>
      <c r="M4172" s="670">
        <v>0.45833333333333331</v>
      </c>
    </row>
    <row r="4173" spans="3:13" ht="17" thickBot="1">
      <c r="C4173" s="660"/>
      <c r="D4173" s="671" t="s">
        <v>436</v>
      </c>
      <c r="E4173" s="672" t="s">
        <v>29</v>
      </c>
      <c r="F4173" s="672" t="s">
        <v>28</v>
      </c>
      <c r="G4173" s="673" t="s">
        <v>27</v>
      </c>
      <c r="H4173" s="712" t="s">
        <v>793</v>
      </c>
      <c r="I4173" s="1246"/>
      <c r="J4173" s="1246"/>
      <c r="K4173" s="1247"/>
      <c r="L4173" s="675" t="s">
        <v>1246</v>
      </c>
      <c r="M4173" s="676"/>
    </row>
    <row r="4174" spans="3:13">
      <c r="C4174" s="660"/>
      <c r="D4174" s="717">
        <v>45713</v>
      </c>
      <c r="E4174" s="720">
        <v>-2E-3</v>
      </c>
      <c r="F4174" s="720">
        <v>-2E-3</v>
      </c>
      <c r="G4174" s="720">
        <v>1E-3</v>
      </c>
      <c r="H4174" s="718">
        <v>0.29166666666666674</v>
      </c>
      <c r="I4174" s="1246"/>
      <c r="J4174" s="1246"/>
      <c r="K4174" s="1247"/>
      <c r="L4174" s="679">
        <v>0.52083333333333337</v>
      </c>
      <c r="M4174" s="680"/>
    </row>
    <row r="4175" spans="3:13">
      <c r="C4175" s="660"/>
      <c r="D4175" s="717">
        <v>45687</v>
      </c>
      <c r="E4175" s="720">
        <v>-2E-3</v>
      </c>
      <c r="F4175" s="720">
        <v>-1E-3</v>
      </c>
      <c r="G4175" s="720">
        <v>1E-3</v>
      </c>
      <c r="H4175" s="718">
        <v>0.375</v>
      </c>
      <c r="I4175" s="1246"/>
      <c r="J4175" s="1246"/>
      <c r="K4175" s="1247"/>
      <c r="L4175" s="679">
        <v>0.60416666666666663</v>
      </c>
      <c r="M4175" s="681"/>
    </row>
    <row r="4176" spans="3:13">
      <c r="C4176" s="660"/>
      <c r="D4176" s="717">
        <v>45618</v>
      </c>
      <c r="E4176" s="720">
        <v>1E-3</v>
      </c>
      <c r="F4176" s="720">
        <v>2E-3</v>
      </c>
      <c r="G4176" s="720">
        <v>2E-3</v>
      </c>
      <c r="H4176" s="718">
        <v>0.29166666666666674</v>
      </c>
      <c r="I4176" s="1246"/>
      <c r="J4176" s="1246"/>
      <c r="K4176" s="1247"/>
      <c r="L4176" s="679">
        <v>0.52083333333333337</v>
      </c>
      <c r="M4176" s="667"/>
    </row>
    <row r="4177" spans="3:13">
      <c r="C4177" s="660"/>
      <c r="D4177" s="717">
        <v>45595</v>
      </c>
      <c r="E4177" s="720">
        <v>2E-3</v>
      </c>
      <c r="F4177" s="720">
        <v>-1E-3</v>
      </c>
      <c r="G4177" s="720">
        <v>-3.0000000000000001E-3</v>
      </c>
      <c r="H4177" s="718">
        <v>0.375</v>
      </c>
      <c r="I4177" s="1246"/>
      <c r="J4177" s="1246"/>
      <c r="K4177" s="1247"/>
      <c r="L4177" s="679">
        <v>0.60416666666666663</v>
      </c>
      <c r="M4177" s="667"/>
    </row>
    <row r="4178" spans="3:13">
      <c r="C4178" s="660"/>
      <c r="D4178" s="717">
        <v>45531</v>
      </c>
      <c r="E4178" s="720">
        <v>-1E-3</v>
      </c>
      <c r="F4178" s="720">
        <v>-1E-3</v>
      </c>
      <c r="G4178" s="720">
        <v>2E-3</v>
      </c>
      <c r="H4178" s="718">
        <v>0.25</v>
      </c>
      <c r="I4178" s="1246"/>
      <c r="J4178" s="1246"/>
      <c r="K4178" s="1247"/>
      <c r="L4178" s="679">
        <v>0.47916666666666669</v>
      </c>
      <c r="M4178" s="667"/>
    </row>
    <row r="4179" spans="3:13" ht="17" thickBot="1">
      <c r="C4179" s="660"/>
      <c r="D4179" s="717">
        <v>45503</v>
      </c>
      <c r="E4179" s="720">
        <v>-1E-3</v>
      </c>
      <c r="F4179" s="720">
        <v>1E-3</v>
      </c>
      <c r="G4179" s="720">
        <v>2E-3</v>
      </c>
      <c r="H4179" s="718">
        <v>0.33333333333333337</v>
      </c>
      <c r="I4179" s="1249"/>
      <c r="J4179" s="1249"/>
      <c r="K4179" s="1250"/>
      <c r="L4179" s="679">
        <v>0.5625</v>
      </c>
      <c r="M4179" s="682"/>
    </row>
    <row r="4180" spans="3:13" ht="17" thickBot="1">
      <c r="C4180" s="660">
        <v>1</v>
      </c>
      <c r="D4180" s="671" t="s">
        <v>30</v>
      </c>
      <c r="E4180" s="1252" t="s">
        <v>2020</v>
      </c>
      <c r="F4180" s="1253"/>
      <c r="G4180" s="1254"/>
      <c r="H4180" s="712" t="s">
        <v>790</v>
      </c>
      <c r="I4180" s="1256" t="s">
        <v>633</v>
      </c>
      <c r="J4180" s="1256"/>
      <c r="K4180" s="1257"/>
      <c r="L4180" s="674" t="s">
        <v>430</v>
      </c>
      <c r="M4180" s="713" t="s">
        <v>431</v>
      </c>
    </row>
    <row r="4181" spans="3:13">
      <c r="C4181" s="660"/>
      <c r="D4181" s="663" t="s">
        <v>432</v>
      </c>
      <c r="E4181" s="1266"/>
      <c r="F4181" s="1267"/>
      <c r="G4181" s="1268"/>
      <c r="H4181" s="714" t="s">
        <v>909</v>
      </c>
      <c r="I4181" s="1243" t="s">
        <v>2021</v>
      </c>
      <c r="J4181" s="1243"/>
      <c r="K4181" s="1244"/>
      <c r="L4181" s="664"/>
      <c r="M4181" s="665" t="s">
        <v>2020</v>
      </c>
    </row>
    <row r="4182" spans="3:13">
      <c r="C4182" s="660"/>
      <c r="D4182" s="666" t="s">
        <v>433</v>
      </c>
      <c r="E4182" s="1269"/>
      <c r="F4182" s="1270"/>
      <c r="G4182" s="1271"/>
      <c r="H4182" s="714" t="s">
        <v>910</v>
      </c>
      <c r="I4182" s="1246"/>
      <c r="J4182" s="1246"/>
      <c r="K4182" s="1247"/>
      <c r="L4182" s="664"/>
      <c r="M4182" s="667"/>
    </row>
    <row r="4183" spans="3:13">
      <c r="C4183" s="660"/>
      <c r="D4183" s="666" t="s">
        <v>434</v>
      </c>
      <c r="E4183" s="1272">
        <v>3.0000000000000001E-3</v>
      </c>
      <c r="F4183" s="1273"/>
      <c r="G4183" s="1274"/>
      <c r="H4183" s="715"/>
      <c r="I4183" s="1246"/>
      <c r="J4183" s="1246"/>
      <c r="K4183" s="1247"/>
      <c r="L4183" s="664"/>
      <c r="M4183" s="667"/>
    </row>
    <row r="4184" spans="3:13" ht="17" thickBot="1">
      <c r="C4184" s="660"/>
      <c r="D4184" s="668" t="s">
        <v>435</v>
      </c>
      <c r="E4184" s="1275">
        <v>0.5</v>
      </c>
      <c r="F4184" s="1276"/>
      <c r="G4184" s="1277"/>
      <c r="H4184" s="716"/>
      <c r="I4184" s="1246"/>
      <c r="J4184" s="1246"/>
      <c r="K4184" s="1247"/>
      <c r="L4184" s="669">
        <v>0.72916666666666663</v>
      </c>
      <c r="M4184" s="670">
        <v>0.625</v>
      </c>
    </row>
    <row r="4185" spans="3:13" ht="17" thickBot="1">
      <c r="C4185" s="660"/>
      <c r="D4185" s="671" t="s">
        <v>436</v>
      </c>
      <c r="E4185" s="672" t="s">
        <v>29</v>
      </c>
      <c r="F4185" s="672" t="s">
        <v>28</v>
      </c>
      <c r="G4185" s="673" t="s">
        <v>27</v>
      </c>
      <c r="H4185" s="712" t="s">
        <v>793</v>
      </c>
      <c r="I4185" s="1246"/>
      <c r="J4185" s="1246"/>
      <c r="K4185" s="1247"/>
      <c r="L4185" s="675" t="s">
        <v>1246</v>
      </c>
      <c r="M4185" s="676"/>
    </row>
    <row r="4186" spans="3:13">
      <c r="C4186" s="660"/>
      <c r="D4186" s="717">
        <v>45758</v>
      </c>
      <c r="E4186" s="720">
        <v>3.0000000000000001E-3</v>
      </c>
      <c r="F4186" s="720">
        <v>3.0000000000000001E-3</v>
      </c>
      <c r="G4186" s="720">
        <v>4.0000000000000001E-3</v>
      </c>
      <c r="H4186" s="718">
        <v>0.25</v>
      </c>
      <c r="I4186" s="1246"/>
      <c r="J4186" s="1246"/>
      <c r="K4186" s="1247"/>
      <c r="L4186" s="679">
        <v>0.47916666666666669</v>
      </c>
      <c r="M4186" s="680"/>
    </row>
    <row r="4187" spans="3:13">
      <c r="C4187" s="660"/>
      <c r="D4187" s="717">
        <v>45747</v>
      </c>
      <c r="E4187" s="720">
        <v>3.0000000000000001E-3</v>
      </c>
      <c r="F4187" s="720">
        <v>3.0000000000000001E-3</v>
      </c>
      <c r="G4187" s="720">
        <v>4.0000000000000001E-3</v>
      </c>
      <c r="H4187" s="718">
        <v>0.5</v>
      </c>
      <c r="I4187" s="1246"/>
      <c r="J4187" s="1246"/>
      <c r="K4187" s="1247"/>
      <c r="L4187" s="679">
        <v>0.72916666666666663</v>
      </c>
      <c r="M4187" s="681"/>
    </row>
    <row r="4188" spans="3:13">
      <c r="C4188" s="660"/>
      <c r="D4188" s="717">
        <v>45730</v>
      </c>
      <c r="E4188" s="720">
        <v>4.0000000000000001E-3</v>
      </c>
      <c r="F4188" s="720">
        <v>4.0000000000000001E-3</v>
      </c>
      <c r="G4188" s="720">
        <v>-2E-3</v>
      </c>
      <c r="H4188" s="718">
        <v>0.29166666666666674</v>
      </c>
      <c r="I4188" s="1246"/>
      <c r="J4188" s="1246"/>
      <c r="K4188" s="1247"/>
      <c r="L4188" s="679">
        <v>0.52083333333333337</v>
      </c>
      <c r="M4188" s="667"/>
    </row>
    <row r="4189" spans="3:13">
      <c r="C4189" s="660"/>
      <c r="D4189" s="717">
        <v>45716</v>
      </c>
      <c r="E4189" s="720">
        <v>4.0000000000000001E-3</v>
      </c>
      <c r="F4189" s="720">
        <v>4.0000000000000001E-3</v>
      </c>
      <c r="G4189" s="720">
        <v>-2E-3</v>
      </c>
      <c r="H4189" s="718">
        <v>0.54166666666666674</v>
      </c>
      <c r="I4189" s="1246"/>
      <c r="J4189" s="1246"/>
      <c r="K4189" s="1247"/>
      <c r="L4189" s="679">
        <v>0.77083333333333337</v>
      </c>
      <c r="M4189" s="667"/>
    </row>
    <row r="4190" spans="3:13">
      <c r="C4190" s="660"/>
      <c r="D4190" s="717">
        <v>45701</v>
      </c>
      <c r="E4190" s="720">
        <v>-2E-3</v>
      </c>
      <c r="F4190" s="720">
        <v>-2E-3</v>
      </c>
      <c r="G4190" s="720">
        <v>5.0000000000000001E-3</v>
      </c>
      <c r="H4190" s="718">
        <v>0.29166666666666674</v>
      </c>
      <c r="I4190" s="1246"/>
      <c r="J4190" s="1246"/>
      <c r="K4190" s="1247"/>
      <c r="L4190" s="679">
        <v>0.52083333333333337</v>
      </c>
      <c r="M4190" s="667"/>
    </row>
    <row r="4191" spans="3:13" ht="17" thickBot="1">
      <c r="C4191" s="660"/>
      <c r="D4191" s="717">
        <v>45688</v>
      </c>
      <c r="E4191" s="720">
        <v>-2E-3</v>
      </c>
      <c r="F4191" s="720">
        <v>1E-3</v>
      </c>
      <c r="G4191" s="720">
        <v>5.0000000000000001E-3</v>
      </c>
      <c r="H4191" s="718">
        <v>0.54166666666666674</v>
      </c>
      <c r="I4191" s="1249"/>
      <c r="J4191" s="1249"/>
      <c r="K4191" s="1250"/>
      <c r="L4191" s="679">
        <v>0.77083333333333337</v>
      </c>
      <c r="M4191" s="682"/>
    </row>
    <row r="4192" spans="3:13" ht="17" thickBot="1">
      <c r="C4192" s="660">
        <v>1</v>
      </c>
      <c r="D4192" s="671" t="s">
        <v>30</v>
      </c>
      <c r="E4192" s="1252" t="s">
        <v>2022</v>
      </c>
      <c r="F4192" s="1253"/>
      <c r="G4192" s="1254"/>
      <c r="H4192" s="712" t="s">
        <v>790</v>
      </c>
      <c r="I4192" s="1256" t="s">
        <v>633</v>
      </c>
      <c r="J4192" s="1256"/>
      <c r="K4192" s="1257"/>
      <c r="L4192" s="674" t="s">
        <v>430</v>
      </c>
      <c r="M4192" s="713" t="s">
        <v>431</v>
      </c>
    </row>
    <row r="4193" spans="3:13">
      <c r="C4193" s="660"/>
      <c r="D4193" s="663" t="s">
        <v>432</v>
      </c>
      <c r="E4193" s="1266"/>
      <c r="F4193" s="1267"/>
      <c r="G4193" s="1268"/>
      <c r="H4193" s="714" t="s">
        <v>794</v>
      </c>
      <c r="I4193" s="1243" t="s">
        <v>2023</v>
      </c>
      <c r="J4193" s="1243"/>
      <c r="K4193" s="1244"/>
      <c r="L4193" s="664"/>
      <c r="M4193" s="665" t="s">
        <v>2022</v>
      </c>
    </row>
    <row r="4194" spans="3:13">
      <c r="C4194" s="660"/>
      <c r="D4194" s="666" t="s">
        <v>433</v>
      </c>
      <c r="E4194" s="1269"/>
      <c r="F4194" s="1270"/>
      <c r="G4194" s="1271"/>
      <c r="H4194" s="714" t="s">
        <v>795</v>
      </c>
      <c r="I4194" s="1246"/>
      <c r="J4194" s="1246"/>
      <c r="K4194" s="1247"/>
      <c r="L4194" s="664"/>
      <c r="M4194" s="667"/>
    </row>
    <row r="4195" spans="3:13">
      <c r="C4195" s="660"/>
      <c r="D4195" s="666" t="s">
        <v>434</v>
      </c>
      <c r="E4195" s="1272" t="s">
        <v>292</v>
      </c>
      <c r="F4195" s="1273"/>
      <c r="G4195" s="1274"/>
      <c r="H4195" s="715"/>
      <c r="I4195" s="1246"/>
      <c r="J4195" s="1246"/>
      <c r="K4195" s="1247"/>
      <c r="L4195" s="664"/>
      <c r="M4195" s="667"/>
    </row>
    <row r="4196" spans="3:13" ht="17" thickBot="1">
      <c r="C4196" s="660"/>
      <c r="D4196" s="668" t="s">
        <v>435</v>
      </c>
      <c r="E4196" s="1275">
        <v>0.52083333333333337</v>
      </c>
      <c r="F4196" s="1276"/>
      <c r="G4196" s="1277"/>
      <c r="H4196" s="716"/>
      <c r="I4196" s="1246"/>
      <c r="J4196" s="1246"/>
      <c r="K4196" s="1247"/>
      <c r="L4196" s="669">
        <v>0.73958333333333337</v>
      </c>
      <c r="M4196" s="670">
        <v>0.63541666666666674</v>
      </c>
    </row>
    <row r="4197" spans="3:13" ht="17" thickBot="1">
      <c r="C4197" s="660"/>
      <c r="D4197" s="671" t="s">
        <v>436</v>
      </c>
      <c r="E4197" s="672" t="s">
        <v>29</v>
      </c>
      <c r="F4197" s="672" t="s">
        <v>28</v>
      </c>
      <c r="G4197" s="673" t="s">
        <v>27</v>
      </c>
      <c r="H4197" s="712" t="s">
        <v>793</v>
      </c>
      <c r="I4197" s="1246"/>
      <c r="J4197" s="1246"/>
      <c r="K4197" s="1247"/>
      <c r="L4197" s="675" t="s">
        <v>1246</v>
      </c>
      <c r="M4197" s="676"/>
    </row>
    <row r="4198" spans="3:13">
      <c r="C4198" s="660"/>
      <c r="D4198" s="717">
        <v>45749</v>
      </c>
      <c r="E4198" s="720" t="s">
        <v>1203</v>
      </c>
      <c r="F4198" s="720" t="s">
        <v>2062</v>
      </c>
      <c r="G4198" s="720" t="s">
        <v>2063</v>
      </c>
      <c r="H4198" s="718">
        <v>0.51041666666666674</v>
      </c>
      <c r="I4198" s="1246"/>
      <c r="J4198" s="1246"/>
      <c r="K4198" s="1247"/>
      <c r="L4198" s="679">
        <v>0.73958333333333337</v>
      </c>
      <c r="M4198" s="680"/>
    </row>
    <row r="4199" spans="3:13">
      <c r="C4199" s="660"/>
      <c r="D4199" s="717">
        <v>45721</v>
      </c>
      <c r="E4199" s="720" t="s">
        <v>1825</v>
      </c>
      <c r="F4199" s="720" t="s">
        <v>1826</v>
      </c>
      <c r="G4199" s="720" t="s">
        <v>1827</v>
      </c>
      <c r="H4199" s="718">
        <v>0.55208333333333337</v>
      </c>
      <c r="I4199" s="1246"/>
      <c r="J4199" s="1246"/>
      <c r="K4199" s="1247"/>
      <c r="L4199" s="679">
        <v>0.78125</v>
      </c>
      <c r="M4199" s="681"/>
    </row>
    <row r="4200" spans="3:13">
      <c r="C4200" s="660"/>
      <c r="D4200" s="717">
        <v>45693</v>
      </c>
      <c r="E4200" s="720" t="s">
        <v>1830</v>
      </c>
      <c r="F4200" s="720" t="s">
        <v>1831</v>
      </c>
      <c r="G4200" s="720" t="s">
        <v>1239</v>
      </c>
      <c r="H4200" s="718">
        <v>0.55208333333333337</v>
      </c>
      <c r="I4200" s="1246"/>
      <c r="J4200" s="1246"/>
      <c r="K4200" s="1247"/>
      <c r="L4200" s="679">
        <v>0.78125</v>
      </c>
      <c r="M4200" s="667"/>
    </row>
    <row r="4201" spans="3:13">
      <c r="C4201" s="660"/>
      <c r="D4201" s="717">
        <v>45665</v>
      </c>
      <c r="E4201" s="720" t="s">
        <v>1201</v>
      </c>
      <c r="F4201" s="720" t="s">
        <v>1834</v>
      </c>
      <c r="G4201" s="720" t="s">
        <v>1388</v>
      </c>
      <c r="H4201" s="718">
        <v>0.55208333333333337</v>
      </c>
      <c r="I4201" s="1246"/>
      <c r="J4201" s="1246"/>
      <c r="K4201" s="1247"/>
      <c r="L4201" s="679">
        <v>0.78125</v>
      </c>
      <c r="M4201" s="667"/>
    </row>
    <row r="4202" spans="3:13">
      <c r="C4202" s="660"/>
      <c r="D4202" s="717">
        <v>45630</v>
      </c>
      <c r="E4202" s="720" t="s">
        <v>1388</v>
      </c>
      <c r="F4202" s="720" t="s">
        <v>1389</v>
      </c>
      <c r="G4202" s="720" t="s">
        <v>1390</v>
      </c>
      <c r="H4202" s="718">
        <v>0.55208333333333337</v>
      </c>
      <c r="I4202" s="1246"/>
      <c r="J4202" s="1246"/>
      <c r="K4202" s="1247"/>
      <c r="L4202" s="679">
        <v>0.78125</v>
      </c>
      <c r="M4202" s="667"/>
    </row>
    <row r="4203" spans="3:13" ht="17" thickBot="1">
      <c r="C4203" s="660"/>
      <c r="D4203" s="717">
        <v>45595</v>
      </c>
      <c r="E4203" s="720" t="s">
        <v>1192</v>
      </c>
      <c r="F4203" s="720" t="s">
        <v>1193</v>
      </c>
      <c r="G4203" s="720" t="s">
        <v>1194</v>
      </c>
      <c r="H4203" s="718">
        <v>0.51041666666666674</v>
      </c>
      <c r="I4203" s="1249"/>
      <c r="J4203" s="1249"/>
      <c r="K4203" s="1250"/>
      <c r="L4203" s="679">
        <v>0.73958333333333337</v>
      </c>
      <c r="M4203" s="682"/>
    </row>
    <row r="4204" spans="3:13" ht="17" thickBot="1">
      <c r="C4204" s="660">
        <v>1</v>
      </c>
      <c r="D4204" s="671" t="s">
        <v>30</v>
      </c>
      <c r="E4204" s="1252" t="s">
        <v>2024</v>
      </c>
      <c r="F4204" s="1253"/>
      <c r="G4204" s="1254"/>
      <c r="H4204" s="712" t="s">
        <v>790</v>
      </c>
      <c r="I4204" s="1256" t="s">
        <v>633</v>
      </c>
      <c r="J4204" s="1256"/>
      <c r="K4204" s="1257"/>
      <c r="L4204" s="674" t="s">
        <v>430</v>
      </c>
      <c r="M4204" s="713" t="s">
        <v>431</v>
      </c>
    </row>
    <row r="4205" spans="3:13">
      <c r="C4205" s="660"/>
      <c r="D4205" s="663" t="s">
        <v>432</v>
      </c>
      <c r="E4205" s="1266"/>
      <c r="F4205" s="1267"/>
      <c r="G4205" s="1268"/>
      <c r="H4205" s="714" t="s">
        <v>794</v>
      </c>
      <c r="I4205" s="1243" t="s">
        <v>1632</v>
      </c>
      <c r="J4205" s="1243"/>
      <c r="K4205" s="1244"/>
      <c r="L4205" s="664"/>
      <c r="M4205" s="665" t="s">
        <v>2024</v>
      </c>
    </row>
    <row r="4206" spans="3:13">
      <c r="C4206" s="660"/>
      <c r="D4206" s="666" t="s">
        <v>433</v>
      </c>
      <c r="E4206" s="1269"/>
      <c r="F4206" s="1270"/>
      <c r="G4206" s="1271"/>
      <c r="H4206" s="714" t="s">
        <v>795</v>
      </c>
      <c r="I4206" s="1246"/>
      <c r="J4206" s="1246"/>
      <c r="K4206" s="1247"/>
      <c r="L4206" s="664"/>
      <c r="M4206" s="667"/>
    </row>
    <row r="4207" spans="3:13">
      <c r="C4207" s="660"/>
      <c r="D4207" s="666" t="s">
        <v>434</v>
      </c>
      <c r="E4207" s="1272">
        <v>2.4E-2</v>
      </c>
      <c r="F4207" s="1273"/>
      <c r="G4207" s="1274"/>
      <c r="H4207" s="715"/>
      <c r="I4207" s="1246"/>
      <c r="J4207" s="1246"/>
      <c r="K4207" s="1247"/>
      <c r="L4207" s="664"/>
      <c r="M4207" s="667"/>
    </row>
    <row r="4208" spans="3:13" ht="17" thickBot="1">
      <c r="C4208" s="660"/>
      <c r="D4208" s="668" t="s">
        <v>435</v>
      </c>
      <c r="E4208" s="1275">
        <v>0.52083333333333337</v>
      </c>
      <c r="F4208" s="1276"/>
      <c r="G4208" s="1277"/>
      <c r="H4208" s="716"/>
      <c r="I4208" s="1246"/>
      <c r="J4208" s="1246"/>
      <c r="K4208" s="1247"/>
      <c r="L4208" s="669">
        <v>0.75</v>
      </c>
      <c r="M4208" s="670">
        <v>0.64583333333333337</v>
      </c>
    </row>
    <row r="4209" spans="3:13" ht="17" thickBot="1">
      <c r="C4209" s="660"/>
      <c r="D4209" s="671" t="s">
        <v>436</v>
      </c>
      <c r="E4209" s="672" t="s">
        <v>29</v>
      </c>
      <c r="F4209" s="672" t="s">
        <v>28</v>
      </c>
      <c r="G4209" s="673" t="s">
        <v>27</v>
      </c>
      <c r="H4209" s="712" t="s">
        <v>793</v>
      </c>
      <c r="I4209" s="1246"/>
      <c r="J4209" s="1246"/>
      <c r="K4209" s="1247"/>
      <c r="L4209" s="675" t="s">
        <v>1246</v>
      </c>
      <c r="M4209" s="676"/>
    </row>
    <row r="4210" spans="3:13">
      <c r="C4210" s="660"/>
      <c r="D4210" s="717">
        <v>45743</v>
      </c>
      <c r="E4210" s="720">
        <v>2.4E-2</v>
      </c>
      <c r="F4210" s="720">
        <v>2.3E-2</v>
      </c>
      <c r="G4210" s="720">
        <v>3.1E-2</v>
      </c>
      <c r="H4210" s="718">
        <v>0.52083333333333337</v>
      </c>
      <c r="I4210" s="1246"/>
      <c r="J4210" s="1246"/>
      <c r="K4210" s="1247"/>
      <c r="L4210" s="679">
        <v>0.75</v>
      </c>
      <c r="M4210" s="680"/>
    </row>
    <row r="4211" spans="3:13">
      <c r="C4211" s="660"/>
      <c r="D4211" s="717">
        <v>45715</v>
      </c>
      <c r="E4211" s="720">
        <v>2.3E-2</v>
      </c>
      <c r="F4211" s="720">
        <v>2.3E-2</v>
      </c>
      <c r="G4211" s="720">
        <v>3.1E-2</v>
      </c>
      <c r="H4211" s="718">
        <v>0.5625</v>
      </c>
      <c r="I4211" s="1246"/>
      <c r="J4211" s="1246"/>
      <c r="K4211" s="1247"/>
      <c r="L4211" s="679">
        <v>0.79166666666666663</v>
      </c>
      <c r="M4211" s="681"/>
    </row>
    <row r="4212" spans="3:13">
      <c r="C4212" s="660"/>
      <c r="D4212" s="717">
        <v>45687</v>
      </c>
      <c r="E4212" s="720">
        <v>2.3E-2</v>
      </c>
      <c r="F4212" s="720">
        <v>2.7E-2</v>
      </c>
      <c r="G4212" s="720">
        <v>3.1E-2</v>
      </c>
      <c r="H4212" s="718">
        <v>0.5625</v>
      </c>
      <c r="I4212" s="1246"/>
      <c r="J4212" s="1246"/>
      <c r="K4212" s="1247"/>
      <c r="L4212" s="679">
        <v>0.79166666666666663</v>
      </c>
      <c r="M4212" s="667"/>
    </row>
    <row r="4213" spans="3:13">
      <c r="C4213" s="660"/>
      <c r="D4213" s="717">
        <v>45645</v>
      </c>
      <c r="E4213" s="720">
        <v>3.1E-2</v>
      </c>
      <c r="F4213" s="720">
        <v>2.8000000000000001E-2</v>
      </c>
      <c r="G4213" s="720">
        <v>0.03</v>
      </c>
      <c r="H4213" s="718">
        <v>0.5625</v>
      </c>
      <c r="I4213" s="1246"/>
      <c r="J4213" s="1246"/>
      <c r="K4213" s="1247"/>
      <c r="L4213" s="679">
        <v>0.79166666666666663</v>
      </c>
      <c r="M4213" s="667"/>
    </row>
    <row r="4214" spans="3:13">
      <c r="C4214" s="660"/>
      <c r="D4214" s="717">
        <v>45623</v>
      </c>
      <c r="E4214" s="720">
        <v>2.8000000000000001E-2</v>
      </c>
      <c r="F4214" s="720">
        <v>2.8000000000000001E-2</v>
      </c>
      <c r="G4214" s="720">
        <v>0.03</v>
      </c>
      <c r="H4214" s="718">
        <v>0.5625</v>
      </c>
      <c r="I4214" s="1246"/>
      <c r="J4214" s="1246"/>
      <c r="K4214" s="1247"/>
      <c r="L4214" s="679">
        <v>0.79166666666666663</v>
      </c>
      <c r="M4214" s="667"/>
    </row>
    <row r="4215" spans="3:13" ht="17" thickBot="1">
      <c r="C4215" s="660"/>
      <c r="D4215" s="717">
        <v>45595</v>
      </c>
      <c r="E4215" s="720">
        <v>2.8000000000000001E-2</v>
      </c>
      <c r="F4215" s="720">
        <v>0.03</v>
      </c>
      <c r="G4215" s="720">
        <v>0.03</v>
      </c>
      <c r="H4215" s="718">
        <v>0.52083333333333337</v>
      </c>
      <c r="I4215" s="1249"/>
      <c r="J4215" s="1249"/>
      <c r="K4215" s="1250"/>
      <c r="L4215" s="679">
        <v>0.75</v>
      </c>
      <c r="M4215" s="682"/>
    </row>
    <row r="4216" spans="3:13" ht="17" thickBot="1">
      <c r="C4216" s="660">
        <v>1</v>
      </c>
      <c r="D4216" s="671" t="s">
        <v>30</v>
      </c>
      <c r="E4216" s="1252" t="s">
        <v>2025</v>
      </c>
      <c r="F4216" s="1253"/>
      <c r="G4216" s="1254"/>
      <c r="H4216" s="712" t="s">
        <v>790</v>
      </c>
      <c r="I4216" s="1256" t="s">
        <v>633</v>
      </c>
      <c r="J4216" s="1256"/>
      <c r="K4216" s="1257"/>
      <c r="L4216" s="674" t="s">
        <v>430</v>
      </c>
      <c r="M4216" s="713" t="s">
        <v>431</v>
      </c>
    </row>
    <row r="4217" spans="3:13">
      <c r="C4217" s="660"/>
      <c r="D4217" s="663" t="s">
        <v>432</v>
      </c>
      <c r="E4217" s="1266"/>
      <c r="F4217" s="1267"/>
      <c r="G4217" s="1268"/>
      <c r="H4217" s="714" t="s">
        <v>794</v>
      </c>
      <c r="I4217" s="1243" t="s">
        <v>1640</v>
      </c>
      <c r="J4217" s="1243"/>
      <c r="K4217" s="1244"/>
      <c r="L4217" s="664"/>
      <c r="M4217" s="665" t="s">
        <v>2025</v>
      </c>
    </row>
    <row r="4218" spans="3:13">
      <c r="C4218" s="660"/>
      <c r="D4218" s="666" t="s">
        <v>433</v>
      </c>
      <c r="E4218" s="1269"/>
      <c r="F4218" s="1270"/>
      <c r="G4218" s="1271"/>
      <c r="H4218" s="714" t="s">
        <v>795</v>
      </c>
      <c r="I4218" s="1246"/>
      <c r="J4218" s="1246"/>
      <c r="K4218" s="1247"/>
      <c r="L4218" s="664"/>
      <c r="M4218" s="667"/>
    </row>
    <row r="4219" spans="3:13">
      <c r="C4219" s="660"/>
      <c r="D4219" s="666" t="s">
        <v>434</v>
      </c>
      <c r="E4219" s="1272" t="s">
        <v>1347</v>
      </c>
      <c r="F4219" s="1273"/>
      <c r="G4219" s="1274"/>
      <c r="H4219" s="715"/>
      <c r="I4219" s="1246"/>
      <c r="J4219" s="1246"/>
      <c r="K4219" s="1247"/>
      <c r="L4219" s="664"/>
      <c r="M4219" s="667"/>
    </row>
    <row r="4220" spans="3:13" ht="17" thickBot="1">
      <c r="C4220" s="660"/>
      <c r="D4220" s="668" t="s">
        <v>435</v>
      </c>
      <c r="E4220" s="1275">
        <v>0.57291666666666674</v>
      </c>
      <c r="F4220" s="1276"/>
      <c r="G4220" s="1277"/>
      <c r="H4220" s="716"/>
      <c r="I4220" s="1246"/>
      <c r="J4220" s="1246"/>
      <c r="K4220" s="1247"/>
      <c r="L4220" s="669">
        <v>0.80208333333333337</v>
      </c>
      <c r="M4220" s="670">
        <v>0.69791666666666674</v>
      </c>
    </row>
    <row r="4221" spans="3:13" ht="17" thickBot="1">
      <c r="C4221" s="660"/>
      <c r="D4221" s="671" t="s">
        <v>436</v>
      </c>
      <c r="E4221" s="672" t="s">
        <v>29</v>
      </c>
      <c r="F4221" s="672" t="s">
        <v>28</v>
      </c>
      <c r="G4221" s="673" t="s">
        <v>27</v>
      </c>
      <c r="H4221" s="712" t="s">
        <v>793</v>
      </c>
      <c r="I4221" s="1246"/>
      <c r="J4221" s="1246"/>
      <c r="K4221" s="1247"/>
      <c r="L4221" s="675" t="s">
        <v>1246</v>
      </c>
      <c r="M4221" s="676"/>
    </row>
    <row r="4222" spans="3:13">
      <c r="C4222" s="660"/>
      <c r="D4222" s="717">
        <v>45747</v>
      </c>
      <c r="E4222" s="693">
        <v>47.6</v>
      </c>
      <c r="F4222" s="693">
        <v>45.5</v>
      </c>
      <c r="G4222" s="693">
        <v>45.5</v>
      </c>
      <c r="H4222" s="718">
        <v>0.57291666666666674</v>
      </c>
      <c r="I4222" s="1246"/>
      <c r="J4222" s="1246"/>
      <c r="K4222" s="1247"/>
      <c r="L4222" s="679">
        <v>0.80208333333333337</v>
      </c>
      <c r="M4222" s="680"/>
    </row>
    <row r="4223" spans="3:13">
      <c r="C4223" s="660"/>
      <c r="D4223" s="717">
        <v>45716</v>
      </c>
      <c r="E4223" s="693">
        <v>45.5</v>
      </c>
      <c r="F4223" s="693">
        <v>40.5</v>
      </c>
      <c r="G4223" s="693">
        <v>39.5</v>
      </c>
      <c r="H4223" s="718">
        <v>0.61458333333333337</v>
      </c>
      <c r="I4223" s="1246"/>
      <c r="J4223" s="1246"/>
      <c r="K4223" s="1247"/>
      <c r="L4223" s="679">
        <v>0.84375</v>
      </c>
      <c r="M4223" s="681"/>
    </row>
    <row r="4224" spans="3:13">
      <c r="C4224" s="660"/>
      <c r="D4224" s="717">
        <v>45688</v>
      </c>
      <c r="E4224" s="693">
        <v>39.5</v>
      </c>
      <c r="F4224" s="693">
        <v>40.299999999999997</v>
      </c>
      <c r="G4224" s="693">
        <v>36.9</v>
      </c>
      <c r="H4224" s="718">
        <v>0.61458333333333337</v>
      </c>
      <c r="I4224" s="1246"/>
      <c r="J4224" s="1246"/>
      <c r="K4224" s="1247"/>
      <c r="L4224" s="679">
        <v>0.84375</v>
      </c>
      <c r="M4224" s="667"/>
    </row>
    <row r="4225" spans="3:13">
      <c r="C4225" s="660"/>
      <c r="D4225" s="717">
        <v>45656</v>
      </c>
      <c r="E4225" s="693">
        <v>36.9</v>
      </c>
      <c r="F4225" s="693">
        <v>42.7</v>
      </c>
      <c r="G4225" s="693">
        <v>40.200000000000003</v>
      </c>
      <c r="H4225" s="718">
        <v>0.61458333333333337</v>
      </c>
      <c r="I4225" s="1246"/>
      <c r="J4225" s="1246"/>
      <c r="K4225" s="1247"/>
      <c r="L4225" s="679">
        <v>0.84375</v>
      </c>
      <c r="M4225" s="667"/>
    </row>
    <row r="4226" spans="3:13">
      <c r="C4226" s="660"/>
      <c r="D4226" s="717">
        <v>45625</v>
      </c>
      <c r="E4226" s="693">
        <v>40.200000000000003</v>
      </c>
      <c r="F4226" s="693">
        <v>44.9</v>
      </c>
      <c r="G4226" s="693">
        <v>41.6</v>
      </c>
      <c r="H4226" s="718">
        <v>0.61458333333333337</v>
      </c>
      <c r="I4226" s="1246"/>
      <c r="J4226" s="1246"/>
      <c r="K4226" s="1247"/>
      <c r="L4226" s="679">
        <v>0.84375</v>
      </c>
      <c r="M4226" s="667"/>
    </row>
    <row r="4227" spans="3:13" ht="17" thickBot="1">
      <c r="C4227" s="660"/>
      <c r="D4227" s="717">
        <v>45596</v>
      </c>
      <c r="E4227" s="693">
        <v>41.6</v>
      </c>
      <c r="F4227" s="693">
        <v>46.9</v>
      </c>
      <c r="G4227" s="693">
        <v>46.6</v>
      </c>
      <c r="H4227" s="718">
        <v>0.57291666666666674</v>
      </c>
      <c r="I4227" s="1249"/>
      <c r="J4227" s="1249"/>
      <c r="K4227" s="1250"/>
      <c r="L4227" s="679">
        <v>0.80208333333333337</v>
      </c>
      <c r="M4227" s="682"/>
    </row>
    <row r="4228" spans="3:13" ht="17" thickBot="1">
      <c r="C4228" s="660">
        <v>1</v>
      </c>
      <c r="D4228" s="671" t="s">
        <v>30</v>
      </c>
      <c r="E4228" s="1252" t="s">
        <v>2026</v>
      </c>
      <c r="F4228" s="1253"/>
      <c r="G4228" s="1254"/>
      <c r="H4228" s="712" t="s">
        <v>790</v>
      </c>
      <c r="I4228" s="1256" t="s">
        <v>633</v>
      </c>
      <c r="J4228" s="1256"/>
      <c r="K4228" s="1257"/>
      <c r="L4228" s="674" t="s">
        <v>430</v>
      </c>
      <c r="M4228" s="713" t="s">
        <v>431</v>
      </c>
    </row>
    <row r="4229" spans="3:13">
      <c r="C4229" s="660"/>
      <c r="D4229" s="663" t="s">
        <v>432</v>
      </c>
      <c r="E4229" s="1266"/>
      <c r="F4229" s="1267"/>
      <c r="G4229" s="1268"/>
      <c r="H4229" s="714" t="s">
        <v>794</v>
      </c>
      <c r="I4229" s="1243" t="s">
        <v>2027</v>
      </c>
      <c r="J4229" s="1243"/>
      <c r="K4229" s="1244"/>
      <c r="L4229" s="664"/>
      <c r="M4229" s="665" t="s">
        <v>2026</v>
      </c>
    </row>
    <row r="4230" spans="3:13">
      <c r="C4230" s="660"/>
      <c r="D4230" s="666" t="s">
        <v>433</v>
      </c>
      <c r="E4230" s="1269"/>
      <c r="F4230" s="1270"/>
      <c r="G4230" s="1271"/>
      <c r="H4230" s="714" t="s">
        <v>795</v>
      </c>
      <c r="I4230" s="1246"/>
      <c r="J4230" s="1246"/>
      <c r="K4230" s="1247"/>
      <c r="L4230" s="664"/>
      <c r="M4230" s="667"/>
    </row>
    <row r="4231" spans="3:13">
      <c r="C4231" s="660"/>
      <c r="D4231" s="666" t="s">
        <v>434</v>
      </c>
      <c r="E4231" s="1272">
        <v>4.0000000000000001E-3</v>
      </c>
      <c r="F4231" s="1273"/>
      <c r="G4231" s="1274"/>
      <c r="H4231" s="715"/>
      <c r="I4231" s="1246"/>
      <c r="J4231" s="1246"/>
      <c r="K4231" s="1247"/>
      <c r="L4231" s="664"/>
      <c r="M4231" s="667"/>
    </row>
    <row r="4232" spans="3:13" ht="17" thickBot="1">
      <c r="C4232" s="660"/>
      <c r="D4232" s="668" t="s">
        <v>435</v>
      </c>
      <c r="E4232" s="1275">
        <v>0.58333333333333337</v>
      </c>
      <c r="F4232" s="1276"/>
      <c r="G4232" s="1277"/>
      <c r="H4232" s="716"/>
      <c r="I4232" s="1246"/>
      <c r="J4232" s="1246"/>
      <c r="K4232" s="1247"/>
      <c r="L4232" s="669">
        <v>0.8125</v>
      </c>
      <c r="M4232" s="670">
        <v>0.70833333333333337</v>
      </c>
    </row>
    <row r="4233" spans="3:13" ht="17" thickBot="1">
      <c r="C4233" s="660"/>
      <c r="D4233" s="671" t="s">
        <v>436</v>
      </c>
      <c r="E4233" s="672" t="s">
        <v>29</v>
      </c>
      <c r="F4233" s="672" t="s">
        <v>28</v>
      </c>
      <c r="G4233" s="673" t="s">
        <v>27</v>
      </c>
      <c r="H4233" s="712" t="s">
        <v>793</v>
      </c>
      <c r="I4233" s="1246"/>
      <c r="J4233" s="1246"/>
      <c r="K4233" s="1247"/>
      <c r="L4233" s="675" t="s">
        <v>1246</v>
      </c>
      <c r="M4233" s="676"/>
    </row>
    <row r="4234" spans="3:13">
      <c r="C4234" s="660"/>
      <c r="D4234" s="717">
        <v>45744</v>
      </c>
      <c r="E4234" s="720">
        <v>4.0000000000000001E-3</v>
      </c>
      <c r="F4234" s="720">
        <v>3.0000000000000001E-3</v>
      </c>
      <c r="G4234" s="720">
        <v>3.0000000000000001E-3</v>
      </c>
      <c r="H4234" s="718">
        <v>0.52083333333333337</v>
      </c>
      <c r="I4234" s="1246"/>
      <c r="J4234" s="1246"/>
      <c r="K4234" s="1247"/>
      <c r="L4234" s="679">
        <v>0.75</v>
      </c>
      <c r="M4234" s="680"/>
    </row>
    <row r="4235" spans="3:13">
      <c r="C4235" s="660"/>
      <c r="D4235" s="717">
        <v>45716</v>
      </c>
      <c r="E4235" s="720">
        <v>3.0000000000000001E-3</v>
      </c>
      <c r="F4235" s="720">
        <v>3.0000000000000001E-3</v>
      </c>
      <c r="G4235" s="720">
        <v>2E-3</v>
      </c>
      <c r="H4235" s="718">
        <v>0.5625</v>
      </c>
      <c r="I4235" s="1246"/>
      <c r="J4235" s="1246"/>
      <c r="K4235" s="1247"/>
      <c r="L4235" s="679">
        <v>0.79166666666666663</v>
      </c>
      <c r="M4235" s="681"/>
    </row>
    <row r="4236" spans="3:13">
      <c r="C4236" s="660"/>
      <c r="D4236" s="717">
        <v>45688</v>
      </c>
      <c r="E4236" s="720">
        <v>2E-3</v>
      </c>
      <c r="F4236" s="720">
        <v>2E-3</v>
      </c>
      <c r="G4236" s="720">
        <v>1E-3</v>
      </c>
      <c r="H4236" s="718">
        <v>0.5625</v>
      </c>
      <c r="I4236" s="1246"/>
      <c r="J4236" s="1246"/>
      <c r="K4236" s="1247"/>
      <c r="L4236" s="679">
        <v>0.79166666666666663</v>
      </c>
      <c r="M4236" s="667"/>
    </row>
    <row r="4237" spans="3:13">
      <c r="C4237" s="660"/>
      <c r="D4237" s="717">
        <v>45646</v>
      </c>
      <c r="E4237" s="720">
        <v>1E-3</v>
      </c>
      <c r="F4237" s="720">
        <v>2E-3</v>
      </c>
      <c r="G4237" s="720">
        <v>3.0000000000000001E-3</v>
      </c>
      <c r="H4237" s="718">
        <v>0.5625</v>
      </c>
      <c r="I4237" s="1246"/>
      <c r="J4237" s="1246"/>
      <c r="K4237" s="1247"/>
      <c r="L4237" s="679">
        <v>0.79166666666666663</v>
      </c>
      <c r="M4237" s="667"/>
    </row>
    <row r="4238" spans="3:13">
      <c r="C4238" s="660"/>
      <c r="D4238" s="717">
        <v>45623</v>
      </c>
      <c r="E4238" s="720">
        <v>3.0000000000000001E-3</v>
      </c>
      <c r="F4238" s="720">
        <v>3.0000000000000001E-3</v>
      </c>
      <c r="G4238" s="720">
        <v>3.0000000000000001E-3</v>
      </c>
      <c r="H4238" s="718">
        <v>0.625</v>
      </c>
      <c r="I4238" s="1246"/>
      <c r="J4238" s="1246"/>
      <c r="K4238" s="1247"/>
      <c r="L4238" s="679">
        <v>0.85416666666666663</v>
      </c>
      <c r="M4238" s="667"/>
    </row>
    <row r="4239" spans="3:13" ht="17" thickBot="1">
      <c r="C4239" s="660"/>
      <c r="D4239" s="717">
        <v>45596</v>
      </c>
      <c r="E4239" s="720">
        <v>3.0000000000000001E-3</v>
      </c>
      <c r="F4239" s="720">
        <v>3.0000000000000001E-3</v>
      </c>
      <c r="G4239" s="720">
        <v>2E-3</v>
      </c>
      <c r="H4239" s="718">
        <v>0.52083333333333337</v>
      </c>
      <c r="I4239" s="1249"/>
      <c r="J4239" s="1249"/>
      <c r="K4239" s="1250"/>
      <c r="L4239" s="679">
        <v>0.75</v>
      </c>
      <c r="M4239" s="682"/>
    </row>
    <row r="4240" spans="3:13" ht="17" thickBot="1">
      <c r="C4240" s="660">
        <v>1</v>
      </c>
      <c r="D4240" s="671" t="s">
        <v>30</v>
      </c>
      <c r="E4240" s="1252" t="s">
        <v>2028</v>
      </c>
      <c r="F4240" s="1253"/>
      <c r="G4240" s="1254"/>
      <c r="H4240" s="712" t="s">
        <v>790</v>
      </c>
      <c r="I4240" s="1256" t="s">
        <v>633</v>
      </c>
      <c r="J4240" s="1256"/>
      <c r="K4240" s="1257"/>
      <c r="L4240" s="674" t="s">
        <v>430</v>
      </c>
      <c r="M4240" s="713" t="s">
        <v>431</v>
      </c>
    </row>
    <row r="4241" spans="3:13">
      <c r="C4241" s="660"/>
      <c r="D4241" s="663" t="s">
        <v>432</v>
      </c>
      <c r="E4241" s="1266"/>
      <c r="F4241" s="1267"/>
      <c r="G4241" s="1268"/>
      <c r="H4241" s="714" t="s">
        <v>794</v>
      </c>
      <c r="I4241" s="1243" t="s">
        <v>2029</v>
      </c>
      <c r="J4241" s="1243"/>
      <c r="K4241" s="1244"/>
      <c r="L4241" s="664"/>
      <c r="M4241" s="665" t="s">
        <v>2028</v>
      </c>
    </row>
    <row r="4242" spans="3:13">
      <c r="C4242" s="660"/>
      <c r="D4242" s="666" t="s">
        <v>433</v>
      </c>
      <c r="E4242" s="1269"/>
      <c r="F4242" s="1270"/>
      <c r="G4242" s="1271"/>
      <c r="H4242" s="714" t="s">
        <v>795</v>
      </c>
      <c r="I4242" s="1246"/>
      <c r="J4242" s="1246"/>
      <c r="K4242" s="1247"/>
      <c r="L4242" s="664"/>
      <c r="M4242" s="667"/>
    </row>
    <row r="4243" spans="3:13">
      <c r="C4243" s="660"/>
      <c r="D4243" s="666" t="s">
        <v>434</v>
      </c>
      <c r="E4243" s="1272">
        <v>2E-3</v>
      </c>
      <c r="F4243" s="1273"/>
      <c r="G4243" s="1274"/>
      <c r="H4243" s="715"/>
      <c r="I4243" s="1246"/>
      <c r="J4243" s="1246"/>
      <c r="K4243" s="1247"/>
      <c r="L4243" s="664"/>
      <c r="M4243" s="667"/>
    </row>
    <row r="4244" spans="3:13" ht="17" thickBot="1">
      <c r="C4244" s="660"/>
      <c r="D4244" s="668" t="s">
        <v>435</v>
      </c>
      <c r="E4244" s="1275">
        <v>0.58333333333333337</v>
      </c>
      <c r="F4244" s="1276"/>
      <c r="G4244" s="1277"/>
      <c r="H4244" s="716"/>
      <c r="I4244" s="1246"/>
      <c r="J4244" s="1246"/>
      <c r="K4244" s="1247"/>
      <c r="L4244" s="669">
        <v>0.8125</v>
      </c>
      <c r="M4244" s="670">
        <v>0.70833333333333337</v>
      </c>
    </row>
    <row r="4245" spans="3:13" ht="17" thickBot="1">
      <c r="C4245" s="660"/>
      <c r="D4245" s="671" t="s">
        <v>436</v>
      </c>
      <c r="E4245" s="672" t="s">
        <v>29</v>
      </c>
      <c r="F4245" s="672" t="s">
        <v>28</v>
      </c>
      <c r="G4245" s="673" t="s">
        <v>27</v>
      </c>
      <c r="H4245" s="712" t="s">
        <v>793</v>
      </c>
      <c r="I4245" s="1246"/>
      <c r="J4245" s="1246"/>
      <c r="K4245" s="1247"/>
      <c r="L4245" s="675" t="s">
        <v>1246</v>
      </c>
      <c r="M4245" s="676"/>
    </row>
    <row r="4246" spans="3:13">
      <c r="C4246" s="660"/>
      <c r="D4246" s="717">
        <v>45744</v>
      </c>
      <c r="E4246" s="720">
        <v>2.8000000000000001E-2</v>
      </c>
      <c r="F4246" s="720">
        <v>2.7E-2</v>
      </c>
      <c r="G4246" s="720">
        <v>2.7E-2</v>
      </c>
      <c r="H4246" s="718">
        <v>0.52083333333333337</v>
      </c>
      <c r="I4246" s="1246"/>
      <c r="J4246" s="1246"/>
      <c r="K4246" s="1247"/>
      <c r="L4246" s="679">
        <v>0.75</v>
      </c>
      <c r="M4246" s="680"/>
    </row>
    <row r="4247" spans="3:13">
      <c r="C4247" s="660"/>
      <c r="D4247" s="717">
        <v>45716</v>
      </c>
      <c r="E4247" s="720">
        <v>2.5999999999999999E-2</v>
      </c>
      <c r="F4247" s="720">
        <v>2.5999999999999999E-2</v>
      </c>
      <c r="G4247" s="720">
        <v>2.9000000000000001E-2</v>
      </c>
      <c r="H4247" s="718">
        <v>0.5625</v>
      </c>
      <c r="I4247" s="1246"/>
      <c r="J4247" s="1246"/>
      <c r="K4247" s="1247"/>
      <c r="L4247" s="679">
        <v>0.79166666666666663</v>
      </c>
      <c r="M4247" s="681"/>
    </row>
    <row r="4248" spans="3:13">
      <c r="C4248" s="660"/>
      <c r="D4248" s="717">
        <v>45688</v>
      </c>
      <c r="E4248" s="720">
        <v>2.8000000000000001E-2</v>
      </c>
      <c r="F4248" s="720">
        <v>2.8000000000000001E-2</v>
      </c>
      <c r="G4248" s="720">
        <v>2.8000000000000001E-2</v>
      </c>
      <c r="H4248" s="718">
        <v>0.5625</v>
      </c>
      <c r="I4248" s="1246"/>
      <c r="J4248" s="1246"/>
      <c r="K4248" s="1247"/>
      <c r="L4248" s="679">
        <v>0.79166666666666663</v>
      </c>
      <c r="M4248" s="667"/>
    </row>
    <row r="4249" spans="3:13">
      <c r="C4249" s="660"/>
      <c r="D4249" s="717">
        <v>45646</v>
      </c>
      <c r="E4249" s="720">
        <v>2.8000000000000001E-2</v>
      </c>
      <c r="F4249" s="720">
        <v>2.9000000000000001E-2</v>
      </c>
      <c r="G4249" s="720">
        <v>2.8000000000000001E-2</v>
      </c>
      <c r="H4249" s="718">
        <v>0.5625</v>
      </c>
      <c r="I4249" s="1246"/>
      <c r="J4249" s="1246"/>
      <c r="K4249" s="1247"/>
      <c r="L4249" s="679">
        <v>0.79166666666666663</v>
      </c>
      <c r="M4249" s="667"/>
    </row>
    <row r="4250" spans="3:13">
      <c r="C4250" s="660"/>
      <c r="D4250" s="717">
        <v>45623</v>
      </c>
      <c r="E4250" s="720">
        <v>2.8000000000000001E-2</v>
      </c>
      <c r="F4250" s="720">
        <v>2.8000000000000001E-2</v>
      </c>
      <c r="G4250" s="720">
        <v>2.7E-2</v>
      </c>
      <c r="H4250" s="718">
        <v>0.625</v>
      </c>
      <c r="I4250" s="1246"/>
      <c r="J4250" s="1246"/>
      <c r="K4250" s="1247"/>
      <c r="L4250" s="679">
        <v>0.85416666666666663</v>
      </c>
      <c r="M4250" s="667"/>
    </row>
    <row r="4251" spans="3:13" ht="17" thickBot="1">
      <c r="C4251" s="660"/>
      <c r="D4251" s="717">
        <v>45596</v>
      </c>
      <c r="E4251" s="720">
        <v>2.7E-2</v>
      </c>
      <c r="F4251" s="720">
        <v>2.5999999999999999E-2</v>
      </c>
      <c r="G4251" s="720">
        <v>2.7E-2</v>
      </c>
      <c r="H4251" s="718">
        <v>0.52083333333333337</v>
      </c>
      <c r="I4251" s="1249"/>
      <c r="J4251" s="1249"/>
      <c r="K4251" s="1250"/>
      <c r="L4251" s="679">
        <v>0.75</v>
      </c>
      <c r="M4251" s="682"/>
    </row>
    <row r="4252" spans="3:13" ht="17" thickBot="1">
      <c r="C4252" s="660">
        <v>1</v>
      </c>
      <c r="D4252" s="671" t="s">
        <v>30</v>
      </c>
      <c r="E4252" s="1252" t="s">
        <v>1503</v>
      </c>
      <c r="F4252" s="1253"/>
      <c r="G4252" s="1254"/>
      <c r="H4252" s="712" t="s">
        <v>790</v>
      </c>
      <c r="I4252" s="1256" t="s">
        <v>633</v>
      </c>
      <c r="J4252" s="1256"/>
      <c r="K4252" s="1257"/>
      <c r="L4252" s="674" t="s">
        <v>430</v>
      </c>
      <c r="M4252" s="713" t="s">
        <v>431</v>
      </c>
    </row>
    <row r="4253" spans="3:13">
      <c r="C4253" s="660"/>
      <c r="D4253" s="663" t="s">
        <v>432</v>
      </c>
      <c r="E4253" s="1266"/>
      <c r="F4253" s="1267"/>
      <c r="G4253" s="1268"/>
      <c r="H4253" s="714" t="s">
        <v>796</v>
      </c>
      <c r="I4253" s="1243" t="s">
        <v>1505</v>
      </c>
      <c r="J4253" s="1243"/>
      <c r="K4253" s="1244"/>
      <c r="L4253" s="664"/>
      <c r="M4253" s="665" t="s">
        <v>1503</v>
      </c>
    </row>
    <row r="4254" spans="3:13">
      <c r="C4254" s="660"/>
      <c r="D4254" s="666" t="s">
        <v>433</v>
      </c>
      <c r="E4254" s="1269"/>
      <c r="F4254" s="1270"/>
      <c r="G4254" s="1271"/>
      <c r="H4254" s="714" t="s">
        <v>796</v>
      </c>
      <c r="I4254" s="1246"/>
      <c r="J4254" s="1246"/>
      <c r="K4254" s="1247"/>
      <c r="L4254" s="664"/>
      <c r="M4254" s="667"/>
    </row>
    <row r="4255" spans="3:13">
      <c r="C4255" s="660"/>
      <c r="D4255" s="666" t="s">
        <v>434</v>
      </c>
      <c r="E4255" s="1272" t="s">
        <v>2030</v>
      </c>
      <c r="F4255" s="1273"/>
      <c r="G4255" s="1274"/>
      <c r="H4255" s="715"/>
      <c r="I4255" s="1246"/>
      <c r="J4255" s="1246"/>
      <c r="K4255" s="1247"/>
      <c r="L4255" s="664"/>
      <c r="M4255" s="667"/>
    </row>
    <row r="4256" spans="3:13" ht="17" thickBot="1">
      <c r="C4256" s="660"/>
      <c r="D4256" s="668" t="s">
        <v>435</v>
      </c>
      <c r="E4256" s="1275">
        <v>0.60416666666666674</v>
      </c>
      <c r="F4256" s="1276"/>
      <c r="G4256" s="1277"/>
      <c r="H4256" s="716"/>
      <c r="I4256" s="1246"/>
      <c r="J4256" s="1246"/>
      <c r="K4256" s="1247"/>
      <c r="L4256" s="669">
        <v>0.83333333333333337</v>
      </c>
      <c r="M4256" s="670">
        <v>0.72916666666666674</v>
      </c>
    </row>
    <row r="4257" spans="3:13" ht="17" thickBot="1">
      <c r="C4257" s="660"/>
      <c r="D4257" s="671" t="s">
        <v>436</v>
      </c>
      <c r="E4257" s="672" t="s">
        <v>29</v>
      </c>
      <c r="F4257" s="672" t="s">
        <v>28</v>
      </c>
      <c r="G4257" s="673" t="s">
        <v>27</v>
      </c>
      <c r="H4257" s="712" t="s">
        <v>793</v>
      </c>
      <c r="I4257" s="1246"/>
      <c r="J4257" s="1246"/>
      <c r="K4257" s="1247"/>
      <c r="L4257" s="675" t="s">
        <v>1246</v>
      </c>
      <c r="M4257" s="676"/>
    </row>
    <row r="4258" spans="3:13">
      <c r="C4258" s="660"/>
      <c r="D4258" s="717">
        <v>45770</v>
      </c>
      <c r="E4258" s="720" t="s">
        <v>2064</v>
      </c>
      <c r="F4258" s="720" t="s">
        <v>2065</v>
      </c>
      <c r="G4258" s="720" t="s">
        <v>2003</v>
      </c>
      <c r="H4258" s="933">
        <v>0.72916666666666674</v>
      </c>
      <c r="I4258" s="1246"/>
      <c r="J4258" s="1246"/>
      <c r="K4258" s="1247"/>
      <c r="L4258" s="679">
        <v>0.83333333333333337</v>
      </c>
      <c r="M4258" s="680"/>
    </row>
    <row r="4259" spans="3:13">
      <c r="C4259" s="660"/>
      <c r="D4259" s="717">
        <v>45763</v>
      </c>
      <c r="E4259" s="720" t="s">
        <v>2003</v>
      </c>
      <c r="F4259" s="720" t="s">
        <v>1030</v>
      </c>
      <c r="G4259" s="720" t="s">
        <v>1957</v>
      </c>
      <c r="H4259" s="933">
        <v>0.72916666666666674</v>
      </c>
      <c r="I4259" s="1246"/>
      <c r="J4259" s="1246"/>
      <c r="K4259" s="1247"/>
      <c r="L4259" s="679">
        <v>0.83333333333333337</v>
      </c>
      <c r="M4259" s="681"/>
    </row>
    <row r="4260" spans="3:13">
      <c r="C4260" s="660"/>
      <c r="D4260" s="717">
        <v>45756</v>
      </c>
      <c r="E4260" s="720" t="s">
        <v>1957</v>
      </c>
      <c r="F4260" s="720" t="s">
        <v>1602</v>
      </c>
      <c r="G4260" s="720" t="s">
        <v>1899</v>
      </c>
      <c r="H4260" s="933">
        <v>0.72916666666666674</v>
      </c>
      <c r="I4260" s="1246"/>
      <c r="J4260" s="1246"/>
      <c r="K4260" s="1247"/>
      <c r="L4260" s="679">
        <v>0.83333333333333337</v>
      </c>
      <c r="M4260" s="667"/>
    </row>
    <row r="4261" spans="3:13">
      <c r="C4261" s="660"/>
      <c r="D4261" s="717">
        <v>45749</v>
      </c>
      <c r="E4261" s="720" t="s">
        <v>1899</v>
      </c>
      <c r="F4261" s="720" t="s">
        <v>1926</v>
      </c>
      <c r="G4261" s="720" t="s">
        <v>1840</v>
      </c>
      <c r="H4261" s="933">
        <v>0.72916666666666674</v>
      </c>
      <c r="I4261" s="1246"/>
      <c r="J4261" s="1246"/>
      <c r="K4261" s="1247"/>
      <c r="L4261" s="679">
        <v>0.83333333333333337</v>
      </c>
      <c r="M4261" s="667"/>
    </row>
    <row r="4262" spans="3:13">
      <c r="C4262" s="660"/>
      <c r="D4262" s="717">
        <v>45742</v>
      </c>
      <c r="E4262" s="720" t="s">
        <v>1840</v>
      </c>
      <c r="F4262" s="720" t="s">
        <v>991</v>
      </c>
      <c r="G4262" s="720" t="s">
        <v>1696</v>
      </c>
      <c r="H4262" s="933">
        <v>0.72916666666666674</v>
      </c>
      <c r="I4262" s="1246"/>
      <c r="J4262" s="1246"/>
      <c r="K4262" s="1247"/>
      <c r="L4262" s="679">
        <v>0.83333333333333337</v>
      </c>
      <c r="M4262" s="667"/>
    </row>
    <row r="4263" spans="3:13" ht="17" thickBot="1">
      <c r="C4263" s="660"/>
      <c r="D4263" s="717">
        <v>45735</v>
      </c>
      <c r="E4263" s="720" t="s">
        <v>1696</v>
      </c>
      <c r="F4263" s="720" t="s">
        <v>993</v>
      </c>
      <c r="G4263" s="720" t="s">
        <v>1697</v>
      </c>
      <c r="H4263" s="933">
        <v>0.6875</v>
      </c>
      <c r="I4263" s="1249"/>
      <c r="J4263" s="1249"/>
      <c r="K4263" s="1250"/>
      <c r="L4263" s="679">
        <v>0.79166666666666663</v>
      </c>
      <c r="M4263" s="682"/>
    </row>
    <row r="4264" spans="3:13" ht="17" thickBot="1">
      <c r="C4264" s="660">
        <v>1</v>
      </c>
      <c r="D4264" s="671" t="s">
        <v>30</v>
      </c>
      <c r="E4264" s="1252" t="s">
        <v>2031</v>
      </c>
      <c r="F4264" s="1253"/>
      <c r="G4264" s="1254"/>
      <c r="H4264" s="712" t="s">
        <v>790</v>
      </c>
      <c r="I4264" s="1256" t="s">
        <v>633</v>
      </c>
      <c r="J4264" s="1256"/>
      <c r="K4264" s="1257"/>
      <c r="L4264" s="674" t="s">
        <v>430</v>
      </c>
      <c r="M4264" s="713" t="s">
        <v>431</v>
      </c>
    </row>
    <row r="4265" spans="3:13">
      <c r="C4265" s="660"/>
      <c r="D4265" s="663" t="s">
        <v>432</v>
      </c>
      <c r="E4265" s="1266"/>
      <c r="F4265" s="1267"/>
      <c r="G4265" s="1268"/>
      <c r="H4265" s="714" t="s">
        <v>913</v>
      </c>
      <c r="I4265" s="1243" t="s">
        <v>2032</v>
      </c>
      <c r="J4265" s="1243"/>
      <c r="K4265" s="1244"/>
      <c r="L4265" s="664"/>
      <c r="M4265" s="665" t="s">
        <v>2031</v>
      </c>
    </row>
    <row r="4266" spans="3:13">
      <c r="C4266" s="660"/>
      <c r="D4266" s="666" t="s">
        <v>433</v>
      </c>
      <c r="E4266" s="1269"/>
      <c r="F4266" s="1270"/>
      <c r="G4266" s="1271"/>
      <c r="H4266" s="714" t="s">
        <v>913</v>
      </c>
      <c r="I4266" s="1246"/>
      <c r="J4266" s="1246"/>
      <c r="K4266" s="1247"/>
      <c r="L4266" s="664"/>
      <c r="M4266" s="667"/>
    </row>
    <row r="4267" spans="3:13">
      <c r="C4267" s="660"/>
      <c r="D4267" s="666" t="s">
        <v>434</v>
      </c>
      <c r="E4267" s="1272">
        <v>3.23</v>
      </c>
      <c r="F4267" s="1273"/>
      <c r="G4267" s="1274"/>
      <c r="H4267" s="715"/>
      <c r="I4267" s="1246"/>
      <c r="J4267" s="1246"/>
      <c r="K4267" s="1247"/>
      <c r="L4267" s="664"/>
      <c r="M4267" s="667"/>
    </row>
    <row r="4268" spans="3:13" ht="17" thickBot="1">
      <c r="C4268" s="660"/>
      <c r="D4268" s="668" t="s">
        <v>435</v>
      </c>
      <c r="E4268" s="1275">
        <v>0.83333333333333337</v>
      </c>
      <c r="F4268" s="1276"/>
      <c r="G4268" s="1277"/>
      <c r="H4268" s="716"/>
      <c r="I4268" s="1246"/>
      <c r="J4268" s="1246"/>
      <c r="K4268" s="1247"/>
      <c r="L4268" s="669">
        <v>6.25E-2</v>
      </c>
      <c r="M4268" s="670">
        <v>0.95833333333333337</v>
      </c>
    </row>
    <row r="4269" spans="3:13" ht="17" thickBot="1">
      <c r="C4269" s="660"/>
      <c r="D4269" s="671" t="s">
        <v>436</v>
      </c>
      <c r="E4269" s="672" t="s">
        <v>29</v>
      </c>
      <c r="F4269" s="672" t="s">
        <v>28</v>
      </c>
      <c r="G4269" s="673" t="s">
        <v>27</v>
      </c>
      <c r="H4269" s="712" t="s">
        <v>793</v>
      </c>
      <c r="I4269" s="1246"/>
      <c r="J4269" s="1246"/>
      <c r="K4269" s="1247"/>
      <c r="L4269" s="675" t="s">
        <v>1246</v>
      </c>
      <c r="M4269" s="676"/>
    </row>
    <row r="4270" spans="3:13">
      <c r="C4270" s="660"/>
      <c r="D4270" s="717">
        <v>45686</v>
      </c>
      <c r="E4270" s="720">
        <v>3.23</v>
      </c>
      <c r="F4270" s="720">
        <v>3.11</v>
      </c>
      <c r="G4270" s="720">
        <v>2.93</v>
      </c>
      <c r="H4270" s="933">
        <v>0.95833333333333337</v>
      </c>
      <c r="I4270" s="1246"/>
      <c r="J4270" s="1246"/>
      <c r="K4270" s="1247"/>
      <c r="L4270" s="951">
        <v>6.25E-2</v>
      </c>
      <c r="M4270" s="680"/>
    </row>
    <row r="4271" spans="3:13">
      <c r="C4271" s="660"/>
      <c r="D4271" s="717">
        <v>45595</v>
      </c>
      <c r="E4271" s="720">
        <v>3.3</v>
      </c>
      <c r="F4271" s="720">
        <v>3.08</v>
      </c>
      <c r="G4271" s="720">
        <v>2.99</v>
      </c>
      <c r="H4271" s="933">
        <v>0.95833333333333337</v>
      </c>
      <c r="I4271" s="1246"/>
      <c r="J4271" s="1246"/>
      <c r="K4271" s="1247"/>
      <c r="L4271" s="951">
        <v>6.25E-2</v>
      </c>
      <c r="M4271" s="681"/>
    </row>
    <row r="4272" spans="3:13">
      <c r="C4272" s="660"/>
      <c r="D4272" s="717">
        <v>45503</v>
      </c>
      <c r="E4272" s="720">
        <v>2.95</v>
      </c>
      <c r="F4272" s="720">
        <v>2.9</v>
      </c>
      <c r="G4272" s="720">
        <v>2.69</v>
      </c>
      <c r="H4272" s="933">
        <v>0.95833333333333337</v>
      </c>
      <c r="I4272" s="1246"/>
      <c r="J4272" s="1246"/>
      <c r="K4272" s="1247"/>
      <c r="L4272" s="951">
        <v>6.25E-2</v>
      </c>
      <c r="M4272" s="667"/>
    </row>
    <row r="4273" spans="3:13">
      <c r="C4273" s="660"/>
      <c r="D4273" s="717">
        <v>45407</v>
      </c>
      <c r="E4273" s="720">
        <v>2.94</v>
      </c>
      <c r="F4273" s="720">
        <v>2.81</v>
      </c>
      <c r="G4273" s="720">
        <v>2.4500000000000002</v>
      </c>
      <c r="H4273" s="933">
        <v>0.95833333333333337</v>
      </c>
      <c r="I4273" s="1246"/>
      <c r="J4273" s="1246"/>
      <c r="K4273" s="1247"/>
      <c r="L4273" s="951">
        <v>6.25E-2</v>
      </c>
      <c r="M4273" s="667"/>
    </row>
    <row r="4274" spans="3:13">
      <c r="C4274" s="660"/>
      <c r="D4274" s="717">
        <v>45321</v>
      </c>
      <c r="E4274" s="720">
        <v>2.93</v>
      </c>
      <c r="F4274" s="720">
        <v>2.76</v>
      </c>
      <c r="G4274" s="720">
        <v>2.3199999999999998</v>
      </c>
      <c r="H4274" s="933">
        <v>0.95833333333333337</v>
      </c>
      <c r="I4274" s="1246"/>
      <c r="J4274" s="1246"/>
      <c r="K4274" s="1247"/>
      <c r="L4274" s="951">
        <v>6.25E-2</v>
      </c>
      <c r="M4274" s="667"/>
    </row>
    <row r="4275" spans="3:13" ht="17" thickBot="1">
      <c r="C4275" s="660"/>
      <c r="D4275" s="717">
        <v>45223</v>
      </c>
      <c r="E4275" s="720">
        <v>2.99</v>
      </c>
      <c r="F4275" s="720">
        <v>2.65</v>
      </c>
      <c r="G4275" s="720">
        <v>2.35</v>
      </c>
      <c r="H4275" s="933">
        <v>0.95833333333333337</v>
      </c>
      <c r="I4275" s="1249"/>
      <c r="J4275" s="1249"/>
      <c r="K4275" s="1250"/>
      <c r="L4275" s="951">
        <v>6.25E-2</v>
      </c>
      <c r="M4275" s="682"/>
    </row>
    <row r="4276" spans="3:13" ht="17" thickBot="1">
      <c r="C4276" s="660">
        <v>1</v>
      </c>
      <c r="D4276" s="671" t="s">
        <v>30</v>
      </c>
      <c r="E4276" s="1252" t="s">
        <v>2033</v>
      </c>
      <c r="F4276" s="1253"/>
      <c r="G4276" s="1254"/>
      <c r="H4276" s="712" t="s">
        <v>790</v>
      </c>
      <c r="I4276" s="1256" t="s">
        <v>633</v>
      </c>
      <c r="J4276" s="1256"/>
      <c r="K4276" s="1257"/>
      <c r="L4276" s="674" t="s">
        <v>430</v>
      </c>
      <c r="M4276" s="713" t="s">
        <v>431</v>
      </c>
    </row>
    <row r="4277" spans="3:13">
      <c r="C4277" s="660"/>
      <c r="D4277" s="663" t="s">
        <v>432</v>
      </c>
      <c r="E4277" s="1266"/>
      <c r="F4277" s="1267"/>
      <c r="G4277" s="1268"/>
      <c r="H4277" s="714" t="s">
        <v>913</v>
      </c>
      <c r="I4277" s="1243" t="s">
        <v>2034</v>
      </c>
      <c r="J4277" s="1243"/>
      <c r="K4277" s="1244"/>
      <c r="L4277" s="664"/>
      <c r="M4277" s="665" t="s">
        <v>2033</v>
      </c>
    </row>
    <row r="4278" spans="3:13">
      <c r="C4278" s="660"/>
      <c r="D4278" s="666" t="s">
        <v>433</v>
      </c>
      <c r="E4278" s="1269"/>
      <c r="F4278" s="1270"/>
      <c r="G4278" s="1271"/>
      <c r="H4278" s="714" t="s">
        <v>913</v>
      </c>
      <c r="I4278" s="1246"/>
      <c r="J4278" s="1246"/>
      <c r="K4278" s="1247"/>
      <c r="L4278" s="664"/>
      <c r="M4278" s="667"/>
    </row>
    <row r="4279" spans="3:13">
      <c r="C4279" s="660"/>
      <c r="D4279" s="666" t="s">
        <v>434</v>
      </c>
      <c r="E4279" s="1272">
        <v>5.21</v>
      </c>
      <c r="F4279" s="1273"/>
      <c r="G4279" s="1274"/>
      <c r="H4279" s="715"/>
      <c r="I4279" s="1246"/>
      <c r="J4279" s="1246"/>
      <c r="K4279" s="1247"/>
      <c r="L4279" s="664"/>
      <c r="M4279" s="667"/>
    </row>
    <row r="4280" spans="3:13" ht="17" thickBot="1">
      <c r="C4280" s="660"/>
      <c r="D4280" s="668" t="s">
        <v>435</v>
      </c>
      <c r="E4280" s="1275">
        <v>0.85416666666666674</v>
      </c>
      <c r="F4280" s="1276"/>
      <c r="G4280" s="1277"/>
      <c r="H4280" s="716"/>
      <c r="I4280" s="1246"/>
      <c r="J4280" s="1246"/>
      <c r="K4280" s="1247"/>
      <c r="L4280" s="669">
        <v>8.3333333333333329E-2</v>
      </c>
      <c r="M4280" s="670">
        <v>0.97916666666666663</v>
      </c>
    </row>
    <row r="4281" spans="3:13" ht="17" thickBot="1">
      <c r="C4281" s="660"/>
      <c r="D4281" s="671" t="s">
        <v>436</v>
      </c>
      <c r="E4281" s="672" t="s">
        <v>29</v>
      </c>
      <c r="F4281" s="672" t="s">
        <v>28</v>
      </c>
      <c r="G4281" s="673" t="s">
        <v>27</v>
      </c>
      <c r="H4281" s="712" t="s">
        <v>793</v>
      </c>
      <c r="I4281" s="1246"/>
      <c r="J4281" s="1246"/>
      <c r="K4281" s="1247"/>
      <c r="L4281" s="675" t="s">
        <v>1246</v>
      </c>
      <c r="M4281" s="676"/>
    </row>
    <row r="4282" spans="3:13">
      <c r="C4282" s="660"/>
      <c r="D4282" s="717">
        <v>45686</v>
      </c>
      <c r="E4282" s="720">
        <v>8.02</v>
      </c>
      <c r="F4282" s="720">
        <v>6.68</v>
      </c>
      <c r="G4282" s="720">
        <v>5.33</v>
      </c>
      <c r="H4282" s="933">
        <v>0.97916666666666663</v>
      </c>
      <c r="I4282" s="1246"/>
      <c r="J4282" s="1246"/>
      <c r="K4282" s="1247"/>
      <c r="L4282" s="951">
        <v>8.3333333333333329E-2</v>
      </c>
      <c r="M4282" s="680"/>
    </row>
    <row r="4283" spans="3:13">
      <c r="C4283" s="660"/>
      <c r="D4283" s="717">
        <v>45595</v>
      </c>
      <c r="E4283" s="720">
        <v>6.03</v>
      </c>
      <c r="F4283" s="720">
        <v>5.19</v>
      </c>
      <c r="G4283" s="720">
        <v>4.3899999999999997</v>
      </c>
      <c r="H4283" s="933">
        <v>0.97916666666666663</v>
      </c>
      <c r="I4283" s="1246"/>
      <c r="J4283" s="1246"/>
      <c r="K4283" s="1247"/>
      <c r="L4283" s="951">
        <v>8.3333333333333329E-2</v>
      </c>
      <c r="M4283" s="681"/>
    </row>
    <row r="4284" spans="3:13">
      <c r="C4284" s="660"/>
      <c r="D4284" s="717">
        <v>45504</v>
      </c>
      <c r="E4284" s="720">
        <v>5.16</v>
      </c>
      <c r="F4284" s="720">
        <v>4.7</v>
      </c>
      <c r="G4284" s="720">
        <v>3.23</v>
      </c>
      <c r="H4284" s="933">
        <v>0.97916666666666663</v>
      </c>
      <c r="I4284" s="1246"/>
      <c r="J4284" s="1246"/>
      <c r="K4284" s="1247"/>
      <c r="L4284" s="951">
        <v>8.3333333333333329E-2</v>
      </c>
      <c r="M4284" s="667"/>
    </row>
    <row r="4285" spans="3:13">
      <c r="C4285" s="660"/>
      <c r="D4285" s="717">
        <v>45406</v>
      </c>
      <c r="E4285" s="720">
        <v>4.71</v>
      </c>
      <c r="F4285" s="720">
        <v>4.32</v>
      </c>
      <c r="G4285" s="720">
        <v>2.64</v>
      </c>
      <c r="H4285" s="933">
        <v>0.97916666666666663</v>
      </c>
      <c r="I4285" s="1246"/>
      <c r="J4285" s="1246"/>
      <c r="K4285" s="1247"/>
      <c r="L4285" s="951">
        <v>8.3333333333333329E-2</v>
      </c>
      <c r="M4285" s="667"/>
    </row>
    <row r="4286" spans="3:13">
      <c r="C4286" s="660"/>
      <c r="D4286" s="717">
        <v>45323</v>
      </c>
      <c r="E4286" s="720">
        <v>5.33</v>
      </c>
      <c r="F4286" s="720">
        <v>4.83</v>
      </c>
      <c r="G4286" s="720">
        <v>3</v>
      </c>
      <c r="H4286" s="933">
        <v>0.97916666666666663</v>
      </c>
      <c r="I4286" s="1246"/>
      <c r="J4286" s="1246"/>
      <c r="K4286" s="1247"/>
      <c r="L4286" s="951">
        <v>8.3333333333333329E-2</v>
      </c>
      <c r="M4286" s="667"/>
    </row>
    <row r="4287" spans="3:13" ht="17" thickBot="1">
      <c r="C4287" s="660"/>
      <c r="D4287" s="717">
        <v>45224</v>
      </c>
      <c r="E4287" s="720">
        <v>4.3899999999999997</v>
      </c>
      <c r="F4287" s="720">
        <v>3.62</v>
      </c>
      <c r="G4287" s="720">
        <v>1.64</v>
      </c>
      <c r="H4287" s="933">
        <v>0.97916666666666663</v>
      </c>
      <c r="I4287" s="1249"/>
      <c r="J4287" s="1249"/>
      <c r="K4287" s="1250"/>
      <c r="L4287" s="951">
        <v>8.3333333333333329E-2</v>
      </c>
      <c r="M4287" s="682"/>
    </row>
    <row r="4288" spans="3:13" ht="17" thickBot="1">
      <c r="C4288" s="660">
        <v>1</v>
      </c>
      <c r="D4288" s="671" t="s">
        <v>30</v>
      </c>
      <c r="E4288" s="1252" t="s">
        <v>1464</v>
      </c>
      <c r="F4288" s="1253"/>
      <c r="G4288" s="1254"/>
      <c r="H4288" s="712" t="s">
        <v>790</v>
      </c>
      <c r="I4288" s="1256" t="s">
        <v>633</v>
      </c>
      <c r="J4288" s="1256"/>
      <c r="K4288" s="1257"/>
      <c r="L4288" s="674" t="s">
        <v>430</v>
      </c>
      <c r="M4288" s="713" t="s">
        <v>431</v>
      </c>
    </row>
    <row r="4289" spans="3:13">
      <c r="C4289" s="660"/>
      <c r="D4289" s="663" t="s">
        <v>432</v>
      </c>
      <c r="E4289" s="1266"/>
      <c r="F4289" s="1267"/>
      <c r="G4289" s="1268"/>
      <c r="H4289" s="714" t="s">
        <v>794</v>
      </c>
      <c r="I4289" s="1243" t="s">
        <v>2036</v>
      </c>
      <c r="J4289" s="1243"/>
      <c r="K4289" s="1244"/>
      <c r="L4289" s="664"/>
      <c r="M4289" s="665" t="s">
        <v>1464</v>
      </c>
    </row>
    <row r="4290" spans="3:13">
      <c r="C4290" s="660"/>
      <c r="D4290" s="666" t="s">
        <v>433</v>
      </c>
      <c r="E4290" s="1269"/>
      <c r="F4290" s="1270"/>
      <c r="G4290" s="1271"/>
      <c r="H4290" s="714" t="s">
        <v>795</v>
      </c>
      <c r="I4290" s="1246"/>
      <c r="J4290" s="1246"/>
      <c r="K4290" s="1247"/>
      <c r="L4290" s="664"/>
      <c r="M4290" s="667"/>
    </row>
    <row r="4291" spans="3:13">
      <c r="C4291" s="660"/>
      <c r="D4291" s="666" t="s">
        <v>434</v>
      </c>
      <c r="E4291" s="1272">
        <v>5.0000000000000001E-3</v>
      </c>
      <c r="F4291" s="1273"/>
      <c r="G4291" s="1274"/>
      <c r="H4291" s="715"/>
      <c r="I4291" s="1246"/>
      <c r="J4291" s="1246"/>
      <c r="K4291" s="1247"/>
      <c r="L4291" s="664"/>
      <c r="M4291" s="667"/>
    </row>
    <row r="4292" spans="3:13" ht="17" thickBot="1">
      <c r="C4292" s="660"/>
      <c r="D4292" s="668" t="s">
        <v>435</v>
      </c>
      <c r="E4292" s="1275">
        <v>0.12500000000000003</v>
      </c>
      <c r="F4292" s="1276"/>
      <c r="G4292" s="1277"/>
      <c r="H4292" s="716"/>
      <c r="I4292" s="1246"/>
      <c r="J4292" s="1246"/>
      <c r="K4292" s="1247"/>
      <c r="L4292" s="669">
        <v>0.35416666666666669</v>
      </c>
      <c r="M4292" s="670">
        <v>0.25</v>
      </c>
    </row>
    <row r="4293" spans="3:13" ht="17" thickBot="1">
      <c r="C4293" s="660"/>
      <c r="D4293" s="671" t="s">
        <v>436</v>
      </c>
      <c r="E4293" s="672" t="s">
        <v>29</v>
      </c>
      <c r="F4293" s="672" t="s">
        <v>28</v>
      </c>
      <c r="G4293" s="673" t="s">
        <v>27</v>
      </c>
      <c r="H4293" s="712" t="s">
        <v>793</v>
      </c>
      <c r="I4293" s="1246"/>
      <c r="J4293" s="1246"/>
      <c r="K4293" s="1247"/>
      <c r="L4293" s="675" t="s">
        <v>1246</v>
      </c>
      <c r="M4293" s="676"/>
    </row>
    <row r="4294" spans="3:13">
      <c r="C4294" s="660"/>
      <c r="D4294" s="717">
        <v>45735</v>
      </c>
      <c r="E4294" s="720">
        <v>5.0000000000000001E-3</v>
      </c>
      <c r="F4294" s="720">
        <v>5.0000000000000001E-3</v>
      </c>
      <c r="G4294" s="720">
        <v>5.0000000000000001E-3</v>
      </c>
      <c r="H4294" s="718">
        <v>0.10416666666666666</v>
      </c>
      <c r="I4294" s="1246"/>
      <c r="J4294" s="1246"/>
      <c r="K4294" s="1247"/>
      <c r="L4294" s="679">
        <v>0.33333333333333331</v>
      </c>
      <c r="M4294" s="680"/>
    </row>
    <row r="4295" spans="3:13">
      <c r="C4295" s="660"/>
      <c r="D4295" s="717">
        <v>45681</v>
      </c>
      <c r="E4295" s="720">
        <v>5.0000000000000001E-3</v>
      </c>
      <c r="F4295" s="720">
        <v>5.0000000000000001E-3</v>
      </c>
      <c r="G4295" s="720">
        <v>2.5000000000000001E-3</v>
      </c>
      <c r="H4295" s="718">
        <v>0.13888888888888892</v>
      </c>
      <c r="I4295" s="1246"/>
      <c r="J4295" s="1246"/>
      <c r="K4295" s="1247"/>
      <c r="L4295" s="679">
        <v>0.36805555555555558</v>
      </c>
      <c r="M4295" s="681"/>
    </row>
    <row r="4296" spans="3:13">
      <c r="C4296" s="660"/>
      <c r="D4296" s="717">
        <v>45645</v>
      </c>
      <c r="E4296" s="720">
        <v>2.5000000000000001E-3</v>
      </c>
      <c r="F4296" s="720">
        <v>2.5000000000000001E-3</v>
      </c>
      <c r="G4296" s="720">
        <v>2.5000000000000001E-3</v>
      </c>
      <c r="H4296" s="718">
        <v>0.12152777777777776</v>
      </c>
      <c r="I4296" s="1246"/>
      <c r="J4296" s="1246"/>
      <c r="K4296" s="1247"/>
      <c r="L4296" s="679">
        <v>0.35069444444444442</v>
      </c>
      <c r="M4296" s="667"/>
    </row>
    <row r="4297" spans="3:13">
      <c r="C4297" s="660"/>
      <c r="D4297" s="717">
        <v>45596</v>
      </c>
      <c r="E4297" s="720">
        <v>2.5000000000000001E-3</v>
      </c>
      <c r="F4297" s="720">
        <v>2.5000000000000001E-3</v>
      </c>
      <c r="G4297" s="720">
        <v>2.5000000000000001E-3</v>
      </c>
      <c r="H4297" s="718">
        <v>0.12500000000000003</v>
      </c>
      <c r="I4297" s="1246"/>
      <c r="J4297" s="1246"/>
      <c r="K4297" s="1247"/>
      <c r="L4297" s="679">
        <v>0.35416666666666669</v>
      </c>
      <c r="M4297" s="667"/>
    </row>
    <row r="4298" spans="3:13">
      <c r="C4298" s="660"/>
      <c r="D4298" s="717">
        <v>45555</v>
      </c>
      <c r="E4298" s="720">
        <v>2.5000000000000001E-3</v>
      </c>
      <c r="F4298" s="720">
        <v>2.5000000000000001E-3</v>
      </c>
      <c r="G4298" s="720">
        <v>2.5000000000000001E-3</v>
      </c>
      <c r="H4298" s="718">
        <v>0.12500000000000003</v>
      </c>
      <c r="I4298" s="1246"/>
      <c r="J4298" s="1246"/>
      <c r="K4298" s="1247"/>
      <c r="L4298" s="679">
        <v>0.35416666666666669</v>
      </c>
      <c r="M4298" s="667"/>
    </row>
    <row r="4299" spans="3:13" ht="17" thickBot="1">
      <c r="C4299" s="660"/>
      <c r="D4299" s="717">
        <v>45504</v>
      </c>
      <c r="E4299" s="720">
        <v>2.5000000000000001E-3</v>
      </c>
      <c r="F4299" s="720">
        <v>1E-3</v>
      </c>
      <c r="G4299" s="720">
        <v>1E-3</v>
      </c>
      <c r="H4299" s="718">
        <v>0.16666666666666666</v>
      </c>
      <c r="I4299" s="1249"/>
      <c r="J4299" s="1249"/>
      <c r="K4299" s="1250"/>
      <c r="L4299" s="679">
        <v>0.39583333333333331</v>
      </c>
      <c r="M4299" s="682"/>
    </row>
    <row r="4300" spans="3:13" ht="17" thickBot="1">
      <c r="C4300" s="660">
        <v>1</v>
      </c>
      <c r="D4300" s="671" t="s">
        <v>30</v>
      </c>
      <c r="E4300" s="1252" t="s">
        <v>1421</v>
      </c>
      <c r="F4300" s="1253"/>
      <c r="G4300" s="1254"/>
      <c r="H4300" s="712" t="s">
        <v>790</v>
      </c>
      <c r="I4300" s="1256" t="s">
        <v>633</v>
      </c>
      <c r="J4300" s="1256"/>
      <c r="K4300" s="1257"/>
      <c r="L4300" s="674" t="s">
        <v>430</v>
      </c>
      <c r="M4300" s="713" t="s">
        <v>431</v>
      </c>
    </row>
    <row r="4301" spans="3:13">
      <c r="C4301" s="660"/>
      <c r="D4301" s="663" t="s">
        <v>432</v>
      </c>
      <c r="E4301" s="1266"/>
      <c r="F4301" s="1267"/>
      <c r="G4301" s="1268"/>
      <c r="H4301" s="714" t="s">
        <v>794</v>
      </c>
      <c r="I4301" s="1243" t="s">
        <v>2037</v>
      </c>
      <c r="J4301" s="1243"/>
      <c r="K4301" s="1244"/>
      <c r="L4301" s="664"/>
      <c r="M4301" s="665" t="s">
        <v>1421</v>
      </c>
    </row>
    <row r="4302" spans="3:13">
      <c r="C4302" s="660"/>
      <c r="D4302" s="666" t="s">
        <v>433</v>
      </c>
      <c r="E4302" s="1269"/>
      <c r="F4302" s="1270"/>
      <c r="G4302" s="1271"/>
      <c r="H4302" s="714" t="s">
        <v>795</v>
      </c>
      <c r="I4302" s="1246"/>
      <c r="J4302" s="1246"/>
      <c r="K4302" s="1247"/>
      <c r="L4302" s="664"/>
      <c r="M4302" s="667"/>
    </row>
    <row r="4303" spans="3:13">
      <c r="C4303" s="660"/>
      <c r="D4303" s="666" t="s">
        <v>434</v>
      </c>
      <c r="E4303" s="1272"/>
      <c r="F4303" s="1273"/>
      <c r="G4303" s="1274"/>
      <c r="H4303" s="715"/>
      <c r="I4303" s="1246"/>
      <c r="J4303" s="1246"/>
      <c r="K4303" s="1247"/>
      <c r="L4303" s="664"/>
      <c r="M4303" s="667"/>
    </row>
    <row r="4304" spans="3:13" ht="17" thickBot="1">
      <c r="C4304" s="660"/>
      <c r="D4304" s="668" t="s">
        <v>435</v>
      </c>
      <c r="E4304" s="1275">
        <v>0.52083333333333337</v>
      </c>
      <c r="F4304" s="1276"/>
      <c r="G4304" s="1277"/>
      <c r="H4304" s="716"/>
      <c r="I4304" s="1246"/>
      <c r="J4304" s="1246"/>
      <c r="K4304" s="1247"/>
      <c r="L4304" s="669">
        <v>0.75</v>
      </c>
      <c r="M4304" s="670">
        <v>0.64583333333333337</v>
      </c>
    </row>
    <row r="4305" spans="3:13" ht="17" thickBot="1">
      <c r="C4305" s="660"/>
      <c r="D4305" s="671" t="s">
        <v>436</v>
      </c>
      <c r="E4305" s="672" t="s">
        <v>29</v>
      </c>
      <c r="F4305" s="672" t="s">
        <v>28</v>
      </c>
      <c r="G4305" s="673" t="s">
        <v>27</v>
      </c>
      <c r="H4305" s="712" t="s">
        <v>793</v>
      </c>
      <c r="I4305" s="1246"/>
      <c r="J4305" s="1246"/>
      <c r="K4305" s="1247"/>
      <c r="L4305" s="675" t="s">
        <v>1246</v>
      </c>
      <c r="M4305" s="676"/>
    </row>
    <row r="4306" spans="3:13">
      <c r="C4306" s="660"/>
      <c r="D4306" s="717">
        <v>45764</v>
      </c>
      <c r="E4306" s="720" t="s">
        <v>1232</v>
      </c>
      <c r="F4306" s="720" t="s">
        <v>985</v>
      </c>
      <c r="G4306" s="720" t="s">
        <v>1032</v>
      </c>
      <c r="H4306" s="718">
        <v>0.52083333333333337</v>
      </c>
      <c r="I4306" s="1246"/>
      <c r="J4306" s="1246"/>
      <c r="K4306" s="1247"/>
      <c r="L4306" s="679">
        <v>0.75</v>
      </c>
      <c r="M4306" s="680"/>
    </row>
    <row r="4307" spans="3:13">
      <c r="C4307" s="660"/>
      <c r="D4307" s="717">
        <v>45757</v>
      </c>
      <c r="E4307" s="720" t="s">
        <v>973</v>
      </c>
      <c r="F4307" s="720" t="s">
        <v>973</v>
      </c>
      <c r="G4307" s="720" t="s">
        <v>987</v>
      </c>
      <c r="H4307" s="718">
        <v>0.52083333333333337</v>
      </c>
      <c r="I4307" s="1246"/>
      <c r="J4307" s="1246"/>
      <c r="K4307" s="1247"/>
      <c r="L4307" s="679">
        <v>0.75</v>
      </c>
      <c r="M4307" s="681"/>
    </row>
    <row r="4308" spans="3:13">
      <c r="C4308" s="660"/>
      <c r="D4308" s="717">
        <v>45750</v>
      </c>
      <c r="E4308" s="720" t="s">
        <v>987</v>
      </c>
      <c r="F4308" s="720" t="s">
        <v>985</v>
      </c>
      <c r="G4308" s="720" t="s">
        <v>985</v>
      </c>
      <c r="H4308" s="718">
        <v>0.52083333333333337</v>
      </c>
      <c r="I4308" s="1246"/>
      <c r="J4308" s="1246"/>
      <c r="K4308" s="1247"/>
      <c r="L4308" s="679">
        <v>0.75</v>
      </c>
      <c r="M4308" s="667"/>
    </row>
    <row r="4309" spans="3:13">
      <c r="C4309" s="660"/>
      <c r="D4309" s="717">
        <v>45743</v>
      </c>
      <c r="E4309" s="720" t="s">
        <v>1032</v>
      </c>
      <c r="F4309" s="720" t="s">
        <v>985</v>
      </c>
      <c r="G4309" s="720" t="s">
        <v>985</v>
      </c>
      <c r="H4309" s="718">
        <v>0.52083333333333337</v>
      </c>
      <c r="I4309" s="1246"/>
      <c r="J4309" s="1246"/>
      <c r="K4309" s="1247"/>
      <c r="L4309" s="679">
        <v>0.75</v>
      </c>
      <c r="M4309" s="667"/>
    </row>
    <row r="4310" spans="3:13">
      <c r="C4310" s="660"/>
      <c r="D4310" s="717">
        <v>45736</v>
      </c>
      <c r="E4310" s="720" t="s">
        <v>973</v>
      </c>
      <c r="F4310" s="720" t="s">
        <v>1032</v>
      </c>
      <c r="G4310" s="720" t="s">
        <v>972</v>
      </c>
      <c r="H4310" s="718">
        <v>0.52083333333333337</v>
      </c>
      <c r="I4310" s="1246"/>
      <c r="J4310" s="1246"/>
      <c r="K4310" s="1247"/>
      <c r="L4310" s="679">
        <v>0.75</v>
      </c>
      <c r="M4310" s="667"/>
    </row>
    <row r="4311" spans="3:13" ht="17" thickBot="1">
      <c r="C4311" s="660"/>
      <c r="D4311" s="717">
        <v>45729</v>
      </c>
      <c r="E4311" s="720" t="s">
        <v>1112</v>
      </c>
      <c r="F4311" s="720" t="s">
        <v>1703</v>
      </c>
      <c r="G4311" s="720" t="s">
        <v>986</v>
      </c>
      <c r="H4311" s="718">
        <v>0.52083333333333337</v>
      </c>
      <c r="I4311" s="1249"/>
      <c r="J4311" s="1249"/>
      <c r="K4311" s="1250"/>
      <c r="L4311" s="679">
        <v>0.75</v>
      </c>
      <c r="M4311" s="682"/>
    </row>
    <row r="4312" spans="3:13" ht="17" thickBot="1">
      <c r="C4312" s="660">
        <v>1</v>
      </c>
      <c r="D4312" s="671" t="s">
        <v>30</v>
      </c>
      <c r="E4312" s="1252" t="s">
        <v>2038</v>
      </c>
      <c r="F4312" s="1253"/>
      <c r="G4312" s="1254"/>
      <c r="H4312" s="712" t="s">
        <v>790</v>
      </c>
      <c r="I4312" s="1256" t="s">
        <v>633</v>
      </c>
      <c r="J4312" s="1256"/>
      <c r="K4312" s="1257"/>
      <c r="L4312" s="674" t="s">
        <v>430</v>
      </c>
      <c r="M4312" s="713" t="s">
        <v>431</v>
      </c>
    </row>
    <row r="4313" spans="3:13">
      <c r="C4313" s="660"/>
      <c r="D4313" s="663" t="s">
        <v>432</v>
      </c>
      <c r="E4313" s="1266"/>
      <c r="F4313" s="1267"/>
      <c r="G4313" s="1268"/>
      <c r="H4313" s="714" t="s">
        <v>794</v>
      </c>
      <c r="I4313" s="1243" t="s">
        <v>2039</v>
      </c>
      <c r="J4313" s="1243"/>
      <c r="K4313" s="1244"/>
      <c r="L4313" s="664"/>
      <c r="M4313" s="665" t="s">
        <v>2038</v>
      </c>
    </row>
    <row r="4314" spans="3:13">
      <c r="C4314" s="660"/>
      <c r="D4314" s="666" t="s">
        <v>433</v>
      </c>
      <c r="E4314" s="1269"/>
      <c r="F4314" s="1270"/>
      <c r="G4314" s="1271"/>
      <c r="H4314" s="714" t="s">
        <v>795</v>
      </c>
      <c r="I4314" s="1246"/>
      <c r="J4314" s="1246"/>
      <c r="K4314" s="1247"/>
      <c r="L4314" s="664"/>
      <c r="M4314" s="667"/>
    </row>
    <row r="4315" spans="3:13">
      <c r="C4315" s="660"/>
      <c r="D4315" s="666" t="s">
        <v>434</v>
      </c>
      <c r="E4315" s="1278">
        <v>49</v>
      </c>
      <c r="F4315" s="1270"/>
      <c r="G4315" s="1271"/>
      <c r="H4315" s="715"/>
      <c r="I4315" s="1246"/>
      <c r="J4315" s="1246"/>
      <c r="K4315" s="1247"/>
      <c r="L4315" s="664"/>
      <c r="M4315" s="667"/>
    </row>
    <row r="4316" spans="3:13" ht="17" thickBot="1">
      <c r="C4316" s="660"/>
      <c r="D4316" s="668" t="s">
        <v>435</v>
      </c>
      <c r="E4316" s="1275">
        <v>0.58333333333333337</v>
      </c>
      <c r="F4316" s="1276"/>
      <c r="G4316" s="1277"/>
      <c r="H4316" s="716"/>
      <c r="I4316" s="1246"/>
      <c r="J4316" s="1246"/>
      <c r="K4316" s="1247"/>
      <c r="L4316" s="669">
        <v>0.8125</v>
      </c>
      <c r="M4316" s="670">
        <v>0.70833333333333337</v>
      </c>
    </row>
    <row r="4317" spans="3:13" ht="17" thickBot="1">
      <c r="C4317" s="660"/>
      <c r="D4317" s="671" t="s">
        <v>436</v>
      </c>
      <c r="E4317" s="672" t="s">
        <v>29</v>
      </c>
      <c r="F4317" s="672" t="s">
        <v>28</v>
      </c>
      <c r="G4317" s="673" t="s">
        <v>27</v>
      </c>
      <c r="H4317" s="712" t="s">
        <v>793</v>
      </c>
      <c r="I4317" s="1246"/>
      <c r="J4317" s="1246"/>
      <c r="K4317" s="1247"/>
      <c r="L4317" s="675" t="s">
        <v>1246</v>
      </c>
      <c r="M4317" s="676"/>
    </row>
    <row r="4318" spans="3:13">
      <c r="C4318" s="660"/>
      <c r="D4318" s="717">
        <v>45748</v>
      </c>
      <c r="E4318" s="693">
        <v>49</v>
      </c>
      <c r="F4318" s="693">
        <v>49.5</v>
      </c>
      <c r="G4318" s="693">
        <v>50.3</v>
      </c>
      <c r="H4318" s="718">
        <v>0.58333333333333337</v>
      </c>
      <c r="I4318" s="1246"/>
      <c r="J4318" s="1246"/>
      <c r="K4318" s="1247"/>
      <c r="L4318" s="679">
        <v>0.8125</v>
      </c>
      <c r="M4318" s="680"/>
    </row>
    <row r="4319" spans="3:13">
      <c r="C4319" s="660"/>
      <c r="D4319" s="717">
        <v>45719</v>
      </c>
      <c r="E4319" s="693">
        <v>50.3</v>
      </c>
      <c r="F4319" s="693">
        <v>50.6</v>
      </c>
      <c r="G4319" s="693">
        <v>50.9</v>
      </c>
      <c r="H4319" s="718">
        <v>0.625</v>
      </c>
      <c r="I4319" s="1246"/>
      <c r="J4319" s="1246"/>
      <c r="K4319" s="1247"/>
      <c r="L4319" s="679">
        <v>0.85416666666666663</v>
      </c>
      <c r="M4319" s="681"/>
    </row>
    <row r="4320" spans="3:13">
      <c r="C4320" s="660"/>
      <c r="D4320" s="717">
        <v>45691</v>
      </c>
      <c r="E4320" s="693">
        <v>50.9</v>
      </c>
      <c r="F4320" s="693">
        <v>49.3</v>
      </c>
      <c r="G4320" s="693">
        <v>49.2</v>
      </c>
      <c r="H4320" s="718">
        <v>0.625</v>
      </c>
      <c r="I4320" s="1246"/>
      <c r="J4320" s="1246"/>
      <c r="K4320" s="1247"/>
      <c r="L4320" s="679">
        <v>0.85416666666666663</v>
      </c>
      <c r="M4320" s="667"/>
    </row>
    <row r="4321" spans="3:13">
      <c r="C4321" s="660"/>
      <c r="D4321" s="717">
        <v>45660</v>
      </c>
      <c r="E4321" s="693">
        <v>49.3</v>
      </c>
      <c r="F4321" s="693">
        <v>48.2</v>
      </c>
      <c r="G4321" s="693">
        <v>48.4</v>
      </c>
      <c r="H4321" s="718">
        <v>0.625</v>
      </c>
      <c r="I4321" s="1246"/>
      <c r="J4321" s="1246"/>
      <c r="K4321" s="1247"/>
      <c r="L4321" s="679">
        <v>0.85416666666666663</v>
      </c>
      <c r="M4321" s="667"/>
    </row>
    <row r="4322" spans="3:13">
      <c r="C4322" s="660"/>
      <c r="D4322" s="717">
        <v>45628</v>
      </c>
      <c r="E4322" s="693">
        <v>48.4</v>
      </c>
      <c r="F4322" s="693">
        <v>47.7</v>
      </c>
      <c r="G4322" s="693">
        <v>46.5</v>
      </c>
      <c r="H4322" s="718">
        <v>0.625</v>
      </c>
      <c r="I4322" s="1246"/>
      <c r="J4322" s="1246"/>
      <c r="K4322" s="1247"/>
      <c r="L4322" s="679">
        <v>0.85416666666666663</v>
      </c>
      <c r="M4322" s="667"/>
    </row>
    <row r="4323" spans="3:13" ht="17" thickBot="1">
      <c r="C4323" s="660"/>
      <c r="D4323" s="717">
        <v>45597</v>
      </c>
      <c r="E4323" s="693">
        <v>46.5</v>
      </c>
      <c r="F4323" s="693">
        <v>47.6</v>
      </c>
      <c r="G4323" s="693">
        <v>47.2</v>
      </c>
      <c r="H4323" s="718">
        <v>0.58333333333333337</v>
      </c>
      <c r="I4323" s="1249"/>
      <c r="J4323" s="1249"/>
      <c r="K4323" s="1250"/>
      <c r="L4323" s="679">
        <v>0.8125</v>
      </c>
      <c r="M4323" s="682"/>
    </row>
    <row r="4324" spans="3:13" ht="17" thickBot="1">
      <c r="C4324" s="660">
        <v>1</v>
      </c>
      <c r="D4324" s="671" t="s">
        <v>30</v>
      </c>
      <c r="E4324" s="1252" t="s">
        <v>2040</v>
      </c>
      <c r="F4324" s="1253"/>
      <c r="G4324" s="1254"/>
      <c r="H4324" s="712" t="s">
        <v>790</v>
      </c>
      <c r="I4324" s="1256" t="s">
        <v>633</v>
      </c>
      <c r="J4324" s="1256"/>
      <c r="K4324" s="1257"/>
      <c r="L4324" s="674" t="s">
        <v>430</v>
      </c>
      <c r="M4324" s="713" t="s">
        <v>431</v>
      </c>
    </row>
    <row r="4325" spans="3:13">
      <c r="C4325" s="660"/>
      <c r="D4325" s="663" t="s">
        <v>432</v>
      </c>
      <c r="E4325" s="1266"/>
      <c r="F4325" s="1267"/>
      <c r="G4325" s="1268"/>
      <c r="H4325" s="714" t="s">
        <v>794</v>
      </c>
      <c r="I4325" s="1243" t="s">
        <v>2041</v>
      </c>
      <c r="J4325" s="1243"/>
      <c r="K4325" s="1244"/>
      <c r="L4325" s="664"/>
      <c r="M4325" s="665" t="s">
        <v>2040</v>
      </c>
    </row>
    <row r="4326" spans="3:13">
      <c r="C4326" s="660"/>
      <c r="D4326" s="666" t="s">
        <v>433</v>
      </c>
      <c r="E4326" s="1269"/>
      <c r="F4326" s="1270"/>
      <c r="G4326" s="1271"/>
      <c r="H4326" s="714" t="s">
        <v>795</v>
      </c>
      <c r="I4326" s="1246"/>
      <c r="J4326" s="1246"/>
      <c r="K4326" s="1247"/>
      <c r="L4326" s="664"/>
      <c r="M4326" s="667"/>
    </row>
    <row r="4327" spans="3:13">
      <c r="C4327" s="660"/>
      <c r="D4327" s="666" t="s">
        <v>434</v>
      </c>
      <c r="E4327" s="1278">
        <v>69.400000000000006</v>
      </c>
      <c r="F4327" s="1270"/>
      <c r="G4327" s="1271"/>
      <c r="H4327" s="715"/>
      <c r="I4327" s="1246"/>
      <c r="J4327" s="1246"/>
      <c r="K4327" s="1247"/>
      <c r="L4327" s="664"/>
      <c r="M4327" s="667"/>
    </row>
    <row r="4328" spans="3:13" ht="17" thickBot="1">
      <c r="C4328" s="660"/>
      <c r="D4328" s="668" t="s">
        <v>435</v>
      </c>
      <c r="E4328" s="1275">
        <v>0.58333333333333337</v>
      </c>
      <c r="F4328" s="1276"/>
      <c r="G4328" s="1277"/>
      <c r="H4328" s="716"/>
      <c r="I4328" s="1246"/>
      <c r="J4328" s="1246"/>
      <c r="K4328" s="1247"/>
      <c r="L4328" s="669">
        <v>0.8125</v>
      </c>
      <c r="M4328" s="670">
        <v>0.70833333333333337</v>
      </c>
    </row>
    <row r="4329" spans="3:13" ht="17" thickBot="1">
      <c r="C4329" s="660"/>
      <c r="D4329" s="671" t="s">
        <v>436</v>
      </c>
      <c r="E4329" s="672" t="s">
        <v>29</v>
      </c>
      <c r="F4329" s="672" t="s">
        <v>28</v>
      </c>
      <c r="G4329" s="673" t="s">
        <v>27</v>
      </c>
      <c r="H4329" s="712" t="s">
        <v>793</v>
      </c>
      <c r="I4329" s="1246"/>
      <c r="J4329" s="1246"/>
      <c r="K4329" s="1247"/>
      <c r="L4329" s="675" t="s">
        <v>1246</v>
      </c>
      <c r="M4329" s="676"/>
    </row>
    <row r="4330" spans="3:13">
      <c r="C4330" s="660"/>
      <c r="D4330" s="717">
        <v>45748</v>
      </c>
      <c r="E4330" s="693">
        <v>69.400000000000006</v>
      </c>
      <c r="F4330" s="693">
        <v>64.599999999999994</v>
      </c>
      <c r="G4330" s="693">
        <v>62.4</v>
      </c>
      <c r="H4330" s="718">
        <v>0.58333333333333337</v>
      </c>
      <c r="I4330" s="1246"/>
      <c r="J4330" s="1246"/>
      <c r="K4330" s="1247"/>
      <c r="L4330" s="679">
        <v>0.8125</v>
      </c>
      <c r="M4330" s="680"/>
    </row>
    <row r="4331" spans="3:13">
      <c r="C4331" s="660"/>
      <c r="D4331" s="717">
        <v>45719</v>
      </c>
      <c r="E4331" s="693">
        <v>62.4</v>
      </c>
      <c r="F4331" s="693">
        <v>56.2</v>
      </c>
      <c r="G4331" s="693">
        <v>54.9</v>
      </c>
      <c r="H4331" s="718">
        <v>0.625</v>
      </c>
      <c r="I4331" s="1246"/>
      <c r="J4331" s="1246"/>
      <c r="K4331" s="1247"/>
      <c r="L4331" s="679">
        <v>0.85416666666666663</v>
      </c>
      <c r="M4331" s="681"/>
    </row>
    <row r="4332" spans="3:13">
      <c r="C4332" s="660"/>
      <c r="D4332" s="717">
        <v>45691</v>
      </c>
      <c r="E4332" s="693">
        <v>54.9</v>
      </c>
      <c r="F4332" s="693">
        <v>52.6</v>
      </c>
      <c r="G4332" s="693">
        <v>52.5</v>
      </c>
      <c r="H4332" s="718">
        <v>0.625</v>
      </c>
      <c r="I4332" s="1246"/>
      <c r="J4332" s="1246"/>
      <c r="K4332" s="1247"/>
      <c r="L4332" s="679">
        <v>0.85416666666666663</v>
      </c>
      <c r="M4332" s="667"/>
    </row>
    <row r="4333" spans="3:13">
      <c r="C4333" s="660"/>
      <c r="D4333" s="717">
        <v>45660</v>
      </c>
      <c r="E4333" s="693">
        <v>52.5</v>
      </c>
      <c r="F4333" s="693">
        <v>51.5</v>
      </c>
      <c r="G4333" s="693">
        <v>50.3</v>
      </c>
      <c r="H4333" s="718">
        <v>0.625</v>
      </c>
      <c r="I4333" s="1246"/>
      <c r="J4333" s="1246"/>
      <c r="K4333" s="1247"/>
      <c r="L4333" s="679">
        <v>0.85416666666666663</v>
      </c>
      <c r="M4333" s="667"/>
    </row>
    <row r="4334" spans="3:13">
      <c r="C4334" s="660"/>
      <c r="D4334" s="717">
        <v>45628</v>
      </c>
      <c r="E4334" s="693">
        <v>50.3</v>
      </c>
      <c r="F4334" s="693">
        <v>55.2</v>
      </c>
      <c r="G4334" s="693">
        <v>54.8</v>
      </c>
      <c r="H4334" s="718">
        <v>0.625</v>
      </c>
      <c r="I4334" s="1246"/>
      <c r="J4334" s="1246"/>
      <c r="K4334" s="1247"/>
      <c r="L4334" s="679">
        <v>0.85416666666666663</v>
      </c>
      <c r="M4334" s="667"/>
    </row>
    <row r="4335" spans="3:13" ht="17" thickBot="1">
      <c r="C4335" s="660"/>
      <c r="D4335" s="717">
        <v>45597</v>
      </c>
      <c r="E4335" s="693">
        <v>54.8</v>
      </c>
      <c r="F4335" s="693">
        <v>49.9</v>
      </c>
      <c r="G4335" s="693">
        <v>48</v>
      </c>
      <c r="H4335" s="718">
        <v>0.58333333333333337</v>
      </c>
      <c r="I4335" s="1249"/>
      <c r="J4335" s="1249"/>
      <c r="K4335" s="1250"/>
      <c r="L4335" s="679">
        <v>0.8125</v>
      </c>
      <c r="M4335" s="682"/>
    </row>
    <row r="4336" spans="3:13" ht="17" thickBot="1">
      <c r="C4336" s="660">
        <v>1</v>
      </c>
      <c r="D4336" s="671" t="s">
        <v>30</v>
      </c>
      <c r="E4336" s="1252" t="s">
        <v>2044</v>
      </c>
      <c r="F4336" s="1253"/>
      <c r="G4336" s="1254"/>
      <c r="H4336" s="712" t="s">
        <v>790</v>
      </c>
      <c r="I4336" s="1256" t="s">
        <v>633</v>
      </c>
      <c r="J4336" s="1256"/>
      <c r="K4336" s="1257"/>
      <c r="L4336" s="674" t="s">
        <v>430</v>
      </c>
      <c r="M4336" s="713" t="s">
        <v>431</v>
      </c>
    </row>
    <row r="4337" spans="3:13">
      <c r="C4337" s="660"/>
      <c r="D4337" s="663" t="s">
        <v>432</v>
      </c>
      <c r="E4337" s="1266"/>
      <c r="F4337" s="1267"/>
      <c r="G4337" s="1268"/>
      <c r="H4337" s="714" t="s">
        <v>913</v>
      </c>
      <c r="I4337" s="1243" t="s">
        <v>2045</v>
      </c>
      <c r="J4337" s="1243"/>
      <c r="K4337" s="1244"/>
      <c r="L4337" s="664"/>
      <c r="M4337" s="665" t="s">
        <v>2044</v>
      </c>
    </row>
    <row r="4338" spans="3:13">
      <c r="C4338" s="660"/>
      <c r="D4338" s="666" t="s">
        <v>433</v>
      </c>
      <c r="E4338" s="1269"/>
      <c r="F4338" s="1270"/>
      <c r="G4338" s="1271"/>
      <c r="H4338" s="714" t="s">
        <v>913</v>
      </c>
      <c r="I4338" s="1246"/>
      <c r="J4338" s="1246"/>
      <c r="K4338" s="1247"/>
      <c r="L4338" s="664"/>
      <c r="M4338" s="667"/>
    </row>
    <row r="4339" spans="3:13">
      <c r="C4339" s="660"/>
      <c r="D4339" s="666" t="s">
        <v>434</v>
      </c>
      <c r="E4339" s="1272">
        <v>1.35</v>
      </c>
      <c r="F4339" s="1273"/>
      <c r="G4339" s="1274"/>
      <c r="H4339" s="715"/>
      <c r="I4339" s="1246"/>
      <c r="J4339" s="1246"/>
      <c r="K4339" s="1247"/>
      <c r="L4339" s="664"/>
      <c r="M4339" s="667"/>
    </row>
    <row r="4340" spans="3:13" ht="17" thickBot="1">
      <c r="C4340" s="660"/>
      <c r="D4340" s="668" t="s">
        <v>435</v>
      </c>
      <c r="E4340" s="1275">
        <v>0.83333333333333337</v>
      </c>
      <c r="F4340" s="1276"/>
      <c r="G4340" s="1277"/>
      <c r="H4340" s="716"/>
      <c r="I4340" s="1246"/>
      <c r="J4340" s="1246"/>
      <c r="K4340" s="1247"/>
      <c r="L4340" s="669">
        <v>6.25E-2</v>
      </c>
      <c r="M4340" s="670">
        <v>0.95833333333333337</v>
      </c>
    </row>
    <row r="4341" spans="3:13" ht="17" thickBot="1">
      <c r="C4341" s="660"/>
      <c r="D4341" s="671" t="s">
        <v>436</v>
      </c>
      <c r="E4341" s="672" t="s">
        <v>29</v>
      </c>
      <c r="F4341" s="672" t="s">
        <v>28</v>
      </c>
      <c r="G4341" s="673" t="s">
        <v>27</v>
      </c>
      <c r="H4341" s="712" t="s">
        <v>793</v>
      </c>
      <c r="I4341" s="1246"/>
      <c r="J4341" s="1246"/>
      <c r="K4341" s="1247"/>
      <c r="L4341" s="675" t="s">
        <v>1246</v>
      </c>
      <c r="M4341" s="676"/>
    </row>
    <row r="4342" spans="3:13">
      <c r="C4342" s="660"/>
      <c r="D4342" s="717">
        <v>45694</v>
      </c>
      <c r="E4342" s="720">
        <v>1.86</v>
      </c>
      <c r="F4342" s="720">
        <v>1.52</v>
      </c>
      <c r="G4342" s="720">
        <v>1.01</v>
      </c>
      <c r="H4342" s="933">
        <v>0.95833333333333337</v>
      </c>
      <c r="I4342" s="1246"/>
      <c r="J4342" s="1246"/>
      <c r="K4342" s="1247"/>
      <c r="L4342" s="951">
        <v>6.25E-2</v>
      </c>
      <c r="M4342" s="680"/>
    </row>
    <row r="4343" spans="3:13">
      <c r="C4343" s="660"/>
      <c r="D4343" s="717">
        <v>45596</v>
      </c>
      <c r="E4343" s="720">
        <v>1.43</v>
      </c>
      <c r="F4343" s="720">
        <v>1.1399999999999999</v>
      </c>
      <c r="G4343" s="720">
        <v>0.85</v>
      </c>
      <c r="H4343" s="933">
        <v>0.95833333333333337</v>
      </c>
      <c r="I4343" s="1246"/>
      <c r="J4343" s="1246"/>
      <c r="K4343" s="1247"/>
      <c r="L4343" s="951">
        <v>6.25E-2</v>
      </c>
      <c r="M4343" s="681"/>
    </row>
    <row r="4344" spans="3:13">
      <c r="C4344" s="660"/>
      <c r="D4344" s="717">
        <v>45505</v>
      </c>
      <c r="E4344" s="720">
        <v>1.23</v>
      </c>
      <c r="F4344" s="720">
        <v>1.05</v>
      </c>
      <c r="G4344" s="720">
        <v>0.63</v>
      </c>
      <c r="H4344" s="933">
        <v>0.95833333333333337</v>
      </c>
      <c r="I4344" s="1246"/>
      <c r="J4344" s="1246"/>
      <c r="K4344" s="1247"/>
      <c r="L4344" s="951">
        <v>6.25E-2</v>
      </c>
      <c r="M4344" s="667"/>
    </row>
    <row r="4345" spans="3:13">
      <c r="C4345" s="660"/>
      <c r="D4345" s="717">
        <v>45412</v>
      </c>
      <c r="E4345" s="720">
        <v>1.1299999999999999</v>
      </c>
      <c r="F4345" s="720">
        <v>0.83</v>
      </c>
      <c r="G4345" s="720">
        <v>0.31</v>
      </c>
      <c r="H4345" s="933">
        <v>0.95833333333333337</v>
      </c>
      <c r="I4345" s="1246"/>
      <c r="J4345" s="1246"/>
      <c r="K4345" s="1247"/>
      <c r="L4345" s="951">
        <v>6.25E-2</v>
      </c>
      <c r="M4345" s="667"/>
    </row>
    <row r="4346" spans="3:13">
      <c r="C4346" s="660"/>
      <c r="D4346" s="717">
        <v>45323</v>
      </c>
      <c r="E4346" s="720">
        <v>1.01</v>
      </c>
      <c r="F4346" s="720">
        <v>0.81</v>
      </c>
      <c r="G4346" s="720">
        <v>0.21</v>
      </c>
      <c r="H4346" s="933">
        <v>0.95833333333333337</v>
      </c>
      <c r="I4346" s="1246"/>
      <c r="J4346" s="1246"/>
      <c r="K4346" s="1247"/>
      <c r="L4346" s="951">
        <v>6.25E-2</v>
      </c>
      <c r="M4346" s="667"/>
    </row>
    <row r="4347" spans="3:13" ht="17" thickBot="1">
      <c r="C4347" s="660"/>
      <c r="D4347" s="717">
        <v>45225</v>
      </c>
      <c r="E4347" s="720">
        <v>0.85</v>
      </c>
      <c r="F4347" s="720">
        <v>0.57999999999999996</v>
      </c>
      <c r="G4347" s="720">
        <v>0.2</v>
      </c>
      <c r="H4347" s="933">
        <v>0.95833333333333337</v>
      </c>
      <c r="I4347" s="1249"/>
      <c r="J4347" s="1249"/>
      <c r="K4347" s="1250"/>
      <c r="L4347" s="951">
        <v>6.25E-2</v>
      </c>
      <c r="M4347" s="682"/>
    </row>
    <row r="4348" spans="3:13" ht="17" thickBot="1">
      <c r="C4348" s="660">
        <v>1</v>
      </c>
      <c r="D4348" s="671" t="s">
        <v>30</v>
      </c>
      <c r="E4348" s="1252" t="s">
        <v>2046</v>
      </c>
      <c r="F4348" s="1253"/>
      <c r="G4348" s="1254"/>
      <c r="H4348" s="712" t="s">
        <v>790</v>
      </c>
      <c r="I4348" s="1256" t="s">
        <v>633</v>
      </c>
      <c r="J4348" s="1256"/>
      <c r="K4348" s="1257"/>
      <c r="L4348" s="674" t="s">
        <v>430</v>
      </c>
      <c r="M4348" s="713" t="s">
        <v>431</v>
      </c>
    </row>
    <row r="4349" spans="3:13">
      <c r="C4349" s="660"/>
      <c r="D4349" s="663" t="s">
        <v>432</v>
      </c>
      <c r="E4349" s="1266"/>
      <c r="F4349" s="1267"/>
      <c r="G4349" s="1268"/>
      <c r="H4349" s="714" t="s">
        <v>913</v>
      </c>
      <c r="I4349" s="1243" t="s">
        <v>2047</v>
      </c>
      <c r="J4349" s="1243"/>
      <c r="K4349" s="1244"/>
      <c r="L4349" s="664"/>
      <c r="M4349" s="665" t="s">
        <v>2046</v>
      </c>
    </row>
    <row r="4350" spans="3:13">
      <c r="C4350" s="660"/>
      <c r="D4350" s="666" t="s">
        <v>433</v>
      </c>
      <c r="E4350" s="1269"/>
      <c r="F4350" s="1270"/>
      <c r="G4350" s="1271"/>
      <c r="H4350" s="714" t="s">
        <v>913</v>
      </c>
      <c r="I4350" s="1246"/>
      <c r="J4350" s="1246"/>
      <c r="K4350" s="1247"/>
      <c r="L4350" s="664"/>
      <c r="M4350" s="667"/>
    </row>
    <row r="4351" spans="3:13">
      <c r="C4351" s="660"/>
      <c r="D4351" s="666" t="s">
        <v>434</v>
      </c>
      <c r="E4351" s="1278">
        <v>2.4</v>
      </c>
      <c r="F4351" s="1270"/>
      <c r="G4351" s="1271"/>
      <c r="H4351" s="715"/>
      <c r="I4351" s="1246"/>
      <c r="J4351" s="1246"/>
      <c r="K4351" s="1247"/>
      <c r="L4351" s="664"/>
      <c r="M4351" s="667"/>
    </row>
    <row r="4352" spans="3:13" ht="17" thickBot="1">
      <c r="C4352" s="660"/>
      <c r="D4352" s="668" t="s">
        <v>435</v>
      </c>
      <c r="E4352" s="1275">
        <v>0.85416666666666674</v>
      </c>
      <c r="F4352" s="1276"/>
      <c r="G4352" s="1277"/>
      <c r="H4352" s="716"/>
      <c r="I4352" s="1246"/>
      <c r="J4352" s="1246"/>
      <c r="K4352" s="1247"/>
      <c r="L4352" s="669">
        <v>8.3333333333333329E-2</v>
      </c>
      <c r="M4352" s="670">
        <v>0.97916666666666663</v>
      </c>
    </row>
    <row r="4353" spans="3:13" ht="17" thickBot="1">
      <c r="C4353" s="660"/>
      <c r="D4353" s="671" t="s">
        <v>436</v>
      </c>
      <c r="E4353" s="672" t="s">
        <v>29</v>
      </c>
      <c r="F4353" s="672" t="s">
        <v>28</v>
      </c>
      <c r="G4353" s="673" t="s">
        <v>27</v>
      </c>
      <c r="H4353" s="712" t="s">
        <v>793</v>
      </c>
      <c r="I4353" s="1246"/>
      <c r="J4353" s="1246"/>
      <c r="K4353" s="1247"/>
      <c r="L4353" s="675" t="s">
        <v>1246</v>
      </c>
      <c r="M4353" s="676"/>
    </row>
    <row r="4354" spans="3:13">
      <c r="C4354" s="660"/>
      <c r="D4354" s="717">
        <v>45687</v>
      </c>
      <c r="E4354" s="693">
        <v>2.4</v>
      </c>
      <c r="F4354" s="693">
        <v>2.36</v>
      </c>
      <c r="G4354" s="693">
        <v>2.1800000000000002</v>
      </c>
      <c r="H4354" s="933">
        <v>0.97916666666666663</v>
      </c>
      <c r="I4354" s="1246"/>
      <c r="J4354" s="1246"/>
      <c r="K4354" s="1247"/>
      <c r="L4354" s="951">
        <v>8.3333333333333329E-2</v>
      </c>
      <c r="M4354" s="680"/>
    </row>
    <row r="4355" spans="3:13">
      <c r="C4355" s="660"/>
      <c r="D4355" s="717">
        <v>45596</v>
      </c>
      <c r="E4355" s="693">
        <v>1.64</v>
      </c>
      <c r="F4355" s="693">
        <v>1.49</v>
      </c>
      <c r="G4355" s="693">
        <v>1.46</v>
      </c>
      <c r="H4355" s="933">
        <v>0.97916666666666663</v>
      </c>
      <c r="I4355" s="1246"/>
      <c r="J4355" s="1246"/>
      <c r="K4355" s="1247"/>
      <c r="L4355" s="951">
        <v>8.3333333333333329E-2</v>
      </c>
      <c r="M4355" s="681"/>
    </row>
    <row r="4356" spans="3:13">
      <c r="C4356" s="660"/>
      <c r="D4356" s="717">
        <v>45505</v>
      </c>
      <c r="E4356" s="693">
        <v>1.4</v>
      </c>
      <c r="F4356" s="693">
        <v>1.34</v>
      </c>
      <c r="G4356" s="693">
        <v>1.26</v>
      </c>
      <c r="H4356" s="933">
        <v>0.97916666666666663</v>
      </c>
      <c r="I4356" s="1246"/>
      <c r="J4356" s="1246"/>
      <c r="K4356" s="1247"/>
      <c r="L4356" s="951">
        <v>8.3333333333333329E-2</v>
      </c>
      <c r="M4356" s="667"/>
    </row>
    <row r="4357" spans="3:13">
      <c r="C4357" s="660"/>
      <c r="D4357" s="717">
        <v>45414</v>
      </c>
      <c r="E4357" s="693">
        <v>1.53</v>
      </c>
      <c r="F4357" s="693">
        <v>1.51</v>
      </c>
      <c r="G4357" s="693">
        <v>1.52</v>
      </c>
      <c r="H4357" s="933">
        <v>0.97916666666666663</v>
      </c>
      <c r="I4357" s="1246"/>
      <c r="J4357" s="1246"/>
      <c r="K4357" s="1247"/>
      <c r="L4357" s="951">
        <v>8.3333333333333329E-2</v>
      </c>
      <c r="M4357" s="667"/>
    </row>
    <row r="4358" spans="3:13">
      <c r="C4358" s="660"/>
      <c r="D4358" s="717">
        <v>45323</v>
      </c>
      <c r="E4358" s="693">
        <v>2.1800000000000002</v>
      </c>
      <c r="F4358" s="693">
        <v>2.09</v>
      </c>
      <c r="G4358" s="693">
        <v>1.88</v>
      </c>
      <c r="H4358" s="933">
        <v>0.97916666666666663</v>
      </c>
      <c r="I4358" s="1246"/>
      <c r="J4358" s="1246"/>
      <c r="K4358" s="1247"/>
      <c r="L4358" s="951">
        <v>8.3333333333333329E-2</v>
      </c>
      <c r="M4358" s="667"/>
    </row>
    <row r="4359" spans="3:13" ht="17" thickBot="1">
      <c r="C4359" s="660"/>
      <c r="D4359" s="717">
        <v>45232</v>
      </c>
      <c r="E4359" s="693">
        <v>1.46</v>
      </c>
      <c r="F4359" s="693">
        <v>1.39</v>
      </c>
      <c r="G4359" s="693">
        <v>1.29</v>
      </c>
      <c r="H4359" s="933">
        <v>0.97916666666666663</v>
      </c>
      <c r="I4359" s="1249"/>
      <c r="J4359" s="1249"/>
      <c r="K4359" s="1250"/>
      <c r="L4359" s="951">
        <v>8.3333333333333329E-2</v>
      </c>
      <c r="M4359" s="682"/>
    </row>
    <row r="4360" spans="3:13" ht="17" thickBot="1">
      <c r="C4360" s="660">
        <v>1</v>
      </c>
      <c r="D4360" s="671" t="s">
        <v>30</v>
      </c>
      <c r="E4360" s="1252" t="s">
        <v>2048</v>
      </c>
      <c r="F4360" s="1253"/>
      <c r="G4360" s="1254"/>
      <c r="H4360" s="712" t="s">
        <v>790</v>
      </c>
      <c r="I4360" s="1256" t="s">
        <v>633</v>
      </c>
      <c r="J4360" s="1256"/>
      <c r="K4360" s="1257"/>
      <c r="L4360" s="674" t="s">
        <v>430</v>
      </c>
      <c r="M4360" s="713" t="s">
        <v>431</v>
      </c>
    </row>
    <row r="4361" spans="3:13">
      <c r="C4361" s="660"/>
      <c r="D4361" s="663" t="s">
        <v>432</v>
      </c>
      <c r="E4361" s="1266"/>
      <c r="F4361" s="1267"/>
      <c r="G4361" s="1268"/>
      <c r="H4361" s="714" t="s">
        <v>909</v>
      </c>
      <c r="I4361" s="1243" t="s">
        <v>2049</v>
      </c>
      <c r="J4361" s="1243"/>
      <c r="K4361" s="1244"/>
      <c r="L4361" s="664"/>
      <c r="M4361" s="665" t="s">
        <v>2048</v>
      </c>
    </row>
    <row r="4362" spans="3:13">
      <c r="C4362" s="660"/>
      <c r="D4362" s="666" t="s">
        <v>433</v>
      </c>
      <c r="E4362" s="1269"/>
      <c r="F4362" s="1270"/>
      <c r="G4362" s="1271"/>
      <c r="H4362" s="714" t="s">
        <v>910</v>
      </c>
      <c r="I4362" s="1246"/>
      <c r="J4362" s="1246"/>
      <c r="K4362" s="1247"/>
      <c r="L4362" s="664"/>
      <c r="M4362" s="667"/>
    </row>
    <row r="4363" spans="3:13">
      <c r="C4363" s="660"/>
      <c r="D4363" s="666" t="s">
        <v>434</v>
      </c>
      <c r="E4363" s="1272">
        <v>2.5000000000000001E-2</v>
      </c>
      <c r="F4363" s="1273"/>
      <c r="G4363" s="1274"/>
      <c r="H4363" s="715"/>
      <c r="I4363" s="1246"/>
      <c r="J4363" s="1246"/>
      <c r="K4363" s="1247"/>
      <c r="L4363" s="664"/>
      <c r="M4363" s="667"/>
    </row>
    <row r="4364" spans="3:13" ht="17" thickBot="1">
      <c r="C4364" s="660"/>
      <c r="D4364" s="668" t="s">
        <v>435</v>
      </c>
      <c r="E4364" s="1275">
        <v>0.375</v>
      </c>
      <c r="F4364" s="1276"/>
      <c r="G4364" s="1277"/>
      <c r="H4364" s="716"/>
      <c r="I4364" s="1246"/>
      <c r="J4364" s="1246"/>
      <c r="K4364" s="1247"/>
      <c r="L4364" s="669">
        <v>0.60416666666666663</v>
      </c>
      <c r="M4364" s="670">
        <v>0.49999999999999994</v>
      </c>
    </row>
    <row r="4365" spans="3:13" ht="17" thickBot="1">
      <c r="C4365" s="660"/>
      <c r="D4365" s="671" t="s">
        <v>436</v>
      </c>
      <c r="E4365" s="672" t="s">
        <v>29</v>
      </c>
      <c r="F4365" s="672" t="s">
        <v>28</v>
      </c>
      <c r="G4365" s="673" t="s">
        <v>27</v>
      </c>
      <c r="H4365" s="712" t="s">
        <v>793</v>
      </c>
      <c r="I4365" s="1246"/>
      <c r="J4365" s="1246"/>
      <c r="K4365" s="1247"/>
      <c r="L4365" s="675" t="s">
        <v>1246</v>
      </c>
      <c r="M4365" s="676"/>
    </row>
    <row r="4366" spans="3:13">
      <c r="C4366" s="660"/>
      <c r="D4366" s="717">
        <v>45763</v>
      </c>
      <c r="E4366" s="720">
        <v>2.1999999999999999E-2</v>
      </c>
      <c r="F4366" s="720">
        <v>2.1999999999999999E-2</v>
      </c>
      <c r="G4366" s="720">
        <v>2.3E-2</v>
      </c>
      <c r="H4366" s="718">
        <v>0.375</v>
      </c>
      <c r="I4366" s="1246"/>
      <c r="J4366" s="1246"/>
      <c r="K4366" s="1247"/>
      <c r="L4366" s="679">
        <v>0.60416666666666663</v>
      </c>
      <c r="M4366" s="680"/>
    </row>
    <row r="4367" spans="3:13">
      <c r="C4367" s="660"/>
      <c r="D4367" s="717">
        <v>45748</v>
      </c>
      <c r="E4367" s="720">
        <v>2.1999999999999999E-2</v>
      </c>
      <c r="F4367" s="720">
        <v>2.1999999999999999E-2</v>
      </c>
      <c r="G4367" s="720">
        <v>2.3E-2</v>
      </c>
      <c r="H4367" s="718">
        <v>0.375</v>
      </c>
      <c r="I4367" s="1246"/>
      <c r="J4367" s="1246"/>
      <c r="K4367" s="1247"/>
      <c r="L4367" s="679">
        <v>0.60416666666666663</v>
      </c>
      <c r="M4367" s="681"/>
    </row>
    <row r="4368" spans="3:13">
      <c r="C4368" s="660"/>
      <c r="D4368" s="717">
        <v>45735</v>
      </c>
      <c r="E4368" s="720">
        <v>2.3E-2</v>
      </c>
      <c r="F4368" s="720">
        <v>2.4E-2</v>
      </c>
      <c r="G4368" s="720">
        <v>2.5000000000000001E-2</v>
      </c>
      <c r="H4368" s="718">
        <v>0.41666666666666674</v>
      </c>
      <c r="I4368" s="1246"/>
      <c r="J4368" s="1246"/>
      <c r="K4368" s="1247"/>
      <c r="L4368" s="679">
        <v>0.64583333333333337</v>
      </c>
      <c r="M4368" s="667"/>
    </row>
    <row r="4369" spans="3:13">
      <c r="C4369" s="660"/>
      <c r="D4369" s="717">
        <v>45719</v>
      </c>
      <c r="E4369" s="720">
        <v>2.4E-2</v>
      </c>
      <c r="F4369" s="720">
        <v>2.3E-2</v>
      </c>
      <c r="G4369" s="720">
        <v>2.5000000000000001E-2</v>
      </c>
      <c r="H4369" s="718">
        <v>0.41666666666666674</v>
      </c>
      <c r="I4369" s="1246"/>
      <c r="J4369" s="1246"/>
      <c r="K4369" s="1247"/>
      <c r="L4369" s="679">
        <v>0.64583333333333337</v>
      </c>
      <c r="M4369" s="667"/>
    </row>
    <row r="4370" spans="3:13">
      <c r="C4370" s="660"/>
      <c r="D4370" s="717">
        <v>45712</v>
      </c>
      <c r="E4370" s="720">
        <v>2.5000000000000001E-2</v>
      </c>
      <c r="F4370" s="720">
        <v>2.5000000000000001E-2</v>
      </c>
      <c r="G4370" s="720">
        <v>2.4E-2</v>
      </c>
      <c r="H4370" s="718">
        <v>0.41666666666666674</v>
      </c>
      <c r="I4370" s="1246"/>
      <c r="J4370" s="1246"/>
      <c r="K4370" s="1247"/>
      <c r="L4370" s="679">
        <v>0.64583333333333337</v>
      </c>
      <c r="M4370" s="667"/>
    </row>
    <row r="4371" spans="3:13" ht="17" thickBot="1">
      <c r="C4371" s="660"/>
      <c r="D4371" s="717">
        <v>45691</v>
      </c>
      <c r="E4371" s="720">
        <v>2.5000000000000001E-2</v>
      </c>
      <c r="F4371" s="720">
        <v>2.4E-2</v>
      </c>
      <c r="G4371" s="720">
        <v>2.4E-2</v>
      </c>
      <c r="H4371" s="718">
        <v>0.41666666666666674</v>
      </c>
      <c r="I4371" s="1249"/>
      <c r="J4371" s="1249"/>
      <c r="K4371" s="1250"/>
      <c r="L4371" s="679">
        <v>0.64583333333333337</v>
      </c>
      <c r="M4371" s="682"/>
    </row>
    <row r="4372" spans="3:13" ht="17" thickBot="1">
      <c r="C4372" s="660">
        <v>1</v>
      </c>
      <c r="D4372" s="671" t="s">
        <v>30</v>
      </c>
      <c r="E4372" s="1252" t="s">
        <v>2050</v>
      </c>
      <c r="F4372" s="1253"/>
      <c r="G4372" s="1254"/>
      <c r="H4372" s="712" t="s">
        <v>790</v>
      </c>
      <c r="I4372" s="1256" t="s">
        <v>633</v>
      </c>
      <c r="J4372" s="1256"/>
      <c r="K4372" s="1257"/>
      <c r="L4372" s="674" t="s">
        <v>430</v>
      </c>
      <c r="M4372" s="713" t="s">
        <v>431</v>
      </c>
    </row>
    <row r="4373" spans="3:13">
      <c r="C4373" s="660"/>
      <c r="D4373" s="663" t="s">
        <v>432</v>
      </c>
      <c r="E4373" s="1266"/>
      <c r="F4373" s="1267"/>
      <c r="G4373" s="1268"/>
      <c r="H4373" s="714" t="s">
        <v>794</v>
      </c>
      <c r="I4373" s="1243" t="s">
        <v>2051</v>
      </c>
      <c r="J4373" s="1243"/>
      <c r="K4373" s="1244"/>
      <c r="L4373" s="664"/>
      <c r="M4373" s="665" t="s">
        <v>2050</v>
      </c>
    </row>
    <row r="4374" spans="3:13">
      <c r="C4374" s="660"/>
      <c r="D4374" s="666" t="s">
        <v>433</v>
      </c>
      <c r="E4374" s="1269"/>
      <c r="F4374" s="1270"/>
      <c r="G4374" s="1271"/>
      <c r="H4374" s="714" t="s">
        <v>795</v>
      </c>
      <c r="I4374" s="1246"/>
      <c r="J4374" s="1246"/>
      <c r="K4374" s="1247"/>
      <c r="L4374" s="664"/>
      <c r="M4374" s="667"/>
    </row>
    <row r="4375" spans="3:13">
      <c r="C4375" s="660"/>
      <c r="D4375" s="666" t="s">
        <v>434</v>
      </c>
      <c r="E4375" s="1272">
        <v>3.0000000000000001E-3</v>
      </c>
      <c r="F4375" s="1273"/>
      <c r="G4375" s="1274"/>
      <c r="H4375" s="715"/>
      <c r="I4375" s="1246"/>
      <c r="J4375" s="1246"/>
      <c r="K4375" s="1247"/>
      <c r="L4375" s="664"/>
      <c r="M4375" s="667"/>
    </row>
    <row r="4376" spans="3:13" ht="17" thickBot="1">
      <c r="C4376" s="660"/>
      <c r="D4376" s="668" t="s">
        <v>435</v>
      </c>
      <c r="E4376" s="1275">
        <v>0.52083333333333337</v>
      </c>
      <c r="F4376" s="1276"/>
      <c r="G4376" s="1277"/>
      <c r="H4376" s="716"/>
      <c r="I4376" s="1246"/>
      <c r="J4376" s="1246"/>
      <c r="K4376" s="1247"/>
      <c r="L4376" s="669">
        <v>0.75</v>
      </c>
      <c r="M4376" s="670">
        <v>0.64583333333333337</v>
      </c>
    </row>
    <row r="4377" spans="3:13" ht="17" thickBot="1">
      <c r="C4377" s="660"/>
      <c r="D4377" s="671" t="s">
        <v>436</v>
      </c>
      <c r="E4377" s="672" t="s">
        <v>29</v>
      </c>
      <c r="F4377" s="672" t="s">
        <v>28</v>
      </c>
      <c r="G4377" s="673" t="s">
        <v>27</v>
      </c>
      <c r="H4377" s="712" t="s">
        <v>793</v>
      </c>
      <c r="I4377" s="1246"/>
      <c r="J4377" s="1246"/>
      <c r="K4377" s="1247"/>
      <c r="L4377" s="675" t="s">
        <v>1246</v>
      </c>
      <c r="M4377" s="676"/>
    </row>
    <row r="4378" spans="3:13">
      <c r="C4378" s="660"/>
      <c r="D4378" s="717">
        <v>45751</v>
      </c>
      <c r="E4378" s="720">
        <v>3.0000000000000001E-3</v>
      </c>
      <c r="F4378" s="720">
        <v>3.0000000000000001E-3</v>
      </c>
      <c r="G4378" s="720">
        <v>2E-3</v>
      </c>
      <c r="H4378" s="718">
        <v>0.52083333333333337</v>
      </c>
      <c r="I4378" s="1246"/>
      <c r="J4378" s="1246"/>
      <c r="K4378" s="1247"/>
      <c r="L4378" s="679">
        <v>0.75</v>
      </c>
      <c r="M4378" s="680"/>
    </row>
    <row r="4379" spans="3:13">
      <c r="C4379" s="660"/>
      <c r="D4379" s="717">
        <v>45723</v>
      </c>
      <c r="E4379" s="720">
        <v>3.0000000000000001E-3</v>
      </c>
      <c r="F4379" s="720">
        <v>3.0000000000000001E-3</v>
      </c>
      <c r="G4379" s="720">
        <v>4.0000000000000001E-3</v>
      </c>
      <c r="H4379" s="718">
        <v>0.5625</v>
      </c>
      <c r="I4379" s="1246"/>
      <c r="J4379" s="1246"/>
      <c r="K4379" s="1247"/>
      <c r="L4379" s="679">
        <v>0.79166666666666663</v>
      </c>
      <c r="M4379" s="681"/>
    </row>
    <row r="4380" spans="3:13">
      <c r="C4380" s="660"/>
      <c r="D4380" s="717">
        <v>45695</v>
      </c>
      <c r="E4380" s="720">
        <v>5.0000000000000001E-3</v>
      </c>
      <c r="F4380" s="720">
        <v>3.0000000000000001E-3</v>
      </c>
      <c r="G4380" s="720">
        <v>3.0000000000000001E-3</v>
      </c>
      <c r="H4380" s="718">
        <v>0.5625</v>
      </c>
      <c r="I4380" s="1246"/>
      <c r="J4380" s="1246"/>
      <c r="K4380" s="1247"/>
      <c r="L4380" s="679">
        <v>0.79166666666666663</v>
      </c>
      <c r="M4380" s="667"/>
    </row>
    <row r="4381" spans="3:13">
      <c r="C4381" s="660"/>
      <c r="D4381" s="717">
        <v>45667</v>
      </c>
      <c r="E4381" s="720">
        <v>3.0000000000000001E-3</v>
      </c>
      <c r="F4381" s="720">
        <v>3.0000000000000001E-3</v>
      </c>
      <c r="G4381" s="720">
        <v>4.0000000000000001E-3</v>
      </c>
      <c r="H4381" s="718">
        <v>0.5625</v>
      </c>
      <c r="I4381" s="1246"/>
      <c r="J4381" s="1246"/>
      <c r="K4381" s="1247"/>
      <c r="L4381" s="679">
        <v>0.79166666666666663</v>
      </c>
      <c r="M4381" s="667"/>
    </row>
    <row r="4382" spans="3:13">
      <c r="C4382" s="660"/>
      <c r="D4382" s="717">
        <v>45632</v>
      </c>
      <c r="E4382" s="720">
        <v>4.0000000000000001E-3</v>
      </c>
      <c r="F4382" s="720">
        <v>3.0000000000000001E-3</v>
      </c>
      <c r="G4382" s="720">
        <v>4.0000000000000001E-3</v>
      </c>
      <c r="H4382" s="718">
        <v>0.5625</v>
      </c>
      <c r="I4382" s="1246"/>
      <c r="J4382" s="1246"/>
      <c r="K4382" s="1247"/>
      <c r="L4382" s="679">
        <v>0.79166666666666663</v>
      </c>
      <c r="M4382" s="667"/>
    </row>
    <row r="4383" spans="3:13" ht="17" thickBot="1">
      <c r="C4383" s="660"/>
      <c r="D4383" s="717">
        <v>45597</v>
      </c>
      <c r="E4383" s="720">
        <v>4.0000000000000001E-3</v>
      </c>
      <c r="F4383" s="720">
        <v>3.0000000000000001E-3</v>
      </c>
      <c r="G4383" s="720">
        <v>3.0000000000000001E-3</v>
      </c>
      <c r="H4383" s="718">
        <v>0.52083333333333337</v>
      </c>
      <c r="I4383" s="1249"/>
      <c r="J4383" s="1249"/>
      <c r="K4383" s="1250"/>
      <c r="L4383" s="679">
        <v>0.75</v>
      </c>
      <c r="M4383" s="682"/>
    </row>
    <row r="4384" spans="3:13" ht="17" thickBot="1">
      <c r="C4384" s="660">
        <v>1</v>
      </c>
      <c r="D4384" s="671" t="s">
        <v>30</v>
      </c>
      <c r="E4384" s="1252" t="s">
        <v>2052</v>
      </c>
      <c r="F4384" s="1253"/>
      <c r="G4384" s="1254"/>
      <c r="H4384" s="712" t="s">
        <v>790</v>
      </c>
      <c r="I4384" s="1256" t="s">
        <v>633</v>
      </c>
      <c r="J4384" s="1256"/>
      <c r="K4384" s="1257"/>
      <c r="L4384" s="674" t="s">
        <v>430</v>
      </c>
      <c r="M4384" s="713" t="s">
        <v>431</v>
      </c>
    </row>
    <row r="4385" spans="3:13">
      <c r="C4385" s="660"/>
      <c r="D4385" s="663" t="s">
        <v>432</v>
      </c>
      <c r="E4385" s="1266"/>
      <c r="F4385" s="1267"/>
      <c r="G4385" s="1268"/>
      <c r="H4385" s="714" t="s">
        <v>794</v>
      </c>
      <c r="I4385" s="1243" t="s">
        <v>2053</v>
      </c>
      <c r="J4385" s="1243"/>
      <c r="K4385" s="1244"/>
      <c r="L4385" s="664"/>
      <c r="M4385" s="665" t="s">
        <v>2052</v>
      </c>
    </row>
    <row r="4386" spans="3:13">
      <c r="C4386" s="660"/>
      <c r="D4386" s="666" t="s">
        <v>433</v>
      </c>
      <c r="E4386" s="1269"/>
      <c r="F4386" s="1270"/>
      <c r="G4386" s="1271"/>
      <c r="H4386" s="714" t="s">
        <v>795</v>
      </c>
      <c r="I4386" s="1246"/>
      <c r="J4386" s="1246"/>
      <c r="K4386" s="1247"/>
      <c r="L4386" s="664"/>
      <c r="M4386" s="667"/>
    </row>
    <row r="4387" spans="3:13">
      <c r="C4387" s="660"/>
      <c r="D4387" s="666" t="s">
        <v>434</v>
      </c>
      <c r="E4387" s="1272" t="s">
        <v>579</v>
      </c>
      <c r="F4387" s="1273"/>
      <c r="G4387" s="1274"/>
      <c r="H4387" s="715"/>
      <c r="I4387" s="1246"/>
      <c r="J4387" s="1246"/>
      <c r="K4387" s="1247"/>
      <c r="L4387" s="664"/>
      <c r="M4387" s="667"/>
    </row>
    <row r="4388" spans="3:13" ht="17" thickBot="1">
      <c r="C4388" s="660"/>
      <c r="D4388" s="668" t="s">
        <v>435</v>
      </c>
      <c r="E4388" s="1275">
        <v>0.52083333333333337</v>
      </c>
      <c r="F4388" s="1276"/>
      <c r="G4388" s="1277"/>
      <c r="H4388" s="716"/>
      <c r="I4388" s="1246"/>
      <c r="J4388" s="1246"/>
      <c r="K4388" s="1247"/>
      <c r="L4388" s="669">
        <v>0.75</v>
      </c>
      <c r="M4388" s="670">
        <v>0.64583333333333337</v>
      </c>
    </row>
    <row r="4389" spans="3:13" ht="17" thickBot="1">
      <c r="C4389" s="660"/>
      <c r="D4389" s="671" t="s">
        <v>436</v>
      </c>
      <c r="E4389" s="672" t="s">
        <v>29</v>
      </c>
      <c r="F4389" s="672" t="s">
        <v>28</v>
      </c>
      <c r="G4389" s="673" t="s">
        <v>27</v>
      </c>
      <c r="H4389" s="712" t="s">
        <v>793</v>
      </c>
      <c r="I4389" s="1246"/>
      <c r="J4389" s="1246"/>
      <c r="K4389" s="1247"/>
      <c r="L4389" s="675" t="s">
        <v>1246</v>
      </c>
      <c r="M4389" s="676"/>
    </row>
    <row r="4390" spans="3:13">
      <c r="C4390" s="660"/>
      <c r="D4390" s="717">
        <v>45751</v>
      </c>
      <c r="E4390" s="720" t="s">
        <v>977</v>
      </c>
      <c r="F4390" s="720" t="s">
        <v>2066</v>
      </c>
      <c r="G4390" s="720" t="s">
        <v>2067</v>
      </c>
      <c r="H4390" s="718">
        <v>0.52083333333333337</v>
      </c>
      <c r="I4390" s="1246"/>
      <c r="J4390" s="1246"/>
      <c r="K4390" s="1247"/>
      <c r="L4390" s="679">
        <v>0.75</v>
      </c>
      <c r="M4390" s="680"/>
    </row>
    <row r="4391" spans="3:13">
      <c r="C4391" s="660"/>
      <c r="D4391" s="717">
        <v>45723</v>
      </c>
      <c r="E4391" s="720" t="s">
        <v>1870</v>
      </c>
      <c r="F4391" s="720" t="s">
        <v>1194</v>
      </c>
      <c r="G4391" s="720" t="s">
        <v>1871</v>
      </c>
      <c r="H4391" s="718">
        <v>0.5625</v>
      </c>
      <c r="I4391" s="1246"/>
      <c r="J4391" s="1246"/>
      <c r="K4391" s="1247"/>
      <c r="L4391" s="679">
        <v>0.79166666666666663</v>
      </c>
      <c r="M4391" s="681"/>
    </row>
    <row r="4392" spans="3:13">
      <c r="C4392" s="660"/>
      <c r="D4392" s="717">
        <v>45695</v>
      </c>
      <c r="E4392" s="720" t="s">
        <v>1195</v>
      </c>
      <c r="F4392" s="720" t="s">
        <v>1875</v>
      </c>
      <c r="G4392" s="720" t="s">
        <v>1876</v>
      </c>
      <c r="H4392" s="718">
        <v>0.5625</v>
      </c>
      <c r="I4392" s="1246"/>
      <c r="J4392" s="1246"/>
      <c r="K4392" s="1247"/>
      <c r="L4392" s="679">
        <v>0.79166666666666663</v>
      </c>
      <c r="M4392" s="667"/>
    </row>
    <row r="4393" spans="3:13">
      <c r="C4393" s="660"/>
      <c r="D4393" s="717">
        <v>45667</v>
      </c>
      <c r="E4393" s="720" t="s">
        <v>1880</v>
      </c>
      <c r="F4393" s="720" t="s">
        <v>1237</v>
      </c>
      <c r="G4393" s="720" t="s">
        <v>1881</v>
      </c>
      <c r="H4393" s="718">
        <v>0.5625</v>
      </c>
      <c r="I4393" s="1246"/>
      <c r="J4393" s="1246"/>
      <c r="K4393" s="1247"/>
      <c r="L4393" s="679">
        <v>0.79166666666666663</v>
      </c>
      <c r="M4393" s="667"/>
    </row>
    <row r="4394" spans="3:13">
      <c r="C4394" s="660"/>
      <c r="D4394" s="717">
        <v>45632</v>
      </c>
      <c r="E4394" s="720" t="s">
        <v>978</v>
      </c>
      <c r="F4394" s="720" t="s">
        <v>1397</v>
      </c>
      <c r="G4394" s="720" t="s">
        <v>1398</v>
      </c>
      <c r="H4394" s="718">
        <v>0.5625</v>
      </c>
      <c r="I4394" s="1246"/>
      <c r="J4394" s="1246"/>
      <c r="K4394" s="1247"/>
      <c r="L4394" s="679">
        <v>0.79166666666666663</v>
      </c>
      <c r="M4394" s="667"/>
    </row>
    <row r="4395" spans="3:13" ht="17" thickBot="1">
      <c r="C4395" s="660"/>
      <c r="D4395" s="717">
        <v>45597</v>
      </c>
      <c r="E4395" s="720" t="s">
        <v>1233</v>
      </c>
      <c r="F4395" s="720" t="s">
        <v>1234</v>
      </c>
      <c r="G4395" s="720" t="s">
        <v>973</v>
      </c>
      <c r="H4395" s="718">
        <v>0.52083333333333337</v>
      </c>
      <c r="I4395" s="1249"/>
      <c r="J4395" s="1249"/>
      <c r="K4395" s="1250"/>
      <c r="L4395" s="679">
        <v>0.75</v>
      </c>
      <c r="M4395" s="682"/>
    </row>
    <row r="4396" spans="3:13" ht="17" thickBot="1">
      <c r="C4396" s="660">
        <v>1</v>
      </c>
      <c r="D4396" s="671" t="s">
        <v>30</v>
      </c>
      <c r="E4396" s="1252" t="s">
        <v>2054</v>
      </c>
      <c r="F4396" s="1253"/>
      <c r="G4396" s="1254"/>
      <c r="H4396" s="712" t="s">
        <v>790</v>
      </c>
      <c r="I4396" s="1256" t="s">
        <v>633</v>
      </c>
      <c r="J4396" s="1256"/>
      <c r="K4396" s="1257"/>
      <c r="L4396" s="674" t="s">
        <v>430</v>
      </c>
      <c r="M4396" s="713" t="s">
        <v>431</v>
      </c>
    </row>
    <row r="4397" spans="3:13">
      <c r="C4397" s="660"/>
      <c r="D4397" s="663" t="s">
        <v>432</v>
      </c>
      <c r="E4397" s="1266"/>
      <c r="F4397" s="1267"/>
      <c r="G4397" s="1268"/>
      <c r="H4397" s="714" t="s">
        <v>794</v>
      </c>
      <c r="I4397" s="1243" t="s">
        <v>2055</v>
      </c>
      <c r="J4397" s="1243"/>
      <c r="K4397" s="1244"/>
      <c r="L4397" s="664"/>
      <c r="M4397" s="665" t="s">
        <v>2054</v>
      </c>
    </row>
    <row r="4398" spans="3:13">
      <c r="C4398" s="660"/>
      <c r="D4398" s="666" t="s">
        <v>433</v>
      </c>
      <c r="E4398" s="1269"/>
      <c r="F4398" s="1270"/>
      <c r="G4398" s="1271"/>
      <c r="H4398" s="714" t="s">
        <v>795</v>
      </c>
      <c r="I4398" s="1246"/>
      <c r="J4398" s="1246"/>
      <c r="K4398" s="1247"/>
      <c r="L4398" s="664"/>
      <c r="M4398" s="667"/>
    </row>
    <row r="4399" spans="3:13">
      <c r="C4399" s="660"/>
      <c r="D4399" s="666" t="s">
        <v>434</v>
      </c>
      <c r="E4399" s="1272">
        <v>4.2000000000000003E-2</v>
      </c>
      <c r="F4399" s="1273"/>
      <c r="G4399" s="1274"/>
      <c r="H4399" s="715"/>
      <c r="I4399" s="1246"/>
      <c r="J4399" s="1246"/>
      <c r="K4399" s="1247"/>
      <c r="L4399" s="664"/>
      <c r="M4399" s="667"/>
    </row>
    <row r="4400" spans="3:13" ht="17" thickBot="1">
      <c r="C4400" s="660"/>
      <c r="D4400" s="668" t="s">
        <v>435</v>
      </c>
      <c r="E4400" s="1275">
        <v>0.52083333333333337</v>
      </c>
      <c r="F4400" s="1276"/>
      <c r="G4400" s="1277"/>
      <c r="H4400" s="716"/>
      <c r="I4400" s="1246"/>
      <c r="J4400" s="1246"/>
      <c r="K4400" s="1247"/>
      <c r="L4400" s="669">
        <v>0.75</v>
      </c>
      <c r="M4400" s="670">
        <v>0.64583333333333337</v>
      </c>
    </row>
    <row r="4401" spans="2:13" ht="17" thickBot="1">
      <c r="C4401" s="660"/>
      <c r="D4401" s="671" t="s">
        <v>436</v>
      </c>
      <c r="E4401" s="672" t="s">
        <v>29</v>
      </c>
      <c r="F4401" s="672" t="s">
        <v>28</v>
      </c>
      <c r="G4401" s="673" t="s">
        <v>27</v>
      </c>
      <c r="H4401" s="712" t="s">
        <v>793</v>
      </c>
      <c r="I4401" s="1246"/>
      <c r="J4401" s="1246"/>
      <c r="K4401" s="1247"/>
      <c r="L4401" s="675" t="s">
        <v>1246</v>
      </c>
      <c r="M4401" s="676"/>
    </row>
    <row r="4402" spans="2:13">
      <c r="C4402" s="660"/>
      <c r="D4402" s="717">
        <v>45751</v>
      </c>
      <c r="E4402" s="720">
        <v>4.2000000000000003E-2</v>
      </c>
      <c r="F4402" s="720">
        <v>4.1000000000000002E-2</v>
      </c>
      <c r="G4402" s="720">
        <v>4.1000000000000002E-2</v>
      </c>
      <c r="H4402" s="718">
        <v>0.52083333333333337</v>
      </c>
      <c r="I4402" s="1246"/>
      <c r="J4402" s="1246"/>
      <c r="K4402" s="1247"/>
      <c r="L4402" s="679">
        <v>0.75</v>
      </c>
      <c r="M4402" s="680"/>
    </row>
    <row r="4403" spans="2:13">
      <c r="C4403" s="660"/>
      <c r="D4403" s="717">
        <v>45723</v>
      </c>
      <c r="E4403" s="720">
        <v>4.1000000000000002E-2</v>
      </c>
      <c r="F4403" s="720">
        <v>0.04</v>
      </c>
      <c r="G4403" s="720">
        <v>0.04</v>
      </c>
      <c r="H4403" s="718">
        <v>0.5625</v>
      </c>
      <c r="I4403" s="1246"/>
      <c r="J4403" s="1246"/>
      <c r="K4403" s="1247"/>
      <c r="L4403" s="679">
        <v>0.79166666666666663</v>
      </c>
      <c r="M4403" s="681"/>
    </row>
    <row r="4404" spans="2:13">
      <c r="C4404" s="660"/>
      <c r="D4404" s="717">
        <v>45695</v>
      </c>
      <c r="E4404" s="720">
        <v>0.04</v>
      </c>
      <c r="F4404" s="720">
        <v>4.1000000000000002E-2</v>
      </c>
      <c r="G4404" s="720">
        <v>4.1000000000000002E-2</v>
      </c>
      <c r="H4404" s="718">
        <v>0.5625</v>
      </c>
      <c r="I4404" s="1246"/>
      <c r="J4404" s="1246"/>
      <c r="K4404" s="1247"/>
      <c r="L4404" s="679">
        <v>0.79166666666666663</v>
      </c>
      <c r="M4404" s="667"/>
    </row>
    <row r="4405" spans="2:13">
      <c r="C4405" s="660"/>
      <c r="D4405" s="717">
        <v>45667</v>
      </c>
      <c r="E4405" s="720">
        <v>4.1000000000000002E-2</v>
      </c>
      <c r="F4405" s="720">
        <v>4.2000000000000003E-2</v>
      </c>
      <c r="G4405" s="720">
        <v>4.2000000000000003E-2</v>
      </c>
      <c r="H4405" s="718">
        <v>0.5625</v>
      </c>
      <c r="I4405" s="1246"/>
      <c r="J4405" s="1246"/>
      <c r="K4405" s="1247"/>
      <c r="L4405" s="679">
        <v>0.79166666666666663</v>
      </c>
      <c r="M4405" s="667"/>
    </row>
    <row r="4406" spans="2:13">
      <c r="C4406" s="660"/>
      <c r="D4406" s="717">
        <v>45632</v>
      </c>
      <c r="E4406" s="720">
        <v>4.2000000000000003E-2</v>
      </c>
      <c r="F4406" s="720">
        <v>4.2000000000000003E-2</v>
      </c>
      <c r="G4406" s="720">
        <v>4.1000000000000002E-2</v>
      </c>
      <c r="H4406" s="718">
        <v>0.5625</v>
      </c>
      <c r="I4406" s="1246"/>
      <c r="J4406" s="1246"/>
      <c r="K4406" s="1247"/>
      <c r="L4406" s="679">
        <v>0.79166666666666663</v>
      </c>
      <c r="M4406" s="667"/>
    </row>
    <row r="4407" spans="2:13" ht="17" thickBot="1">
      <c r="C4407" s="660"/>
      <c r="D4407" s="771">
        <v>45597</v>
      </c>
      <c r="E4407" s="772">
        <v>4.1000000000000002E-2</v>
      </c>
      <c r="F4407" s="772">
        <v>4.1000000000000002E-2</v>
      </c>
      <c r="G4407" s="772">
        <v>4.1000000000000002E-2</v>
      </c>
      <c r="H4407" s="952">
        <v>0.52083333333333337</v>
      </c>
      <c r="I4407" s="1249"/>
      <c r="J4407" s="1249"/>
      <c r="K4407" s="1250"/>
      <c r="L4407" s="953">
        <v>0.75</v>
      </c>
      <c r="M4407" s="682"/>
    </row>
    <row r="4408" spans="2:13" ht="18" customHeight="1" thickBot="1">
      <c r="B4408" s="90" t="s">
        <v>105</v>
      </c>
      <c r="C4408" s="90">
        <v>1</v>
      </c>
      <c r="D4408" s="562" t="s">
        <v>30</v>
      </c>
      <c r="E4408" s="1304" t="s">
        <v>2072</v>
      </c>
      <c r="F4408" s="1305"/>
      <c r="G4408" s="1306"/>
      <c r="H4408" s="954" t="s">
        <v>790</v>
      </c>
      <c r="I4408" s="1293" t="s">
        <v>633</v>
      </c>
      <c r="J4408" s="1293"/>
      <c r="K4408" s="1294"/>
      <c r="L4408" s="911" t="s">
        <v>430</v>
      </c>
      <c r="M4408" s="773" t="s">
        <v>431</v>
      </c>
    </row>
    <row r="4409" spans="2:13" ht="17">
      <c r="C4409" s="90"/>
      <c r="D4409" s="559" t="s">
        <v>432</v>
      </c>
      <c r="E4409" s="1307"/>
      <c r="F4409" s="1308"/>
      <c r="G4409" s="1309"/>
      <c r="H4409" s="955" t="s">
        <v>794</v>
      </c>
      <c r="I4409" s="1295" t="s">
        <v>1969</v>
      </c>
      <c r="J4409" s="1295"/>
      <c r="K4409" s="1296"/>
      <c r="L4409" s="920"/>
      <c r="M4409" s="376" t="s">
        <v>2072</v>
      </c>
    </row>
    <row r="4410" spans="2:13" ht="17">
      <c r="C4410" s="90"/>
      <c r="D4410" s="560" t="s">
        <v>433</v>
      </c>
      <c r="E4410" s="1334">
        <v>51.4</v>
      </c>
      <c r="F4410" s="1332"/>
      <c r="G4410" s="1333"/>
      <c r="H4410" s="955" t="s">
        <v>795</v>
      </c>
      <c r="I4410" s="1297"/>
      <c r="J4410" s="1297"/>
      <c r="K4410" s="1298"/>
      <c r="L4410" s="920"/>
      <c r="M4410" s="377"/>
    </row>
    <row r="4411" spans="2:13" ht="17">
      <c r="C4411" s="90"/>
      <c r="D4411" s="560" t="s">
        <v>434</v>
      </c>
      <c r="E4411" s="1334">
        <v>54.4</v>
      </c>
      <c r="F4411" s="1332"/>
      <c r="G4411" s="1333"/>
      <c r="H4411" s="956"/>
      <c r="I4411" s="1297"/>
      <c r="J4411" s="1297"/>
      <c r="K4411" s="1298"/>
      <c r="L4411" s="920"/>
      <c r="M4411" s="377"/>
    </row>
    <row r="4412" spans="2:13" ht="18" thickBot="1">
      <c r="C4412" s="90"/>
      <c r="D4412" s="561" t="s">
        <v>435</v>
      </c>
      <c r="E4412" s="1313">
        <v>0.57291666666666674</v>
      </c>
      <c r="F4412" s="1314"/>
      <c r="G4412" s="1315"/>
      <c r="H4412" s="957"/>
      <c r="I4412" s="1297"/>
      <c r="J4412" s="1297"/>
      <c r="K4412" s="1298"/>
      <c r="L4412" s="378">
        <v>0.80208333333333337</v>
      </c>
      <c r="M4412" s="379">
        <v>0.69791666666666674</v>
      </c>
    </row>
    <row r="4413" spans="2:13" ht="18" thickBot="1">
      <c r="C4413" s="90"/>
      <c r="D4413" s="562" t="s">
        <v>436</v>
      </c>
      <c r="E4413" s="380" t="s">
        <v>29</v>
      </c>
      <c r="F4413" s="380" t="s">
        <v>28</v>
      </c>
      <c r="G4413" s="381" t="s">
        <v>27</v>
      </c>
      <c r="H4413" s="954" t="s">
        <v>793</v>
      </c>
      <c r="I4413" s="1297"/>
      <c r="J4413" s="1297"/>
      <c r="K4413" s="1298"/>
      <c r="L4413" s="921" t="s">
        <v>1246</v>
      </c>
      <c r="M4413" s="382"/>
    </row>
    <row r="4414" spans="2:13" ht="17">
      <c r="C4414" s="90"/>
      <c r="D4414" s="774">
        <v>45770</v>
      </c>
      <c r="E4414" s="440" t="s">
        <v>1216</v>
      </c>
      <c r="F4414" s="440" t="s">
        <v>2095</v>
      </c>
      <c r="G4414" s="440" t="s">
        <v>2096</v>
      </c>
      <c r="H4414" s="913">
        <v>0.57291666666666674</v>
      </c>
      <c r="I4414" s="1297"/>
      <c r="J4414" s="1297"/>
      <c r="K4414" s="1298"/>
      <c r="L4414" s="923">
        <v>0.80208333333333337</v>
      </c>
      <c r="M4414" s="384"/>
    </row>
    <row r="4415" spans="2:13" ht="17">
      <c r="C4415" s="90"/>
      <c r="D4415" s="774">
        <v>45750</v>
      </c>
      <c r="E4415" s="440" t="s">
        <v>2096</v>
      </c>
      <c r="F4415" s="440" t="s">
        <v>2097</v>
      </c>
      <c r="G4415" s="440" t="s">
        <v>1859</v>
      </c>
      <c r="H4415" s="913">
        <v>0.57291666666666674</v>
      </c>
      <c r="I4415" s="1297"/>
      <c r="J4415" s="1297"/>
      <c r="K4415" s="1298"/>
      <c r="L4415" s="923">
        <v>0.80208333333333337</v>
      </c>
      <c r="M4415" s="385"/>
    </row>
    <row r="4416" spans="2:13" ht="17">
      <c r="C4416" s="90"/>
      <c r="D4416" s="774">
        <v>45770</v>
      </c>
      <c r="E4416" s="440" t="s">
        <v>1216</v>
      </c>
      <c r="F4416" s="440" t="s">
        <v>2095</v>
      </c>
      <c r="G4416" s="440" t="s">
        <v>2096</v>
      </c>
      <c r="H4416" s="913">
        <v>0.57291666666666674</v>
      </c>
      <c r="I4416" s="1297"/>
      <c r="J4416" s="1297"/>
      <c r="K4416" s="1298"/>
      <c r="L4416" s="923">
        <v>0.80208333333333337</v>
      </c>
      <c r="M4416" s="377"/>
    </row>
    <row r="4417" spans="3:13" ht="17">
      <c r="C4417" s="90"/>
      <c r="D4417" s="774">
        <v>45750</v>
      </c>
      <c r="E4417" s="440" t="s">
        <v>2096</v>
      </c>
      <c r="F4417" s="440" t="s">
        <v>2097</v>
      </c>
      <c r="G4417" s="440" t="s">
        <v>1859</v>
      </c>
      <c r="H4417" s="913">
        <v>0.57291666666666674</v>
      </c>
      <c r="I4417" s="1297"/>
      <c r="J4417" s="1297"/>
      <c r="K4417" s="1298"/>
      <c r="L4417" s="923">
        <v>0.80208333333333337</v>
      </c>
      <c r="M4417" s="377"/>
    </row>
    <row r="4418" spans="3:13" ht="17">
      <c r="C4418" s="90"/>
      <c r="D4418" s="774">
        <v>45770</v>
      </c>
      <c r="E4418" s="440" t="s">
        <v>1216</v>
      </c>
      <c r="F4418" s="440" t="s">
        <v>2095</v>
      </c>
      <c r="G4418" s="440" t="s">
        <v>2096</v>
      </c>
      <c r="H4418" s="913">
        <v>0.57291666666666674</v>
      </c>
      <c r="I4418" s="1297"/>
      <c r="J4418" s="1297"/>
      <c r="K4418" s="1298"/>
      <c r="L4418" s="923">
        <v>0.80208333333333337</v>
      </c>
      <c r="M4418" s="377"/>
    </row>
    <row r="4419" spans="3:13" ht="18" thickBot="1">
      <c r="C4419" s="90"/>
      <c r="D4419" s="774">
        <v>45750</v>
      </c>
      <c r="E4419" s="440" t="s">
        <v>2096</v>
      </c>
      <c r="F4419" s="440" t="s">
        <v>2097</v>
      </c>
      <c r="G4419" s="440" t="s">
        <v>1859</v>
      </c>
      <c r="H4419" s="913">
        <v>0.57291666666666674</v>
      </c>
      <c r="I4419" s="1299"/>
      <c r="J4419" s="1299"/>
      <c r="K4419" s="1300"/>
      <c r="L4419" s="923">
        <v>0.80208333333333337</v>
      </c>
      <c r="M4419" s="386"/>
    </row>
    <row r="4420" spans="3:13" ht="18" customHeight="1" thickBot="1">
      <c r="C4420" s="90">
        <v>1</v>
      </c>
      <c r="D4420" s="775" t="s">
        <v>30</v>
      </c>
      <c r="E4420" s="1335" t="s">
        <v>2073</v>
      </c>
      <c r="F4420" s="1336"/>
      <c r="G4420" s="1337"/>
      <c r="H4420" s="954" t="s">
        <v>790</v>
      </c>
      <c r="I4420" s="1345" t="s">
        <v>633</v>
      </c>
      <c r="J4420" s="1293"/>
      <c r="K4420" s="1294"/>
      <c r="L4420" s="911" t="s">
        <v>430</v>
      </c>
      <c r="M4420" s="773" t="s">
        <v>431</v>
      </c>
    </row>
    <row r="4421" spans="3:13" ht="17">
      <c r="C4421" s="90"/>
      <c r="D4421" s="559" t="s">
        <v>432</v>
      </c>
      <c r="E4421" s="1307"/>
      <c r="F4421" s="1308"/>
      <c r="G4421" s="1309"/>
      <c r="H4421" s="955" t="s">
        <v>794</v>
      </c>
      <c r="I4421" s="1301" t="s">
        <v>2076</v>
      </c>
      <c r="J4421" s="1295"/>
      <c r="K4421" s="1296"/>
      <c r="L4421" s="920"/>
      <c r="M4421" s="376" t="s">
        <v>2073</v>
      </c>
    </row>
    <row r="4422" spans="3:13" ht="17">
      <c r="C4422" s="90"/>
      <c r="D4422" s="560" t="s">
        <v>433</v>
      </c>
      <c r="E4422" s="1338"/>
      <c r="F4422" s="1339"/>
      <c r="G4422" s="1340"/>
      <c r="H4422" s="955" t="s">
        <v>795</v>
      </c>
      <c r="I4422" s="1302"/>
      <c r="J4422" s="1297"/>
      <c r="K4422" s="1298"/>
      <c r="L4422" s="920"/>
      <c r="M4422" s="377"/>
    </row>
    <row r="4423" spans="3:13" ht="17">
      <c r="C4423" s="90"/>
      <c r="D4423" s="560" t="s">
        <v>434</v>
      </c>
      <c r="E4423" s="1341">
        <v>50.8</v>
      </c>
      <c r="F4423" s="1339"/>
      <c r="G4423" s="1340"/>
      <c r="H4423" s="956"/>
      <c r="I4423" s="1302"/>
      <c r="J4423" s="1297"/>
      <c r="K4423" s="1298"/>
      <c r="L4423" s="920"/>
      <c r="M4423" s="377"/>
    </row>
    <row r="4424" spans="3:13" ht="18" thickBot="1">
      <c r="C4424" s="90"/>
      <c r="D4424" s="561" t="s">
        <v>435</v>
      </c>
      <c r="E4424" s="1313">
        <v>0.58333333333333337</v>
      </c>
      <c r="F4424" s="1314"/>
      <c r="G4424" s="1315"/>
      <c r="H4424" s="957"/>
      <c r="I4424" s="1302"/>
      <c r="J4424" s="1297"/>
      <c r="K4424" s="1298"/>
      <c r="L4424" s="378">
        <v>0.8125</v>
      </c>
      <c r="M4424" s="379">
        <v>0.70833333333333337</v>
      </c>
    </row>
    <row r="4425" spans="3:13" ht="18" thickBot="1">
      <c r="C4425" s="90"/>
      <c r="D4425" s="562" t="s">
        <v>436</v>
      </c>
      <c r="E4425" s="380" t="s">
        <v>29</v>
      </c>
      <c r="F4425" s="380" t="s">
        <v>28</v>
      </c>
      <c r="G4425" s="381" t="s">
        <v>27</v>
      </c>
      <c r="H4425" s="954" t="s">
        <v>793</v>
      </c>
      <c r="I4425" s="1302"/>
      <c r="J4425" s="1297"/>
      <c r="K4425" s="1298"/>
      <c r="L4425" s="921" t="s">
        <v>1246</v>
      </c>
      <c r="M4425" s="382"/>
    </row>
    <row r="4426" spans="3:13">
      <c r="C4426" s="90"/>
      <c r="D4426" s="563">
        <v>45750</v>
      </c>
      <c r="E4426" s="430">
        <v>50.8</v>
      </c>
      <c r="F4426" s="430">
        <v>53</v>
      </c>
      <c r="G4426" s="430">
        <v>53.5</v>
      </c>
      <c r="H4426" s="913">
        <v>0.58333333333333337</v>
      </c>
      <c r="I4426" s="1302"/>
      <c r="J4426" s="1297"/>
      <c r="K4426" s="1298"/>
      <c r="L4426" s="923">
        <v>0.8125</v>
      </c>
      <c r="M4426" s="384"/>
    </row>
    <row r="4427" spans="3:13">
      <c r="C4427" s="90"/>
      <c r="D4427" s="563">
        <v>45721</v>
      </c>
      <c r="E4427" s="430">
        <v>53.5</v>
      </c>
      <c r="F4427" s="430">
        <v>52.5</v>
      </c>
      <c r="G4427" s="430">
        <v>52.8</v>
      </c>
      <c r="H4427" s="913">
        <v>0.625</v>
      </c>
      <c r="I4427" s="1302"/>
      <c r="J4427" s="1297"/>
      <c r="K4427" s="1298"/>
      <c r="L4427" s="923">
        <v>0.85416666666666663</v>
      </c>
      <c r="M4427" s="385"/>
    </row>
    <row r="4428" spans="3:13">
      <c r="C4428" s="90"/>
      <c r="D4428" s="563">
        <v>45693</v>
      </c>
      <c r="E4428" s="430">
        <v>52.8</v>
      </c>
      <c r="F4428" s="430">
        <v>54.2</v>
      </c>
      <c r="G4428" s="430">
        <v>54</v>
      </c>
      <c r="H4428" s="913">
        <v>0.625</v>
      </c>
      <c r="I4428" s="1302"/>
      <c r="J4428" s="1297"/>
      <c r="K4428" s="1298"/>
      <c r="L4428" s="923">
        <v>0.85416666666666663</v>
      </c>
      <c r="M4428" s="377"/>
    </row>
    <row r="4429" spans="3:13">
      <c r="C4429" s="90"/>
      <c r="D4429" s="563">
        <v>45664</v>
      </c>
      <c r="E4429" s="430">
        <v>54.1</v>
      </c>
      <c r="F4429" s="430">
        <v>53.5</v>
      </c>
      <c r="G4429" s="430">
        <v>52.1</v>
      </c>
      <c r="H4429" s="913">
        <v>0.625</v>
      </c>
      <c r="I4429" s="1302"/>
      <c r="J4429" s="1297"/>
      <c r="K4429" s="1298"/>
      <c r="L4429" s="923">
        <v>0.85416666666666663</v>
      </c>
      <c r="M4429" s="377"/>
    </row>
    <row r="4430" spans="3:13">
      <c r="C4430" s="90"/>
      <c r="D4430" s="563">
        <v>45630</v>
      </c>
      <c r="E4430" s="430">
        <v>52.1</v>
      </c>
      <c r="F4430" s="430">
        <v>55.5</v>
      </c>
      <c r="G4430" s="430">
        <v>56</v>
      </c>
      <c r="H4430" s="913">
        <v>0.625</v>
      </c>
      <c r="I4430" s="1302"/>
      <c r="J4430" s="1297"/>
      <c r="K4430" s="1298"/>
      <c r="L4430" s="923">
        <v>0.85416666666666663</v>
      </c>
      <c r="M4430" s="377"/>
    </row>
    <row r="4431" spans="3:13" ht="17" thickBot="1">
      <c r="C4431" s="90"/>
      <c r="D4431" s="563">
        <v>45601</v>
      </c>
      <c r="E4431" s="430">
        <v>56</v>
      </c>
      <c r="F4431" s="430">
        <v>53.8</v>
      </c>
      <c r="G4431" s="430">
        <v>54.9</v>
      </c>
      <c r="H4431" s="913">
        <v>0.625</v>
      </c>
      <c r="I4431" s="1303"/>
      <c r="J4431" s="1299"/>
      <c r="K4431" s="1300"/>
      <c r="L4431" s="923">
        <v>0.85416666666666663</v>
      </c>
      <c r="M4431" s="386"/>
    </row>
    <row r="4432" spans="3:13" ht="18" customHeight="1" thickBot="1">
      <c r="C4432" s="90">
        <v>1</v>
      </c>
      <c r="D4432" s="562" t="s">
        <v>30</v>
      </c>
      <c r="E4432" s="1304" t="s">
        <v>2075</v>
      </c>
      <c r="F4432" s="1305"/>
      <c r="G4432" s="1306"/>
      <c r="H4432" s="954" t="s">
        <v>790</v>
      </c>
      <c r="I4432" s="1293" t="s">
        <v>633</v>
      </c>
      <c r="J4432" s="1293"/>
      <c r="K4432" s="1294"/>
      <c r="L4432" s="911" t="s">
        <v>430</v>
      </c>
      <c r="M4432" s="773" t="s">
        <v>431</v>
      </c>
    </row>
    <row r="4433" spans="3:13" ht="17">
      <c r="C4433" s="90"/>
      <c r="D4433" s="559" t="s">
        <v>432</v>
      </c>
      <c r="E4433" s="1307"/>
      <c r="F4433" s="1308"/>
      <c r="G4433" s="1309"/>
      <c r="H4433" s="955" t="s">
        <v>794</v>
      </c>
      <c r="I4433" s="1295" t="s">
        <v>2076</v>
      </c>
      <c r="J4433" s="1295"/>
      <c r="K4433" s="1296"/>
      <c r="L4433" s="920"/>
      <c r="M4433" s="376" t="s">
        <v>2075</v>
      </c>
    </row>
    <row r="4434" spans="3:13" ht="17">
      <c r="C4434" s="90"/>
      <c r="D4434" s="560" t="s">
        <v>433</v>
      </c>
      <c r="E4434" s="1338"/>
      <c r="F4434" s="1339"/>
      <c r="G4434" s="1340"/>
      <c r="H4434" s="955" t="s">
        <v>795</v>
      </c>
      <c r="I4434" s="1297"/>
      <c r="J4434" s="1297"/>
      <c r="K4434" s="1298"/>
      <c r="L4434" s="920"/>
      <c r="M4434" s="377"/>
    </row>
    <row r="4435" spans="3:13" ht="17">
      <c r="C4435" s="90"/>
      <c r="D4435" s="560" t="s">
        <v>434</v>
      </c>
      <c r="E4435" s="1341">
        <v>60.9</v>
      </c>
      <c r="F4435" s="1339"/>
      <c r="G4435" s="1340"/>
      <c r="H4435" s="956"/>
      <c r="I4435" s="1297"/>
      <c r="J4435" s="1297"/>
      <c r="K4435" s="1298"/>
      <c r="L4435" s="920"/>
      <c r="M4435" s="377"/>
    </row>
    <row r="4436" spans="3:13" ht="18" thickBot="1">
      <c r="C4436" s="90"/>
      <c r="D4436" s="561" t="s">
        <v>435</v>
      </c>
      <c r="E4436" s="1313">
        <v>0.58333333333333337</v>
      </c>
      <c r="F4436" s="1314"/>
      <c r="G4436" s="1315"/>
      <c r="H4436" s="957"/>
      <c r="I4436" s="1297"/>
      <c r="J4436" s="1297"/>
      <c r="K4436" s="1298"/>
      <c r="L4436" s="378">
        <v>0.8125</v>
      </c>
      <c r="M4436" s="379">
        <v>0.70833333333333337</v>
      </c>
    </row>
    <row r="4437" spans="3:13" ht="18" thickBot="1">
      <c r="C4437" s="90"/>
      <c r="D4437" s="562" t="s">
        <v>436</v>
      </c>
      <c r="E4437" s="380" t="s">
        <v>29</v>
      </c>
      <c r="F4437" s="380" t="s">
        <v>28</v>
      </c>
      <c r="G4437" s="381" t="s">
        <v>27</v>
      </c>
      <c r="H4437" s="954" t="s">
        <v>793</v>
      </c>
      <c r="I4437" s="1297"/>
      <c r="J4437" s="1297"/>
      <c r="K4437" s="1298"/>
      <c r="L4437" s="921" t="s">
        <v>1246</v>
      </c>
      <c r="M4437" s="382"/>
    </row>
    <row r="4438" spans="3:13">
      <c r="C4438" s="90"/>
      <c r="D4438" s="563">
        <v>45750</v>
      </c>
      <c r="E4438" s="430">
        <v>60.9</v>
      </c>
      <c r="F4438" s="430">
        <v>63.1</v>
      </c>
      <c r="G4438" s="430">
        <v>62.6</v>
      </c>
      <c r="H4438" s="913">
        <v>0.58333333333333337</v>
      </c>
      <c r="I4438" s="1297"/>
      <c r="J4438" s="1297"/>
      <c r="K4438" s="1298"/>
      <c r="L4438" s="923">
        <v>0.8125</v>
      </c>
      <c r="M4438" s="384"/>
    </row>
    <row r="4439" spans="3:13">
      <c r="C4439" s="90"/>
      <c r="D4439" s="563">
        <v>45721</v>
      </c>
      <c r="E4439" s="430">
        <v>62.6</v>
      </c>
      <c r="F4439" s="430">
        <v>60</v>
      </c>
      <c r="G4439" s="430">
        <v>60.4</v>
      </c>
      <c r="H4439" s="913">
        <v>0.625</v>
      </c>
      <c r="I4439" s="1297"/>
      <c r="J4439" s="1297"/>
      <c r="K4439" s="1298"/>
      <c r="L4439" s="923">
        <v>0.85416666666666663</v>
      </c>
      <c r="M4439" s="385"/>
    </row>
    <row r="4440" spans="3:13">
      <c r="C4440" s="90"/>
      <c r="D4440" s="563">
        <v>45693</v>
      </c>
      <c r="E4440" s="430">
        <v>60.4</v>
      </c>
      <c r="F4440" s="430">
        <v>0</v>
      </c>
      <c r="G4440" s="430">
        <v>64.400000000000006</v>
      </c>
      <c r="H4440" s="913">
        <v>0.625</v>
      </c>
      <c r="I4440" s="1297"/>
      <c r="J4440" s="1297"/>
      <c r="K4440" s="1298"/>
      <c r="L4440" s="923">
        <v>0.85416666666666663</v>
      </c>
      <c r="M4440" s="377"/>
    </row>
    <row r="4441" spans="3:13">
      <c r="C4441" s="90"/>
      <c r="D4441" s="563">
        <v>45664</v>
      </c>
      <c r="E4441" s="430">
        <v>64.400000000000006</v>
      </c>
      <c r="F4441" s="430">
        <v>57.5</v>
      </c>
      <c r="G4441" s="430">
        <v>58.2</v>
      </c>
      <c r="H4441" s="913">
        <v>0.625</v>
      </c>
      <c r="I4441" s="1297"/>
      <c r="J4441" s="1297"/>
      <c r="K4441" s="1298"/>
      <c r="L4441" s="923">
        <v>0.85416666666666663</v>
      </c>
      <c r="M4441" s="377"/>
    </row>
    <row r="4442" spans="3:13">
      <c r="C4442" s="90"/>
      <c r="D4442" s="563">
        <v>45630</v>
      </c>
      <c r="E4442" s="430">
        <v>58.2</v>
      </c>
      <c r="F4442" s="430">
        <v>56.4</v>
      </c>
      <c r="G4442" s="430">
        <v>58.1</v>
      </c>
      <c r="H4442" s="913">
        <v>0.625</v>
      </c>
      <c r="I4442" s="1297"/>
      <c r="J4442" s="1297"/>
      <c r="K4442" s="1298"/>
      <c r="L4442" s="923">
        <v>0.85416666666666663</v>
      </c>
      <c r="M4442" s="377"/>
    </row>
    <row r="4443" spans="3:13" ht="17" thickBot="1">
      <c r="C4443" s="90"/>
      <c r="D4443" s="563">
        <v>45601</v>
      </c>
      <c r="E4443" s="430">
        <v>58.1</v>
      </c>
      <c r="F4443" s="430">
        <v>58</v>
      </c>
      <c r="G4443" s="430">
        <v>59.4</v>
      </c>
      <c r="H4443" s="913">
        <v>0.625</v>
      </c>
      <c r="I4443" s="1299"/>
      <c r="J4443" s="1299"/>
      <c r="K4443" s="1300"/>
      <c r="L4443" s="923">
        <v>0.85416666666666663</v>
      </c>
      <c r="M4443" s="386"/>
    </row>
    <row r="4444" spans="3:13" ht="18" customHeight="1" thickBot="1">
      <c r="C4444" s="90">
        <v>1</v>
      </c>
      <c r="D4444" s="562" t="s">
        <v>30</v>
      </c>
      <c r="E4444" s="1304" t="s">
        <v>2077</v>
      </c>
      <c r="F4444" s="1305"/>
      <c r="G4444" s="1306"/>
      <c r="H4444" s="954" t="s">
        <v>790</v>
      </c>
      <c r="I4444" s="1293" t="s">
        <v>633</v>
      </c>
      <c r="J4444" s="1293"/>
      <c r="K4444" s="1294"/>
      <c r="L4444" s="911" t="s">
        <v>430</v>
      </c>
      <c r="M4444" s="773" t="s">
        <v>431</v>
      </c>
    </row>
    <row r="4445" spans="3:13" ht="17">
      <c r="C4445" s="90"/>
      <c r="D4445" s="559" t="s">
        <v>432</v>
      </c>
      <c r="E4445" s="1307"/>
      <c r="F4445" s="1308"/>
      <c r="G4445" s="1309"/>
      <c r="H4445" s="955" t="s">
        <v>794</v>
      </c>
      <c r="I4445" s="1295" t="s">
        <v>2043</v>
      </c>
      <c r="J4445" s="1295"/>
      <c r="K4445" s="1296"/>
      <c r="L4445" s="920"/>
      <c r="M4445" s="376" t="s">
        <v>2077</v>
      </c>
    </row>
    <row r="4446" spans="3:13" ht="17">
      <c r="C4446" s="90"/>
      <c r="D4446" s="560" t="s">
        <v>433</v>
      </c>
      <c r="E4446" s="1331"/>
      <c r="F4446" s="1332"/>
      <c r="G4446" s="1333"/>
      <c r="H4446" s="955" t="s">
        <v>795</v>
      </c>
      <c r="I4446" s="1297"/>
      <c r="J4446" s="1297"/>
      <c r="K4446" s="1298"/>
      <c r="L4446" s="920"/>
      <c r="M4446" s="377"/>
    </row>
    <row r="4447" spans="3:13" ht="17">
      <c r="C4447" s="90"/>
      <c r="D4447" s="560" t="s">
        <v>434</v>
      </c>
      <c r="E4447" s="1310">
        <v>0</v>
      </c>
      <c r="F4447" s="1311"/>
      <c r="G4447" s="1312"/>
      <c r="H4447" s="956"/>
      <c r="I4447" s="1297"/>
      <c r="J4447" s="1297"/>
      <c r="K4447" s="1298"/>
      <c r="L4447" s="920"/>
      <c r="M4447" s="377"/>
    </row>
    <row r="4448" spans="3:13" ht="18" thickBot="1">
      <c r="C4448" s="90"/>
      <c r="D4448" s="561" t="s">
        <v>435</v>
      </c>
      <c r="E4448" s="1313">
        <v>0.52083333333333337</v>
      </c>
      <c r="F4448" s="1314"/>
      <c r="G4448" s="1315"/>
      <c r="H4448" s="957"/>
      <c r="I4448" s="1297"/>
      <c r="J4448" s="1297"/>
      <c r="K4448" s="1298"/>
      <c r="L4448" s="378" t="s">
        <v>1449</v>
      </c>
      <c r="M4448" s="379" t="e">
        <v>#VALUE!</v>
      </c>
    </row>
    <row r="4449" spans="3:13" ht="18" thickBot="1">
      <c r="C4449" s="90"/>
      <c r="D4449" s="562" t="s">
        <v>436</v>
      </c>
      <c r="E4449" s="380" t="s">
        <v>29</v>
      </c>
      <c r="F4449" s="380" t="s">
        <v>28</v>
      </c>
      <c r="G4449" s="381" t="s">
        <v>27</v>
      </c>
      <c r="H4449" s="954" t="s">
        <v>793</v>
      </c>
      <c r="I4449" s="1297"/>
      <c r="J4449" s="1297"/>
      <c r="K4449" s="1298"/>
      <c r="L4449" s="921" t="s">
        <v>1246</v>
      </c>
      <c r="M4449" s="382"/>
    </row>
    <row r="4450" spans="3:13" ht="17">
      <c r="C4450" s="90"/>
      <c r="D4450" s="774">
        <v>45749</v>
      </c>
      <c r="E4450" s="440" t="s">
        <v>1203</v>
      </c>
      <c r="F4450" s="440" t="s">
        <v>2062</v>
      </c>
      <c r="G4450" s="440" t="s">
        <v>2063</v>
      </c>
      <c r="H4450" s="913">
        <v>0.51041666666666674</v>
      </c>
      <c r="I4450" s="1297"/>
      <c r="J4450" s="1297"/>
      <c r="K4450" s="1298"/>
      <c r="L4450" s="923">
        <v>0.73958333333333337</v>
      </c>
      <c r="M4450" s="384"/>
    </row>
    <row r="4451" spans="3:13" ht="17">
      <c r="C4451" s="90"/>
      <c r="D4451" s="774">
        <v>45721</v>
      </c>
      <c r="E4451" s="440" t="s">
        <v>1825</v>
      </c>
      <c r="F4451" s="440" t="s">
        <v>1826</v>
      </c>
      <c r="G4451" s="440" t="s">
        <v>1827</v>
      </c>
      <c r="H4451" s="913">
        <v>0.55208333333333337</v>
      </c>
      <c r="I4451" s="1297"/>
      <c r="J4451" s="1297"/>
      <c r="K4451" s="1298"/>
      <c r="L4451" s="923">
        <v>0.78125</v>
      </c>
      <c r="M4451" s="385"/>
    </row>
    <row r="4452" spans="3:13" ht="17">
      <c r="C4452" s="90"/>
      <c r="D4452" s="774">
        <v>45693</v>
      </c>
      <c r="E4452" s="440" t="s">
        <v>1830</v>
      </c>
      <c r="F4452" s="440" t="s">
        <v>1831</v>
      </c>
      <c r="G4452" s="440" t="s">
        <v>1239</v>
      </c>
      <c r="H4452" s="913">
        <v>0.55208333333333337</v>
      </c>
      <c r="I4452" s="1297"/>
      <c r="J4452" s="1297"/>
      <c r="K4452" s="1298"/>
      <c r="L4452" s="923">
        <v>0.78125</v>
      </c>
      <c r="M4452" s="377"/>
    </row>
    <row r="4453" spans="3:13" ht="17">
      <c r="C4453" s="90"/>
      <c r="D4453" s="774">
        <v>45665</v>
      </c>
      <c r="E4453" s="440" t="s">
        <v>1201</v>
      </c>
      <c r="F4453" s="440" t="s">
        <v>1834</v>
      </c>
      <c r="G4453" s="440" t="s">
        <v>1388</v>
      </c>
      <c r="H4453" s="913">
        <v>0.55208333333333337</v>
      </c>
      <c r="I4453" s="1297"/>
      <c r="J4453" s="1297"/>
      <c r="K4453" s="1298"/>
      <c r="L4453" s="923">
        <v>0.78125</v>
      </c>
      <c r="M4453" s="377"/>
    </row>
    <row r="4454" spans="3:13" ht="17">
      <c r="C4454" s="90"/>
      <c r="D4454" s="774">
        <v>45630</v>
      </c>
      <c r="E4454" s="440" t="s">
        <v>1388</v>
      </c>
      <c r="F4454" s="440" t="s">
        <v>1389</v>
      </c>
      <c r="G4454" s="440" t="s">
        <v>1390</v>
      </c>
      <c r="H4454" s="913">
        <v>0.55208333333333337</v>
      </c>
      <c r="I4454" s="1297"/>
      <c r="J4454" s="1297"/>
      <c r="K4454" s="1298"/>
      <c r="L4454" s="923">
        <v>0.78125</v>
      </c>
      <c r="M4454" s="377"/>
    </row>
    <row r="4455" spans="3:13" ht="18" thickBot="1">
      <c r="C4455" s="90"/>
      <c r="D4455" s="774">
        <v>45595</v>
      </c>
      <c r="E4455" s="440" t="s">
        <v>1192</v>
      </c>
      <c r="F4455" s="440" t="s">
        <v>1193</v>
      </c>
      <c r="G4455" s="440" t="s">
        <v>1194</v>
      </c>
      <c r="H4455" s="913">
        <v>0.51041666666666674</v>
      </c>
      <c r="I4455" s="1299"/>
      <c r="J4455" s="1299"/>
      <c r="K4455" s="1300"/>
      <c r="L4455" s="923">
        <v>0.73958333333333337</v>
      </c>
      <c r="M4455" s="386"/>
    </row>
    <row r="4456" spans="3:13" ht="18" customHeight="1" thickBot="1">
      <c r="C4456" s="90">
        <v>1</v>
      </c>
      <c r="D4456" s="562" t="s">
        <v>30</v>
      </c>
      <c r="E4456" s="1304" t="s">
        <v>2078</v>
      </c>
      <c r="F4456" s="1305"/>
      <c r="G4456" s="1306"/>
      <c r="H4456" s="954" t="s">
        <v>790</v>
      </c>
      <c r="I4456" s="1293" t="s">
        <v>633</v>
      </c>
      <c r="J4456" s="1293"/>
      <c r="K4456" s="1294"/>
      <c r="L4456" s="911" t="s">
        <v>430</v>
      </c>
      <c r="M4456" s="773" t="s">
        <v>431</v>
      </c>
    </row>
    <row r="4457" spans="3:13" ht="17">
      <c r="C4457" s="90"/>
      <c r="D4457" s="559" t="s">
        <v>432</v>
      </c>
      <c r="E4457" s="1307"/>
      <c r="F4457" s="1308"/>
      <c r="G4457" s="1309"/>
      <c r="H4457" s="955" t="s">
        <v>794</v>
      </c>
      <c r="I4457" s="1295" t="s">
        <v>2043</v>
      </c>
      <c r="J4457" s="1295"/>
      <c r="K4457" s="1296"/>
      <c r="L4457" s="920"/>
      <c r="M4457" s="376" t="s">
        <v>2078</v>
      </c>
    </row>
    <row r="4458" spans="3:13" ht="17">
      <c r="C4458" s="90"/>
      <c r="D4458" s="560" t="s">
        <v>433</v>
      </c>
      <c r="E4458" s="1331"/>
      <c r="F4458" s="1332"/>
      <c r="G4458" s="1333"/>
      <c r="H4458" s="955" t="s">
        <v>795</v>
      </c>
      <c r="I4458" s="1297"/>
      <c r="J4458" s="1297"/>
      <c r="K4458" s="1298"/>
      <c r="L4458" s="920"/>
      <c r="M4458" s="377"/>
    </row>
    <row r="4459" spans="3:13" ht="17">
      <c r="C4459" s="90"/>
      <c r="D4459" s="560" t="s">
        <v>434</v>
      </c>
      <c r="E4459" s="1310">
        <v>0</v>
      </c>
      <c r="F4459" s="1311"/>
      <c r="G4459" s="1312"/>
      <c r="H4459" s="956"/>
      <c r="I4459" s="1297"/>
      <c r="J4459" s="1297"/>
      <c r="K4459" s="1298"/>
      <c r="L4459" s="920"/>
      <c r="M4459" s="377"/>
    </row>
    <row r="4460" spans="3:13" ht="18" thickBot="1">
      <c r="C4460" s="90"/>
      <c r="D4460" s="561" t="s">
        <v>435</v>
      </c>
      <c r="E4460" s="1313" t="e">
        <v>#VALUE!</v>
      </c>
      <c r="F4460" s="1314"/>
      <c r="G4460" s="1315"/>
      <c r="H4460" s="957"/>
      <c r="I4460" s="1297"/>
      <c r="J4460" s="1297"/>
      <c r="K4460" s="1298"/>
      <c r="L4460" s="378" t="s">
        <v>1449</v>
      </c>
      <c r="M4460" s="379" t="e">
        <v>#VALUE!</v>
      </c>
    </row>
    <row r="4461" spans="3:13" ht="18" thickBot="1">
      <c r="C4461" s="90"/>
      <c r="D4461" s="562" t="s">
        <v>436</v>
      </c>
      <c r="E4461" s="380" t="s">
        <v>29</v>
      </c>
      <c r="F4461" s="380" t="s">
        <v>28</v>
      </c>
      <c r="G4461" s="381" t="s">
        <v>27</v>
      </c>
      <c r="H4461" s="954" t="s">
        <v>793</v>
      </c>
      <c r="I4461" s="1297"/>
      <c r="J4461" s="1297"/>
      <c r="K4461" s="1298"/>
      <c r="L4461" s="921" t="s">
        <v>1246</v>
      </c>
      <c r="M4461" s="382"/>
    </row>
    <row r="4462" spans="3:13">
      <c r="C4462" s="90"/>
      <c r="D4462" s="774">
        <v>45743</v>
      </c>
      <c r="E4462" s="440">
        <v>2.4E-2</v>
      </c>
      <c r="F4462" s="440">
        <v>2.3E-2</v>
      </c>
      <c r="G4462" s="440">
        <v>3.1E-2</v>
      </c>
      <c r="H4462" s="913">
        <v>0.52083333333333337</v>
      </c>
      <c r="I4462" s="1297"/>
      <c r="J4462" s="1297"/>
      <c r="K4462" s="1298"/>
      <c r="L4462" s="923">
        <v>0.75</v>
      </c>
      <c r="M4462" s="384"/>
    </row>
    <row r="4463" spans="3:13">
      <c r="C4463" s="90"/>
      <c r="D4463" s="774">
        <v>45715</v>
      </c>
      <c r="E4463" s="440">
        <v>2.3E-2</v>
      </c>
      <c r="F4463" s="440">
        <v>2.3E-2</v>
      </c>
      <c r="G4463" s="440">
        <v>3.1E-2</v>
      </c>
      <c r="H4463" s="913">
        <v>0.5625</v>
      </c>
      <c r="I4463" s="1297"/>
      <c r="J4463" s="1297"/>
      <c r="K4463" s="1298"/>
      <c r="L4463" s="923">
        <v>0.79166666666666663</v>
      </c>
      <c r="M4463" s="385"/>
    </row>
    <row r="4464" spans="3:13">
      <c r="C4464" s="90"/>
      <c r="D4464" s="774">
        <v>45687</v>
      </c>
      <c r="E4464" s="440">
        <v>2.3E-2</v>
      </c>
      <c r="F4464" s="440">
        <v>2.7E-2</v>
      </c>
      <c r="G4464" s="440">
        <v>3.1E-2</v>
      </c>
      <c r="H4464" s="913">
        <v>0.5625</v>
      </c>
      <c r="I4464" s="1297"/>
      <c r="J4464" s="1297"/>
      <c r="K4464" s="1298"/>
      <c r="L4464" s="923">
        <v>0.79166666666666663</v>
      </c>
      <c r="M4464" s="377"/>
    </row>
    <row r="4465" spans="3:13">
      <c r="C4465" s="90"/>
      <c r="D4465" s="774">
        <v>45645</v>
      </c>
      <c r="E4465" s="440">
        <v>3.1E-2</v>
      </c>
      <c r="F4465" s="440">
        <v>2.8000000000000001E-2</v>
      </c>
      <c r="G4465" s="440">
        <v>0.03</v>
      </c>
      <c r="H4465" s="913">
        <v>0.5625</v>
      </c>
      <c r="I4465" s="1297"/>
      <c r="J4465" s="1297"/>
      <c r="K4465" s="1298"/>
      <c r="L4465" s="923">
        <v>0.79166666666666663</v>
      </c>
      <c r="M4465" s="377"/>
    </row>
    <row r="4466" spans="3:13">
      <c r="C4466" s="90"/>
      <c r="D4466" s="774">
        <v>45623</v>
      </c>
      <c r="E4466" s="440">
        <v>2.8000000000000001E-2</v>
      </c>
      <c r="F4466" s="440">
        <v>2.8000000000000001E-2</v>
      </c>
      <c r="G4466" s="440">
        <v>0.03</v>
      </c>
      <c r="H4466" s="913">
        <v>0.5625</v>
      </c>
      <c r="I4466" s="1297"/>
      <c r="J4466" s="1297"/>
      <c r="K4466" s="1298"/>
      <c r="L4466" s="923">
        <v>0.79166666666666663</v>
      </c>
      <c r="M4466" s="377"/>
    </row>
    <row r="4467" spans="3:13" ht="17" thickBot="1">
      <c r="C4467" s="90"/>
      <c r="D4467" s="774">
        <v>45595</v>
      </c>
      <c r="E4467" s="440">
        <v>2.8000000000000001E-2</v>
      </c>
      <c r="F4467" s="440">
        <v>0.03</v>
      </c>
      <c r="G4467" s="440">
        <v>0.03</v>
      </c>
      <c r="H4467" s="913">
        <v>0.52083333333333337</v>
      </c>
      <c r="I4467" s="1299"/>
      <c r="J4467" s="1299"/>
      <c r="K4467" s="1300"/>
      <c r="L4467" s="923">
        <v>0.75</v>
      </c>
      <c r="M4467" s="386"/>
    </row>
    <row r="4468" spans="3:13" ht="18" customHeight="1" thickBot="1">
      <c r="C4468" s="776">
        <v>1</v>
      </c>
      <c r="D4468" s="777" t="s">
        <v>30</v>
      </c>
      <c r="E4468" s="1316" t="s">
        <v>1900</v>
      </c>
      <c r="F4468" s="1317"/>
      <c r="G4468" s="1318"/>
      <c r="H4468" s="954" t="s">
        <v>790</v>
      </c>
      <c r="I4468" s="1293" t="s">
        <v>633</v>
      </c>
      <c r="J4468" s="1293"/>
      <c r="K4468" s="1294"/>
      <c r="L4468" s="911" t="s">
        <v>430</v>
      </c>
      <c r="M4468" s="778" t="s">
        <v>431</v>
      </c>
    </row>
    <row r="4469" spans="3:13" ht="17">
      <c r="C4469" s="90"/>
      <c r="D4469" s="559" t="s">
        <v>432</v>
      </c>
      <c r="E4469" s="1307"/>
      <c r="F4469" s="1308"/>
      <c r="G4469" s="1309"/>
      <c r="H4469" s="955" t="s">
        <v>794</v>
      </c>
      <c r="I4469" s="1295" t="s">
        <v>2079</v>
      </c>
      <c r="J4469" s="1295"/>
      <c r="K4469" s="1296"/>
      <c r="L4469" s="920"/>
      <c r="M4469" s="376" t="s">
        <v>1900</v>
      </c>
    </row>
    <row r="4470" spans="3:13" ht="17">
      <c r="C4470" s="90"/>
      <c r="D4470" s="560" t="s">
        <v>433</v>
      </c>
      <c r="E4470" s="1331"/>
      <c r="F4470" s="1332"/>
      <c r="G4470" s="1333"/>
      <c r="H4470" s="955" t="s">
        <v>795</v>
      </c>
      <c r="I4470" s="1297"/>
      <c r="J4470" s="1297"/>
      <c r="K4470" s="1298"/>
      <c r="L4470" s="920"/>
      <c r="M4470" s="377"/>
    </row>
    <row r="4471" spans="3:13" ht="17">
      <c r="C4471" s="90"/>
      <c r="D4471" s="560" t="s">
        <v>434</v>
      </c>
      <c r="E4471" s="1342">
        <v>4.4350000000000001E-2</v>
      </c>
      <c r="F4471" s="1343"/>
      <c r="G4471" s="1344"/>
      <c r="H4471" s="956"/>
      <c r="I4471" s="1297"/>
      <c r="J4471" s="1297"/>
      <c r="K4471" s="1298"/>
      <c r="L4471" s="920"/>
      <c r="M4471" s="377"/>
    </row>
    <row r="4472" spans="3:13" ht="18" thickBot="1">
      <c r="C4472" s="90"/>
      <c r="D4472" s="561" t="s">
        <v>435</v>
      </c>
      <c r="E4472" s="1313">
        <v>0.70833333333333337</v>
      </c>
      <c r="F4472" s="1314"/>
      <c r="G4472" s="1315"/>
      <c r="H4472" s="957"/>
      <c r="I4472" s="1297"/>
      <c r="J4472" s="1297"/>
      <c r="K4472" s="1298"/>
      <c r="L4472" s="378">
        <v>0.9375</v>
      </c>
      <c r="M4472" s="379">
        <v>0.83333333333333337</v>
      </c>
    </row>
    <row r="4473" spans="3:13" ht="18" thickBot="1">
      <c r="C4473" s="90"/>
      <c r="D4473" s="562" t="s">
        <v>436</v>
      </c>
      <c r="E4473" s="380" t="s">
        <v>29</v>
      </c>
      <c r="F4473" s="380" t="s">
        <v>28</v>
      </c>
      <c r="G4473" s="381" t="s">
        <v>27</v>
      </c>
      <c r="H4473" s="954" t="s">
        <v>793</v>
      </c>
      <c r="I4473" s="1297"/>
      <c r="J4473" s="1297"/>
      <c r="K4473" s="1298"/>
      <c r="L4473" s="921" t="s">
        <v>1246</v>
      </c>
      <c r="M4473" s="382"/>
    </row>
    <row r="4474" spans="3:13">
      <c r="C4474" s="90"/>
      <c r="D4474" s="774">
        <v>45756</v>
      </c>
      <c r="E4474" s="652">
        <v>4.4350000000000001E-2</v>
      </c>
      <c r="F4474" s="652"/>
      <c r="G4474" s="652">
        <v>4.3099999999999999E-2</v>
      </c>
      <c r="H4474" s="913">
        <v>0.70833333333333337</v>
      </c>
      <c r="I4474" s="1297"/>
      <c r="J4474" s="1297"/>
      <c r="K4474" s="1298"/>
      <c r="L4474" s="923">
        <v>0.9375</v>
      </c>
      <c r="M4474" s="384"/>
    </row>
    <row r="4475" spans="3:13">
      <c r="C4475" s="90"/>
      <c r="D4475" s="774">
        <v>45728</v>
      </c>
      <c r="E4475" s="652">
        <v>4.3099999999999999E-2</v>
      </c>
      <c r="F4475" s="652"/>
      <c r="G4475" s="652">
        <v>4.632E-2</v>
      </c>
      <c r="H4475" s="913">
        <v>0.70833333333333337</v>
      </c>
      <c r="I4475" s="1297"/>
      <c r="J4475" s="1297"/>
      <c r="K4475" s="1298"/>
      <c r="L4475" s="923">
        <v>0.9375</v>
      </c>
      <c r="M4475" s="385"/>
    </row>
    <row r="4476" spans="3:13">
      <c r="C4476" s="90"/>
      <c r="D4476" s="774">
        <v>45700</v>
      </c>
      <c r="E4476" s="652">
        <v>4.632E-2</v>
      </c>
      <c r="F4476" s="652"/>
      <c r="G4476" s="652">
        <v>4.6800000000000001E-2</v>
      </c>
      <c r="H4476" s="913">
        <v>0.75</v>
      </c>
      <c r="I4476" s="1297"/>
      <c r="J4476" s="1297"/>
      <c r="K4476" s="1298"/>
      <c r="L4476" s="923">
        <v>0.97916666666666663</v>
      </c>
      <c r="M4476" s="377"/>
    </row>
    <row r="4477" spans="3:13">
      <c r="C4477" s="90"/>
      <c r="D4477" s="774">
        <v>45664</v>
      </c>
      <c r="E4477" s="652">
        <v>4.6800000000000001E-2</v>
      </c>
      <c r="F4477" s="652"/>
      <c r="G4477" s="652">
        <v>4.2349999999999999E-2</v>
      </c>
      <c r="H4477" s="913">
        <v>0.75</v>
      </c>
      <c r="I4477" s="1297"/>
      <c r="J4477" s="1297"/>
      <c r="K4477" s="1298"/>
      <c r="L4477" s="923">
        <v>0.97916666666666663</v>
      </c>
      <c r="M4477" s="377"/>
    </row>
    <row r="4478" spans="3:13">
      <c r="C4478" s="90"/>
      <c r="D4478" s="774">
        <v>45637</v>
      </c>
      <c r="E4478" s="652">
        <v>4.2349999999999999E-2</v>
      </c>
      <c r="F4478" s="652"/>
      <c r="G4478" s="652">
        <v>4.3470000000000002E-2</v>
      </c>
      <c r="H4478" s="913">
        <v>0.75</v>
      </c>
      <c r="I4478" s="1297"/>
      <c r="J4478" s="1297"/>
      <c r="K4478" s="1298"/>
      <c r="L4478" s="923">
        <v>0.97916666666666663</v>
      </c>
      <c r="M4478" s="377"/>
    </row>
    <row r="4479" spans="3:13" ht="17" thickBot="1">
      <c r="C4479" s="90"/>
      <c r="D4479" s="774">
        <v>45601</v>
      </c>
      <c r="E4479" s="652">
        <v>4.3470000000000002E-2</v>
      </c>
      <c r="F4479" s="652"/>
      <c r="G4479" s="652">
        <v>4.0660000000000002E-2</v>
      </c>
      <c r="H4479" s="913">
        <v>0.75</v>
      </c>
      <c r="I4479" s="1299"/>
      <c r="J4479" s="1299"/>
      <c r="K4479" s="1300"/>
      <c r="L4479" s="923">
        <v>0.97916666666666663</v>
      </c>
      <c r="M4479" s="386"/>
    </row>
    <row r="4480" spans="3:13" ht="18" customHeight="1" thickBot="1">
      <c r="C4480" s="776">
        <v>1</v>
      </c>
      <c r="D4480" s="777" t="s">
        <v>30</v>
      </c>
      <c r="E4480" s="1316" t="s">
        <v>1503</v>
      </c>
      <c r="F4480" s="1317"/>
      <c r="G4480" s="1318"/>
      <c r="H4480" s="954" t="s">
        <v>790</v>
      </c>
      <c r="I4480" s="1293" t="s">
        <v>633</v>
      </c>
      <c r="J4480" s="1293"/>
      <c r="K4480" s="1294"/>
      <c r="L4480" s="911" t="s">
        <v>430</v>
      </c>
      <c r="M4480" s="778" t="s">
        <v>431</v>
      </c>
    </row>
    <row r="4481" spans="3:13" ht="17">
      <c r="C4481" s="90"/>
      <c r="D4481" s="559" t="s">
        <v>432</v>
      </c>
      <c r="E4481" s="1307"/>
      <c r="F4481" s="1308"/>
      <c r="G4481" s="1309"/>
      <c r="H4481" s="955" t="s">
        <v>796</v>
      </c>
      <c r="I4481" s="1295" t="s">
        <v>2083</v>
      </c>
      <c r="J4481" s="1295"/>
      <c r="K4481" s="1296"/>
      <c r="L4481" s="920"/>
      <c r="M4481" s="376" t="s">
        <v>1503</v>
      </c>
    </row>
    <row r="4482" spans="3:13" ht="17">
      <c r="C4482" s="90"/>
      <c r="D4482" s="560" t="s">
        <v>433</v>
      </c>
      <c r="E4482" s="1331"/>
      <c r="F4482" s="1332"/>
      <c r="G4482" s="1333"/>
      <c r="H4482" s="955" t="s">
        <v>796</v>
      </c>
      <c r="I4482" s="1297"/>
      <c r="J4482" s="1297"/>
      <c r="K4482" s="1298"/>
      <c r="L4482" s="920"/>
      <c r="M4482" s="377"/>
    </row>
    <row r="4483" spans="3:13" ht="17">
      <c r="C4483" s="90"/>
      <c r="D4483" s="560" t="s">
        <v>434</v>
      </c>
      <c r="E4483" s="1342" t="s">
        <v>2080</v>
      </c>
      <c r="F4483" s="1343"/>
      <c r="G4483" s="1344"/>
      <c r="H4483" s="956"/>
      <c r="I4483" s="1297"/>
      <c r="J4483" s="1297"/>
      <c r="K4483" s="1298"/>
      <c r="L4483" s="920"/>
      <c r="M4483" s="377"/>
    </row>
    <row r="4484" spans="3:13" ht="18" thickBot="1">
      <c r="C4484" s="90"/>
      <c r="D4484" s="561" t="s">
        <v>435</v>
      </c>
      <c r="E4484" s="1313">
        <v>0.60416666666666674</v>
      </c>
      <c r="F4484" s="1314"/>
      <c r="G4484" s="1315"/>
      <c r="H4484" s="957"/>
      <c r="I4484" s="1297"/>
      <c r="J4484" s="1297"/>
      <c r="K4484" s="1298"/>
      <c r="L4484" s="378">
        <v>0.83333333333333337</v>
      </c>
      <c r="M4484" s="379">
        <v>0.72916666666666674</v>
      </c>
    </row>
    <row r="4485" spans="3:13" ht="18" thickBot="1">
      <c r="C4485" s="90"/>
      <c r="D4485" s="562" t="s">
        <v>436</v>
      </c>
      <c r="E4485" s="380" t="s">
        <v>29</v>
      </c>
      <c r="F4485" s="380" t="s">
        <v>28</v>
      </c>
      <c r="G4485" s="381" t="s">
        <v>27</v>
      </c>
      <c r="H4485" s="954" t="s">
        <v>793</v>
      </c>
      <c r="I4485" s="1297"/>
      <c r="J4485" s="1297"/>
      <c r="K4485" s="1298"/>
      <c r="L4485" s="921" t="s">
        <v>1246</v>
      </c>
      <c r="M4485" s="382"/>
    </row>
    <row r="4486" spans="3:13" ht="17">
      <c r="C4486" s="90"/>
      <c r="D4486" s="774">
        <v>45777</v>
      </c>
      <c r="E4486" s="652" t="s">
        <v>2098</v>
      </c>
      <c r="F4486" s="652" t="s">
        <v>2099</v>
      </c>
      <c r="G4486" s="652" t="s">
        <v>2064</v>
      </c>
      <c r="H4486" s="958">
        <v>0.72916666666666674</v>
      </c>
      <c r="I4486" s="1297"/>
      <c r="J4486" s="1297"/>
      <c r="K4486" s="1298"/>
      <c r="L4486" s="923">
        <v>0.83333333333333337</v>
      </c>
      <c r="M4486" s="384"/>
    </row>
    <row r="4487" spans="3:13" ht="17">
      <c r="C4487" s="90"/>
      <c r="D4487" s="774">
        <v>45770</v>
      </c>
      <c r="E4487" s="652" t="s">
        <v>2064</v>
      </c>
      <c r="F4487" s="652" t="s">
        <v>2065</v>
      </c>
      <c r="G4487" s="652" t="s">
        <v>2003</v>
      </c>
      <c r="H4487" s="958">
        <v>0.72916666666666674</v>
      </c>
      <c r="I4487" s="1297"/>
      <c r="J4487" s="1297"/>
      <c r="K4487" s="1298"/>
      <c r="L4487" s="923">
        <v>0.83333333333333337</v>
      </c>
      <c r="M4487" s="385"/>
    </row>
    <row r="4488" spans="3:13" ht="17">
      <c r="C4488" s="90"/>
      <c r="D4488" s="774">
        <v>45763</v>
      </c>
      <c r="E4488" s="652" t="s">
        <v>2003</v>
      </c>
      <c r="F4488" s="652" t="s">
        <v>1030</v>
      </c>
      <c r="G4488" s="652" t="s">
        <v>1957</v>
      </c>
      <c r="H4488" s="958">
        <v>0.72916666666666674</v>
      </c>
      <c r="I4488" s="1297"/>
      <c r="J4488" s="1297"/>
      <c r="K4488" s="1298"/>
      <c r="L4488" s="923">
        <v>0.83333333333333337</v>
      </c>
      <c r="M4488" s="377"/>
    </row>
    <row r="4489" spans="3:13" ht="17">
      <c r="C4489" s="90"/>
      <c r="D4489" s="774">
        <v>45756</v>
      </c>
      <c r="E4489" s="652" t="s">
        <v>1957</v>
      </c>
      <c r="F4489" s="652" t="s">
        <v>1602</v>
      </c>
      <c r="G4489" s="652" t="s">
        <v>1899</v>
      </c>
      <c r="H4489" s="958">
        <v>0.72916666666666674</v>
      </c>
      <c r="I4489" s="1297"/>
      <c r="J4489" s="1297"/>
      <c r="K4489" s="1298"/>
      <c r="L4489" s="923">
        <v>0.83333333333333337</v>
      </c>
      <c r="M4489" s="377"/>
    </row>
    <row r="4490" spans="3:13" ht="17">
      <c r="C4490" s="90"/>
      <c r="D4490" s="774">
        <v>45749</v>
      </c>
      <c r="E4490" s="652" t="s">
        <v>1899</v>
      </c>
      <c r="F4490" s="652" t="s">
        <v>1926</v>
      </c>
      <c r="G4490" s="652" t="s">
        <v>1840</v>
      </c>
      <c r="H4490" s="958">
        <v>0.72916666666666674</v>
      </c>
      <c r="I4490" s="1297"/>
      <c r="J4490" s="1297"/>
      <c r="K4490" s="1298"/>
      <c r="L4490" s="923">
        <v>0.83333333333333337</v>
      </c>
      <c r="M4490" s="377"/>
    </row>
    <row r="4491" spans="3:13" ht="18" thickBot="1">
      <c r="C4491" s="90"/>
      <c r="D4491" s="774">
        <v>45742</v>
      </c>
      <c r="E4491" s="652" t="s">
        <v>2100</v>
      </c>
      <c r="F4491" s="652" t="s">
        <v>991</v>
      </c>
      <c r="G4491" s="652" t="s">
        <v>1696</v>
      </c>
      <c r="H4491" s="958">
        <v>0.72916666666666674</v>
      </c>
      <c r="I4491" s="1299"/>
      <c r="J4491" s="1299"/>
      <c r="K4491" s="1300"/>
      <c r="L4491" s="923">
        <v>0.83333333333333337</v>
      </c>
      <c r="M4491" s="386"/>
    </row>
    <row r="4492" spans="3:13" ht="18" customHeight="1" thickBot="1">
      <c r="C4492" s="776">
        <v>1</v>
      </c>
      <c r="D4492" s="777" t="s">
        <v>30</v>
      </c>
      <c r="E4492" s="1316" t="s">
        <v>1506</v>
      </c>
      <c r="F4492" s="1317"/>
      <c r="G4492" s="1318"/>
      <c r="H4492" s="954" t="s">
        <v>790</v>
      </c>
      <c r="I4492" s="1293" t="s">
        <v>633</v>
      </c>
      <c r="J4492" s="1293"/>
      <c r="K4492" s="1294"/>
      <c r="L4492" s="911" t="s">
        <v>430</v>
      </c>
      <c r="M4492" s="778" t="s">
        <v>431</v>
      </c>
    </row>
    <row r="4493" spans="3:13" ht="17">
      <c r="C4493" s="90"/>
      <c r="D4493" s="559" t="s">
        <v>432</v>
      </c>
      <c r="E4493" s="1307"/>
      <c r="F4493" s="1308"/>
      <c r="G4493" s="1309"/>
      <c r="H4493" s="955" t="s">
        <v>794</v>
      </c>
      <c r="I4493" s="1295" t="s">
        <v>2082</v>
      </c>
      <c r="J4493" s="1295"/>
      <c r="K4493" s="1296"/>
      <c r="L4493" s="920"/>
      <c r="M4493" s="376" t="s">
        <v>1506</v>
      </c>
    </row>
    <row r="4494" spans="3:13" ht="17">
      <c r="C4494" s="90"/>
      <c r="D4494" s="560" t="s">
        <v>433</v>
      </c>
      <c r="E4494" s="1331"/>
      <c r="F4494" s="1332"/>
      <c r="G4494" s="1333"/>
      <c r="H4494" s="955" t="s">
        <v>795</v>
      </c>
      <c r="I4494" s="1297"/>
      <c r="J4494" s="1297"/>
      <c r="K4494" s="1298"/>
      <c r="L4494" s="920"/>
      <c r="M4494" s="377"/>
    </row>
    <row r="4495" spans="3:13" ht="17">
      <c r="C4495" s="90"/>
      <c r="D4495" s="560" t="s">
        <v>434</v>
      </c>
      <c r="E4495" s="1342"/>
      <c r="F4495" s="1343"/>
      <c r="G4495" s="1344"/>
      <c r="H4495" s="956"/>
      <c r="I4495" s="1297"/>
      <c r="J4495" s="1297"/>
      <c r="K4495" s="1298"/>
      <c r="L4495" s="920"/>
      <c r="M4495" s="377"/>
    </row>
    <row r="4496" spans="3:13" ht="18" thickBot="1">
      <c r="C4496" s="90"/>
      <c r="D4496" s="561" t="s">
        <v>435</v>
      </c>
      <c r="E4496" s="1313">
        <v>0.75</v>
      </c>
      <c r="F4496" s="1314"/>
      <c r="G4496" s="1315"/>
      <c r="H4496" s="957"/>
      <c r="I4496" s="1297"/>
      <c r="J4496" s="1297"/>
      <c r="K4496" s="1298"/>
      <c r="L4496" s="378">
        <v>0.97916666666666663</v>
      </c>
      <c r="M4496" s="379">
        <v>0.875</v>
      </c>
    </row>
    <row r="4497" spans="3:13" ht="18" thickBot="1">
      <c r="C4497" s="90"/>
      <c r="D4497" s="562" t="s">
        <v>436</v>
      </c>
      <c r="E4497" s="380" t="s">
        <v>29</v>
      </c>
      <c r="F4497" s="380" t="s">
        <v>28</v>
      </c>
      <c r="G4497" s="381" t="s">
        <v>27</v>
      </c>
      <c r="H4497" s="954" t="s">
        <v>793</v>
      </c>
      <c r="I4497" s="1297"/>
      <c r="J4497" s="1297"/>
      <c r="K4497" s="1298"/>
      <c r="L4497" s="921" t="s">
        <v>1246</v>
      </c>
      <c r="M4497" s="382"/>
    </row>
    <row r="4498" spans="3:13">
      <c r="C4498" s="90"/>
      <c r="D4498" s="774">
        <v>45735</v>
      </c>
      <c r="E4498" s="652"/>
      <c r="F4498" s="652"/>
      <c r="G4498" s="652"/>
      <c r="H4498" s="913">
        <v>0.75</v>
      </c>
      <c r="I4498" s="1297"/>
      <c r="J4498" s="1297"/>
      <c r="K4498" s="1298"/>
      <c r="L4498" s="923">
        <v>0.97916666666666663</v>
      </c>
      <c r="M4498" s="384"/>
    </row>
    <row r="4499" spans="3:13">
      <c r="C4499" s="90"/>
      <c r="D4499" s="779">
        <v>45686</v>
      </c>
      <c r="E4499" s="652"/>
      <c r="F4499" s="652"/>
      <c r="G4499" s="652"/>
      <c r="H4499" s="913">
        <v>0.79166666666666674</v>
      </c>
      <c r="I4499" s="1297"/>
      <c r="J4499" s="1297"/>
      <c r="K4499" s="1298"/>
      <c r="L4499" s="923">
        <v>2.0833333333333332E-2</v>
      </c>
      <c r="M4499" s="385"/>
    </row>
    <row r="4500" spans="3:13">
      <c r="C4500" s="90"/>
      <c r="D4500" s="779">
        <v>45644</v>
      </c>
      <c r="E4500" s="652"/>
      <c r="F4500" s="652"/>
      <c r="G4500" s="652"/>
      <c r="H4500" s="913">
        <v>0.79166666666666674</v>
      </c>
      <c r="I4500" s="1297"/>
      <c r="J4500" s="1297"/>
      <c r="K4500" s="1298"/>
      <c r="L4500" s="923">
        <v>2.0833333333333332E-2</v>
      </c>
      <c r="M4500" s="377"/>
    </row>
    <row r="4501" spans="3:13">
      <c r="C4501" s="90"/>
      <c r="D4501" s="779">
        <v>45603</v>
      </c>
      <c r="E4501" s="652"/>
      <c r="F4501" s="652"/>
      <c r="G4501" s="652"/>
      <c r="H4501" s="913">
        <v>0.79166666666666674</v>
      </c>
      <c r="I4501" s="1297"/>
      <c r="J4501" s="1297"/>
      <c r="K4501" s="1298"/>
      <c r="L4501" s="923">
        <v>2.0833333333333332E-2</v>
      </c>
      <c r="M4501" s="377"/>
    </row>
    <row r="4502" spans="3:13">
      <c r="C4502" s="90"/>
      <c r="D4502" s="774">
        <v>45553</v>
      </c>
      <c r="E4502" s="652"/>
      <c r="F4502" s="652"/>
      <c r="G4502" s="652"/>
      <c r="H4502" s="913">
        <v>0.75</v>
      </c>
      <c r="I4502" s="1297"/>
      <c r="J4502" s="1297"/>
      <c r="K4502" s="1298"/>
      <c r="L4502" s="923">
        <v>0.97916666666666663</v>
      </c>
      <c r="M4502" s="377"/>
    </row>
    <row r="4503" spans="3:13" ht="17" thickBot="1">
      <c r="C4503" s="90"/>
      <c r="D4503" s="774">
        <v>45504</v>
      </c>
      <c r="E4503" s="652"/>
      <c r="F4503" s="652"/>
      <c r="G4503" s="652"/>
      <c r="H4503" s="913">
        <v>0.75</v>
      </c>
      <c r="I4503" s="1299"/>
      <c r="J4503" s="1299"/>
      <c r="K4503" s="1300"/>
      <c r="L4503" s="923">
        <v>0.97916666666666663</v>
      </c>
      <c r="M4503" s="386"/>
    </row>
    <row r="4504" spans="3:13" ht="18" customHeight="1" thickBot="1">
      <c r="C4504" s="90">
        <v>1</v>
      </c>
      <c r="D4504" s="562" t="s">
        <v>30</v>
      </c>
      <c r="E4504" s="1304" t="s">
        <v>1508</v>
      </c>
      <c r="F4504" s="1305"/>
      <c r="G4504" s="1306"/>
      <c r="H4504" s="954" t="s">
        <v>790</v>
      </c>
      <c r="I4504" s="1293" t="s">
        <v>633</v>
      </c>
      <c r="J4504" s="1293"/>
      <c r="K4504" s="1294"/>
      <c r="L4504" s="911" t="s">
        <v>430</v>
      </c>
      <c r="M4504" s="773" t="s">
        <v>431</v>
      </c>
    </row>
    <row r="4505" spans="3:13" ht="17">
      <c r="C4505" s="90"/>
      <c r="D4505" s="559" t="s">
        <v>432</v>
      </c>
      <c r="E4505" s="1307"/>
      <c r="F4505" s="1308"/>
      <c r="G4505" s="1309"/>
      <c r="H4505" s="955" t="s">
        <v>794</v>
      </c>
      <c r="I4505" s="1295" t="s">
        <v>2083</v>
      </c>
      <c r="J4505" s="1295"/>
      <c r="K4505" s="1296"/>
      <c r="L4505" s="920"/>
      <c r="M4505" s="376" t="s">
        <v>1508</v>
      </c>
    </row>
    <row r="4506" spans="3:13" ht="17">
      <c r="C4506" s="90"/>
      <c r="D4506" s="560" t="s">
        <v>433</v>
      </c>
      <c r="E4506" s="1310">
        <v>4.36E-2</v>
      </c>
      <c r="F4506" s="1311"/>
      <c r="G4506" s="1312"/>
      <c r="H4506" s="955" t="s">
        <v>795</v>
      </c>
      <c r="I4506" s="1297"/>
      <c r="J4506" s="1297"/>
      <c r="K4506" s="1298"/>
      <c r="L4506" s="920"/>
      <c r="M4506" s="377"/>
    </row>
    <row r="4507" spans="3:13" ht="17">
      <c r="C4507" s="90"/>
      <c r="D4507" s="560" t="s">
        <v>434</v>
      </c>
      <c r="E4507" s="1310">
        <v>4.4999999999999998E-2</v>
      </c>
      <c r="F4507" s="1311"/>
      <c r="G4507" s="1312"/>
      <c r="H4507" s="956"/>
      <c r="I4507" s="1297"/>
      <c r="J4507" s="1297"/>
      <c r="K4507" s="1298"/>
      <c r="L4507" s="920"/>
      <c r="M4507" s="377"/>
    </row>
    <row r="4508" spans="3:13" ht="18" thickBot="1">
      <c r="C4508" s="90"/>
      <c r="D4508" s="561" t="s">
        <v>435</v>
      </c>
      <c r="E4508" s="1313">
        <v>0.75</v>
      </c>
      <c r="F4508" s="1314"/>
      <c r="G4508" s="1315"/>
      <c r="H4508" s="957"/>
      <c r="I4508" s="1297"/>
      <c r="J4508" s="1297"/>
      <c r="K4508" s="1298"/>
      <c r="L4508" s="378">
        <v>0.97916666666666663</v>
      </c>
      <c r="M4508" s="379">
        <v>0.875</v>
      </c>
    </row>
    <row r="4509" spans="3:13" ht="18" thickBot="1">
      <c r="C4509" s="90"/>
      <c r="D4509" s="562" t="s">
        <v>436</v>
      </c>
      <c r="E4509" s="380" t="s">
        <v>29</v>
      </c>
      <c r="F4509" s="380" t="s">
        <v>28</v>
      </c>
      <c r="G4509" s="381" t="s">
        <v>27</v>
      </c>
      <c r="H4509" s="954" t="s">
        <v>793</v>
      </c>
      <c r="I4509" s="1297"/>
      <c r="J4509" s="1297"/>
      <c r="K4509" s="1298"/>
      <c r="L4509" s="921" t="s">
        <v>1246</v>
      </c>
      <c r="M4509" s="382"/>
    </row>
    <row r="4510" spans="3:13">
      <c r="C4510" s="90"/>
      <c r="D4510" s="774">
        <v>45735</v>
      </c>
      <c r="E4510" s="440">
        <v>4.4999999999999998E-2</v>
      </c>
      <c r="F4510" s="440">
        <v>4.4999999999999998E-2</v>
      </c>
      <c r="G4510" s="440">
        <v>4.4999999999999998E-2</v>
      </c>
      <c r="H4510" s="913">
        <v>0.75</v>
      </c>
      <c r="I4510" s="1297"/>
      <c r="J4510" s="1297"/>
      <c r="K4510" s="1298"/>
      <c r="L4510" s="923">
        <v>0.97916666666666663</v>
      </c>
      <c r="M4510" s="384"/>
    </row>
    <row r="4511" spans="3:13">
      <c r="C4511" s="90"/>
      <c r="D4511" s="774">
        <v>45687</v>
      </c>
      <c r="E4511" s="440">
        <v>4.4999999999999998E-2</v>
      </c>
      <c r="F4511" s="440">
        <v>4.4999999999999998E-2</v>
      </c>
      <c r="G4511" s="440">
        <v>4.4999999999999998E-2</v>
      </c>
      <c r="H4511" s="913">
        <v>0.79166666666666674</v>
      </c>
      <c r="I4511" s="1297"/>
      <c r="J4511" s="1297"/>
      <c r="K4511" s="1298"/>
      <c r="L4511" s="923">
        <v>2.0833333333333332E-2</v>
      </c>
      <c r="M4511" s="385"/>
    </row>
    <row r="4512" spans="3:13">
      <c r="C4512" s="90"/>
      <c r="D4512" s="774">
        <v>45645</v>
      </c>
      <c r="E4512" s="440">
        <v>4.4999999999999998E-2</v>
      </c>
      <c r="F4512" s="440">
        <v>4.4999999999999998E-2</v>
      </c>
      <c r="G4512" s="440">
        <v>4.7500000000000001E-2</v>
      </c>
      <c r="H4512" s="913">
        <v>0.79166666666666674</v>
      </c>
      <c r="I4512" s="1297"/>
      <c r="J4512" s="1297"/>
      <c r="K4512" s="1298"/>
      <c r="L4512" s="923">
        <v>2.0833333333333332E-2</v>
      </c>
      <c r="M4512" s="377"/>
    </row>
    <row r="4513" spans="3:13">
      <c r="C4513" s="90"/>
      <c r="D4513" s="774">
        <v>45604</v>
      </c>
      <c r="E4513" s="440">
        <v>4.7500000000000001E-2</v>
      </c>
      <c r="F4513" s="440">
        <v>4.7500000000000001E-2</v>
      </c>
      <c r="G4513" s="440">
        <v>0.05</v>
      </c>
      <c r="H4513" s="913">
        <v>0.79166666666666674</v>
      </c>
      <c r="I4513" s="1297"/>
      <c r="J4513" s="1297"/>
      <c r="K4513" s="1298"/>
      <c r="L4513" s="923">
        <v>2.0833333333333332E-2</v>
      </c>
      <c r="M4513" s="377"/>
    </row>
    <row r="4514" spans="3:13">
      <c r="C4514" s="90"/>
      <c r="D4514" s="774">
        <v>45553</v>
      </c>
      <c r="E4514" s="440">
        <v>0.05</v>
      </c>
      <c r="F4514" s="440">
        <v>5.2499999999999998E-2</v>
      </c>
      <c r="G4514" s="440">
        <v>5.5E-2</v>
      </c>
      <c r="H4514" s="913">
        <v>0.75</v>
      </c>
      <c r="I4514" s="1297"/>
      <c r="J4514" s="1297"/>
      <c r="K4514" s="1298"/>
      <c r="L4514" s="923">
        <v>0.97916666666666663</v>
      </c>
      <c r="M4514" s="377"/>
    </row>
    <row r="4515" spans="3:13" ht="17" thickBot="1">
      <c r="C4515" s="90"/>
      <c r="D4515" s="774">
        <v>45504</v>
      </c>
      <c r="E4515" s="440">
        <v>5.5E-2</v>
      </c>
      <c r="F4515" s="440">
        <v>5.5E-2</v>
      </c>
      <c r="G4515" s="440">
        <v>5.5E-2</v>
      </c>
      <c r="H4515" s="913">
        <v>0.75</v>
      </c>
      <c r="I4515" s="1299"/>
      <c r="J4515" s="1299"/>
      <c r="K4515" s="1300"/>
      <c r="L4515" s="923">
        <v>0.97916666666666663</v>
      </c>
      <c r="M4515" s="386"/>
    </row>
    <row r="4516" spans="3:13" ht="18" customHeight="1" thickBot="1">
      <c r="C4516" s="90">
        <v>1</v>
      </c>
      <c r="D4516" s="562" t="s">
        <v>30</v>
      </c>
      <c r="E4516" s="1304" t="s">
        <v>1509</v>
      </c>
      <c r="F4516" s="1305"/>
      <c r="G4516" s="1306"/>
      <c r="H4516" s="954" t="s">
        <v>790</v>
      </c>
      <c r="I4516" s="1293" t="s">
        <v>633</v>
      </c>
      <c r="J4516" s="1293"/>
      <c r="K4516" s="1294"/>
      <c r="L4516" s="911" t="s">
        <v>430</v>
      </c>
      <c r="M4516" s="773" t="s">
        <v>431</v>
      </c>
    </row>
    <row r="4517" spans="3:13" ht="17">
      <c r="C4517" s="90"/>
      <c r="D4517" s="559" t="s">
        <v>432</v>
      </c>
      <c r="E4517" s="1307"/>
      <c r="F4517" s="1308"/>
      <c r="G4517" s="1309"/>
      <c r="H4517" s="955" t="s">
        <v>794</v>
      </c>
      <c r="I4517" s="1295" t="s">
        <v>2084</v>
      </c>
      <c r="J4517" s="1295"/>
      <c r="K4517" s="1296"/>
      <c r="L4517" s="920"/>
      <c r="M4517" s="376" t="s">
        <v>1509</v>
      </c>
    </row>
    <row r="4518" spans="3:13" ht="17">
      <c r="C4518" s="90"/>
      <c r="D4518" s="560" t="s">
        <v>433</v>
      </c>
      <c r="E4518" s="1310"/>
      <c r="F4518" s="1311"/>
      <c r="G4518" s="1312"/>
      <c r="H4518" s="955" t="s">
        <v>795</v>
      </c>
      <c r="I4518" s="1297"/>
      <c r="J4518" s="1297"/>
      <c r="K4518" s="1298"/>
      <c r="L4518" s="920"/>
      <c r="M4518" s="377"/>
    </row>
    <row r="4519" spans="3:13" ht="17">
      <c r="C4519" s="90"/>
      <c r="D4519" s="560" t="s">
        <v>434</v>
      </c>
      <c r="E4519" s="1310"/>
      <c r="F4519" s="1311"/>
      <c r="G4519" s="1312"/>
      <c r="H4519" s="956"/>
      <c r="I4519" s="1297"/>
      <c r="J4519" s="1297"/>
      <c r="K4519" s="1298"/>
      <c r="L4519" s="920"/>
      <c r="M4519" s="377"/>
    </row>
    <row r="4520" spans="3:13" ht="18" thickBot="1">
      <c r="C4520" s="90"/>
      <c r="D4520" s="561" t="s">
        <v>435</v>
      </c>
      <c r="E4520" s="1313">
        <v>0.77083333333333337</v>
      </c>
      <c r="F4520" s="1314"/>
      <c r="G4520" s="1315"/>
      <c r="H4520" s="957"/>
      <c r="I4520" s="1297"/>
      <c r="J4520" s="1297"/>
      <c r="K4520" s="1298"/>
      <c r="L4520" s="378">
        <v>0</v>
      </c>
      <c r="M4520" s="379">
        <v>0.89583333333333337</v>
      </c>
    </row>
    <row r="4521" spans="3:13" ht="18" thickBot="1">
      <c r="C4521" s="90"/>
      <c r="D4521" s="562" t="s">
        <v>436</v>
      </c>
      <c r="E4521" s="380" t="s">
        <v>29</v>
      </c>
      <c r="F4521" s="380" t="s">
        <v>28</v>
      </c>
      <c r="G4521" s="381" t="s">
        <v>27</v>
      </c>
      <c r="H4521" s="954" t="s">
        <v>793</v>
      </c>
      <c r="I4521" s="1297"/>
      <c r="J4521" s="1297"/>
      <c r="K4521" s="1298"/>
      <c r="L4521" s="921" t="s">
        <v>1246</v>
      </c>
      <c r="M4521" s="382"/>
    </row>
    <row r="4522" spans="3:13">
      <c r="C4522" s="90"/>
      <c r="D4522" s="779">
        <v>45735</v>
      </c>
      <c r="E4522" s="440"/>
      <c r="F4522" s="440"/>
      <c r="G4522" s="440"/>
      <c r="H4522" s="913">
        <v>0.77083333333333337</v>
      </c>
      <c r="I4522" s="1297"/>
      <c r="J4522" s="1297"/>
      <c r="K4522" s="1298"/>
      <c r="L4522" s="923">
        <v>0</v>
      </c>
      <c r="M4522" s="384"/>
    </row>
    <row r="4523" spans="3:13">
      <c r="C4523" s="90"/>
      <c r="D4523" s="779">
        <v>45686</v>
      </c>
      <c r="E4523" s="440"/>
      <c r="F4523" s="440"/>
      <c r="G4523" s="440"/>
      <c r="H4523" s="913">
        <v>0.8125</v>
      </c>
      <c r="I4523" s="1297"/>
      <c r="J4523" s="1297"/>
      <c r="K4523" s="1298"/>
      <c r="L4523" s="923">
        <v>4.1666666666666664E-2</v>
      </c>
      <c r="M4523" s="385"/>
    </row>
    <row r="4524" spans="3:13">
      <c r="C4524" s="90"/>
      <c r="D4524" s="779">
        <v>45644</v>
      </c>
      <c r="E4524" s="440"/>
      <c r="F4524" s="440"/>
      <c r="G4524" s="440"/>
      <c r="H4524" s="913">
        <v>0.8125</v>
      </c>
      <c r="I4524" s="1297"/>
      <c r="J4524" s="1297"/>
      <c r="K4524" s="1298"/>
      <c r="L4524" s="923">
        <v>4.1666666666666664E-2</v>
      </c>
      <c r="M4524" s="377"/>
    </row>
    <row r="4525" spans="3:13">
      <c r="C4525" s="90"/>
      <c r="D4525" s="779">
        <v>45603</v>
      </c>
      <c r="E4525" s="440"/>
      <c r="F4525" s="440"/>
      <c r="G4525" s="440"/>
      <c r="H4525" s="913">
        <v>0.8125</v>
      </c>
      <c r="I4525" s="1297"/>
      <c r="J4525" s="1297"/>
      <c r="K4525" s="1298"/>
      <c r="L4525" s="923">
        <v>4.1666666666666664E-2</v>
      </c>
      <c r="M4525" s="377"/>
    </row>
    <row r="4526" spans="3:13">
      <c r="C4526" s="90"/>
      <c r="D4526" s="779">
        <v>45553</v>
      </c>
      <c r="E4526" s="440"/>
      <c r="F4526" s="440"/>
      <c r="G4526" s="440"/>
      <c r="H4526" s="913">
        <v>0.77083333333333337</v>
      </c>
      <c r="I4526" s="1297"/>
      <c r="J4526" s="1297"/>
      <c r="K4526" s="1298"/>
      <c r="L4526" s="923">
        <v>0</v>
      </c>
      <c r="M4526" s="377"/>
    </row>
    <row r="4527" spans="3:13" ht="17" thickBot="1">
      <c r="C4527" s="90"/>
      <c r="D4527" s="779">
        <v>45504</v>
      </c>
      <c r="E4527" s="440"/>
      <c r="F4527" s="440"/>
      <c r="G4527" s="440"/>
      <c r="H4527" s="913">
        <v>0.77083333333333337</v>
      </c>
      <c r="I4527" s="1299"/>
      <c r="J4527" s="1299"/>
      <c r="K4527" s="1300"/>
      <c r="L4527" s="923">
        <v>0</v>
      </c>
      <c r="M4527" s="386"/>
    </row>
    <row r="4528" spans="3:13" ht="18" customHeight="1" thickBot="1">
      <c r="C4528" s="90">
        <v>1</v>
      </c>
      <c r="D4528" s="562" t="s">
        <v>30</v>
      </c>
      <c r="E4528" s="1304" t="s">
        <v>2085</v>
      </c>
      <c r="F4528" s="1305"/>
      <c r="G4528" s="1306"/>
      <c r="H4528" s="954" t="s">
        <v>790</v>
      </c>
      <c r="I4528" s="1293" t="s">
        <v>633</v>
      </c>
      <c r="J4528" s="1293"/>
      <c r="K4528" s="1294"/>
      <c r="L4528" s="911" t="s">
        <v>430</v>
      </c>
      <c r="M4528" s="773" t="s">
        <v>431</v>
      </c>
    </row>
    <row r="4529" spans="3:13" ht="17">
      <c r="C4529" s="90"/>
      <c r="D4529" s="559" t="s">
        <v>432</v>
      </c>
      <c r="E4529" s="1307"/>
      <c r="F4529" s="1308"/>
      <c r="G4529" s="1309"/>
      <c r="H4529" s="955" t="s">
        <v>947</v>
      </c>
      <c r="I4529" s="1295" t="s">
        <v>2086</v>
      </c>
      <c r="J4529" s="1295"/>
      <c r="K4529" s="1296"/>
      <c r="L4529" s="920"/>
      <c r="M4529" s="376" t="s">
        <v>2085</v>
      </c>
    </row>
    <row r="4530" spans="3:13" ht="17">
      <c r="C4530" s="90"/>
      <c r="D4530" s="560" t="s">
        <v>433</v>
      </c>
      <c r="E4530" s="1310"/>
      <c r="F4530" s="1311"/>
      <c r="G4530" s="1312"/>
      <c r="H4530" s="955" t="s">
        <v>908</v>
      </c>
      <c r="I4530" s="1297"/>
      <c r="J4530" s="1297"/>
      <c r="K4530" s="1298"/>
      <c r="L4530" s="920"/>
      <c r="M4530" s="377"/>
    </row>
    <row r="4531" spans="3:13" ht="17">
      <c r="C4531" s="90"/>
      <c r="D4531" s="560" t="s">
        <v>434</v>
      </c>
      <c r="E4531" s="1310">
        <v>4.4999999999999998E-2</v>
      </c>
      <c r="F4531" s="1311"/>
      <c r="G4531" s="1312"/>
      <c r="H4531" s="956"/>
      <c r="I4531" s="1297"/>
      <c r="J4531" s="1297"/>
      <c r="K4531" s="1298"/>
      <c r="L4531" s="920"/>
      <c r="M4531" s="377"/>
    </row>
    <row r="4532" spans="3:13" ht="18" thickBot="1">
      <c r="C4532" s="90"/>
      <c r="D4532" s="561" t="s">
        <v>435</v>
      </c>
      <c r="E4532" s="1313">
        <v>0.45833333333333337</v>
      </c>
      <c r="F4532" s="1314"/>
      <c r="G4532" s="1315"/>
      <c r="H4532" s="957"/>
      <c r="I4532" s="1297"/>
      <c r="J4532" s="1297"/>
      <c r="K4532" s="1298"/>
      <c r="L4532" s="378">
        <v>0.6875</v>
      </c>
      <c r="M4532" s="379">
        <v>0.58333333333333337</v>
      </c>
    </row>
    <row r="4533" spans="3:13" ht="18" thickBot="1">
      <c r="C4533" s="90"/>
      <c r="D4533" s="562" t="s">
        <v>436</v>
      </c>
      <c r="E4533" s="380" t="s">
        <v>29</v>
      </c>
      <c r="F4533" s="380" t="s">
        <v>28</v>
      </c>
      <c r="G4533" s="381" t="s">
        <v>27</v>
      </c>
      <c r="H4533" s="954" t="s">
        <v>793</v>
      </c>
      <c r="I4533" s="1297"/>
      <c r="J4533" s="1297"/>
      <c r="K4533" s="1298"/>
      <c r="L4533" s="921" t="s">
        <v>1246</v>
      </c>
      <c r="M4533" s="382"/>
    </row>
    <row r="4534" spans="3:13">
      <c r="C4534" s="90"/>
      <c r="D4534" s="774">
        <v>45736</v>
      </c>
      <c r="E4534" s="440">
        <v>4.4999999999999998E-2</v>
      </c>
      <c r="F4534" s="440">
        <v>4.4999999999999998E-2</v>
      </c>
      <c r="G4534" s="440">
        <v>4.4999999999999998E-2</v>
      </c>
      <c r="H4534" s="913">
        <v>0.5</v>
      </c>
      <c r="I4534" s="1297"/>
      <c r="J4534" s="1297"/>
      <c r="K4534" s="1298"/>
      <c r="L4534" s="923">
        <v>0.72916666666666663</v>
      </c>
      <c r="M4534" s="384"/>
    </row>
    <row r="4535" spans="3:13">
      <c r="C4535" s="90"/>
      <c r="D4535" s="774">
        <v>45694</v>
      </c>
      <c r="E4535" s="440">
        <v>4.4999999999999998E-2</v>
      </c>
      <c r="F4535" s="440">
        <v>4.4999999999999998E-2</v>
      </c>
      <c r="G4535" s="440">
        <v>4.7500000000000001E-2</v>
      </c>
      <c r="H4535" s="913">
        <v>0.5</v>
      </c>
      <c r="I4535" s="1297"/>
      <c r="J4535" s="1297"/>
      <c r="K4535" s="1298"/>
      <c r="L4535" s="923">
        <v>0.72916666666666663</v>
      </c>
      <c r="M4535" s="385"/>
    </row>
    <row r="4536" spans="3:13">
      <c r="C4536" s="90"/>
      <c r="D4536" s="774">
        <v>45645</v>
      </c>
      <c r="E4536" s="440">
        <v>4.7500000000000001E-2</v>
      </c>
      <c r="F4536" s="440">
        <v>4.7500000000000001E-2</v>
      </c>
      <c r="G4536" s="440">
        <v>4.7500000000000001E-2</v>
      </c>
      <c r="H4536" s="913">
        <v>0.5</v>
      </c>
      <c r="I4536" s="1297"/>
      <c r="J4536" s="1297"/>
      <c r="K4536" s="1298"/>
      <c r="L4536" s="923">
        <v>0.72916666666666663</v>
      </c>
      <c r="M4536" s="377"/>
    </row>
    <row r="4537" spans="3:13">
      <c r="C4537" s="90"/>
      <c r="D4537" s="774">
        <v>45603</v>
      </c>
      <c r="E4537" s="440">
        <v>4.7500000000000001E-2</v>
      </c>
      <c r="F4537" s="440">
        <v>4.7500000000000001E-2</v>
      </c>
      <c r="G4537" s="440">
        <v>0.05</v>
      </c>
      <c r="H4537" s="913">
        <v>0.5</v>
      </c>
      <c r="I4537" s="1297"/>
      <c r="J4537" s="1297"/>
      <c r="K4537" s="1298"/>
      <c r="L4537" s="923">
        <v>0.72916666666666663</v>
      </c>
      <c r="M4537" s="377"/>
    </row>
    <row r="4538" spans="3:13">
      <c r="C4538" s="90"/>
      <c r="D4538" s="774">
        <v>45554</v>
      </c>
      <c r="E4538" s="440">
        <v>0.05</v>
      </c>
      <c r="F4538" s="440">
        <v>0.05</v>
      </c>
      <c r="G4538" s="440">
        <v>0.05</v>
      </c>
      <c r="H4538" s="913">
        <v>0.45833333333333337</v>
      </c>
      <c r="I4538" s="1297"/>
      <c r="J4538" s="1297"/>
      <c r="K4538" s="1298"/>
      <c r="L4538" s="923">
        <v>0.6875</v>
      </c>
      <c r="M4538" s="377"/>
    </row>
    <row r="4539" spans="3:13" ht="17" thickBot="1">
      <c r="C4539" s="90"/>
      <c r="D4539" s="774">
        <v>45505</v>
      </c>
      <c r="E4539" s="440">
        <v>0.05</v>
      </c>
      <c r="F4539" s="440">
        <v>0.05</v>
      </c>
      <c r="G4539" s="440">
        <v>5.2499999999999998E-2</v>
      </c>
      <c r="H4539" s="913">
        <v>0.45833333333333337</v>
      </c>
      <c r="I4539" s="1299"/>
      <c r="J4539" s="1299"/>
      <c r="K4539" s="1300"/>
      <c r="L4539" s="923">
        <v>0.6875</v>
      </c>
      <c r="M4539" s="386"/>
    </row>
    <row r="4540" spans="3:13" ht="18" customHeight="1" thickBot="1">
      <c r="C4540" s="90">
        <v>1</v>
      </c>
      <c r="D4540" s="562" t="s">
        <v>30</v>
      </c>
      <c r="E4540" s="1304" t="s">
        <v>1421</v>
      </c>
      <c r="F4540" s="1305"/>
      <c r="G4540" s="1306"/>
      <c r="H4540" s="954" t="s">
        <v>790</v>
      </c>
      <c r="I4540" s="1293" t="s">
        <v>633</v>
      </c>
      <c r="J4540" s="1293"/>
      <c r="K4540" s="1294"/>
      <c r="L4540" s="911" t="s">
        <v>430</v>
      </c>
      <c r="M4540" s="773" t="s">
        <v>431</v>
      </c>
    </row>
    <row r="4541" spans="3:13" ht="17">
      <c r="C4541" s="90"/>
      <c r="D4541" s="559" t="s">
        <v>432</v>
      </c>
      <c r="E4541" s="1307"/>
      <c r="F4541" s="1308"/>
      <c r="G4541" s="1309"/>
      <c r="H4541" s="955" t="s">
        <v>794</v>
      </c>
      <c r="I4541" s="1295" t="s">
        <v>2087</v>
      </c>
      <c r="J4541" s="1295"/>
      <c r="K4541" s="1296"/>
      <c r="L4541" s="920"/>
      <c r="M4541" s="376" t="s">
        <v>1421</v>
      </c>
    </row>
    <row r="4542" spans="3:13" ht="17">
      <c r="C4542" s="90"/>
      <c r="D4542" s="560" t="s">
        <v>433</v>
      </c>
      <c r="E4542" s="1331"/>
      <c r="F4542" s="1332"/>
      <c r="G4542" s="1333"/>
      <c r="H4542" s="955" t="s">
        <v>795</v>
      </c>
      <c r="I4542" s="1297"/>
      <c r="J4542" s="1297"/>
      <c r="K4542" s="1298"/>
      <c r="L4542" s="920"/>
      <c r="M4542" s="377"/>
    </row>
    <row r="4543" spans="3:13" ht="17">
      <c r="C4543" s="90"/>
      <c r="D4543" s="560" t="s">
        <v>434</v>
      </c>
      <c r="E4543" s="1310"/>
      <c r="F4543" s="1311"/>
      <c r="G4543" s="1312"/>
      <c r="H4543" s="956"/>
      <c r="I4543" s="1297"/>
      <c r="J4543" s="1297"/>
      <c r="K4543" s="1298"/>
      <c r="L4543" s="920"/>
      <c r="M4543" s="377"/>
    </row>
    <row r="4544" spans="3:13" ht="18" thickBot="1">
      <c r="C4544" s="90"/>
      <c r="D4544" s="561" t="s">
        <v>435</v>
      </c>
      <c r="E4544" s="1313">
        <v>0.52083333333333337</v>
      </c>
      <c r="F4544" s="1314"/>
      <c r="G4544" s="1315"/>
      <c r="H4544" s="957"/>
      <c r="I4544" s="1297"/>
      <c r="J4544" s="1297"/>
      <c r="K4544" s="1298"/>
      <c r="L4544" s="378">
        <v>0.75</v>
      </c>
      <c r="M4544" s="379">
        <v>0.64583333333333337</v>
      </c>
    </row>
    <row r="4545" spans="3:13" ht="18" thickBot="1">
      <c r="C4545" s="90"/>
      <c r="D4545" s="562" t="s">
        <v>436</v>
      </c>
      <c r="E4545" s="380" t="s">
        <v>29</v>
      </c>
      <c r="F4545" s="380" t="s">
        <v>28</v>
      </c>
      <c r="G4545" s="381" t="s">
        <v>27</v>
      </c>
      <c r="H4545" s="954" t="s">
        <v>793</v>
      </c>
      <c r="I4545" s="1297"/>
      <c r="J4545" s="1297"/>
      <c r="K4545" s="1298"/>
      <c r="L4545" s="921" t="s">
        <v>1246</v>
      </c>
      <c r="M4545" s="382"/>
    </row>
    <row r="4546" spans="3:13" ht="17">
      <c r="C4546" s="90"/>
      <c r="D4546" s="774">
        <v>45771</v>
      </c>
      <c r="E4546" s="440" t="s">
        <v>986</v>
      </c>
      <c r="F4546" s="440" t="s">
        <v>986</v>
      </c>
      <c r="G4546" s="440" t="s">
        <v>975</v>
      </c>
      <c r="H4546" s="913">
        <v>0.52083333333333337</v>
      </c>
      <c r="I4546" s="1297"/>
      <c r="J4546" s="1297"/>
      <c r="K4546" s="1298"/>
      <c r="L4546" s="923">
        <v>0.75</v>
      </c>
      <c r="M4546" s="384"/>
    </row>
    <row r="4547" spans="3:13" ht="17">
      <c r="C4547" s="90"/>
      <c r="D4547" s="774">
        <v>45764</v>
      </c>
      <c r="E4547" s="440" t="s">
        <v>1232</v>
      </c>
      <c r="F4547" s="440" t="s">
        <v>985</v>
      </c>
      <c r="G4547" s="440" t="s">
        <v>1032</v>
      </c>
      <c r="H4547" s="913">
        <v>0.52083333333333337</v>
      </c>
      <c r="I4547" s="1297"/>
      <c r="J4547" s="1297"/>
      <c r="K4547" s="1298"/>
      <c r="L4547" s="923">
        <v>0.75</v>
      </c>
      <c r="M4547" s="385"/>
    </row>
    <row r="4548" spans="3:13" ht="17">
      <c r="C4548" s="90"/>
      <c r="D4548" s="774">
        <v>45757</v>
      </c>
      <c r="E4548" s="440" t="s">
        <v>973</v>
      </c>
      <c r="F4548" s="440" t="s">
        <v>973</v>
      </c>
      <c r="G4548" s="440" t="s">
        <v>987</v>
      </c>
      <c r="H4548" s="913">
        <v>0.52083333333333337</v>
      </c>
      <c r="I4548" s="1297"/>
      <c r="J4548" s="1297"/>
      <c r="K4548" s="1298"/>
      <c r="L4548" s="923">
        <v>0.75</v>
      </c>
      <c r="M4548" s="377"/>
    </row>
    <row r="4549" spans="3:13" ht="17">
      <c r="C4549" s="90"/>
      <c r="D4549" s="774">
        <v>45750</v>
      </c>
      <c r="E4549" s="440" t="s">
        <v>987</v>
      </c>
      <c r="F4549" s="440" t="s">
        <v>985</v>
      </c>
      <c r="G4549" s="440" t="s">
        <v>985</v>
      </c>
      <c r="H4549" s="913">
        <v>0.52083333333333337</v>
      </c>
      <c r="I4549" s="1297"/>
      <c r="J4549" s="1297"/>
      <c r="K4549" s="1298"/>
      <c r="L4549" s="923">
        <v>0.75</v>
      </c>
      <c r="M4549" s="377"/>
    </row>
    <row r="4550" spans="3:13" ht="17">
      <c r="C4550" s="90"/>
      <c r="D4550" s="774">
        <v>45743</v>
      </c>
      <c r="E4550" s="440" t="s">
        <v>1032</v>
      </c>
      <c r="F4550" s="440" t="s">
        <v>985</v>
      </c>
      <c r="G4550" s="440" t="s">
        <v>985</v>
      </c>
      <c r="H4550" s="913">
        <v>0.52083333333333337</v>
      </c>
      <c r="I4550" s="1297"/>
      <c r="J4550" s="1297"/>
      <c r="K4550" s="1298"/>
      <c r="L4550" s="923">
        <v>0.75</v>
      </c>
      <c r="M4550" s="377"/>
    </row>
    <row r="4551" spans="3:13" ht="18" thickBot="1">
      <c r="C4551" s="90"/>
      <c r="D4551" s="774">
        <v>45736</v>
      </c>
      <c r="E4551" s="440" t="s">
        <v>973</v>
      </c>
      <c r="F4551" s="440" t="s">
        <v>1032</v>
      </c>
      <c r="G4551" s="440" t="s">
        <v>972</v>
      </c>
      <c r="H4551" s="913">
        <v>0.52083333333333337</v>
      </c>
      <c r="I4551" s="1299"/>
      <c r="J4551" s="1299"/>
      <c r="K4551" s="1300"/>
      <c r="L4551" s="923">
        <v>0.75</v>
      </c>
      <c r="M4551" s="386"/>
    </row>
    <row r="4552" spans="3:13" ht="18" customHeight="1" thickBot="1">
      <c r="C4552" s="776">
        <v>1</v>
      </c>
      <c r="D4552" s="777" t="s">
        <v>30</v>
      </c>
      <c r="E4552" s="1316" t="s">
        <v>2088</v>
      </c>
      <c r="F4552" s="1317"/>
      <c r="G4552" s="1318"/>
      <c r="H4552" s="954" t="s">
        <v>790</v>
      </c>
      <c r="I4552" s="1293" t="s">
        <v>633</v>
      </c>
      <c r="J4552" s="1293"/>
      <c r="K4552" s="1294"/>
      <c r="L4552" s="911" t="s">
        <v>430</v>
      </c>
      <c r="M4552" s="778" t="s">
        <v>431</v>
      </c>
    </row>
    <row r="4553" spans="3:13" ht="17">
      <c r="C4553" s="776"/>
      <c r="D4553" s="780" t="s">
        <v>432</v>
      </c>
      <c r="E4553" s="1319"/>
      <c r="F4553" s="1320"/>
      <c r="G4553" s="1321"/>
      <c r="H4553" s="955" t="s">
        <v>794</v>
      </c>
      <c r="I4553" s="1295" t="s">
        <v>2089</v>
      </c>
      <c r="J4553" s="1295"/>
      <c r="K4553" s="1296"/>
      <c r="L4553" s="920"/>
      <c r="M4553" s="781" t="s">
        <v>2088</v>
      </c>
    </row>
    <row r="4554" spans="3:13" ht="17">
      <c r="C4554" s="776"/>
      <c r="D4554" s="782" t="s">
        <v>433</v>
      </c>
      <c r="E4554" s="1322"/>
      <c r="F4554" s="1323"/>
      <c r="G4554" s="1324"/>
      <c r="H4554" s="955" t="s">
        <v>795</v>
      </c>
      <c r="I4554" s="1297"/>
      <c r="J4554" s="1297"/>
      <c r="K4554" s="1298"/>
      <c r="L4554" s="920"/>
      <c r="M4554" s="783"/>
    </row>
    <row r="4555" spans="3:13" ht="17">
      <c r="C4555" s="776"/>
      <c r="D4555" s="782" t="s">
        <v>434</v>
      </c>
      <c r="E4555" s="1325">
        <v>4.4350000000000001E-2</v>
      </c>
      <c r="F4555" s="1326"/>
      <c r="G4555" s="1327"/>
      <c r="H4555" s="956"/>
      <c r="I4555" s="1297"/>
      <c r="J4555" s="1297"/>
      <c r="K4555" s="1298"/>
      <c r="L4555" s="920"/>
      <c r="M4555" s="783"/>
    </row>
    <row r="4556" spans="3:13" ht="18" thickBot="1">
      <c r="C4556" s="776"/>
      <c r="D4556" s="784" t="s">
        <v>435</v>
      </c>
      <c r="E4556" s="1328">
        <v>0.70833333333333337</v>
      </c>
      <c r="F4556" s="1329"/>
      <c r="G4556" s="1330"/>
      <c r="H4556" s="957"/>
      <c r="I4556" s="1297"/>
      <c r="J4556" s="1297"/>
      <c r="K4556" s="1298"/>
      <c r="L4556" s="378">
        <v>0.9375</v>
      </c>
      <c r="M4556" s="785">
        <v>0.83333333333333337</v>
      </c>
    </row>
    <row r="4557" spans="3:13" ht="18" thickBot="1">
      <c r="C4557" s="776"/>
      <c r="D4557" s="777" t="s">
        <v>436</v>
      </c>
      <c r="E4557" s="786" t="s">
        <v>29</v>
      </c>
      <c r="F4557" s="786" t="s">
        <v>28</v>
      </c>
      <c r="G4557" s="787" t="s">
        <v>27</v>
      </c>
      <c r="H4557" s="954" t="s">
        <v>793</v>
      </c>
      <c r="I4557" s="1297"/>
      <c r="J4557" s="1297"/>
      <c r="K4557" s="1298"/>
      <c r="L4557" s="921" t="s">
        <v>1246</v>
      </c>
      <c r="M4557" s="788"/>
    </row>
    <row r="4558" spans="3:13">
      <c r="C4558" s="776"/>
      <c r="D4558" s="789">
        <v>45757</v>
      </c>
      <c r="E4558" s="790">
        <v>4.8129999999999999E-2</v>
      </c>
      <c r="F4558" s="790"/>
      <c r="G4558" s="790">
        <v>4.623E-2</v>
      </c>
      <c r="H4558" s="913">
        <v>0.70833333333333337</v>
      </c>
      <c r="I4558" s="1297"/>
      <c r="J4558" s="1297"/>
      <c r="K4558" s="1298"/>
      <c r="L4558" s="923">
        <v>0.9375</v>
      </c>
      <c r="M4558" s="791"/>
    </row>
    <row r="4559" spans="3:13">
      <c r="C4559" s="776"/>
      <c r="D4559" s="789">
        <v>45729</v>
      </c>
      <c r="E4559" s="790">
        <v>4.623E-2</v>
      </c>
      <c r="F4559" s="790"/>
      <c r="G4559" s="790">
        <v>4.7480000000000001E-2</v>
      </c>
      <c r="H4559" s="913">
        <v>0.70833333333333337</v>
      </c>
      <c r="I4559" s="1297"/>
      <c r="J4559" s="1297"/>
      <c r="K4559" s="1298"/>
      <c r="L4559" s="923">
        <v>0.9375</v>
      </c>
      <c r="M4559" s="792"/>
    </row>
    <row r="4560" spans="3:13">
      <c r="C4560" s="776"/>
      <c r="D4560" s="789">
        <v>45701</v>
      </c>
      <c r="E4560" s="790">
        <v>4.7480000000000001E-2</v>
      </c>
      <c r="F4560" s="790"/>
      <c r="G4560" s="790">
        <v>4.913E-2</v>
      </c>
      <c r="H4560" s="913">
        <v>0.75</v>
      </c>
      <c r="I4560" s="1297"/>
      <c r="J4560" s="1297"/>
      <c r="K4560" s="1298"/>
      <c r="L4560" s="923">
        <v>0.97916666666666663</v>
      </c>
      <c r="M4560" s="783"/>
    </row>
    <row r="4561" spans="3:13">
      <c r="C4561" s="776"/>
      <c r="D4561" s="789">
        <v>45665</v>
      </c>
      <c r="E4561" s="790">
        <v>4.913E-2</v>
      </c>
      <c r="F4561" s="790"/>
      <c r="G4561" s="790">
        <v>4.5350000000000001E-2</v>
      </c>
      <c r="H4561" s="913">
        <v>0.75</v>
      </c>
      <c r="I4561" s="1297"/>
      <c r="J4561" s="1297"/>
      <c r="K4561" s="1298"/>
      <c r="L4561" s="923">
        <v>0.97916666666666663</v>
      </c>
      <c r="M4561" s="783"/>
    </row>
    <row r="4562" spans="3:13">
      <c r="C4562" s="776"/>
      <c r="D4562" s="789">
        <v>45638</v>
      </c>
      <c r="E4562" s="790">
        <v>4.5350000000000001E-2</v>
      </c>
      <c r="F4562" s="790"/>
      <c r="G4562" s="790">
        <v>4.6080000000000003E-2</v>
      </c>
      <c r="H4562" s="913">
        <v>0.75</v>
      </c>
      <c r="I4562" s="1297"/>
      <c r="J4562" s="1297"/>
      <c r="K4562" s="1298"/>
      <c r="L4562" s="923">
        <v>0.97916666666666663</v>
      </c>
      <c r="M4562" s="783"/>
    </row>
    <row r="4563" spans="3:13" ht="17" thickBot="1">
      <c r="C4563" s="776"/>
      <c r="D4563" s="789">
        <v>45602</v>
      </c>
      <c r="E4563" s="790">
        <v>4.6080000000000003E-2</v>
      </c>
      <c r="F4563" s="790"/>
      <c r="G4563" s="790">
        <v>4.3889999999999998E-2</v>
      </c>
      <c r="H4563" s="913">
        <v>0.75</v>
      </c>
      <c r="I4563" s="1299"/>
      <c r="J4563" s="1299"/>
      <c r="K4563" s="1300"/>
      <c r="L4563" s="923">
        <v>0.97916666666666663</v>
      </c>
      <c r="M4563" s="793"/>
    </row>
    <row r="4564" spans="3:13" ht="18" customHeight="1" thickBot="1">
      <c r="C4564" s="776">
        <v>1</v>
      </c>
      <c r="D4564" s="777" t="s">
        <v>30</v>
      </c>
      <c r="E4564" s="1316" t="s">
        <v>2091</v>
      </c>
      <c r="F4564" s="1317"/>
      <c r="G4564" s="1318"/>
      <c r="H4564" s="954" t="s">
        <v>790</v>
      </c>
      <c r="I4564" s="1293" t="s">
        <v>633</v>
      </c>
      <c r="J4564" s="1293"/>
      <c r="K4564" s="1294"/>
      <c r="L4564" s="911" t="s">
        <v>430</v>
      </c>
      <c r="M4564" s="778" t="s">
        <v>431</v>
      </c>
    </row>
    <row r="4565" spans="3:13" ht="17">
      <c r="C4565" s="90"/>
      <c r="D4565" s="559" t="s">
        <v>432</v>
      </c>
      <c r="E4565" s="1307"/>
      <c r="F4565" s="1308"/>
      <c r="G4565" s="1309"/>
      <c r="H4565" s="955" t="s">
        <v>906</v>
      </c>
      <c r="I4565" s="1295" t="s">
        <v>2079</v>
      </c>
      <c r="J4565" s="1295"/>
      <c r="K4565" s="1296"/>
      <c r="L4565" s="920"/>
      <c r="M4565" s="376" t="s">
        <v>1900</v>
      </c>
    </row>
    <row r="4566" spans="3:13" ht="17">
      <c r="C4566" s="90"/>
      <c r="D4566" s="560" t="s">
        <v>433</v>
      </c>
      <c r="E4566" s="1331"/>
      <c r="F4566" s="1332"/>
      <c r="G4566" s="1333"/>
      <c r="H4566" s="955" t="s">
        <v>907</v>
      </c>
      <c r="I4566" s="1297"/>
      <c r="J4566" s="1297"/>
      <c r="K4566" s="1298"/>
      <c r="L4566" s="920"/>
      <c r="M4566" s="377"/>
    </row>
    <row r="4567" spans="3:13" ht="17">
      <c r="C4567" s="90"/>
      <c r="D4567" s="560" t="s">
        <v>434</v>
      </c>
      <c r="E4567" s="1342">
        <v>4.4350000000000001E-2</v>
      </c>
      <c r="F4567" s="1343"/>
      <c r="G4567" s="1344"/>
      <c r="H4567" s="956"/>
      <c r="I4567" s="1297"/>
      <c r="J4567" s="1297"/>
      <c r="K4567" s="1298"/>
      <c r="L4567" s="920"/>
      <c r="M4567" s="377"/>
    </row>
    <row r="4568" spans="3:13" ht="18" thickBot="1">
      <c r="C4568" s="90"/>
      <c r="D4568" s="561" t="s">
        <v>435</v>
      </c>
      <c r="E4568" s="1313">
        <v>0.70833333333333337</v>
      </c>
      <c r="F4568" s="1314"/>
      <c r="G4568" s="1315"/>
      <c r="H4568" s="957"/>
      <c r="I4568" s="1297"/>
      <c r="J4568" s="1297"/>
      <c r="K4568" s="1298"/>
      <c r="L4568" s="378">
        <v>0.9375</v>
      </c>
      <c r="M4568" s="379">
        <v>0.83333333333333337</v>
      </c>
    </row>
    <row r="4569" spans="3:13" ht="18" thickBot="1">
      <c r="C4569" s="90"/>
      <c r="D4569" s="562" t="s">
        <v>436</v>
      </c>
      <c r="E4569" s="380" t="s">
        <v>29</v>
      </c>
      <c r="F4569" s="380" t="s">
        <v>28</v>
      </c>
      <c r="G4569" s="381" t="s">
        <v>27</v>
      </c>
      <c r="H4569" s="954" t="s">
        <v>793</v>
      </c>
      <c r="I4569" s="1297"/>
      <c r="J4569" s="1297"/>
      <c r="K4569" s="1298"/>
      <c r="L4569" s="921" t="s">
        <v>1246</v>
      </c>
      <c r="M4569" s="382"/>
    </row>
    <row r="4570" spans="3:13">
      <c r="C4570" s="90"/>
      <c r="D4570" s="774">
        <v>45756</v>
      </c>
      <c r="E4570" s="652">
        <v>4.4350000000000001E-2</v>
      </c>
      <c r="F4570" s="652"/>
      <c r="G4570" s="652">
        <v>4.3099999999999999E-2</v>
      </c>
      <c r="H4570" s="913">
        <v>0.70833333333333337</v>
      </c>
      <c r="I4570" s="1297"/>
      <c r="J4570" s="1297"/>
      <c r="K4570" s="1298"/>
      <c r="L4570" s="923">
        <v>0.9375</v>
      </c>
      <c r="M4570" s="384"/>
    </row>
    <row r="4571" spans="3:13">
      <c r="C4571" s="90"/>
      <c r="D4571" s="774">
        <v>45728</v>
      </c>
      <c r="E4571" s="652">
        <v>4.3099999999999999E-2</v>
      </c>
      <c r="F4571" s="652"/>
      <c r="G4571" s="652">
        <v>4.632E-2</v>
      </c>
      <c r="H4571" s="913">
        <v>0.70833333333333337</v>
      </c>
      <c r="I4571" s="1297"/>
      <c r="J4571" s="1297"/>
      <c r="K4571" s="1298"/>
      <c r="L4571" s="923">
        <v>0.9375</v>
      </c>
      <c r="M4571" s="385"/>
    </row>
    <row r="4572" spans="3:13">
      <c r="C4572" s="90"/>
      <c r="D4572" s="774">
        <v>45700</v>
      </c>
      <c r="E4572" s="652">
        <v>4.632E-2</v>
      </c>
      <c r="F4572" s="652"/>
      <c r="G4572" s="652">
        <v>4.6800000000000001E-2</v>
      </c>
      <c r="H4572" s="913">
        <v>0.75</v>
      </c>
      <c r="I4572" s="1297"/>
      <c r="J4572" s="1297"/>
      <c r="K4572" s="1298"/>
      <c r="L4572" s="923">
        <v>0.97916666666666663</v>
      </c>
      <c r="M4572" s="377"/>
    </row>
    <row r="4573" spans="3:13">
      <c r="C4573" s="90"/>
      <c r="D4573" s="774">
        <v>45664</v>
      </c>
      <c r="E4573" s="652">
        <v>4.6800000000000001E-2</v>
      </c>
      <c r="F4573" s="652"/>
      <c r="G4573" s="652">
        <v>4.2349999999999999E-2</v>
      </c>
      <c r="H4573" s="913">
        <v>0.75</v>
      </c>
      <c r="I4573" s="1297"/>
      <c r="J4573" s="1297"/>
      <c r="K4573" s="1298"/>
      <c r="L4573" s="923">
        <v>0.97916666666666663</v>
      </c>
      <c r="M4573" s="377"/>
    </row>
    <row r="4574" spans="3:13">
      <c r="C4574" s="90"/>
      <c r="D4574" s="774">
        <v>45637</v>
      </c>
      <c r="E4574" s="652">
        <v>4.2349999999999999E-2</v>
      </c>
      <c r="F4574" s="652"/>
      <c r="G4574" s="652">
        <v>4.3470000000000002E-2</v>
      </c>
      <c r="H4574" s="913">
        <v>0.75</v>
      </c>
      <c r="I4574" s="1297"/>
      <c r="J4574" s="1297"/>
      <c r="K4574" s="1298"/>
      <c r="L4574" s="923">
        <v>0.97916666666666663</v>
      </c>
      <c r="M4574" s="377"/>
    </row>
    <row r="4575" spans="3:13" ht="17" thickBot="1">
      <c r="C4575" s="90"/>
      <c r="D4575" s="774">
        <v>45601</v>
      </c>
      <c r="E4575" s="652">
        <v>4.3470000000000002E-2</v>
      </c>
      <c r="F4575" s="652"/>
      <c r="G4575" s="652">
        <v>4.0660000000000002E-2</v>
      </c>
      <c r="H4575" s="913">
        <v>0.75</v>
      </c>
      <c r="I4575" s="1299"/>
      <c r="J4575" s="1299"/>
      <c r="K4575" s="1300"/>
      <c r="L4575" s="923">
        <v>0.97916666666666663</v>
      </c>
      <c r="M4575" s="386"/>
    </row>
    <row r="4576" spans="3:13" ht="18" customHeight="1" thickBot="1">
      <c r="C4576" s="776">
        <v>1</v>
      </c>
      <c r="D4576" s="777" t="s">
        <v>30</v>
      </c>
      <c r="E4576" s="1316" t="s">
        <v>2092</v>
      </c>
      <c r="F4576" s="1317"/>
      <c r="G4576" s="1318"/>
      <c r="H4576" s="954" t="s">
        <v>790</v>
      </c>
      <c r="I4576" s="1293" t="s">
        <v>633</v>
      </c>
      <c r="J4576" s="1293"/>
      <c r="K4576" s="1294"/>
      <c r="L4576" s="911" t="s">
        <v>430</v>
      </c>
      <c r="M4576" s="778" t="s">
        <v>431</v>
      </c>
    </row>
    <row r="4577" spans="3:13" ht="17">
      <c r="C4577" s="90"/>
      <c r="D4577" s="559" t="s">
        <v>432</v>
      </c>
      <c r="E4577" s="1307"/>
      <c r="F4577" s="1308"/>
      <c r="G4577" s="1309"/>
      <c r="H4577" s="955" t="s">
        <v>906</v>
      </c>
      <c r="I4577" s="1295" t="s">
        <v>2082</v>
      </c>
      <c r="J4577" s="1295"/>
      <c r="K4577" s="1296"/>
      <c r="L4577" s="920"/>
      <c r="M4577" s="376" t="s">
        <v>1506</v>
      </c>
    </row>
    <row r="4578" spans="3:13" ht="17">
      <c r="C4578" s="90"/>
      <c r="D4578" s="560" t="s">
        <v>433</v>
      </c>
      <c r="E4578" s="1331"/>
      <c r="F4578" s="1332"/>
      <c r="G4578" s="1333"/>
      <c r="H4578" s="955" t="s">
        <v>907</v>
      </c>
      <c r="I4578" s="1297"/>
      <c r="J4578" s="1297"/>
      <c r="K4578" s="1298"/>
      <c r="L4578" s="920"/>
      <c r="M4578" s="377"/>
    </row>
    <row r="4579" spans="3:13" ht="17">
      <c r="C4579" s="90"/>
      <c r="D4579" s="560" t="s">
        <v>434</v>
      </c>
      <c r="E4579" s="1342"/>
      <c r="F4579" s="1343"/>
      <c r="G4579" s="1344"/>
      <c r="H4579" s="956"/>
      <c r="I4579" s="1297"/>
      <c r="J4579" s="1297"/>
      <c r="K4579" s="1298"/>
      <c r="L4579" s="920"/>
      <c r="M4579" s="377"/>
    </row>
    <row r="4580" spans="3:13" ht="18" thickBot="1">
      <c r="C4580" s="90"/>
      <c r="D4580" s="561" t="s">
        <v>435</v>
      </c>
      <c r="E4580" s="1313">
        <v>0.75</v>
      </c>
      <c r="F4580" s="1314"/>
      <c r="G4580" s="1315"/>
      <c r="H4580" s="957"/>
      <c r="I4580" s="1297"/>
      <c r="J4580" s="1297"/>
      <c r="K4580" s="1298"/>
      <c r="L4580" s="378">
        <v>0.97916666666666663</v>
      </c>
      <c r="M4580" s="379">
        <v>0.875</v>
      </c>
    </row>
    <row r="4581" spans="3:13" ht="18" thickBot="1">
      <c r="C4581" s="90"/>
      <c r="D4581" s="562" t="s">
        <v>436</v>
      </c>
      <c r="E4581" s="380" t="s">
        <v>29</v>
      </c>
      <c r="F4581" s="380" t="s">
        <v>28</v>
      </c>
      <c r="G4581" s="381" t="s">
        <v>27</v>
      </c>
      <c r="H4581" s="954" t="s">
        <v>793</v>
      </c>
      <c r="I4581" s="1297"/>
      <c r="J4581" s="1297"/>
      <c r="K4581" s="1298"/>
      <c r="L4581" s="921" t="s">
        <v>1246</v>
      </c>
      <c r="M4581" s="382"/>
    </row>
    <row r="4582" spans="3:13">
      <c r="C4582" s="90"/>
      <c r="D4582" s="774">
        <v>45735</v>
      </c>
      <c r="E4582" s="652"/>
      <c r="F4582" s="652"/>
      <c r="G4582" s="652"/>
      <c r="H4582" s="913">
        <v>0.75</v>
      </c>
      <c r="I4582" s="1297"/>
      <c r="J4582" s="1297"/>
      <c r="K4582" s="1298"/>
      <c r="L4582" s="923">
        <v>0.97916666666666663</v>
      </c>
      <c r="M4582" s="384"/>
    </row>
    <row r="4583" spans="3:13">
      <c r="C4583" s="90"/>
      <c r="D4583" s="779">
        <v>45686</v>
      </c>
      <c r="E4583" s="652"/>
      <c r="F4583" s="652"/>
      <c r="G4583" s="652"/>
      <c r="H4583" s="913">
        <v>0.79166666666666674</v>
      </c>
      <c r="I4583" s="1297"/>
      <c r="J4583" s="1297"/>
      <c r="K4583" s="1298"/>
      <c r="L4583" s="923">
        <v>2.0833333333333332E-2</v>
      </c>
      <c r="M4583" s="385"/>
    </row>
    <row r="4584" spans="3:13">
      <c r="C4584" s="90"/>
      <c r="D4584" s="779">
        <v>45644</v>
      </c>
      <c r="E4584" s="652"/>
      <c r="F4584" s="652"/>
      <c r="G4584" s="652"/>
      <c r="H4584" s="913">
        <v>0.79166666666666674</v>
      </c>
      <c r="I4584" s="1297"/>
      <c r="J4584" s="1297"/>
      <c r="K4584" s="1298"/>
      <c r="L4584" s="923">
        <v>2.0833333333333332E-2</v>
      </c>
      <c r="M4584" s="377"/>
    </row>
    <row r="4585" spans="3:13">
      <c r="C4585" s="90"/>
      <c r="D4585" s="779">
        <v>45603</v>
      </c>
      <c r="E4585" s="652"/>
      <c r="F4585" s="652"/>
      <c r="G4585" s="652"/>
      <c r="H4585" s="913">
        <v>0.79166666666666674</v>
      </c>
      <c r="I4585" s="1297"/>
      <c r="J4585" s="1297"/>
      <c r="K4585" s="1298"/>
      <c r="L4585" s="923">
        <v>2.0833333333333332E-2</v>
      </c>
      <c r="M4585" s="377"/>
    </row>
    <row r="4586" spans="3:13">
      <c r="C4586" s="90"/>
      <c r="D4586" s="774">
        <v>45553</v>
      </c>
      <c r="E4586" s="652"/>
      <c r="F4586" s="652"/>
      <c r="G4586" s="652"/>
      <c r="H4586" s="913">
        <v>0.75</v>
      </c>
      <c r="I4586" s="1297"/>
      <c r="J4586" s="1297"/>
      <c r="K4586" s="1298"/>
      <c r="L4586" s="923">
        <v>0.97916666666666663</v>
      </c>
      <c r="M4586" s="377"/>
    </row>
    <row r="4587" spans="3:13" ht="17" thickBot="1">
      <c r="C4587" s="90"/>
      <c r="D4587" s="774">
        <v>45504</v>
      </c>
      <c r="E4587" s="652"/>
      <c r="F4587" s="652"/>
      <c r="G4587" s="652"/>
      <c r="H4587" s="913">
        <v>0.75</v>
      </c>
      <c r="I4587" s="1299"/>
      <c r="J4587" s="1299"/>
      <c r="K4587" s="1300"/>
      <c r="L4587" s="923">
        <v>0.97916666666666663</v>
      </c>
      <c r="M4587" s="386"/>
    </row>
    <row r="4588" spans="3:13" ht="18" customHeight="1" thickBot="1">
      <c r="C4588" s="90">
        <v>1</v>
      </c>
      <c r="D4588" s="562" t="s">
        <v>30</v>
      </c>
      <c r="E4588" s="1304" t="s">
        <v>2093</v>
      </c>
      <c r="F4588" s="1305"/>
      <c r="G4588" s="1306"/>
      <c r="H4588" s="954" t="s">
        <v>790</v>
      </c>
      <c r="I4588" s="1293" t="s">
        <v>633</v>
      </c>
      <c r="J4588" s="1293"/>
      <c r="K4588" s="1294"/>
      <c r="L4588" s="911" t="s">
        <v>430</v>
      </c>
      <c r="M4588" s="773" t="s">
        <v>431</v>
      </c>
    </row>
    <row r="4589" spans="3:13" ht="17">
      <c r="C4589" s="90"/>
      <c r="D4589" s="559" t="s">
        <v>432</v>
      </c>
      <c r="E4589" s="1307"/>
      <c r="F4589" s="1308"/>
      <c r="G4589" s="1309"/>
      <c r="H4589" s="919" t="s">
        <v>906</v>
      </c>
      <c r="I4589" s="1295" t="s">
        <v>2084</v>
      </c>
      <c r="J4589" s="1295"/>
      <c r="K4589" s="1296"/>
      <c r="L4589" s="920"/>
      <c r="M4589" s="376" t="s">
        <v>1509</v>
      </c>
    </row>
    <row r="4590" spans="3:13" ht="17">
      <c r="C4590" s="90"/>
      <c r="D4590" s="560" t="s">
        <v>433</v>
      </c>
      <c r="E4590" s="1310"/>
      <c r="F4590" s="1311"/>
      <c r="G4590" s="1312"/>
      <c r="H4590" s="919" t="s">
        <v>907</v>
      </c>
      <c r="I4590" s="1297"/>
      <c r="J4590" s="1297"/>
      <c r="K4590" s="1298"/>
      <c r="L4590" s="920"/>
      <c r="M4590" s="377"/>
    </row>
    <row r="4591" spans="3:13" ht="17">
      <c r="C4591" s="90"/>
      <c r="D4591" s="560" t="s">
        <v>434</v>
      </c>
      <c r="E4591" s="1310"/>
      <c r="F4591" s="1311"/>
      <c r="G4591" s="1312"/>
      <c r="H4591" s="956"/>
      <c r="I4591" s="1297"/>
      <c r="J4591" s="1297"/>
      <c r="K4591" s="1298"/>
      <c r="L4591" s="920"/>
      <c r="M4591" s="377"/>
    </row>
    <row r="4592" spans="3:13" ht="18" thickBot="1">
      <c r="C4592" s="90"/>
      <c r="D4592" s="561" t="s">
        <v>435</v>
      </c>
      <c r="E4592" s="1313">
        <v>0.77083333333333337</v>
      </c>
      <c r="F4592" s="1314"/>
      <c r="G4592" s="1315"/>
      <c r="H4592" s="957"/>
      <c r="I4592" s="1297"/>
      <c r="J4592" s="1297"/>
      <c r="K4592" s="1298"/>
      <c r="L4592" s="378">
        <v>0</v>
      </c>
      <c r="M4592" s="379">
        <v>0.89583333333333337</v>
      </c>
    </row>
    <row r="4593" spans="3:13" ht="18" thickBot="1">
      <c r="C4593" s="90"/>
      <c r="D4593" s="562" t="s">
        <v>436</v>
      </c>
      <c r="E4593" s="380" t="s">
        <v>29</v>
      </c>
      <c r="F4593" s="380" t="s">
        <v>28</v>
      </c>
      <c r="G4593" s="381" t="s">
        <v>27</v>
      </c>
      <c r="H4593" s="954" t="s">
        <v>793</v>
      </c>
      <c r="I4593" s="1297"/>
      <c r="J4593" s="1297"/>
      <c r="K4593" s="1298"/>
      <c r="L4593" s="921" t="s">
        <v>1246</v>
      </c>
      <c r="M4593" s="382"/>
    </row>
    <row r="4594" spans="3:13">
      <c r="C4594" s="90"/>
      <c r="D4594" s="779">
        <v>45735</v>
      </c>
      <c r="E4594" s="440"/>
      <c r="F4594" s="440"/>
      <c r="G4594" s="440"/>
      <c r="H4594" s="913">
        <v>0.77083333333333337</v>
      </c>
      <c r="I4594" s="1297"/>
      <c r="J4594" s="1297"/>
      <c r="K4594" s="1298"/>
      <c r="L4594" s="923">
        <v>0</v>
      </c>
      <c r="M4594" s="384"/>
    </row>
    <row r="4595" spans="3:13">
      <c r="C4595" s="90"/>
      <c r="D4595" s="779">
        <v>45686</v>
      </c>
      <c r="E4595" s="440"/>
      <c r="F4595" s="440"/>
      <c r="G4595" s="440"/>
      <c r="H4595" s="913">
        <v>0.8125</v>
      </c>
      <c r="I4595" s="1297"/>
      <c r="J4595" s="1297"/>
      <c r="K4595" s="1298"/>
      <c r="L4595" s="923">
        <v>4.1666666666666664E-2</v>
      </c>
      <c r="M4595" s="385"/>
    </row>
    <row r="4596" spans="3:13">
      <c r="C4596" s="90"/>
      <c r="D4596" s="779">
        <v>45644</v>
      </c>
      <c r="E4596" s="440"/>
      <c r="F4596" s="440"/>
      <c r="G4596" s="440"/>
      <c r="H4596" s="913">
        <v>0.8125</v>
      </c>
      <c r="I4596" s="1297"/>
      <c r="J4596" s="1297"/>
      <c r="K4596" s="1298"/>
      <c r="L4596" s="923">
        <v>4.1666666666666664E-2</v>
      </c>
      <c r="M4596" s="377"/>
    </row>
    <row r="4597" spans="3:13">
      <c r="C4597" s="90"/>
      <c r="D4597" s="779">
        <v>45603</v>
      </c>
      <c r="E4597" s="440"/>
      <c r="F4597" s="440"/>
      <c r="G4597" s="440"/>
      <c r="H4597" s="913">
        <v>0.8125</v>
      </c>
      <c r="I4597" s="1297"/>
      <c r="J4597" s="1297"/>
      <c r="K4597" s="1298"/>
      <c r="L4597" s="923">
        <v>4.1666666666666664E-2</v>
      </c>
      <c r="M4597" s="377"/>
    </row>
    <row r="4598" spans="3:13">
      <c r="C4598" s="90"/>
      <c r="D4598" s="779">
        <v>45553</v>
      </c>
      <c r="E4598" s="440"/>
      <c r="F4598" s="440"/>
      <c r="G4598" s="440"/>
      <c r="H4598" s="913">
        <v>0.77083333333333337</v>
      </c>
      <c r="I4598" s="1297"/>
      <c r="J4598" s="1297"/>
      <c r="K4598" s="1298"/>
      <c r="L4598" s="923">
        <v>0</v>
      </c>
      <c r="M4598" s="377"/>
    </row>
    <row r="4599" spans="3:13" ht="17" thickBot="1">
      <c r="C4599" s="90"/>
      <c r="D4599" s="779">
        <v>45504</v>
      </c>
      <c r="E4599" s="440"/>
      <c r="F4599" s="440"/>
      <c r="G4599" s="440"/>
      <c r="H4599" s="913">
        <v>0.77083333333333337</v>
      </c>
      <c r="I4599" s="1299"/>
      <c r="J4599" s="1299"/>
      <c r="K4599" s="1300"/>
      <c r="L4599" s="923">
        <v>0</v>
      </c>
      <c r="M4599" s="386"/>
    </row>
    <row r="4600" spans="3:13" ht="18" customHeight="1" thickBot="1">
      <c r="C4600" s="776">
        <v>1</v>
      </c>
      <c r="D4600" s="777" t="s">
        <v>30</v>
      </c>
      <c r="E4600" s="1316" t="s">
        <v>2094</v>
      </c>
      <c r="F4600" s="1317"/>
      <c r="G4600" s="1318"/>
      <c r="H4600" s="954" t="s">
        <v>790</v>
      </c>
      <c r="I4600" s="1293" t="s">
        <v>633</v>
      </c>
      <c r="J4600" s="1293"/>
      <c r="K4600" s="1294"/>
      <c r="L4600" s="911" t="s">
        <v>430</v>
      </c>
      <c r="M4600" s="778" t="s">
        <v>431</v>
      </c>
    </row>
    <row r="4601" spans="3:13" ht="17">
      <c r="C4601" s="776"/>
      <c r="D4601" s="780" t="s">
        <v>432</v>
      </c>
      <c r="E4601" s="1319"/>
      <c r="F4601" s="1320"/>
      <c r="G4601" s="1321"/>
      <c r="H4601" s="919" t="s">
        <v>906</v>
      </c>
      <c r="I4601" s="1295" t="s">
        <v>2089</v>
      </c>
      <c r="J4601" s="1295"/>
      <c r="K4601" s="1296"/>
      <c r="L4601" s="920"/>
      <c r="M4601" s="781" t="s">
        <v>2088</v>
      </c>
    </row>
    <row r="4602" spans="3:13" ht="17">
      <c r="C4602" s="776"/>
      <c r="D4602" s="782" t="s">
        <v>433</v>
      </c>
      <c r="E4602" s="1322"/>
      <c r="F4602" s="1323"/>
      <c r="G4602" s="1324"/>
      <c r="H4602" s="919" t="s">
        <v>907</v>
      </c>
      <c r="I4602" s="1297"/>
      <c r="J4602" s="1297"/>
      <c r="K4602" s="1298"/>
      <c r="L4602" s="920"/>
      <c r="M4602" s="783"/>
    </row>
    <row r="4603" spans="3:13" ht="17">
      <c r="C4603" s="776"/>
      <c r="D4603" s="782" t="s">
        <v>434</v>
      </c>
      <c r="E4603" s="1325">
        <v>4.4350000000000001E-2</v>
      </c>
      <c r="F4603" s="1326"/>
      <c r="G4603" s="1327"/>
      <c r="H4603" s="956"/>
      <c r="I4603" s="1297"/>
      <c r="J4603" s="1297"/>
      <c r="K4603" s="1298"/>
      <c r="L4603" s="920"/>
      <c r="M4603" s="783"/>
    </row>
    <row r="4604" spans="3:13" ht="18" thickBot="1">
      <c r="C4604" s="776"/>
      <c r="D4604" s="784" t="s">
        <v>435</v>
      </c>
      <c r="E4604" s="1328">
        <v>0.70833333333333337</v>
      </c>
      <c r="F4604" s="1329"/>
      <c r="G4604" s="1330"/>
      <c r="H4604" s="957"/>
      <c r="I4604" s="1297"/>
      <c r="J4604" s="1297"/>
      <c r="K4604" s="1298"/>
      <c r="L4604" s="378">
        <v>0.9375</v>
      </c>
      <c r="M4604" s="785">
        <v>0.83333333333333337</v>
      </c>
    </row>
    <row r="4605" spans="3:13" ht="18" thickBot="1">
      <c r="C4605" s="776"/>
      <c r="D4605" s="777" t="s">
        <v>436</v>
      </c>
      <c r="E4605" s="786" t="s">
        <v>29</v>
      </c>
      <c r="F4605" s="786" t="s">
        <v>28</v>
      </c>
      <c r="G4605" s="787" t="s">
        <v>27</v>
      </c>
      <c r="H4605" s="954" t="s">
        <v>793</v>
      </c>
      <c r="I4605" s="1297"/>
      <c r="J4605" s="1297"/>
      <c r="K4605" s="1298"/>
      <c r="L4605" s="921" t="s">
        <v>1246</v>
      </c>
      <c r="M4605" s="788"/>
    </row>
    <row r="4606" spans="3:13">
      <c r="C4606" s="776"/>
      <c r="D4606" s="789">
        <v>45757</v>
      </c>
      <c r="E4606" s="790">
        <v>4.8129999999999999E-2</v>
      </c>
      <c r="F4606" s="790"/>
      <c r="G4606" s="790">
        <v>4.623E-2</v>
      </c>
      <c r="H4606" s="913">
        <v>0.70833333333333337</v>
      </c>
      <c r="I4606" s="1297"/>
      <c r="J4606" s="1297"/>
      <c r="K4606" s="1298"/>
      <c r="L4606" s="923">
        <v>0.9375</v>
      </c>
      <c r="M4606" s="791"/>
    </row>
    <row r="4607" spans="3:13">
      <c r="C4607" s="776"/>
      <c r="D4607" s="789">
        <v>45729</v>
      </c>
      <c r="E4607" s="790">
        <v>4.623E-2</v>
      </c>
      <c r="F4607" s="790"/>
      <c r="G4607" s="790">
        <v>4.7480000000000001E-2</v>
      </c>
      <c r="H4607" s="913">
        <v>0.70833333333333337</v>
      </c>
      <c r="I4607" s="1297"/>
      <c r="J4607" s="1297"/>
      <c r="K4607" s="1298"/>
      <c r="L4607" s="923">
        <v>0.9375</v>
      </c>
      <c r="M4607" s="792"/>
    </row>
    <row r="4608" spans="3:13">
      <c r="C4608" s="776"/>
      <c r="D4608" s="789">
        <v>45701</v>
      </c>
      <c r="E4608" s="790">
        <v>4.7480000000000001E-2</v>
      </c>
      <c r="F4608" s="790"/>
      <c r="G4608" s="790">
        <v>4.913E-2</v>
      </c>
      <c r="H4608" s="913">
        <v>0.75</v>
      </c>
      <c r="I4608" s="1297"/>
      <c r="J4608" s="1297"/>
      <c r="K4608" s="1298"/>
      <c r="L4608" s="923">
        <v>0.97916666666666663</v>
      </c>
      <c r="M4608" s="783"/>
    </row>
    <row r="4609" spans="2:13">
      <c r="C4609" s="776"/>
      <c r="D4609" s="789">
        <v>45665</v>
      </c>
      <c r="E4609" s="790">
        <v>4.913E-2</v>
      </c>
      <c r="F4609" s="790"/>
      <c r="G4609" s="790">
        <v>4.5350000000000001E-2</v>
      </c>
      <c r="H4609" s="913">
        <v>0.75</v>
      </c>
      <c r="I4609" s="1297"/>
      <c r="J4609" s="1297"/>
      <c r="K4609" s="1298"/>
      <c r="L4609" s="923">
        <v>0.97916666666666663</v>
      </c>
      <c r="M4609" s="783"/>
    </row>
    <row r="4610" spans="2:13">
      <c r="C4610" s="776"/>
      <c r="D4610" s="789">
        <v>45638</v>
      </c>
      <c r="E4610" s="790">
        <v>4.5350000000000001E-2</v>
      </c>
      <c r="F4610" s="790"/>
      <c r="G4610" s="790">
        <v>4.6080000000000003E-2</v>
      </c>
      <c r="H4610" s="913">
        <v>0.75</v>
      </c>
      <c r="I4610" s="1297"/>
      <c r="J4610" s="1297"/>
      <c r="K4610" s="1298"/>
      <c r="L4610" s="923">
        <v>0.97916666666666663</v>
      </c>
      <c r="M4610" s="783"/>
    </row>
    <row r="4611" spans="2:13" ht="17" thickBot="1">
      <c r="C4611" s="776"/>
      <c r="D4611" s="789">
        <v>45602</v>
      </c>
      <c r="E4611" s="790">
        <v>4.6080000000000003E-2</v>
      </c>
      <c r="F4611" s="790"/>
      <c r="G4611" s="790">
        <v>4.3889999999999998E-2</v>
      </c>
      <c r="H4611" s="913">
        <v>0.75</v>
      </c>
      <c r="I4611" s="1299"/>
      <c r="J4611" s="1299"/>
      <c r="K4611" s="1300"/>
      <c r="L4611" s="923">
        <v>0.97916666666666663</v>
      </c>
      <c r="M4611" s="793"/>
    </row>
    <row r="4612" spans="2:13" ht="18" thickBot="1">
      <c r="B4612" s="90" t="s">
        <v>105</v>
      </c>
      <c r="C4612" s="90">
        <v>1</v>
      </c>
      <c r="D4612" s="562" t="s">
        <v>30</v>
      </c>
      <c r="E4612" s="1304" t="s">
        <v>2122</v>
      </c>
      <c r="F4612" s="1305"/>
      <c r="G4612" s="1306"/>
      <c r="H4612" s="954" t="s">
        <v>790</v>
      </c>
      <c r="I4612" s="1293" t="s">
        <v>633</v>
      </c>
      <c r="J4612" s="1293"/>
      <c r="K4612" s="1294"/>
      <c r="L4612" s="911" t="s">
        <v>430</v>
      </c>
      <c r="M4612" s="773" t="s">
        <v>431</v>
      </c>
    </row>
    <row r="4613" spans="2:13" ht="17">
      <c r="C4613" s="90"/>
      <c r="D4613" s="559" t="s">
        <v>432</v>
      </c>
      <c r="E4613" s="1563"/>
      <c r="F4613" s="1564"/>
      <c r="G4613" s="1565"/>
      <c r="H4613" s="955" t="s">
        <v>909</v>
      </c>
      <c r="I4613" s="1295" t="s">
        <v>1935</v>
      </c>
      <c r="J4613" s="1295"/>
      <c r="K4613" s="1296"/>
      <c r="L4613" s="920"/>
      <c r="M4613" s="376" t="s">
        <v>2122</v>
      </c>
    </row>
    <row r="4614" spans="2:13" ht="17">
      <c r="C4614" s="90"/>
      <c r="D4614" s="560" t="s">
        <v>433</v>
      </c>
      <c r="E4614" s="1331"/>
      <c r="F4614" s="1584"/>
      <c r="G4614" s="1585"/>
      <c r="H4614" s="955" t="s">
        <v>910</v>
      </c>
      <c r="I4614" s="1297"/>
      <c r="J4614" s="1297"/>
      <c r="K4614" s="1298"/>
      <c r="L4614" s="920"/>
      <c r="M4614" s="377"/>
    </row>
    <row r="4615" spans="2:13" ht="17">
      <c r="C4615" s="90"/>
      <c r="D4615" s="560" t="s">
        <v>434</v>
      </c>
      <c r="E4615" s="1310">
        <v>2.1999999999999999E-2</v>
      </c>
      <c r="F4615" s="1311"/>
      <c r="G4615" s="1312"/>
      <c r="H4615" s="956"/>
      <c r="I4615" s="1297"/>
      <c r="J4615" s="1297"/>
      <c r="K4615" s="1298"/>
      <c r="L4615" s="920"/>
      <c r="M4615" s="377"/>
    </row>
    <row r="4616" spans="2:13" ht="18" thickBot="1">
      <c r="C4616" s="90"/>
      <c r="D4616" s="561" t="s">
        <v>435</v>
      </c>
      <c r="E4616" s="1313">
        <v>0.375</v>
      </c>
      <c r="F4616" s="1314"/>
      <c r="G4616" s="1315"/>
      <c r="H4616" s="957"/>
      <c r="I4616" s="1297"/>
      <c r="J4616" s="1297"/>
      <c r="K4616" s="1298"/>
      <c r="L4616" s="378">
        <v>0.60416666666666663</v>
      </c>
      <c r="M4616" s="379">
        <v>0.49999999999999994</v>
      </c>
    </row>
    <row r="4617" spans="2:13" ht="18" thickBot="1">
      <c r="C4617" s="90"/>
      <c r="D4617" s="562" t="s">
        <v>436</v>
      </c>
      <c r="E4617" s="380" t="s">
        <v>29</v>
      </c>
      <c r="F4617" s="380" t="s">
        <v>28</v>
      </c>
      <c r="G4617" s="381" t="s">
        <v>27</v>
      </c>
      <c r="H4617" s="954" t="s">
        <v>793</v>
      </c>
      <c r="I4617" s="1297"/>
      <c r="J4617" s="1297"/>
      <c r="K4617" s="1298"/>
      <c r="L4617" s="921" t="s">
        <v>1246</v>
      </c>
      <c r="M4617" s="382"/>
    </row>
    <row r="4618" spans="2:13">
      <c r="C4618" s="90"/>
      <c r="D4618" s="774">
        <v>45779</v>
      </c>
      <c r="E4618" s="440">
        <v>2.1999999999999999E-2</v>
      </c>
      <c r="F4618" s="440">
        <v>2.1000000000000001E-2</v>
      </c>
      <c r="G4618" s="440">
        <v>2.1999999999999999E-2</v>
      </c>
      <c r="H4618" s="913">
        <v>0.375</v>
      </c>
      <c r="I4618" s="1297"/>
      <c r="J4618" s="1297"/>
      <c r="K4618" s="1298"/>
      <c r="L4618" s="923">
        <v>0.60416666666666663</v>
      </c>
      <c r="M4618" s="384"/>
    </row>
    <row r="4619" spans="2:13">
      <c r="C4619" s="90"/>
      <c r="D4619" s="774">
        <v>45763</v>
      </c>
      <c r="E4619" s="440">
        <v>2.1999999999999999E-2</v>
      </c>
      <c r="F4619" s="440">
        <v>2.1999999999999999E-2</v>
      </c>
      <c r="G4619" s="440">
        <v>2.3E-2</v>
      </c>
      <c r="H4619" s="913">
        <v>0.375</v>
      </c>
      <c r="I4619" s="1297"/>
      <c r="J4619" s="1297"/>
      <c r="K4619" s="1298"/>
      <c r="L4619" s="923">
        <v>0.60416666666666663</v>
      </c>
      <c r="M4619" s="385"/>
    </row>
    <row r="4620" spans="2:13">
      <c r="C4620" s="90"/>
      <c r="D4620" s="774">
        <v>45748</v>
      </c>
      <c r="E4620" s="440">
        <v>2.1999999999999999E-2</v>
      </c>
      <c r="F4620" s="440">
        <v>2.1999999999999999E-2</v>
      </c>
      <c r="G4620" s="440">
        <v>2.3E-2</v>
      </c>
      <c r="H4620" s="913">
        <v>0.375</v>
      </c>
      <c r="I4620" s="1297"/>
      <c r="J4620" s="1297"/>
      <c r="K4620" s="1298"/>
      <c r="L4620" s="923">
        <v>0.60416666666666663</v>
      </c>
      <c r="M4620" s="377"/>
    </row>
    <row r="4621" spans="2:13">
      <c r="C4621" s="90"/>
      <c r="D4621" s="774">
        <v>45735</v>
      </c>
      <c r="E4621" s="440">
        <v>2.3E-2</v>
      </c>
      <c r="F4621" s="440">
        <v>2.4E-2</v>
      </c>
      <c r="G4621" s="440">
        <v>2.5000000000000001E-2</v>
      </c>
      <c r="H4621" s="913">
        <v>0.41666666666666674</v>
      </c>
      <c r="I4621" s="1297"/>
      <c r="J4621" s="1297"/>
      <c r="K4621" s="1298"/>
      <c r="L4621" s="923">
        <v>0.64583333333333337</v>
      </c>
      <c r="M4621" s="377"/>
    </row>
    <row r="4622" spans="2:13">
      <c r="C4622" s="90"/>
      <c r="D4622" s="774">
        <v>45719</v>
      </c>
      <c r="E4622" s="440">
        <v>2.4E-2</v>
      </c>
      <c r="F4622" s="440">
        <v>2.3E-2</v>
      </c>
      <c r="G4622" s="440">
        <v>2.5000000000000001E-2</v>
      </c>
      <c r="H4622" s="913">
        <v>0.41666666666666674</v>
      </c>
      <c r="I4622" s="1297"/>
      <c r="J4622" s="1297"/>
      <c r="K4622" s="1298"/>
      <c r="L4622" s="923">
        <v>0.64583333333333337</v>
      </c>
      <c r="M4622" s="377"/>
    </row>
    <row r="4623" spans="2:13" ht="17" thickBot="1">
      <c r="C4623" s="90"/>
      <c r="D4623" s="774">
        <v>45712</v>
      </c>
      <c r="E4623" s="440">
        <v>2.5000000000000001E-2</v>
      </c>
      <c r="F4623" s="440">
        <v>2.5000000000000001E-2</v>
      </c>
      <c r="G4623" s="440">
        <v>2.4E-2</v>
      </c>
      <c r="H4623" s="913">
        <v>0.41666666666666674</v>
      </c>
      <c r="I4623" s="1299"/>
      <c r="J4623" s="1299"/>
      <c r="K4623" s="1300"/>
      <c r="L4623" s="923">
        <v>0.64583333333333337</v>
      </c>
      <c r="M4623" s="386"/>
    </row>
    <row r="4624" spans="2:13" ht="18" thickBot="1">
      <c r="C4624" s="90">
        <v>1</v>
      </c>
      <c r="D4624" s="562" t="s">
        <v>30</v>
      </c>
      <c r="E4624" s="1304" t="s">
        <v>2123</v>
      </c>
      <c r="F4624" s="1305"/>
      <c r="G4624" s="1306"/>
      <c r="H4624" s="954" t="s">
        <v>790</v>
      </c>
      <c r="I4624" s="1293" t="s">
        <v>633</v>
      </c>
      <c r="J4624" s="1293"/>
      <c r="K4624" s="1294"/>
      <c r="L4624" s="911" t="s">
        <v>430</v>
      </c>
      <c r="M4624" s="773" t="s">
        <v>431</v>
      </c>
    </row>
    <row r="4625" spans="3:13" ht="17">
      <c r="C4625" s="90"/>
      <c r="D4625" s="559" t="s">
        <v>432</v>
      </c>
      <c r="E4625" s="1563"/>
      <c r="F4625" s="1564"/>
      <c r="G4625" s="1565"/>
      <c r="H4625" s="955" t="s">
        <v>904</v>
      </c>
      <c r="I4625" s="1295" t="s">
        <v>2124</v>
      </c>
      <c r="J4625" s="1295"/>
      <c r="K4625" s="1296"/>
      <c r="L4625" s="920"/>
      <c r="M4625" s="376" t="s">
        <v>2123</v>
      </c>
    </row>
    <row r="4626" spans="3:13" ht="17">
      <c r="C4626" s="90"/>
      <c r="D4626" s="560" t="s">
        <v>433</v>
      </c>
      <c r="E4626" s="1331"/>
      <c r="F4626" s="1584"/>
      <c r="G4626" s="1585"/>
      <c r="H4626" s="955" t="s">
        <v>905</v>
      </c>
      <c r="I4626" s="1297"/>
      <c r="J4626" s="1297"/>
      <c r="K4626" s="1298"/>
      <c r="L4626" s="920"/>
      <c r="M4626" s="377"/>
    </row>
    <row r="4627" spans="3:13" ht="17">
      <c r="C4627" s="90"/>
      <c r="D4627" s="560" t="s">
        <v>434</v>
      </c>
      <c r="E4627" s="1310">
        <v>4.1000000000000002E-2</v>
      </c>
      <c r="F4627" s="1311"/>
      <c r="G4627" s="1312"/>
      <c r="H4627" s="956"/>
      <c r="I4627" s="1297"/>
      <c r="J4627" s="1297"/>
      <c r="K4627" s="1298"/>
      <c r="L4627" s="920"/>
      <c r="M4627" s="377"/>
    </row>
    <row r="4628" spans="3:13" ht="18" thickBot="1">
      <c r="C4628" s="90"/>
      <c r="D4628" s="561" t="s">
        <v>435</v>
      </c>
      <c r="E4628" s="1313">
        <v>0.18750000000000003</v>
      </c>
      <c r="F4628" s="1314"/>
      <c r="G4628" s="1315"/>
      <c r="H4628" s="957"/>
      <c r="I4628" s="1297"/>
      <c r="J4628" s="1297"/>
      <c r="K4628" s="1298"/>
      <c r="L4628" s="378">
        <v>0.41666666666666669</v>
      </c>
      <c r="M4628" s="379">
        <v>0.3125</v>
      </c>
    </row>
    <row r="4629" spans="3:13" ht="18" thickBot="1">
      <c r="C4629" s="90"/>
      <c r="D4629" s="562" t="s">
        <v>436</v>
      </c>
      <c r="E4629" s="380" t="s">
        <v>29</v>
      </c>
      <c r="F4629" s="380" t="s">
        <v>28</v>
      </c>
      <c r="G4629" s="381" t="s">
        <v>27</v>
      </c>
      <c r="H4629" s="954" t="s">
        <v>793</v>
      </c>
      <c r="I4629" s="1297"/>
      <c r="J4629" s="1297"/>
      <c r="K4629" s="1298"/>
      <c r="L4629" s="921" t="s">
        <v>1246</v>
      </c>
      <c r="M4629" s="382"/>
    </row>
    <row r="4630" spans="3:13">
      <c r="C4630" s="90"/>
      <c r="D4630" s="774">
        <v>45748</v>
      </c>
      <c r="E4630" s="440">
        <v>4.1000000000000002E-2</v>
      </c>
      <c r="F4630" s="440">
        <v>4.1000000000000002E-2</v>
      </c>
      <c r="G4630" s="440">
        <v>4.1000000000000002E-2</v>
      </c>
      <c r="H4630" s="913">
        <v>0.14583333333333334</v>
      </c>
      <c r="I4630" s="1297"/>
      <c r="J4630" s="1297"/>
      <c r="K4630" s="1298"/>
      <c r="L4630" s="923">
        <v>0.375</v>
      </c>
      <c r="M4630" s="384"/>
    </row>
    <row r="4631" spans="3:13">
      <c r="C4631" s="90"/>
      <c r="D4631" s="774">
        <v>45706</v>
      </c>
      <c r="E4631" s="440">
        <v>4.1000000000000002E-2</v>
      </c>
      <c r="F4631" s="440">
        <v>4.1000000000000002E-2</v>
      </c>
      <c r="G4631" s="440">
        <v>4.3499999999999997E-2</v>
      </c>
      <c r="H4631" s="913">
        <v>0.14583333333333334</v>
      </c>
      <c r="I4631" s="1297"/>
      <c r="J4631" s="1297"/>
      <c r="K4631" s="1298"/>
      <c r="L4631" s="923">
        <v>0.375</v>
      </c>
      <c r="M4631" s="385"/>
    </row>
    <row r="4632" spans="3:13">
      <c r="C4632" s="90"/>
      <c r="D4632" s="774">
        <v>45636</v>
      </c>
      <c r="E4632" s="440">
        <v>4.3499999999999997E-2</v>
      </c>
      <c r="F4632" s="440">
        <v>4.3499999999999997E-2</v>
      </c>
      <c r="G4632" s="440">
        <v>4.3499999999999997E-2</v>
      </c>
      <c r="H4632" s="913">
        <v>0.14583333333333334</v>
      </c>
      <c r="I4632" s="1297"/>
      <c r="J4632" s="1297"/>
      <c r="K4632" s="1298"/>
      <c r="L4632" s="923">
        <v>0.375</v>
      </c>
      <c r="M4632" s="377"/>
    </row>
    <row r="4633" spans="3:13">
      <c r="C4633" s="90"/>
      <c r="D4633" s="774">
        <v>45601</v>
      </c>
      <c r="E4633" s="440">
        <v>4.3499999999999997E-2</v>
      </c>
      <c r="F4633" s="440">
        <v>4.3499999999999997E-2</v>
      </c>
      <c r="G4633" s="440">
        <v>4.3499999999999997E-2</v>
      </c>
      <c r="H4633" s="913">
        <v>0.14583333333333334</v>
      </c>
      <c r="I4633" s="1297"/>
      <c r="J4633" s="1297"/>
      <c r="K4633" s="1298"/>
      <c r="L4633" s="923">
        <v>0.375</v>
      </c>
      <c r="M4633" s="377"/>
    </row>
    <row r="4634" spans="3:13">
      <c r="C4634" s="90"/>
      <c r="D4634" s="774">
        <v>45559</v>
      </c>
      <c r="E4634" s="440">
        <v>4.3499999999999997E-2</v>
      </c>
      <c r="F4634" s="440">
        <v>4.3499999999999997E-2</v>
      </c>
      <c r="G4634" s="440">
        <v>4.3499999999999997E-2</v>
      </c>
      <c r="H4634" s="913">
        <v>0.18750000000000003</v>
      </c>
      <c r="I4634" s="1297"/>
      <c r="J4634" s="1297"/>
      <c r="K4634" s="1298"/>
      <c r="L4634" s="923">
        <v>0.41666666666666669</v>
      </c>
      <c r="M4634" s="377"/>
    </row>
    <row r="4635" spans="3:13" ht="17" thickBot="1">
      <c r="C4635" s="90"/>
      <c r="D4635" s="774">
        <v>45510</v>
      </c>
      <c r="E4635" s="440">
        <v>4.3499999999999997E-2</v>
      </c>
      <c r="F4635" s="440">
        <v>4.3499999999999997E-2</v>
      </c>
      <c r="G4635" s="440">
        <v>4.3499999999999997E-2</v>
      </c>
      <c r="H4635" s="913">
        <v>0.18750000000000003</v>
      </c>
      <c r="I4635" s="1299"/>
      <c r="J4635" s="1299"/>
      <c r="K4635" s="1300"/>
      <c r="L4635" s="923">
        <v>0.41666666666666669</v>
      </c>
      <c r="M4635" s="386"/>
    </row>
    <row r="4636" spans="3:13" ht="18" thickBot="1">
      <c r="C4636" s="90">
        <v>1</v>
      </c>
      <c r="D4636" s="562" t="s">
        <v>30</v>
      </c>
      <c r="E4636" s="1304" t="s">
        <v>2125</v>
      </c>
      <c r="F4636" s="1305"/>
      <c r="G4636" s="1306"/>
      <c r="H4636" s="954" t="s">
        <v>790</v>
      </c>
      <c r="I4636" s="1293" t="s">
        <v>633</v>
      </c>
      <c r="J4636" s="1293"/>
      <c r="K4636" s="1294"/>
      <c r="L4636" s="911" t="s">
        <v>430</v>
      </c>
      <c r="M4636" s="773" t="s">
        <v>431</v>
      </c>
    </row>
    <row r="4637" spans="3:13" ht="17">
      <c r="C4637" s="90"/>
      <c r="D4637" s="559" t="s">
        <v>432</v>
      </c>
      <c r="E4637" s="1563"/>
      <c r="F4637" s="1564"/>
      <c r="G4637" s="1565"/>
      <c r="H4637" s="955" t="s">
        <v>947</v>
      </c>
      <c r="I4637" s="1295" t="s">
        <v>1672</v>
      </c>
      <c r="J4637" s="1295"/>
      <c r="K4637" s="1296"/>
      <c r="L4637" s="920"/>
      <c r="M4637" s="376" t="s">
        <v>2125</v>
      </c>
    </row>
    <row r="4638" spans="3:13" ht="17">
      <c r="C4638" s="90"/>
      <c r="D4638" s="560" t="s">
        <v>433</v>
      </c>
      <c r="E4638" s="1331"/>
      <c r="F4638" s="1584"/>
      <c r="G4638" s="1585"/>
      <c r="H4638" s="955" t="s">
        <v>908</v>
      </c>
      <c r="I4638" s="1297"/>
      <c r="J4638" s="1297"/>
      <c r="K4638" s="1298"/>
      <c r="L4638" s="920"/>
      <c r="M4638" s="377"/>
    </row>
    <row r="4639" spans="3:13" ht="17">
      <c r="C4639" s="90"/>
      <c r="D4639" s="560" t="s">
        <v>434</v>
      </c>
      <c r="E4639" s="1310">
        <v>2.5999999999999999E-2</v>
      </c>
      <c r="F4639" s="1311"/>
      <c r="G4639" s="1312"/>
      <c r="H4639" s="956"/>
      <c r="I4639" s="1297"/>
      <c r="J4639" s="1297"/>
      <c r="K4639" s="1298"/>
      <c r="L4639" s="920"/>
      <c r="M4639" s="377"/>
    </row>
    <row r="4640" spans="3:13" ht="18" thickBot="1">
      <c r="C4640" s="90"/>
      <c r="D4640" s="561" t="s">
        <v>435</v>
      </c>
      <c r="E4640" s="1313">
        <v>0.25</v>
      </c>
      <c r="F4640" s="1314"/>
      <c r="G4640" s="1315"/>
      <c r="H4640" s="957"/>
      <c r="I4640" s="1297"/>
      <c r="J4640" s="1297"/>
      <c r="K4640" s="1298"/>
      <c r="L4640" s="378">
        <v>0.47916666666666669</v>
      </c>
      <c r="M4640" s="379">
        <v>0.375</v>
      </c>
    </row>
    <row r="4641" spans="3:13" ht="18" thickBot="1">
      <c r="C4641" s="90"/>
      <c r="D4641" s="562" t="s">
        <v>436</v>
      </c>
      <c r="E4641" s="380" t="s">
        <v>29</v>
      </c>
      <c r="F4641" s="380" t="s">
        <v>28</v>
      </c>
      <c r="G4641" s="381" t="s">
        <v>27</v>
      </c>
      <c r="H4641" s="954" t="s">
        <v>793</v>
      </c>
      <c r="I4641" s="1297"/>
      <c r="J4641" s="1297"/>
      <c r="K4641" s="1298"/>
      <c r="L4641" s="921" t="s">
        <v>1246</v>
      </c>
      <c r="M4641" s="382"/>
    </row>
    <row r="4642" spans="3:13">
      <c r="C4642" s="90"/>
      <c r="D4642" s="774">
        <v>45763</v>
      </c>
      <c r="E4642" s="440">
        <v>2.5999999999999999E-2</v>
      </c>
      <c r="F4642" s="440">
        <v>2.7E-2</v>
      </c>
      <c r="G4642" s="440">
        <v>2.8000000000000001E-2</v>
      </c>
      <c r="H4642" s="913">
        <v>0.25</v>
      </c>
      <c r="I4642" s="1297"/>
      <c r="J4642" s="1297"/>
      <c r="K4642" s="1298"/>
      <c r="L4642" s="923">
        <v>0.47916666666666669</v>
      </c>
      <c r="M4642" s="384"/>
    </row>
    <row r="4643" spans="3:13">
      <c r="C4643" s="90"/>
      <c r="D4643" s="774">
        <v>45742</v>
      </c>
      <c r="E4643" s="440">
        <v>2.8000000000000001E-2</v>
      </c>
      <c r="F4643" s="440">
        <v>0.03</v>
      </c>
      <c r="G4643" s="440">
        <v>0.03</v>
      </c>
      <c r="H4643" s="913">
        <v>0.29166666666666674</v>
      </c>
      <c r="I4643" s="1297"/>
      <c r="J4643" s="1297"/>
      <c r="K4643" s="1298"/>
      <c r="L4643" s="923">
        <v>0.52083333333333337</v>
      </c>
      <c r="M4643" s="385"/>
    </row>
    <row r="4644" spans="3:13">
      <c r="C4644" s="90"/>
      <c r="D4644" s="774">
        <v>45707</v>
      </c>
      <c r="E4644" s="440">
        <v>0.03</v>
      </c>
      <c r="F4644" s="440">
        <v>2.8000000000000001E-2</v>
      </c>
      <c r="G4644" s="440">
        <v>2.5000000000000001E-2</v>
      </c>
      <c r="H4644" s="913">
        <v>0.29166666666666674</v>
      </c>
      <c r="I4644" s="1297"/>
      <c r="J4644" s="1297"/>
      <c r="K4644" s="1298"/>
      <c r="L4644" s="923">
        <v>0.52083333333333337</v>
      </c>
      <c r="M4644" s="377"/>
    </row>
    <row r="4645" spans="3:13">
      <c r="C4645" s="90"/>
      <c r="D4645" s="774">
        <v>45672</v>
      </c>
      <c r="E4645" s="440">
        <v>2.5000000000000001E-2</v>
      </c>
      <c r="F4645" s="440">
        <v>2.5999999999999999E-2</v>
      </c>
      <c r="G4645" s="440">
        <v>2.5999999999999999E-2</v>
      </c>
      <c r="H4645" s="913">
        <v>0.29166666666666674</v>
      </c>
      <c r="I4645" s="1297"/>
      <c r="J4645" s="1297"/>
      <c r="K4645" s="1298"/>
      <c r="L4645" s="923">
        <v>0.52083333333333337</v>
      </c>
      <c r="M4645" s="377"/>
    </row>
    <row r="4646" spans="3:13">
      <c r="C4646" s="90"/>
      <c r="D4646" s="774">
        <v>45644</v>
      </c>
      <c r="E4646" s="440">
        <v>2.5999999999999999E-2</v>
      </c>
      <c r="F4646" s="440">
        <v>2.5999999999999999E-2</v>
      </c>
      <c r="G4646" s="440">
        <v>2.3E-2</v>
      </c>
      <c r="H4646" s="913">
        <v>0.29166666666666674</v>
      </c>
      <c r="I4646" s="1297"/>
      <c r="J4646" s="1297"/>
      <c r="K4646" s="1298"/>
      <c r="L4646" s="923">
        <v>0.52083333333333337</v>
      </c>
      <c r="M4646" s="377"/>
    </row>
    <row r="4647" spans="3:13" ht="17" thickBot="1">
      <c r="C4647" s="90"/>
      <c r="D4647" s="774">
        <v>45616</v>
      </c>
      <c r="E4647" s="440">
        <v>2.3E-2</v>
      </c>
      <c r="F4647" s="440">
        <v>2.1999999999999999E-2</v>
      </c>
      <c r="G4647" s="440">
        <v>1.7000000000000001E-2</v>
      </c>
      <c r="H4647" s="913">
        <v>0.29166666666666674</v>
      </c>
      <c r="I4647" s="1299"/>
      <c r="J4647" s="1299"/>
      <c r="K4647" s="1300"/>
      <c r="L4647" s="923">
        <v>0.52083333333333337</v>
      </c>
      <c r="M4647" s="386"/>
    </row>
    <row r="4648" spans="3:13" ht="18" thickBot="1">
      <c r="C4648" s="90">
        <v>1</v>
      </c>
      <c r="D4648" s="562" t="s">
        <v>30</v>
      </c>
      <c r="E4648" s="1304" t="s">
        <v>1503</v>
      </c>
      <c r="F4648" s="1305"/>
      <c r="G4648" s="1306"/>
      <c r="H4648" s="954" t="s">
        <v>790</v>
      </c>
      <c r="I4648" s="1293" t="s">
        <v>633</v>
      </c>
      <c r="J4648" s="1293"/>
      <c r="K4648" s="1294"/>
      <c r="L4648" s="911" t="s">
        <v>430</v>
      </c>
      <c r="M4648" s="773" t="s">
        <v>431</v>
      </c>
    </row>
    <row r="4649" spans="3:13" ht="17">
      <c r="C4649" s="90"/>
      <c r="D4649" s="559" t="s">
        <v>432</v>
      </c>
      <c r="E4649" s="1563"/>
      <c r="F4649" s="1564"/>
      <c r="G4649" s="1565"/>
      <c r="H4649" s="955" t="s">
        <v>796</v>
      </c>
      <c r="I4649" s="1295" t="s">
        <v>1678</v>
      </c>
      <c r="J4649" s="1295"/>
      <c r="K4649" s="1296"/>
      <c r="L4649" s="920"/>
      <c r="M4649" s="376" t="s">
        <v>1503</v>
      </c>
    </row>
    <row r="4650" spans="3:13" ht="17">
      <c r="C4650" s="90"/>
      <c r="D4650" s="560" t="s">
        <v>433</v>
      </c>
      <c r="E4650" s="1331"/>
      <c r="F4650" s="1584"/>
      <c r="G4650" s="1585"/>
      <c r="H4650" s="955" t="s">
        <v>796</v>
      </c>
      <c r="I4650" s="1297"/>
      <c r="J4650" s="1297"/>
      <c r="K4650" s="1298"/>
      <c r="L4650" s="920"/>
      <c r="M4650" s="377"/>
    </row>
    <row r="4651" spans="3:13" ht="17">
      <c r="C4651" s="90"/>
      <c r="D4651" s="560" t="s">
        <v>434</v>
      </c>
      <c r="E4651" s="1310" t="s">
        <v>2126</v>
      </c>
      <c r="F4651" s="1311"/>
      <c r="G4651" s="1312"/>
      <c r="H4651" s="956"/>
      <c r="I4651" s="1297"/>
      <c r="J4651" s="1297"/>
      <c r="K4651" s="1298"/>
      <c r="L4651" s="920"/>
      <c r="M4651" s="377"/>
    </row>
    <row r="4652" spans="3:13" ht="18" thickBot="1">
      <c r="C4652" s="90"/>
      <c r="D4652" s="561" t="s">
        <v>435</v>
      </c>
      <c r="E4652" s="1313">
        <v>0.60416666666666674</v>
      </c>
      <c r="F4652" s="1314"/>
      <c r="G4652" s="1315"/>
      <c r="H4652" s="957"/>
      <c r="I4652" s="1297"/>
      <c r="J4652" s="1297"/>
      <c r="K4652" s="1298"/>
      <c r="L4652" s="378">
        <v>0.83333333333333337</v>
      </c>
      <c r="M4652" s="379">
        <v>0.72916666666666674</v>
      </c>
    </row>
    <row r="4653" spans="3:13" ht="18" thickBot="1">
      <c r="C4653" s="90"/>
      <c r="D4653" s="562" t="s">
        <v>436</v>
      </c>
      <c r="E4653" s="380" t="s">
        <v>29</v>
      </c>
      <c r="F4653" s="380" t="s">
        <v>28</v>
      </c>
      <c r="G4653" s="381" t="s">
        <v>27</v>
      </c>
      <c r="H4653" s="954" t="s">
        <v>793</v>
      </c>
      <c r="I4653" s="1297"/>
      <c r="J4653" s="1297"/>
      <c r="K4653" s="1298"/>
      <c r="L4653" s="921" t="s">
        <v>1246</v>
      </c>
      <c r="M4653" s="382"/>
    </row>
    <row r="4654" spans="3:13" ht="17">
      <c r="C4654" s="90"/>
      <c r="D4654" s="774">
        <v>45791</v>
      </c>
      <c r="E4654" s="440" t="s">
        <v>2127</v>
      </c>
      <c r="F4654" s="440" t="s">
        <v>2128</v>
      </c>
      <c r="G4654" s="440" t="s">
        <v>2129</v>
      </c>
      <c r="H4654" s="913">
        <v>0.72916666666666674</v>
      </c>
      <c r="I4654" s="1297"/>
      <c r="J4654" s="1297"/>
      <c r="K4654" s="1298"/>
      <c r="L4654" s="923">
        <v>0.83333333333333337</v>
      </c>
      <c r="M4654" s="384"/>
    </row>
    <row r="4655" spans="3:13" ht="17">
      <c r="C4655" s="90"/>
      <c r="D4655" s="774">
        <v>45784</v>
      </c>
      <c r="E4655" s="440" t="s">
        <v>2129</v>
      </c>
      <c r="F4655" s="440" t="s">
        <v>2130</v>
      </c>
      <c r="G4655" s="440" t="s">
        <v>2131</v>
      </c>
      <c r="H4655" s="913">
        <v>0.72916666666666674</v>
      </c>
      <c r="I4655" s="1297"/>
      <c r="J4655" s="1297"/>
      <c r="K4655" s="1298"/>
      <c r="L4655" s="923">
        <v>0.83333333333333337</v>
      </c>
      <c r="M4655" s="385"/>
    </row>
    <row r="4656" spans="3:13" ht="17">
      <c r="C4656" s="90"/>
      <c r="D4656" s="774">
        <v>45777</v>
      </c>
      <c r="E4656" s="440" t="s">
        <v>2131</v>
      </c>
      <c r="F4656" s="440" t="s">
        <v>2099</v>
      </c>
      <c r="G4656" s="440" t="s">
        <v>2064</v>
      </c>
      <c r="H4656" s="913">
        <v>0.72916666666666674</v>
      </c>
      <c r="I4656" s="1297"/>
      <c r="J4656" s="1297"/>
      <c r="K4656" s="1298"/>
      <c r="L4656" s="923">
        <v>0.83333333333333337</v>
      </c>
      <c r="M4656" s="377"/>
    </row>
    <row r="4657" spans="3:13" ht="17">
      <c r="C4657" s="90"/>
      <c r="D4657" s="774">
        <v>45770</v>
      </c>
      <c r="E4657" s="440" t="s">
        <v>2064</v>
      </c>
      <c r="F4657" s="440" t="s">
        <v>2065</v>
      </c>
      <c r="G4657" s="440" t="s">
        <v>2003</v>
      </c>
      <c r="H4657" s="913">
        <v>0.72916666666666674</v>
      </c>
      <c r="I4657" s="1297"/>
      <c r="J4657" s="1297"/>
      <c r="K4657" s="1298"/>
      <c r="L4657" s="923">
        <v>0.83333333333333337</v>
      </c>
      <c r="M4657" s="377"/>
    </row>
    <row r="4658" spans="3:13" ht="17">
      <c r="C4658" s="90"/>
      <c r="D4658" s="774">
        <v>45763</v>
      </c>
      <c r="E4658" s="440" t="s">
        <v>2003</v>
      </c>
      <c r="F4658" s="440" t="s">
        <v>1030</v>
      </c>
      <c r="G4658" s="440" t="s">
        <v>1957</v>
      </c>
      <c r="H4658" s="913">
        <v>0.72916666666666674</v>
      </c>
      <c r="I4658" s="1297"/>
      <c r="J4658" s="1297"/>
      <c r="K4658" s="1298"/>
      <c r="L4658" s="923">
        <v>0.83333333333333337</v>
      </c>
      <c r="M4658" s="377"/>
    </row>
    <row r="4659" spans="3:13" ht="18" thickBot="1">
      <c r="C4659" s="90"/>
      <c r="D4659" s="774">
        <v>45756</v>
      </c>
      <c r="E4659" s="440" t="s">
        <v>1957</v>
      </c>
      <c r="F4659" s="440" t="s">
        <v>1602</v>
      </c>
      <c r="G4659" s="440" t="s">
        <v>1899</v>
      </c>
      <c r="H4659" s="913">
        <v>0.72916666666666674</v>
      </c>
      <c r="I4659" s="1299"/>
      <c r="J4659" s="1299"/>
      <c r="K4659" s="1300"/>
      <c r="L4659" s="923">
        <v>0.83333333333333337</v>
      </c>
      <c r="M4659" s="386"/>
    </row>
    <row r="4660" spans="3:13" ht="18" thickBot="1">
      <c r="C4660" s="90">
        <v>1</v>
      </c>
      <c r="D4660" s="562" t="s">
        <v>30</v>
      </c>
      <c r="E4660" s="1304" t="s">
        <v>1421</v>
      </c>
      <c r="F4660" s="1305"/>
      <c r="G4660" s="1306"/>
      <c r="H4660" s="954" t="s">
        <v>790</v>
      </c>
      <c r="I4660" s="1293" t="s">
        <v>633</v>
      </c>
      <c r="J4660" s="1293"/>
      <c r="K4660" s="1294"/>
      <c r="L4660" s="911" t="s">
        <v>430</v>
      </c>
      <c r="M4660" s="773" t="s">
        <v>431</v>
      </c>
    </row>
    <row r="4661" spans="3:13" ht="17">
      <c r="C4661" s="90"/>
      <c r="D4661" s="559" t="s">
        <v>432</v>
      </c>
      <c r="E4661" s="1563"/>
      <c r="F4661" s="1564"/>
      <c r="G4661" s="1565"/>
      <c r="H4661" s="955" t="s">
        <v>794</v>
      </c>
      <c r="I4661" s="1295" t="s">
        <v>1460</v>
      </c>
      <c r="J4661" s="1295"/>
      <c r="K4661" s="1296"/>
      <c r="L4661" s="920"/>
      <c r="M4661" s="376" t="s">
        <v>1421</v>
      </c>
    </row>
    <row r="4662" spans="3:13" ht="17">
      <c r="C4662" s="90"/>
      <c r="D4662" s="560" t="s">
        <v>433</v>
      </c>
      <c r="E4662" s="1331"/>
      <c r="F4662" s="1584"/>
      <c r="G4662" s="1585"/>
      <c r="H4662" s="955" t="s">
        <v>795</v>
      </c>
      <c r="I4662" s="1297"/>
      <c r="J4662" s="1297"/>
      <c r="K4662" s="1298"/>
      <c r="L4662" s="920"/>
      <c r="M4662" s="377"/>
    </row>
    <row r="4663" spans="3:13" ht="17">
      <c r="C4663" s="90"/>
      <c r="D4663" s="560" t="s">
        <v>434</v>
      </c>
      <c r="E4663" s="1310"/>
      <c r="F4663" s="1311"/>
      <c r="G4663" s="1312"/>
      <c r="H4663" s="956"/>
      <c r="I4663" s="1297"/>
      <c r="J4663" s="1297"/>
      <c r="K4663" s="1298"/>
      <c r="L4663" s="920"/>
      <c r="M4663" s="377"/>
    </row>
    <row r="4664" spans="3:13" ht="18" thickBot="1">
      <c r="C4664" s="90"/>
      <c r="D4664" s="561" t="s">
        <v>435</v>
      </c>
      <c r="E4664" s="1313">
        <v>0.52083333333333337</v>
      </c>
      <c r="F4664" s="1314"/>
      <c r="G4664" s="1315"/>
      <c r="H4664" s="957"/>
      <c r="I4664" s="1297"/>
      <c r="J4664" s="1297"/>
      <c r="K4664" s="1298"/>
      <c r="L4664" s="378">
        <v>0.75</v>
      </c>
      <c r="M4664" s="379">
        <v>0.64583333333333337</v>
      </c>
    </row>
    <row r="4665" spans="3:13" ht="18" thickBot="1">
      <c r="C4665" s="90"/>
      <c r="D4665" s="562" t="s">
        <v>436</v>
      </c>
      <c r="E4665" s="380" t="s">
        <v>29</v>
      </c>
      <c r="F4665" s="380" t="s">
        <v>28</v>
      </c>
      <c r="G4665" s="381" t="s">
        <v>27</v>
      </c>
      <c r="H4665" s="954" t="s">
        <v>793</v>
      </c>
      <c r="I4665" s="1297"/>
      <c r="J4665" s="1297"/>
      <c r="K4665" s="1298"/>
      <c r="L4665" s="921" t="s">
        <v>1246</v>
      </c>
      <c r="M4665" s="382"/>
    </row>
    <row r="4666" spans="3:13" ht="17">
      <c r="C4666" s="90"/>
      <c r="D4666" s="774">
        <v>45792</v>
      </c>
      <c r="E4666" s="440"/>
      <c r="F4666" s="440" t="s">
        <v>976</v>
      </c>
      <c r="G4666" s="440" t="s">
        <v>977</v>
      </c>
      <c r="H4666" s="913">
        <v>0.52083333333333337</v>
      </c>
      <c r="I4666" s="1297"/>
      <c r="J4666" s="1297"/>
      <c r="K4666" s="1298"/>
      <c r="L4666" s="923">
        <v>0.75</v>
      </c>
      <c r="M4666" s="384"/>
    </row>
    <row r="4667" spans="3:13" ht="17">
      <c r="C4667" s="90"/>
      <c r="D4667" s="774">
        <v>45785</v>
      </c>
      <c r="E4667" s="440" t="s">
        <v>977</v>
      </c>
      <c r="F4667" s="440" t="s">
        <v>984</v>
      </c>
      <c r="G4667" s="440" t="s">
        <v>981</v>
      </c>
      <c r="H4667" s="913">
        <v>0.52083333333333337</v>
      </c>
      <c r="I4667" s="1297"/>
      <c r="J4667" s="1297"/>
      <c r="K4667" s="1298"/>
      <c r="L4667" s="923">
        <v>0.75</v>
      </c>
      <c r="M4667" s="385"/>
    </row>
    <row r="4668" spans="3:13" ht="17">
      <c r="C4668" s="90"/>
      <c r="D4668" s="774">
        <v>45778</v>
      </c>
      <c r="E4668" s="440" t="s">
        <v>981</v>
      </c>
      <c r="F4668" s="440" t="s">
        <v>1032</v>
      </c>
      <c r="G4668" s="440" t="s">
        <v>973</v>
      </c>
      <c r="H4668" s="913">
        <v>0.52083333333333337</v>
      </c>
      <c r="I4668" s="1297"/>
      <c r="J4668" s="1297"/>
      <c r="K4668" s="1298"/>
      <c r="L4668" s="923">
        <v>0.75</v>
      </c>
      <c r="M4668" s="377"/>
    </row>
    <row r="4669" spans="3:13" ht="17">
      <c r="C4669" s="90"/>
      <c r="D4669" s="774">
        <v>45771</v>
      </c>
      <c r="E4669" s="440" t="s">
        <v>986</v>
      </c>
      <c r="F4669" s="440" t="s">
        <v>986</v>
      </c>
      <c r="G4669" s="440" t="s">
        <v>975</v>
      </c>
      <c r="H4669" s="913">
        <v>0.52083333333333337</v>
      </c>
      <c r="I4669" s="1297"/>
      <c r="J4669" s="1297"/>
      <c r="K4669" s="1298"/>
      <c r="L4669" s="923">
        <v>0.75</v>
      </c>
      <c r="M4669" s="377"/>
    </row>
    <row r="4670" spans="3:13" ht="17">
      <c r="C4670" s="90"/>
      <c r="D4670" s="774">
        <v>45764</v>
      </c>
      <c r="E4670" s="440" t="s">
        <v>1232</v>
      </c>
      <c r="F4670" s="440" t="s">
        <v>985</v>
      </c>
      <c r="G4670" s="440" t="s">
        <v>1032</v>
      </c>
      <c r="H4670" s="913">
        <v>0.52083333333333337</v>
      </c>
      <c r="I4670" s="1297"/>
      <c r="J4670" s="1297"/>
      <c r="K4670" s="1298"/>
      <c r="L4670" s="923">
        <v>0.75</v>
      </c>
      <c r="M4670" s="377"/>
    </row>
    <row r="4671" spans="3:13" ht="18" thickBot="1">
      <c r="C4671" s="90"/>
      <c r="D4671" s="774">
        <v>45757</v>
      </c>
      <c r="E4671" s="440" t="s">
        <v>973</v>
      </c>
      <c r="F4671" s="440" t="s">
        <v>973</v>
      </c>
      <c r="G4671" s="440" t="s">
        <v>987</v>
      </c>
      <c r="H4671" s="913">
        <v>0.52083333333333337</v>
      </c>
      <c r="I4671" s="1299"/>
      <c r="J4671" s="1299"/>
      <c r="K4671" s="1300"/>
      <c r="L4671" s="923">
        <v>0.75</v>
      </c>
      <c r="M4671" s="386"/>
    </row>
    <row r="4672" spans="3:13" ht="18" thickBot="1">
      <c r="C4672" s="90">
        <v>1</v>
      </c>
      <c r="D4672" s="562" t="s">
        <v>30</v>
      </c>
      <c r="E4672" s="1304" t="s">
        <v>2132</v>
      </c>
      <c r="F4672" s="1305"/>
      <c r="G4672" s="1306"/>
      <c r="H4672" s="954" t="s">
        <v>790</v>
      </c>
      <c r="I4672" s="1293" t="s">
        <v>633</v>
      </c>
      <c r="J4672" s="1293"/>
      <c r="K4672" s="1294"/>
      <c r="L4672" s="911" t="s">
        <v>430</v>
      </c>
      <c r="M4672" s="773" t="s">
        <v>431</v>
      </c>
    </row>
    <row r="4673" spans="3:13" ht="17">
      <c r="C4673" s="90"/>
      <c r="D4673" s="559" t="s">
        <v>432</v>
      </c>
      <c r="E4673" s="1563"/>
      <c r="F4673" s="1564"/>
      <c r="G4673" s="1565"/>
      <c r="H4673" s="955" t="s">
        <v>794</v>
      </c>
      <c r="I4673" s="1295" t="s">
        <v>2133</v>
      </c>
      <c r="J4673" s="1295"/>
      <c r="K4673" s="1296"/>
      <c r="L4673" s="920"/>
      <c r="M4673" s="376" t="s">
        <v>2132</v>
      </c>
    </row>
    <row r="4674" spans="3:13" ht="17">
      <c r="C4674" s="90"/>
      <c r="D4674" s="560" t="s">
        <v>433</v>
      </c>
      <c r="E4674" s="1331"/>
      <c r="F4674" s="1584"/>
      <c r="G4674" s="1585"/>
      <c r="H4674" s="955" t="s">
        <v>795</v>
      </c>
      <c r="I4674" s="1297"/>
      <c r="J4674" s="1297"/>
      <c r="K4674" s="1298"/>
      <c r="L4674" s="920"/>
      <c r="M4674" s="377"/>
    </row>
    <row r="4675" spans="3:13" ht="18" thickBot="1">
      <c r="C4675" s="90"/>
      <c r="D4675" s="560" t="s">
        <v>434</v>
      </c>
      <c r="E4675" s="1586">
        <v>50.2</v>
      </c>
      <c r="F4675" s="1587"/>
      <c r="G4675" s="1588"/>
      <c r="H4675" s="956"/>
      <c r="I4675" s="1297"/>
      <c r="J4675" s="1297"/>
      <c r="K4675" s="1298"/>
      <c r="L4675" s="920"/>
      <c r="M4675" s="377"/>
    </row>
    <row r="4676" spans="3:13" ht="18" thickBot="1">
      <c r="C4676" s="90"/>
      <c r="D4676" s="561" t="s">
        <v>435</v>
      </c>
      <c r="E4676" s="1313">
        <v>0.57291666666666674</v>
      </c>
      <c r="F4676" s="1314"/>
      <c r="G4676" s="1315"/>
      <c r="H4676" s="957"/>
      <c r="I4676" s="1297"/>
      <c r="J4676" s="1297"/>
      <c r="K4676" s="1298"/>
      <c r="L4676" s="378">
        <v>0.80208333333333337</v>
      </c>
      <c r="M4676" s="379">
        <v>0.69791666666666674</v>
      </c>
    </row>
    <row r="4677" spans="3:13" ht="18" thickBot="1">
      <c r="C4677" s="90"/>
      <c r="D4677" s="562" t="s">
        <v>436</v>
      </c>
      <c r="E4677" s="380" t="s">
        <v>29</v>
      </c>
      <c r="F4677" s="380" t="s">
        <v>28</v>
      </c>
      <c r="G4677" s="381" t="s">
        <v>27</v>
      </c>
      <c r="H4677" s="954" t="s">
        <v>793</v>
      </c>
      <c r="I4677" s="1297"/>
      <c r="J4677" s="1297"/>
      <c r="K4677" s="1298"/>
      <c r="L4677" s="921" t="s">
        <v>1246</v>
      </c>
      <c r="M4677" s="382"/>
    </row>
    <row r="4678" spans="3:13">
      <c r="C4678" s="90"/>
      <c r="D4678" s="774">
        <v>45778</v>
      </c>
      <c r="E4678" s="429"/>
      <c r="F4678" s="429">
        <v>50.7</v>
      </c>
      <c r="G4678" s="429">
        <v>50.2</v>
      </c>
      <c r="H4678" s="913">
        <v>0.57291666666666674</v>
      </c>
      <c r="I4678" s="1297"/>
      <c r="J4678" s="1297"/>
      <c r="K4678" s="1298"/>
      <c r="L4678" s="923">
        <v>0.80208333333333337</v>
      </c>
      <c r="M4678" s="384"/>
    </row>
    <row r="4679" spans="3:13">
      <c r="C4679" s="90"/>
      <c r="D4679" s="774">
        <v>45770</v>
      </c>
      <c r="E4679" s="429">
        <v>50.7</v>
      </c>
      <c r="F4679" s="429">
        <v>49</v>
      </c>
      <c r="G4679" s="429">
        <v>50.2</v>
      </c>
      <c r="H4679" s="913">
        <v>0.57291666666666674</v>
      </c>
      <c r="I4679" s="1297"/>
      <c r="J4679" s="1297"/>
      <c r="K4679" s="1298"/>
      <c r="L4679" s="923">
        <v>0.80208333333333337</v>
      </c>
      <c r="M4679" s="385"/>
    </row>
    <row r="4680" spans="3:13">
      <c r="C4680" s="90"/>
      <c r="D4680" s="774">
        <v>45778</v>
      </c>
      <c r="E4680" s="429">
        <v>50.2</v>
      </c>
      <c r="F4680" s="429">
        <v>50.7</v>
      </c>
      <c r="G4680" s="429">
        <v>50.2</v>
      </c>
      <c r="H4680" s="913">
        <v>0.57291666666666674</v>
      </c>
      <c r="I4680" s="1297"/>
      <c r="J4680" s="1297"/>
      <c r="K4680" s="1298"/>
      <c r="L4680" s="923">
        <v>0.80208333333333337</v>
      </c>
      <c r="M4680" s="377"/>
    </row>
    <row r="4681" spans="3:13">
      <c r="C4681" s="90"/>
      <c r="D4681" s="774">
        <v>45770</v>
      </c>
      <c r="E4681" s="429">
        <v>50.7</v>
      </c>
      <c r="F4681" s="429">
        <v>49</v>
      </c>
      <c r="G4681" s="429">
        <v>50.2</v>
      </c>
      <c r="H4681" s="913">
        <v>0.57291666666666674</v>
      </c>
      <c r="I4681" s="1297"/>
      <c r="J4681" s="1297"/>
      <c r="K4681" s="1298"/>
      <c r="L4681" s="923">
        <v>0.80208333333333337</v>
      </c>
      <c r="M4681" s="377"/>
    </row>
    <row r="4682" spans="3:13">
      <c r="C4682" s="90"/>
      <c r="D4682" s="774">
        <v>45778</v>
      </c>
      <c r="E4682" s="429">
        <v>50.2</v>
      </c>
      <c r="F4682" s="429">
        <v>50.7</v>
      </c>
      <c r="G4682" s="429">
        <v>50.2</v>
      </c>
      <c r="H4682" s="913">
        <v>0.57291666666666674</v>
      </c>
      <c r="I4682" s="1297"/>
      <c r="J4682" s="1297"/>
      <c r="K4682" s="1298"/>
      <c r="L4682" s="923">
        <v>0.80208333333333337</v>
      </c>
      <c r="M4682" s="377"/>
    </row>
    <row r="4683" spans="3:13" ht="17" thickBot="1">
      <c r="C4683" s="90"/>
      <c r="D4683" s="774">
        <v>45770</v>
      </c>
      <c r="E4683" s="429">
        <v>50.7</v>
      </c>
      <c r="F4683" s="429">
        <v>49</v>
      </c>
      <c r="G4683" s="429">
        <v>50.2</v>
      </c>
      <c r="H4683" s="913">
        <v>0.57291666666666674</v>
      </c>
      <c r="I4683" s="1299"/>
      <c r="J4683" s="1299"/>
      <c r="K4683" s="1300"/>
      <c r="L4683" s="923">
        <v>0.80208333333333337</v>
      </c>
      <c r="M4683" s="386"/>
    </row>
    <row r="4684" spans="3:13" ht="18" thickBot="1">
      <c r="C4684" s="90">
        <v>1</v>
      </c>
      <c r="D4684" s="562" t="s">
        <v>30</v>
      </c>
      <c r="E4684" s="1304" t="s">
        <v>2134</v>
      </c>
      <c r="F4684" s="1305"/>
      <c r="G4684" s="1306"/>
      <c r="H4684" s="954" t="s">
        <v>790</v>
      </c>
      <c r="I4684" s="1293" t="s">
        <v>633</v>
      </c>
      <c r="J4684" s="1293"/>
      <c r="K4684" s="1294"/>
      <c r="L4684" s="911" t="s">
        <v>430</v>
      </c>
      <c r="M4684" s="773" t="s">
        <v>431</v>
      </c>
    </row>
    <row r="4685" spans="3:13" ht="17">
      <c r="C4685" s="90"/>
      <c r="D4685" s="559" t="s">
        <v>432</v>
      </c>
      <c r="E4685" s="1563"/>
      <c r="F4685" s="1564"/>
      <c r="G4685" s="1565"/>
      <c r="H4685" s="955" t="s">
        <v>794</v>
      </c>
      <c r="I4685" s="1295" t="s">
        <v>1969</v>
      </c>
      <c r="J4685" s="1295"/>
      <c r="K4685" s="1296"/>
      <c r="L4685" s="920"/>
      <c r="M4685" s="376" t="s">
        <v>2134</v>
      </c>
    </row>
    <row r="4686" spans="3:13" ht="17">
      <c r="C4686" s="90"/>
      <c r="D4686" s="560" t="s">
        <v>433</v>
      </c>
      <c r="E4686" s="1331"/>
      <c r="F4686" s="1584"/>
      <c r="G4686" s="1585"/>
      <c r="H4686" s="955" t="s">
        <v>795</v>
      </c>
      <c r="I4686" s="1297"/>
      <c r="J4686" s="1297"/>
      <c r="K4686" s="1298"/>
      <c r="L4686" s="920"/>
      <c r="M4686" s="377"/>
    </row>
    <row r="4687" spans="3:13" ht="18" thickBot="1">
      <c r="C4687" s="90"/>
      <c r="D4687" s="560" t="s">
        <v>434</v>
      </c>
      <c r="E4687" s="1586">
        <v>50.8</v>
      </c>
      <c r="F4687" s="1587"/>
      <c r="G4687" s="1588"/>
      <c r="H4687" s="956"/>
      <c r="I4687" s="1297"/>
      <c r="J4687" s="1297"/>
      <c r="K4687" s="1298"/>
      <c r="L4687" s="920"/>
      <c r="M4687" s="377"/>
    </row>
    <row r="4688" spans="3:13" ht="18" thickBot="1">
      <c r="C4688" s="90"/>
      <c r="D4688" s="561" t="s">
        <v>435</v>
      </c>
      <c r="E4688" s="1313">
        <v>0.57291666666666674</v>
      </c>
      <c r="F4688" s="1314"/>
      <c r="G4688" s="1315"/>
      <c r="H4688" s="957"/>
      <c r="I4688" s="1297"/>
      <c r="J4688" s="1297"/>
      <c r="K4688" s="1298"/>
      <c r="L4688" s="378">
        <v>0.80208333333333337</v>
      </c>
      <c r="M4688" s="379">
        <v>0.69791666666666674</v>
      </c>
    </row>
    <row r="4689" spans="3:13" ht="18" thickBot="1">
      <c r="C4689" s="90"/>
      <c r="D4689" s="562" t="s">
        <v>436</v>
      </c>
      <c r="E4689" s="380" t="s">
        <v>29</v>
      </c>
      <c r="F4689" s="380" t="s">
        <v>28</v>
      </c>
      <c r="G4689" s="381" t="s">
        <v>27</v>
      </c>
      <c r="H4689" s="954" t="s">
        <v>793</v>
      </c>
      <c r="I4689" s="1297"/>
      <c r="J4689" s="1297"/>
      <c r="K4689" s="1298"/>
      <c r="L4689" s="921" t="s">
        <v>1246</v>
      </c>
      <c r="M4689" s="382"/>
    </row>
    <row r="4690" spans="3:13">
      <c r="C4690" s="90"/>
      <c r="D4690" s="774">
        <v>45782</v>
      </c>
      <c r="E4690" s="429"/>
      <c r="F4690" s="429">
        <v>51.4</v>
      </c>
      <c r="G4690" s="429">
        <v>54.4</v>
      </c>
      <c r="H4690" s="913">
        <v>0.57291666666666674</v>
      </c>
      <c r="I4690" s="1297"/>
      <c r="J4690" s="1297"/>
      <c r="K4690" s="1298"/>
      <c r="L4690" s="923">
        <v>0.80208333333333337</v>
      </c>
      <c r="M4690" s="384"/>
    </row>
    <row r="4691" spans="3:13">
      <c r="C4691" s="90"/>
      <c r="D4691" s="774">
        <v>45770</v>
      </c>
      <c r="E4691" s="429">
        <v>51.4</v>
      </c>
      <c r="F4691" s="429">
        <v>52.8</v>
      </c>
      <c r="G4691" s="429">
        <v>54.4</v>
      </c>
      <c r="H4691" s="913">
        <v>0.57291666666666674</v>
      </c>
      <c r="I4691" s="1297"/>
      <c r="J4691" s="1297"/>
      <c r="K4691" s="1298"/>
      <c r="L4691" s="923">
        <v>0.80208333333333337</v>
      </c>
      <c r="M4691" s="385"/>
    </row>
    <row r="4692" spans="3:13">
      <c r="C4692" s="90"/>
      <c r="D4692" s="774">
        <v>45782</v>
      </c>
      <c r="E4692" s="429">
        <v>50.8</v>
      </c>
      <c r="F4692" s="429">
        <v>51.4</v>
      </c>
      <c r="G4692" s="429">
        <v>54.4</v>
      </c>
      <c r="H4692" s="913">
        <v>0.57291666666666674</v>
      </c>
      <c r="I4692" s="1297"/>
      <c r="J4692" s="1297"/>
      <c r="K4692" s="1298"/>
      <c r="L4692" s="923">
        <v>0.80208333333333337</v>
      </c>
      <c r="M4692" s="377"/>
    </row>
    <row r="4693" spans="3:13">
      <c r="C4693" s="90"/>
      <c r="D4693" s="774">
        <v>45770</v>
      </c>
      <c r="E4693" s="429">
        <v>51.4</v>
      </c>
      <c r="F4693" s="429">
        <v>52.8</v>
      </c>
      <c r="G4693" s="429">
        <v>54.4</v>
      </c>
      <c r="H4693" s="913">
        <v>0.57291666666666674</v>
      </c>
      <c r="I4693" s="1297"/>
      <c r="J4693" s="1297"/>
      <c r="K4693" s="1298"/>
      <c r="L4693" s="923">
        <v>0.80208333333333337</v>
      </c>
      <c r="M4693" s="377"/>
    </row>
    <row r="4694" spans="3:13">
      <c r="C4694" s="90"/>
      <c r="D4694" s="774">
        <v>45782</v>
      </c>
      <c r="E4694" s="429">
        <v>50.8</v>
      </c>
      <c r="F4694" s="429">
        <v>51.4</v>
      </c>
      <c r="G4694" s="429">
        <v>54.4</v>
      </c>
      <c r="H4694" s="913">
        <v>0.57291666666666674</v>
      </c>
      <c r="I4694" s="1297"/>
      <c r="J4694" s="1297"/>
      <c r="K4694" s="1298"/>
      <c r="L4694" s="923">
        <v>0.80208333333333337</v>
      </c>
      <c r="M4694" s="377"/>
    </row>
    <row r="4695" spans="3:13" ht="17" thickBot="1">
      <c r="C4695" s="90"/>
      <c r="D4695" s="774">
        <v>45770</v>
      </c>
      <c r="E4695" s="429">
        <v>51.4</v>
      </c>
      <c r="F4695" s="429">
        <v>52.8</v>
      </c>
      <c r="G4695" s="429">
        <v>54.4</v>
      </c>
      <c r="H4695" s="913">
        <v>0.57291666666666674</v>
      </c>
      <c r="I4695" s="1299"/>
      <c r="J4695" s="1299"/>
      <c r="K4695" s="1300"/>
      <c r="L4695" s="923">
        <v>0.80208333333333337</v>
      </c>
      <c r="M4695" s="386"/>
    </row>
    <row r="4696" spans="3:13" ht="18" thickBot="1">
      <c r="C4696" s="90">
        <v>1</v>
      </c>
      <c r="D4696" s="562" t="s">
        <v>30</v>
      </c>
      <c r="E4696" s="1304" t="s">
        <v>2135</v>
      </c>
      <c r="F4696" s="1305"/>
      <c r="G4696" s="1306"/>
      <c r="H4696" s="954" t="s">
        <v>790</v>
      </c>
      <c r="I4696" s="1293" t="s">
        <v>633</v>
      </c>
      <c r="J4696" s="1293"/>
      <c r="K4696" s="1294"/>
      <c r="L4696" s="911" t="s">
        <v>430</v>
      </c>
      <c r="M4696" s="773" t="s">
        <v>431</v>
      </c>
    </row>
    <row r="4697" spans="3:13" ht="17">
      <c r="C4697" s="90"/>
      <c r="D4697" s="559" t="s">
        <v>432</v>
      </c>
      <c r="E4697" s="1563"/>
      <c r="F4697" s="1564"/>
      <c r="G4697" s="1565"/>
      <c r="H4697" s="955" t="s">
        <v>794</v>
      </c>
      <c r="I4697" s="1295" t="s">
        <v>1976</v>
      </c>
      <c r="J4697" s="1295"/>
      <c r="K4697" s="1296"/>
      <c r="L4697" s="920"/>
      <c r="M4697" s="376" t="s">
        <v>2135</v>
      </c>
    </row>
    <row r="4698" spans="3:13" ht="17">
      <c r="C4698" s="90"/>
      <c r="D4698" s="560" t="s">
        <v>433</v>
      </c>
      <c r="E4698" s="1331"/>
      <c r="F4698" s="1584"/>
      <c r="G4698" s="1585"/>
      <c r="H4698" s="955" t="s">
        <v>795</v>
      </c>
      <c r="I4698" s="1297"/>
      <c r="J4698" s="1297"/>
      <c r="K4698" s="1298"/>
      <c r="L4698" s="920"/>
      <c r="M4698" s="377"/>
    </row>
    <row r="4699" spans="3:13" ht="17">
      <c r="C4699" s="90"/>
      <c r="D4699" s="560" t="s">
        <v>434</v>
      </c>
      <c r="E4699" s="1310" t="s">
        <v>2136</v>
      </c>
      <c r="F4699" s="1311"/>
      <c r="G4699" s="1312"/>
      <c r="H4699" s="956"/>
      <c r="I4699" s="1297"/>
      <c r="J4699" s="1297"/>
      <c r="K4699" s="1298"/>
      <c r="L4699" s="920"/>
      <c r="M4699" s="377"/>
    </row>
    <row r="4700" spans="3:13" ht="18" thickBot="1">
      <c r="C4700" s="90"/>
      <c r="D4700" s="561" t="s">
        <v>435</v>
      </c>
      <c r="E4700" s="1313">
        <v>0.58333333333333337</v>
      </c>
      <c r="F4700" s="1314"/>
      <c r="G4700" s="1315"/>
      <c r="H4700" s="957"/>
      <c r="I4700" s="1297"/>
      <c r="J4700" s="1297"/>
      <c r="K4700" s="1298"/>
      <c r="L4700" s="378">
        <v>0.8125</v>
      </c>
      <c r="M4700" s="379">
        <v>0.70833333333333337</v>
      </c>
    </row>
    <row r="4701" spans="3:13" ht="18" thickBot="1">
      <c r="C4701" s="90"/>
      <c r="D4701" s="562" t="s">
        <v>436</v>
      </c>
      <c r="E4701" s="380" t="s">
        <v>29</v>
      </c>
      <c r="F4701" s="380" t="s">
        <v>28</v>
      </c>
      <c r="G4701" s="381" t="s">
        <v>27</v>
      </c>
      <c r="H4701" s="954" t="s">
        <v>793</v>
      </c>
      <c r="I4701" s="1297"/>
      <c r="J4701" s="1297"/>
      <c r="K4701" s="1298"/>
      <c r="L4701" s="921" t="s">
        <v>1246</v>
      </c>
      <c r="M4701" s="382"/>
    </row>
    <row r="4702" spans="3:13" ht="17">
      <c r="C4702" s="90"/>
      <c r="D4702" s="774">
        <v>45771</v>
      </c>
      <c r="E4702" s="440" t="s">
        <v>2137</v>
      </c>
      <c r="F4702" s="440" t="s">
        <v>1051</v>
      </c>
      <c r="G4702" s="440" t="s">
        <v>2138</v>
      </c>
      <c r="H4702" s="913">
        <v>0.58333333333333337</v>
      </c>
      <c r="I4702" s="1297"/>
      <c r="J4702" s="1297"/>
      <c r="K4702" s="1298"/>
      <c r="L4702" s="923">
        <v>0.8125</v>
      </c>
      <c r="M4702" s="384"/>
    </row>
    <row r="4703" spans="3:13" ht="17">
      <c r="C4703" s="90"/>
      <c r="D4703" s="774">
        <v>45736</v>
      </c>
      <c r="E4703" s="440" t="s">
        <v>2004</v>
      </c>
      <c r="F4703" s="440" t="s">
        <v>1044</v>
      </c>
      <c r="G4703" s="440" t="s">
        <v>1541</v>
      </c>
      <c r="H4703" s="913">
        <v>0.58333333333333337</v>
      </c>
      <c r="I4703" s="1297"/>
      <c r="J4703" s="1297"/>
      <c r="K4703" s="1298"/>
      <c r="L4703" s="923">
        <v>0.8125</v>
      </c>
      <c r="M4703" s="385"/>
    </row>
    <row r="4704" spans="3:13" ht="17">
      <c r="C4704" s="90"/>
      <c r="D4704" s="774">
        <v>45709</v>
      </c>
      <c r="E4704" s="440" t="s">
        <v>1050</v>
      </c>
      <c r="F4704" s="440" t="s">
        <v>2005</v>
      </c>
      <c r="G4704" s="440" t="s">
        <v>2006</v>
      </c>
      <c r="H4704" s="913">
        <v>0.625</v>
      </c>
      <c r="I4704" s="1297"/>
      <c r="J4704" s="1297"/>
      <c r="K4704" s="1298"/>
      <c r="L4704" s="923">
        <v>0.85416666666666663</v>
      </c>
      <c r="M4704" s="377"/>
    </row>
    <row r="4705" spans="3:13" ht="17">
      <c r="C4705" s="90"/>
      <c r="D4705" s="774">
        <v>45681</v>
      </c>
      <c r="E4705" s="440" t="s">
        <v>2007</v>
      </c>
      <c r="F4705" s="440" t="s">
        <v>2008</v>
      </c>
      <c r="G4705" s="440" t="s">
        <v>1540</v>
      </c>
      <c r="H4705" s="913">
        <v>0.625</v>
      </c>
      <c r="I4705" s="1297"/>
      <c r="J4705" s="1297"/>
      <c r="K4705" s="1298"/>
      <c r="L4705" s="923">
        <v>0.85416666666666663</v>
      </c>
      <c r="M4705" s="377"/>
    </row>
    <row r="4706" spans="3:13" ht="17">
      <c r="C4706" s="90"/>
      <c r="D4706" s="774">
        <v>45645</v>
      </c>
      <c r="E4706" s="440" t="s">
        <v>1540</v>
      </c>
      <c r="F4706" s="440" t="s">
        <v>1541</v>
      </c>
      <c r="G4706" s="440" t="s">
        <v>1043</v>
      </c>
      <c r="H4706" s="913">
        <v>0.625</v>
      </c>
      <c r="I4706" s="1297"/>
      <c r="J4706" s="1297"/>
      <c r="K4706" s="1298"/>
      <c r="L4706" s="923">
        <v>0.85416666666666663</v>
      </c>
      <c r="M4706" s="377"/>
    </row>
    <row r="4707" spans="3:13" ht="18" thickBot="1">
      <c r="C4707" s="90"/>
      <c r="D4707" s="774">
        <v>45617</v>
      </c>
      <c r="E4707" s="440" t="s">
        <v>1043</v>
      </c>
      <c r="F4707" s="440" t="s">
        <v>1044</v>
      </c>
      <c r="G4707" s="440" t="s">
        <v>1293</v>
      </c>
      <c r="H4707" s="913">
        <v>0.625</v>
      </c>
      <c r="I4707" s="1299"/>
      <c r="J4707" s="1299"/>
      <c r="K4707" s="1300"/>
      <c r="L4707" s="923">
        <v>0.85416666666666663</v>
      </c>
      <c r="M4707" s="386"/>
    </row>
    <row r="4708" spans="3:13" ht="18" thickBot="1">
      <c r="C4708" s="90">
        <v>1</v>
      </c>
      <c r="D4708" s="562" t="s">
        <v>30</v>
      </c>
      <c r="E4708" s="1304" t="s">
        <v>2139</v>
      </c>
      <c r="F4708" s="1305"/>
      <c r="G4708" s="1306"/>
      <c r="H4708" s="954" t="s">
        <v>790</v>
      </c>
      <c r="I4708" s="1293" t="s">
        <v>633</v>
      </c>
      <c r="J4708" s="1293"/>
      <c r="K4708" s="1294"/>
      <c r="L4708" s="911" t="s">
        <v>430</v>
      </c>
      <c r="M4708" s="773" t="s">
        <v>431</v>
      </c>
    </row>
    <row r="4709" spans="3:13" ht="17">
      <c r="C4709" s="90"/>
      <c r="D4709" s="559" t="s">
        <v>432</v>
      </c>
      <c r="E4709" s="1563"/>
      <c r="F4709" s="1564"/>
      <c r="G4709" s="1565"/>
      <c r="H4709" s="955" t="s">
        <v>909</v>
      </c>
      <c r="I4709" s="1295" t="s">
        <v>1618</v>
      </c>
      <c r="J4709" s="1295"/>
      <c r="K4709" s="1296"/>
      <c r="L4709" s="920"/>
      <c r="M4709" s="376" t="s">
        <v>2139</v>
      </c>
    </row>
    <row r="4710" spans="3:13" ht="17">
      <c r="C4710" s="90"/>
      <c r="D4710" s="560" t="s">
        <v>433</v>
      </c>
      <c r="E4710" s="1334">
        <v>0</v>
      </c>
      <c r="F4710" s="1332"/>
      <c r="G4710" s="1333"/>
      <c r="H4710" s="955" t="s">
        <v>910</v>
      </c>
      <c r="I4710" s="1297"/>
      <c r="J4710" s="1297"/>
      <c r="K4710" s="1298"/>
      <c r="L4710" s="920"/>
      <c r="M4710" s="377"/>
    </row>
    <row r="4711" spans="3:13" ht="17">
      <c r="C4711" s="90"/>
      <c r="D4711" s="560" t="s">
        <v>434</v>
      </c>
      <c r="E4711" s="1310">
        <v>2E-3</v>
      </c>
      <c r="F4711" s="1311"/>
      <c r="G4711" s="1312"/>
      <c r="H4711" s="956"/>
      <c r="I4711" s="1297"/>
      <c r="J4711" s="1297"/>
      <c r="K4711" s="1298"/>
      <c r="L4711" s="920"/>
      <c r="M4711" s="377"/>
    </row>
    <row r="4712" spans="3:13" ht="18" thickBot="1">
      <c r="C4712" s="90"/>
      <c r="D4712" s="561" t="s">
        <v>435</v>
      </c>
      <c r="E4712" s="1313">
        <v>0.25</v>
      </c>
      <c r="F4712" s="1314"/>
      <c r="G4712" s="1315"/>
      <c r="H4712" s="957"/>
      <c r="I4712" s="1297"/>
      <c r="J4712" s="1297"/>
      <c r="K4712" s="1298"/>
      <c r="L4712" s="378">
        <v>0.47916666666666669</v>
      </c>
      <c r="M4712" s="379">
        <v>0.375</v>
      </c>
    </row>
    <row r="4713" spans="3:13" ht="18" thickBot="1">
      <c r="C4713" s="90"/>
      <c r="D4713" s="562" t="s">
        <v>436</v>
      </c>
      <c r="E4713" s="380" t="s">
        <v>29</v>
      </c>
      <c r="F4713" s="380" t="s">
        <v>28</v>
      </c>
      <c r="G4713" s="381" t="s">
        <v>27</v>
      </c>
      <c r="H4713" s="954" t="s">
        <v>793</v>
      </c>
      <c r="I4713" s="1297"/>
      <c r="J4713" s="1297"/>
      <c r="K4713" s="1298"/>
      <c r="L4713" s="921" t="s">
        <v>1246</v>
      </c>
      <c r="M4713" s="382"/>
    </row>
    <row r="4714" spans="3:13">
      <c r="C4714" s="90"/>
      <c r="D4714" s="774">
        <v>45777</v>
      </c>
      <c r="E4714" s="440">
        <v>2E-3</v>
      </c>
      <c r="F4714" s="440">
        <v>2E-3</v>
      </c>
      <c r="G4714" s="440">
        <v>-2E-3</v>
      </c>
      <c r="H4714" s="913">
        <v>0.33333333333333337</v>
      </c>
      <c r="I4714" s="1297"/>
      <c r="J4714" s="1297"/>
      <c r="K4714" s="1298"/>
      <c r="L4714" s="923">
        <v>0.5625</v>
      </c>
      <c r="M4714" s="384"/>
    </row>
    <row r="4715" spans="3:13">
      <c r="C4715" s="90"/>
      <c r="D4715" s="774">
        <v>45713</v>
      </c>
      <c r="E4715" s="440">
        <v>-2E-3</v>
      </c>
      <c r="F4715" s="440">
        <v>-2E-3</v>
      </c>
      <c r="G4715" s="440">
        <v>1E-3</v>
      </c>
      <c r="H4715" s="913">
        <v>0.29166666666666674</v>
      </c>
      <c r="I4715" s="1297"/>
      <c r="J4715" s="1297"/>
      <c r="K4715" s="1298"/>
      <c r="L4715" s="923">
        <v>0.52083333333333337</v>
      </c>
      <c r="M4715" s="385"/>
    </row>
    <row r="4716" spans="3:13">
      <c r="C4716" s="90"/>
      <c r="D4716" s="774">
        <v>45687</v>
      </c>
      <c r="E4716" s="440">
        <v>-2E-3</v>
      </c>
      <c r="F4716" s="440">
        <v>-1E-3</v>
      </c>
      <c r="G4716" s="440">
        <v>1E-3</v>
      </c>
      <c r="H4716" s="913">
        <v>0.375</v>
      </c>
      <c r="I4716" s="1297"/>
      <c r="J4716" s="1297"/>
      <c r="K4716" s="1298"/>
      <c r="L4716" s="923">
        <v>0.60416666666666663</v>
      </c>
      <c r="M4716" s="377"/>
    </row>
    <row r="4717" spans="3:13">
      <c r="C4717" s="90"/>
      <c r="D4717" s="774">
        <v>45618</v>
      </c>
      <c r="E4717" s="440">
        <v>1E-3</v>
      </c>
      <c r="F4717" s="440">
        <v>2E-3</v>
      </c>
      <c r="G4717" s="440">
        <v>2E-3</v>
      </c>
      <c r="H4717" s="913">
        <v>0.29166666666666674</v>
      </c>
      <c r="I4717" s="1297"/>
      <c r="J4717" s="1297"/>
      <c r="K4717" s="1298"/>
      <c r="L4717" s="923">
        <v>0.52083333333333337</v>
      </c>
      <c r="M4717" s="377"/>
    </row>
    <row r="4718" spans="3:13">
      <c r="C4718" s="90"/>
      <c r="D4718" s="774">
        <v>45595</v>
      </c>
      <c r="E4718" s="440">
        <v>2E-3</v>
      </c>
      <c r="F4718" s="440">
        <v>-1E-3</v>
      </c>
      <c r="G4718" s="440">
        <v>-3.0000000000000001E-3</v>
      </c>
      <c r="H4718" s="913">
        <v>0.375</v>
      </c>
      <c r="I4718" s="1297"/>
      <c r="J4718" s="1297"/>
      <c r="K4718" s="1298"/>
      <c r="L4718" s="923">
        <v>0.60416666666666663</v>
      </c>
      <c r="M4718" s="377"/>
    </row>
    <row r="4719" spans="3:13" ht="17" thickBot="1">
      <c r="C4719" s="90"/>
      <c r="D4719" s="774">
        <v>45531</v>
      </c>
      <c r="E4719" s="440">
        <v>-1E-3</v>
      </c>
      <c r="F4719" s="440">
        <v>-1E-3</v>
      </c>
      <c r="G4719" s="440">
        <v>2E-3</v>
      </c>
      <c r="H4719" s="913">
        <v>0.25</v>
      </c>
      <c r="I4719" s="1299"/>
      <c r="J4719" s="1299"/>
      <c r="K4719" s="1300"/>
      <c r="L4719" s="923">
        <v>0.47916666666666669</v>
      </c>
      <c r="M4719" s="386"/>
    </row>
    <row r="4720" spans="3:13" ht="18" thickBot="1">
      <c r="C4720" s="90">
        <v>1</v>
      </c>
      <c r="D4720" s="775" t="s">
        <v>30</v>
      </c>
      <c r="E4720" s="1335" t="s">
        <v>2140</v>
      </c>
      <c r="F4720" s="1336"/>
      <c r="G4720" s="1337"/>
      <c r="H4720" s="954" t="s">
        <v>790</v>
      </c>
      <c r="I4720" s="1345" t="s">
        <v>633</v>
      </c>
      <c r="J4720" s="1293"/>
      <c r="K4720" s="1294"/>
      <c r="L4720" s="911" t="s">
        <v>430</v>
      </c>
      <c r="M4720" s="773" t="s">
        <v>431</v>
      </c>
    </row>
    <row r="4721" spans="2:13" ht="17">
      <c r="C4721" s="90"/>
      <c r="D4721" s="559" t="s">
        <v>432</v>
      </c>
      <c r="E4721" s="1563"/>
      <c r="F4721" s="1564"/>
      <c r="G4721" s="1565"/>
      <c r="H4721" s="955" t="s">
        <v>794</v>
      </c>
      <c r="I4721" s="1301" t="s">
        <v>1682</v>
      </c>
      <c r="J4721" s="1295"/>
      <c r="K4721" s="1296"/>
      <c r="L4721" s="920"/>
      <c r="M4721" s="376" t="s">
        <v>2140</v>
      </c>
    </row>
    <row r="4722" spans="2:13" ht="17">
      <c r="C4722" s="90"/>
      <c r="D4722" s="560" t="s">
        <v>433</v>
      </c>
      <c r="E4722" s="1338"/>
      <c r="F4722" s="1589"/>
      <c r="G4722" s="1590"/>
      <c r="H4722" s="955" t="s">
        <v>795</v>
      </c>
      <c r="I4722" s="1302"/>
      <c r="J4722" s="1297"/>
      <c r="K4722" s="1298"/>
      <c r="L4722" s="920"/>
      <c r="M4722" s="377"/>
    </row>
    <row r="4723" spans="2:13" ht="17">
      <c r="C4723" s="90"/>
      <c r="D4723" s="560" t="s">
        <v>434</v>
      </c>
      <c r="E4723" s="1310" t="s">
        <v>2141</v>
      </c>
      <c r="F4723" s="1311"/>
      <c r="G4723" s="1312"/>
      <c r="H4723" s="956"/>
      <c r="I4723" s="1302"/>
      <c r="J4723" s="1297"/>
      <c r="K4723" s="1298"/>
      <c r="L4723" s="920"/>
      <c r="M4723" s="377"/>
    </row>
    <row r="4724" spans="2:13" ht="18" thickBot="1">
      <c r="C4724" s="90"/>
      <c r="D4724" s="561" t="s">
        <v>435</v>
      </c>
      <c r="E4724" s="1313">
        <v>0.58333333333333337</v>
      </c>
      <c r="F4724" s="1314"/>
      <c r="G4724" s="1315"/>
      <c r="H4724" s="957"/>
      <c r="I4724" s="1302"/>
      <c r="J4724" s="1297"/>
      <c r="K4724" s="1298"/>
      <c r="L4724" s="378">
        <v>0.8125</v>
      </c>
      <c r="M4724" s="379">
        <v>0.70833333333333337</v>
      </c>
    </row>
    <row r="4725" spans="2:13" ht="18" thickBot="1">
      <c r="C4725" s="90"/>
      <c r="D4725" s="562" t="s">
        <v>436</v>
      </c>
      <c r="E4725" s="380" t="s">
        <v>29</v>
      </c>
      <c r="F4725" s="380" t="s">
        <v>28</v>
      </c>
      <c r="G4725" s="381" t="s">
        <v>27</v>
      </c>
      <c r="H4725" s="954" t="s">
        <v>793</v>
      </c>
      <c r="I4725" s="1302"/>
      <c r="J4725" s="1297"/>
      <c r="K4725" s="1298"/>
      <c r="L4725" s="921" t="s">
        <v>1246</v>
      </c>
      <c r="M4725" s="382"/>
    </row>
    <row r="4726" spans="2:13" ht="17">
      <c r="C4726" s="90"/>
      <c r="D4726" s="563">
        <v>45770</v>
      </c>
      <c r="E4726" s="440" t="s">
        <v>2142</v>
      </c>
      <c r="F4726" s="440" t="s">
        <v>2143</v>
      </c>
      <c r="G4726" s="440" t="s">
        <v>1651</v>
      </c>
      <c r="H4726" s="913">
        <v>0.58333333333333337</v>
      </c>
      <c r="I4726" s="1302"/>
      <c r="J4726" s="1297"/>
      <c r="K4726" s="1298"/>
      <c r="L4726" s="923">
        <v>0.8125</v>
      </c>
      <c r="M4726" s="384"/>
    </row>
    <row r="4727" spans="2:13" ht="17">
      <c r="C4727" s="90"/>
      <c r="D4727" s="563">
        <v>45741</v>
      </c>
      <c r="E4727" s="440" t="s">
        <v>2001</v>
      </c>
      <c r="F4727" s="440" t="s">
        <v>2002</v>
      </c>
      <c r="G4727" s="440" t="s">
        <v>1532</v>
      </c>
      <c r="H4727" s="913">
        <v>0.58333333333333337</v>
      </c>
      <c r="I4727" s="1302"/>
      <c r="J4727" s="1297"/>
      <c r="K4727" s="1298"/>
      <c r="L4727" s="923">
        <v>0.8125</v>
      </c>
      <c r="M4727" s="385"/>
    </row>
    <row r="4728" spans="2:13" ht="17">
      <c r="C4728" s="90"/>
      <c r="D4728" s="563">
        <v>45714</v>
      </c>
      <c r="E4728" s="440" t="s">
        <v>1693</v>
      </c>
      <c r="F4728" s="440" t="s">
        <v>1694</v>
      </c>
      <c r="G4728" s="440" t="s">
        <v>1695</v>
      </c>
      <c r="H4728" s="913">
        <v>0.625</v>
      </c>
      <c r="I4728" s="1302"/>
      <c r="J4728" s="1297"/>
      <c r="K4728" s="1298"/>
      <c r="L4728" s="923">
        <v>0.85416666666666663</v>
      </c>
      <c r="M4728" s="377"/>
    </row>
    <row r="4729" spans="2:13" ht="17">
      <c r="C4729" s="90"/>
      <c r="D4729" s="563">
        <v>45684</v>
      </c>
      <c r="E4729" s="440" t="s">
        <v>1106</v>
      </c>
      <c r="F4729" s="440" t="s">
        <v>1650</v>
      </c>
      <c r="G4729" s="440" t="s">
        <v>1651</v>
      </c>
      <c r="H4729" s="913">
        <v>0.625</v>
      </c>
      <c r="I4729" s="1302"/>
      <c r="J4729" s="1297"/>
      <c r="K4729" s="1298"/>
      <c r="L4729" s="923">
        <v>0.85416666666666663</v>
      </c>
      <c r="M4729" s="377"/>
    </row>
    <row r="4730" spans="2:13" ht="17">
      <c r="C4730" s="90"/>
      <c r="D4730" s="563">
        <v>45649</v>
      </c>
      <c r="E4730" s="440" t="s">
        <v>1532</v>
      </c>
      <c r="F4730" s="440" t="s">
        <v>1533</v>
      </c>
      <c r="G4730" s="440" t="s">
        <v>1534</v>
      </c>
      <c r="H4730" s="913">
        <v>0.625</v>
      </c>
      <c r="I4730" s="1302"/>
      <c r="J4730" s="1297"/>
      <c r="K4730" s="1298"/>
      <c r="L4730" s="923">
        <v>0.85416666666666663</v>
      </c>
      <c r="M4730" s="377"/>
    </row>
    <row r="4731" spans="2:13" ht="18" thickBot="1">
      <c r="C4731" s="90"/>
      <c r="D4731" s="563">
        <v>45622</v>
      </c>
      <c r="E4731" s="440" t="s">
        <v>1316</v>
      </c>
      <c r="F4731" s="440" t="s">
        <v>1317</v>
      </c>
      <c r="G4731" s="440" t="s">
        <v>1092</v>
      </c>
      <c r="H4731" s="913">
        <v>0.625</v>
      </c>
      <c r="I4731" s="1303"/>
      <c r="J4731" s="1299"/>
      <c r="K4731" s="1300"/>
      <c r="L4731" s="923">
        <v>0.85416666666666663</v>
      </c>
      <c r="M4731" s="386"/>
    </row>
    <row r="4732" spans="2:13" ht="18" thickBot="1">
      <c r="B4732" s="90" t="s">
        <v>105</v>
      </c>
      <c r="C4732" s="90">
        <v>1</v>
      </c>
      <c r="D4732" s="562" t="s">
        <v>30</v>
      </c>
      <c r="E4732" s="1304" t="s">
        <v>2148</v>
      </c>
      <c r="F4732" s="1305"/>
      <c r="G4732" s="1306"/>
      <c r="H4732" s="954" t="s">
        <v>790</v>
      </c>
      <c r="I4732" s="1345" t="s">
        <v>633</v>
      </c>
      <c r="J4732" s="1293"/>
      <c r="K4732" s="1294"/>
      <c r="L4732" s="911" t="s">
        <v>430</v>
      </c>
      <c r="M4732" s="773" t="s">
        <v>431</v>
      </c>
    </row>
    <row r="4733" spans="2:13" ht="17">
      <c r="C4733" s="90"/>
      <c r="D4733" s="559" t="s">
        <v>432</v>
      </c>
      <c r="E4733" s="1307"/>
      <c r="F4733" s="1308"/>
      <c r="G4733" s="1309"/>
      <c r="H4733" s="955" t="s">
        <v>794</v>
      </c>
      <c r="I4733" s="1301" t="s">
        <v>2149</v>
      </c>
      <c r="J4733" s="1295"/>
      <c r="K4733" s="1296"/>
      <c r="L4733" s="920"/>
      <c r="M4733" s="376" t="s">
        <v>2148</v>
      </c>
    </row>
    <row r="4734" spans="2:13" ht="17">
      <c r="C4734" s="90"/>
      <c r="D4734" s="560" t="s">
        <v>433</v>
      </c>
      <c r="E4734" s="1331"/>
      <c r="F4734" s="1332"/>
      <c r="G4734" s="1333"/>
      <c r="H4734" s="955" t="s">
        <v>795</v>
      </c>
      <c r="I4734" s="1302"/>
      <c r="J4734" s="1297"/>
      <c r="K4734" s="1298"/>
      <c r="L4734" s="920"/>
      <c r="M4734" s="377"/>
    </row>
    <row r="4735" spans="2:13" ht="17">
      <c r="C4735" s="90"/>
      <c r="D4735" s="560" t="s">
        <v>434</v>
      </c>
      <c r="E4735" s="1310"/>
      <c r="F4735" s="1311"/>
      <c r="G4735" s="1312"/>
      <c r="H4735" s="956"/>
      <c r="I4735" s="1302"/>
      <c r="J4735" s="1297"/>
      <c r="K4735" s="1298"/>
      <c r="L4735" s="920"/>
      <c r="M4735" s="377"/>
    </row>
    <row r="4736" spans="2:13" ht="18" thickBot="1">
      <c r="C4736" s="90"/>
      <c r="D4736" s="561" t="s">
        <v>435</v>
      </c>
      <c r="E4736" s="1313">
        <v>0.77777777777777779</v>
      </c>
      <c r="F4736" s="1314"/>
      <c r="G4736" s="1315"/>
      <c r="H4736" s="957"/>
      <c r="I4736" s="1302"/>
      <c r="J4736" s="1297"/>
      <c r="K4736" s="1298"/>
      <c r="L4736" s="378">
        <v>6.9444444444444441E-3</v>
      </c>
      <c r="M4736" s="379">
        <v>0.90277777777777779</v>
      </c>
    </row>
    <row r="4737" spans="3:13" ht="18" thickBot="1">
      <c r="C4737" s="90"/>
      <c r="D4737" s="562" t="s">
        <v>436</v>
      </c>
      <c r="E4737" s="380" t="s">
        <v>29</v>
      </c>
      <c r="F4737" s="380" t="s">
        <v>28</v>
      </c>
      <c r="G4737" s="381" t="s">
        <v>27</v>
      </c>
      <c r="H4737" s="954" t="s">
        <v>793</v>
      </c>
      <c r="I4737" s="1302"/>
      <c r="J4737" s="1297"/>
      <c r="K4737" s="1298"/>
      <c r="L4737" s="921" t="s">
        <v>1246</v>
      </c>
      <c r="M4737" s="382"/>
    </row>
    <row r="4738" spans="3:13">
      <c r="C4738" s="90"/>
      <c r="D4738" s="563">
        <v>45792</v>
      </c>
      <c r="E4738" s="440"/>
      <c r="F4738" s="440"/>
      <c r="G4738" s="440"/>
      <c r="H4738" s="913">
        <v>0.52777777777777779</v>
      </c>
      <c r="I4738" s="1302"/>
      <c r="J4738" s="1297"/>
      <c r="K4738" s="1298"/>
      <c r="L4738" s="923">
        <v>0.75694444444444442</v>
      </c>
      <c r="M4738" s="384"/>
    </row>
    <row r="4739" spans="3:13">
      <c r="C4739" s="90"/>
      <c r="D4739" s="563">
        <v>45763</v>
      </c>
      <c r="E4739" s="440"/>
      <c r="F4739" s="440"/>
      <c r="G4739" s="440"/>
      <c r="H4739" s="913">
        <v>0.72916666666666674</v>
      </c>
      <c r="I4739" s="1302"/>
      <c r="J4739" s="1297"/>
      <c r="K4739" s="1298"/>
      <c r="L4739" s="923">
        <v>0.95833333333333337</v>
      </c>
      <c r="M4739" s="385"/>
    </row>
    <row r="4740" spans="3:13">
      <c r="C4740" s="90"/>
      <c r="D4740" s="563">
        <v>45751</v>
      </c>
      <c r="E4740" s="440"/>
      <c r="F4740" s="440"/>
      <c r="G4740" s="440"/>
      <c r="H4740" s="913">
        <v>0.64236111111111116</v>
      </c>
      <c r="I4740" s="1302"/>
      <c r="J4740" s="1297"/>
      <c r="K4740" s="1298"/>
      <c r="L4740" s="923">
        <v>0.87152777777777779</v>
      </c>
      <c r="M4740" s="377"/>
    </row>
    <row r="4741" spans="3:13">
      <c r="C4741" s="90"/>
      <c r="D4741" s="563">
        <v>45723</v>
      </c>
      <c r="E4741" s="440"/>
      <c r="F4741" s="440"/>
      <c r="G4741" s="440"/>
      <c r="H4741" s="913">
        <v>0.72916666666666674</v>
      </c>
      <c r="I4741" s="1302"/>
      <c r="J4741" s="1297"/>
      <c r="K4741" s="1298"/>
      <c r="L4741" s="923">
        <v>0.95833333333333337</v>
      </c>
      <c r="M4741" s="377"/>
    </row>
    <row r="4742" spans="3:13">
      <c r="C4742" s="90"/>
      <c r="D4742" s="804">
        <v>45630</v>
      </c>
      <c r="E4742" s="440"/>
      <c r="F4742" s="440"/>
      <c r="G4742" s="440"/>
      <c r="H4742" s="913">
        <v>0.78125</v>
      </c>
      <c r="I4742" s="1302"/>
      <c r="J4742" s="1297"/>
      <c r="K4742" s="1298"/>
      <c r="L4742" s="923">
        <v>1.0416666666666666E-2</v>
      </c>
      <c r="M4742" s="377"/>
    </row>
    <row r="4743" spans="3:13" ht="17" thickBot="1">
      <c r="C4743" s="90"/>
      <c r="D4743" s="804">
        <v>45610</v>
      </c>
      <c r="E4743" s="440"/>
      <c r="F4743" s="440"/>
      <c r="G4743" s="440"/>
      <c r="H4743" s="913">
        <v>0.83333333333333337</v>
      </c>
      <c r="I4743" s="1303"/>
      <c r="J4743" s="1299"/>
      <c r="K4743" s="1300"/>
      <c r="L4743" s="923">
        <v>6.25E-2</v>
      </c>
      <c r="M4743" s="386"/>
    </row>
    <row r="4744" spans="3:13" ht="18" thickBot="1">
      <c r="C4744" s="90">
        <v>1</v>
      </c>
      <c r="D4744" s="562" t="s">
        <v>30</v>
      </c>
      <c r="E4744" s="1304" t="s">
        <v>2150</v>
      </c>
      <c r="F4744" s="1305"/>
      <c r="G4744" s="1306"/>
      <c r="H4744" s="954" t="s">
        <v>790</v>
      </c>
      <c r="I4744" s="1345" t="s">
        <v>633</v>
      </c>
      <c r="J4744" s="1293"/>
      <c r="K4744" s="1294"/>
      <c r="L4744" s="911" t="s">
        <v>430</v>
      </c>
      <c r="M4744" s="773" t="s">
        <v>431</v>
      </c>
    </row>
    <row r="4745" spans="3:13" ht="17">
      <c r="C4745" s="90"/>
      <c r="D4745" s="559" t="s">
        <v>432</v>
      </c>
      <c r="E4745" s="1307"/>
      <c r="F4745" s="1308"/>
      <c r="G4745" s="1309"/>
      <c r="H4745" s="955" t="s">
        <v>794</v>
      </c>
      <c r="I4745" s="1301" t="s">
        <v>1631</v>
      </c>
      <c r="J4745" s="1295"/>
      <c r="K4745" s="1296"/>
      <c r="L4745" s="920"/>
      <c r="M4745" s="376" t="s">
        <v>2150</v>
      </c>
    </row>
    <row r="4746" spans="3:13" ht="17">
      <c r="C4746" s="90"/>
      <c r="D4746" s="560" t="s">
        <v>433</v>
      </c>
      <c r="E4746" s="1331"/>
      <c r="F4746" s="1332"/>
      <c r="G4746" s="1333"/>
      <c r="H4746" s="955" t="s">
        <v>795</v>
      </c>
      <c r="I4746" s="1302"/>
      <c r="J4746" s="1297"/>
      <c r="K4746" s="1298"/>
      <c r="L4746" s="920"/>
      <c r="M4746" s="377"/>
    </row>
    <row r="4747" spans="3:13" ht="17">
      <c r="C4747" s="90"/>
      <c r="D4747" s="560" t="s">
        <v>434</v>
      </c>
      <c r="E4747" s="1310">
        <v>9.1999999999999998E-2</v>
      </c>
      <c r="F4747" s="1311"/>
      <c r="G4747" s="1312"/>
      <c r="H4747" s="956"/>
      <c r="I4747" s="1302"/>
      <c r="J4747" s="1297"/>
      <c r="K4747" s="1298"/>
      <c r="L4747" s="920"/>
      <c r="M4747" s="377"/>
    </row>
    <row r="4748" spans="3:13" ht="18" thickBot="1">
      <c r="C4748" s="90"/>
      <c r="D4748" s="561" t="s">
        <v>435</v>
      </c>
      <c r="E4748" s="1313">
        <v>0.52083333333333337</v>
      </c>
      <c r="F4748" s="1314"/>
      <c r="G4748" s="1315"/>
      <c r="H4748" s="957"/>
      <c r="I4748" s="1302"/>
      <c r="J4748" s="1297"/>
      <c r="K4748" s="1298"/>
      <c r="L4748" s="378">
        <v>0.75</v>
      </c>
      <c r="M4748" s="379">
        <v>0.64583333333333337</v>
      </c>
    </row>
    <row r="4749" spans="3:13" ht="18" thickBot="1">
      <c r="C4749" s="90"/>
      <c r="D4749" s="562" t="s">
        <v>436</v>
      </c>
      <c r="E4749" s="380" t="s">
        <v>29</v>
      </c>
      <c r="F4749" s="380" t="s">
        <v>28</v>
      </c>
      <c r="G4749" s="381" t="s">
        <v>27</v>
      </c>
      <c r="H4749" s="954" t="s">
        <v>793</v>
      </c>
      <c r="I4749" s="1302"/>
      <c r="J4749" s="1297"/>
      <c r="K4749" s="1298"/>
      <c r="L4749" s="921" t="s">
        <v>1246</v>
      </c>
      <c r="M4749" s="382"/>
    </row>
    <row r="4750" spans="3:13">
      <c r="C4750" s="90"/>
      <c r="D4750" s="563">
        <v>45771</v>
      </c>
      <c r="E4750" s="440">
        <v>9.1999999999999998E-2</v>
      </c>
      <c r="F4750" s="440">
        <v>2.1000000000000001E-2</v>
      </c>
      <c r="G4750" s="440">
        <v>8.9999999999999993E-3</v>
      </c>
      <c r="H4750" s="913">
        <v>0.52083333333333337</v>
      </c>
      <c r="I4750" s="1302"/>
      <c r="J4750" s="1297"/>
      <c r="K4750" s="1298"/>
      <c r="L4750" s="923">
        <v>0.75</v>
      </c>
      <c r="M4750" s="384"/>
    </row>
    <row r="4751" spans="3:13">
      <c r="C4751" s="90"/>
      <c r="D4751" s="563">
        <v>45742</v>
      </c>
      <c r="E4751" s="440">
        <v>8.9999999999999993E-3</v>
      </c>
      <c r="F4751" s="440">
        <v>-1.0999999999999999E-2</v>
      </c>
      <c r="G4751" s="440">
        <v>3.3000000000000002E-2</v>
      </c>
      <c r="H4751" s="913">
        <v>0.52083333333333337</v>
      </c>
      <c r="I4751" s="1302"/>
      <c r="J4751" s="1297"/>
      <c r="K4751" s="1298"/>
      <c r="L4751" s="923">
        <v>0.75</v>
      </c>
      <c r="M4751" s="385"/>
    </row>
    <row r="4752" spans="3:13">
      <c r="C4752" s="90"/>
      <c r="D4752" s="563">
        <v>45715</v>
      </c>
      <c r="E4752" s="440">
        <v>3.1E-2</v>
      </c>
      <c r="F4752" s="440">
        <v>0.02</v>
      </c>
      <c r="G4752" s="440">
        <v>-1.7999999999999999E-2</v>
      </c>
      <c r="H4752" s="913">
        <v>0.5625</v>
      </c>
      <c r="I4752" s="1302"/>
      <c r="J4752" s="1297"/>
      <c r="K4752" s="1298"/>
      <c r="L4752" s="923">
        <v>0.79166666666666663</v>
      </c>
      <c r="M4752" s="377"/>
    </row>
    <row r="4753" spans="3:13">
      <c r="C4753" s="90"/>
      <c r="D4753" s="563">
        <v>45685</v>
      </c>
      <c r="E4753" s="440">
        <v>-2.1999999999999999E-2</v>
      </c>
      <c r="F4753" s="440">
        <v>3.0000000000000001E-3</v>
      </c>
      <c r="G4753" s="440">
        <v>-0.02</v>
      </c>
      <c r="H4753" s="913">
        <v>0.5625</v>
      </c>
      <c r="I4753" s="1302"/>
      <c r="J4753" s="1297"/>
      <c r="K4753" s="1298"/>
      <c r="L4753" s="923">
        <v>0.79166666666666663</v>
      </c>
      <c r="M4753" s="377"/>
    </row>
    <row r="4754" spans="3:13">
      <c r="C4754" s="90"/>
      <c r="D4754" s="563">
        <v>45649</v>
      </c>
      <c r="E4754" s="440">
        <v>-1.0999999999999999E-2</v>
      </c>
      <c r="F4754" s="440">
        <v>-3.0000000000000001E-3</v>
      </c>
      <c r="G4754" s="440">
        <v>8.0000000000000002E-3</v>
      </c>
      <c r="H4754" s="913">
        <v>0.5625</v>
      </c>
      <c r="I4754" s="1302"/>
      <c r="J4754" s="1297"/>
      <c r="K4754" s="1298"/>
      <c r="L4754" s="923">
        <v>0.79166666666666663</v>
      </c>
      <c r="M4754" s="377"/>
    </row>
    <row r="4755" spans="3:13" ht="17" thickBot="1">
      <c r="C4755" s="90"/>
      <c r="D4755" s="563">
        <v>45623</v>
      </c>
      <c r="E4755" s="440">
        <v>2E-3</v>
      </c>
      <c r="F4755" s="440">
        <v>-8.0000000000000002E-3</v>
      </c>
      <c r="G4755" s="440">
        <v>-4.0000000000000001E-3</v>
      </c>
      <c r="H4755" s="913">
        <v>0.5625</v>
      </c>
      <c r="I4755" s="1303"/>
      <c r="J4755" s="1299"/>
      <c r="K4755" s="1300"/>
      <c r="L4755" s="923">
        <v>0.79166666666666663</v>
      </c>
      <c r="M4755" s="386"/>
    </row>
    <row r="4756" spans="3:13" ht="18" thickBot="1">
      <c r="C4756" s="90">
        <v>1</v>
      </c>
      <c r="D4756" s="562" t="s">
        <v>30</v>
      </c>
      <c r="E4756" s="1304" t="s">
        <v>2151</v>
      </c>
      <c r="F4756" s="1305"/>
      <c r="G4756" s="1306"/>
      <c r="H4756" s="954" t="s">
        <v>790</v>
      </c>
      <c r="I4756" s="1345" t="s">
        <v>633</v>
      </c>
      <c r="J4756" s="1293"/>
      <c r="K4756" s="1294"/>
      <c r="L4756" s="911" t="s">
        <v>430</v>
      </c>
      <c r="M4756" s="773" t="s">
        <v>431</v>
      </c>
    </row>
    <row r="4757" spans="3:13" ht="17">
      <c r="C4757" s="90"/>
      <c r="D4757" s="559" t="s">
        <v>432</v>
      </c>
      <c r="E4757" s="1307"/>
      <c r="F4757" s="1308"/>
      <c r="G4757" s="1309"/>
      <c r="H4757" s="955" t="s">
        <v>794</v>
      </c>
      <c r="I4757" s="1301" t="s">
        <v>2152</v>
      </c>
      <c r="J4757" s="1295"/>
      <c r="K4757" s="1296"/>
      <c r="L4757" s="920"/>
      <c r="M4757" s="376" t="s">
        <v>2151</v>
      </c>
    </row>
    <row r="4758" spans="3:13" ht="17">
      <c r="C4758" s="90"/>
      <c r="D4758" s="560" t="s">
        <v>433</v>
      </c>
      <c r="E4758" s="1331"/>
      <c r="F4758" s="1332"/>
      <c r="G4758" s="1333"/>
      <c r="H4758" s="955" t="s">
        <v>795</v>
      </c>
      <c r="I4758" s="1302"/>
      <c r="J4758" s="1297"/>
      <c r="K4758" s="1298"/>
      <c r="L4758" s="920"/>
      <c r="M4758" s="377"/>
    </row>
    <row r="4759" spans="3:13" ht="17">
      <c r="C4759" s="90"/>
      <c r="D4759" s="560" t="s">
        <v>434</v>
      </c>
      <c r="E4759" s="1334">
        <v>86</v>
      </c>
      <c r="F4759" s="1332"/>
      <c r="G4759" s="1333"/>
      <c r="H4759" s="956"/>
      <c r="I4759" s="1302"/>
      <c r="J4759" s="1297"/>
      <c r="K4759" s="1298"/>
      <c r="L4759" s="920"/>
      <c r="M4759" s="377"/>
    </row>
    <row r="4760" spans="3:13" ht="18" thickBot="1">
      <c r="C4760" s="90"/>
      <c r="D4760" s="561" t="s">
        <v>435</v>
      </c>
      <c r="E4760" s="1313">
        <v>0.58333333333333337</v>
      </c>
      <c r="F4760" s="1314"/>
      <c r="G4760" s="1315"/>
      <c r="H4760" s="957"/>
      <c r="I4760" s="1302"/>
      <c r="J4760" s="1297"/>
      <c r="K4760" s="1298"/>
      <c r="L4760" s="378">
        <v>0.8125</v>
      </c>
      <c r="M4760" s="379">
        <v>0.70833333333333337</v>
      </c>
    </row>
    <row r="4761" spans="3:13" ht="18" thickBot="1">
      <c r="C4761" s="90"/>
      <c r="D4761" s="562" t="s">
        <v>436</v>
      </c>
      <c r="E4761" s="380" t="s">
        <v>29</v>
      </c>
      <c r="F4761" s="380" t="s">
        <v>28</v>
      </c>
      <c r="G4761" s="381" t="s">
        <v>27</v>
      </c>
      <c r="H4761" s="954" t="s">
        <v>793</v>
      </c>
      <c r="I4761" s="1302"/>
      <c r="J4761" s="1297"/>
      <c r="K4761" s="1298"/>
      <c r="L4761" s="921" t="s">
        <v>1246</v>
      </c>
      <c r="M4761" s="382"/>
    </row>
    <row r="4762" spans="3:13">
      <c r="C4762" s="90"/>
      <c r="D4762" s="563">
        <v>45776</v>
      </c>
      <c r="E4762" s="429">
        <v>86</v>
      </c>
      <c r="F4762" s="429">
        <v>87.7</v>
      </c>
      <c r="G4762" s="429">
        <v>93.9</v>
      </c>
      <c r="H4762" s="913">
        <v>0.58333333333333337</v>
      </c>
      <c r="I4762" s="1302"/>
      <c r="J4762" s="1297"/>
      <c r="K4762" s="1298"/>
      <c r="L4762" s="923">
        <v>0.8125</v>
      </c>
      <c r="M4762" s="384"/>
    </row>
    <row r="4763" spans="3:13">
      <c r="C4763" s="90"/>
      <c r="D4763" s="563">
        <v>45741</v>
      </c>
      <c r="E4763" s="429">
        <v>92.9</v>
      </c>
      <c r="F4763" s="429">
        <v>94.2</v>
      </c>
      <c r="G4763" s="429">
        <v>100.1</v>
      </c>
      <c r="H4763" s="913">
        <v>0.58333333333333337</v>
      </c>
      <c r="I4763" s="1302"/>
      <c r="J4763" s="1297"/>
      <c r="K4763" s="1298"/>
      <c r="L4763" s="923">
        <v>0.8125</v>
      </c>
      <c r="M4763" s="385"/>
    </row>
    <row r="4764" spans="3:13">
      <c r="C4764" s="90"/>
      <c r="D4764" s="563">
        <v>45713</v>
      </c>
      <c r="E4764" s="429">
        <v>98.3</v>
      </c>
      <c r="F4764" s="429">
        <v>102.7</v>
      </c>
      <c r="G4764" s="429">
        <v>105.3</v>
      </c>
      <c r="H4764" s="913">
        <v>0.625</v>
      </c>
      <c r="I4764" s="1302"/>
      <c r="J4764" s="1297"/>
      <c r="K4764" s="1298"/>
      <c r="L4764" s="923">
        <v>0.85416666666666663</v>
      </c>
      <c r="M4764" s="377"/>
    </row>
    <row r="4765" spans="3:13">
      <c r="C4765" s="90"/>
      <c r="D4765" s="563">
        <v>45685</v>
      </c>
      <c r="E4765" s="429">
        <v>104.1</v>
      </c>
      <c r="F4765" s="429">
        <v>105.7</v>
      </c>
      <c r="G4765" s="429">
        <v>109.5</v>
      </c>
      <c r="H4765" s="913">
        <v>0.625</v>
      </c>
      <c r="I4765" s="1302"/>
      <c r="J4765" s="1297"/>
      <c r="K4765" s="1298"/>
      <c r="L4765" s="923">
        <v>0.85416666666666663</v>
      </c>
      <c r="M4765" s="377"/>
    </row>
    <row r="4766" spans="3:13">
      <c r="C4766" s="90"/>
      <c r="D4766" s="563">
        <v>45649</v>
      </c>
      <c r="E4766" s="429">
        <v>104.7</v>
      </c>
      <c r="F4766" s="429">
        <v>112.9</v>
      </c>
      <c r="G4766" s="429">
        <v>112.8</v>
      </c>
      <c r="H4766" s="913">
        <v>0.625</v>
      </c>
      <c r="I4766" s="1302"/>
      <c r="J4766" s="1297"/>
      <c r="K4766" s="1298"/>
      <c r="L4766" s="923">
        <v>0.85416666666666663</v>
      </c>
      <c r="M4766" s="377"/>
    </row>
    <row r="4767" spans="3:13" ht="17" thickBot="1">
      <c r="C4767" s="90"/>
      <c r="D4767" s="563">
        <v>45622</v>
      </c>
      <c r="E4767" s="429">
        <v>111.7</v>
      </c>
      <c r="F4767" s="429">
        <v>111.8</v>
      </c>
      <c r="G4767" s="429">
        <v>109.6</v>
      </c>
      <c r="H4767" s="913">
        <v>0.625</v>
      </c>
      <c r="I4767" s="1303"/>
      <c r="J4767" s="1299"/>
      <c r="K4767" s="1300"/>
      <c r="L4767" s="923">
        <v>0.85416666666666663</v>
      </c>
      <c r="M4767" s="386"/>
    </row>
    <row r="4768" spans="3:13" ht="18" thickBot="1">
      <c r="C4768" s="90">
        <v>1</v>
      </c>
      <c r="D4768" s="562" t="s">
        <v>30</v>
      </c>
      <c r="E4768" s="1304" t="s">
        <v>1897</v>
      </c>
      <c r="F4768" s="1305"/>
      <c r="G4768" s="1306"/>
      <c r="H4768" s="954" t="s">
        <v>790</v>
      </c>
      <c r="I4768" s="1345" t="s">
        <v>633</v>
      </c>
      <c r="J4768" s="1293"/>
      <c r="K4768" s="1294"/>
      <c r="L4768" s="911" t="s">
        <v>430</v>
      </c>
      <c r="M4768" s="773" t="s">
        <v>431</v>
      </c>
    </row>
    <row r="4769" spans="3:13" ht="17">
      <c r="C4769" s="90"/>
      <c r="D4769" s="559" t="s">
        <v>432</v>
      </c>
      <c r="E4769" s="1307"/>
      <c r="F4769" s="1308"/>
      <c r="G4769" s="1309"/>
      <c r="H4769" s="955" t="s">
        <v>1924</v>
      </c>
      <c r="I4769" s="1301" t="s">
        <v>2153</v>
      </c>
      <c r="J4769" s="1295"/>
      <c r="K4769" s="1296"/>
      <c r="L4769" s="920"/>
      <c r="M4769" s="376" t="s">
        <v>1897</v>
      </c>
    </row>
    <row r="4770" spans="3:13" ht="17">
      <c r="C4770" s="90"/>
      <c r="D4770" s="560" t="s">
        <v>433</v>
      </c>
      <c r="E4770" s="1331"/>
      <c r="F4770" s="1332"/>
      <c r="G4770" s="1333"/>
      <c r="H4770" s="955" t="s">
        <v>1925</v>
      </c>
      <c r="I4770" s="1302"/>
      <c r="J4770" s="1297"/>
      <c r="K4770" s="1298"/>
      <c r="L4770" s="920"/>
      <c r="M4770" s="377"/>
    </row>
    <row r="4771" spans="3:13" ht="17">
      <c r="C4771" s="90"/>
      <c r="D4771" s="560" t="s">
        <v>434</v>
      </c>
      <c r="E4771" s="1310">
        <v>3.5000000000000003E-2</v>
      </c>
      <c r="F4771" s="1311"/>
      <c r="G4771" s="1312"/>
      <c r="H4771" s="956"/>
      <c r="I4771" s="1302"/>
      <c r="J4771" s="1297"/>
      <c r="K4771" s="1298"/>
      <c r="L4771" s="920"/>
      <c r="M4771" s="377"/>
    </row>
    <row r="4772" spans="3:13" ht="18" thickBot="1">
      <c r="C4772" s="90"/>
      <c r="D4772" s="561" t="s">
        <v>435</v>
      </c>
      <c r="E4772" s="1313">
        <v>8.3333333333333343E-2</v>
      </c>
      <c r="F4772" s="1314"/>
      <c r="G4772" s="1315"/>
      <c r="H4772" s="957"/>
      <c r="I4772" s="1302"/>
      <c r="J4772" s="1297"/>
      <c r="K4772" s="1298"/>
      <c r="L4772" s="378">
        <v>0.3125</v>
      </c>
      <c r="M4772" s="379">
        <v>0.20833333333333331</v>
      </c>
    </row>
    <row r="4773" spans="3:13" ht="18" thickBot="1">
      <c r="C4773" s="90"/>
      <c r="D4773" s="562" t="s">
        <v>436</v>
      </c>
      <c r="E4773" s="380" t="s">
        <v>29</v>
      </c>
      <c r="F4773" s="380" t="s">
        <v>28</v>
      </c>
      <c r="G4773" s="381" t="s">
        <v>27</v>
      </c>
      <c r="H4773" s="954" t="s">
        <v>793</v>
      </c>
      <c r="I4773" s="1302"/>
      <c r="J4773" s="1297"/>
      <c r="K4773" s="1298"/>
      <c r="L4773" s="921" t="s">
        <v>1246</v>
      </c>
      <c r="M4773" s="382"/>
    </row>
    <row r="4774" spans="3:13">
      <c r="C4774" s="90"/>
      <c r="D4774" s="563">
        <v>45756</v>
      </c>
      <c r="E4774" s="440">
        <v>3.5000000000000003E-2</v>
      </c>
      <c r="F4774" s="440">
        <v>3.5000000000000003E-2</v>
      </c>
      <c r="G4774" s="440">
        <v>3.7499999999999999E-2</v>
      </c>
      <c r="H4774" s="913">
        <v>8.3333333333333343E-2</v>
      </c>
      <c r="I4774" s="1302"/>
      <c r="J4774" s="1297"/>
      <c r="K4774" s="1298"/>
      <c r="L4774" s="923">
        <v>0.3125</v>
      </c>
      <c r="M4774" s="384"/>
    </row>
    <row r="4775" spans="3:13">
      <c r="C4775" s="90"/>
      <c r="D4775" s="563">
        <v>45707</v>
      </c>
      <c r="E4775" s="440">
        <v>3.7499999999999999E-2</v>
      </c>
      <c r="F4775" s="440">
        <v>3.7499999999999999E-2</v>
      </c>
      <c r="G4775" s="440">
        <v>4.2500000000000003E-2</v>
      </c>
      <c r="H4775" s="913">
        <v>4.1666666666666657E-2</v>
      </c>
      <c r="I4775" s="1302"/>
      <c r="J4775" s="1297"/>
      <c r="K4775" s="1298"/>
      <c r="L4775" s="923">
        <v>0.27083333333333331</v>
      </c>
      <c r="M4775" s="385"/>
    </row>
    <row r="4776" spans="3:13">
      <c r="C4776" s="90"/>
      <c r="D4776" s="563">
        <v>45623</v>
      </c>
      <c r="E4776" s="440">
        <v>4.2500000000000003E-2</v>
      </c>
      <c r="F4776" s="440">
        <v>4.2500000000000003E-2</v>
      </c>
      <c r="G4776" s="440">
        <v>4.7500000000000001E-2</v>
      </c>
      <c r="H4776" s="913">
        <v>4.1666666666666657E-2</v>
      </c>
      <c r="I4776" s="1302"/>
      <c r="J4776" s="1297"/>
      <c r="K4776" s="1298"/>
      <c r="L4776" s="923">
        <v>0.27083333333333331</v>
      </c>
      <c r="M4776" s="377"/>
    </row>
    <row r="4777" spans="3:13">
      <c r="C4777" s="90"/>
      <c r="D4777" s="563">
        <v>45574</v>
      </c>
      <c r="E4777" s="440">
        <v>4.7500000000000001E-2</v>
      </c>
      <c r="F4777" s="440">
        <v>4.7500000000000001E-2</v>
      </c>
      <c r="G4777" s="440">
        <v>5.2499999999999998E-2</v>
      </c>
      <c r="H4777" s="913">
        <v>4.1666666666666657E-2</v>
      </c>
      <c r="I4777" s="1302"/>
      <c r="J4777" s="1297"/>
      <c r="K4777" s="1298"/>
      <c r="L4777" s="923">
        <v>0.27083333333333331</v>
      </c>
      <c r="M4777" s="377"/>
    </row>
    <row r="4778" spans="3:13">
      <c r="C4778" s="90"/>
      <c r="D4778" s="563">
        <v>45518</v>
      </c>
      <c r="E4778" s="440">
        <v>5.2499999999999998E-2</v>
      </c>
      <c r="F4778" s="440">
        <v>5.5E-2</v>
      </c>
      <c r="G4778" s="440">
        <v>5.5E-2</v>
      </c>
      <c r="H4778" s="913">
        <v>8.3333333333333343E-2</v>
      </c>
      <c r="I4778" s="1302"/>
      <c r="J4778" s="1297"/>
      <c r="K4778" s="1298"/>
      <c r="L4778" s="923">
        <v>0.3125</v>
      </c>
      <c r="M4778" s="377"/>
    </row>
    <row r="4779" spans="3:13" ht="17" thickBot="1">
      <c r="C4779" s="90"/>
      <c r="D4779" s="563">
        <v>45483</v>
      </c>
      <c r="E4779" s="440">
        <v>5.5E-2</v>
      </c>
      <c r="F4779" s="440">
        <v>5.5E-2</v>
      </c>
      <c r="G4779" s="440">
        <v>5.5E-2</v>
      </c>
      <c r="H4779" s="913">
        <v>8.3333333333333343E-2</v>
      </c>
      <c r="I4779" s="1303"/>
      <c r="J4779" s="1299"/>
      <c r="K4779" s="1300"/>
      <c r="L4779" s="923">
        <v>0.3125</v>
      </c>
      <c r="M4779" s="386"/>
    </row>
    <row r="4780" spans="3:13" ht="18" thickBot="1">
      <c r="C4780" s="90">
        <v>1</v>
      </c>
      <c r="D4780" s="562" t="s">
        <v>30</v>
      </c>
      <c r="E4780" s="1304" t="s">
        <v>1902</v>
      </c>
      <c r="F4780" s="1305"/>
      <c r="G4780" s="1306"/>
      <c r="H4780" s="954" t="s">
        <v>790</v>
      </c>
      <c r="I4780" s="1345" t="s">
        <v>633</v>
      </c>
      <c r="J4780" s="1293"/>
      <c r="K4780" s="1294"/>
      <c r="L4780" s="911" t="s">
        <v>430</v>
      </c>
      <c r="M4780" s="773" t="s">
        <v>431</v>
      </c>
    </row>
    <row r="4781" spans="3:13" ht="17">
      <c r="C4781" s="90"/>
      <c r="D4781" s="559" t="s">
        <v>432</v>
      </c>
      <c r="E4781" s="1307"/>
      <c r="F4781" s="1308"/>
      <c r="G4781" s="1309"/>
      <c r="H4781" s="955" t="s">
        <v>794</v>
      </c>
      <c r="I4781" s="1301" t="s">
        <v>2154</v>
      </c>
      <c r="J4781" s="1295"/>
      <c r="K4781" s="1296"/>
      <c r="L4781" s="920"/>
      <c r="M4781" s="376" t="s">
        <v>1902</v>
      </c>
    </row>
    <row r="4782" spans="3:13" ht="17">
      <c r="C4782" s="90"/>
      <c r="D4782" s="560" t="s">
        <v>433</v>
      </c>
      <c r="E4782" s="1331"/>
      <c r="F4782" s="1332"/>
      <c r="G4782" s="1333"/>
      <c r="H4782" s="955" t="s">
        <v>795</v>
      </c>
      <c r="I4782" s="1302"/>
      <c r="J4782" s="1297"/>
      <c r="K4782" s="1298"/>
      <c r="L4782" s="920"/>
      <c r="M4782" s="377"/>
    </row>
    <row r="4783" spans="3:13" ht="17">
      <c r="C4783" s="90"/>
      <c r="D4783" s="560" t="s">
        <v>434</v>
      </c>
      <c r="E4783" s="1310">
        <v>0</v>
      </c>
      <c r="F4783" s="1311"/>
      <c r="G4783" s="1312"/>
      <c r="H4783" s="956"/>
      <c r="I4783" s="1302"/>
      <c r="J4783" s="1297"/>
      <c r="K4783" s="1298"/>
      <c r="L4783" s="920"/>
      <c r="M4783" s="377"/>
    </row>
    <row r="4784" spans="3:13" ht="18" thickBot="1">
      <c r="C4784" s="90"/>
      <c r="D4784" s="561" t="s">
        <v>435</v>
      </c>
      <c r="E4784" s="1313">
        <v>0.75</v>
      </c>
      <c r="F4784" s="1314"/>
      <c r="G4784" s="1315"/>
      <c r="H4784" s="957"/>
      <c r="I4784" s="1302"/>
      <c r="J4784" s="1297"/>
      <c r="K4784" s="1298"/>
      <c r="L4784" s="378">
        <v>0.97916666666666663</v>
      </c>
      <c r="M4784" s="379">
        <v>0.875</v>
      </c>
    </row>
    <row r="4785" spans="3:13" ht="18" thickBot="1">
      <c r="C4785" s="90"/>
      <c r="D4785" s="562" t="s">
        <v>436</v>
      </c>
      <c r="E4785" s="380" t="s">
        <v>29</v>
      </c>
      <c r="F4785" s="380" t="s">
        <v>28</v>
      </c>
      <c r="G4785" s="381" t="s">
        <v>27</v>
      </c>
      <c r="H4785" s="954" t="s">
        <v>793</v>
      </c>
      <c r="I4785" s="1302"/>
      <c r="J4785" s="1297"/>
      <c r="K4785" s="1298"/>
      <c r="L4785" s="921" t="s">
        <v>1246</v>
      </c>
      <c r="M4785" s="382"/>
    </row>
    <row r="4786" spans="3:13">
      <c r="C4786" s="90"/>
      <c r="D4786" s="563">
        <v>45756</v>
      </c>
      <c r="E4786" s="440">
        <v>0</v>
      </c>
      <c r="F4786" s="440">
        <v>0</v>
      </c>
      <c r="G4786" s="440">
        <v>0</v>
      </c>
      <c r="H4786" s="913">
        <v>0.75</v>
      </c>
      <c r="I4786" s="1302"/>
      <c r="J4786" s="1297"/>
      <c r="K4786" s="1298"/>
      <c r="L4786" s="923">
        <v>0.97916666666666663</v>
      </c>
      <c r="M4786" s="384"/>
    </row>
    <row r="4787" spans="3:13">
      <c r="C4787" s="90"/>
      <c r="D4787" s="563">
        <v>45707</v>
      </c>
      <c r="E4787" s="440">
        <v>0</v>
      </c>
      <c r="F4787" s="440">
        <v>0</v>
      </c>
      <c r="G4787" s="440">
        <v>0</v>
      </c>
      <c r="H4787" s="913">
        <v>0.79166666666666674</v>
      </c>
      <c r="I4787" s="1302"/>
      <c r="J4787" s="1297"/>
      <c r="K4787" s="1298"/>
      <c r="L4787" s="923">
        <v>2.0833333333333332E-2</v>
      </c>
      <c r="M4787" s="385"/>
    </row>
    <row r="4788" spans="3:13">
      <c r="C4788" s="90"/>
      <c r="D4788" s="563">
        <v>45665</v>
      </c>
      <c r="E4788" s="440">
        <v>0</v>
      </c>
      <c r="F4788" s="440">
        <v>0</v>
      </c>
      <c r="G4788" s="440">
        <v>0</v>
      </c>
      <c r="H4788" s="913">
        <v>0.79166666666666674</v>
      </c>
      <c r="I4788" s="1302"/>
      <c r="J4788" s="1297"/>
      <c r="K4788" s="1298"/>
      <c r="L4788" s="923">
        <v>2.0833333333333332E-2</v>
      </c>
      <c r="M4788" s="377"/>
    </row>
    <row r="4789" spans="3:13">
      <c r="C4789" s="90"/>
      <c r="D4789" s="563">
        <v>45622</v>
      </c>
      <c r="E4789" s="440">
        <v>0</v>
      </c>
      <c r="F4789" s="440">
        <v>0</v>
      </c>
      <c r="G4789" s="440">
        <v>0</v>
      </c>
      <c r="H4789" s="913">
        <v>0.79166666666666674</v>
      </c>
      <c r="I4789" s="1302"/>
      <c r="J4789" s="1297"/>
      <c r="K4789" s="1298"/>
      <c r="L4789" s="923">
        <v>2.0833333333333332E-2</v>
      </c>
      <c r="M4789" s="377"/>
    </row>
    <row r="4790" spans="3:13">
      <c r="C4790" s="90"/>
      <c r="D4790" s="563">
        <v>45574</v>
      </c>
      <c r="E4790" s="440">
        <v>0</v>
      </c>
      <c r="F4790" s="440">
        <v>0</v>
      </c>
      <c r="G4790" s="440">
        <v>0</v>
      </c>
      <c r="H4790" s="913">
        <v>0.75</v>
      </c>
      <c r="I4790" s="1302"/>
      <c r="J4790" s="1297"/>
      <c r="K4790" s="1298"/>
      <c r="L4790" s="923">
        <v>0.97916666666666663</v>
      </c>
      <c r="M4790" s="377"/>
    </row>
    <row r="4791" spans="3:13" ht="17" thickBot="1">
      <c r="C4791" s="90"/>
      <c r="D4791" s="563">
        <v>45525</v>
      </c>
      <c r="E4791" s="440">
        <v>0</v>
      </c>
      <c r="F4791" s="440">
        <v>0</v>
      </c>
      <c r="G4791" s="440">
        <v>0</v>
      </c>
      <c r="H4791" s="913">
        <v>0.75</v>
      </c>
      <c r="I4791" s="1303"/>
      <c r="J4791" s="1299"/>
      <c r="K4791" s="1300"/>
      <c r="L4791" s="923">
        <v>0.97916666666666663</v>
      </c>
      <c r="M4791" s="386"/>
    </row>
    <row r="4792" spans="3:13" ht="18" thickBot="1">
      <c r="C4792" s="90">
        <v>1</v>
      </c>
      <c r="D4792" s="562" t="s">
        <v>30</v>
      </c>
      <c r="E4792" s="1304" t="s">
        <v>2155</v>
      </c>
      <c r="F4792" s="1305"/>
      <c r="G4792" s="1306"/>
      <c r="H4792" s="954" t="s">
        <v>790</v>
      </c>
      <c r="I4792" s="1345" t="s">
        <v>633</v>
      </c>
      <c r="J4792" s="1293"/>
      <c r="K4792" s="1294"/>
      <c r="L4792" s="911" t="s">
        <v>430</v>
      </c>
      <c r="M4792" s="773" t="s">
        <v>431</v>
      </c>
    </row>
    <row r="4793" spans="3:13" ht="17">
      <c r="C4793" s="90"/>
      <c r="D4793" s="559" t="s">
        <v>432</v>
      </c>
      <c r="E4793" s="1307"/>
      <c r="F4793" s="1308"/>
      <c r="G4793" s="1309"/>
      <c r="H4793" s="955" t="s">
        <v>794</v>
      </c>
      <c r="I4793" s="1301" t="s">
        <v>1963</v>
      </c>
      <c r="J4793" s="1295"/>
      <c r="K4793" s="1296"/>
      <c r="L4793" s="920"/>
      <c r="M4793" s="376" t="s">
        <v>2155</v>
      </c>
    </row>
    <row r="4794" spans="3:13" ht="17">
      <c r="C4794" s="90"/>
      <c r="D4794" s="560" t="s">
        <v>433</v>
      </c>
      <c r="E4794" s="1331"/>
      <c r="F4794" s="1332"/>
      <c r="G4794" s="1333"/>
      <c r="H4794" s="955" t="s">
        <v>795</v>
      </c>
      <c r="I4794" s="1302"/>
      <c r="J4794" s="1297"/>
      <c r="K4794" s="1298"/>
      <c r="L4794" s="920"/>
      <c r="M4794" s="377"/>
    </row>
    <row r="4795" spans="3:13" ht="17">
      <c r="C4795" s="90"/>
      <c r="D4795" s="560" t="s">
        <v>434</v>
      </c>
      <c r="E4795" s="1310"/>
      <c r="F4795" s="1311"/>
      <c r="G4795" s="1312"/>
      <c r="H4795" s="956"/>
      <c r="I4795" s="1302"/>
      <c r="J4795" s="1297"/>
      <c r="K4795" s="1298"/>
      <c r="L4795" s="920"/>
      <c r="M4795" s="377"/>
    </row>
    <row r="4796" spans="3:13" ht="18" thickBot="1">
      <c r="C4796" s="90"/>
      <c r="D4796" s="561" t="s">
        <v>435</v>
      </c>
      <c r="E4796" s="1313" t="e">
        <v>#VALUE!</v>
      </c>
      <c r="F4796" s="1314"/>
      <c r="G4796" s="1315"/>
      <c r="H4796" s="957"/>
      <c r="I4796" s="1302"/>
      <c r="J4796" s="1297"/>
      <c r="K4796" s="1298"/>
      <c r="L4796" s="378" t="s">
        <v>1449</v>
      </c>
      <c r="M4796" s="379" t="e">
        <v>#VALUE!</v>
      </c>
    </row>
    <row r="4797" spans="3:13" ht="18" thickBot="1">
      <c r="C4797" s="90"/>
      <c r="D4797" s="562" t="s">
        <v>436</v>
      </c>
      <c r="E4797" s="380" t="s">
        <v>29</v>
      </c>
      <c r="F4797" s="380" t="s">
        <v>28</v>
      </c>
      <c r="G4797" s="381" t="s">
        <v>27</v>
      </c>
      <c r="H4797" s="954" t="s">
        <v>793</v>
      </c>
      <c r="I4797" s="1302"/>
      <c r="J4797" s="1297"/>
      <c r="K4797" s="1298"/>
      <c r="L4797" s="921" t="s">
        <v>1246</v>
      </c>
      <c r="M4797" s="382"/>
    </row>
    <row r="4798" spans="3:13" ht="17">
      <c r="C4798" s="90"/>
      <c r="D4798" s="563">
        <v>45792</v>
      </c>
      <c r="E4798" s="440"/>
      <c r="F4798" s="440" t="s">
        <v>976</v>
      </c>
      <c r="G4798" s="440" t="s">
        <v>977</v>
      </c>
      <c r="H4798" s="913">
        <v>0.52083333333333337</v>
      </c>
      <c r="I4798" s="1302"/>
      <c r="J4798" s="1297"/>
      <c r="K4798" s="1298"/>
      <c r="L4798" s="923">
        <v>0.75</v>
      </c>
      <c r="M4798" s="384"/>
    </row>
    <row r="4799" spans="3:13" ht="17">
      <c r="C4799" s="90"/>
      <c r="D4799" s="805">
        <v>45785</v>
      </c>
      <c r="E4799" s="440" t="s">
        <v>977</v>
      </c>
      <c r="F4799" s="440" t="s">
        <v>984</v>
      </c>
      <c r="G4799" s="440" t="s">
        <v>981</v>
      </c>
      <c r="H4799" s="913">
        <v>0.52083333333333337</v>
      </c>
      <c r="I4799" s="1302"/>
      <c r="J4799" s="1297"/>
      <c r="K4799" s="1298"/>
      <c r="L4799" s="923">
        <v>0.75</v>
      </c>
      <c r="M4799" s="385"/>
    </row>
    <row r="4800" spans="3:13" ht="17">
      <c r="C4800" s="90"/>
      <c r="D4800" s="805">
        <v>45778</v>
      </c>
      <c r="E4800" s="440" t="s">
        <v>981</v>
      </c>
      <c r="F4800" s="440" t="s">
        <v>1032</v>
      </c>
      <c r="G4800" s="440" t="s">
        <v>973</v>
      </c>
      <c r="H4800" s="913">
        <v>0.52083333333333337</v>
      </c>
      <c r="I4800" s="1302"/>
      <c r="J4800" s="1297"/>
      <c r="K4800" s="1298"/>
      <c r="L4800" s="923">
        <v>0.75</v>
      </c>
      <c r="M4800" s="377"/>
    </row>
    <row r="4801" spans="3:13" ht="17">
      <c r="C4801" s="90"/>
      <c r="D4801" s="805">
        <v>45771</v>
      </c>
      <c r="E4801" s="440" t="s">
        <v>986</v>
      </c>
      <c r="F4801" s="440" t="s">
        <v>986</v>
      </c>
      <c r="G4801" s="440" t="s">
        <v>975</v>
      </c>
      <c r="H4801" s="913">
        <v>0.52083333333333337</v>
      </c>
      <c r="I4801" s="1302"/>
      <c r="J4801" s="1297"/>
      <c r="K4801" s="1298"/>
      <c r="L4801" s="923">
        <v>0.75</v>
      </c>
      <c r="M4801" s="377"/>
    </row>
    <row r="4802" spans="3:13" ht="17">
      <c r="C4802" s="90"/>
      <c r="D4802" s="563">
        <v>45764</v>
      </c>
      <c r="E4802" s="440" t="s">
        <v>1232</v>
      </c>
      <c r="F4802" s="440" t="s">
        <v>985</v>
      </c>
      <c r="G4802" s="440" t="s">
        <v>1032</v>
      </c>
      <c r="H4802" s="913">
        <v>0.52083333333333337</v>
      </c>
      <c r="I4802" s="1302"/>
      <c r="J4802" s="1297"/>
      <c r="K4802" s="1298"/>
      <c r="L4802" s="923">
        <v>0.75</v>
      </c>
      <c r="M4802" s="377"/>
    </row>
    <row r="4803" spans="3:13" ht="18" thickBot="1">
      <c r="C4803" s="90"/>
      <c r="D4803" s="563">
        <v>45757</v>
      </c>
      <c r="E4803" s="440" t="s">
        <v>973</v>
      </c>
      <c r="F4803" s="440" t="s">
        <v>973</v>
      </c>
      <c r="G4803" s="440" t="s">
        <v>987</v>
      </c>
      <c r="H4803" s="913">
        <v>0.52083333333333337</v>
      </c>
      <c r="I4803" s="1303"/>
      <c r="J4803" s="1299"/>
      <c r="K4803" s="1300"/>
      <c r="L4803" s="923">
        <v>0.75</v>
      </c>
      <c r="M4803" s="386"/>
    </row>
    <row r="4804" spans="3:13" ht="18" thickBot="1">
      <c r="C4804" s="90">
        <v>1</v>
      </c>
      <c r="D4804" s="777" t="s">
        <v>30</v>
      </c>
      <c r="E4804" s="1316" t="s">
        <v>2156</v>
      </c>
      <c r="F4804" s="1317"/>
      <c r="G4804" s="1318"/>
      <c r="H4804" s="954" t="s">
        <v>790</v>
      </c>
      <c r="I4804" s="1345" t="s">
        <v>633</v>
      </c>
      <c r="J4804" s="1293"/>
      <c r="K4804" s="1294"/>
      <c r="L4804" s="911" t="s">
        <v>430</v>
      </c>
      <c r="M4804" s="773" t="s">
        <v>431</v>
      </c>
    </row>
    <row r="4805" spans="3:13" ht="17">
      <c r="C4805" s="90"/>
      <c r="D4805" s="780" t="s">
        <v>432</v>
      </c>
      <c r="E4805" s="1319"/>
      <c r="F4805" s="1320"/>
      <c r="G4805" s="1321"/>
      <c r="H4805" s="955" t="s">
        <v>794</v>
      </c>
      <c r="I4805" s="1301" t="s">
        <v>1963</v>
      </c>
      <c r="J4805" s="1295"/>
      <c r="K4805" s="1296"/>
      <c r="L4805" s="920"/>
      <c r="M4805" s="376" t="s">
        <v>2156</v>
      </c>
    </row>
    <row r="4806" spans="3:13" ht="17">
      <c r="C4806" s="90"/>
      <c r="D4806" s="782" t="s">
        <v>433</v>
      </c>
      <c r="E4806" s="1322"/>
      <c r="F4806" s="1323"/>
      <c r="G4806" s="1324"/>
      <c r="H4806" s="955" t="s">
        <v>795</v>
      </c>
      <c r="I4806" s="1302"/>
      <c r="J4806" s="1297"/>
      <c r="K4806" s="1298"/>
      <c r="L4806" s="920"/>
      <c r="M4806" s="377"/>
    </row>
    <row r="4807" spans="3:13" ht="17">
      <c r="C4807" s="90"/>
      <c r="D4807" s="782" t="s">
        <v>434</v>
      </c>
      <c r="E4807" s="1591">
        <v>0</v>
      </c>
      <c r="F4807" s="1592"/>
      <c r="G4807" s="1593"/>
      <c r="H4807" s="956"/>
      <c r="I4807" s="1302"/>
      <c r="J4807" s="1297"/>
      <c r="K4807" s="1298"/>
      <c r="L4807" s="920"/>
      <c r="M4807" s="377"/>
    </row>
    <row r="4808" spans="3:13" ht="18" thickBot="1">
      <c r="C4808" s="90"/>
      <c r="D4808" s="784" t="s">
        <v>435</v>
      </c>
      <c r="E4808" s="1328" t="e">
        <v>#VALUE!</v>
      </c>
      <c r="F4808" s="1329"/>
      <c r="G4808" s="1330"/>
      <c r="H4808" s="957"/>
      <c r="I4808" s="1302"/>
      <c r="J4808" s="1297"/>
      <c r="K4808" s="1298"/>
      <c r="L4808" s="378" t="s">
        <v>1449</v>
      </c>
      <c r="M4808" s="379" t="e">
        <v>#VALUE!</v>
      </c>
    </row>
    <row r="4809" spans="3:13" ht="18" thickBot="1">
      <c r="C4809" s="90"/>
      <c r="D4809" s="777" t="s">
        <v>436</v>
      </c>
      <c r="E4809" s="786" t="s">
        <v>29</v>
      </c>
      <c r="F4809" s="786" t="s">
        <v>28</v>
      </c>
      <c r="G4809" s="787" t="s">
        <v>27</v>
      </c>
      <c r="H4809" s="954" t="s">
        <v>793</v>
      </c>
      <c r="I4809" s="1302"/>
      <c r="J4809" s="1297"/>
      <c r="K4809" s="1298"/>
      <c r="L4809" s="921" t="s">
        <v>1246</v>
      </c>
      <c r="M4809" s="382"/>
    </row>
    <row r="4810" spans="3:13">
      <c r="C4810" s="90"/>
      <c r="D4810" s="798">
        <v>45778</v>
      </c>
      <c r="E4810" s="799"/>
      <c r="F4810" s="799">
        <v>50.7</v>
      </c>
      <c r="G4810" s="799">
        <v>50.2</v>
      </c>
      <c r="H4810" s="913">
        <v>0.57291666666666674</v>
      </c>
      <c r="I4810" s="1302"/>
      <c r="J4810" s="1297"/>
      <c r="K4810" s="1298"/>
      <c r="L4810" s="923">
        <v>0.80208333333333337</v>
      </c>
      <c r="M4810" s="384"/>
    </row>
    <row r="4811" spans="3:13">
      <c r="C4811" s="90"/>
      <c r="D4811" s="798">
        <v>45770</v>
      </c>
      <c r="E4811" s="799">
        <v>50.7</v>
      </c>
      <c r="F4811" s="799">
        <v>49</v>
      </c>
      <c r="G4811" s="799">
        <v>50.2</v>
      </c>
      <c r="H4811" s="913">
        <v>0.57291666666666674</v>
      </c>
      <c r="I4811" s="1302"/>
      <c r="J4811" s="1297"/>
      <c r="K4811" s="1298"/>
      <c r="L4811" s="923">
        <v>0.80208333333333337</v>
      </c>
      <c r="M4811" s="385"/>
    </row>
    <row r="4812" spans="3:13">
      <c r="C4812" s="90"/>
      <c r="D4812" s="798">
        <v>45778</v>
      </c>
      <c r="E4812" s="799">
        <v>50.2</v>
      </c>
      <c r="F4812" s="799">
        <v>50.7</v>
      </c>
      <c r="G4812" s="799">
        <v>50.2</v>
      </c>
      <c r="H4812" s="913">
        <v>0.57291666666666674</v>
      </c>
      <c r="I4812" s="1302"/>
      <c r="J4812" s="1297"/>
      <c r="K4812" s="1298"/>
      <c r="L4812" s="923">
        <v>0.80208333333333337</v>
      </c>
      <c r="M4812" s="377"/>
    </row>
    <row r="4813" spans="3:13">
      <c r="C4813" s="90"/>
      <c r="D4813" s="798">
        <v>45770</v>
      </c>
      <c r="E4813" s="799">
        <v>50.7</v>
      </c>
      <c r="F4813" s="799">
        <v>49</v>
      </c>
      <c r="G4813" s="799">
        <v>50.2</v>
      </c>
      <c r="H4813" s="913">
        <v>0.57291666666666674</v>
      </c>
      <c r="I4813" s="1302"/>
      <c r="J4813" s="1297"/>
      <c r="K4813" s="1298"/>
      <c r="L4813" s="923">
        <v>0.80208333333333337</v>
      </c>
      <c r="M4813" s="377"/>
    </row>
    <row r="4814" spans="3:13">
      <c r="C4814" s="90"/>
      <c r="D4814" s="798">
        <v>45778</v>
      </c>
      <c r="E4814" s="799">
        <v>50.2</v>
      </c>
      <c r="F4814" s="799">
        <v>50.7</v>
      </c>
      <c r="G4814" s="799">
        <v>50.2</v>
      </c>
      <c r="H4814" s="913">
        <v>0.57291666666666674</v>
      </c>
      <c r="I4814" s="1302"/>
      <c r="J4814" s="1297"/>
      <c r="K4814" s="1298"/>
      <c r="L4814" s="923">
        <v>0.80208333333333337</v>
      </c>
      <c r="M4814" s="377"/>
    </row>
    <row r="4815" spans="3:13" ht="17" thickBot="1">
      <c r="C4815" s="90"/>
      <c r="D4815" s="798">
        <v>45770</v>
      </c>
      <c r="E4815" s="799">
        <v>50.7</v>
      </c>
      <c r="F4815" s="799">
        <v>49</v>
      </c>
      <c r="G4815" s="799">
        <v>50.2</v>
      </c>
      <c r="H4815" s="913">
        <v>0.57291666666666674</v>
      </c>
      <c r="I4815" s="1303"/>
      <c r="J4815" s="1299"/>
      <c r="K4815" s="1300"/>
      <c r="L4815" s="923">
        <v>0.80208333333333337</v>
      </c>
      <c r="M4815" s="386"/>
    </row>
    <row r="4816" spans="3:13" ht="18" thickBot="1">
      <c r="C4816" s="90">
        <v>1</v>
      </c>
      <c r="D4816" s="562" t="s">
        <v>30</v>
      </c>
      <c r="E4816" s="1304" t="s">
        <v>2157</v>
      </c>
      <c r="F4816" s="1305"/>
      <c r="G4816" s="1306"/>
      <c r="H4816" s="954" t="s">
        <v>790</v>
      </c>
      <c r="I4816" s="1345" t="s">
        <v>633</v>
      </c>
      <c r="J4816" s="1293"/>
      <c r="K4816" s="1294"/>
      <c r="L4816" s="911" t="s">
        <v>430</v>
      </c>
      <c r="M4816" s="773" t="s">
        <v>431</v>
      </c>
    </row>
    <row r="4817" spans="3:13" ht="17">
      <c r="C4817" s="90"/>
      <c r="D4817" s="559" t="s">
        <v>432</v>
      </c>
      <c r="E4817" s="1563"/>
      <c r="F4817" s="1564"/>
      <c r="G4817" s="1565"/>
      <c r="H4817" s="955" t="s">
        <v>913</v>
      </c>
      <c r="I4817" s="1301" t="s">
        <v>2158</v>
      </c>
      <c r="J4817" s="1295"/>
      <c r="K4817" s="1296"/>
      <c r="L4817" s="920"/>
      <c r="M4817" s="376" t="s">
        <v>2157</v>
      </c>
    </row>
    <row r="4818" spans="3:13" ht="17">
      <c r="C4818" s="90"/>
      <c r="D4818" s="560" t="s">
        <v>433</v>
      </c>
      <c r="E4818" s="1334">
        <v>0.89</v>
      </c>
      <c r="F4818" s="1332"/>
      <c r="G4818" s="1333"/>
      <c r="H4818" s="955" t="s">
        <v>913</v>
      </c>
      <c r="I4818" s="1302"/>
      <c r="J4818" s="1297"/>
      <c r="K4818" s="1298"/>
      <c r="L4818" s="920"/>
      <c r="M4818" s="377"/>
    </row>
    <row r="4819" spans="3:13" ht="17">
      <c r="C4819" s="90"/>
      <c r="D4819" s="560" t="s">
        <v>434</v>
      </c>
      <c r="E4819" s="1334">
        <v>0.57999999999999996</v>
      </c>
      <c r="F4819" s="1332"/>
      <c r="G4819" s="1333"/>
      <c r="H4819" s="956"/>
      <c r="I4819" s="1302"/>
      <c r="J4819" s="1297"/>
      <c r="K4819" s="1298"/>
      <c r="L4819" s="920"/>
      <c r="M4819" s="377"/>
    </row>
    <row r="4820" spans="3:13" ht="18" thickBot="1">
      <c r="C4820" s="90"/>
      <c r="D4820" s="561" t="s">
        <v>435</v>
      </c>
      <c r="E4820" s="1313">
        <v>0.83333333333333337</v>
      </c>
      <c r="F4820" s="1314"/>
      <c r="G4820" s="1315"/>
      <c r="H4820" s="957"/>
      <c r="I4820" s="1302"/>
      <c r="J4820" s="1297"/>
      <c r="K4820" s="1298"/>
      <c r="L4820" s="378">
        <v>6.25E-2</v>
      </c>
      <c r="M4820" s="379">
        <v>0.95833333333333337</v>
      </c>
    </row>
    <row r="4821" spans="3:13" ht="18" thickBot="1">
      <c r="C4821" s="90"/>
      <c r="D4821" s="562" t="s">
        <v>436</v>
      </c>
      <c r="E4821" s="380" t="s">
        <v>29</v>
      </c>
      <c r="F4821" s="380" t="s">
        <v>28</v>
      </c>
      <c r="G4821" s="381" t="s">
        <v>27</v>
      </c>
      <c r="H4821" s="954" t="s">
        <v>793</v>
      </c>
      <c r="I4821" s="1302"/>
      <c r="J4821" s="1297"/>
      <c r="K4821" s="1298"/>
      <c r="L4821" s="921" t="s">
        <v>1246</v>
      </c>
      <c r="M4821" s="382"/>
    </row>
    <row r="4822" spans="3:13" ht="17">
      <c r="C4822" s="90"/>
      <c r="D4822" s="563">
        <v>45714</v>
      </c>
      <c r="E4822" s="440" t="s">
        <v>2174</v>
      </c>
      <c r="F4822" s="440" t="s">
        <v>2175</v>
      </c>
      <c r="G4822" s="440" t="s">
        <v>1764</v>
      </c>
      <c r="H4822" s="958">
        <v>0.95833333333333337</v>
      </c>
      <c r="I4822" s="1302"/>
      <c r="J4822" s="1297"/>
      <c r="K4822" s="1298"/>
      <c r="L4822" s="923">
        <v>6.25E-2</v>
      </c>
      <c r="M4822" s="384"/>
    </row>
    <row r="4823" spans="3:13" ht="17">
      <c r="C4823" s="90"/>
      <c r="D4823" s="563">
        <v>45616</v>
      </c>
      <c r="E4823" s="440" t="s">
        <v>2175</v>
      </c>
      <c r="F4823" s="440" t="s">
        <v>2175</v>
      </c>
      <c r="G4823" s="440" t="s">
        <v>1776</v>
      </c>
      <c r="H4823" s="958">
        <v>0.95833333333333337</v>
      </c>
      <c r="I4823" s="1302"/>
      <c r="J4823" s="1297"/>
      <c r="K4823" s="1298"/>
      <c r="L4823" s="923">
        <v>6.25E-2</v>
      </c>
      <c r="M4823" s="385"/>
    </row>
    <row r="4824" spans="3:13" ht="17">
      <c r="C4824" s="90"/>
      <c r="D4824" s="563">
        <v>45532</v>
      </c>
      <c r="E4824" s="440" t="s">
        <v>2176</v>
      </c>
      <c r="F4824" s="440" t="s">
        <v>2176</v>
      </c>
      <c r="G4824" s="440" t="s">
        <v>2177</v>
      </c>
      <c r="H4824" s="958">
        <v>0.95833333333333337</v>
      </c>
      <c r="I4824" s="1302"/>
      <c r="J4824" s="1297"/>
      <c r="K4824" s="1298"/>
      <c r="L4824" s="923">
        <v>6.25E-2</v>
      </c>
      <c r="M4824" s="377"/>
    </row>
    <row r="4825" spans="3:13" ht="17">
      <c r="C4825" s="90"/>
      <c r="D4825" s="563">
        <v>45434</v>
      </c>
      <c r="E4825" s="440" t="s">
        <v>2178</v>
      </c>
      <c r="F4825" s="440" t="s">
        <v>2178</v>
      </c>
      <c r="G4825" s="440" t="s">
        <v>2179</v>
      </c>
      <c r="H4825" s="958">
        <v>0.95833333333333337</v>
      </c>
      <c r="I4825" s="1302"/>
      <c r="J4825" s="1297"/>
      <c r="K4825" s="1298"/>
      <c r="L4825" s="923">
        <v>6.25E-2</v>
      </c>
      <c r="M4825" s="377"/>
    </row>
    <row r="4826" spans="3:13" ht="17">
      <c r="C4826" s="90"/>
      <c r="D4826" s="563">
        <v>45343</v>
      </c>
      <c r="E4826" s="440" t="s">
        <v>1764</v>
      </c>
      <c r="F4826" s="440" t="s">
        <v>1764</v>
      </c>
      <c r="G4826" s="440" t="s">
        <v>2180</v>
      </c>
      <c r="H4826" s="958">
        <v>0.95833333333333337</v>
      </c>
      <c r="I4826" s="1302"/>
      <c r="J4826" s="1297"/>
      <c r="K4826" s="1298"/>
      <c r="L4826" s="923">
        <v>6.25E-2</v>
      </c>
      <c r="M4826" s="377"/>
    </row>
    <row r="4827" spans="3:13" ht="18" thickBot="1">
      <c r="C4827" s="90"/>
      <c r="D4827" s="563">
        <v>45251</v>
      </c>
      <c r="E4827" s="440" t="s">
        <v>1776</v>
      </c>
      <c r="F4827" s="440" t="s">
        <v>1776</v>
      </c>
      <c r="G4827" s="440" t="s">
        <v>2181</v>
      </c>
      <c r="H4827" s="958">
        <v>0.95833333333333337</v>
      </c>
      <c r="I4827" s="1303"/>
      <c r="J4827" s="1299"/>
      <c r="K4827" s="1300"/>
      <c r="L4827" s="923">
        <v>6.25E-2</v>
      </c>
      <c r="M4827" s="386"/>
    </row>
    <row r="4828" spans="3:13" ht="18" thickBot="1">
      <c r="C4828" s="90">
        <v>1</v>
      </c>
      <c r="D4828" s="562" t="s">
        <v>30</v>
      </c>
      <c r="E4828" s="1304" t="s">
        <v>2159</v>
      </c>
      <c r="F4828" s="1305"/>
      <c r="G4828" s="1306"/>
      <c r="H4828" s="954" t="s">
        <v>790</v>
      </c>
      <c r="I4828" s="1345" t="s">
        <v>633</v>
      </c>
      <c r="J4828" s="1293"/>
      <c r="K4828" s="1294"/>
      <c r="L4828" s="911" t="s">
        <v>430</v>
      </c>
      <c r="M4828" s="773" t="s">
        <v>431</v>
      </c>
    </row>
    <row r="4829" spans="3:13" ht="17">
      <c r="C4829" s="90"/>
      <c r="D4829" s="559" t="s">
        <v>432</v>
      </c>
      <c r="E4829" s="1307"/>
      <c r="F4829" s="1308"/>
      <c r="G4829" s="1309"/>
      <c r="H4829" s="955" t="s">
        <v>794</v>
      </c>
      <c r="I4829" s="1301" t="s">
        <v>2160</v>
      </c>
      <c r="J4829" s="1295"/>
      <c r="K4829" s="1296"/>
      <c r="L4829" s="920"/>
      <c r="M4829" s="376" t="s">
        <v>2159</v>
      </c>
    </row>
    <row r="4830" spans="3:13" ht="17">
      <c r="C4830" s="90"/>
      <c r="D4830" s="560" t="s">
        <v>433</v>
      </c>
      <c r="E4830" s="1331"/>
      <c r="F4830" s="1332"/>
      <c r="G4830" s="1333"/>
      <c r="H4830" s="955" t="s">
        <v>795</v>
      </c>
      <c r="I4830" s="1302"/>
      <c r="J4830" s="1297"/>
      <c r="K4830" s="1298"/>
      <c r="L4830" s="920"/>
      <c r="M4830" s="377"/>
    </row>
    <row r="4831" spans="3:13" ht="17">
      <c r="C4831" s="90"/>
      <c r="D4831" s="560" t="s">
        <v>434</v>
      </c>
      <c r="E4831" s="1310">
        <v>2.4E-2</v>
      </c>
      <c r="F4831" s="1311"/>
      <c r="G4831" s="1312"/>
      <c r="H4831" s="956"/>
      <c r="I4831" s="1302"/>
      <c r="J4831" s="1297"/>
      <c r="K4831" s="1298"/>
      <c r="L4831" s="920"/>
      <c r="M4831" s="377"/>
    </row>
    <row r="4832" spans="3:13" ht="18" thickBot="1">
      <c r="C4832" s="90"/>
      <c r="D4832" s="561" t="s">
        <v>435</v>
      </c>
      <c r="E4832" s="1313">
        <v>0.52083333333333337</v>
      </c>
      <c r="F4832" s="1314"/>
      <c r="G4832" s="1315"/>
      <c r="H4832" s="957"/>
      <c r="I4832" s="1302"/>
      <c r="J4832" s="1297"/>
      <c r="K4832" s="1298"/>
      <c r="L4832" s="378">
        <v>0.75</v>
      </c>
      <c r="M4832" s="379">
        <v>0.64583333333333337</v>
      </c>
    </row>
    <row r="4833" spans="3:13" ht="18" thickBot="1">
      <c r="C4833" s="90"/>
      <c r="D4833" s="562" t="s">
        <v>436</v>
      </c>
      <c r="E4833" s="380" t="s">
        <v>29</v>
      </c>
      <c r="F4833" s="380" t="s">
        <v>28</v>
      </c>
      <c r="G4833" s="381" t="s">
        <v>27</v>
      </c>
      <c r="H4833" s="954" t="s">
        <v>793</v>
      </c>
      <c r="I4833" s="1302"/>
      <c r="J4833" s="1297"/>
      <c r="K4833" s="1298"/>
      <c r="L4833" s="921" t="s">
        <v>1246</v>
      </c>
      <c r="M4833" s="382"/>
    </row>
    <row r="4834" spans="3:13">
      <c r="C4834" s="90"/>
      <c r="D4834" s="563">
        <v>45777</v>
      </c>
      <c r="E4834" s="440"/>
      <c r="F4834" s="440">
        <v>2E-3</v>
      </c>
      <c r="G4834" s="440">
        <v>2.4E-2</v>
      </c>
      <c r="H4834" s="913">
        <v>0.52083333333333337</v>
      </c>
      <c r="I4834" s="1302"/>
      <c r="J4834" s="1297"/>
      <c r="K4834" s="1298"/>
      <c r="L4834" s="923">
        <v>0.75</v>
      </c>
      <c r="M4834" s="384"/>
    </row>
    <row r="4835" spans="3:13">
      <c r="C4835" s="90"/>
      <c r="D4835" s="563">
        <v>45743</v>
      </c>
      <c r="E4835" s="440">
        <v>2.4E-2</v>
      </c>
      <c r="F4835" s="440">
        <v>2.3E-2</v>
      </c>
      <c r="G4835" s="440">
        <v>3.1E-2</v>
      </c>
      <c r="H4835" s="913">
        <v>0.52083333333333337</v>
      </c>
      <c r="I4835" s="1302"/>
      <c r="J4835" s="1297"/>
      <c r="K4835" s="1298"/>
      <c r="L4835" s="923">
        <v>0.75</v>
      </c>
      <c r="M4835" s="385"/>
    </row>
    <row r="4836" spans="3:13">
      <c r="C4836" s="90"/>
      <c r="D4836" s="563">
        <v>45715</v>
      </c>
      <c r="E4836" s="440">
        <v>2.3E-2</v>
      </c>
      <c r="F4836" s="440">
        <v>2.3E-2</v>
      </c>
      <c r="G4836" s="440">
        <v>3.1E-2</v>
      </c>
      <c r="H4836" s="913">
        <v>0.5625</v>
      </c>
      <c r="I4836" s="1302"/>
      <c r="J4836" s="1297"/>
      <c r="K4836" s="1298"/>
      <c r="L4836" s="923">
        <v>0.79166666666666663</v>
      </c>
      <c r="M4836" s="377"/>
    </row>
    <row r="4837" spans="3:13">
      <c r="C4837" s="90"/>
      <c r="D4837" s="563">
        <v>45687</v>
      </c>
      <c r="E4837" s="440">
        <v>2.3E-2</v>
      </c>
      <c r="F4837" s="440">
        <v>2.7E-2</v>
      </c>
      <c r="G4837" s="440">
        <v>3.1E-2</v>
      </c>
      <c r="H4837" s="913">
        <v>0.5625</v>
      </c>
      <c r="I4837" s="1302"/>
      <c r="J4837" s="1297"/>
      <c r="K4837" s="1298"/>
      <c r="L4837" s="923">
        <v>0.79166666666666663</v>
      </c>
      <c r="M4837" s="377"/>
    </row>
    <row r="4838" spans="3:13">
      <c r="C4838" s="90"/>
      <c r="D4838" s="563">
        <v>45645</v>
      </c>
      <c r="E4838" s="440">
        <v>3.1E-2</v>
      </c>
      <c r="F4838" s="440">
        <v>2.8000000000000001E-2</v>
      </c>
      <c r="G4838" s="440">
        <v>0.03</v>
      </c>
      <c r="H4838" s="913">
        <v>0.5625</v>
      </c>
      <c r="I4838" s="1302"/>
      <c r="J4838" s="1297"/>
      <c r="K4838" s="1298"/>
      <c r="L4838" s="923">
        <v>0.79166666666666663</v>
      </c>
      <c r="M4838" s="377"/>
    </row>
    <row r="4839" spans="3:13" ht="17" thickBot="1">
      <c r="C4839" s="90"/>
      <c r="D4839" s="563">
        <v>45623</v>
      </c>
      <c r="E4839" s="440">
        <v>2.8000000000000001E-2</v>
      </c>
      <c r="F4839" s="440">
        <v>2.8000000000000001E-2</v>
      </c>
      <c r="G4839" s="440">
        <v>0.03</v>
      </c>
      <c r="H4839" s="913">
        <v>0.5625</v>
      </c>
      <c r="I4839" s="1303"/>
      <c r="J4839" s="1299"/>
      <c r="K4839" s="1300"/>
      <c r="L4839" s="923">
        <v>0.79166666666666663</v>
      </c>
      <c r="M4839" s="386"/>
    </row>
    <row r="4840" spans="3:13" ht="18" thickBot="1">
      <c r="C4840" s="90">
        <v>1</v>
      </c>
      <c r="D4840" s="562" t="s">
        <v>30</v>
      </c>
      <c r="E4840" s="1304" t="s">
        <v>1459</v>
      </c>
      <c r="F4840" s="1305"/>
      <c r="G4840" s="1306"/>
      <c r="H4840" s="954" t="s">
        <v>790</v>
      </c>
      <c r="I4840" s="1345" t="s">
        <v>633</v>
      </c>
      <c r="J4840" s="1293"/>
      <c r="K4840" s="1294"/>
      <c r="L4840" s="911" t="s">
        <v>430</v>
      </c>
      <c r="M4840" s="773" t="s">
        <v>431</v>
      </c>
    </row>
    <row r="4841" spans="3:13" ht="17">
      <c r="C4841" s="90"/>
      <c r="D4841" s="559" t="s">
        <v>432</v>
      </c>
      <c r="E4841" s="1307"/>
      <c r="F4841" s="1308"/>
      <c r="G4841" s="1309"/>
      <c r="H4841" s="955" t="s">
        <v>794</v>
      </c>
      <c r="I4841" s="1301" t="s">
        <v>2161</v>
      </c>
      <c r="J4841" s="1295"/>
      <c r="K4841" s="1296"/>
      <c r="L4841" s="920"/>
      <c r="M4841" s="376" t="s">
        <v>1459</v>
      </c>
    </row>
    <row r="4842" spans="3:13" ht="17">
      <c r="C4842" s="90"/>
      <c r="D4842" s="560" t="s">
        <v>433</v>
      </c>
      <c r="E4842" s="1331"/>
      <c r="F4842" s="1332"/>
      <c r="G4842" s="1333"/>
      <c r="H4842" s="955" t="s">
        <v>795</v>
      </c>
      <c r="I4842" s="1302"/>
      <c r="J4842" s="1297"/>
      <c r="K4842" s="1298"/>
      <c r="L4842" s="920"/>
      <c r="M4842" s="377"/>
    </row>
    <row r="4843" spans="3:13" ht="17">
      <c r="C4843" s="90"/>
      <c r="D4843" s="560" t="s">
        <v>434</v>
      </c>
      <c r="E4843" s="1310"/>
      <c r="F4843" s="1311"/>
      <c r="G4843" s="1312"/>
      <c r="H4843" s="956"/>
      <c r="I4843" s="1302"/>
      <c r="J4843" s="1297"/>
      <c r="K4843" s="1298"/>
      <c r="L4843" s="920"/>
      <c r="M4843" s="377"/>
    </row>
    <row r="4844" spans="3:13" ht="18" thickBot="1">
      <c r="C4844" s="90"/>
      <c r="D4844" s="561" t="s">
        <v>435</v>
      </c>
      <c r="E4844" s="1313">
        <v>0.52083333333333337</v>
      </c>
      <c r="F4844" s="1314"/>
      <c r="G4844" s="1315"/>
      <c r="H4844" s="957"/>
      <c r="I4844" s="1302"/>
      <c r="J4844" s="1297"/>
      <c r="K4844" s="1298"/>
      <c r="L4844" s="378">
        <v>0.75</v>
      </c>
      <c r="M4844" s="379">
        <v>0.64583333333333337</v>
      </c>
    </row>
    <row r="4845" spans="3:13" ht="18" thickBot="1">
      <c r="C4845" s="90"/>
      <c r="D4845" s="562" t="s">
        <v>436</v>
      </c>
      <c r="E4845" s="380" t="s">
        <v>29</v>
      </c>
      <c r="F4845" s="380" t="s">
        <v>28</v>
      </c>
      <c r="G4845" s="381" t="s">
        <v>27</v>
      </c>
      <c r="H4845" s="954" t="s">
        <v>793</v>
      </c>
      <c r="I4845" s="1302"/>
      <c r="J4845" s="1297"/>
      <c r="K4845" s="1298"/>
      <c r="L4845" s="921" t="s">
        <v>1246</v>
      </c>
      <c r="M4845" s="382"/>
    </row>
    <row r="4846" spans="3:13" ht="17">
      <c r="C4846" s="90"/>
      <c r="D4846" s="563">
        <v>45799</v>
      </c>
      <c r="E4846" s="440"/>
      <c r="F4846" s="440" t="s">
        <v>978</v>
      </c>
      <c r="G4846" s="440" t="s">
        <v>976</v>
      </c>
      <c r="H4846" s="913">
        <v>0.52083333333333337</v>
      </c>
      <c r="I4846" s="1302"/>
      <c r="J4846" s="1297"/>
      <c r="K4846" s="1298"/>
      <c r="L4846" s="923">
        <v>0.75</v>
      </c>
      <c r="M4846" s="384"/>
    </row>
    <row r="4847" spans="3:13" ht="17">
      <c r="C4847" s="90"/>
      <c r="D4847" s="563">
        <v>45792</v>
      </c>
      <c r="E4847" s="440" t="s">
        <v>976</v>
      </c>
      <c r="F4847" s="440" t="s">
        <v>976</v>
      </c>
      <c r="G4847" s="440" t="s">
        <v>976</v>
      </c>
      <c r="H4847" s="913">
        <v>0.52083333333333337</v>
      </c>
      <c r="I4847" s="1302"/>
      <c r="J4847" s="1297"/>
      <c r="K4847" s="1298"/>
      <c r="L4847" s="923">
        <v>0.75</v>
      </c>
      <c r="M4847" s="385"/>
    </row>
    <row r="4848" spans="3:13" ht="17">
      <c r="C4848" s="90"/>
      <c r="D4848" s="563">
        <v>45785</v>
      </c>
      <c r="E4848" s="440" t="s">
        <v>977</v>
      </c>
      <c r="F4848" s="440" t="s">
        <v>984</v>
      </c>
      <c r="G4848" s="440" t="s">
        <v>981</v>
      </c>
      <c r="H4848" s="913">
        <v>0.52083333333333337</v>
      </c>
      <c r="I4848" s="1302"/>
      <c r="J4848" s="1297"/>
      <c r="K4848" s="1298"/>
      <c r="L4848" s="923">
        <v>0.75</v>
      </c>
      <c r="M4848" s="377"/>
    </row>
    <row r="4849" spans="3:13" ht="17">
      <c r="C4849" s="90"/>
      <c r="D4849" s="563">
        <v>45778</v>
      </c>
      <c r="E4849" s="440" t="s">
        <v>981</v>
      </c>
      <c r="F4849" s="440" t="s">
        <v>1032</v>
      </c>
      <c r="G4849" s="440" t="s">
        <v>973</v>
      </c>
      <c r="H4849" s="913">
        <v>0.52083333333333337</v>
      </c>
      <c r="I4849" s="1302"/>
      <c r="J4849" s="1297"/>
      <c r="K4849" s="1298"/>
      <c r="L4849" s="923">
        <v>0.75</v>
      </c>
      <c r="M4849" s="377"/>
    </row>
    <row r="4850" spans="3:13" ht="17">
      <c r="C4850" s="90"/>
      <c r="D4850" s="563">
        <v>45771</v>
      </c>
      <c r="E4850" s="440" t="s">
        <v>986</v>
      </c>
      <c r="F4850" s="440" t="s">
        <v>986</v>
      </c>
      <c r="G4850" s="440" t="s">
        <v>975</v>
      </c>
      <c r="H4850" s="913">
        <v>0.52083333333333337</v>
      </c>
      <c r="I4850" s="1302"/>
      <c r="J4850" s="1297"/>
      <c r="K4850" s="1298"/>
      <c r="L4850" s="923">
        <v>0.75</v>
      </c>
      <c r="M4850" s="377"/>
    </row>
    <row r="4851" spans="3:13" ht="18" thickBot="1">
      <c r="C4851" s="90"/>
      <c r="D4851" s="563">
        <v>45764</v>
      </c>
      <c r="E4851" s="440" t="s">
        <v>1232</v>
      </c>
      <c r="F4851" s="440" t="s">
        <v>985</v>
      </c>
      <c r="G4851" s="440" t="s">
        <v>1032</v>
      </c>
      <c r="H4851" s="913">
        <v>0.52083333333333337</v>
      </c>
      <c r="I4851" s="1303"/>
      <c r="J4851" s="1299"/>
      <c r="K4851" s="1300"/>
      <c r="L4851" s="923">
        <v>0.75</v>
      </c>
      <c r="M4851" s="386"/>
    </row>
    <row r="4852" spans="3:13" ht="18" thickBot="1">
      <c r="C4852" s="90">
        <v>1</v>
      </c>
      <c r="D4852" s="562" t="s">
        <v>30</v>
      </c>
      <c r="E4852" s="1304" t="s">
        <v>1461</v>
      </c>
      <c r="F4852" s="1305"/>
      <c r="G4852" s="1306"/>
      <c r="H4852" s="954" t="s">
        <v>790</v>
      </c>
      <c r="I4852" s="1345" t="s">
        <v>633</v>
      </c>
      <c r="J4852" s="1293"/>
      <c r="K4852" s="1294"/>
      <c r="L4852" s="911" t="s">
        <v>430</v>
      </c>
      <c r="M4852" s="773" t="s">
        <v>431</v>
      </c>
    </row>
    <row r="4853" spans="3:13" ht="17">
      <c r="C4853" s="90"/>
      <c r="D4853" s="559" t="s">
        <v>432</v>
      </c>
      <c r="E4853" s="1307"/>
      <c r="F4853" s="1308"/>
      <c r="G4853" s="1309"/>
      <c r="H4853" s="955" t="s">
        <v>794</v>
      </c>
      <c r="I4853" s="1301" t="s">
        <v>1678</v>
      </c>
      <c r="J4853" s="1295"/>
      <c r="K4853" s="1296"/>
      <c r="L4853" s="920"/>
      <c r="M4853" s="376" t="s">
        <v>1461</v>
      </c>
    </row>
    <row r="4854" spans="3:13" ht="17">
      <c r="C4854" s="90"/>
      <c r="D4854" s="560" t="s">
        <v>433</v>
      </c>
      <c r="E4854" s="1331"/>
      <c r="F4854" s="1332"/>
      <c r="G4854" s="1333"/>
      <c r="H4854" s="955" t="s">
        <v>795</v>
      </c>
      <c r="I4854" s="1302"/>
      <c r="J4854" s="1297"/>
      <c r="K4854" s="1298"/>
      <c r="L4854" s="920"/>
      <c r="M4854" s="377"/>
    </row>
    <row r="4855" spans="3:13" ht="17">
      <c r="C4855" s="90"/>
      <c r="D4855" s="560" t="s">
        <v>434</v>
      </c>
      <c r="E4855" s="1310"/>
      <c r="F4855" s="1311"/>
      <c r="G4855" s="1312"/>
      <c r="H4855" s="956"/>
      <c r="I4855" s="1302"/>
      <c r="J4855" s="1297"/>
      <c r="K4855" s="1298"/>
      <c r="L4855" s="920"/>
      <c r="M4855" s="377"/>
    </row>
    <row r="4856" spans="3:13" ht="18" thickBot="1">
      <c r="C4856" s="90"/>
      <c r="D4856" s="561" t="s">
        <v>435</v>
      </c>
      <c r="E4856" s="1313">
        <v>0.625</v>
      </c>
      <c r="F4856" s="1314"/>
      <c r="G4856" s="1315"/>
      <c r="H4856" s="957"/>
      <c r="I4856" s="1302"/>
      <c r="J4856" s="1297"/>
      <c r="K4856" s="1298"/>
      <c r="L4856" s="378">
        <v>0.85416666666666663</v>
      </c>
      <c r="M4856" s="379">
        <v>0.75</v>
      </c>
    </row>
    <row r="4857" spans="3:13" ht="18" thickBot="1">
      <c r="C4857" s="90"/>
      <c r="D4857" s="562" t="s">
        <v>436</v>
      </c>
      <c r="E4857" s="380" t="s">
        <v>29</v>
      </c>
      <c r="F4857" s="380" t="s">
        <v>28</v>
      </c>
      <c r="G4857" s="381" t="s">
        <v>27</v>
      </c>
      <c r="H4857" s="954" t="s">
        <v>793</v>
      </c>
      <c r="I4857" s="1302"/>
      <c r="J4857" s="1297"/>
      <c r="K4857" s="1298"/>
      <c r="L4857" s="921" t="s">
        <v>1246</v>
      </c>
      <c r="M4857" s="382"/>
    </row>
    <row r="4858" spans="3:13" ht="17">
      <c r="C4858" s="90"/>
      <c r="D4858" s="563">
        <v>45798</v>
      </c>
      <c r="E4858" s="440"/>
      <c r="F4858" s="440" t="s">
        <v>2183</v>
      </c>
      <c r="G4858" s="440" t="s">
        <v>2127</v>
      </c>
      <c r="H4858" s="913">
        <v>0.60416666666666674</v>
      </c>
      <c r="I4858" s="1302"/>
      <c r="J4858" s="1297"/>
      <c r="K4858" s="1298"/>
      <c r="L4858" s="923">
        <v>0.83333333333333337</v>
      </c>
      <c r="M4858" s="384"/>
    </row>
    <row r="4859" spans="3:13" ht="17">
      <c r="C4859" s="90"/>
      <c r="D4859" s="563">
        <v>45791</v>
      </c>
      <c r="E4859" s="440" t="s">
        <v>2127</v>
      </c>
      <c r="F4859" s="440" t="s">
        <v>2128</v>
      </c>
      <c r="G4859" s="440" t="s">
        <v>2129</v>
      </c>
      <c r="H4859" s="913">
        <v>0.60416666666666674</v>
      </c>
      <c r="I4859" s="1302"/>
      <c r="J4859" s="1297"/>
      <c r="K4859" s="1298"/>
      <c r="L4859" s="923">
        <v>0.83333333333333337</v>
      </c>
      <c r="M4859" s="385"/>
    </row>
    <row r="4860" spans="3:13" ht="17">
      <c r="C4860" s="90"/>
      <c r="D4860" s="563">
        <v>45784</v>
      </c>
      <c r="E4860" s="440" t="s">
        <v>2129</v>
      </c>
      <c r="F4860" s="440" t="s">
        <v>2130</v>
      </c>
      <c r="G4860" s="440" t="s">
        <v>2131</v>
      </c>
      <c r="H4860" s="913">
        <v>0.60416666666666674</v>
      </c>
      <c r="I4860" s="1302"/>
      <c r="J4860" s="1297"/>
      <c r="K4860" s="1298"/>
      <c r="L4860" s="923">
        <v>0.83333333333333337</v>
      </c>
      <c r="M4860" s="377"/>
    </row>
    <row r="4861" spans="3:13" ht="17">
      <c r="C4861" s="90"/>
      <c r="D4861" s="563">
        <v>45777</v>
      </c>
      <c r="E4861" s="440" t="s">
        <v>2131</v>
      </c>
      <c r="F4861" s="440" t="s">
        <v>2099</v>
      </c>
      <c r="G4861" s="440" t="s">
        <v>2064</v>
      </c>
      <c r="H4861" s="913">
        <v>0.60416666666666674</v>
      </c>
      <c r="I4861" s="1302"/>
      <c r="J4861" s="1297"/>
      <c r="K4861" s="1298"/>
      <c r="L4861" s="923">
        <v>0.83333333333333337</v>
      </c>
      <c r="M4861" s="377"/>
    </row>
    <row r="4862" spans="3:13" ht="17">
      <c r="C4862" s="90"/>
      <c r="D4862" s="563">
        <v>45770</v>
      </c>
      <c r="E4862" s="440" t="s">
        <v>2064</v>
      </c>
      <c r="F4862" s="440" t="s">
        <v>2065</v>
      </c>
      <c r="G4862" s="440" t="s">
        <v>2003</v>
      </c>
      <c r="H4862" s="913">
        <v>0.60416666666666674</v>
      </c>
      <c r="I4862" s="1302"/>
      <c r="J4862" s="1297"/>
      <c r="K4862" s="1298"/>
      <c r="L4862" s="923">
        <v>0.83333333333333337</v>
      </c>
      <c r="M4862" s="377"/>
    </row>
    <row r="4863" spans="3:13" ht="18" thickBot="1">
      <c r="C4863" s="90"/>
      <c r="D4863" s="563">
        <v>45763</v>
      </c>
      <c r="E4863" s="440" t="s">
        <v>2003</v>
      </c>
      <c r="F4863" s="440" t="s">
        <v>1030</v>
      </c>
      <c r="G4863" s="440" t="s">
        <v>1957</v>
      </c>
      <c r="H4863" s="913">
        <v>0.60416666666666674</v>
      </c>
      <c r="I4863" s="1303"/>
      <c r="J4863" s="1299"/>
      <c r="K4863" s="1300"/>
      <c r="L4863" s="923">
        <v>0.83333333333333337</v>
      </c>
      <c r="M4863" s="386"/>
    </row>
    <row r="4864" spans="3:13" ht="18" thickBot="1">
      <c r="C4864" s="90">
        <v>1</v>
      </c>
      <c r="D4864" s="562" t="s">
        <v>30</v>
      </c>
      <c r="E4864" s="1304" t="s">
        <v>2163</v>
      </c>
      <c r="F4864" s="1305"/>
      <c r="G4864" s="1306"/>
      <c r="H4864" s="954" t="s">
        <v>790</v>
      </c>
      <c r="I4864" s="1345" t="s">
        <v>633</v>
      </c>
      <c r="J4864" s="1293"/>
      <c r="K4864" s="1294"/>
      <c r="L4864" s="911" t="s">
        <v>430</v>
      </c>
      <c r="M4864" s="773" t="s">
        <v>431</v>
      </c>
    </row>
    <row r="4865" spans="3:13" ht="17">
      <c r="C4865" s="90"/>
      <c r="D4865" s="559" t="s">
        <v>432</v>
      </c>
      <c r="E4865" s="1307"/>
      <c r="F4865" s="1308"/>
      <c r="G4865" s="1309"/>
      <c r="H4865" s="955" t="s">
        <v>2184</v>
      </c>
      <c r="I4865" s="1301" t="s">
        <v>2164</v>
      </c>
      <c r="J4865" s="1295"/>
      <c r="K4865" s="1296"/>
      <c r="L4865" s="920"/>
      <c r="M4865" s="376" t="s">
        <v>2163</v>
      </c>
    </row>
    <row r="4866" spans="3:13" ht="17">
      <c r="C4866" s="90"/>
      <c r="D4866" s="560" t="s">
        <v>433</v>
      </c>
      <c r="E4866" s="1331"/>
      <c r="F4866" s="1332"/>
      <c r="G4866" s="1333"/>
      <c r="H4866" s="955" t="s">
        <v>910</v>
      </c>
      <c r="I4866" s="1302"/>
      <c r="J4866" s="1297"/>
      <c r="K4866" s="1298"/>
      <c r="L4866" s="920"/>
      <c r="M4866" s="377"/>
    </row>
    <row r="4867" spans="3:13" ht="17">
      <c r="C4867" s="90"/>
      <c r="D4867" s="560" t="s">
        <v>434</v>
      </c>
      <c r="E4867" s="1310">
        <v>4.0000000000000001E-3</v>
      </c>
      <c r="F4867" s="1311"/>
      <c r="G4867" s="1312"/>
      <c r="H4867" s="956"/>
      <c r="I4867" s="1302"/>
      <c r="J4867" s="1297"/>
      <c r="K4867" s="1298"/>
      <c r="L4867" s="920"/>
      <c r="M4867" s="377"/>
    </row>
    <row r="4868" spans="3:13" ht="18" thickBot="1">
      <c r="C4868" s="90"/>
      <c r="D4868" s="561" t="s">
        <v>435</v>
      </c>
      <c r="E4868" s="1313">
        <v>0.5</v>
      </c>
      <c r="F4868" s="1314"/>
      <c r="G4868" s="1315"/>
      <c r="H4868" s="957"/>
      <c r="I4868" s="1302"/>
      <c r="J4868" s="1297"/>
      <c r="K4868" s="1298"/>
      <c r="L4868" s="378">
        <v>0.72916666666666663</v>
      </c>
      <c r="M4868" s="379">
        <v>0.625</v>
      </c>
    </row>
    <row r="4869" spans="3:13" ht="18" thickBot="1">
      <c r="C4869" s="90"/>
      <c r="D4869" s="562" t="s">
        <v>436</v>
      </c>
      <c r="E4869" s="380" t="s">
        <v>29</v>
      </c>
      <c r="F4869" s="380" t="s">
        <v>28</v>
      </c>
      <c r="G4869" s="381" t="s">
        <v>27</v>
      </c>
      <c r="H4869" s="954" t="s">
        <v>793</v>
      </c>
      <c r="I4869" s="1302"/>
      <c r="J4869" s="1297"/>
      <c r="K4869" s="1298"/>
      <c r="L4869" s="921" t="s">
        <v>1246</v>
      </c>
      <c r="M4869" s="382"/>
    </row>
    <row r="4870" spans="3:13">
      <c r="C4870" s="90"/>
      <c r="D4870" s="563">
        <v>45791</v>
      </c>
      <c r="E4870" s="440">
        <v>4.0000000000000001E-3</v>
      </c>
      <c r="F4870" s="440">
        <v>4.0000000000000001E-3</v>
      </c>
      <c r="G4870" s="440">
        <v>3.0000000000000001E-3</v>
      </c>
      <c r="H4870" s="913">
        <v>0.25</v>
      </c>
      <c r="I4870" s="1302"/>
      <c r="J4870" s="1297"/>
      <c r="K4870" s="1298"/>
      <c r="L4870" s="923">
        <v>0.47916666666666669</v>
      </c>
      <c r="M4870" s="384"/>
    </row>
    <row r="4871" spans="3:13">
      <c r="C4871" s="90"/>
      <c r="D4871" s="563">
        <v>45777</v>
      </c>
      <c r="E4871" s="440">
        <v>4.0000000000000001E-3</v>
      </c>
      <c r="F4871" s="440">
        <v>3.0000000000000001E-3</v>
      </c>
      <c r="G4871" s="440">
        <v>3.0000000000000001E-3</v>
      </c>
      <c r="H4871" s="913">
        <v>0.5</v>
      </c>
      <c r="I4871" s="1302"/>
      <c r="J4871" s="1297"/>
      <c r="K4871" s="1298"/>
      <c r="L4871" s="923">
        <v>0.72916666666666663</v>
      </c>
      <c r="M4871" s="385"/>
    </row>
    <row r="4872" spans="3:13">
      <c r="C4872" s="90"/>
      <c r="D4872" s="563">
        <v>45758</v>
      </c>
      <c r="E4872" s="440">
        <v>3.0000000000000001E-3</v>
      </c>
      <c r="F4872" s="440">
        <v>3.0000000000000001E-3</v>
      </c>
      <c r="G4872" s="440">
        <v>4.0000000000000001E-3</v>
      </c>
      <c r="H4872" s="913">
        <v>0.25</v>
      </c>
      <c r="I4872" s="1302"/>
      <c r="J4872" s="1297"/>
      <c r="K4872" s="1298"/>
      <c r="L4872" s="923">
        <v>0.47916666666666669</v>
      </c>
      <c r="M4872" s="377"/>
    </row>
    <row r="4873" spans="3:13">
      <c r="C4873" s="90"/>
      <c r="D4873" s="563">
        <v>45747</v>
      </c>
      <c r="E4873" s="440">
        <v>3.0000000000000001E-3</v>
      </c>
      <c r="F4873" s="440">
        <v>3.0000000000000001E-3</v>
      </c>
      <c r="G4873" s="440">
        <v>4.0000000000000001E-3</v>
      </c>
      <c r="H4873" s="913">
        <v>0.5</v>
      </c>
      <c r="I4873" s="1302"/>
      <c r="J4873" s="1297"/>
      <c r="K4873" s="1298"/>
      <c r="L4873" s="923">
        <v>0.72916666666666663</v>
      </c>
      <c r="M4873" s="377"/>
    </row>
    <row r="4874" spans="3:13">
      <c r="C4874" s="90"/>
      <c r="D4874" s="563">
        <v>45730</v>
      </c>
      <c r="E4874" s="440">
        <v>4.0000000000000001E-3</v>
      </c>
      <c r="F4874" s="440">
        <v>4.0000000000000001E-3</v>
      </c>
      <c r="G4874" s="440">
        <v>-2E-3</v>
      </c>
      <c r="H4874" s="913">
        <v>0.29166666666666674</v>
      </c>
      <c r="I4874" s="1302"/>
      <c r="J4874" s="1297"/>
      <c r="K4874" s="1298"/>
      <c r="L4874" s="923">
        <v>0.52083333333333337</v>
      </c>
      <c r="M4874" s="377"/>
    </row>
    <row r="4875" spans="3:13" ht="17" thickBot="1">
      <c r="C4875" s="90"/>
      <c r="D4875" s="563">
        <v>45716</v>
      </c>
      <c r="E4875" s="440">
        <v>4.0000000000000001E-3</v>
      </c>
      <c r="F4875" s="440">
        <v>4.0000000000000001E-3</v>
      </c>
      <c r="G4875" s="440">
        <v>-2E-3</v>
      </c>
      <c r="H4875" s="913">
        <v>0.54166666666666674</v>
      </c>
      <c r="I4875" s="1303"/>
      <c r="J4875" s="1299"/>
      <c r="K4875" s="1300"/>
      <c r="L4875" s="923">
        <v>0.77083333333333337</v>
      </c>
      <c r="M4875" s="386"/>
    </row>
    <row r="4876" spans="3:13" ht="18" thickBot="1">
      <c r="C4876" s="90">
        <v>1</v>
      </c>
      <c r="D4876" s="562" t="s">
        <v>30</v>
      </c>
      <c r="E4876" s="1304" t="s">
        <v>2165</v>
      </c>
      <c r="F4876" s="1305"/>
      <c r="G4876" s="1306"/>
      <c r="H4876" s="954" t="s">
        <v>790</v>
      </c>
      <c r="I4876" s="1345" t="s">
        <v>633</v>
      </c>
      <c r="J4876" s="1293"/>
      <c r="K4876" s="1294"/>
      <c r="L4876" s="911" t="s">
        <v>430</v>
      </c>
      <c r="M4876" s="773" t="s">
        <v>431</v>
      </c>
    </row>
    <row r="4877" spans="3:13" ht="17">
      <c r="C4877" s="90"/>
      <c r="D4877" s="559" t="s">
        <v>432</v>
      </c>
      <c r="E4877" s="1307"/>
      <c r="F4877" s="1308"/>
      <c r="G4877" s="1309"/>
      <c r="H4877" s="955" t="s">
        <v>794</v>
      </c>
      <c r="I4877" s="1301" t="s">
        <v>2166</v>
      </c>
      <c r="J4877" s="1295"/>
      <c r="K4877" s="1296"/>
      <c r="L4877" s="920"/>
      <c r="M4877" s="376" t="s">
        <v>2165</v>
      </c>
    </row>
    <row r="4878" spans="3:13" ht="17">
      <c r="C4878" s="90"/>
      <c r="D4878" s="560" t="s">
        <v>433</v>
      </c>
      <c r="E4878" s="1331"/>
      <c r="F4878" s="1332"/>
      <c r="G4878" s="1333"/>
      <c r="H4878" s="955" t="s">
        <v>795</v>
      </c>
      <c r="I4878" s="1302"/>
      <c r="J4878" s="1297"/>
      <c r="K4878" s="1298"/>
      <c r="L4878" s="920"/>
      <c r="M4878" s="377"/>
    </row>
    <row r="4879" spans="3:13" ht="17">
      <c r="C4879" s="90"/>
      <c r="D4879" s="560" t="s">
        <v>434</v>
      </c>
      <c r="E4879" s="1310">
        <v>0</v>
      </c>
      <c r="F4879" s="1311"/>
      <c r="G4879" s="1312"/>
      <c r="H4879" s="956"/>
      <c r="I4879" s="1302"/>
      <c r="J4879" s="1297"/>
      <c r="K4879" s="1298"/>
      <c r="L4879" s="920"/>
      <c r="M4879" s="377"/>
    </row>
    <row r="4880" spans="3:13" ht="18" thickBot="1">
      <c r="C4880" s="90"/>
      <c r="D4880" s="561" t="s">
        <v>435</v>
      </c>
      <c r="E4880" s="1313">
        <v>0.52083333333333337</v>
      </c>
      <c r="F4880" s="1314"/>
      <c r="G4880" s="1315"/>
      <c r="H4880" s="957"/>
      <c r="I4880" s="1302"/>
      <c r="J4880" s="1297"/>
      <c r="K4880" s="1298"/>
      <c r="L4880" s="378">
        <v>0.75</v>
      </c>
      <c r="M4880" s="379">
        <v>0.64583333333333337</v>
      </c>
    </row>
    <row r="4881" spans="3:13" ht="18" thickBot="1">
      <c r="C4881" s="90"/>
      <c r="D4881" s="562" t="s">
        <v>436</v>
      </c>
      <c r="E4881" s="380" t="s">
        <v>29</v>
      </c>
      <c r="F4881" s="380" t="s">
        <v>28</v>
      </c>
      <c r="G4881" s="381" t="s">
        <v>27</v>
      </c>
      <c r="H4881" s="954" t="s">
        <v>793</v>
      </c>
      <c r="I4881" s="1302"/>
      <c r="J4881" s="1297"/>
      <c r="K4881" s="1298"/>
      <c r="L4881" s="921" t="s">
        <v>1246</v>
      </c>
      <c r="M4881" s="382"/>
    </row>
    <row r="4882" spans="3:13">
      <c r="C4882" s="90"/>
      <c r="D4882" s="563">
        <v>45777</v>
      </c>
      <c r="E4882" s="440">
        <v>0</v>
      </c>
      <c r="F4882" s="440">
        <v>1E-3</v>
      </c>
      <c r="G4882" s="440">
        <v>5.0000000000000001E-3</v>
      </c>
      <c r="H4882" s="913">
        <v>0.58333333333333337</v>
      </c>
      <c r="I4882" s="1302"/>
      <c r="J4882" s="1297"/>
      <c r="K4882" s="1298"/>
      <c r="L4882" s="923">
        <v>0.8125</v>
      </c>
      <c r="M4882" s="384"/>
    </row>
    <row r="4883" spans="3:13">
      <c r="C4883" s="90"/>
      <c r="D4883" s="563">
        <v>45744</v>
      </c>
      <c r="E4883" s="440">
        <v>4.0000000000000001E-3</v>
      </c>
      <c r="F4883" s="440">
        <v>3.0000000000000001E-3</v>
      </c>
      <c r="G4883" s="440">
        <v>3.0000000000000001E-3</v>
      </c>
      <c r="H4883" s="913">
        <v>0.52083333333333337</v>
      </c>
      <c r="I4883" s="1302"/>
      <c r="J4883" s="1297"/>
      <c r="K4883" s="1298"/>
      <c r="L4883" s="923">
        <v>0.75</v>
      </c>
      <c r="M4883" s="385"/>
    </row>
    <row r="4884" spans="3:13">
      <c r="C4884" s="90"/>
      <c r="D4884" s="563">
        <v>45716</v>
      </c>
      <c r="E4884" s="440">
        <v>3.0000000000000001E-3</v>
      </c>
      <c r="F4884" s="440">
        <v>3.0000000000000001E-3</v>
      </c>
      <c r="G4884" s="440">
        <v>2E-3</v>
      </c>
      <c r="H4884" s="913">
        <v>0.5625</v>
      </c>
      <c r="I4884" s="1302"/>
      <c r="J4884" s="1297"/>
      <c r="K4884" s="1298"/>
      <c r="L4884" s="923">
        <v>0.79166666666666663</v>
      </c>
      <c r="M4884" s="377"/>
    </row>
    <row r="4885" spans="3:13">
      <c r="C4885" s="90"/>
      <c r="D4885" s="563">
        <v>45688</v>
      </c>
      <c r="E4885" s="440">
        <v>2E-3</v>
      </c>
      <c r="F4885" s="440">
        <v>2E-3</v>
      </c>
      <c r="G4885" s="440">
        <v>1E-3</v>
      </c>
      <c r="H4885" s="913">
        <v>0.5625</v>
      </c>
      <c r="I4885" s="1302"/>
      <c r="J4885" s="1297"/>
      <c r="K4885" s="1298"/>
      <c r="L4885" s="923">
        <v>0.79166666666666663</v>
      </c>
      <c r="M4885" s="377"/>
    </row>
    <row r="4886" spans="3:13">
      <c r="C4886" s="90"/>
      <c r="D4886" s="563">
        <v>45646</v>
      </c>
      <c r="E4886" s="440">
        <v>1E-3</v>
      </c>
      <c r="F4886" s="440">
        <v>2E-3</v>
      </c>
      <c r="G4886" s="440">
        <v>3.0000000000000001E-3</v>
      </c>
      <c r="H4886" s="913">
        <v>0.5625</v>
      </c>
      <c r="I4886" s="1302"/>
      <c r="J4886" s="1297"/>
      <c r="K4886" s="1298"/>
      <c r="L4886" s="923">
        <v>0.79166666666666663</v>
      </c>
      <c r="M4886" s="377"/>
    </row>
    <row r="4887" spans="3:13" ht="17" thickBot="1">
      <c r="C4887" s="90"/>
      <c r="D4887" s="563">
        <v>45623</v>
      </c>
      <c r="E4887" s="440">
        <v>3.0000000000000001E-3</v>
      </c>
      <c r="F4887" s="440">
        <v>3.0000000000000001E-3</v>
      </c>
      <c r="G4887" s="440">
        <v>3.0000000000000001E-3</v>
      </c>
      <c r="H4887" s="913">
        <v>0.625</v>
      </c>
      <c r="I4887" s="1303"/>
      <c r="J4887" s="1299"/>
      <c r="K4887" s="1300"/>
      <c r="L4887" s="923">
        <v>0.85416666666666663</v>
      </c>
      <c r="M4887" s="386"/>
    </row>
    <row r="4888" spans="3:13" ht="18" thickBot="1">
      <c r="C4888" s="90">
        <v>1</v>
      </c>
      <c r="D4888" s="562" t="s">
        <v>30</v>
      </c>
      <c r="E4888" s="1304" t="s">
        <v>2167</v>
      </c>
      <c r="F4888" s="1305"/>
      <c r="G4888" s="1306"/>
      <c r="H4888" s="954" t="s">
        <v>790</v>
      </c>
      <c r="I4888" s="1345" t="s">
        <v>633</v>
      </c>
      <c r="J4888" s="1293"/>
      <c r="K4888" s="1294"/>
      <c r="L4888" s="911" t="s">
        <v>430</v>
      </c>
      <c r="M4888" s="773" t="s">
        <v>431</v>
      </c>
    </row>
    <row r="4889" spans="3:13" ht="17">
      <c r="C4889" s="90"/>
      <c r="D4889" s="559" t="s">
        <v>432</v>
      </c>
      <c r="E4889" s="1307"/>
      <c r="F4889" s="1308"/>
      <c r="G4889" s="1309"/>
      <c r="H4889" s="955" t="s">
        <v>794</v>
      </c>
      <c r="I4889" s="1301" t="s">
        <v>2170</v>
      </c>
      <c r="J4889" s="1295"/>
      <c r="K4889" s="1296"/>
      <c r="L4889" s="920"/>
      <c r="M4889" s="376" t="s">
        <v>2167</v>
      </c>
    </row>
    <row r="4890" spans="3:13" ht="17">
      <c r="C4890" s="90"/>
      <c r="D4890" s="560" t="s">
        <v>433</v>
      </c>
      <c r="E4890" s="1331"/>
      <c r="F4890" s="1332"/>
      <c r="G4890" s="1333"/>
      <c r="H4890" s="955" t="s">
        <v>795</v>
      </c>
      <c r="I4890" s="1302"/>
      <c r="J4890" s="1297"/>
      <c r="K4890" s="1298"/>
      <c r="L4890" s="920"/>
      <c r="M4890" s="377"/>
    </row>
    <row r="4891" spans="3:13" ht="17">
      <c r="C4891" s="90"/>
      <c r="D4891" s="560" t="s">
        <v>434</v>
      </c>
      <c r="E4891" s="1310">
        <v>2.5999999999999999E-2</v>
      </c>
      <c r="F4891" s="1311"/>
      <c r="G4891" s="1312"/>
      <c r="H4891" s="956"/>
      <c r="I4891" s="1302"/>
      <c r="J4891" s="1297"/>
      <c r="K4891" s="1298"/>
      <c r="L4891" s="920"/>
      <c r="M4891" s="377"/>
    </row>
    <row r="4892" spans="3:13" ht="18" thickBot="1">
      <c r="C4892" s="90"/>
      <c r="D4892" s="561" t="s">
        <v>435</v>
      </c>
      <c r="E4892" s="1313">
        <v>0.52083333333333337</v>
      </c>
      <c r="F4892" s="1314"/>
      <c r="G4892" s="1315"/>
      <c r="H4892" s="957"/>
      <c r="I4892" s="1302"/>
      <c r="J4892" s="1297"/>
      <c r="K4892" s="1298"/>
      <c r="L4892" s="378">
        <v>0.75</v>
      </c>
      <c r="M4892" s="379">
        <v>0.64583333333333337</v>
      </c>
    </row>
    <row r="4893" spans="3:13" ht="18" thickBot="1">
      <c r="C4893" s="90"/>
      <c r="D4893" s="562" t="s">
        <v>436</v>
      </c>
      <c r="E4893" s="380" t="s">
        <v>29</v>
      </c>
      <c r="F4893" s="380" t="s">
        <v>28</v>
      </c>
      <c r="G4893" s="381" t="s">
        <v>27</v>
      </c>
      <c r="H4893" s="954" t="s">
        <v>793</v>
      </c>
      <c r="I4893" s="1302"/>
      <c r="J4893" s="1297"/>
      <c r="K4893" s="1298"/>
      <c r="L4893" s="921" t="s">
        <v>1246</v>
      </c>
      <c r="M4893" s="382"/>
    </row>
    <row r="4894" spans="3:13">
      <c r="C4894" s="90"/>
      <c r="D4894" s="563">
        <v>45777</v>
      </c>
      <c r="E4894" s="440">
        <v>2.5999999999999999E-2</v>
      </c>
      <c r="F4894" s="440">
        <v>2.5999999999999999E-2</v>
      </c>
      <c r="G4894" s="440">
        <v>0.03</v>
      </c>
      <c r="H4894" s="913">
        <v>0.58333333333333337</v>
      </c>
      <c r="I4894" s="1302"/>
      <c r="J4894" s="1297"/>
      <c r="K4894" s="1298"/>
      <c r="L4894" s="923">
        <v>0.8125</v>
      </c>
      <c r="M4894" s="384"/>
    </row>
    <row r="4895" spans="3:13">
      <c r="C4895" s="90"/>
      <c r="D4895" s="563">
        <v>45744</v>
      </c>
      <c r="E4895" s="440">
        <v>2.8000000000000001E-2</v>
      </c>
      <c r="F4895" s="440">
        <v>2.7E-2</v>
      </c>
      <c r="G4895" s="440">
        <v>2.7E-2</v>
      </c>
      <c r="H4895" s="913">
        <v>0.52083333333333337</v>
      </c>
      <c r="I4895" s="1302"/>
      <c r="J4895" s="1297"/>
      <c r="K4895" s="1298"/>
      <c r="L4895" s="923">
        <v>0.75</v>
      </c>
      <c r="M4895" s="385"/>
    </row>
    <row r="4896" spans="3:13">
      <c r="C4896" s="90"/>
      <c r="D4896" s="563">
        <v>45716</v>
      </c>
      <c r="E4896" s="440">
        <v>2.5999999999999999E-2</v>
      </c>
      <c r="F4896" s="440">
        <v>2.5999999999999999E-2</v>
      </c>
      <c r="G4896" s="440">
        <v>2.9000000000000001E-2</v>
      </c>
      <c r="H4896" s="913">
        <v>0.5625</v>
      </c>
      <c r="I4896" s="1302"/>
      <c r="J4896" s="1297"/>
      <c r="K4896" s="1298"/>
      <c r="L4896" s="923">
        <v>0.79166666666666663</v>
      </c>
      <c r="M4896" s="377"/>
    </row>
    <row r="4897" spans="3:13">
      <c r="C4897" s="90"/>
      <c r="D4897" s="563">
        <v>45688</v>
      </c>
      <c r="E4897" s="440">
        <v>2.8000000000000001E-2</v>
      </c>
      <c r="F4897" s="440">
        <v>2.8000000000000001E-2</v>
      </c>
      <c r="G4897" s="440">
        <v>2.8000000000000001E-2</v>
      </c>
      <c r="H4897" s="913">
        <v>0.5625</v>
      </c>
      <c r="I4897" s="1302"/>
      <c r="J4897" s="1297"/>
      <c r="K4897" s="1298"/>
      <c r="L4897" s="923">
        <v>0.79166666666666663</v>
      </c>
      <c r="M4897" s="377"/>
    </row>
    <row r="4898" spans="3:13">
      <c r="C4898" s="90"/>
      <c r="D4898" s="563">
        <v>45646</v>
      </c>
      <c r="E4898" s="440">
        <v>2.8000000000000001E-2</v>
      </c>
      <c r="F4898" s="440">
        <v>2.9000000000000001E-2</v>
      </c>
      <c r="G4898" s="440">
        <v>2.8000000000000001E-2</v>
      </c>
      <c r="H4898" s="913">
        <v>0.5625</v>
      </c>
      <c r="I4898" s="1302"/>
      <c r="J4898" s="1297"/>
      <c r="K4898" s="1298"/>
      <c r="L4898" s="923">
        <v>0.79166666666666663</v>
      </c>
      <c r="M4898" s="377"/>
    </row>
    <row r="4899" spans="3:13" ht="17" thickBot="1">
      <c r="C4899" s="90"/>
      <c r="D4899" s="563">
        <v>45623</v>
      </c>
      <c r="E4899" s="440">
        <v>2.8000000000000001E-2</v>
      </c>
      <c r="F4899" s="440">
        <v>2.8000000000000001E-2</v>
      </c>
      <c r="G4899" s="440">
        <v>2.7E-2</v>
      </c>
      <c r="H4899" s="913">
        <v>0.625</v>
      </c>
      <c r="I4899" s="1303"/>
      <c r="J4899" s="1299"/>
      <c r="K4899" s="1300"/>
      <c r="L4899" s="923">
        <v>0.85416666666666663</v>
      </c>
      <c r="M4899" s="386"/>
    </row>
    <row r="4900" spans="3:13" ht="18" thickBot="1">
      <c r="C4900" s="776">
        <v>1</v>
      </c>
      <c r="D4900" s="562" t="s">
        <v>30</v>
      </c>
      <c r="E4900" s="1304" t="s">
        <v>2169</v>
      </c>
      <c r="F4900" s="1305"/>
      <c r="G4900" s="1306"/>
      <c r="H4900" s="954" t="s">
        <v>790</v>
      </c>
      <c r="I4900" s="1345" t="s">
        <v>633</v>
      </c>
      <c r="J4900" s="1293"/>
      <c r="K4900" s="1294"/>
      <c r="L4900" s="911" t="s">
        <v>430</v>
      </c>
      <c r="M4900" s="778" t="s">
        <v>431</v>
      </c>
    </row>
    <row r="4901" spans="3:13" ht="17">
      <c r="C4901" s="776"/>
      <c r="D4901" s="559" t="s">
        <v>432</v>
      </c>
      <c r="E4901" s="1307"/>
      <c r="F4901" s="1308"/>
      <c r="G4901" s="1309"/>
      <c r="H4901" s="955" t="s">
        <v>794</v>
      </c>
      <c r="I4901" s="1301" t="s">
        <v>2170</v>
      </c>
      <c r="J4901" s="1295"/>
      <c r="K4901" s="1296"/>
      <c r="L4901" s="920"/>
      <c r="M4901" s="781" t="s">
        <v>2169</v>
      </c>
    </row>
    <row r="4902" spans="3:13" ht="17">
      <c r="C4902" s="776"/>
      <c r="D4902" s="560" t="s">
        <v>433</v>
      </c>
      <c r="E4902" s="1334"/>
      <c r="F4902" s="1332"/>
      <c r="G4902" s="1333"/>
      <c r="H4902" s="955" t="s">
        <v>795</v>
      </c>
      <c r="I4902" s="1302"/>
      <c r="J4902" s="1297"/>
      <c r="K4902" s="1298"/>
      <c r="L4902" s="920"/>
      <c r="M4902" s="783"/>
    </row>
    <row r="4903" spans="3:13" ht="17">
      <c r="C4903" s="776"/>
      <c r="D4903" s="560" t="s">
        <v>434</v>
      </c>
      <c r="E4903" s="1334">
        <v>44.6</v>
      </c>
      <c r="F4903" s="1332"/>
      <c r="G4903" s="1333"/>
      <c r="H4903" s="956"/>
      <c r="I4903" s="1302"/>
      <c r="J4903" s="1297"/>
      <c r="K4903" s="1298"/>
      <c r="L4903" s="920"/>
      <c r="M4903" s="783"/>
    </row>
    <row r="4904" spans="3:13" ht="18" thickBot="1">
      <c r="C4904" s="776"/>
      <c r="D4904" s="561" t="s">
        <v>435</v>
      </c>
      <c r="E4904" s="1313">
        <v>0.57291666666666674</v>
      </c>
      <c r="F4904" s="1314"/>
      <c r="G4904" s="1315"/>
      <c r="H4904" s="957"/>
      <c r="I4904" s="1302"/>
      <c r="J4904" s="1297"/>
      <c r="K4904" s="1298"/>
      <c r="L4904" s="378">
        <v>0.80208333333333337</v>
      </c>
      <c r="M4904" s="785">
        <v>0.69791666666666674</v>
      </c>
    </row>
    <row r="4905" spans="3:13" ht="18" thickBot="1">
      <c r="C4905" s="776"/>
      <c r="D4905" s="562" t="s">
        <v>436</v>
      </c>
      <c r="E4905" s="380" t="s">
        <v>29</v>
      </c>
      <c r="F4905" s="380" t="s">
        <v>28</v>
      </c>
      <c r="G4905" s="381" t="s">
        <v>27</v>
      </c>
      <c r="H4905" s="954" t="s">
        <v>793</v>
      </c>
      <c r="I4905" s="1302"/>
      <c r="J4905" s="1297"/>
      <c r="K4905" s="1298"/>
      <c r="L4905" s="921" t="s">
        <v>1246</v>
      </c>
      <c r="M4905" s="788"/>
    </row>
    <row r="4906" spans="3:13">
      <c r="C4906" s="776"/>
      <c r="D4906" s="563">
        <v>45777</v>
      </c>
      <c r="E4906" s="429">
        <v>44.6</v>
      </c>
      <c r="F4906" s="429">
        <v>45.9</v>
      </c>
      <c r="G4906" s="429">
        <v>47.6</v>
      </c>
      <c r="H4906" s="913">
        <v>0.57291666666666674</v>
      </c>
      <c r="I4906" s="1302"/>
      <c r="J4906" s="1297"/>
      <c r="K4906" s="1298"/>
      <c r="L4906" s="923">
        <v>0.80208333333333337</v>
      </c>
      <c r="M4906" s="791"/>
    </row>
    <row r="4907" spans="3:13">
      <c r="C4907" s="776"/>
      <c r="D4907" s="563">
        <v>45747</v>
      </c>
      <c r="E4907" s="429">
        <v>47.6</v>
      </c>
      <c r="F4907" s="429">
        <v>45.5</v>
      </c>
      <c r="G4907" s="429">
        <v>45.5</v>
      </c>
      <c r="H4907" s="913">
        <v>0.57291666666666674</v>
      </c>
      <c r="I4907" s="1302"/>
      <c r="J4907" s="1297"/>
      <c r="K4907" s="1298"/>
      <c r="L4907" s="923">
        <v>0.80208333333333337</v>
      </c>
      <c r="M4907" s="792"/>
    </row>
    <row r="4908" spans="3:13">
      <c r="C4908" s="776"/>
      <c r="D4908" s="563">
        <v>45716</v>
      </c>
      <c r="E4908" s="429">
        <v>45.5</v>
      </c>
      <c r="F4908" s="429">
        <v>40.5</v>
      </c>
      <c r="G4908" s="429">
        <v>39.5</v>
      </c>
      <c r="H4908" s="913">
        <v>0.61458333333333337</v>
      </c>
      <c r="I4908" s="1302"/>
      <c r="J4908" s="1297"/>
      <c r="K4908" s="1298"/>
      <c r="L4908" s="923">
        <v>0.84375</v>
      </c>
      <c r="M4908" s="783"/>
    </row>
    <row r="4909" spans="3:13">
      <c r="C4909" s="776"/>
      <c r="D4909" s="563">
        <v>45688</v>
      </c>
      <c r="E4909" s="429">
        <v>39.5</v>
      </c>
      <c r="F4909" s="429">
        <v>40.299999999999997</v>
      </c>
      <c r="G4909" s="429">
        <v>36.9</v>
      </c>
      <c r="H4909" s="913">
        <v>0.61458333333333337</v>
      </c>
      <c r="I4909" s="1302"/>
      <c r="J4909" s="1297"/>
      <c r="K4909" s="1298"/>
      <c r="L4909" s="923">
        <v>0.84375</v>
      </c>
      <c r="M4909" s="783"/>
    </row>
    <row r="4910" spans="3:13">
      <c r="C4910" s="776"/>
      <c r="D4910" s="563">
        <v>45656</v>
      </c>
      <c r="E4910" s="429">
        <v>36.9</v>
      </c>
      <c r="F4910" s="429">
        <v>42.7</v>
      </c>
      <c r="G4910" s="429">
        <v>40.200000000000003</v>
      </c>
      <c r="H4910" s="913">
        <v>0.61458333333333337</v>
      </c>
      <c r="I4910" s="1302"/>
      <c r="J4910" s="1297"/>
      <c r="K4910" s="1298"/>
      <c r="L4910" s="923">
        <v>0.84375</v>
      </c>
      <c r="M4910" s="783"/>
    </row>
    <row r="4911" spans="3:13" ht="17" thickBot="1">
      <c r="C4911" s="776"/>
      <c r="D4911" s="563">
        <v>45625</v>
      </c>
      <c r="E4911" s="429">
        <v>40.200000000000003</v>
      </c>
      <c r="F4911" s="429">
        <v>44.9</v>
      </c>
      <c r="G4911" s="429">
        <v>41.6</v>
      </c>
      <c r="H4911" s="913">
        <v>0.61458333333333337</v>
      </c>
      <c r="I4911" s="1303"/>
      <c r="J4911" s="1299"/>
      <c r="K4911" s="1300"/>
      <c r="L4911" s="923">
        <v>0.84375</v>
      </c>
      <c r="M4911" s="793"/>
    </row>
    <row r="4912" spans="3:13" ht="18" thickBot="1">
      <c r="C4912" s="776">
        <v>1</v>
      </c>
      <c r="D4912" s="562" t="s">
        <v>30</v>
      </c>
      <c r="E4912" s="1304" t="s">
        <v>2171</v>
      </c>
      <c r="F4912" s="1305"/>
      <c r="G4912" s="1306"/>
      <c r="H4912" s="954" t="s">
        <v>790</v>
      </c>
      <c r="I4912" s="1345" t="s">
        <v>633</v>
      </c>
      <c r="J4912" s="1293"/>
      <c r="K4912" s="1294"/>
      <c r="L4912" s="911" t="s">
        <v>430</v>
      </c>
      <c r="M4912" s="778" t="s">
        <v>431</v>
      </c>
    </row>
    <row r="4913" spans="3:13" ht="17">
      <c r="C4913" s="776"/>
      <c r="D4913" s="559" t="s">
        <v>432</v>
      </c>
      <c r="E4913" s="1307"/>
      <c r="F4913" s="1308"/>
      <c r="G4913" s="1309"/>
      <c r="H4913" s="955" t="s">
        <v>794</v>
      </c>
      <c r="I4913" s="1301" t="s">
        <v>2173</v>
      </c>
      <c r="J4913" s="1295"/>
      <c r="K4913" s="1296"/>
      <c r="L4913" s="920"/>
      <c r="M4913" s="781" t="s">
        <v>2171</v>
      </c>
    </row>
    <row r="4914" spans="3:13" ht="17">
      <c r="C4914" s="776"/>
      <c r="D4914" s="560" t="s">
        <v>433</v>
      </c>
      <c r="E4914" s="1334"/>
      <c r="F4914" s="1332"/>
      <c r="G4914" s="1333"/>
      <c r="H4914" s="955" t="s">
        <v>795</v>
      </c>
      <c r="I4914" s="1302"/>
      <c r="J4914" s="1297"/>
      <c r="K4914" s="1298"/>
      <c r="L4914" s="920"/>
      <c r="M4914" s="783"/>
    </row>
    <row r="4915" spans="3:13" ht="17">
      <c r="C4915" s="776"/>
      <c r="D4915" s="560" t="s">
        <v>434</v>
      </c>
      <c r="E4915" s="1594">
        <v>0</v>
      </c>
      <c r="F4915" s="1595"/>
      <c r="G4915" s="1596"/>
      <c r="H4915" s="956"/>
      <c r="I4915" s="1302"/>
      <c r="J4915" s="1297"/>
      <c r="K4915" s="1298"/>
      <c r="L4915" s="920"/>
      <c r="M4915" s="783"/>
    </row>
    <row r="4916" spans="3:13" ht="18" thickBot="1">
      <c r="C4916" s="776"/>
      <c r="D4916" s="561" t="s">
        <v>435</v>
      </c>
      <c r="E4916" s="1313">
        <v>0.52083333333333337</v>
      </c>
      <c r="F4916" s="1314"/>
      <c r="G4916" s="1315"/>
      <c r="H4916" s="957"/>
      <c r="I4916" s="1302"/>
      <c r="J4916" s="1297"/>
      <c r="K4916" s="1298"/>
      <c r="L4916" s="378">
        <v>0.29166666666666669</v>
      </c>
      <c r="M4916" s="785">
        <v>0.1875</v>
      </c>
    </row>
    <row r="4917" spans="3:13" ht="18" thickBot="1">
      <c r="C4917" s="776"/>
      <c r="D4917" s="562" t="s">
        <v>436</v>
      </c>
      <c r="E4917" s="380" t="s">
        <v>29</v>
      </c>
      <c r="F4917" s="380" t="s">
        <v>28</v>
      </c>
      <c r="G4917" s="381" t="s">
        <v>27</v>
      </c>
      <c r="H4917" s="954" t="s">
        <v>793</v>
      </c>
      <c r="I4917" s="1302"/>
      <c r="J4917" s="1297"/>
      <c r="K4917" s="1298"/>
      <c r="L4917" s="921" t="s">
        <v>1246</v>
      </c>
      <c r="M4917" s="788"/>
    </row>
    <row r="4918" spans="3:13">
      <c r="C4918" s="776"/>
      <c r="D4918" s="563">
        <v>45763</v>
      </c>
      <c r="E4918" s="440">
        <v>5.0000000000000001E-3</v>
      </c>
      <c r="F4918" s="440">
        <v>4.0000000000000001E-3</v>
      </c>
      <c r="G4918" s="440">
        <v>7.0000000000000001E-3</v>
      </c>
      <c r="H4918" s="913">
        <v>0.52083333333333337</v>
      </c>
      <c r="I4918" s="1302"/>
      <c r="J4918" s="1297"/>
      <c r="K4918" s="1298"/>
      <c r="L4918" s="923">
        <v>0.75</v>
      </c>
      <c r="M4918" s="791"/>
    </row>
    <row r="4919" spans="3:13">
      <c r="C4919" s="776"/>
      <c r="D4919" s="563">
        <v>45733</v>
      </c>
      <c r="E4919" s="440">
        <v>3.0000000000000001E-3</v>
      </c>
      <c r="F4919" s="440">
        <v>3.0000000000000001E-3</v>
      </c>
      <c r="G4919" s="440">
        <v>-6.0000000000000001E-3</v>
      </c>
      <c r="H4919" s="913">
        <v>0.52083333333333337</v>
      </c>
      <c r="I4919" s="1302"/>
      <c r="J4919" s="1297"/>
      <c r="K4919" s="1298"/>
      <c r="L4919" s="923">
        <v>0.75</v>
      </c>
      <c r="M4919" s="792"/>
    </row>
    <row r="4920" spans="3:13">
      <c r="C4920" s="776"/>
      <c r="D4920" s="563">
        <v>45702</v>
      </c>
      <c r="E4920" s="440">
        <v>-4.0000000000000001E-3</v>
      </c>
      <c r="F4920" s="440">
        <v>3.0000000000000001E-3</v>
      </c>
      <c r="G4920" s="440">
        <v>7.0000000000000001E-3</v>
      </c>
      <c r="H4920" s="913">
        <v>0.5625</v>
      </c>
      <c r="I4920" s="1302"/>
      <c r="J4920" s="1297"/>
      <c r="K4920" s="1298"/>
      <c r="L4920" s="923">
        <v>0.79166666666666663</v>
      </c>
      <c r="M4920" s="783"/>
    </row>
    <row r="4921" spans="3:13">
      <c r="C4921" s="776"/>
      <c r="D4921" s="563">
        <v>45673</v>
      </c>
      <c r="E4921" s="440">
        <v>4.0000000000000001E-3</v>
      </c>
      <c r="F4921" s="440">
        <v>5.0000000000000001E-3</v>
      </c>
      <c r="G4921" s="440">
        <v>2E-3</v>
      </c>
      <c r="H4921" s="913">
        <v>0.5625</v>
      </c>
      <c r="I4921" s="1302"/>
      <c r="J4921" s="1297"/>
      <c r="K4921" s="1298"/>
      <c r="L4921" s="923">
        <v>0.79166666666666663</v>
      </c>
      <c r="M4921" s="783"/>
    </row>
    <row r="4922" spans="3:13">
      <c r="C4922" s="776"/>
      <c r="D4922" s="563">
        <v>45643</v>
      </c>
      <c r="E4922" s="440">
        <v>2E-3</v>
      </c>
      <c r="F4922" s="440">
        <v>4.0000000000000001E-3</v>
      </c>
      <c r="G4922" s="440">
        <v>2E-3</v>
      </c>
      <c r="H4922" s="913">
        <v>0.5625</v>
      </c>
      <c r="I4922" s="1302"/>
      <c r="J4922" s="1297"/>
      <c r="K4922" s="1298"/>
      <c r="L4922" s="923">
        <v>0.79166666666666663</v>
      </c>
      <c r="M4922" s="783"/>
    </row>
    <row r="4923" spans="3:13" ht="17" thickBot="1">
      <c r="C4923" s="776"/>
      <c r="D4923" s="563">
        <v>45611</v>
      </c>
      <c r="E4923" s="440">
        <v>1E-3</v>
      </c>
      <c r="F4923" s="440">
        <v>3.0000000000000001E-3</v>
      </c>
      <c r="G4923" s="440">
        <v>0.01</v>
      </c>
      <c r="H4923" s="913">
        <v>0.5625</v>
      </c>
      <c r="I4923" s="1303"/>
      <c r="J4923" s="1299"/>
      <c r="K4923" s="1300"/>
      <c r="L4923" s="923">
        <v>0.79166666666666663</v>
      </c>
      <c r="M4923" s="793"/>
    </row>
    <row r="4924" spans="3:13" ht="18" thickBot="1">
      <c r="C4924" s="776">
        <v>1</v>
      </c>
      <c r="D4924" s="562" t="s">
        <v>30</v>
      </c>
      <c r="E4924" s="1304" t="s">
        <v>2172</v>
      </c>
      <c r="F4924" s="1305"/>
      <c r="G4924" s="1306"/>
      <c r="H4924" s="954" t="s">
        <v>790</v>
      </c>
      <c r="I4924" s="1345" t="s">
        <v>633</v>
      </c>
      <c r="J4924" s="1293"/>
      <c r="K4924" s="1294"/>
      <c r="L4924" s="911" t="s">
        <v>430</v>
      </c>
      <c r="M4924" s="778" t="s">
        <v>431</v>
      </c>
    </row>
    <row r="4925" spans="3:13" ht="17">
      <c r="C4925" s="776"/>
      <c r="D4925" s="559" t="s">
        <v>432</v>
      </c>
      <c r="E4925" s="1307"/>
      <c r="F4925" s="1308"/>
      <c r="G4925" s="1309"/>
      <c r="H4925" s="955" t="s">
        <v>1132</v>
      </c>
      <c r="I4925" s="1301" t="s">
        <v>2173</v>
      </c>
      <c r="J4925" s="1295"/>
      <c r="K4925" s="1296"/>
      <c r="L4925" s="920"/>
      <c r="M4925" s="781" t="s">
        <v>2172</v>
      </c>
    </row>
    <row r="4926" spans="3:13" ht="17">
      <c r="C4926" s="776"/>
      <c r="D4926" s="560" t="s">
        <v>433</v>
      </c>
      <c r="E4926" s="1331"/>
      <c r="F4926" s="1332"/>
      <c r="G4926" s="1333"/>
      <c r="H4926" s="955" t="s">
        <v>1133</v>
      </c>
      <c r="I4926" s="1302"/>
      <c r="J4926" s="1297"/>
      <c r="K4926" s="1298"/>
      <c r="L4926" s="920"/>
      <c r="M4926" s="783"/>
    </row>
    <row r="4927" spans="3:13" ht="17">
      <c r="C4927" s="776"/>
      <c r="D4927" s="560" t="s">
        <v>434</v>
      </c>
      <c r="E4927" s="1334">
        <v>49</v>
      </c>
      <c r="F4927" s="1332"/>
      <c r="G4927" s="1333"/>
      <c r="H4927" s="956"/>
      <c r="I4927" s="1302"/>
      <c r="J4927" s="1297"/>
      <c r="K4927" s="1298"/>
      <c r="L4927" s="920"/>
      <c r="M4927" s="783"/>
    </row>
    <row r="4928" spans="3:13" ht="18" thickBot="1">
      <c r="C4928" s="776"/>
      <c r="D4928" s="561" t="s">
        <v>435</v>
      </c>
      <c r="E4928" s="1313">
        <v>0.52083333333333337</v>
      </c>
      <c r="F4928" s="1314"/>
      <c r="G4928" s="1315"/>
      <c r="H4928" s="957"/>
      <c r="I4928" s="1302"/>
      <c r="J4928" s="1297"/>
      <c r="K4928" s="1298"/>
      <c r="L4928" s="378">
        <v>0.29166666666666669</v>
      </c>
      <c r="M4928" s="785">
        <v>0.1875</v>
      </c>
    </row>
    <row r="4929" spans="2:13" ht="18" thickBot="1">
      <c r="C4929" s="776"/>
      <c r="D4929" s="562" t="s">
        <v>436</v>
      </c>
      <c r="E4929" s="380" t="s">
        <v>29</v>
      </c>
      <c r="F4929" s="380" t="s">
        <v>28</v>
      </c>
      <c r="G4929" s="381" t="s">
        <v>27</v>
      </c>
      <c r="H4929" s="954" t="s">
        <v>793</v>
      </c>
      <c r="I4929" s="1302"/>
      <c r="J4929" s="1297"/>
      <c r="K4929" s="1298"/>
      <c r="L4929" s="921" t="s">
        <v>1246</v>
      </c>
      <c r="M4929" s="788"/>
    </row>
    <row r="4930" spans="2:13">
      <c r="C4930" s="776"/>
      <c r="D4930" s="563">
        <v>45777</v>
      </c>
      <c r="E4930" s="429">
        <v>49</v>
      </c>
      <c r="F4930" s="429">
        <v>49.7</v>
      </c>
      <c r="G4930" s="429">
        <v>50.5</v>
      </c>
      <c r="H4930" s="913">
        <v>6.2500000000000028E-2</v>
      </c>
      <c r="I4930" s="1302"/>
      <c r="J4930" s="1297"/>
      <c r="K4930" s="1298"/>
      <c r="L4930" s="923">
        <v>0.29166666666666669</v>
      </c>
      <c r="M4930" s="791"/>
    </row>
    <row r="4931" spans="2:13">
      <c r="C4931" s="776"/>
      <c r="D4931" s="563">
        <v>45747</v>
      </c>
      <c r="E4931" s="429">
        <v>50.5</v>
      </c>
      <c r="F4931" s="429">
        <v>50.4</v>
      </c>
      <c r="G4931" s="429">
        <v>50.2</v>
      </c>
      <c r="H4931" s="913">
        <v>6.2500000000000028E-2</v>
      </c>
      <c r="I4931" s="1302"/>
      <c r="J4931" s="1297"/>
      <c r="K4931" s="1298"/>
      <c r="L4931" s="923">
        <v>0.29166666666666669</v>
      </c>
      <c r="M4931" s="792"/>
    </row>
    <row r="4932" spans="2:13">
      <c r="C4932" s="776"/>
      <c r="D4932" s="563">
        <v>45717</v>
      </c>
      <c r="E4932" s="429">
        <v>50.2</v>
      </c>
      <c r="F4932" s="429">
        <v>50</v>
      </c>
      <c r="G4932" s="429">
        <v>49.1</v>
      </c>
      <c r="H4932" s="913">
        <v>6.2500000000000028E-2</v>
      </c>
      <c r="I4932" s="1302"/>
      <c r="J4932" s="1297"/>
      <c r="K4932" s="1298"/>
      <c r="L4932" s="923">
        <v>0.29166666666666669</v>
      </c>
      <c r="M4932" s="783"/>
    </row>
    <row r="4933" spans="2:13">
      <c r="C4933" s="776"/>
      <c r="D4933" s="563">
        <v>45684</v>
      </c>
      <c r="E4933" s="429">
        <v>49.1</v>
      </c>
      <c r="F4933" s="429">
        <v>50.1</v>
      </c>
      <c r="G4933" s="429">
        <v>50.1</v>
      </c>
      <c r="H4933" s="913">
        <v>6.2500000000000028E-2</v>
      </c>
      <c r="I4933" s="1302"/>
      <c r="J4933" s="1297"/>
      <c r="K4933" s="1298"/>
      <c r="L4933" s="923">
        <v>0.29166666666666669</v>
      </c>
      <c r="M4933" s="783"/>
    </row>
    <row r="4934" spans="2:13">
      <c r="C4934" s="776"/>
      <c r="D4934" s="563">
        <v>45657</v>
      </c>
      <c r="E4934" s="429">
        <v>50.1</v>
      </c>
      <c r="F4934" s="429">
        <v>50.3</v>
      </c>
      <c r="G4934" s="429">
        <v>50.3</v>
      </c>
      <c r="H4934" s="913">
        <v>6.2500000000000028E-2</v>
      </c>
      <c r="I4934" s="1302"/>
      <c r="J4934" s="1297"/>
      <c r="K4934" s="1298"/>
      <c r="L4934" s="923">
        <v>0.29166666666666669</v>
      </c>
      <c r="M4934" s="783"/>
    </row>
    <row r="4935" spans="2:13" ht="17" thickBot="1">
      <c r="C4935" s="776"/>
      <c r="D4935" s="563">
        <v>45626</v>
      </c>
      <c r="E4935" s="429">
        <v>50.3</v>
      </c>
      <c r="F4935" s="429">
        <v>50.2</v>
      </c>
      <c r="G4935" s="429">
        <v>50.1</v>
      </c>
      <c r="H4935" s="913">
        <v>6.2500000000000028E-2</v>
      </c>
      <c r="I4935" s="1303"/>
      <c r="J4935" s="1299"/>
      <c r="K4935" s="1300"/>
      <c r="L4935" s="923">
        <v>0.29166666666666669</v>
      </c>
      <c r="M4935" s="793"/>
    </row>
    <row r="4936" spans="2:13" ht="17" thickBot="1">
      <c r="B4936" s="90" t="s">
        <v>105</v>
      </c>
      <c r="C4936" s="660">
        <v>1</v>
      </c>
      <c r="D4936" s="671" t="s">
        <v>30</v>
      </c>
      <c r="E4936" s="1252" t="s">
        <v>2187</v>
      </c>
      <c r="F4936" s="1253"/>
      <c r="G4936" s="1254"/>
      <c r="H4936" s="712" t="s">
        <v>790</v>
      </c>
      <c r="I4936" s="1255" t="s">
        <v>633</v>
      </c>
      <c r="J4936" s="1256"/>
      <c r="K4936" s="1257"/>
      <c r="L4936" s="674" t="s">
        <v>430</v>
      </c>
      <c r="M4936" s="713" t="s">
        <v>431</v>
      </c>
    </row>
    <row r="4937" spans="2:13">
      <c r="C4937" s="660"/>
      <c r="D4937" s="663" t="s">
        <v>432</v>
      </c>
      <c r="E4937" s="1266"/>
      <c r="F4937" s="1267"/>
      <c r="G4937" s="1268"/>
      <c r="H4937" s="714" t="s">
        <v>794</v>
      </c>
      <c r="I4937" s="1242" t="s">
        <v>1967</v>
      </c>
      <c r="J4937" s="1243"/>
      <c r="K4937" s="1244"/>
      <c r="L4937" s="664"/>
      <c r="M4937" s="665" t="s">
        <v>2187</v>
      </c>
    </row>
    <row r="4938" spans="2:13">
      <c r="C4938" s="660"/>
      <c r="D4938" s="666" t="s">
        <v>433</v>
      </c>
      <c r="E4938" s="1278">
        <v>52.3</v>
      </c>
      <c r="F4938" s="1270"/>
      <c r="G4938" s="1271"/>
      <c r="H4938" s="714" t="s">
        <v>795</v>
      </c>
      <c r="I4938" s="1245"/>
      <c r="J4938" s="1246"/>
      <c r="K4938" s="1247"/>
      <c r="L4938" s="664"/>
      <c r="M4938" s="667"/>
    </row>
    <row r="4939" spans="2:13">
      <c r="C4939" s="660"/>
      <c r="D4939" s="666" t="s">
        <v>434</v>
      </c>
      <c r="E4939" s="1278">
        <v>50.2</v>
      </c>
      <c r="F4939" s="1270"/>
      <c r="G4939" s="1271"/>
      <c r="H4939" s="715"/>
      <c r="I4939" s="1245"/>
      <c r="J4939" s="1246"/>
      <c r="K4939" s="1247"/>
      <c r="L4939" s="664"/>
      <c r="M4939" s="667"/>
    </row>
    <row r="4940" spans="2:13" ht="17" thickBot="1">
      <c r="C4940" s="660"/>
      <c r="D4940" s="668" t="s">
        <v>435</v>
      </c>
      <c r="E4940" s="1275">
        <v>0.57291666666666674</v>
      </c>
      <c r="F4940" s="1276"/>
      <c r="G4940" s="1277"/>
      <c r="H4940" s="716"/>
      <c r="I4940" s="1245"/>
      <c r="J4940" s="1246"/>
      <c r="K4940" s="1247"/>
      <c r="L4940" s="669">
        <v>0.80208333333333337</v>
      </c>
      <c r="M4940" s="670">
        <v>0.69791666666666674</v>
      </c>
    </row>
    <row r="4941" spans="2:13" ht="17" thickBot="1">
      <c r="C4941" s="660"/>
      <c r="D4941" s="671" t="s">
        <v>436</v>
      </c>
      <c r="E4941" s="672" t="s">
        <v>29</v>
      </c>
      <c r="F4941" s="672" t="s">
        <v>28</v>
      </c>
      <c r="G4941" s="673" t="s">
        <v>27</v>
      </c>
      <c r="H4941" s="712" t="s">
        <v>793</v>
      </c>
      <c r="I4941" s="1245"/>
      <c r="J4941" s="1246"/>
      <c r="K4941" s="1247"/>
      <c r="L4941" s="675" t="s">
        <v>1246</v>
      </c>
      <c r="M4941" s="676"/>
    </row>
    <row r="4942" spans="2:13">
      <c r="C4942" s="660"/>
      <c r="D4942" s="677">
        <v>45799</v>
      </c>
      <c r="E4942" s="693" t="s">
        <v>2223</v>
      </c>
      <c r="F4942" s="693" t="s">
        <v>2224</v>
      </c>
      <c r="G4942" s="693" t="s">
        <v>1659</v>
      </c>
      <c r="H4942" s="718">
        <v>0.57291666666666674</v>
      </c>
      <c r="I4942" s="1245"/>
      <c r="J4942" s="1246"/>
      <c r="K4942" s="1247"/>
      <c r="L4942" s="679">
        <v>0.80208333333333337</v>
      </c>
      <c r="M4942" s="680"/>
    </row>
    <row r="4943" spans="2:13">
      <c r="C4943" s="660"/>
      <c r="D4943" s="677">
        <v>45778</v>
      </c>
      <c r="E4943" s="693" t="s">
        <v>1659</v>
      </c>
      <c r="F4943" s="693" t="s">
        <v>2225</v>
      </c>
      <c r="G4943" s="693" t="s">
        <v>1659</v>
      </c>
      <c r="H4943" s="718">
        <v>0.57291666666666674</v>
      </c>
      <c r="I4943" s="1245"/>
      <c r="J4943" s="1246"/>
      <c r="K4943" s="1247"/>
      <c r="L4943" s="679">
        <v>0.80208333333333337</v>
      </c>
      <c r="M4943" s="681"/>
    </row>
    <row r="4944" spans="2:13">
      <c r="C4944" s="660"/>
      <c r="D4944" s="677">
        <v>45799</v>
      </c>
      <c r="E4944" s="693" t="s">
        <v>2223</v>
      </c>
      <c r="F4944" s="693" t="s">
        <v>2224</v>
      </c>
      <c r="G4944" s="693" t="s">
        <v>1659</v>
      </c>
      <c r="H4944" s="718">
        <v>0.57291666666666674</v>
      </c>
      <c r="I4944" s="1245"/>
      <c r="J4944" s="1246"/>
      <c r="K4944" s="1247"/>
      <c r="L4944" s="679">
        <v>0.80208333333333337</v>
      </c>
      <c r="M4944" s="667"/>
    </row>
    <row r="4945" spans="3:13">
      <c r="C4945" s="660"/>
      <c r="D4945" s="677">
        <v>45778</v>
      </c>
      <c r="E4945" s="693" t="s">
        <v>1659</v>
      </c>
      <c r="F4945" s="693" t="s">
        <v>2225</v>
      </c>
      <c r="G4945" s="693" t="s">
        <v>1659</v>
      </c>
      <c r="H4945" s="718">
        <v>0.57291666666666674</v>
      </c>
      <c r="I4945" s="1245"/>
      <c r="J4945" s="1246"/>
      <c r="K4945" s="1247"/>
      <c r="L4945" s="679">
        <v>0.80208333333333337</v>
      </c>
      <c r="M4945" s="667"/>
    </row>
    <row r="4946" spans="3:13">
      <c r="C4946" s="660"/>
      <c r="D4946" s="677">
        <v>45798</v>
      </c>
      <c r="E4946" s="693" t="s">
        <v>2223</v>
      </c>
      <c r="F4946" s="693" t="s">
        <v>2224</v>
      </c>
      <c r="G4946" s="693" t="s">
        <v>1659</v>
      </c>
      <c r="H4946" s="718">
        <v>0.57291666666666674</v>
      </c>
      <c r="I4946" s="1245"/>
      <c r="J4946" s="1246"/>
      <c r="K4946" s="1247"/>
      <c r="L4946" s="679">
        <v>0.80208333333333337</v>
      </c>
      <c r="M4946" s="667"/>
    </row>
    <row r="4947" spans="3:13" ht="17" thickBot="1">
      <c r="C4947" s="660"/>
      <c r="D4947" s="677">
        <v>45777</v>
      </c>
      <c r="E4947" s="693" t="s">
        <v>1659</v>
      </c>
      <c r="F4947" s="693" t="s">
        <v>2225</v>
      </c>
      <c r="G4947" s="693" t="s">
        <v>1659</v>
      </c>
      <c r="H4947" s="718">
        <v>0.57291666666666674</v>
      </c>
      <c r="I4947" s="1248"/>
      <c r="J4947" s="1249"/>
      <c r="K4947" s="1250"/>
      <c r="L4947" s="679">
        <v>0.80208333333333337</v>
      </c>
      <c r="M4947" s="682"/>
    </row>
    <row r="4948" spans="3:13" ht="17" thickBot="1">
      <c r="C4948" s="660">
        <v>1</v>
      </c>
      <c r="D4948" s="671" t="s">
        <v>30</v>
      </c>
      <c r="E4948" s="1252" t="s">
        <v>2188</v>
      </c>
      <c r="F4948" s="1253"/>
      <c r="G4948" s="1254"/>
      <c r="H4948" s="712" t="s">
        <v>790</v>
      </c>
      <c r="I4948" s="1255" t="s">
        <v>633</v>
      </c>
      <c r="J4948" s="1256"/>
      <c r="K4948" s="1257"/>
      <c r="L4948" s="674" t="s">
        <v>430</v>
      </c>
      <c r="M4948" s="713" t="s">
        <v>431</v>
      </c>
    </row>
    <row r="4949" spans="3:13">
      <c r="C4949" s="660"/>
      <c r="D4949" s="663" t="s">
        <v>432</v>
      </c>
      <c r="E4949" s="1266"/>
      <c r="F4949" s="1267"/>
      <c r="G4949" s="1268"/>
      <c r="H4949" s="714" t="s">
        <v>794</v>
      </c>
      <c r="I4949" s="1242" t="s">
        <v>2189</v>
      </c>
      <c r="J4949" s="1243"/>
      <c r="K4949" s="1244"/>
      <c r="L4949" s="664"/>
      <c r="M4949" s="665" t="s">
        <v>2188</v>
      </c>
    </row>
    <row r="4950" spans="3:13">
      <c r="C4950" s="660"/>
      <c r="D4950" s="666" t="s">
        <v>433</v>
      </c>
      <c r="E4950" s="1278">
        <v>0</v>
      </c>
      <c r="F4950" s="1270"/>
      <c r="G4950" s="1271"/>
      <c r="H4950" s="714" t="s">
        <v>795</v>
      </c>
      <c r="I4950" s="1245"/>
      <c r="J4950" s="1246"/>
      <c r="K4950" s="1247"/>
      <c r="L4950" s="664"/>
      <c r="M4950" s="667"/>
    </row>
    <row r="4951" spans="3:13">
      <c r="C4951" s="660"/>
      <c r="D4951" s="666" t="s">
        <v>434</v>
      </c>
      <c r="E4951" s="1278">
        <v>48.7</v>
      </c>
      <c r="F4951" s="1270"/>
      <c r="G4951" s="1271"/>
      <c r="H4951" s="715"/>
      <c r="I4951" s="1245"/>
      <c r="J4951" s="1246"/>
      <c r="K4951" s="1247"/>
      <c r="L4951" s="664"/>
      <c r="M4951" s="667"/>
    </row>
    <row r="4952" spans="3:13" ht="17" thickBot="1">
      <c r="C4952" s="660"/>
      <c r="D4952" s="668" t="s">
        <v>435</v>
      </c>
      <c r="E4952" s="1275">
        <v>0.58333333333333337</v>
      </c>
      <c r="F4952" s="1276"/>
      <c r="G4952" s="1277"/>
      <c r="H4952" s="716"/>
      <c r="I4952" s="1245"/>
      <c r="J4952" s="1246"/>
      <c r="K4952" s="1247"/>
      <c r="L4952" s="669">
        <v>0.8125</v>
      </c>
      <c r="M4952" s="670">
        <v>0.70833333333333337</v>
      </c>
    </row>
    <row r="4953" spans="3:13" ht="17" thickBot="1">
      <c r="C4953" s="660"/>
      <c r="D4953" s="671" t="s">
        <v>436</v>
      </c>
      <c r="E4953" s="672" t="s">
        <v>29</v>
      </c>
      <c r="F4953" s="672" t="s">
        <v>28</v>
      </c>
      <c r="G4953" s="673" t="s">
        <v>27</v>
      </c>
      <c r="H4953" s="712" t="s">
        <v>793</v>
      </c>
      <c r="I4953" s="1245"/>
      <c r="J4953" s="1246"/>
      <c r="K4953" s="1247"/>
      <c r="L4953" s="675" t="s">
        <v>1246</v>
      </c>
      <c r="M4953" s="676"/>
    </row>
    <row r="4954" spans="3:13">
      <c r="C4954" s="660"/>
      <c r="D4954" s="677">
        <v>45778</v>
      </c>
      <c r="E4954" s="693">
        <v>48.7</v>
      </c>
      <c r="F4954" s="693">
        <v>48</v>
      </c>
      <c r="G4954" s="693">
        <v>49</v>
      </c>
      <c r="H4954" s="718">
        <v>0.58333333333333337</v>
      </c>
      <c r="I4954" s="1245"/>
      <c r="J4954" s="1246"/>
      <c r="K4954" s="1247"/>
      <c r="L4954" s="679">
        <v>0.8125</v>
      </c>
      <c r="M4954" s="680"/>
    </row>
    <row r="4955" spans="3:13">
      <c r="C4955" s="660"/>
      <c r="D4955" s="677">
        <v>45748</v>
      </c>
      <c r="E4955" s="693">
        <v>49</v>
      </c>
      <c r="F4955" s="693">
        <v>49.5</v>
      </c>
      <c r="G4955" s="693">
        <v>50.3</v>
      </c>
      <c r="H4955" s="718">
        <v>0.58333333333333337</v>
      </c>
      <c r="I4955" s="1245"/>
      <c r="J4955" s="1246"/>
      <c r="K4955" s="1247"/>
      <c r="L4955" s="679">
        <v>0.8125</v>
      </c>
      <c r="M4955" s="681"/>
    </row>
    <row r="4956" spans="3:13">
      <c r="C4956" s="660"/>
      <c r="D4956" s="677">
        <v>45719</v>
      </c>
      <c r="E4956" s="693">
        <v>50.3</v>
      </c>
      <c r="F4956" s="693">
        <v>50.6</v>
      </c>
      <c r="G4956" s="693">
        <v>50.9</v>
      </c>
      <c r="H4956" s="718">
        <v>0.625</v>
      </c>
      <c r="I4956" s="1245"/>
      <c r="J4956" s="1246"/>
      <c r="K4956" s="1247"/>
      <c r="L4956" s="679">
        <v>0.85416666666666663</v>
      </c>
      <c r="M4956" s="667"/>
    </row>
    <row r="4957" spans="3:13">
      <c r="C4957" s="660"/>
      <c r="D4957" s="677">
        <v>45691</v>
      </c>
      <c r="E4957" s="693">
        <v>50.9</v>
      </c>
      <c r="F4957" s="693">
        <v>49.3</v>
      </c>
      <c r="G4957" s="693">
        <v>49.2</v>
      </c>
      <c r="H4957" s="718">
        <v>0.625</v>
      </c>
      <c r="I4957" s="1245"/>
      <c r="J4957" s="1246"/>
      <c r="K4957" s="1247"/>
      <c r="L4957" s="679">
        <v>0.85416666666666663</v>
      </c>
      <c r="M4957" s="667"/>
    </row>
    <row r="4958" spans="3:13">
      <c r="C4958" s="660"/>
      <c r="D4958" s="677">
        <v>45660</v>
      </c>
      <c r="E4958" s="693">
        <v>49.3</v>
      </c>
      <c r="F4958" s="693">
        <v>48.2</v>
      </c>
      <c r="G4958" s="693">
        <v>48.4</v>
      </c>
      <c r="H4958" s="718">
        <v>0.625</v>
      </c>
      <c r="I4958" s="1245"/>
      <c r="J4958" s="1246"/>
      <c r="K4958" s="1247"/>
      <c r="L4958" s="679">
        <v>0.85416666666666663</v>
      </c>
      <c r="M4958" s="667"/>
    </row>
    <row r="4959" spans="3:13" ht="17" thickBot="1">
      <c r="C4959" s="660"/>
      <c r="D4959" s="677">
        <v>45628</v>
      </c>
      <c r="E4959" s="693">
        <v>48.4</v>
      </c>
      <c r="F4959" s="693">
        <v>47.7</v>
      </c>
      <c r="G4959" s="693">
        <v>46.5</v>
      </c>
      <c r="H4959" s="718">
        <v>0.625</v>
      </c>
      <c r="I4959" s="1248"/>
      <c r="J4959" s="1249"/>
      <c r="K4959" s="1250"/>
      <c r="L4959" s="679">
        <v>0.85416666666666663</v>
      </c>
      <c r="M4959" s="682"/>
    </row>
    <row r="4960" spans="3:13" ht="17" thickBot="1">
      <c r="C4960" s="660">
        <v>1</v>
      </c>
      <c r="D4960" s="671" t="s">
        <v>30</v>
      </c>
      <c r="E4960" s="1252" t="s">
        <v>2190</v>
      </c>
      <c r="F4960" s="1253"/>
      <c r="G4960" s="1254"/>
      <c r="H4960" s="712" t="s">
        <v>790</v>
      </c>
      <c r="I4960" s="1255" t="s">
        <v>633</v>
      </c>
      <c r="J4960" s="1256"/>
      <c r="K4960" s="1257"/>
      <c r="L4960" s="674" t="s">
        <v>430</v>
      </c>
      <c r="M4960" s="713" t="s">
        <v>431</v>
      </c>
    </row>
    <row r="4961" spans="3:13">
      <c r="C4961" s="660"/>
      <c r="D4961" s="663" t="s">
        <v>432</v>
      </c>
      <c r="E4961" s="1266"/>
      <c r="F4961" s="1267"/>
      <c r="G4961" s="1268"/>
      <c r="H4961" s="714" t="s">
        <v>794</v>
      </c>
      <c r="I4961" s="1242" t="s">
        <v>2191</v>
      </c>
      <c r="J4961" s="1243"/>
      <c r="K4961" s="1244"/>
      <c r="L4961" s="664"/>
      <c r="M4961" s="665" t="s">
        <v>2190</v>
      </c>
    </row>
    <row r="4962" spans="3:13">
      <c r="C4962" s="660"/>
      <c r="D4962" s="666" t="s">
        <v>433</v>
      </c>
      <c r="E4962" s="1278">
        <v>0</v>
      </c>
      <c r="F4962" s="1270"/>
      <c r="G4962" s="1271"/>
      <c r="H4962" s="714" t="s">
        <v>795</v>
      </c>
      <c r="I4962" s="1245"/>
      <c r="J4962" s="1246"/>
      <c r="K4962" s="1247"/>
      <c r="L4962" s="664"/>
      <c r="M4962" s="667"/>
    </row>
    <row r="4963" spans="3:13">
      <c r="C4963" s="660"/>
      <c r="D4963" s="666" t="s">
        <v>434</v>
      </c>
      <c r="E4963" s="1278">
        <v>69.8</v>
      </c>
      <c r="F4963" s="1270"/>
      <c r="G4963" s="1271"/>
      <c r="H4963" s="715"/>
      <c r="I4963" s="1245"/>
      <c r="J4963" s="1246"/>
      <c r="K4963" s="1247"/>
      <c r="L4963" s="664"/>
      <c r="M4963" s="667"/>
    </row>
    <row r="4964" spans="3:13" ht="17" thickBot="1">
      <c r="C4964" s="660"/>
      <c r="D4964" s="668" t="s">
        <v>435</v>
      </c>
      <c r="E4964" s="1275">
        <v>0.58333333333333337</v>
      </c>
      <c r="F4964" s="1276"/>
      <c r="G4964" s="1277"/>
      <c r="H4964" s="716"/>
      <c r="I4964" s="1245"/>
      <c r="J4964" s="1246"/>
      <c r="K4964" s="1247"/>
      <c r="L4964" s="669">
        <v>0.8125</v>
      </c>
      <c r="M4964" s="670">
        <v>0.70833333333333337</v>
      </c>
    </row>
    <row r="4965" spans="3:13" ht="17" thickBot="1">
      <c r="C4965" s="660"/>
      <c r="D4965" s="671" t="s">
        <v>436</v>
      </c>
      <c r="E4965" s="672" t="s">
        <v>29</v>
      </c>
      <c r="F4965" s="672" t="s">
        <v>28</v>
      </c>
      <c r="G4965" s="673" t="s">
        <v>27</v>
      </c>
      <c r="H4965" s="712" t="s">
        <v>793</v>
      </c>
      <c r="I4965" s="1245"/>
      <c r="J4965" s="1246"/>
      <c r="K4965" s="1247"/>
      <c r="L4965" s="675" t="s">
        <v>1246</v>
      </c>
      <c r="M4965" s="676"/>
    </row>
    <row r="4966" spans="3:13">
      <c r="C4966" s="660"/>
      <c r="D4966" s="677">
        <v>45778</v>
      </c>
      <c r="E4966" s="693">
        <v>69.8</v>
      </c>
      <c r="F4966" s="693">
        <v>72.900000000000006</v>
      </c>
      <c r="G4966" s="693">
        <v>69.400000000000006</v>
      </c>
      <c r="H4966" s="718">
        <v>0.58333333333333337</v>
      </c>
      <c r="I4966" s="1245"/>
      <c r="J4966" s="1246"/>
      <c r="K4966" s="1247"/>
      <c r="L4966" s="679">
        <v>0.8125</v>
      </c>
      <c r="M4966" s="680"/>
    </row>
    <row r="4967" spans="3:13">
      <c r="C4967" s="660"/>
      <c r="D4967" s="677">
        <v>45748</v>
      </c>
      <c r="E4967" s="693">
        <v>69.400000000000006</v>
      </c>
      <c r="F4967" s="693">
        <v>64.599999999999994</v>
      </c>
      <c r="G4967" s="693">
        <v>62.4</v>
      </c>
      <c r="H4967" s="718">
        <v>0.58333333333333337</v>
      </c>
      <c r="I4967" s="1245"/>
      <c r="J4967" s="1246"/>
      <c r="K4967" s="1247"/>
      <c r="L4967" s="679">
        <v>0.8125</v>
      </c>
      <c r="M4967" s="681"/>
    </row>
    <row r="4968" spans="3:13">
      <c r="C4968" s="660"/>
      <c r="D4968" s="677">
        <v>45719</v>
      </c>
      <c r="E4968" s="693">
        <v>62.4</v>
      </c>
      <c r="F4968" s="693">
        <v>56.2</v>
      </c>
      <c r="G4968" s="693">
        <v>54.9</v>
      </c>
      <c r="H4968" s="718">
        <v>0.625</v>
      </c>
      <c r="I4968" s="1245"/>
      <c r="J4968" s="1246"/>
      <c r="K4968" s="1247"/>
      <c r="L4968" s="679">
        <v>0.85416666666666663</v>
      </c>
      <c r="M4968" s="667"/>
    </row>
    <row r="4969" spans="3:13">
      <c r="C4969" s="660"/>
      <c r="D4969" s="677">
        <v>45691</v>
      </c>
      <c r="E4969" s="693">
        <v>54.9</v>
      </c>
      <c r="F4969" s="693">
        <v>52.6</v>
      </c>
      <c r="G4969" s="693">
        <v>52.5</v>
      </c>
      <c r="H4969" s="718">
        <v>0.625</v>
      </c>
      <c r="I4969" s="1245"/>
      <c r="J4969" s="1246"/>
      <c r="K4969" s="1247"/>
      <c r="L4969" s="679">
        <v>0.85416666666666663</v>
      </c>
      <c r="M4969" s="667"/>
    </row>
    <row r="4970" spans="3:13">
      <c r="C4970" s="660"/>
      <c r="D4970" s="677">
        <v>45660</v>
      </c>
      <c r="E4970" s="693">
        <v>52.5</v>
      </c>
      <c r="F4970" s="693">
        <v>51.5</v>
      </c>
      <c r="G4970" s="693">
        <v>50.3</v>
      </c>
      <c r="H4970" s="718">
        <v>0.625</v>
      </c>
      <c r="I4970" s="1245"/>
      <c r="J4970" s="1246"/>
      <c r="K4970" s="1247"/>
      <c r="L4970" s="679">
        <v>0.85416666666666663</v>
      </c>
      <c r="M4970" s="667"/>
    </row>
    <row r="4971" spans="3:13" ht="17" thickBot="1">
      <c r="C4971" s="660"/>
      <c r="D4971" s="677">
        <v>45628</v>
      </c>
      <c r="E4971" s="693">
        <v>50.3</v>
      </c>
      <c r="F4971" s="693">
        <v>55.2</v>
      </c>
      <c r="G4971" s="693">
        <v>54.8</v>
      </c>
      <c r="H4971" s="718">
        <v>0.625</v>
      </c>
      <c r="I4971" s="1248"/>
      <c r="J4971" s="1249"/>
      <c r="K4971" s="1250"/>
      <c r="L4971" s="679">
        <v>0.85416666666666663</v>
      </c>
      <c r="M4971" s="682"/>
    </row>
    <row r="4972" spans="3:13" ht="17" thickBot="1">
      <c r="C4972" s="660">
        <v>1</v>
      </c>
      <c r="D4972" s="671" t="s">
        <v>30</v>
      </c>
      <c r="E4972" s="1252" t="s">
        <v>1745</v>
      </c>
      <c r="F4972" s="1253"/>
      <c r="G4972" s="1254"/>
      <c r="H4972" s="712" t="s">
        <v>790</v>
      </c>
      <c r="I4972" s="1255" t="s">
        <v>633</v>
      </c>
      <c r="J4972" s="1256"/>
      <c r="K4972" s="1257"/>
      <c r="L4972" s="674" t="s">
        <v>430</v>
      </c>
      <c r="M4972" s="713" t="s">
        <v>431</v>
      </c>
    </row>
    <row r="4973" spans="3:13">
      <c r="C4973" s="660"/>
      <c r="D4973" s="663" t="s">
        <v>432</v>
      </c>
      <c r="E4973" s="1266"/>
      <c r="F4973" s="1267"/>
      <c r="G4973" s="1268"/>
      <c r="H4973" s="714" t="s">
        <v>794</v>
      </c>
      <c r="I4973" s="1242" t="s">
        <v>2149</v>
      </c>
      <c r="J4973" s="1243"/>
      <c r="K4973" s="1244"/>
      <c r="L4973" s="664"/>
      <c r="M4973" s="665" t="s">
        <v>1745</v>
      </c>
    </row>
    <row r="4974" spans="3:13">
      <c r="C4974" s="660"/>
      <c r="D4974" s="666" t="s">
        <v>433</v>
      </c>
      <c r="E4974" s="1278">
        <v>0</v>
      </c>
      <c r="F4974" s="1270"/>
      <c r="G4974" s="1271"/>
      <c r="H4974" s="714" t="s">
        <v>795</v>
      </c>
      <c r="I4974" s="1245"/>
      <c r="J4974" s="1246"/>
      <c r="K4974" s="1247"/>
      <c r="L4974" s="664"/>
      <c r="M4974" s="667"/>
    </row>
    <row r="4975" spans="3:13">
      <c r="C4975" s="660"/>
      <c r="D4975" s="666" t="s">
        <v>434</v>
      </c>
      <c r="E4975" s="1278">
        <v>0</v>
      </c>
      <c r="F4975" s="1270"/>
      <c r="G4975" s="1271"/>
      <c r="H4975" s="715"/>
      <c r="I4975" s="1245"/>
      <c r="J4975" s="1246"/>
      <c r="K4975" s="1247"/>
      <c r="L4975" s="664"/>
      <c r="M4975" s="667"/>
    </row>
    <row r="4976" spans="3:13" ht="17" thickBot="1">
      <c r="C4976" s="660"/>
      <c r="D4976" s="668" t="s">
        <v>435</v>
      </c>
      <c r="E4976" s="1275">
        <v>0.70833333333333337</v>
      </c>
      <c r="F4976" s="1276"/>
      <c r="G4976" s="1277"/>
      <c r="H4976" s="716"/>
      <c r="I4976" s="1245"/>
      <c r="J4976" s="1246"/>
      <c r="K4976" s="1247"/>
      <c r="L4976" s="669">
        <v>0.9375</v>
      </c>
      <c r="M4976" s="670">
        <v>0.83333333333333337</v>
      </c>
    </row>
    <row r="4977" spans="3:13" ht="17" thickBot="1">
      <c r="C4977" s="660"/>
      <c r="D4977" s="671" t="s">
        <v>436</v>
      </c>
      <c r="E4977" s="672" t="s">
        <v>29</v>
      </c>
      <c r="F4977" s="672" t="s">
        <v>28</v>
      </c>
      <c r="G4977" s="673" t="s">
        <v>27</v>
      </c>
      <c r="H4977" s="712" t="s">
        <v>793</v>
      </c>
      <c r="I4977" s="1245"/>
      <c r="J4977" s="1246"/>
      <c r="K4977" s="1247"/>
      <c r="L4977" s="675" t="s">
        <v>1246</v>
      </c>
      <c r="M4977" s="676"/>
    </row>
    <row r="4978" spans="3:13">
      <c r="C4978" s="660"/>
      <c r="D4978" s="811">
        <v>45802</v>
      </c>
      <c r="E4978" s="693">
        <v>0</v>
      </c>
      <c r="F4978" s="693">
        <v>0</v>
      </c>
      <c r="G4978" s="693">
        <v>0</v>
      </c>
      <c r="H4978" s="718">
        <v>0.77777777777777779</v>
      </c>
      <c r="I4978" s="1245"/>
      <c r="J4978" s="1246"/>
      <c r="K4978" s="1247"/>
      <c r="L4978" s="679">
        <v>6.9444444444444441E-3</v>
      </c>
      <c r="M4978" s="680"/>
    </row>
    <row r="4979" spans="3:13">
      <c r="C4979" s="660"/>
      <c r="D4979" s="677">
        <v>45792</v>
      </c>
      <c r="E4979" s="693">
        <v>0</v>
      </c>
      <c r="F4979" s="693">
        <v>0</v>
      </c>
      <c r="G4979" s="693">
        <v>0</v>
      </c>
      <c r="H4979" s="718">
        <v>0.52777777777777779</v>
      </c>
      <c r="I4979" s="1245"/>
      <c r="J4979" s="1246"/>
      <c r="K4979" s="1247"/>
      <c r="L4979" s="679">
        <v>0.75694444444444442</v>
      </c>
      <c r="M4979" s="681"/>
    </row>
    <row r="4980" spans="3:13">
      <c r="C4980" s="660"/>
      <c r="D4980" s="677">
        <v>45763</v>
      </c>
      <c r="E4980" s="693">
        <v>0</v>
      </c>
      <c r="F4980" s="693">
        <v>0</v>
      </c>
      <c r="G4980" s="693">
        <v>0</v>
      </c>
      <c r="H4980" s="718">
        <v>0.72916666666666674</v>
      </c>
      <c r="I4980" s="1245"/>
      <c r="J4980" s="1246"/>
      <c r="K4980" s="1247"/>
      <c r="L4980" s="679">
        <v>0.95833333333333337</v>
      </c>
      <c r="M4980" s="667"/>
    </row>
    <row r="4981" spans="3:13">
      <c r="C4981" s="660"/>
      <c r="D4981" s="677">
        <v>45751</v>
      </c>
      <c r="E4981" s="693">
        <v>0</v>
      </c>
      <c r="F4981" s="693">
        <v>0</v>
      </c>
      <c r="G4981" s="693">
        <v>0</v>
      </c>
      <c r="H4981" s="718">
        <v>0.64236111111111116</v>
      </c>
      <c r="I4981" s="1245"/>
      <c r="J4981" s="1246"/>
      <c r="K4981" s="1247"/>
      <c r="L4981" s="679">
        <v>0.87152777777777779</v>
      </c>
      <c r="M4981" s="667"/>
    </row>
    <row r="4982" spans="3:13">
      <c r="C4982" s="660"/>
      <c r="D4982" s="677">
        <v>45723</v>
      </c>
      <c r="E4982" s="693">
        <v>0</v>
      </c>
      <c r="F4982" s="693">
        <v>0</v>
      </c>
      <c r="G4982" s="693">
        <v>0</v>
      </c>
      <c r="H4982" s="718">
        <v>0.72916666666666674</v>
      </c>
      <c r="I4982" s="1245"/>
      <c r="J4982" s="1246"/>
      <c r="K4982" s="1247"/>
      <c r="L4982" s="679">
        <v>0.95833333333333337</v>
      </c>
      <c r="M4982" s="667"/>
    </row>
    <row r="4983" spans="3:13" ht="17" thickBot="1">
      <c r="C4983" s="660"/>
      <c r="D4983" s="811">
        <v>45630</v>
      </c>
      <c r="E4983" s="693">
        <v>0</v>
      </c>
      <c r="F4983" s="693">
        <v>0</v>
      </c>
      <c r="G4983" s="693">
        <v>0</v>
      </c>
      <c r="H4983" s="718">
        <v>0.78125</v>
      </c>
      <c r="I4983" s="1248"/>
      <c r="J4983" s="1249"/>
      <c r="K4983" s="1250"/>
      <c r="L4983" s="679">
        <v>1.0416666666666666E-2</v>
      </c>
      <c r="M4983" s="682"/>
    </row>
    <row r="4984" spans="3:13" ht="17" thickBot="1">
      <c r="C4984" s="660">
        <v>1</v>
      </c>
      <c r="D4984" s="684" t="s">
        <v>30</v>
      </c>
      <c r="E4984" s="1290" t="s">
        <v>2192</v>
      </c>
      <c r="F4984" s="1291"/>
      <c r="G4984" s="1292"/>
      <c r="H4984" s="712" t="s">
        <v>790</v>
      </c>
      <c r="I4984" s="1255" t="s">
        <v>633</v>
      </c>
      <c r="J4984" s="1256"/>
      <c r="K4984" s="1257"/>
      <c r="L4984" s="674" t="s">
        <v>430</v>
      </c>
      <c r="M4984" s="713" t="s">
        <v>431</v>
      </c>
    </row>
    <row r="4985" spans="3:13">
      <c r="C4985" s="660"/>
      <c r="D4985" s="686" t="s">
        <v>432</v>
      </c>
      <c r="E4985" s="1266"/>
      <c r="F4985" s="1267"/>
      <c r="G4985" s="1268"/>
      <c r="H4985" s="714" t="s">
        <v>1924</v>
      </c>
      <c r="I4985" s="1242" t="s">
        <v>1963</v>
      </c>
      <c r="J4985" s="1243"/>
      <c r="K4985" s="1244"/>
      <c r="L4985" s="664"/>
      <c r="M4985" s="665" t="s">
        <v>2192</v>
      </c>
    </row>
    <row r="4986" spans="3:13">
      <c r="C4986" s="660"/>
      <c r="D4986" s="687" t="s">
        <v>433</v>
      </c>
      <c r="E4986" s="1278">
        <v>0</v>
      </c>
      <c r="F4986" s="1270"/>
      <c r="G4986" s="1271"/>
      <c r="H4986" s="714" t="s">
        <v>1925</v>
      </c>
      <c r="I4986" s="1245"/>
      <c r="J4986" s="1246"/>
      <c r="K4986" s="1247"/>
      <c r="L4986" s="664"/>
      <c r="M4986" s="667"/>
    </row>
    <row r="4987" spans="3:13">
      <c r="C4987" s="660"/>
      <c r="D4987" s="687" t="s">
        <v>434</v>
      </c>
      <c r="E4987" s="1278">
        <v>0</v>
      </c>
      <c r="F4987" s="1270"/>
      <c r="G4987" s="1271"/>
      <c r="H4987" s="715"/>
      <c r="I4987" s="1245"/>
      <c r="J4987" s="1246"/>
      <c r="K4987" s="1247"/>
      <c r="L4987" s="664"/>
      <c r="M4987" s="667"/>
    </row>
    <row r="4988" spans="3:13" ht="17" thickBot="1">
      <c r="C4988" s="660"/>
      <c r="D4988" s="688" t="s">
        <v>435</v>
      </c>
      <c r="E4988" s="1275" t="e">
        <v>#VALUE!</v>
      </c>
      <c r="F4988" s="1276"/>
      <c r="G4988" s="1277"/>
      <c r="H4988" s="716"/>
      <c r="I4988" s="1245"/>
      <c r="J4988" s="1246"/>
      <c r="K4988" s="1247"/>
      <c r="L4988" s="669" t="s">
        <v>1449</v>
      </c>
      <c r="M4988" s="670" t="e">
        <v>#VALUE!</v>
      </c>
    </row>
    <row r="4989" spans="3:13" ht="17" thickBot="1">
      <c r="C4989" s="660"/>
      <c r="D4989" s="684" t="s">
        <v>436</v>
      </c>
      <c r="E4989" s="672" t="s">
        <v>29</v>
      </c>
      <c r="F4989" s="672" t="s">
        <v>28</v>
      </c>
      <c r="G4989" s="673" t="s">
        <v>27</v>
      </c>
      <c r="H4989" s="712" t="s">
        <v>793</v>
      </c>
      <c r="I4989" s="1245"/>
      <c r="J4989" s="1246"/>
      <c r="K4989" s="1247"/>
      <c r="L4989" s="675" t="s">
        <v>1246</v>
      </c>
      <c r="M4989" s="676"/>
    </row>
    <row r="4990" spans="3:13">
      <c r="C4990" s="660"/>
      <c r="D4990" s="689">
        <v>45756</v>
      </c>
      <c r="E4990" s="693">
        <v>3.5000000000000003E-2</v>
      </c>
      <c r="F4990" s="693">
        <v>3.5000000000000003E-2</v>
      </c>
      <c r="G4990" s="693">
        <v>3.7499999999999999E-2</v>
      </c>
      <c r="H4990" s="718">
        <v>8.3333333333333343E-2</v>
      </c>
      <c r="I4990" s="1245"/>
      <c r="J4990" s="1246"/>
      <c r="K4990" s="1247"/>
      <c r="L4990" s="679">
        <v>0.3125</v>
      </c>
      <c r="M4990" s="680"/>
    </row>
    <row r="4991" spans="3:13">
      <c r="C4991" s="660"/>
      <c r="D4991" s="689">
        <v>45707</v>
      </c>
      <c r="E4991" s="693">
        <v>3.7499999999999999E-2</v>
      </c>
      <c r="F4991" s="693">
        <v>3.7499999999999999E-2</v>
      </c>
      <c r="G4991" s="693">
        <v>4.2500000000000003E-2</v>
      </c>
      <c r="H4991" s="718">
        <v>4.1666666666666657E-2</v>
      </c>
      <c r="I4991" s="1245"/>
      <c r="J4991" s="1246"/>
      <c r="K4991" s="1247"/>
      <c r="L4991" s="679">
        <v>0.27083333333333331</v>
      </c>
      <c r="M4991" s="681"/>
    </row>
    <row r="4992" spans="3:13">
      <c r="C4992" s="660"/>
      <c r="D4992" s="689">
        <v>45623</v>
      </c>
      <c r="E4992" s="693">
        <v>4.2500000000000003E-2</v>
      </c>
      <c r="F4992" s="693">
        <v>4.2500000000000003E-2</v>
      </c>
      <c r="G4992" s="693">
        <v>4.7500000000000001E-2</v>
      </c>
      <c r="H4992" s="718">
        <v>4.1666666666666657E-2</v>
      </c>
      <c r="I4992" s="1245"/>
      <c r="J4992" s="1246"/>
      <c r="K4992" s="1247"/>
      <c r="L4992" s="679">
        <v>0.27083333333333331</v>
      </c>
      <c r="M4992" s="667"/>
    </row>
    <row r="4993" spans="3:13">
      <c r="C4993" s="660"/>
      <c r="D4993" s="689">
        <v>45574</v>
      </c>
      <c r="E4993" s="693">
        <v>4.7500000000000001E-2</v>
      </c>
      <c r="F4993" s="693">
        <v>4.7500000000000001E-2</v>
      </c>
      <c r="G4993" s="693">
        <v>5.2499999999999998E-2</v>
      </c>
      <c r="H4993" s="718">
        <v>4.1666666666666657E-2</v>
      </c>
      <c r="I4993" s="1245"/>
      <c r="J4993" s="1246"/>
      <c r="K4993" s="1247"/>
      <c r="L4993" s="679">
        <v>0.27083333333333331</v>
      </c>
      <c r="M4993" s="667"/>
    </row>
    <row r="4994" spans="3:13">
      <c r="C4994" s="660"/>
      <c r="D4994" s="689">
        <v>45518</v>
      </c>
      <c r="E4994" s="693">
        <v>5.2499999999999998E-2</v>
      </c>
      <c r="F4994" s="693">
        <v>5.5E-2</v>
      </c>
      <c r="G4994" s="693">
        <v>5.5E-2</v>
      </c>
      <c r="H4994" s="718">
        <v>8.3333333333333343E-2</v>
      </c>
      <c r="I4994" s="1245"/>
      <c r="J4994" s="1246"/>
      <c r="K4994" s="1247"/>
      <c r="L4994" s="679">
        <v>0.3125</v>
      </c>
      <c r="M4994" s="667"/>
    </row>
    <row r="4995" spans="3:13" ht="17" thickBot="1">
      <c r="C4995" s="660"/>
      <c r="D4995" s="689">
        <v>45483</v>
      </c>
      <c r="E4995" s="693">
        <v>5.5E-2</v>
      </c>
      <c r="F4995" s="693">
        <v>5.5E-2</v>
      </c>
      <c r="G4995" s="693">
        <v>5.5E-2</v>
      </c>
      <c r="H4995" s="718">
        <v>8.3333333333333343E-2</v>
      </c>
      <c r="I4995" s="1248"/>
      <c r="J4995" s="1249"/>
      <c r="K4995" s="1250"/>
      <c r="L4995" s="679">
        <v>0.3125</v>
      </c>
      <c r="M4995" s="682"/>
    </row>
    <row r="4996" spans="3:13" ht="17" thickBot="1">
      <c r="C4996" s="660">
        <v>1</v>
      </c>
      <c r="D4996" s="671" t="s">
        <v>30</v>
      </c>
      <c r="E4996" s="1252" t="s">
        <v>2193</v>
      </c>
      <c r="F4996" s="1253"/>
      <c r="G4996" s="1254"/>
      <c r="H4996" s="712" t="s">
        <v>790</v>
      </c>
      <c r="I4996" s="1255" t="s">
        <v>633</v>
      </c>
      <c r="J4996" s="1256"/>
      <c r="K4996" s="1257"/>
      <c r="L4996" s="674" t="s">
        <v>430</v>
      </c>
      <c r="M4996" s="713" t="s">
        <v>431</v>
      </c>
    </row>
    <row r="4997" spans="3:13">
      <c r="C4997" s="660"/>
      <c r="D4997" s="663" t="s">
        <v>432</v>
      </c>
      <c r="E4997" s="1266"/>
      <c r="F4997" s="1267"/>
      <c r="G4997" s="1268"/>
      <c r="H4997" s="714" t="s">
        <v>909</v>
      </c>
      <c r="I4997" s="1242" t="s">
        <v>1935</v>
      </c>
      <c r="J4997" s="1243"/>
      <c r="K4997" s="1244"/>
      <c r="L4997" s="664"/>
      <c r="M4997" s="665" t="s">
        <v>2193</v>
      </c>
    </row>
    <row r="4998" spans="3:13">
      <c r="C4998" s="660"/>
      <c r="D4998" s="666" t="s">
        <v>433</v>
      </c>
      <c r="E4998" s="1269"/>
      <c r="F4998" s="1270"/>
      <c r="G4998" s="1271"/>
      <c r="H4998" s="714" t="s">
        <v>910</v>
      </c>
      <c r="I4998" s="1245"/>
      <c r="J4998" s="1246"/>
      <c r="K4998" s="1247"/>
      <c r="L4998" s="664"/>
      <c r="M4998" s="667"/>
    </row>
    <row r="4999" spans="3:13">
      <c r="C4999" s="660"/>
      <c r="D4999" s="666" t="s">
        <v>434</v>
      </c>
      <c r="E4999" s="1272">
        <v>2.1999999999999999E-2</v>
      </c>
      <c r="F4999" s="1273"/>
      <c r="G4999" s="1274"/>
      <c r="H4999" s="715"/>
      <c r="I4999" s="1245"/>
      <c r="J4999" s="1246"/>
      <c r="K4999" s="1247"/>
      <c r="L4999" s="664"/>
      <c r="M4999" s="667"/>
    </row>
    <row r="5000" spans="3:13" ht="17" thickBot="1">
      <c r="C5000" s="660"/>
      <c r="D5000" s="668" t="s">
        <v>435</v>
      </c>
      <c r="E5000" s="1275">
        <v>0.375</v>
      </c>
      <c r="F5000" s="1276"/>
      <c r="G5000" s="1277"/>
      <c r="H5000" s="716"/>
      <c r="I5000" s="1245"/>
      <c r="J5000" s="1246"/>
      <c r="K5000" s="1247"/>
      <c r="L5000" s="669">
        <v>0.60416666666666663</v>
      </c>
      <c r="M5000" s="670">
        <v>0.49999999999999994</v>
      </c>
    </row>
    <row r="5001" spans="3:13" ht="17" thickBot="1">
      <c r="C5001" s="660"/>
      <c r="D5001" s="671" t="s">
        <v>436</v>
      </c>
      <c r="E5001" s="672" t="s">
        <v>29</v>
      </c>
      <c r="F5001" s="672" t="s">
        <v>28</v>
      </c>
      <c r="G5001" s="673" t="s">
        <v>27</v>
      </c>
      <c r="H5001" s="712" t="s">
        <v>793</v>
      </c>
      <c r="I5001" s="1245"/>
      <c r="J5001" s="1246"/>
      <c r="K5001" s="1247"/>
      <c r="L5001" s="675" t="s">
        <v>1246</v>
      </c>
      <c r="M5001" s="676"/>
    </row>
    <row r="5002" spans="3:13">
      <c r="C5002" s="660"/>
      <c r="D5002" s="677">
        <v>45796</v>
      </c>
      <c r="E5002" s="720">
        <v>2.1999999999999999E-2</v>
      </c>
      <c r="F5002" s="720">
        <v>2.1999999999999999E-2</v>
      </c>
      <c r="G5002" s="720">
        <v>2.1999999999999999E-2</v>
      </c>
      <c r="H5002" s="718">
        <v>0.375</v>
      </c>
      <c r="I5002" s="1245"/>
      <c r="J5002" s="1246"/>
      <c r="K5002" s="1247"/>
      <c r="L5002" s="679">
        <v>0.60416666666666663</v>
      </c>
      <c r="M5002" s="680"/>
    </row>
    <row r="5003" spans="3:13">
      <c r="C5003" s="660"/>
      <c r="D5003" s="677">
        <v>45779</v>
      </c>
      <c r="E5003" s="720">
        <v>2.1999999999999999E-2</v>
      </c>
      <c r="F5003" s="720">
        <v>2.1000000000000001E-2</v>
      </c>
      <c r="G5003" s="720">
        <v>2.1999999999999999E-2</v>
      </c>
      <c r="H5003" s="718">
        <v>0.375</v>
      </c>
      <c r="I5003" s="1245"/>
      <c r="J5003" s="1246"/>
      <c r="K5003" s="1247"/>
      <c r="L5003" s="679">
        <v>0.60416666666666663</v>
      </c>
      <c r="M5003" s="681"/>
    </row>
    <row r="5004" spans="3:13">
      <c r="C5004" s="660"/>
      <c r="D5004" s="677">
        <v>45763</v>
      </c>
      <c r="E5004" s="720">
        <v>2.1999999999999999E-2</v>
      </c>
      <c r="F5004" s="720">
        <v>2.1999999999999999E-2</v>
      </c>
      <c r="G5004" s="720">
        <v>2.3E-2</v>
      </c>
      <c r="H5004" s="718">
        <v>0.375</v>
      </c>
      <c r="I5004" s="1245"/>
      <c r="J5004" s="1246"/>
      <c r="K5004" s="1247"/>
      <c r="L5004" s="679">
        <v>0.60416666666666663</v>
      </c>
      <c r="M5004" s="667"/>
    </row>
    <row r="5005" spans="3:13">
      <c r="C5005" s="660"/>
      <c r="D5005" s="677">
        <v>45748</v>
      </c>
      <c r="E5005" s="720">
        <v>2.1999999999999999E-2</v>
      </c>
      <c r="F5005" s="720">
        <v>2.1999999999999999E-2</v>
      </c>
      <c r="G5005" s="720">
        <v>2.3E-2</v>
      </c>
      <c r="H5005" s="718">
        <v>0.375</v>
      </c>
      <c r="I5005" s="1245"/>
      <c r="J5005" s="1246"/>
      <c r="K5005" s="1247"/>
      <c r="L5005" s="679">
        <v>0.60416666666666663</v>
      </c>
      <c r="M5005" s="667"/>
    </row>
    <row r="5006" spans="3:13">
      <c r="C5006" s="660"/>
      <c r="D5006" s="677">
        <v>45735</v>
      </c>
      <c r="E5006" s="720">
        <v>2.3E-2</v>
      </c>
      <c r="F5006" s="720">
        <v>2.4E-2</v>
      </c>
      <c r="G5006" s="720">
        <v>2.5000000000000001E-2</v>
      </c>
      <c r="H5006" s="718">
        <v>0.41666666666666674</v>
      </c>
      <c r="I5006" s="1245"/>
      <c r="J5006" s="1246"/>
      <c r="K5006" s="1247"/>
      <c r="L5006" s="679">
        <v>0.64583333333333337</v>
      </c>
      <c r="M5006" s="667"/>
    </row>
    <row r="5007" spans="3:13" ht="17" thickBot="1">
      <c r="C5007" s="660"/>
      <c r="D5007" s="677">
        <v>45719</v>
      </c>
      <c r="E5007" s="720">
        <v>2.4E-2</v>
      </c>
      <c r="F5007" s="720">
        <v>2.3E-2</v>
      </c>
      <c r="G5007" s="720">
        <v>2.5000000000000001E-2</v>
      </c>
      <c r="H5007" s="718">
        <v>0.41666666666666674</v>
      </c>
      <c r="I5007" s="1248"/>
      <c r="J5007" s="1249"/>
      <c r="K5007" s="1250"/>
      <c r="L5007" s="679">
        <v>0.64583333333333337</v>
      </c>
      <c r="M5007" s="682"/>
    </row>
    <row r="5008" spans="3:13" ht="17" thickBot="1">
      <c r="C5008" s="660">
        <v>1</v>
      </c>
      <c r="D5008" s="671" t="s">
        <v>30</v>
      </c>
      <c r="E5008" s="1252" t="s">
        <v>2194</v>
      </c>
      <c r="F5008" s="1253"/>
      <c r="G5008" s="1254"/>
      <c r="H5008" s="712" t="s">
        <v>790</v>
      </c>
      <c r="I5008" s="1255" t="s">
        <v>633</v>
      </c>
      <c r="J5008" s="1256"/>
      <c r="K5008" s="1257"/>
      <c r="L5008" s="674" t="s">
        <v>430</v>
      </c>
      <c r="M5008" s="713" t="s">
        <v>431</v>
      </c>
    </row>
    <row r="5009" spans="3:13">
      <c r="C5009" s="660"/>
      <c r="D5009" s="663" t="s">
        <v>432</v>
      </c>
      <c r="E5009" s="1266"/>
      <c r="F5009" s="1267"/>
      <c r="G5009" s="1268"/>
      <c r="H5009" s="714" t="s">
        <v>794</v>
      </c>
      <c r="I5009" s="1242" t="s">
        <v>2015</v>
      </c>
      <c r="J5009" s="1243"/>
      <c r="K5009" s="1244"/>
      <c r="L5009" s="664"/>
      <c r="M5009" s="665" t="s">
        <v>2194</v>
      </c>
    </row>
    <row r="5010" spans="3:13">
      <c r="C5010" s="660"/>
      <c r="D5010" s="666" t="s">
        <v>433</v>
      </c>
      <c r="E5010" s="1269"/>
      <c r="F5010" s="1270"/>
      <c r="G5010" s="1271"/>
      <c r="H5010" s="714" t="s">
        <v>795</v>
      </c>
      <c r="I5010" s="1245"/>
      <c r="J5010" s="1246"/>
      <c r="K5010" s="1247"/>
      <c r="L5010" s="664"/>
      <c r="M5010" s="667"/>
    </row>
    <row r="5011" spans="3:13">
      <c r="C5011" s="660"/>
      <c r="D5011" s="666" t="s">
        <v>434</v>
      </c>
      <c r="E5011" s="1272"/>
      <c r="F5011" s="1273"/>
      <c r="G5011" s="1274"/>
      <c r="H5011" s="715"/>
      <c r="I5011" s="1245"/>
      <c r="J5011" s="1246"/>
      <c r="K5011" s="1247"/>
      <c r="L5011" s="664"/>
      <c r="M5011" s="667"/>
    </row>
    <row r="5012" spans="3:13" ht="17" thickBot="1">
      <c r="C5012" s="660"/>
      <c r="D5012" s="668" t="s">
        <v>435</v>
      </c>
      <c r="E5012" s="1275">
        <v>0.58333333333333337</v>
      </c>
      <c r="F5012" s="1276"/>
      <c r="G5012" s="1277"/>
      <c r="H5012" s="716"/>
      <c r="I5012" s="1245"/>
      <c r="J5012" s="1246"/>
      <c r="K5012" s="1247"/>
      <c r="L5012" s="669">
        <v>0.8125</v>
      </c>
      <c r="M5012" s="670">
        <v>0.70833333333333337</v>
      </c>
    </row>
    <row r="5013" spans="3:13" ht="17" thickBot="1">
      <c r="C5013" s="660"/>
      <c r="D5013" s="671" t="s">
        <v>436</v>
      </c>
      <c r="E5013" s="672" t="s">
        <v>29</v>
      </c>
      <c r="F5013" s="672" t="s">
        <v>28</v>
      </c>
      <c r="G5013" s="673" t="s">
        <v>27</v>
      </c>
      <c r="H5013" s="712" t="s">
        <v>793</v>
      </c>
      <c r="I5013" s="1245"/>
      <c r="J5013" s="1246"/>
      <c r="K5013" s="1247"/>
      <c r="L5013" s="675" t="s">
        <v>1246</v>
      </c>
      <c r="M5013" s="676"/>
    </row>
    <row r="5014" spans="3:13">
      <c r="C5014" s="660"/>
      <c r="D5014" s="677">
        <v>45776</v>
      </c>
      <c r="E5014" s="720"/>
      <c r="F5014" s="720" t="s">
        <v>2227</v>
      </c>
      <c r="G5014" s="720" t="s">
        <v>2228</v>
      </c>
      <c r="H5014" s="718">
        <v>0.58333333333333337</v>
      </c>
      <c r="I5014" s="1245"/>
      <c r="J5014" s="1246"/>
      <c r="K5014" s="1247"/>
      <c r="L5014" s="679">
        <v>0.8125</v>
      </c>
      <c r="M5014" s="680"/>
    </row>
    <row r="5015" spans="3:13">
      <c r="C5015" s="660"/>
      <c r="D5015" s="677">
        <v>45748</v>
      </c>
      <c r="E5015" s="720" t="s">
        <v>2056</v>
      </c>
      <c r="F5015" s="720" t="s">
        <v>2057</v>
      </c>
      <c r="G5015" s="720" t="s">
        <v>2058</v>
      </c>
      <c r="H5015" s="718">
        <v>0.58333333333333337</v>
      </c>
      <c r="I5015" s="1245"/>
      <c r="J5015" s="1246"/>
      <c r="K5015" s="1247"/>
      <c r="L5015" s="679">
        <v>0.8125</v>
      </c>
      <c r="M5015" s="681"/>
    </row>
    <row r="5016" spans="3:13">
      <c r="C5016" s="660"/>
      <c r="D5016" s="677">
        <v>45727</v>
      </c>
      <c r="E5016" s="720" t="s">
        <v>1798</v>
      </c>
      <c r="F5016" s="720" t="s">
        <v>1799</v>
      </c>
      <c r="G5016" s="720" t="s">
        <v>1800</v>
      </c>
      <c r="H5016" s="718">
        <v>0.58333333333333337</v>
      </c>
      <c r="I5016" s="1245"/>
      <c r="J5016" s="1246"/>
      <c r="K5016" s="1247"/>
      <c r="L5016" s="679">
        <v>0.8125</v>
      </c>
      <c r="M5016" s="667"/>
    </row>
    <row r="5017" spans="3:13">
      <c r="C5017" s="660"/>
      <c r="D5017" s="677">
        <v>45692</v>
      </c>
      <c r="E5017" s="720" t="s">
        <v>1804</v>
      </c>
      <c r="F5017" s="720" t="s">
        <v>1805</v>
      </c>
      <c r="G5017" s="720" t="s">
        <v>1806</v>
      </c>
      <c r="H5017" s="718">
        <v>0.625</v>
      </c>
      <c r="I5017" s="1245"/>
      <c r="J5017" s="1246"/>
      <c r="K5017" s="1247"/>
      <c r="L5017" s="679">
        <v>0.85416666666666663</v>
      </c>
      <c r="M5017" s="667"/>
    </row>
    <row r="5018" spans="3:13">
      <c r="C5018" s="660"/>
      <c r="D5018" s="677">
        <v>45664</v>
      </c>
      <c r="E5018" s="720" t="s">
        <v>1811</v>
      </c>
      <c r="F5018" s="720" t="s">
        <v>1812</v>
      </c>
      <c r="G5018" s="720" t="s">
        <v>1813</v>
      </c>
      <c r="H5018" s="718">
        <v>0.625</v>
      </c>
      <c r="I5018" s="1245"/>
      <c r="J5018" s="1246"/>
      <c r="K5018" s="1247"/>
      <c r="L5018" s="679">
        <v>0.85416666666666663</v>
      </c>
      <c r="M5018" s="667"/>
    </row>
    <row r="5019" spans="3:13" ht="17" thickBot="1">
      <c r="C5019" s="660"/>
      <c r="D5019" s="677">
        <v>45629</v>
      </c>
      <c r="E5019" s="720" t="s">
        <v>1385</v>
      </c>
      <c r="F5019" s="720" t="s">
        <v>1386</v>
      </c>
      <c r="G5019" s="720" t="s">
        <v>1387</v>
      </c>
      <c r="H5019" s="718">
        <v>0.625</v>
      </c>
      <c r="I5019" s="1248"/>
      <c r="J5019" s="1249"/>
      <c r="K5019" s="1250"/>
      <c r="L5019" s="679">
        <v>0.85416666666666663</v>
      </c>
      <c r="M5019" s="682"/>
    </row>
    <row r="5020" spans="3:13" ht="17" thickBot="1">
      <c r="C5020" s="660">
        <v>1</v>
      </c>
      <c r="D5020" s="671" t="s">
        <v>30</v>
      </c>
      <c r="E5020" s="1252" t="s">
        <v>2196</v>
      </c>
      <c r="F5020" s="1253"/>
      <c r="G5020" s="1254"/>
      <c r="H5020" s="712" t="s">
        <v>790</v>
      </c>
      <c r="I5020" s="1255" t="s">
        <v>633</v>
      </c>
      <c r="J5020" s="1256"/>
      <c r="K5020" s="1257"/>
      <c r="L5020" s="674" t="s">
        <v>430</v>
      </c>
      <c r="M5020" s="713" t="s">
        <v>431</v>
      </c>
    </row>
    <row r="5021" spans="3:13">
      <c r="C5021" s="660"/>
      <c r="D5021" s="663" t="s">
        <v>432</v>
      </c>
      <c r="E5021" s="1279"/>
      <c r="F5021" s="1280"/>
      <c r="G5021" s="1281"/>
      <c r="H5021" s="714" t="s">
        <v>794</v>
      </c>
      <c r="I5021" s="1242" t="s">
        <v>2199</v>
      </c>
      <c r="J5021" s="1243"/>
      <c r="K5021" s="1244"/>
      <c r="L5021" s="664"/>
      <c r="M5021" s="665" t="s">
        <v>2196</v>
      </c>
    </row>
    <row r="5022" spans="3:13">
      <c r="C5022" s="660"/>
      <c r="D5022" s="666" t="s">
        <v>433</v>
      </c>
      <c r="E5022" s="1269"/>
      <c r="F5022" s="1282"/>
      <c r="G5022" s="1283"/>
      <c r="H5022" s="714" t="s">
        <v>795</v>
      </c>
      <c r="I5022" s="1245"/>
      <c r="J5022" s="1246"/>
      <c r="K5022" s="1247"/>
      <c r="L5022" s="664"/>
      <c r="M5022" s="667"/>
    </row>
    <row r="5023" spans="3:13">
      <c r="C5023" s="660"/>
      <c r="D5023" s="666" t="s">
        <v>434</v>
      </c>
      <c r="E5023" s="1284" t="s">
        <v>2198</v>
      </c>
      <c r="F5023" s="1285"/>
      <c r="G5023" s="1286"/>
      <c r="H5023" s="715"/>
      <c r="I5023" s="1245"/>
      <c r="J5023" s="1246"/>
      <c r="K5023" s="1247"/>
      <c r="L5023" s="664"/>
      <c r="M5023" s="667"/>
    </row>
    <row r="5024" spans="3:13" ht="17" thickBot="1">
      <c r="C5024" s="660"/>
      <c r="D5024" s="668" t="s">
        <v>435</v>
      </c>
      <c r="E5024" s="1275">
        <v>0.51041666666666674</v>
      </c>
      <c r="F5024" s="1276"/>
      <c r="G5024" s="1277"/>
      <c r="H5024" s="716"/>
      <c r="I5024" s="1245"/>
      <c r="J5024" s="1246"/>
      <c r="K5024" s="1247"/>
      <c r="L5024" s="669">
        <v>0.73958333333333337</v>
      </c>
      <c r="M5024" s="670">
        <v>0.63541666666666674</v>
      </c>
    </row>
    <row r="5025" spans="3:13" ht="17" thickBot="1">
      <c r="C5025" s="660"/>
      <c r="D5025" s="671" t="s">
        <v>436</v>
      </c>
      <c r="E5025" s="672" t="s">
        <v>29</v>
      </c>
      <c r="F5025" s="672" t="s">
        <v>28</v>
      </c>
      <c r="G5025" s="673" t="s">
        <v>27</v>
      </c>
      <c r="H5025" s="712" t="s">
        <v>793</v>
      </c>
      <c r="I5025" s="1245"/>
      <c r="J5025" s="1246"/>
      <c r="K5025" s="1247"/>
      <c r="L5025" s="675" t="s">
        <v>1246</v>
      </c>
      <c r="M5025" s="676"/>
    </row>
    <row r="5026" spans="3:13">
      <c r="C5026" s="660"/>
      <c r="D5026" s="677">
        <v>45749</v>
      </c>
      <c r="E5026" s="693"/>
      <c r="F5026" s="693" t="s">
        <v>2062</v>
      </c>
      <c r="G5026" s="693" t="s">
        <v>2063</v>
      </c>
      <c r="H5026" s="718">
        <v>0.51041666666666674</v>
      </c>
      <c r="I5026" s="1245"/>
      <c r="J5026" s="1246"/>
      <c r="K5026" s="1247"/>
      <c r="L5026" s="679">
        <v>0.73958333333333337</v>
      </c>
      <c r="M5026" s="680"/>
    </row>
    <row r="5027" spans="3:13">
      <c r="C5027" s="660"/>
      <c r="D5027" s="677">
        <v>45721</v>
      </c>
      <c r="E5027" s="693" t="s">
        <v>1825</v>
      </c>
      <c r="F5027" s="693" t="s">
        <v>1826</v>
      </c>
      <c r="G5027" s="693" t="s">
        <v>1827</v>
      </c>
      <c r="H5027" s="718">
        <v>0.55208333333333337</v>
      </c>
      <c r="I5027" s="1245"/>
      <c r="J5027" s="1246"/>
      <c r="K5027" s="1247"/>
      <c r="L5027" s="679">
        <v>0.78125</v>
      </c>
      <c r="M5027" s="681"/>
    </row>
    <row r="5028" spans="3:13">
      <c r="C5028" s="660"/>
      <c r="D5028" s="677">
        <v>45693</v>
      </c>
      <c r="E5028" s="693" t="s">
        <v>1830</v>
      </c>
      <c r="F5028" s="693" t="s">
        <v>1831</v>
      </c>
      <c r="G5028" s="693" t="s">
        <v>1239</v>
      </c>
      <c r="H5028" s="718">
        <v>0.55208333333333337</v>
      </c>
      <c r="I5028" s="1245"/>
      <c r="J5028" s="1246"/>
      <c r="K5028" s="1247"/>
      <c r="L5028" s="679">
        <v>0.78125</v>
      </c>
      <c r="M5028" s="667"/>
    </row>
    <row r="5029" spans="3:13">
      <c r="C5029" s="660"/>
      <c r="D5029" s="677">
        <v>45665</v>
      </c>
      <c r="E5029" s="693" t="s">
        <v>1201</v>
      </c>
      <c r="F5029" s="693" t="s">
        <v>1834</v>
      </c>
      <c r="G5029" s="693" t="s">
        <v>1388</v>
      </c>
      <c r="H5029" s="718">
        <v>0.55208333333333337</v>
      </c>
      <c r="I5029" s="1245"/>
      <c r="J5029" s="1246"/>
      <c r="K5029" s="1247"/>
      <c r="L5029" s="679">
        <v>0.78125</v>
      </c>
      <c r="M5029" s="667"/>
    </row>
    <row r="5030" spans="3:13">
      <c r="C5030" s="660"/>
      <c r="D5030" s="677">
        <v>45630</v>
      </c>
      <c r="E5030" s="693" t="s">
        <v>1388</v>
      </c>
      <c r="F5030" s="693" t="s">
        <v>1389</v>
      </c>
      <c r="G5030" s="693" t="s">
        <v>1390</v>
      </c>
      <c r="H5030" s="718">
        <v>0.55208333333333337</v>
      </c>
      <c r="I5030" s="1245"/>
      <c r="J5030" s="1246"/>
      <c r="K5030" s="1247"/>
      <c r="L5030" s="679">
        <v>0.78125</v>
      </c>
      <c r="M5030" s="667"/>
    </row>
    <row r="5031" spans="3:13" ht="17" thickBot="1">
      <c r="C5031" s="660"/>
      <c r="D5031" s="677">
        <v>45595</v>
      </c>
      <c r="E5031" s="693" t="s">
        <v>1192</v>
      </c>
      <c r="F5031" s="693" t="s">
        <v>1193</v>
      </c>
      <c r="G5031" s="693" t="s">
        <v>1194</v>
      </c>
      <c r="H5031" s="718">
        <v>0.51041666666666674</v>
      </c>
      <c r="I5031" s="1248"/>
      <c r="J5031" s="1249"/>
      <c r="K5031" s="1250"/>
      <c r="L5031" s="679">
        <v>0.73958333333333337</v>
      </c>
      <c r="M5031" s="682"/>
    </row>
    <row r="5032" spans="3:13" ht="17" thickBot="1">
      <c r="C5032" s="660">
        <v>1</v>
      </c>
      <c r="D5032" s="671" t="s">
        <v>30</v>
      </c>
      <c r="E5032" s="1252" t="s">
        <v>2200</v>
      </c>
      <c r="F5032" s="1253"/>
      <c r="G5032" s="1254"/>
      <c r="H5032" s="712" t="s">
        <v>790</v>
      </c>
      <c r="I5032" s="1255" t="s">
        <v>633</v>
      </c>
      <c r="J5032" s="1256"/>
      <c r="K5032" s="1257"/>
      <c r="L5032" s="674" t="s">
        <v>430</v>
      </c>
      <c r="M5032" s="713" t="s">
        <v>431</v>
      </c>
    </row>
    <row r="5033" spans="3:13">
      <c r="C5033" s="660"/>
      <c r="D5033" s="663" t="s">
        <v>432</v>
      </c>
      <c r="E5033" s="1266"/>
      <c r="F5033" s="1267"/>
      <c r="G5033" s="1268"/>
      <c r="H5033" s="714" t="s">
        <v>794</v>
      </c>
      <c r="I5033" s="1242" t="s">
        <v>1969</v>
      </c>
      <c r="J5033" s="1243"/>
      <c r="K5033" s="1244"/>
      <c r="L5033" s="664"/>
      <c r="M5033" s="665" t="s">
        <v>2200</v>
      </c>
    </row>
    <row r="5034" spans="3:13">
      <c r="C5034" s="660"/>
      <c r="D5034" s="666" t="s">
        <v>433</v>
      </c>
      <c r="E5034" s="1278"/>
      <c r="F5034" s="1270"/>
      <c r="G5034" s="1271"/>
      <c r="H5034" s="714" t="s">
        <v>795</v>
      </c>
      <c r="I5034" s="1245"/>
      <c r="J5034" s="1246"/>
      <c r="K5034" s="1247"/>
      <c r="L5034" s="664"/>
      <c r="M5034" s="667"/>
    </row>
    <row r="5035" spans="3:13">
      <c r="C5035" s="660"/>
      <c r="D5035" s="666" t="s">
        <v>434</v>
      </c>
      <c r="E5035" s="1278">
        <v>50.8</v>
      </c>
      <c r="F5035" s="1270"/>
      <c r="G5035" s="1271"/>
      <c r="H5035" s="715"/>
      <c r="I5035" s="1245"/>
      <c r="J5035" s="1246"/>
      <c r="K5035" s="1247"/>
      <c r="L5035" s="664"/>
      <c r="M5035" s="667"/>
    </row>
    <row r="5036" spans="3:13" ht="17" thickBot="1">
      <c r="C5036" s="660"/>
      <c r="D5036" s="668" t="s">
        <v>435</v>
      </c>
      <c r="E5036" s="1275">
        <v>0.57291666666666674</v>
      </c>
      <c r="F5036" s="1276"/>
      <c r="G5036" s="1277"/>
      <c r="H5036" s="716"/>
      <c r="I5036" s="1245"/>
      <c r="J5036" s="1246"/>
      <c r="K5036" s="1247"/>
      <c r="L5036" s="669">
        <v>0.80208333333333337</v>
      </c>
      <c r="M5036" s="670">
        <v>0.69791666666666674</v>
      </c>
    </row>
    <row r="5037" spans="3:13" ht="17" thickBot="1">
      <c r="C5037" s="660"/>
      <c r="D5037" s="671" t="s">
        <v>436</v>
      </c>
      <c r="E5037" s="672" t="s">
        <v>29</v>
      </c>
      <c r="F5037" s="672" t="s">
        <v>28</v>
      </c>
      <c r="G5037" s="673" t="s">
        <v>27</v>
      </c>
      <c r="H5037" s="712" t="s">
        <v>793</v>
      </c>
      <c r="I5037" s="1245"/>
      <c r="J5037" s="1246"/>
      <c r="K5037" s="1247"/>
      <c r="L5037" s="675" t="s">
        <v>1246</v>
      </c>
      <c r="M5037" s="676"/>
    </row>
    <row r="5038" spans="3:13">
      <c r="C5038" s="660"/>
      <c r="D5038" s="677">
        <v>45799</v>
      </c>
      <c r="E5038" s="693"/>
      <c r="F5038" s="693">
        <v>51</v>
      </c>
      <c r="G5038" s="693">
        <v>50.8</v>
      </c>
      <c r="H5038" s="718">
        <v>0.57291666666666674</v>
      </c>
      <c r="I5038" s="1245"/>
      <c r="J5038" s="1246"/>
      <c r="K5038" s="1247"/>
      <c r="L5038" s="679">
        <v>0.80208333333333337</v>
      </c>
      <c r="M5038" s="680"/>
    </row>
    <row r="5039" spans="3:13">
      <c r="C5039" s="660"/>
      <c r="D5039" s="677">
        <v>45782</v>
      </c>
      <c r="E5039" s="693">
        <v>50.8</v>
      </c>
      <c r="F5039" s="693">
        <v>51.4</v>
      </c>
      <c r="G5039" s="693">
        <v>54.4</v>
      </c>
      <c r="H5039" s="718">
        <v>0.57291666666666674</v>
      </c>
      <c r="I5039" s="1245"/>
      <c r="J5039" s="1246"/>
      <c r="K5039" s="1247"/>
      <c r="L5039" s="679">
        <v>0.80208333333333337</v>
      </c>
      <c r="M5039" s="681"/>
    </row>
    <row r="5040" spans="3:13">
      <c r="C5040" s="660"/>
      <c r="D5040" s="677">
        <v>45799</v>
      </c>
      <c r="E5040" s="693">
        <v>52.3</v>
      </c>
      <c r="F5040" s="693">
        <v>51</v>
      </c>
      <c r="G5040" s="693">
        <v>50.8</v>
      </c>
      <c r="H5040" s="718">
        <v>0.57291666666666674</v>
      </c>
      <c r="I5040" s="1245"/>
      <c r="J5040" s="1246"/>
      <c r="K5040" s="1247"/>
      <c r="L5040" s="679">
        <v>0.80208333333333337</v>
      </c>
      <c r="M5040" s="667"/>
    </row>
    <row r="5041" spans="3:13">
      <c r="C5041" s="660"/>
      <c r="D5041" s="677">
        <v>45782</v>
      </c>
      <c r="E5041" s="693">
        <v>50.8</v>
      </c>
      <c r="F5041" s="693">
        <v>51.4</v>
      </c>
      <c r="G5041" s="693">
        <v>54.4</v>
      </c>
      <c r="H5041" s="718">
        <v>0.57291666666666674</v>
      </c>
      <c r="I5041" s="1245"/>
      <c r="J5041" s="1246"/>
      <c r="K5041" s="1247"/>
      <c r="L5041" s="679">
        <v>0.80208333333333337</v>
      </c>
      <c r="M5041" s="667"/>
    </row>
    <row r="5042" spans="3:13">
      <c r="C5042" s="660"/>
      <c r="D5042" s="677">
        <v>45799</v>
      </c>
      <c r="E5042" s="693">
        <v>52.3</v>
      </c>
      <c r="F5042" s="693">
        <v>51</v>
      </c>
      <c r="G5042" s="693">
        <v>50.8</v>
      </c>
      <c r="H5042" s="718">
        <v>0.57291666666666674</v>
      </c>
      <c r="I5042" s="1245"/>
      <c r="J5042" s="1246"/>
      <c r="K5042" s="1247"/>
      <c r="L5042" s="679">
        <v>0.80208333333333337</v>
      </c>
      <c r="M5042" s="667"/>
    </row>
    <row r="5043" spans="3:13" ht="17" thickBot="1">
      <c r="C5043" s="660"/>
      <c r="D5043" s="677">
        <v>45782</v>
      </c>
      <c r="E5043" s="693">
        <v>50.8</v>
      </c>
      <c r="F5043" s="693">
        <v>51.4</v>
      </c>
      <c r="G5043" s="693">
        <v>54.4</v>
      </c>
      <c r="H5043" s="718">
        <v>0.57291666666666674</v>
      </c>
      <c r="I5043" s="1248"/>
      <c r="J5043" s="1249"/>
      <c r="K5043" s="1250"/>
      <c r="L5043" s="679">
        <v>0.80208333333333337</v>
      </c>
      <c r="M5043" s="682"/>
    </row>
    <row r="5044" spans="3:13" ht="17" thickBot="1">
      <c r="C5044" s="660">
        <v>1</v>
      </c>
      <c r="D5044" s="671" t="s">
        <v>30</v>
      </c>
      <c r="E5044" s="1252" t="s">
        <v>1501</v>
      </c>
      <c r="F5044" s="1253"/>
      <c r="G5044" s="1254"/>
      <c r="H5044" s="712" t="s">
        <v>790</v>
      </c>
      <c r="I5044" s="1255" t="s">
        <v>633</v>
      </c>
      <c r="J5044" s="1256"/>
      <c r="K5044" s="1257"/>
      <c r="L5044" s="674" t="s">
        <v>430</v>
      </c>
      <c r="M5044" s="713" t="s">
        <v>431</v>
      </c>
    </row>
    <row r="5045" spans="3:13">
      <c r="C5045" s="660"/>
      <c r="D5045" s="663" t="s">
        <v>432</v>
      </c>
      <c r="E5045" s="1266"/>
      <c r="F5045" s="1267"/>
      <c r="G5045" s="1268"/>
      <c r="H5045" s="714" t="s">
        <v>1056</v>
      </c>
      <c r="I5045" s="1242" t="s">
        <v>2201</v>
      </c>
      <c r="J5045" s="1243"/>
      <c r="K5045" s="1244"/>
      <c r="L5045" s="664"/>
      <c r="M5045" s="665" t="s">
        <v>1501</v>
      </c>
    </row>
    <row r="5046" spans="3:13">
      <c r="C5046" s="660"/>
      <c r="D5046" s="666" t="s">
        <v>433</v>
      </c>
      <c r="E5046" s="1269"/>
      <c r="F5046" s="1270"/>
      <c r="G5046" s="1271"/>
      <c r="H5046" s="714" t="s">
        <v>1057</v>
      </c>
      <c r="I5046" s="1245"/>
      <c r="J5046" s="1246"/>
      <c r="K5046" s="1247"/>
      <c r="L5046" s="664"/>
      <c r="M5046" s="667"/>
    </row>
    <row r="5047" spans="3:13">
      <c r="C5047" s="660"/>
      <c r="D5047" s="666" t="s">
        <v>434</v>
      </c>
      <c r="E5047" s="1272"/>
      <c r="F5047" s="1273"/>
      <c r="G5047" s="1274"/>
      <c r="H5047" s="715"/>
      <c r="I5047" s="1245"/>
      <c r="J5047" s="1246"/>
      <c r="K5047" s="1247"/>
      <c r="L5047" s="664"/>
      <c r="M5047" s="667"/>
    </row>
    <row r="5048" spans="3:13" ht="17" thickBot="1">
      <c r="C5048" s="660"/>
      <c r="D5048" s="668" t="s">
        <v>435</v>
      </c>
      <c r="E5048" s="1275">
        <v>0.57291666666666674</v>
      </c>
      <c r="F5048" s="1276"/>
      <c r="G5048" s="1277"/>
      <c r="H5048" s="716"/>
      <c r="I5048" s="1245"/>
      <c r="J5048" s="1246"/>
      <c r="K5048" s="1247"/>
      <c r="L5048" s="669">
        <v>0.80208333333333337</v>
      </c>
      <c r="M5048" s="670">
        <v>0.69791666666666674</v>
      </c>
    </row>
    <row r="5049" spans="3:13" ht="17" thickBot="1">
      <c r="C5049" s="660"/>
      <c r="D5049" s="671" t="s">
        <v>436</v>
      </c>
      <c r="E5049" s="672" t="s">
        <v>29</v>
      </c>
      <c r="F5049" s="672" t="s">
        <v>28</v>
      </c>
      <c r="G5049" s="673" t="s">
        <v>27</v>
      </c>
      <c r="H5049" s="712" t="s">
        <v>793</v>
      </c>
      <c r="I5049" s="1245"/>
      <c r="J5049" s="1246"/>
      <c r="K5049" s="1247"/>
      <c r="L5049" s="675" t="s">
        <v>1246</v>
      </c>
      <c r="M5049" s="676"/>
    </row>
    <row r="5050" spans="3:13">
      <c r="C5050" s="660"/>
      <c r="D5050" s="677">
        <v>45763</v>
      </c>
      <c r="E5050" s="720"/>
      <c r="F5050" s="720">
        <v>2.75E-2</v>
      </c>
      <c r="G5050" s="720">
        <v>2.75E-2</v>
      </c>
      <c r="H5050" s="718">
        <v>0.57291666666666674</v>
      </c>
      <c r="I5050" s="1245"/>
      <c r="J5050" s="1246"/>
      <c r="K5050" s="1247"/>
      <c r="L5050" s="679">
        <v>0.80208333333333337</v>
      </c>
      <c r="M5050" s="680"/>
    </row>
    <row r="5051" spans="3:13">
      <c r="C5051" s="660"/>
      <c r="D5051" s="677">
        <v>45728</v>
      </c>
      <c r="E5051" s="720">
        <v>2.75E-2</v>
      </c>
      <c r="F5051" s="720">
        <v>2.75E-2</v>
      </c>
      <c r="G5051" s="720">
        <v>0.03</v>
      </c>
      <c r="H5051" s="718">
        <v>0.57291666666666674</v>
      </c>
      <c r="I5051" s="1245"/>
      <c r="J5051" s="1246"/>
      <c r="K5051" s="1247"/>
      <c r="L5051" s="679">
        <v>0.80208333333333337</v>
      </c>
      <c r="M5051" s="681"/>
    </row>
    <row r="5052" spans="3:13">
      <c r="C5052" s="660"/>
      <c r="D5052" s="677">
        <v>45686</v>
      </c>
      <c r="E5052" s="720">
        <v>0.03</v>
      </c>
      <c r="F5052" s="720">
        <v>0.03</v>
      </c>
      <c r="G5052" s="720">
        <v>3.2500000000000001E-2</v>
      </c>
      <c r="H5052" s="718">
        <v>0.61458333333333337</v>
      </c>
      <c r="I5052" s="1245"/>
      <c r="J5052" s="1246"/>
      <c r="K5052" s="1247"/>
      <c r="L5052" s="679">
        <v>0.84375</v>
      </c>
      <c r="M5052" s="667"/>
    </row>
    <row r="5053" spans="3:13">
      <c r="C5053" s="660"/>
      <c r="D5053" s="677">
        <v>45637</v>
      </c>
      <c r="E5053" s="720">
        <v>3.2500000000000001E-2</v>
      </c>
      <c r="F5053" s="720">
        <v>3.2500000000000001E-2</v>
      </c>
      <c r="G5053" s="720">
        <v>3.7499999999999999E-2</v>
      </c>
      <c r="H5053" s="718">
        <v>0.61458333333333337</v>
      </c>
      <c r="I5053" s="1245"/>
      <c r="J5053" s="1246"/>
      <c r="K5053" s="1247"/>
      <c r="L5053" s="679">
        <v>0.84375</v>
      </c>
      <c r="M5053" s="667"/>
    </row>
    <row r="5054" spans="3:13">
      <c r="C5054" s="660"/>
      <c r="D5054" s="677">
        <v>45588</v>
      </c>
      <c r="E5054" s="720">
        <v>3.7499999999999999E-2</v>
      </c>
      <c r="F5054" s="720">
        <v>3.7499999999999999E-2</v>
      </c>
      <c r="G5054" s="720">
        <v>4.2500000000000003E-2</v>
      </c>
      <c r="H5054" s="718">
        <v>0.57291666666666674</v>
      </c>
      <c r="I5054" s="1245"/>
      <c r="J5054" s="1246"/>
      <c r="K5054" s="1247"/>
      <c r="L5054" s="679">
        <v>0.80208333333333337</v>
      </c>
      <c r="M5054" s="667"/>
    </row>
    <row r="5055" spans="3:13" ht="17" thickBot="1">
      <c r="C5055" s="660"/>
      <c r="D5055" s="677">
        <v>45539</v>
      </c>
      <c r="E5055" s="720">
        <v>4.2500000000000003E-2</v>
      </c>
      <c r="F5055" s="720">
        <v>4.2500000000000003E-2</v>
      </c>
      <c r="G5055" s="720">
        <v>4.4999999999999998E-2</v>
      </c>
      <c r="H5055" s="718">
        <v>0.57291666666666674</v>
      </c>
      <c r="I5055" s="1248"/>
      <c r="J5055" s="1249"/>
      <c r="K5055" s="1250"/>
      <c r="L5055" s="679">
        <v>0.80208333333333337</v>
      </c>
      <c r="M5055" s="682"/>
    </row>
    <row r="5056" spans="3:13" ht="17" thickBot="1">
      <c r="C5056" s="660">
        <v>1</v>
      </c>
      <c r="D5056" s="671" t="s">
        <v>30</v>
      </c>
      <c r="E5056" s="1252" t="s">
        <v>2202</v>
      </c>
      <c r="F5056" s="1253"/>
      <c r="G5056" s="1254"/>
      <c r="H5056" s="712" t="s">
        <v>790</v>
      </c>
      <c r="I5056" s="1255" t="s">
        <v>633</v>
      </c>
      <c r="J5056" s="1256"/>
      <c r="K5056" s="1257"/>
      <c r="L5056" s="674" t="s">
        <v>430</v>
      </c>
      <c r="M5056" s="713" t="s">
        <v>431</v>
      </c>
    </row>
    <row r="5057" spans="3:13">
      <c r="C5057" s="660"/>
      <c r="D5057" s="663" t="s">
        <v>432</v>
      </c>
      <c r="E5057" s="1266"/>
      <c r="F5057" s="1267"/>
      <c r="G5057" s="1268"/>
      <c r="H5057" s="714" t="s">
        <v>794</v>
      </c>
      <c r="I5057" s="1242" t="s">
        <v>2203</v>
      </c>
      <c r="J5057" s="1243"/>
      <c r="K5057" s="1244"/>
      <c r="L5057" s="664"/>
      <c r="M5057" s="665" t="s">
        <v>2202</v>
      </c>
    </row>
    <row r="5058" spans="3:13">
      <c r="C5058" s="660"/>
      <c r="D5058" s="666" t="s">
        <v>433</v>
      </c>
      <c r="E5058" s="1278"/>
      <c r="F5058" s="1270"/>
      <c r="G5058" s="1271"/>
      <c r="H5058" s="714" t="s">
        <v>795</v>
      </c>
      <c r="I5058" s="1245"/>
      <c r="J5058" s="1246"/>
      <c r="K5058" s="1247"/>
      <c r="L5058" s="664"/>
      <c r="M5058" s="667"/>
    </row>
    <row r="5059" spans="3:13">
      <c r="C5059" s="660"/>
      <c r="D5059" s="666" t="s">
        <v>434</v>
      </c>
      <c r="E5059" s="1278"/>
      <c r="F5059" s="1270"/>
      <c r="G5059" s="1271"/>
      <c r="H5059" s="715"/>
      <c r="I5059" s="1245"/>
      <c r="J5059" s="1246"/>
      <c r="K5059" s="1247"/>
      <c r="L5059" s="664"/>
      <c r="M5059" s="667"/>
    </row>
    <row r="5060" spans="3:13" ht="17" thickBot="1">
      <c r="C5060" s="660"/>
      <c r="D5060" s="668" t="s">
        <v>435</v>
      </c>
      <c r="E5060" s="1275">
        <v>0.58333333333333337</v>
      </c>
      <c r="F5060" s="1276"/>
      <c r="G5060" s="1277"/>
      <c r="H5060" s="716"/>
      <c r="I5060" s="1245"/>
      <c r="J5060" s="1246"/>
      <c r="K5060" s="1247"/>
      <c r="L5060" s="669">
        <v>0.8125</v>
      </c>
      <c r="M5060" s="670">
        <v>0.70833333333333337</v>
      </c>
    </row>
    <row r="5061" spans="3:13" ht="17" thickBot="1">
      <c r="C5061" s="660"/>
      <c r="D5061" s="671" t="s">
        <v>436</v>
      </c>
      <c r="E5061" s="672" t="s">
        <v>29</v>
      </c>
      <c r="F5061" s="672" t="s">
        <v>28</v>
      </c>
      <c r="G5061" s="673" t="s">
        <v>27</v>
      </c>
      <c r="H5061" s="712" t="s">
        <v>793</v>
      </c>
      <c r="I5061" s="1245"/>
      <c r="J5061" s="1246"/>
      <c r="K5061" s="1247"/>
      <c r="L5061" s="675" t="s">
        <v>1246</v>
      </c>
      <c r="M5061" s="676"/>
    </row>
    <row r="5062" spans="3:13">
      <c r="C5062" s="660"/>
      <c r="D5062" s="677">
        <v>45782</v>
      </c>
      <c r="E5062" s="720"/>
      <c r="F5062" s="720" t="s">
        <v>1659</v>
      </c>
      <c r="G5062" s="720" t="s">
        <v>2230</v>
      </c>
      <c r="H5062" s="718">
        <v>0.58333333333333337</v>
      </c>
      <c r="I5062" s="1245"/>
      <c r="J5062" s="1246"/>
      <c r="K5062" s="1247"/>
      <c r="L5062" s="679">
        <v>0.8125</v>
      </c>
      <c r="M5062" s="680"/>
    </row>
    <row r="5063" spans="3:13">
      <c r="C5063" s="660"/>
      <c r="D5063" s="677">
        <v>45750</v>
      </c>
      <c r="E5063" s="720" t="s">
        <v>2230</v>
      </c>
      <c r="F5063" s="720" t="s">
        <v>2231</v>
      </c>
      <c r="G5063" s="720" t="s">
        <v>2232</v>
      </c>
      <c r="H5063" s="718">
        <v>0.58333333333333337</v>
      </c>
      <c r="I5063" s="1245"/>
      <c r="J5063" s="1246"/>
      <c r="K5063" s="1247"/>
      <c r="L5063" s="679">
        <v>0.8125</v>
      </c>
      <c r="M5063" s="681"/>
    </row>
    <row r="5064" spans="3:13">
      <c r="C5064" s="660"/>
      <c r="D5064" s="677">
        <v>45721</v>
      </c>
      <c r="E5064" s="720" t="s">
        <v>2232</v>
      </c>
      <c r="F5064" s="720" t="s">
        <v>2233</v>
      </c>
      <c r="G5064" s="720" t="s">
        <v>2095</v>
      </c>
      <c r="H5064" s="718">
        <v>0.625</v>
      </c>
      <c r="I5064" s="1245"/>
      <c r="J5064" s="1246"/>
      <c r="K5064" s="1247"/>
      <c r="L5064" s="679">
        <v>0.85416666666666663</v>
      </c>
      <c r="M5064" s="667"/>
    </row>
    <row r="5065" spans="3:13">
      <c r="C5065" s="660"/>
      <c r="D5065" s="677">
        <v>45693</v>
      </c>
      <c r="E5065" s="720" t="s">
        <v>2095</v>
      </c>
      <c r="F5065" s="720" t="s">
        <v>2234</v>
      </c>
      <c r="G5065" s="720" t="s">
        <v>1857</v>
      </c>
      <c r="H5065" s="718">
        <v>0.625</v>
      </c>
      <c r="I5065" s="1245"/>
      <c r="J5065" s="1246"/>
      <c r="K5065" s="1247"/>
      <c r="L5065" s="679">
        <v>0.85416666666666663</v>
      </c>
      <c r="M5065" s="667"/>
    </row>
    <row r="5066" spans="3:13">
      <c r="C5066" s="660"/>
      <c r="D5066" s="677">
        <v>45664</v>
      </c>
      <c r="E5066" s="720" t="s">
        <v>2235</v>
      </c>
      <c r="F5066" s="720" t="s">
        <v>2232</v>
      </c>
      <c r="G5066" s="720" t="s">
        <v>2236</v>
      </c>
      <c r="H5066" s="718">
        <v>0.625</v>
      </c>
      <c r="I5066" s="1245"/>
      <c r="J5066" s="1246"/>
      <c r="K5066" s="1247"/>
      <c r="L5066" s="679">
        <v>0.85416666666666663</v>
      </c>
      <c r="M5066" s="667"/>
    </row>
    <row r="5067" spans="3:13" ht="17" thickBot="1">
      <c r="C5067" s="660"/>
      <c r="D5067" s="677">
        <v>45630</v>
      </c>
      <c r="E5067" s="720" t="s">
        <v>2236</v>
      </c>
      <c r="F5067" s="720" t="s">
        <v>2237</v>
      </c>
      <c r="G5067" s="720" t="s">
        <v>1210</v>
      </c>
      <c r="H5067" s="718">
        <v>0.625</v>
      </c>
      <c r="I5067" s="1248"/>
      <c r="J5067" s="1249"/>
      <c r="K5067" s="1250"/>
      <c r="L5067" s="679">
        <v>0.85416666666666663</v>
      </c>
      <c r="M5067" s="682"/>
    </row>
    <row r="5068" spans="3:13" ht="17" thickBot="1">
      <c r="C5068" s="660">
        <v>1</v>
      </c>
      <c r="D5068" s="671" t="s">
        <v>30</v>
      </c>
      <c r="E5068" s="1252" t="s">
        <v>2204</v>
      </c>
      <c r="F5068" s="1253"/>
      <c r="G5068" s="1254"/>
      <c r="H5068" s="712" t="s">
        <v>790</v>
      </c>
      <c r="I5068" s="1255" t="s">
        <v>633</v>
      </c>
      <c r="J5068" s="1256"/>
      <c r="K5068" s="1257"/>
      <c r="L5068" s="674" t="s">
        <v>430</v>
      </c>
      <c r="M5068" s="713" t="s">
        <v>431</v>
      </c>
    </row>
    <row r="5069" spans="3:13">
      <c r="C5069" s="660"/>
      <c r="D5069" s="663" t="s">
        <v>432</v>
      </c>
      <c r="E5069" s="1266"/>
      <c r="F5069" s="1267"/>
      <c r="G5069" s="1268"/>
      <c r="H5069" s="714" t="s">
        <v>2245</v>
      </c>
      <c r="I5069" s="1242" t="s">
        <v>2205</v>
      </c>
      <c r="J5069" s="1243"/>
      <c r="K5069" s="1244"/>
      <c r="L5069" s="664"/>
      <c r="M5069" s="665" t="s">
        <v>2204</v>
      </c>
    </row>
    <row r="5070" spans="3:13">
      <c r="C5070" s="660"/>
      <c r="D5070" s="666" t="s">
        <v>433</v>
      </c>
      <c r="E5070" s="1269"/>
      <c r="F5070" s="1270"/>
      <c r="G5070" s="1271"/>
      <c r="H5070" s="714" t="s">
        <v>795</v>
      </c>
      <c r="I5070" s="1245"/>
      <c r="J5070" s="1246"/>
      <c r="K5070" s="1247"/>
      <c r="L5070" s="664"/>
      <c r="M5070" s="667"/>
    </row>
    <row r="5071" spans="3:13">
      <c r="C5071" s="660"/>
      <c r="D5071" s="666" t="s">
        <v>434</v>
      </c>
      <c r="E5071" s="1278">
        <v>65.099999999999994</v>
      </c>
      <c r="F5071" s="1270"/>
      <c r="G5071" s="1271"/>
      <c r="H5071" s="715"/>
      <c r="I5071" s="1245"/>
      <c r="J5071" s="1246"/>
      <c r="K5071" s="1247"/>
      <c r="L5071" s="664"/>
      <c r="M5071" s="667"/>
    </row>
    <row r="5072" spans="3:13" ht="17" thickBot="1">
      <c r="C5072" s="660"/>
      <c r="D5072" s="668" t="s">
        <v>435</v>
      </c>
      <c r="E5072" s="1275">
        <v>0.58333333333333337</v>
      </c>
      <c r="F5072" s="1276"/>
      <c r="G5072" s="1277"/>
      <c r="H5072" s="716"/>
      <c r="I5072" s="1245"/>
      <c r="J5072" s="1246"/>
      <c r="K5072" s="1247"/>
      <c r="L5072" s="669">
        <v>0.8125</v>
      </c>
      <c r="M5072" s="670">
        <v>0.70833333333333337</v>
      </c>
    </row>
    <row r="5073" spans="3:13" ht="17" thickBot="1">
      <c r="C5073" s="660"/>
      <c r="D5073" s="671" t="s">
        <v>436</v>
      </c>
      <c r="E5073" s="672" t="s">
        <v>29</v>
      </c>
      <c r="F5073" s="672" t="s">
        <v>28</v>
      </c>
      <c r="G5073" s="673" t="s">
        <v>27</v>
      </c>
      <c r="H5073" s="712" t="s">
        <v>793</v>
      </c>
      <c r="I5073" s="1245"/>
      <c r="J5073" s="1246"/>
      <c r="K5073" s="1247"/>
      <c r="L5073" s="675" t="s">
        <v>1246</v>
      </c>
      <c r="M5073" s="676"/>
    </row>
    <row r="5074" spans="3:13">
      <c r="C5074" s="660"/>
      <c r="D5074" s="677">
        <v>45782</v>
      </c>
      <c r="E5074" s="693">
        <v>65.099999999999994</v>
      </c>
      <c r="F5074" s="693">
        <v>61.2</v>
      </c>
      <c r="G5074" s="693">
        <v>60.9</v>
      </c>
      <c r="H5074" s="718">
        <v>0.58333333333333337</v>
      </c>
      <c r="I5074" s="1245"/>
      <c r="J5074" s="1246"/>
      <c r="K5074" s="1247"/>
      <c r="L5074" s="679">
        <v>0.8125</v>
      </c>
      <c r="M5074" s="680"/>
    </row>
    <row r="5075" spans="3:13">
      <c r="C5075" s="660"/>
      <c r="D5075" s="677">
        <v>45750</v>
      </c>
      <c r="E5075" s="693">
        <v>60.9</v>
      </c>
      <c r="F5075" s="693">
        <v>63.1</v>
      </c>
      <c r="G5075" s="693">
        <v>62.6</v>
      </c>
      <c r="H5075" s="718">
        <v>0.58333333333333337</v>
      </c>
      <c r="I5075" s="1245"/>
      <c r="J5075" s="1246"/>
      <c r="K5075" s="1247"/>
      <c r="L5075" s="679">
        <v>0.8125</v>
      </c>
      <c r="M5075" s="681"/>
    </row>
    <row r="5076" spans="3:13">
      <c r="C5076" s="660"/>
      <c r="D5076" s="677">
        <v>45721</v>
      </c>
      <c r="E5076" s="693">
        <v>62.6</v>
      </c>
      <c r="F5076" s="693">
        <v>60</v>
      </c>
      <c r="G5076" s="693">
        <v>60.4</v>
      </c>
      <c r="H5076" s="718">
        <v>0.625</v>
      </c>
      <c r="I5076" s="1245"/>
      <c r="J5076" s="1246"/>
      <c r="K5076" s="1247"/>
      <c r="L5076" s="679">
        <v>0.85416666666666663</v>
      </c>
      <c r="M5076" s="667"/>
    </row>
    <row r="5077" spans="3:13">
      <c r="C5077" s="660"/>
      <c r="D5077" s="677">
        <v>45693</v>
      </c>
      <c r="E5077" s="693">
        <v>60.4</v>
      </c>
      <c r="F5077" s="693">
        <v>0</v>
      </c>
      <c r="G5077" s="693">
        <v>64.400000000000006</v>
      </c>
      <c r="H5077" s="718">
        <v>0.625</v>
      </c>
      <c r="I5077" s="1245"/>
      <c r="J5077" s="1246"/>
      <c r="K5077" s="1247"/>
      <c r="L5077" s="679">
        <v>0.85416666666666663</v>
      </c>
      <c r="M5077" s="667"/>
    </row>
    <row r="5078" spans="3:13">
      <c r="C5078" s="660"/>
      <c r="D5078" s="677">
        <v>45664</v>
      </c>
      <c r="E5078" s="693">
        <v>64.400000000000006</v>
      </c>
      <c r="F5078" s="693">
        <v>57.5</v>
      </c>
      <c r="G5078" s="693">
        <v>58.2</v>
      </c>
      <c r="H5078" s="718">
        <v>0.625</v>
      </c>
      <c r="I5078" s="1245"/>
      <c r="J5078" s="1246"/>
      <c r="K5078" s="1247"/>
      <c r="L5078" s="679">
        <v>0.85416666666666663</v>
      </c>
      <c r="M5078" s="667"/>
    </row>
    <row r="5079" spans="3:13" ht="17" thickBot="1">
      <c r="C5079" s="660"/>
      <c r="D5079" s="677">
        <v>45630</v>
      </c>
      <c r="E5079" s="693">
        <v>58.2</v>
      </c>
      <c r="F5079" s="693">
        <v>56.4</v>
      </c>
      <c r="G5079" s="693">
        <v>58.1</v>
      </c>
      <c r="H5079" s="718">
        <v>0.625</v>
      </c>
      <c r="I5079" s="1248"/>
      <c r="J5079" s="1249"/>
      <c r="K5079" s="1250"/>
      <c r="L5079" s="679">
        <v>0.85416666666666663</v>
      </c>
      <c r="M5079" s="682"/>
    </row>
    <row r="5080" spans="3:13" ht="17" thickBot="1">
      <c r="C5080" s="660">
        <v>1</v>
      </c>
      <c r="D5080" s="671" t="s">
        <v>30</v>
      </c>
      <c r="E5080" s="1252" t="s">
        <v>1503</v>
      </c>
      <c r="F5080" s="1253"/>
      <c r="G5080" s="1254"/>
      <c r="H5080" s="712" t="s">
        <v>790</v>
      </c>
      <c r="I5080" s="1255" t="s">
        <v>633</v>
      </c>
      <c r="J5080" s="1256"/>
      <c r="K5080" s="1257"/>
      <c r="L5080" s="674" t="s">
        <v>430</v>
      </c>
      <c r="M5080" s="713" t="s">
        <v>431</v>
      </c>
    </row>
    <row r="5081" spans="3:13">
      <c r="C5081" s="660"/>
      <c r="D5081" s="663" t="s">
        <v>432</v>
      </c>
      <c r="E5081" s="1266"/>
      <c r="F5081" s="1267"/>
      <c r="G5081" s="1268"/>
      <c r="H5081" s="714" t="s">
        <v>796</v>
      </c>
      <c r="I5081" s="1242" t="s">
        <v>1678</v>
      </c>
      <c r="J5081" s="1243"/>
      <c r="K5081" s="1244"/>
      <c r="L5081" s="664"/>
      <c r="M5081" s="665" t="s">
        <v>1503</v>
      </c>
    </row>
    <row r="5082" spans="3:13">
      <c r="C5082" s="660"/>
      <c r="D5082" s="666" t="s">
        <v>433</v>
      </c>
      <c r="E5082" s="1269"/>
      <c r="F5082" s="1270"/>
      <c r="G5082" s="1271"/>
      <c r="H5082" s="714" t="s">
        <v>796</v>
      </c>
      <c r="I5082" s="1245"/>
      <c r="J5082" s="1246"/>
      <c r="K5082" s="1247"/>
      <c r="L5082" s="664"/>
      <c r="M5082" s="667"/>
    </row>
    <row r="5083" spans="3:13">
      <c r="C5083" s="660"/>
      <c r="D5083" s="666" t="s">
        <v>434</v>
      </c>
      <c r="E5083" s="1278" t="s">
        <v>2206</v>
      </c>
      <c r="F5083" s="1270"/>
      <c r="G5083" s="1271"/>
      <c r="H5083" s="715"/>
      <c r="I5083" s="1245"/>
      <c r="J5083" s="1246"/>
      <c r="K5083" s="1247"/>
      <c r="L5083" s="664"/>
      <c r="M5083" s="667"/>
    </row>
    <row r="5084" spans="3:13" ht="17" thickBot="1">
      <c r="C5084" s="660"/>
      <c r="D5084" s="668" t="s">
        <v>435</v>
      </c>
      <c r="E5084" s="1275">
        <v>0.60416666666666674</v>
      </c>
      <c r="F5084" s="1276"/>
      <c r="G5084" s="1277"/>
      <c r="H5084" s="718"/>
      <c r="I5084" s="1245"/>
      <c r="J5084" s="1246"/>
      <c r="K5084" s="1247"/>
      <c r="L5084" s="669">
        <v>0.83333333333333337</v>
      </c>
      <c r="M5084" s="670">
        <v>0.72916666666666674</v>
      </c>
    </row>
    <row r="5085" spans="3:13" ht="17" thickBot="1">
      <c r="C5085" s="660"/>
      <c r="D5085" s="671" t="s">
        <v>436</v>
      </c>
      <c r="E5085" s="672" t="s">
        <v>29</v>
      </c>
      <c r="F5085" s="672" t="s">
        <v>28</v>
      </c>
      <c r="G5085" s="673" t="s">
        <v>27</v>
      </c>
      <c r="H5085" s="712" t="s">
        <v>793</v>
      </c>
      <c r="I5085" s="1245"/>
      <c r="J5085" s="1246"/>
      <c r="K5085" s="1247"/>
      <c r="L5085" s="675" t="s">
        <v>1246</v>
      </c>
      <c r="M5085" s="676"/>
    </row>
    <row r="5086" spans="3:13">
      <c r="C5086" s="660"/>
      <c r="D5086" s="677">
        <v>45806</v>
      </c>
      <c r="E5086" s="693" t="s">
        <v>2238</v>
      </c>
      <c r="F5086" s="693" t="s">
        <v>2239</v>
      </c>
      <c r="G5086" s="693" t="s">
        <v>2182</v>
      </c>
      <c r="H5086" s="718">
        <v>0.79166666666666674</v>
      </c>
      <c r="I5086" s="1245"/>
      <c r="J5086" s="1246"/>
      <c r="K5086" s="1247"/>
      <c r="L5086" s="679">
        <v>0.89583333333333337</v>
      </c>
      <c r="M5086" s="680"/>
    </row>
    <row r="5087" spans="3:13">
      <c r="C5087" s="660"/>
      <c r="D5087" s="677">
        <v>45798</v>
      </c>
      <c r="E5087" s="693" t="s">
        <v>2182</v>
      </c>
      <c r="F5087" s="693" t="s">
        <v>2183</v>
      </c>
      <c r="G5087" s="693" t="s">
        <v>2127</v>
      </c>
      <c r="H5087" s="718">
        <v>0.72916666666666674</v>
      </c>
      <c r="I5087" s="1245"/>
      <c r="J5087" s="1246"/>
      <c r="K5087" s="1247"/>
      <c r="L5087" s="679">
        <v>0.83333333333333337</v>
      </c>
      <c r="M5087" s="681"/>
    </row>
    <row r="5088" spans="3:13">
      <c r="C5088" s="660"/>
      <c r="D5088" s="677">
        <v>45791</v>
      </c>
      <c r="E5088" s="693" t="s">
        <v>2127</v>
      </c>
      <c r="F5088" s="693" t="s">
        <v>2128</v>
      </c>
      <c r="G5088" s="693" t="s">
        <v>2129</v>
      </c>
      <c r="H5088" s="718">
        <v>0.72916666666666674</v>
      </c>
      <c r="I5088" s="1245"/>
      <c r="J5088" s="1246"/>
      <c r="K5088" s="1247"/>
      <c r="L5088" s="679">
        <v>0.83333333333333337</v>
      </c>
      <c r="M5088" s="667"/>
    </row>
    <row r="5089" spans="3:13">
      <c r="C5089" s="660"/>
      <c r="D5089" s="677">
        <v>45784</v>
      </c>
      <c r="E5089" s="693" t="s">
        <v>2129</v>
      </c>
      <c r="F5089" s="693" t="s">
        <v>2130</v>
      </c>
      <c r="G5089" s="693" t="s">
        <v>2131</v>
      </c>
      <c r="H5089" s="718">
        <v>0.72916666666666674</v>
      </c>
      <c r="I5089" s="1245"/>
      <c r="J5089" s="1246"/>
      <c r="K5089" s="1247"/>
      <c r="L5089" s="679">
        <v>0.83333333333333337</v>
      </c>
      <c r="M5089" s="667"/>
    </row>
    <row r="5090" spans="3:13">
      <c r="C5090" s="660"/>
      <c r="D5090" s="677">
        <v>45777</v>
      </c>
      <c r="E5090" s="693" t="s">
        <v>2131</v>
      </c>
      <c r="F5090" s="693" t="s">
        <v>2099</v>
      </c>
      <c r="G5090" s="693" t="s">
        <v>2064</v>
      </c>
      <c r="H5090" s="718">
        <v>0.72916666666666674</v>
      </c>
      <c r="I5090" s="1245"/>
      <c r="J5090" s="1246"/>
      <c r="K5090" s="1247"/>
      <c r="L5090" s="679">
        <v>0.83333333333333337</v>
      </c>
      <c r="M5090" s="667"/>
    </row>
    <row r="5091" spans="3:13" ht="17" thickBot="1">
      <c r="C5091" s="660"/>
      <c r="D5091" s="677">
        <v>45770</v>
      </c>
      <c r="E5091" s="693" t="s">
        <v>2064</v>
      </c>
      <c r="F5091" s="693" t="s">
        <v>2065</v>
      </c>
      <c r="G5091" s="693" t="s">
        <v>2003</v>
      </c>
      <c r="H5091" s="718">
        <v>0.72916666666666674</v>
      </c>
      <c r="I5091" s="1248"/>
      <c r="J5091" s="1249"/>
      <c r="K5091" s="1250"/>
      <c r="L5091" s="679">
        <v>0.83333333333333337</v>
      </c>
      <c r="M5091" s="682"/>
    </row>
    <row r="5092" spans="3:13" ht="17" thickBot="1">
      <c r="C5092" s="660">
        <v>1</v>
      </c>
      <c r="D5092" s="671" t="s">
        <v>30</v>
      </c>
      <c r="E5092" s="1252" t="s">
        <v>2207</v>
      </c>
      <c r="F5092" s="1253"/>
      <c r="G5092" s="1254"/>
      <c r="H5092" s="712" t="s">
        <v>790</v>
      </c>
      <c r="I5092" s="1255" t="s">
        <v>633</v>
      </c>
      <c r="J5092" s="1256"/>
      <c r="K5092" s="1257"/>
      <c r="L5092" s="674" t="s">
        <v>430</v>
      </c>
      <c r="M5092" s="713" t="s">
        <v>431</v>
      </c>
    </row>
    <row r="5093" spans="3:13">
      <c r="C5093" s="660"/>
      <c r="D5093" s="663" t="s">
        <v>432</v>
      </c>
      <c r="E5093" s="1266"/>
      <c r="F5093" s="1267"/>
      <c r="G5093" s="1268"/>
      <c r="H5093" s="714" t="s">
        <v>909</v>
      </c>
      <c r="I5093" s="1242" t="s">
        <v>2208</v>
      </c>
      <c r="J5093" s="1243"/>
      <c r="K5093" s="1244"/>
      <c r="L5093" s="664"/>
      <c r="M5093" s="665" t="s">
        <v>2207</v>
      </c>
    </row>
    <row r="5094" spans="3:13">
      <c r="C5094" s="660"/>
      <c r="D5094" s="666" t="s">
        <v>433</v>
      </c>
      <c r="E5094" s="1269">
        <v>0.02</v>
      </c>
      <c r="F5094" s="1270"/>
      <c r="G5094" s="1271"/>
      <c r="H5094" s="714" t="s">
        <v>910</v>
      </c>
      <c r="I5094" s="1245"/>
      <c r="J5094" s="1246"/>
      <c r="K5094" s="1247"/>
      <c r="L5094" s="664"/>
      <c r="M5094" s="667"/>
    </row>
    <row r="5095" spans="3:13">
      <c r="C5095" s="660"/>
      <c r="D5095" s="666" t="s">
        <v>434</v>
      </c>
      <c r="E5095" s="1269">
        <v>2.2499999999999999E-2</v>
      </c>
      <c r="F5095" s="1270"/>
      <c r="G5095" s="1271"/>
      <c r="H5095" s="715"/>
      <c r="I5095" s="1245"/>
      <c r="J5095" s="1246"/>
      <c r="K5095" s="1247"/>
      <c r="L5095" s="664"/>
      <c r="M5095" s="667"/>
    </row>
    <row r="5096" spans="3:13" ht="17" thickBot="1">
      <c r="C5096" s="660"/>
      <c r="D5096" s="668" t="s">
        <v>435</v>
      </c>
      <c r="E5096" s="1275">
        <v>0.51041666666666674</v>
      </c>
      <c r="F5096" s="1276"/>
      <c r="G5096" s="1277"/>
      <c r="H5096" s="716"/>
      <c r="I5096" s="1245"/>
      <c r="J5096" s="1246"/>
      <c r="K5096" s="1247"/>
      <c r="L5096" s="669">
        <v>0.73958333333333337</v>
      </c>
      <c r="M5096" s="670">
        <v>0.63541666666666674</v>
      </c>
    </row>
    <row r="5097" spans="3:13" ht="17" thickBot="1">
      <c r="C5097" s="660"/>
      <c r="D5097" s="671" t="s">
        <v>436</v>
      </c>
      <c r="E5097" s="672" t="s">
        <v>29</v>
      </c>
      <c r="F5097" s="672" t="s">
        <v>28</v>
      </c>
      <c r="G5097" s="673" t="s">
        <v>27</v>
      </c>
      <c r="H5097" s="712" t="s">
        <v>793</v>
      </c>
      <c r="I5097" s="1245"/>
      <c r="J5097" s="1246"/>
      <c r="K5097" s="1247"/>
      <c r="L5097" s="675" t="s">
        <v>1246</v>
      </c>
      <c r="M5097" s="676"/>
    </row>
    <row r="5098" spans="3:13">
      <c r="C5098" s="660"/>
      <c r="D5098" s="677">
        <v>45764</v>
      </c>
      <c r="E5098" s="720">
        <v>2.2499999999999999E-2</v>
      </c>
      <c r="F5098" s="720">
        <v>2.2499999999999999E-2</v>
      </c>
      <c r="G5098" s="720">
        <v>2.5000000000000001E-2</v>
      </c>
      <c r="H5098" s="718">
        <v>0.51041666666666674</v>
      </c>
      <c r="I5098" s="1245"/>
      <c r="J5098" s="1246"/>
      <c r="K5098" s="1247"/>
      <c r="L5098" s="679">
        <v>0.73958333333333337</v>
      </c>
      <c r="M5098" s="680"/>
    </row>
    <row r="5099" spans="3:13">
      <c r="C5099" s="660"/>
      <c r="D5099" s="677">
        <v>45722</v>
      </c>
      <c r="E5099" s="720">
        <v>2.5000000000000001E-2</v>
      </c>
      <c r="F5099" s="720">
        <v>2.5000000000000001E-2</v>
      </c>
      <c r="G5099" s="720">
        <v>2.75E-2</v>
      </c>
      <c r="H5099" s="718">
        <v>0.55208333333333337</v>
      </c>
      <c r="I5099" s="1245"/>
      <c r="J5099" s="1246"/>
      <c r="K5099" s="1247"/>
      <c r="L5099" s="679">
        <v>0.78125</v>
      </c>
      <c r="M5099" s="681"/>
    </row>
    <row r="5100" spans="3:13">
      <c r="C5100" s="660"/>
      <c r="D5100" s="677">
        <v>45687</v>
      </c>
      <c r="E5100" s="720">
        <v>2.75E-2</v>
      </c>
      <c r="F5100" s="720">
        <v>2.75E-2</v>
      </c>
      <c r="G5100" s="720">
        <v>0.03</v>
      </c>
      <c r="H5100" s="718">
        <v>0.55208333333333337</v>
      </c>
      <c r="I5100" s="1245"/>
      <c r="J5100" s="1246"/>
      <c r="K5100" s="1247"/>
      <c r="L5100" s="679">
        <v>0.78125</v>
      </c>
      <c r="M5100" s="667"/>
    </row>
    <row r="5101" spans="3:13">
      <c r="C5101" s="660"/>
      <c r="D5101" s="677">
        <v>45638</v>
      </c>
      <c r="E5101" s="720">
        <v>0.03</v>
      </c>
      <c r="F5101" s="720">
        <v>0.03</v>
      </c>
      <c r="G5101" s="720">
        <v>3.2500000000000001E-2</v>
      </c>
      <c r="H5101" s="718">
        <v>0.55208333333333337</v>
      </c>
      <c r="I5101" s="1245"/>
      <c r="J5101" s="1246"/>
      <c r="K5101" s="1247"/>
      <c r="L5101" s="679">
        <v>0.78125</v>
      </c>
      <c r="M5101" s="667"/>
    </row>
    <row r="5102" spans="3:13">
      <c r="C5102" s="660"/>
      <c r="D5102" s="677">
        <v>45582</v>
      </c>
      <c r="E5102" s="720">
        <v>3.2500000000000001E-2</v>
      </c>
      <c r="F5102" s="720">
        <v>3.2500000000000001E-2</v>
      </c>
      <c r="G5102" s="720">
        <v>3.5000000000000003E-2</v>
      </c>
      <c r="H5102" s="718">
        <v>0.51041666666666674</v>
      </c>
      <c r="I5102" s="1245"/>
      <c r="J5102" s="1246"/>
      <c r="K5102" s="1247"/>
      <c r="L5102" s="679">
        <v>0.73958333333333337</v>
      </c>
      <c r="M5102" s="667"/>
    </row>
    <row r="5103" spans="3:13" ht="17" thickBot="1">
      <c r="C5103" s="660"/>
      <c r="D5103" s="677">
        <v>45547</v>
      </c>
      <c r="E5103" s="720">
        <v>3.5000000000000003E-2</v>
      </c>
      <c r="F5103" s="720">
        <v>3.5000000000000003E-2</v>
      </c>
      <c r="G5103" s="720">
        <v>3.7499999999999999E-2</v>
      </c>
      <c r="H5103" s="718">
        <v>0.51041666666666674</v>
      </c>
      <c r="I5103" s="1248"/>
      <c r="J5103" s="1249"/>
      <c r="K5103" s="1250"/>
      <c r="L5103" s="679">
        <v>0.73958333333333337</v>
      </c>
      <c r="M5103" s="682"/>
    </row>
    <row r="5104" spans="3:13" ht="17" thickBot="1">
      <c r="C5104" s="660">
        <v>1</v>
      </c>
      <c r="D5104" s="671" t="s">
        <v>30</v>
      </c>
      <c r="E5104" s="1252" t="s">
        <v>2209</v>
      </c>
      <c r="F5104" s="1253"/>
      <c r="G5104" s="1254"/>
      <c r="H5104" s="712" t="s">
        <v>790</v>
      </c>
      <c r="I5104" s="1255" t="s">
        <v>633</v>
      </c>
      <c r="J5104" s="1256"/>
      <c r="K5104" s="1257"/>
      <c r="L5104" s="674" t="s">
        <v>430</v>
      </c>
      <c r="M5104" s="713" t="s">
        <v>431</v>
      </c>
    </row>
    <row r="5105" spans="3:13">
      <c r="C5105" s="660"/>
      <c r="D5105" s="663" t="s">
        <v>432</v>
      </c>
      <c r="E5105" s="1266"/>
      <c r="F5105" s="1267"/>
      <c r="G5105" s="1268"/>
      <c r="H5105" s="714" t="s">
        <v>909</v>
      </c>
      <c r="I5105" s="1242" t="s">
        <v>2212</v>
      </c>
      <c r="J5105" s="1243"/>
      <c r="K5105" s="1244"/>
      <c r="L5105" s="664"/>
      <c r="M5105" s="665" t="s">
        <v>2209</v>
      </c>
    </row>
    <row r="5106" spans="3:13">
      <c r="C5106" s="660"/>
      <c r="D5106" s="666" t="s">
        <v>433</v>
      </c>
      <c r="E5106" s="1272"/>
      <c r="F5106" s="1273"/>
      <c r="G5106" s="1274"/>
      <c r="H5106" s="714" t="s">
        <v>910</v>
      </c>
      <c r="I5106" s="1245"/>
      <c r="J5106" s="1246"/>
      <c r="K5106" s="1247"/>
      <c r="L5106" s="664"/>
      <c r="M5106" s="667"/>
    </row>
    <row r="5107" spans="3:13">
      <c r="C5107" s="660"/>
      <c r="D5107" s="666" t="s">
        <v>434</v>
      </c>
      <c r="E5107" s="1272">
        <v>2.4E-2</v>
      </c>
      <c r="F5107" s="1273"/>
      <c r="G5107" s="1274"/>
      <c r="H5107" s="715"/>
      <c r="I5107" s="1245"/>
      <c r="J5107" s="1246"/>
      <c r="K5107" s="1247"/>
      <c r="L5107" s="664"/>
      <c r="M5107" s="667"/>
    </row>
    <row r="5108" spans="3:13" ht="17" thickBot="1">
      <c r="C5108" s="660"/>
      <c r="D5108" s="668" t="s">
        <v>435</v>
      </c>
      <c r="E5108" s="1275">
        <v>0.51041666666666674</v>
      </c>
      <c r="F5108" s="1276"/>
      <c r="G5108" s="1277"/>
      <c r="H5108" s="716"/>
      <c r="I5108" s="1245"/>
      <c r="J5108" s="1246"/>
      <c r="K5108" s="1247"/>
      <c r="L5108" s="669">
        <v>0.73958333333333337</v>
      </c>
      <c r="M5108" s="670">
        <v>0.63541666666666674</v>
      </c>
    </row>
    <row r="5109" spans="3:13" ht="17" thickBot="1">
      <c r="C5109" s="660"/>
      <c r="D5109" s="671" t="s">
        <v>436</v>
      </c>
      <c r="E5109" s="672" t="s">
        <v>29</v>
      </c>
      <c r="F5109" s="672" t="s">
        <v>28</v>
      </c>
      <c r="G5109" s="673" t="s">
        <v>27</v>
      </c>
      <c r="H5109" s="712" t="s">
        <v>793</v>
      </c>
      <c r="I5109" s="1245"/>
      <c r="J5109" s="1246"/>
      <c r="K5109" s="1247"/>
      <c r="L5109" s="675" t="s">
        <v>1246</v>
      </c>
      <c r="M5109" s="676"/>
    </row>
    <row r="5110" spans="3:13">
      <c r="C5110" s="660"/>
      <c r="D5110" s="677">
        <v>45764</v>
      </c>
      <c r="E5110" s="720">
        <v>2.4E-2</v>
      </c>
      <c r="F5110" s="720">
        <v>2.4E-2</v>
      </c>
      <c r="G5110" s="720">
        <v>2.6499999999999999E-2</v>
      </c>
      <c r="H5110" s="718">
        <v>0.51041666666666674</v>
      </c>
      <c r="I5110" s="1245"/>
      <c r="J5110" s="1246"/>
      <c r="K5110" s="1247"/>
      <c r="L5110" s="679">
        <v>0.73958333333333337</v>
      </c>
      <c r="M5110" s="680"/>
    </row>
    <row r="5111" spans="3:13">
      <c r="C5111" s="660"/>
      <c r="D5111" s="677">
        <v>45722</v>
      </c>
      <c r="E5111" s="720">
        <v>2.6499999999999999E-2</v>
      </c>
      <c r="F5111" s="720">
        <v>2.6499999999999999E-2</v>
      </c>
      <c r="G5111" s="720">
        <v>2.9000000000000001E-2</v>
      </c>
      <c r="H5111" s="718">
        <v>0.55208333333333337</v>
      </c>
      <c r="I5111" s="1245"/>
      <c r="J5111" s="1246"/>
      <c r="K5111" s="1247"/>
      <c r="L5111" s="679">
        <v>0.78125</v>
      </c>
      <c r="M5111" s="681"/>
    </row>
    <row r="5112" spans="3:13">
      <c r="C5112" s="660"/>
      <c r="D5112" s="677">
        <v>45687</v>
      </c>
      <c r="E5112" s="720">
        <v>2.9000000000000001E-2</v>
      </c>
      <c r="F5112" s="720">
        <v>2.9000000000000001E-2</v>
      </c>
      <c r="G5112" s="720">
        <v>3.15E-2</v>
      </c>
      <c r="H5112" s="718">
        <v>0.55208333333333337</v>
      </c>
      <c r="I5112" s="1245"/>
      <c r="J5112" s="1246"/>
      <c r="K5112" s="1247"/>
      <c r="L5112" s="679">
        <v>0.78125</v>
      </c>
      <c r="M5112" s="667"/>
    </row>
    <row r="5113" spans="3:13">
      <c r="C5113" s="660"/>
      <c r="D5113" s="677">
        <v>45638</v>
      </c>
      <c r="E5113" s="720">
        <v>3.15E-2</v>
      </c>
      <c r="F5113" s="720">
        <v>3.15E-2</v>
      </c>
      <c r="G5113" s="720">
        <v>3.4000000000000002E-2</v>
      </c>
      <c r="H5113" s="718">
        <v>0.55208333333333337</v>
      </c>
      <c r="I5113" s="1245"/>
      <c r="J5113" s="1246"/>
      <c r="K5113" s="1247"/>
      <c r="L5113" s="679">
        <v>0.78125</v>
      </c>
      <c r="M5113" s="667"/>
    </row>
    <row r="5114" spans="3:13">
      <c r="C5114" s="660"/>
      <c r="D5114" s="677">
        <v>45582</v>
      </c>
      <c r="E5114" s="720">
        <v>3.4000000000000002E-2</v>
      </c>
      <c r="F5114" s="720">
        <v>3.4000000000000002E-2</v>
      </c>
      <c r="G5114" s="720">
        <v>3.6499999999999998E-2</v>
      </c>
      <c r="H5114" s="718">
        <v>0.51041666666666674</v>
      </c>
      <c r="I5114" s="1245"/>
      <c r="J5114" s="1246"/>
      <c r="K5114" s="1247"/>
      <c r="L5114" s="679">
        <v>0.73958333333333337</v>
      </c>
      <c r="M5114" s="667"/>
    </row>
    <row r="5115" spans="3:13" ht="17" thickBot="1">
      <c r="C5115" s="660"/>
      <c r="D5115" s="677">
        <v>45547</v>
      </c>
      <c r="E5115" s="720">
        <v>3.6499999999999998E-2</v>
      </c>
      <c r="F5115" s="720">
        <v>3.6499999999999998E-2</v>
      </c>
      <c r="G5115" s="720">
        <v>4.2500000000000003E-2</v>
      </c>
      <c r="H5115" s="718">
        <v>0.51041666666666674</v>
      </c>
      <c r="I5115" s="1248"/>
      <c r="J5115" s="1249"/>
      <c r="K5115" s="1250"/>
      <c r="L5115" s="679">
        <v>0.73958333333333337</v>
      </c>
      <c r="M5115" s="682"/>
    </row>
    <row r="5116" spans="3:13" ht="17" thickBot="1">
      <c r="C5116" s="660">
        <v>1</v>
      </c>
      <c r="D5116" s="671" t="s">
        <v>30</v>
      </c>
      <c r="E5116" s="1252" t="s">
        <v>1421</v>
      </c>
      <c r="F5116" s="1253"/>
      <c r="G5116" s="1254"/>
      <c r="H5116" s="712" t="s">
        <v>790</v>
      </c>
      <c r="I5116" s="1255" t="s">
        <v>633</v>
      </c>
      <c r="J5116" s="1256"/>
      <c r="K5116" s="1257"/>
      <c r="L5116" s="674" t="s">
        <v>430</v>
      </c>
      <c r="M5116" s="758" t="s">
        <v>431</v>
      </c>
    </row>
    <row r="5117" spans="3:13">
      <c r="C5117" s="660"/>
      <c r="D5117" s="663" t="s">
        <v>432</v>
      </c>
      <c r="E5117" s="1266"/>
      <c r="F5117" s="1267"/>
      <c r="G5117" s="1268"/>
      <c r="H5117" s="714" t="s">
        <v>794</v>
      </c>
      <c r="I5117" s="1242" t="s">
        <v>2212</v>
      </c>
      <c r="J5117" s="1243"/>
      <c r="K5117" s="1244"/>
      <c r="L5117" s="664"/>
      <c r="M5117" s="812" t="s">
        <v>1421</v>
      </c>
    </row>
    <row r="5118" spans="3:13">
      <c r="C5118" s="660"/>
      <c r="D5118" s="666" t="s">
        <v>433</v>
      </c>
      <c r="E5118" s="1269"/>
      <c r="F5118" s="1270"/>
      <c r="G5118" s="1271"/>
      <c r="H5118" s="714" t="s">
        <v>795</v>
      </c>
      <c r="I5118" s="1245"/>
      <c r="J5118" s="1246"/>
      <c r="K5118" s="1247"/>
      <c r="L5118" s="664"/>
      <c r="M5118" s="813"/>
    </row>
    <row r="5119" spans="3:13">
      <c r="C5119" s="660"/>
      <c r="D5119" s="666" t="s">
        <v>434</v>
      </c>
      <c r="E5119" s="1278" t="s">
        <v>2211</v>
      </c>
      <c r="F5119" s="1270"/>
      <c r="G5119" s="1271"/>
      <c r="H5119" s="715"/>
      <c r="I5119" s="1245"/>
      <c r="J5119" s="1246"/>
      <c r="K5119" s="1247"/>
      <c r="L5119" s="664"/>
      <c r="M5119" s="813"/>
    </row>
    <row r="5120" spans="3:13" ht="17" thickBot="1">
      <c r="C5120" s="660"/>
      <c r="D5120" s="668" t="s">
        <v>435</v>
      </c>
      <c r="E5120" s="1275">
        <v>0.52083333333333337</v>
      </c>
      <c r="F5120" s="1276"/>
      <c r="G5120" s="1277"/>
      <c r="H5120" s="716"/>
      <c r="I5120" s="1245"/>
      <c r="J5120" s="1246"/>
      <c r="K5120" s="1247"/>
      <c r="L5120" s="669">
        <v>0.75</v>
      </c>
      <c r="M5120" s="814">
        <v>0.64583333333333337</v>
      </c>
    </row>
    <row r="5121" spans="3:13" ht="17" thickBot="1">
      <c r="C5121" s="660"/>
      <c r="D5121" s="671" t="s">
        <v>436</v>
      </c>
      <c r="E5121" s="672" t="s">
        <v>29</v>
      </c>
      <c r="F5121" s="672" t="s">
        <v>28</v>
      </c>
      <c r="G5121" s="673" t="s">
        <v>27</v>
      </c>
      <c r="H5121" s="712" t="s">
        <v>793</v>
      </c>
      <c r="I5121" s="1245"/>
      <c r="J5121" s="1246"/>
      <c r="K5121" s="1247"/>
      <c r="L5121" s="675" t="s">
        <v>1246</v>
      </c>
      <c r="M5121" s="815"/>
    </row>
    <row r="5122" spans="3:13">
      <c r="C5122" s="660"/>
      <c r="D5122" s="677">
        <v>45806</v>
      </c>
      <c r="E5122" s="693" t="s">
        <v>2240</v>
      </c>
      <c r="F5122" s="693" t="s">
        <v>976</v>
      </c>
      <c r="G5122" s="693" t="s">
        <v>1703</v>
      </c>
      <c r="H5122" s="718">
        <v>0.52083333333333337</v>
      </c>
      <c r="I5122" s="1245"/>
      <c r="J5122" s="1246"/>
      <c r="K5122" s="1247"/>
      <c r="L5122" s="679">
        <v>0.75</v>
      </c>
      <c r="M5122" s="816"/>
    </row>
    <row r="5123" spans="3:13">
      <c r="C5123" s="660"/>
      <c r="D5123" s="677">
        <v>45799</v>
      </c>
      <c r="E5123" s="693" t="s">
        <v>978</v>
      </c>
      <c r="F5123" s="693" t="s">
        <v>2241</v>
      </c>
      <c r="G5123" s="693" t="s">
        <v>976</v>
      </c>
      <c r="H5123" s="718">
        <v>0.52083333333333337</v>
      </c>
      <c r="I5123" s="1245"/>
      <c r="J5123" s="1246"/>
      <c r="K5123" s="1247"/>
      <c r="L5123" s="679">
        <v>0.75</v>
      </c>
      <c r="M5123" s="817"/>
    </row>
    <row r="5124" spans="3:13">
      <c r="C5124" s="660"/>
      <c r="D5124" s="677">
        <v>45792</v>
      </c>
      <c r="E5124" s="693" t="s">
        <v>976</v>
      </c>
      <c r="F5124" s="693" t="s">
        <v>976</v>
      </c>
      <c r="G5124" s="693" t="s">
        <v>976</v>
      </c>
      <c r="H5124" s="718">
        <v>0.52083333333333337</v>
      </c>
      <c r="I5124" s="1245"/>
      <c r="J5124" s="1246"/>
      <c r="K5124" s="1247"/>
      <c r="L5124" s="679">
        <v>0.75</v>
      </c>
      <c r="M5124" s="813"/>
    </row>
    <row r="5125" spans="3:13">
      <c r="C5125" s="660"/>
      <c r="D5125" s="677">
        <v>45785</v>
      </c>
      <c r="E5125" s="693" t="s">
        <v>977</v>
      </c>
      <c r="F5125" s="693" t="s">
        <v>984</v>
      </c>
      <c r="G5125" s="693" t="s">
        <v>981</v>
      </c>
      <c r="H5125" s="718">
        <v>0.52083333333333337</v>
      </c>
      <c r="I5125" s="1245"/>
      <c r="J5125" s="1246"/>
      <c r="K5125" s="1247"/>
      <c r="L5125" s="679">
        <v>0.75</v>
      </c>
      <c r="M5125" s="813"/>
    </row>
    <row r="5126" spans="3:13">
      <c r="C5126" s="660"/>
      <c r="D5126" s="677">
        <v>45778</v>
      </c>
      <c r="E5126" s="693" t="s">
        <v>981</v>
      </c>
      <c r="F5126" s="693" t="s">
        <v>1032</v>
      </c>
      <c r="G5126" s="693" t="s">
        <v>973</v>
      </c>
      <c r="H5126" s="718">
        <v>0.52083333333333337</v>
      </c>
      <c r="I5126" s="1245"/>
      <c r="J5126" s="1246"/>
      <c r="K5126" s="1247"/>
      <c r="L5126" s="679">
        <v>0.75</v>
      </c>
      <c r="M5126" s="813"/>
    </row>
    <row r="5127" spans="3:13" ht="17" thickBot="1">
      <c r="C5127" s="660"/>
      <c r="D5127" s="677">
        <v>45771</v>
      </c>
      <c r="E5127" s="693" t="s">
        <v>986</v>
      </c>
      <c r="F5127" s="693" t="s">
        <v>986</v>
      </c>
      <c r="G5127" s="693" t="s">
        <v>975</v>
      </c>
      <c r="H5127" s="718">
        <v>0.52083333333333337</v>
      </c>
      <c r="I5127" s="1248"/>
      <c r="J5127" s="1249"/>
      <c r="K5127" s="1250"/>
      <c r="L5127" s="679">
        <v>0.75</v>
      </c>
      <c r="M5127" s="818"/>
    </row>
    <row r="5128" spans="3:13" ht="17" thickBot="1">
      <c r="C5128" s="660">
        <v>1</v>
      </c>
      <c r="D5128" s="671" t="s">
        <v>30</v>
      </c>
      <c r="E5128" s="1252" t="s">
        <v>1519</v>
      </c>
      <c r="F5128" s="1253"/>
      <c r="G5128" s="1254"/>
      <c r="H5128" s="712" t="s">
        <v>790</v>
      </c>
      <c r="I5128" s="1255" t="s">
        <v>633</v>
      </c>
      <c r="J5128" s="1256"/>
      <c r="K5128" s="1257"/>
      <c r="L5128" s="674" t="s">
        <v>430</v>
      </c>
      <c r="M5128" s="758" t="s">
        <v>431</v>
      </c>
    </row>
    <row r="5129" spans="3:13">
      <c r="C5129" s="660"/>
      <c r="D5129" s="663" t="s">
        <v>432</v>
      </c>
      <c r="E5129" s="1266"/>
      <c r="F5129" s="1267"/>
      <c r="G5129" s="1268"/>
      <c r="H5129" s="715" t="s">
        <v>906</v>
      </c>
      <c r="I5129" s="1242" t="s">
        <v>2213</v>
      </c>
      <c r="J5129" s="1243"/>
      <c r="K5129" s="1244"/>
      <c r="L5129" s="664"/>
      <c r="M5129" s="812" t="s">
        <v>1519</v>
      </c>
    </row>
    <row r="5130" spans="3:13">
      <c r="C5130" s="660"/>
      <c r="D5130" s="666" t="s">
        <v>433</v>
      </c>
      <c r="E5130" s="1269"/>
      <c r="F5130" s="1270"/>
      <c r="G5130" s="1271"/>
      <c r="H5130" s="716" t="s">
        <v>907</v>
      </c>
      <c r="I5130" s="1245"/>
      <c r="J5130" s="1246"/>
      <c r="K5130" s="1247"/>
      <c r="L5130" s="664"/>
      <c r="M5130" s="813"/>
    </row>
    <row r="5131" spans="3:13">
      <c r="C5131" s="660"/>
      <c r="D5131" s="666" t="s">
        <v>434</v>
      </c>
      <c r="E5131" s="1278">
        <v>0</v>
      </c>
      <c r="F5131" s="1270"/>
      <c r="G5131" s="1271"/>
      <c r="H5131" s="715"/>
      <c r="I5131" s="1245"/>
      <c r="J5131" s="1246"/>
      <c r="K5131" s="1247"/>
      <c r="L5131" s="664"/>
      <c r="M5131" s="813"/>
    </row>
    <row r="5132" spans="3:13" ht="17" thickBot="1">
      <c r="C5132" s="660"/>
      <c r="D5132" s="668" t="s">
        <v>435</v>
      </c>
      <c r="E5132" s="1275">
        <v>0.53125</v>
      </c>
      <c r="F5132" s="1276"/>
      <c r="G5132" s="1277"/>
      <c r="H5132" s="716"/>
      <c r="I5132" s="1245"/>
      <c r="J5132" s="1246"/>
      <c r="K5132" s="1247"/>
      <c r="L5132" s="669">
        <v>0.76041666666666663</v>
      </c>
      <c r="M5132" s="814">
        <v>0.65625</v>
      </c>
    </row>
    <row r="5133" spans="3:13" ht="17" thickBot="1">
      <c r="C5133" s="660"/>
      <c r="D5133" s="671" t="s">
        <v>436</v>
      </c>
      <c r="E5133" s="672" t="s">
        <v>29</v>
      </c>
      <c r="F5133" s="672" t="s">
        <v>28</v>
      </c>
      <c r="G5133" s="673" t="s">
        <v>27</v>
      </c>
      <c r="H5133" s="712" t="s">
        <v>793</v>
      </c>
      <c r="I5133" s="1245"/>
      <c r="J5133" s="1246"/>
      <c r="K5133" s="1247"/>
      <c r="L5133" s="675" t="s">
        <v>1246</v>
      </c>
      <c r="M5133" s="815"/>
    </row>
    <row r="5134" spans="3:13">
      <c r="C5134" s="660"/>
      <c r="D5134" s="677">
        <v>45764</v>
      </c>
      <c r="E5134" s="693">
        <v>44.6</v>
      </c>
      <c r="F5134" s="693">
        <v>45.9</v>
      </c>
      <c r="G5134" s="693">
        <v>47.6</v>
      </c>
      <c r="H5134" s="718">
        <v>0.53125</v>
      </c>
      <c r="I5134" s="1245"/>
      <c r="J5134" s="1246"/>
      <c r="K5134" s="1247"/>
      <c r="L5134" s="679">
        <v>0.76041666666666663</v>
      </c>
      <c r="M5134" s="816"/>
    </row>
    <row r="5135" spans="3:13">
      <c r="C5135" s="660"/>
      <c r="D5135" s="677">
        <v>45722</v>
      </c>
      <c r="E5135" s="693">
        <v>47.6</v>
      </c>
      <c r="F5135" s="693">
        <v>45.5</v>
      </c>
      <c r="G5135" s="693">
        <v>45.5</v>
      </c>
      <c r="H5135" s="718">
        <v>0.57291666666666674</v>
      </c>
      <c r="I5135" s="1245"/>
      <c r="J5135" s="1246"/>
      <c r="K5135" s="1247"/>
      <c r="L5135" s="679">
        <v>0.80208333333333337</v>
      </c>
      <c r="M5135" s="817"/>
    </row>
    <row r="5136" spans="3:13">
      <c r="C5136" s="660"/>
      <c r="D5136" s="677">
        <v>45687</v>
      </c>
      <c r="E5136" s="693">
        <v>45.5</v>
      </c>
      <c r="F5136" s="693">
        <v>40.5</v>
      </c>
      <c r="G5136" s="693">
        <v>39.5</v>
      </c>
      <c r="H5136" s="718">
        <v>0.57291666666666674</v>
      </c>
      <c r="I5136" s="1245"/>
      <c r="J5136" s="1246"/>
      <c r="K5136" s="1247"/>
      <c r="L5136" s="679">
        <v>0.80208333333333337</v>
      </c>
      <c r="M5136" s="813"/>
    </row>
    <row r="5137" spans="3:13">
      <c r="C5137" s="660"/>
      <c r="D5137" s="677">
        <v>45638</v>
      </c>
      <c r="E5137" s="693">
        <v>39.5</v>
      </c>
      <c r="F5137" s="693">
        <v>40.299999999999997</v>
      </c>
      <c r="G5137" s="693">
        <v>36.9</v>
      </c>
      <c r="H5137" s="718">
        <v>0.57291666666666674</v>
      </c>
      <c r="I5137" s="1245"/>
      <c r="J5137" s="1246"/>
      <c r="K5137" s="1247"/>
      <c r="L5137" s="679">
        <v>0.80208333333333337</v>
      </c>
      <c r="M5137" s="813"/>
    </row>
    <row r="5138" spans="3:13">
      <c r="C5138" s="660"/>
      <c r="D5138" s="677">
        <v>45582</v>
      </c>
      <c r="E5138" s="693">
        <v>36.9</v>
      </c>
      <c r="F5138" s="693">
        <v>42.7</v>
      </c>
      <c r="G5138" s="693">
        <v>40.200000000000003</v>
      </c>
      <c r="H5138" s="718">
        <v>0.53125</v>
      </c>
      <c r="I5138" s="1245"/>
      <c r="J5138" s="1246"/>
      <c r="K5138" s="1247"/>
      <c r="L5138" s="679">
        <v>0.76041666666666663</v>
      </c>
      <c r="M5138" s="813"/>
    </row>
    <row r="5139" spans="3:13" ht="17" thickBot="1">
      <c r="C5139" s="660"/>
      <c r="D5139" s="677">
        <v>45547</v>
      </c>
      <c r="E5139" s="693">
        <v>40.200000000000003</v>
      </c>
      <c r="F5139" s="693">
        <v>44.9</v>
      </c>
      <c r="G5139" s="693">
        <v>41.6</v>
      </c>
      <c r="H5139" s="718">
        <v>0.53125</v>
      </c>
      <c r="I5139" s="1248"/>
      <c r="J5139" s="1249"/>
      <c r="K5139" s="1250"/>
      <c r="L5139" s="679">
        <v>0.76041666666666663</v>
      </c>
      <c r="M5139" s="818"/>
    </row>
    <row r="5140" spans="3:13" ht="17" thickBot="1">
      <c r="C5140" s="660">
        <v>1</v>
      </c>
      <c r="D5140" s="671" t="s">
        <v>30</v>
      </c>
      <c r="E5140" s="1252" t="s">
        <v>2214</v>
      </c>
      <c r="F5140" s="1253"/>
      <c r="G5140" s="1254"/>
      <c r="H5140" s="712" t="s">
        <v>790</v>
      </c>
      <c r="I5140" s="1255" t="s">
        <v>633</v>
      </c>
      <c r="J5140" s="1256"/>
      <c r="K5140" s="1257"/>
      <c r="L5140" s="674" t="s">
        <v>430</v>
      </c>
      <c r="M5140" s="758" t="s">
        <v>431</v>
      </c>
    </row>
    <row r="5141" spans="3:13">
      <c r="C5141" s="660"/>
      <c r="D5141" s="663" t="s">
        <v>432</v>
      </c>
      <c r="E5141" s="1266"/>
      <c r="F5141" s="1267"/>
      <c r="G5141" s="1268"/>
      <c r="H5141" s="714" t="s">
        <v>794</v>
      </c>
      <c r="I5141" s="1242" t="s">
        <v>1963</v>
      </c>
      <c r="J5141" s="1243"/>
      <c r="K5141" s="1244"/>
      <c r="L5141" s="664"/>
      <c r="M5141" s="812" t="s">
        <v>2214</v>
      </c>
    </row>
    <row r="5142" spans="3:13">
      <c r="C5142" s="660"/>
      <c r="D5142" s="666" t="s">
        <v>433</v>
      </c>
      <c r="E5142" s="1269"/>
      <c r="F5142" s="1270"/>
      <c r="G5142" s="1271"/>
      <c r="H5142" s="714" t="s">
        <v>795</v>
      </c>
      <c r="I5142" s="1245"/>
      <c r="J5142" s="1246"/>
      <c r="K5142" s="1247"/>
      <c r="L5142" s="664"/>
      <c r="M5142" s="813"/>
    </row>
    <row r="5143" spans="3:13">
      <c r="C5143" s="660"/>
      <c r="D5143" s="666" t="s">
        <v>434</v>
      </c>
      <c r="E5143" s="1278">
        <v>0</v>
      </c>
      <c r="F5143" s="1270"/>
      <c r="G5143" s="1271"/>
      <c r="H5143" s="715"/>
      <c r="I5143" s="1245"/>
      <c r="J5143" s="1246"/>
      <c r="K5143" s="1247"/>
      <c r="L5143" s="664"/>
      <c r="M5143" s="813"/>
    </row>
    <row r="5144" spans="3:13" ht="17" thickBot="1">
      <c r="C5144" s="660"/>
      <c r="D5144" s="668" t="s">
        <v>435</v>
      </c>
      <c r="E5144" s="1275">
        <v>0.52083333333333337</v>
      </c>
      <c r="F5144" s="1276"/>
      <c r="G5144" s="1277"/>
      <c r="H5144" s="716"/>
      <c r="I5144" s="1245"/>
      <c r="J5144" s="1246"/>
      <c r="K5144" s="1247"/>
      <c r="L5144" s="669" t="s">
        <v>1449</v>
      </c>
      <c r="M5144" s="814" t="e">
        <v>#VALUE!</v>
      </c>
    </row>
    <row r="5145" spans="3:13" ht="17" thickBot="1">
      <c r="C5145" s="660"/>
      <c r="D5145" s="671" t="s">
        <v>436</v>
      </c>
      <c r="E5145" s="672" t="s">
        <v>29</v>
      </c>
      <c r="F5145" s="672" t="s">
        <v>28</v>
      </c>
      <c r="G5145" s="673" t="s">
        <v>27</v>
      </c>
      <c r="H5145" s="712" t="s">
        <v>793</v>
      </c>
      <c r="I5145" s="1245"/>
      <c r="J5145" s="1246"/>
      <c r="K5145" s="1247"/>
      <c r="L5145" s="675" t="s">
        <v>1246</v>
      </c>
      <c r="M5145" s="815"/>
    </row>
    <row r="5146" spans="3:13">
      <c r="C5146" s="660"/>
      <c r="D5146" s="677">
        <v>45763</v>
      </c>
      <c r="E5146" s="693">
        <v>5.0000000000000001E-3</v>
      </c>
      <c r="F5146" s="693">
        <v>4.0000000000000001E-3</v>
      </c>
      <c r="G5146" s="693">
        <v>7.0000000000000001E-3</v>
      </c>
      <c r="H5146" s="718">
        <v>0.52083333333333337</v>
      </c>
      <c r="I5146" s="1245"/>
      <c r="J5146" s="1246"/>
      <c r="K5146" s="1247"/>
      <c r="L5146" s="679">
        <v>0.75</v>
      </c>
      <c r="M5146" s="816"/>
    </row>
    <row r="5147" spans="3:13">
      <c r="C5147" s="660"/>
      <c r="D5147" s="677">
        <v>45733</v>
      </c>
      <c r="E5147" s="693">
        <v>3.0000000000000001E-3</v>
      </c>
      <c r="F5147" s="693">
        <v>3.0000000000000001E-3</v>
      </c>
      <c r="G5147" s="693">
        <v>-6.0000000000000001E-3</v>
      </c>
      <c r="H5147" s="718">
        <v>0.52083333333333337</v>
      </c>
      <c r="I5147" s="1245"/>
      <c r="J5147" s="1246"/>
      <c r="K5147" s="1247"/>
      <c r="L5147" s="679">
        <v>0.75</v>
      </c>
      <c r="M5147" s="817"/>
    </row>
    <row r="5148" spans="3:13">
      <c r="C5148" s="660"/>
      <c r="D5148" s="677">
        <v>45702</v>
      </c>
      <c r="E5148" s="693">
        <v>-4.0000000000000001E-3</v>
      </c>
      <c r="F5148" s="693">
        <v>3.0000000000000001E-3</v>
      </c>
      <c r="G5148" s="693">
        <v>7.0000000000000001E-3</v>
      </c>
      <c r="H5148" s="718">
        <v>0.5625</v>
      </c>
      <c r="I5148" s="1245"/>
      <c r="J5148" s="1246"/>
      <c r="K5148" s="1247"/>
      <c r="L5148" s="679">
        <v>0.79166666666666663</v>
      </c>
      <c r="M5148" s="813"/>
    </row>
    <row r="5149" spans="3:13">
      <c r="C5149" s="660"/>
      <c r="D5149" s="677">
        <v>45673</v>
      </c>
      <c r="E5149" s="693">
        <v>4.0000000000000001E-3</v>
      </c>
      <c r="F5149" s="693">
        <v>5.0000000000000001E-3</v>
      </c>
      <c r="G5149" s="693">
        <v>2E-3</v>
      </c>
      <c r="H5149" s="718">
        <v>0.5625</v>
      </c>
      <c r="I5149" s="1245"/>
      <c r="J5149" s="1246"/>
      <c r="K5149" s="1247"/>
      <c r="L5149" s="679">
        <v>0.79166666666666663</v>
      </c>
      <c r="M5149" s="813"/>
    </row>
    <row r="5150" spans="3:13">
      <c r="C5150" s="660"/>
      <c r="D5150" s="677">
        <v>45643</v>
      </c>
      <c r="E5150" s="693">
        <v>2E-3</v>
      </c>
      <c r="F5150" s="693">
        <v>4.0000000000000001E-3</v>
      </c>
      <c r="G5150" s="693">
        <v>2E-3</v>
      </c>
      <c r="H5150" s="718">
        <v>0.5625</v>
      </c>
      <c r="I5150" s="1245"/>
      <c r="J5150" s="1246"/>
      <c r="K5150" s="1247"/>
      <c r="L5150" s="679">
        <v>0.79166666666666663</v>
      </c>
      <c r="M5150" s="813"/>
    </row>
    <row r="5151" spans="3:13" ht="17" thickBot="1">
      <c r="C5151" s="660"/>
      <c r="D5151" s="677">
        <v>45611</v>
      </c>
      <c r="E5151" s="693">
        <v>1E-3</v>
      </c>
      <c r="F5151" s="693">
        <v>3.0000000000000001E-3</v>
      </c>
      <c r="G5151" s="693">
        <v>0.01</v>
      </c>
      <c r="H5151" s="718">
        <v>0.5625</v>
      </c>
      <c r="I5151" s="1248"/>
      <c r="J5151" s="1249"/>
      <c r="K5151" s="1250"/>
      <c r="L5151" s="679">
        <v>0.79166666666666663</v>
      </c>
      <c r="M5151" s="818"/>
    </row>
    <row r="5152" spans="3:13" ht="17" thickBot="1">
      <c r="C5152" s="660">
        <v>1</v>
      </c>
      <c r="D5152" s="671" t="s">
        <v>30</v>
      </c>
      <c r="E5152" s="1252" t="s">
        <v>2216</v>
      </c>
      <c r="F5152" s="1253"/>
      <c r="G5152" s="1254"/>
      <c r="H5152" s="712" t="s">
        <v>790</v>
      </c>
      <c r="I5152" s="1255" t="s">
        <v>633</v>
      </c>
      <c r="J5152" s="1256"/>
      <c r="K5152" s="1257"/>
      <c r="L5152" s="674" t="s">
        <v>430</v>
      </c>
      <c r="M5152" s="758" t="s">
        <v>431</v>
      </c>
    </row>
    <row r="5153" spans="3:13">
      <c r="C5153" s="660"/>
      <c r="D5153" s="663" t="s">
        <v>432</v>
      </c>
      <c r="E5153" s="1266"/>
      <c r="F5153" s="1267"/>
      <c r="G5153" s="1268"/>
      <c r="H5153" s="714" t="s">
        <v>794</v>
      </c>
      <c r="I5153" s="1242" t="s">
        <v>2051</v>
      </c>
      <c r="J5153" s="1243"/>
      <c r="K5153" s="1244"/>
      <c r="L5153" s="664"/>
      <c r="M5153" s="812" t="s">
        <v>2216</v>
      </c>
    </row>
    <row r="5154" spans="3:13">
      <c r="C5154" s="660"/>
      <c r="D5154" s="666" t="s">
        <v>433</v>
      </c>
      <c r="E5154" s="1272">
        <v>3.0000000000000001E-3</v>
      </c>
      <c r="F5154" s="1273"/>
      <c r="G5154" s="1274"/>
      <c r="H5154" s="714" t="s">
        <v>795</v>
      </c>
      <c r="I5154" s="1245"/>
      <c r="J5154" s="1246"/>
      <c r="K5154" s="1247"/>
      <c r="L5154" s="664"/>
      <c r="M5154" s="813"/>
    </row>
    <row r="5155" spans="3:13">
      <c r="C5155" s="660"/>
      <c r="D5155" s="666" t="s">
        <v>434</v>
      </c>
      <c r="E5155" s="1272">
        <v>2E-3</v>
      </c>
      <c r="F5155" s="1273"/>
      <c r="G5155" s="1274"/>
      <c r="H5155" s="715"/>
      <c r="I5155" s="1245"/>
      <c r="J5155" s="1246"/>
      <c r="K5155" s="1247"/>
      <c r="L5155" s="664"/>
      <c r="M5155" s="813"/>
    </row>
    <row r="5156" spans="3:13" ht="17" thickBot="1">
      <c r="C5156" s="660"/>
      <c r="D5156" s="668" t="s">
        <v>435</v>
      </c>
      <c r="E5156" s="1275">
        <v>0.52083333333333337</v>
      </c>
      <c r="F5156" s="1276"/>
      <c r="G5156" s="1277"/>
      <c r="H5156" s="716"/>
      <c r="I5156" s="1245"/>
      <c r="J5156" s="1246"/>
      <c r="K5156" s="1247"/>
      <c r="L5156" s="669">
        <v>0.75</v>
      </c>
      <c r="M5156" s="814">
        <v>0.64583333333333337</v>
      </c>
    </row>
    <row r="5157" spans="3:13" ht="17" thickBot="1">
      <c r="C5157" s="660"/>
      <c r="D5157" s="671" t="s">
        <v>436</v>
      </c>
      <c r="E5157" s="672" t="s">
        <v>29</v>
      </c>
      <c r="F5157" s="672" t="s">
        <v>28</v>
      </c>
      <c r="G5157" s="673" t="s">
        <v>27</v>
      </c>
      <c r="H5157" s="712" t="s">
        <v>793</v>
      </c>
      <c r="I5157" s="1245"/>
      <c r="J5157" s="1246"/>
      <c r="K5157" s="1247"/>
      <c r="L5157" s="675" t="s">
        <v>1246</v>
      </c>
      <c r="M5157" s="815"/>
    </row>
    <row r="5158" spans="3:13">
      <c r="C5158" s="660"/>
      <c r="D5158" s="677">
        <v>45779</v>
      </c>
      <c r="E5158" s="720">
        <v>2E-3</v>
      </c>
      <c r="F5158" s="720">
        <v>3.0000000000000001E-3</v>
      </c>
      <c r="G5158" s="720">
        <v>3.0000000000000001E-3</v>
      </c>
      <c r="H5158" s="718">
        <v>0.52083333333333337</v>
      </c>
      <c r="I5158" s="1245"/>
      <c r="J5158" s="1246"/>
      <c r="K5158" s="1247"/>
      <c r="L5158" s="679">
        <v>0.75</v>
      </c>
      <c r="M5158" s="816"/>
    </row>
    <row r="5159" spans="3:13">
      <c r="C5159" s="660"/>
      <c r="D5159" s="677">
        <v>45751</v>
      </c>
      <c r="E5159" s="720">
        <v>3.0000000000000001E-3</v>
      </c>
      <c r="F5159" s="720">
        <v>3.0000000000000001E-3</v>
      </c>
      <c r="G5159" s="720">
        <v>2E-3</v>
      </c>
      <c r="H5159" s="718">
        <v>0.52083333333333337</v>
      </c>
      <c r="I5159" s="1245"/>
      <c r="J5159" s="1246"/>
      <c r="K5159" s="1247"/>
      <c r="L5159" s="679">
        <v>0.75</v>
      </c>
      <c r="M5159" s="817"/>
    </row>
    <row r="5160" spans="3:13">
      <c r="C5160" s="660"/>
      <c r="D5160" s="677">
        <v>45723</v>
      </c>
      <c r="E5160" s="720">
        <v>3.0000000000000001E-3</v>
      </c>
      <c r="F5160" s="720">
        <v>3.0000000000000001E-3</v>
      </c>
      <c r="G5160" s="720">
        <v>4.0000000000000001E-3</v>
      </c>
      <c r="H5160" s="718">
        <v>0.5625</v>
      </c>
      <c r="I5160" s="1245"/>
      <c r="J5160" s="1246"/>
      <c r="K5160" s="1247"/>
      <c r="L5160" s="679">
        <v>0.79166666666666663</v>
      </c>
      <c r="M5160" s="813"/>
    </row>
    <row r="5161" spans="3:13">
      <c r="C5161" s="660"/>
      <c r="D5161" s="677">
        <v>45695</v>
      </c>
      <c r="E5161" s="720">
        <v>5.0000000000000001E-3</v>
      </c>
      <c r="F5161" s="720">
        <v>3.0000000000000001E-3</v>
      </c>
      <c r="G5161" s="720">
        <v>3.0000000000000001E-3</v>
      </c>
      <c r="H5161" s="718">
        <v>0.5625</v>
      </c>
      <c r="I5161" s="1245"/>
      <c r="J5161" s="1246"/>
      <c r="K5161" s="1247"/>
      <c r="L5161" s="679">
        <v>0.79166666666666663</v>
      </c>
      <c r="M5161" s="813"/>
    </row>
    <row r="5162" spans="3:13">
      <c r="C5162" s="660"/>
      <c r="D5162" s="677">
        <v>45667</v>
      </c>
      <c r="E5162" s="720">
        <v>3.0000000000000001E-3</v>
      </c>
      <c r="F5162" s="720">
        <v>3.0000000000000001E-3</v>
      </c>
      <c r="G5162" s="720">
        <v>4.0000000000000001E-3</v>
      </c>
      <c r="H5162" s="718">
        <v>0.5625</v>
      </c>
      <c r="I5162" s="1245"/>
      <c r="J5162" s="1246"/>
      <c r="K5162" s="1247"/>
      <c r="L5162" s="679">
        <v>0.79166666666666663</v>
      </c>
      <c r="M5162" s="813"/>
    </row>
    <row r="5163" spans="3:13" ht="17" thickBot="1">
      <c r="C5163" s="660"/>
      <c r="D5163" s="677">
        <v>45632</v>
      </c>
      <c r="E5163" s="720">
        <v>4.0000000000000001E-3</v>
      </c>
      <c r="F5163" s="720">
        <v>3.0000000000000001E-3</v>
      </c>
      <c r="G5163" s="720">
        <v>4.0000000000000001E-3</v>
      </c>
      <c r="H5163" s="718">
        <v>0.5625</v>
      </c>
      <c r="I5163" s="1248"/>
      <c r="J5163" s="1249"/>
      <c r="K5163" s="1250"/>
      <c r="L5163" s="679">
        <v>0.79166666666666663</v>
      </c>
      <c r="M5163" s="818"/>
    </row>
    <row r="5164" spans="3:13" ht="17" thickBot="1">
      <c r="C5164" s="660">
        <v>1</v>
      </c>
      <c r="D5164" s="671" t="s">
        <v>30</v>
      </c>
      <c r="E5164" s="1252" t="s">
        <v>2217</v>
      </c>
      <c r="F5164" s="1253"/>
      <c r="G5164" s="1254"/>
      <c r="H5164" s="712" t="s">
        <v>790</v>
      </c>
      <c r="I5164" s="1255" t="s">
        <v>633</v>
      </c>
      <c r="J5164" s="1256"/>
      <c r="K5164" s="1257"/>
      <c r="L5164" s="674" t="s">
        <v>430</v>
      </c>
      <c r="M5164" s="758" t="s">
        <v>431</v>
      </c>
    </row>
    <row r="5165" spans="3:13">
      <c r="C5165" s="660"/>
      <c r="D5165" s="663" t="s">
        <v>432</v>
      </c>
      <c r="E5165" s="1266"/>
      <c r="F5165" s="1267"/>
      <c r="G5165" s="1268"/>
      <c r="H5165" s="714" t="s">
        <v>794</v>
      </c>
      <c r="I5165" s="1242" t="s">
        <v>2053</v>
      </c>
      <c r="J5165" s="1243"/>
      <c r="K5165" s="1244"/>
      <c r="L5165" s="664"/>
      <c r="M5165" s="812" t="s">
        <v>2217</v>
      </c>
    </row>
    <row r="5166" spans="3:13">
      <c r="C5166" s="660"/>
      <c r="D5166" s="666" t="s">
        <v>433</v>
      </c>
      <c r="E5166" s="1272" t="s">
        <v>2218</v>
      </c>
      <c r="F5166" s="1273"/>
      <c r="G5166" s="1274"/>
      <c r="H5166" s="714" t="s">
        <v>795</v>
      </c>
      <c r="I5166" s="1245"/>
      <c r="J5166" s="1246"/>
      <c r="K5166" s="1247"/>
      <c r="L5166" s="664"/>
      <c r="M5166" s="813"/>
    </row>
    <row r="5167" spans="3:13">
      <c r="C5167" s="660"/>
      <c r="D5167" s="666" t="s">
        <v>434</v>
      </c>
      <c r="E5167" s="1272" t="s">
        <v>2219</v>
      </c>
      <c r="F5167" s="1273"/>
      <c r="G5167" s="1274"/>
      <c r="H5167" s="715"/>
      <c r="I5167" s="1245"/>
      <c r="J5167" s="1246"/>
      <c r="K5167" s="1247"/>
      <c r="L5167" s="664"/>
      <c r="M5167" s="813"/>
    </row>
    <row r="5168" spans="3:13" ht="17" thickBot="1">
      <c r="C5168" s="660"/>
      <c r="D5168" s="668" t="s">
        <v>435</v>
      </c>
      <c r="E5168" s="1275">
        <v>0.52083333333333337</v>
      </c>
      <c r="F5168" s="1276"/>
      <c r="G5168" s="1277"/>
      <c r="H5168" s="716"/>
      <c r="I5168" s="1245"/>
      <c r="J5168" s="1246"/>
      <c r="K5168" s="1247"/>
      <c r="L5168" s="669">
        <v>0.75</v>
      </c>
      <c r="M5168" s="814">
        <v>0.64583333333333337</v>
      </c>
    </row>
    <row r="5169" spans="3:13" ht="17" thickBot="1">
      <c r="C5169" s="660"/>
      <c r="D5169" s="671" t="s">
        <v>436</v>
      </c>
      <c r="E5169" s="672" t="s">
        <v>29</v>
      </c>
      <c r="F5169" s="672" t="s">
        <v>28</v>
      </c>
      <c r="G5169" s="673" t="s">
        <v>27</v>
      </c>
      <c r="H5169" s="712" t="s">
        <v>793</v>
      </c>
      <c r="I5169" s="1245"/>
      <c r="J5169" s="1246"/>
      <c r="K5169" s="1247"/>
      <c r="L5169" s="675" t="s">
        <v>1246</v>
      </c>
      <c r="M5169" s="815"/>
    </row>
    <row r="5170" spans="3:13">
      <c r="C5170" s="660"/>
      <c r="D5170" s="677">
        <v>45779</v>
      </c>
      <c r="E5170" s="720" t="s">
        <v>2242</v>
      </c>
      <c r="F5170" s="720" t="s">
        <v>2243</v>
      </c>
      <c r="G5170" s="720" t="s">
        <v>1781</v>
      </c>
      <c r="H5170" s="718">
        <v>0.52083333333333337</v>
      </c>
      <c r="I5170" s="1245"/>
      <c r="J5170" s="1246"/>
      <c r="K5170" s="1247"/>
      <c r="L5170" s="679">
        <v>0.75</v>
      </c>
      <c r="M5170" s="816"/>
    </row>
    <row r="5171" spans="3:13">
      <c r="C5171" s="660"/>
      <c r="D5171" s="677">
        <v>45751</v>
      </c>
      <c r="E5171" s="720" t="s">
        <v>2244</v>
      </c>
      <c r="F5171" s="720" t="s">
        <v>2066</v>
      </c>
      <c r="G5171" s="720" t="s">
        <v>2067</v>
      </c>
      <c r="H5171" s="718">
        <v>0.52083333333333337</v>
      </c>
      <c r="I5171" s="1245"/>
      <c r="J5171" s="1246"/>
      <c r="K5171" s="1247"/>
      <c r="L5171" s="679">
        <v>0.75</v>
      </c>
      <c r="M5171" s="817"/>
    </row>
    <row r="5172" spans="3:13">
      <c r="C5172" s="660"/>
      <c r="D5172" s="677">
        <v>45723</v>
      </c>
      <c r="E5172" s="720" t="s">
        <v>1870</v>
      </c>
      <c r="F5172" s="720" t="s">
        <v>1194</v>
      </c>
      <c r="G5172" s="720" t="s">
        <v>1871</v>
      </c>
      <c r="H5172" s="718">
        <v>0.5625</v>
      </c>
      <c r="I5172" s="1245"/>
      <c r="J5172" s="1246"/>
      <c r="K5172" s="1247"/>
      <c r="L5172" s="679">
        <v>0.79166666666666663</v>
      </c>
      <c r="M5172" s="813"/>
    </row>
    <row r="5173" spans="3:13">
      <c r="C5173" s="660"/>
      <c r="D5173" s="677">
        <v>45695</v>
      </c>
      <c r="E5173" s="720" t="s">
        <v>1195</v>
      </c>
      <c r="F5173" s="720" t="s">
        <v>1875</v>
      </c>
      <c r="G5173" s="720" t="s">
        <v>1876</v>
      </c>
      <c r="H5173" s="718">
        <v>0.5625</v>
      </c>
      <c r="I5173" s="1245"/>
      <c r="J5173" s="1246"/>
      <c r="K5173" s="1247"/>
      <c r="L5173" s="679">
        <v>0.79166666666666663</v>
      </c>
      <c r="M5173" s="813"/>
    </row>
    <row r="5174" spans="3:13">
      <c r="C5174" s="660"/>
      <c r="D5174" s="677">
        <v>45667</v>
      </c>
      <c r="E5174" s="720" t="s">
        <v>1880</v>
      </c>
      <c r="F5174" s="720" t="s">
        <v>1237</v>
      </c>
      <c r="G5174" s="720" t="s">
        <v>1881</v>
      </c>
      <c r="H5174" s="718">
        <v>0.5625</v>
      </c>
      <c r="I5174" s="1245"/>
      <c r="J5174" s="1246"/>
      <c r="K5174" s="1247"/>
      <c r="L5174" s="679">
        <v>0.79166666666666663</v>
      </c>
      <c r="M5174" s="813"/>
    </row>
    <row r="5175" spans="3:13" ht="17" thickBot="1">
      <c r="C5175" s="660"/>
      <c r="D5175" s="677">
        <v>45632</v>
      </c>
      <c r="E5175" s="720" t="s">
        <v>978</v>
      </c>
      <c r="F5175" s="720" t="s">
        <v>1397</v>
      </c>
      <c r="G5175" s="720" t="s">
        <v>1886</v>
      </c>
      <c r="H5175" s="718">
        <v>0.5625</v>
      </c>
      <c r="I5175" s="1248"/>
      <c r="J5175" s="1249"/>
      <c r="K5175" s="1250"/>
      <c r="L5175" s="679">
        <v>0.79166666666666663</v>
      </c>
      <c r="M5175" s="818"/>
    </row>
    <row r="5176" spans="3:13" ht="17" thickBot="1">
      <c r="C5176" s="660">
        <v>1</v>
      </c>
      <c r="D5176" s="671" t="s">
        <v>30</v>
      </c>
      <c r="E5176" s="1252" t="s">
        <v>2220</v>
      </c>
      <c r="F5176" s="1253"/>
      <c r="G5176" s="1254"/>
      <c r="H5176" s="712" t="s">
        <v>790</v>
      </c>
      <c r="I5176" s="1255" t="s">
        <v>633</v>
      </c>
      <c r="J5176" s="1256"/>
      <c r="K5176" s="1257"/>
      <c r="L5176" s="674" t="s">
        <v>430</v>
      </c>
      <c r="M5176" s="758" t="s">
        <v>431</v>
      </c>
    </row>
    <row r="5177" spans="3:13">
      <c r="C5177" s="660"/>
      <c r="D5177" s="663" t="s">
        <v>432</v>
      </c>
      <c r="E5177" s="1266"/>
      <c r="F5177" s="1267"/>
      <c r="G5177" s="1268"/>
      <c r="H5177" s="714" t="s">
        <v>794</v>
      </c>
      <c r="I5177" s="1242" t="s">
        <v>2221</v>
      </c>
      <c r="J5177" s="1243"/>
      <c r="K5177" s="1244"/>
      <c r="L5177" s="664"/>
      <c r="M5177" s="812" t="s">
        <v>2220</v>
      </c>
    </row>
    <row r="5178" spans="3:13">
      <c r="C5178" s="660"/>
      <c r="D5178" s="666" t="s">
        <v>433</v>
      </c>
      <c r="E5178" s="1287">
        <v>4.2000000000000003E-2</v>
      </c>
      <c r="F5178" s="1288"/>
      <c r="G5178" s="1289"/>
      <c r="H5178" s="714" t="s">
        <v>795</v>
      </c>
      <c r="I5178" s="1245"/>
      <c r="J5178" s="1246"/>
      <c r="K5178" s="1247"/>
      <c r="L5178" s="664"/>
      <c r="M5178" s="813"/>
    </row>
    <row r="5179" spans="3:13">
      <c r="C5179" s="660"/>
      <c r="D5179" s="666" t="s">
        <v>434</v>
      </c>
      <c r="E5179" s="1287">
        <v>4.2000000000000003E-2</v>
      </c>
      <c r="F5179" s="1288"/>
      <c r="G5179" s="1289"/>
      <c r="H5179" s="715"/>
      <c r="I5179" s="1245"/>
      <c r="J5179" s="1246"/>
      <c r="K5179" s="1247"/>
      <c r="L5179" s="664"/>
      <c r="M5179" s="813"/>
    </row>
    <row r="5180" spans="3:13" ht="17" thickBot="1">
      <c r="C5180" s="660"/>
      <c r="D5180" s="668" t="s">
        <v>435</v>
      </c>
      <c r="E5180" s="1275">
        <v>0.52083333333333337</v>
      </c>
      <c r="F5180" s="1276"/>
      <c r="G5180" s="1277"/>
      <c r="H5180" s="716"/>
      <c r="I5180" s="1245"/>
      <c r="J5180" s="1246"/>
      <c r="K5180" s="1247"/>
      <c r="L5180" s="669">
        <v>0.75</v>
      </c>
      <c r="M5180" s="814">
        <v>0.64583333333333337</v>
      </c>
    </row>
    <row r="5181" spans="3:13" ht="17" thickBot="1">
      <c r="C5181" s="660"/>
      <c r="D5181" s="671" t="s">
        <v>436</v>
      </c>
      <c r="E5181" s="672" t="s">
        <v>29</v>
      </c>
      <c r="F5181" s="672" t="s">
        <v>28</v>
      </c>
      <c r="G5181" s="673" t="s">
        <v>27</v>
      </c>
      <c r="H5181" s="712" t="s">
        <v>793</v>
      </c>
      <c r="I5181" s="1245"/>
      <c r="J5181" s="1246"/>
      <c r="K5181" s="1247"/>
      <c r="L5181" s="675" t="s">
        <v>1246</v>
      </c>
      <c r="M5181" s="815"/>
    </row>
    <row r="5182" spans="3:13">
      <c r="C5182" s="660"/>
      <c r="D5182" s="677">
        <v>45779</v>
      </c>
      <c r="E5182" s="720">
        <v>4.2000000000000003E-2</v>
      </c>
      <c r="F5182" s="720">
        <v>4.2000000000000003E-2</v>
      </c>
      <c r="G5182" s="720">
        <v>4.2000000000000003E-2</v>
      </c>
      <c r="H5182" s="718">
        <v>0.52083333333333337</v>
      </c>
      <c r="I5182" s="1245"/>
      <c r="J5182" s="1246"/>
      <c r="K5182" s="1247"/>
      <c r="L5182" s="679">
        <v>0.75</v>
      </c>
      <c r="M5182" s="816"/>
    </row>
    <row r="5183" spans="3:13">
      <c r="C5183" s="660"/>
      <c r="D5183" s="677">
        <v>45751</v>
      </c>
      <c r="E5183" s="720">
        <v>4.2000000000000003E-2</v>
      </c>
      <c r="F5183" s="720">
        <v>4.1000000000000002E-2</v>
      </c>
      <c r="G5183" s="720">
        <v>4.1000000000000002E-2</v>
      </c>
      <c r="H5183" s="718">
        <v>0.52083333333333337</v>
      </c>
      <c r="I5183" s="1245"/>
      <c r="J5183" s="1246"/>
      <c r="K5183" s="1247"/>
      <c r="L5183" s="679">
        <v>0.75</v>
      </c>
      <c r="M5183" s="817"/>
    </row>
    <row r="5184" spans="3:13">
      <c r="C5184" s="660"/>
      <c r="D5184" s="677">
        <v>45723</v>
      </c>
      <c r="E5184" s="720">
        <v>4.1000000000000002E-2</v>
      </c>
      <c r="F5184" s="720">
        <v>0.04</v>
      </c>
      <c r="G5184" s="720">
        <v>0.04</v>
      </c>
      <c r="H5184" s="718">
        <v>0.5625</v>
      </c>
      <c r="I5184" s="1245"/>
      <c r="J5184" s="1246"/>
      <c r="K5184" s="1247"/>
      <c r="L5184" s="679">
        <v>0.79166666666666663</v>
      </c>
      <c r="M5184" s="813"/>
    </row>
    <row r="5185" spans="2:13">
      <c r="C5185" s="660"/>
      <c r="D5185" s="677">
        <v>45695</v>
      </c>
      <c r="E5185" s="720">
        <v>0.04</v>
      </c>
      <c r="F5185" s="720">
        <v>4.1000000000000002E-2</v>
      </c>
      <c r="G5185" s="720">
        <v>4.1000000000000002E-2</v>
      </c>
      <c r="H5185" s="718">
        <v>0.5625</v>
      </c>
      <c r="I5185" s="1245"/>
      <c r="J5185" s="1246"/>
      <c r="K5185" s="1247"/>
      <c r="L5185" s="679">
        <v>0.79166666666666663</v>
      </c>
      <c r="M5185" s="813"/>
    </row>
    <row r="5186" spans="2:13">
      <c r="C5186" s="660"/>
      <c r="D5186" s="677">
        <v>45667</v>
      </c>
      <c r="E5186" s="720">
        <v>4.1000000000000002E-2</v>
      </c>
      <c r="F5186" s="720">
        <v>4.2000000000000003E-2</v>
      </c>
      <c r="G5186" s="720">
        <v>4.2000000000000003E-2</v>
      </c>
      <c r="H5186" s="718">
        <v>0.5625</v>
      </c>
      <c r="I5186" s="1245"/>
      <c r="J5186" s="1246"/>
      <c r="K5186" s="1247"/>
      <c r="L5186" s="679">
        <v>0.79166666666666663</v>
      </c>
      <c r="M5186" s="813"/>
    </row>
    <row r="5187" spans="2:13" ht="17" thickBot="1">
      <c r="C5187" s="660"/>
      <c r="D5187" s="677">
        <v>45632</v>
      </c>
      <c r="E5187" s="720">
        <v>4.2000000000000003E-2</v>
      </c>
      <c r="F5187" s="720">
        <v>4.2000000000000003E-2</v>
      </c>
      <c r="G5187" s="720">
        <v>4.1000000000000002E-2</v>
      </c>
      <c r="H5187" s="718">
        <v>0.5625</v>
      </c>
      <c r="I5187" s="1248"/>
      <c r="J5187" s="1249"/>
      <c r="K5187" s="1250"/>
      <c r="L5187" s="679">
        <v>0.79166666666666663</v>
      </c>
      <c r="M5187" s="818"/>
    </row>
    <row r="5188" spans="2:13" ht="17" thickBot="1">
      <c r="B5188" s="90" t="s">
        <v>105</v>
      </c>
      <c r="C5188" s="809">
        <v>1</v>
      </c>
      <c r="D5188" s="671" t="s">
        <v>30</v>
      </c>
      <c r="E5188" s="1252" t="s">
        <v>2119</v>
      </c>
      <c r="F5188" s="1253"/>
      <c r="G5188" s="1254"/>
      <c r="H5188" s="712" t="s">
        <v>790</v>
      </c>
      <c r="I5188" s="1255" t="s">
        <v>633</v>
      </c>
      <c r="J5188" s="1256"/>
      <c r="K5188" s="1257"/>
      <c r="L5188" s="674" t="s">
        <v>430</v>
      </c>
      <c r="M5188" s="713" t="s">
        <v>431</v>
      </c>
    </row>
    <row r="5189" spans="2:13">
      <c r="C5189" s="809"/>
      <c r="D5189" s="663" t="s">
        <v>432</v>
      </c>
      <c r="E5189" s="1266"/>
      <c r="F5189" s="1267"/>
      <c r="G5189" s="1268"/>
      <c r="H5189" s="810" t="s">
        <v>909</v>
      </c>
      <c r="I5189" s="1242" t="s">
        <v>2249</v>
      </c>
      <c r="J5189" s="1243"/>
      <c r="K5189" s="1244"/>
      <c r="L5189" s="664"/>
      <c r="M5189" s="665" t="s">
        <v>2119</v>
      </c>
    </row>
    <row r="5190" spans="2:13">
      <c r="C5190" s="809"/>
      <c r="D5190" s="666" t="s">
        <v>433</v>
      </c>
      <c r="E5190" s="1278">
        <v>0</v>
      </c>
      <c r="F5190" s="1270"/>
      <c r="G5190" s="1271"/>
      <c r="H5190" s="810" t="s">
        <v>910</v>
      </c>
      <c r="I5190" s="1245"/>
      <c r="J5190" s="1246"/>
      <c r="K5190" s="1247"/>
      <c r="L5190" s="664"/>
      <c r="M5190" s="667"/>
    </row>
    <row r="5191" spans="2:13">
      <c r="C5191" s="809"/>
      <c r="D5191" s="666" t="s">
        <v>434</v>
      </c>
      <c r="E5191" s="1278">
        <v>6.0000000000000001E-3</v>
      </c>
      <c r="F5191" s="1270"/>
      <c r="G5191" s="1271"/>
      <c r="H5191" s="715"/>
      <c r="I5191" s="1245"/>
      <c r="J5191" s="1246"/>
      <c r="K5191" s="1247"/>
      <c r="L5191" s="664"/>
      <c r="M5191" s="667"/>
    </row>
    <row r="5192" spans="2:13" ht="17" thickBot="1">
      <c r="C5192" s="809"/>
      <c r="D5192" s="668" t="s">
        <v>435</v>
      </c>
      <c r="E5192" s="1275">
        <v>0.99305555555555558</v>
      </c>
      <c r="F5192" s="1276"/>
      <c r="G5192" s="1277"/>
      <c r="H5192" s="716"/>
      <c r="I5192" s="1245"/>
      <c r="J5192" s="1246"/>
      <c r="K5192" s="1247"/>
      <c r="L5192" s="669">
        <v>0.22222222222222221</v>
      </c>
      <c r="M5192" s="670">
        <v>0.11805555555555554</v>
      </c>
    </row>
    <row r="5193" spans="2:13" ht="17" thickBot="1">
      <c r="C5193" s="809"/>
      <c r="D5193" s="671" t="s">
        <v>436</v>
      </c>
      <c r="E5193" s="672" t="s">
        <v>29</v>
      </c>
      <c r="F5193" s="672" t="s">
        <v>28</v>
      </c>
      <c r="G5193" s="673" t="s">
        <v>27</v>
      </c>
      <c r="H5193" s="712" t="s">
        <v>793</v>
      </c>
      <c r="I5193" s="1245"/>
      <c r="J5193" s="1246"/>
      <c r="K5193" s="1247"/>
      <c r="L5193" s="675" t="s">
        <v>1246</v>
      </c>
      <c r="M5193" s="676"/>
    </row>
    <row r="5194" spans="2:13">
      <c r="C5194" s="809"/>
      <c r="D5194" s="677">
        <v>45793</v>
      </c>
      <c r="E5194" s="693">
        <v>-2E-3</v>
      </c>
      <c r="F5194" s="693">
        <v>-1E-3</v>
      </c>
      <c r="G5194" s="693">
        <v>6.0000000000000001E-3</v>
      </c>
      <c r="H5194" s="718">
        <v>0.99305555555555558</v>
      </c>
      <c r="I5194" s="1245"/>
      <c r="J5194" s="1246"/>
      <c r="K5194" s="1247"/>
      <c r="L5194" s="679">
        <v>0.22222222222222221</v>
      </c>
      <c r="M5194" s="680"/>
    </row>
    <row r="5195" spans="2:13">
      <c r="C5195" s="809"/>
      <c r="D5195" s="677">
        <v>45727</v>
      </c>
      <c r="E5195" s="693">
        <v>6.0000000000000001E-3</v>
      </c>
      <c r="F5195" s="693">
        <v>7.0000000000000001E-3</v>
      </c>
      <c r="G5195" s="693">
        <v>3.0000000000000001E-3</v>
      </c>
      <c r="H5195" s="718">
        <v>0.99305555555555558</v>
      </c>
      <c r="I5195" s="1245"/>
      <c r="J5195" s="1246"/>
      <c r="K5195" s="1247"/>
      <c r="L5195" s="679">
        <v>0.22222222222222221</v>
      </c>
      <c r="M5195" s="681"/>
    </row>
    <row r="5196" spans="2:13">
      <c r="C5196" s="809"/>
      <c r="D5196" s="677">
        <v>45705</v>
      </c>
      <c r="E5196" s="693">
        <v>7.0000000000000001E-3</v>
      </c>
      <c r="F5196" s="693">
        <v>3.0000000000000001E-3</v>
      </c>
      <c r="G5196" s="693">
        <v>4.0000000000000001E-3</v>
      </c>
      <c r="H5196" s="718">
        <v>0.99305555555555558</v>
      </c>
      <c r="I5196" s="1245"/>
      <c r="J5196" s="1246"/>
      <c r="K5196" s="1247"/>
      <c r="L5196" s="679">
        <v>0.22222222222222221</v>
      </c>
      <c r="M5196" s="667"/>
    </row>
    <row r="5197" spans="2:13">
      <c r="C5197" s="809"/>
      <c r="D5197" s="677">
        <v>45635</v>
      </c>
      <c r="E5197" s="693">
        <v>3.0000000000000001E-3</v>
      </c>
      <c r="F5197" s="693">
        <v>2E-3</v>
      </c>
      <c r="G5197" s="693">
        <v>5.0000000000000001E-3</v>
      </c>
      <c r="H5197" s="718">
        <v>0.99305555555555558</v>
      </c>
      <c r="I5197" s="1245"/>
      <c r="J5197" s="1246"/>
      <c r="K5197" s="1247"/>
      <c r="L5197" s="679">
        <v>0.22222222222222221</v>
      </c>
      <c r="M5197" s="667"/>
    </row>
    <row r="5198" spans="2:13">
      <c r="C5198" s="809"/>
      <c r="D5198" s="677">
        <v>45611</v>
      </c>
      <c r="E5198" s="693">
        <v>2E-3</v>
      </c>
      <c r="F5198" s="693">
        <v>2E-3</v>
      </c>
      <c r="G5198" s="693">
        <v>5.0000000000000001E-3</v>
      </c>
      <c r="H5198" s="718">
        <v>0.99305555555555558</v>
      </c>
      <c r="I5198" s="1245"/>
      <c r="J5198" s="1246"/>
      <c r="K5198" s="1247"/>
      <c r="L5198" s="679">
        <v>0.22222222222222221</v>
      </c>
      <c r="M5198" s="667"/>
    </row>
    <row r="5199" spans="2:13" ht="17" thickBot="1">
      <c r="C5199" s="809"/>
      <c r="D5199" s="677">
        <v>45544</v>
      </c>
      <c r="E5199" s="693">
        <v>7.0000000000000001E-3</v>
      </c>
      <c r="F5199" s="693">
        <v>8.0000000000000002E-3</v>
      </c>
      <c r="G5199" s="693">
        <v>-6.0000000000000001E-3</v>
      </c>
      <c r="H5199" s="718">
        <v>0.99305555555555558</v>
      </c>
      <c r="I5199" s="1248"/>
      <c r="J5199" s="1249"/>
      <c r="K5199" s="1250"/>
      <c r="L5199" s="679">
        <v>0.22222222222222221</v>
      </c>
      <c r="M5199" s="682"/>
    </row>
    <row r="5200" spans="2:13" ht="17" thickBot="1">
      <c r="C5200" s="809">
        <v>1</v>
      </c>
      <c r="D5200" s="671" t="s">
        <v>30</v>
      </c>
      <c r="E5200" s="1252" t="s">
        <v>2250</v>
      </c>
      <c r="F5200" s="1253"/>
      <c r="G5200" s="1254"/>
      <c r="H5200" s="712" t="s">
        <v>790</v>
      </c>
      <c r="I5200" s="1255" t="s">
        <v>633</v>
      </c>
      <c r="J5200" s="1256"/>
      <c r="K5200" s="1257"/>
      <c r="L5200" s="674" t="s">
        <v>430</v>
      </c>
      <c r="M5200" s="713" t="s">
        <v>431</v>
      </c>
    </row>
    <row r="5201" spans="3:13">
      <c r="C5201" s="809"/>
      <c r="D5201" s="663" t="s">
        <v>432</v>
      </c>
      <c r="E5201" s="1266"/>
      <c r="F5201" s="1267"/>
      <c r="G5201" s="1268"/>
      <c r="H5201" s="714" t="s">
        <v>794</v>
      </c>
      <c r="I5201" s="1242" t="s">
        <v>1907</v>
      </c>
      <c r="J5201" s="1243"/>
      <c r="K5201" s="1244"/>
      <c r="L5201" s="664"/>
      <c r="M5201" s="665" t="s">
        <v>2250</v>
      </c>
    </row>
    <row r="5202" spans="3:13">
      <c r="C5202" s="809"/>
      <c r="D5202" s="666" t="s">
        <v>433</v>
      </c>
      <c r="E5202" s="1278">
        <v>0</v>
      </c>
      <c r="F5202" s="1270"/>
      <c r="G5202" s="1271"/>
      <c r="H5202" s="714" t="s">
        <v>795</v>
      </c>
      <c r="I5202" s="1245"/>
      <c r="J5202" s="1246"/>
      <c r="K5202" s="1247"/>
      <c r="L5202" s="664"/>
      <c r="M5202" s="667"/>
    </row>
    <row r="5203" spans="3:13">
      <c r="C5203" s="809"/>
      <c r="D5203" s="666" t="s">
        <v>434</v>
      </c>
      <c r="E5203" s="1278">
        <v>2E-3</v>
      </c>
      <c r="F5203" s="1270"/>
      <c r="G5203" s="1271"/>
      <c r="H5203" s="715"/>
      <c r="I5203" s="1245"/>
      <c r="J5203" s="1246"/>
      <c r="K5203" s="1247"/>
      <c r="L5203" s="664"/>
      <c r="M5203" s="667"/>
    </row>
    <row r="5204" spans="3:13" ht="17" thickBot="1">
      <c r="C5204" s="809"/>
      <c r="D5204" s="668" t="s">
        <v>435</v>
      </c>
      <c r="E5204" s="1275">
        <v>0.52083333333333337</v>
      </c>
      <c r="F5204" s="1276"/>
      <c r="G5204" s="1277"/>
      <c r="H5204" s="716"/>
      <c r="I5204" s="1245"/>
      <c r="J5204" s="1246"/>
      <c r="K5204" s="1247"/>
      <c r="L5204" s="669">
        <v>0.75</v>
      </c>
      <c r="M5204" s="670">
        <v>0.64583333333333337</v>
      </c>
    </row>
    <row r="5205" spans="3:13" ht="17" thickBot="1">
      <c r="C5205" s="809"/>
      <c r="D5205" s="671" t="s">
        <v>436</v>
      </c>
      <c r="E5205" s="672" t="s">
        <v>29</v>
      </c>
      <c r="F5205" s="672" t="s">
        <v>28</v>
      </c>
      <c r="G5205" s="673" t="s">
        <v>27</v>
      </c>
      <c r="H5205" s="712" t="s">
        <v>793</v>
      </c>
      <c r="I5205" s="1245"/>
      <c r="J5205" s="1246"/>
      <c r="K5205" s="1247"/>
      <c r="L5205" s="675" t="s">
        <v>1246</v>
      </c>
      <c r="M5205" s="676"/>
    </row>
    <row r="5206" spans="3:13">
      <c r="C5206" s="809"/>
      <c r="D5206" s="677">
        <v>45790</v>
      </c>
      <c r="E5206" s="693">
        <v>2E-3</v>
      </c>
      <c r="F5206" s="693">
        <v>3.0000000000000001E-3</v>
      </c>
      <c r="G5206" s="693">
        <v>1E-3</v>
      </c>
      <c r="H5206" s="718">
        <v>0.52083333333333337</v>
      </c>
      <c r="I5206" s="1245"/>
      <c r="J5206" s="1246"/>
      <c r="K5206" s="1247"/>
      <c r="L5206" s="679">
        <v>0.75</v>
      </c>
      <c r="M5206" s="680"/>
    </row>
    <row r="5207" spans="3:13">
      <c r="C5207" s="809"/>
      <c r="D5207" s="677">
        <v>45757</v>
      </c>
      <c r="E5207" s="693">
        <v>1E-3</v>
      </c>
      <c r="F5207" s="693">
        <v>3.0000000000000001E-3</v>
      </c>
      <c r="G5207" s="693">
        <v>2E-3</v>
      </c>
      <c r="H5207" s="718">
        <v>0.52083333333333337</v>
      </c>
      <c r="I5207" s="1245"/>
      <c r="J5207" s="1246"/>
      <c r="K5207" s="1247"/>
      <c r="L5207" s="679">
        <v>0.75</v>
      </c>
      <c r="M5207" s="681"/>
    </row>
    <row r="5208" spans="3:13">
      <c r="C5208" s="809"/>
      <c r="D5208" s="677">
        <v>45728</v>
      </c>
      <c r="E5208" s="693">
        <v>2E-3</v>
      </c>
      <c r="F5208" s="693">
        <v>3.0000000000000001E-3</v>
      </c>
      <c r="G5208" s="693">
        <v>4.0000000000000001E-3</v>
      </c>
      <c r="H5208" s="718">
        <v>0.52083333333333337</v>
      </c>
      <c r="I5208" s="1245"/>
      <c r="J5208" s="1246"/>
      <c r="K5208" s="1247"/>
      <c r="L5208" s="679">
        <v>0.75</v>
      </c>
      <c r="M5208" s="667"/>
    </row>
    <row r="5209" spans="3:13">
      <c r="C5209" s="809"/>
      <c r="D5209" s="677">
        <v>45700</v>
      </c>
      <c r="E5209" s="693">
        <v>4.0000000000000001E-3</v>
      </c>
      <c r="F5209" s="693">
        <v>3.0000000000000001E-3</v>
      </c>
      <c r="G5209" s="693">
        <v>2E-3</v>
      </c>
      <c r="H5209" s="718">
        <v>0.5625</v>
      </c>
      <c r="I5209" s="1245"/>
      <c r="J5209" s="1246"/>
      <c r="K5209" s="1247"/>
      <c r="L5209" s="679">
        <v>0.79166666666666663</v>
      </c>
      <c r="M5209" s="667"/>
    </row>
    <row r="5210" spans="3:13">
      <c r="C5210" s="809"/>
      <c r="D5210" s="677">
        <v>45672</v>
      </c>
      <c r="E5210" s="693">
        <v>2E-3</v>
      </c>
      <c r="F5210" s="693">
        <v>3.0000000000000001E-3</v>
      </c>
      <c r="G5210" s="693">
        <v>3.0000000000000001E-3</v>
      </c>
      <c r="H5210" s="718">
        <v>0.5625</v>
      </c>
      <c r="I5210" s="1245"/>
      <c r="J5210" s="1246"/>
      <c r="K5210" s="1247"/>
      <c r="L5210" s="679">
        <v>0.79166666666666663</v>
      </c>
      <c r="M5210" s="667"/>
    </row>
    <row r="5211" spans="3:13" ht="17" thickBot="1">
      <c r="C5211" s="809"/>
      <c r="D5211" s="677">
        <v>45637</v>
      </c>
      <c r="E5211" s="693">
        <v>3.0000000000000001E-3</v>
      </c>
      <c r="F5211" s="693">
        <v>3.0000000000000001E-3</v>
      </c>
      <c r="G5211" s="693">
        <v>3.0000000000000001E-3</v>
      </c>
      <c r="H5211" s="718">
        <v>0.5625</v>
      </c>
      <c r="I5211" s="1248"/>
      <c r="J5211" s="1249"/>
      <c r="K5211" s="1250"/>
      <c r="L5211" s="679">
        <v>0.79166666666666663</v>
      </c>
      <c r="M5211" s="682"/>
    </row>
    <row r="5212" spans="3:13" ht="17" thickBot="1">
      <c r="C5212" s="809">
        <v>1</v>
      </c>
      <c r="D5212" s="671" t="s">
        <v>30</v>
      </c>
      <c r="E5212" s="1252" t="s">
        <v>2251</v>
      </c>
      <c r="F5212" s="1253"/>
      <c r="G5212" s="1254"/>
      <c r="H5212" s="712" t="s">
        <v>790</v>
      </c>
      <c r="I5212" s="1255" t="s">
        <v>633</v>
      </c>
      <c r="J5212" s="1256"/>
      <c r="K5212" s="1257"/>
      <c r="L5212" s="674" t="s">
        <v>430</v>
      </c>
      <c r="M5212" s="713" t="s">
        <v>431</v>
      </c>
    </row>
    <row r="5213" spans="3:13">
      <c r="C5213" s="809"/>
      <c r="D5213" s="663" t="s">
        <v>432</v>
      </c>
      <c r="E5213" s="1266"/>
      <c r="F5213" s="1267"/>
      <c r="G5213" s="1268"/>
      <c r="H5213" s="714" t="s">
        <v>794</v>
      </c>
      <c r="I5213" s="1242" t="s">
        <v>1911</v>
      </c>
      <c r="J5213" s="1243"/>
      <c r="K5213" s="1244"/>
      <c r="L5213" s="664"/>
      <c r="M5213" s="665" t="s">
        <v>2251</v>
      </c>
    </row>
    <row r="5214" spans="3:13">
      <c r="C5214" s="809"/>
      <c r="D5214" s="666" t="s">
        <v>433</v>
      </c>
      <c r="E5214" s="1278">
        <v>0</v>
      </c>
      <c r="F5214" s="1270"/>
      <c r="G5214" s="1271"/>
      <c r="H5214" s="714" t="s">
        <v>795</v>
      </c>
      <c r="I5214" s="1245"/>
      <c r="J5214" s="1246"/>
      <c r="K5214" s="1247"/>
      <c r="L5214" s="664"/>
      <c r="M5214" s="667"/>
    </row>
    <row r="5215" spans="3:13">
      <c r="C5215" s="809"/>
      <c r="D5215" s="666" t="s">
        <v>434</v>
      </c>
      <c r="E5215" s="1278">
        <v>2E-3</v>
      </c>
      <c r="F5215" s="1270"/>
      <c r="G5215" s="1271"/>
      <c r="H5215" s="715"/>
      <c r="I5215" s="1245"/>
      <c r="J5215" s="1246"/>
      <c r="K5215" s="1247"/>
      <c r="L5215" s="664"/>
      <c r="M5215" s="667"/>
    </row>
    <row r="5216" spans="3:13" ht="17" thickBot="1">
      <c r="C5216" s="809"/>
      <c r="D5216" s="668" t="s">
        <v>435</v>
      </c>
      <c r="E5216" s="1275">
        <v>0.52083333333333337</v>
      </c>
      <c r="F5216" s="1276"/>
      <c r="G5216" s="1277"/>
      <c r="H5216" s="716"/>
      <c r="I5216" s="1245"/>
      <c r="J5216" s="1246"/>
      <c r="K5216" s="1247"/>
      <c r="L5216" s="669">
        <v>0.75</v>
      </c>
      <c r="M5216" s="670">
        <v>0.64583333333333337</v>
      </c>
    </row>
    <row r="5217" spans="3:13" ht="17" thickBot="1">
      <c r="C5217" s="809"/>
      <c r="D5217" s="671" t="s">
        <v>436</v>
      </c>
      <c r="E5217" s="672" t="s">
        <v>29</v>
      </c>
      <c r="F5217" s="672" t="s">
        <v>28</v>
      </c>
      <c r="G5217" s="673" t="s">
        <v>27</v>
      </c>
      <c r="H5217" s="712" t="s">
        <v>793</v>
      </c>
      <c r="I5217" s="1245"/>
      <c r="J5217" s="1246"/>
      <c r="K5217" s="1247"/>
      <c r="L5217" s="675" t="s">
        <v>1246</v>
      </c>
      <c r="M5217" s="676"/>
    </row>
    <row r="5218" spans="3:13">
      <c r="C5218" s="809"/>
      <c r="D5218" s="811">
        <v>45789</v>
      </c>
      <c r="E5218" s="693">
        <v>2E-3</v>
      </c>
      <c r="F5218" s="693">
        <v>3.0000000000000001E-3</v>
      </c>
      <c r="G5218" s="693">
        <v>-1E-3</v>
      </c>
      <c r="H5218" s="718">
        <v>0.52083333333333337</v>
      </c>
      <c r="I5218" s="1245"/>
      <c r="J5218" s="1246"/>
      <c r="K5218" s="1247"/>
      <c r="L5218" s="679">
        <v>0.75</v>
      </c>
      <c r="M5218" s="680"/>
    </row>
    <row r="5219" spans="3:13">
      <c r="C5219" s="809"/>
      <c r="D5219" s="677">
        <v>45757</v>
      </c>
      <c r="E5219" s="693">
        <v>-1E-3</v>
      </c>
      <c r="F5219" s="693">
        <v>1E-3</v>
      </c>
      <c r="G5219" s="693">
        <v>2E-3</v>
      </c>
      <c r="H5219" s="718">
        <v>0.52083333333333337</v>
      </c>
      <c r="I5219" s="1245"/>
      <c r="J5219" s="1246"/>
      <c r="K5219" s="1247"/>
      <c r="L5219" s="679">
        <v>0.75</v>
      </c>
      <c r="M5219" s="681"/>
    </row>
    <row r="5220" spans="3:13">
      <c r="C5220" s="809"/>
      <c r="D5220" s="677">
        <v>45728</v>
      </c>
      <c r="E5220" s="693">
        <v>2E-3</v>
      </c>
      <c r="F5220" s="693">
        <v>3.0000000000000001E-3</v>
      </c>
      <c r="G5220" s="693">
        <v>5.0000000000000001E-3</v>
      </c>
      <c r="H5220" s="718">
        <v>0.52083333333333337</v>
      </c>
      <c r="I5220" s="1245"/>
      <c r="J5220" s="1246"/>
      <c r="K5220" s="1247"/>
      <c r="L5220" s="679">
        <v>0.75</v>
      </c>
      <c r="M5220" s="667"/>
    </row>
    <row r="5221" spans="3:13">
      <c r="C5221" s="809"/>
      <c r="D5221" s="677">
        <v>45700</v>
      </c>
      <c r="E5221" s="693">
        <v>5.0000000000000001E-3</v>
      </c>
      <c r="F5221" s="693">
        <v>3.0000000000000001E-3</v>
      </c>
      <c r="G5221" s="693">
        <v>4.0000000000000001E-3</v>
      </c>
      <c r="H5221" s="718">
        <v>0.5625</v>
      </c>
      <c r="I5221" s="1245"/>
      <c r="J5221" s="1246"/>
      <c r="K5221" s="1247"/>
      <c r="L5221" s="679">
        <v>0.79166666666666663</v>
      </c>
      <c r="M5221" s="667"/>
    </row>
    <row r="5222" spans="3:13">
      <c r="C5222" s="809"/>
      <c r="D5222" s="677">
        <v>45672</v>
      </c>
      <c r="E5222" s="693">
        <v>4.0000000000000001E-3</v>
      </c>
      <c r="F5222" s="693">
        <v>4.0000000000000001E-3</v>
      </c>
      <c r="G5222" s="693">
        <v>3.0000000000000001E-3</v>
      </c>
      <c r="H5222" s="718">
        <v>0.5625</v>
      </c>
      <c r="I5222" s="1245"/>
      <c r="J5222" s="1246"/>
      <c r="K5222" s="1247"/>
      <c r="L5222" s="679">
        <v>0.79166666666666663</v>
      </c>
      <c r="M5222" s="667"/>
    </row>
    <row r="5223" spans="3:13" ht="17" thickBot="1">
      <c r="C5223" s="809"/>
      <c r="D5223" s="811">
        <v>45636</v>
      </c>
      <c r="E5223" s="693">
        <v>3.0000000000000001E-3</v>
      </c>
      <c r="F5223" s="693">
        <v>3.0000000000000001E-3</v>
      </c>
      <c r="G5223" s="693">
        <v>2E-3</v>
      </c>
      <c r="H5223" s="718">
        <v>0.5625</v>
      </c>
      <c r="I5223" s="1248"/>
      <c r="J5223" s="1249"/>
      <c r="K5223" s="1250"/>
      <c r="L5223" s="679">
        <v>0.79166666666666663</v>
      </c>
      <c r="M5223" s="682"/>
    </row>
    <row r="5224" spans="3:13" ht="17" thickBot="1">
      <c r="C5224" s="809">
        <v>1</v>
      </c>
      <c r="D5224" s="671" t="s">
        <v>30</v>
      </c>
      <c r="E5224" s="1252" t="s">
        <v>2252</v>
      </c>
      <c r="F5224" s="1253"/>
      <c r="G5224" s="1254"/>
      <c r="H5224" s="712" t="s">
        <v>790</v>
      </c>
      <c r="I5224" s="1255" t="s">
        <v>633</v>
      </c>
      <c r="J5224" s="1256"/>
      <c r="K5224" s="1257"/>
      <c r="L5224" s="674" t="s">
        <v>430</v>
      </c>
      <c r="M5224" s="713" t="s">
        <v>431</v>
      </c>
    </row>
    <row r="5225" spans="3:13">
      <c r="C5225" s="809"/>
      <c r="D5225" s="686" t="s">
        <v>432</v>
      </c>
      <c r="E5225" s="1266"/>
      <c r="F5225" s="1267"/>
      <c r="G5225" s="1268"/>
      <c r="H5225" s="714" t="s">
        <v>794</v>
      </c>
      <c r="I5225" s="1242" t="s">
        <v>1911</v>
      </c>
      <c r="J5225" s="1243"/>
      <c r="K5225" s="1244"/>
      <c r="L5225" s="664"/>
      <c r="M5225" s="665" t="s">
        <v>2252</v>
      </c>
    </row>
    <row r="5226" spans="3:13">
      <c r="C5226" s="809"/>
      <c r="D5226" s="687" t="s">
        <v>433</v>
      </c>
      <c r="E5226" s="1278">
        <v>0</v>
      </c>
      <c r="F5226" s="1270"/>
      <c r="G5226" s="1271"/>
      <c r="H5226" s="714" t="s">
        <v>795</v>
      </c>
      <c r="I5226" s="1245"/>
      <c r="J5226" s="1246"/>
      <c r="K5226" s="1247"/>
      <c r="L5226" s="664"/>
      <c r="M5226" s="667"/>
    </row>
    <row r="5227" spans="3:13">
      <c r="C5227" s="809"/>
      <c r="D5227" s="687" t="s">
        <v>434</v>
      </c>
      <c r="E5227" s="1278">
        <v>2.3E-2</v>
      </c>
      <c r="F5227" s="1270"/>
      <c r="G5227" s="1271"/>
      <c r="H5227" s="715"/>
      <c r="I5227" s="1245"/>
      <c r="J5227" s="1246"/>
      <c r="K5227" s="1247"/>
      <c r="L5227" s="664"/>
      <c r="M5227" s="667"/>
    </row>
    <row r="5228" spans="3:13" ht="17" thickBot="1">
      <c r="C5228" s="809"/>
      <c r="D5228" s="688" t="s">
        <v>435</v>
      </c>
      <c r="E5228" s="1275">
        <v>0.52083333333333337</v>
      </c>
      <c r="F5228" s="1276"/>
      <c r="G5228" s="1277"/>
      <c r="H5228" s="716"/>
      <c r="I5228" s="1245"/>
      <c r="J5228" s="1246"/>
      <c r="K5228" s="1247"/>
      <c r="L5228" s="669">
        <v>0.75</v>
      </c>
      <c r="M5228" s="670">
        <v>0.64583333333333337</v>
      </c>
    </row>
    <row r="5229" spans="3:13" ht="17" thickBot="1">
      <c r="C5229" s="809"/>
      <c r="D5229" s="684" t="s">
        <v>436</v>
      </c>
      <c r="E5229" s="672" t="s">
        <v>29</v>
      </c>
      <c r="F5229" s="672" t="s">
        <v>28</v>
      </c>
      <c r="G5229" s="673" t="s">
        <v>27</v>
      </c>
      <c r="H5229" s="712" t="s">
        <v>793</v>
      </c>
      <c r="I5229" s="1245"/>
      <c r="J5229" s="1246"/>
      <c r="K5229" s="1247"/>
      <c r="L5229" s="675" t="s">
        <v>1246</v>
      </c>
      <c r="M5229" s="676"/>
    </row>
    <row r="5230" spans="3:13">
      <c r="C5230" s="809"/>
      <c r="D5230" s="689">
        <v>45790</v>
      </c>
      <c r="E5230" s="693">
        <v>2.3E-2</v>
      </c>
      <c r="F5230" s="693">
        <v>2.4E-2</v>
      </c>
      <c r="G5230" s="693">
        <v>2.4E-2</v>
      </c>
      <c r="H5230" s="718">
        <v>0.52083333333333337</v>
      </c>
      <c r="I5230" s="1245"/>
      <c r="J5230" s="1246"/>
      <c r="K5230" s="1247"/>
      <c r="L5230" s="679">
        <v>0.75</v>
      </c>
      <c r="M5230" s="680"/>
    </row>
    <row r="5231" spans="3:13">
      <c r="C5231" s="809"/>
      <c r="D5231" s="689">
        <v>45757</v>
      </c>
      <c r="E5231" s="693">
        <v>2.4E-2</v>
      </c>
      <c r="F5231" s="693">
        <v>2.5000000000000001E-2</v>
      </c>
      <c r="G5231" s="693">
        <v>2.8000000000000001E-2</v>
      </c>
      <c r="H5231" s="718">
        <v>0.52083333333333337</v>
      </c>
      <c r="I5231" s="1245"/>
      <c r="J5231" s="1246"/>
      <c r="K5231" s="1247"/>
      <c r="L5231" s="679">
        <v>0.75</v>
      </c>
      <c r="M5231" s="681"/>
    </row>
    <row r="5232" spans="3:13">
      <c r="C5232" s="809"/>
      <c r="D5232" s="689">
        <v>45728</v>
      </c>
      <c r="E5232" s="693">
        <v>2.8000000000000001E-2</v>
      </c>
      <c r="F5232" s="693">
        <v>2.9000000000000001E-2</v>
      </c>
      <c r="G5232" s="693">
        <v>0.03</v>
      </c>
      <c r="H5232" s="718">
        <v>0.52083333333333337</v>
      </c>
      <c r="I5232" s="1245"/>
      <c r="J5232" s="1246"/>
      <c r="K5232" s="1247"/>
      <c r="L5232" s="679">
        <v>0.75</v>
      </c>
      <c r="M5232" s="667"/>
    </row>
    <row r="5233" spans="3:13">
      <c r="C5233" s="809"/>
      <c r="D5233" s="689">
        <v>45700</v>
      </c>
      <c r="E5233" s="693">
        <v>0.03</v>
      </c>
      <c r="F5233" s="693">
        <v>2.9000000000000001E-2</v>
      </c>
      <c r="G5233" s="693">
        <v>2.9000000000000001E-2</v>
      </c>
      <c r="H5233" s="718">
        <v>0.5625</v>
      </c>
      <c r="I5233" s="1245"/>
      <c r="J5233" s="1246"/>
      <c r="K5233" s="1247"/>
      <c r="L5233" s="679">
        <v>0.79166666666666663</v>
      </c>
      <c r="M5233" s="667"/>
    </row>
    <row r="5234" spans="3:13">
      <c r="C5234" s="809"/>
      <c r="D5234" s="689">
        <v>45672</v>
      </c>
      <c r="E5234" s="693">
        <v>2.9000000000000001E-2</v>
      </c>
      <c r="F5234" s="693">
        <v>2.9000000000000001E-2</v>
      </c>
      <c r="G5234" s="693">
        <v>2.7E-2</v>
      </c>
      <c r="H5234" s="718">
        <v>0.5625</v>
      </c>
      <c r="I5234" s="1245"/>
      <c r="J5234" s="1246"/>
      <c r="K5234" s="1247"/>
      <c r="L5234" s="679">
        <v>0.79166666666666663</v>
      </c>
      <c r="M5234" s="667"/>
    </row>
    <row r="5235" spans="3:13" ht="17" thickBot="1">
      <c r="C5235" s="809"/>
      <c r="D5235" s="689">
        <v>45637</v>
      </c>
      <c r="E5235" s="693">
        <v>2.7E-2</v>
      </c>
      <c r="F5235" s="693">
        <v>2.7E-2</v>
      </c>
      <c r="G5235" s="693">
        <v>2.5999999999999999E-2</v>
      </c>
      <c r="H5235" s="718">
        <v>0.5625</v>
      </c>
      <c r="I5235" s="1248"/>
      <c r="J5235" s="1249"/>
      <c r="K5235" s="1250"/>
      <c r="L5235" s="679">
        <v>0.79166666666666663</v>
      </c>
      <c r="M5235" s="682"/>
    </row>
    <row r="5236" spans="3:13" ht="17" thickBot="1">
      <c r="C5236" s="809">
        <v>1</v>
      </c>
      <c r="D5236" s="671" t="s">
        <v>30</v>
      </c>
      <c r="E5236" s="1252" t="s">
        <v>1503</v>
      </c>
      <c r="F5236" s="1253"/>
      <c r="G5236" s="1254"/>
      <c r="H5236" s="712" t="s">
        <v>790</v>
      </c>
      <c r="I5236" s="1255" t="s">
        <v>633</v>
      </c>
      <c r="J5236" s="1256"/>
      <c r="K5236" s="1257"/>
      <c r="L5236" s="674" t="s">
        <v>430</v>
      </c>
      <c r="M5236" s="713" t="s">
        <v>431</v>
      </c>
    </row>
    <row r="5237" spans="3:13">
      <c r="C5237" s="809"/>
      <c r="D5237" s="686" t="s">
        <v>432</v>
      </c>
      <c r="E5237" s="1266"/>
      <c r="F5237" s="1267"/>
      <c r="G5237" s="1268"/>
      <c r="H5237" s="714" t="s">
        <v>796</v>
      </c>
      <c r="I5237" s="1242" t="s">
        <v>2254</v>
      </c>
      <c r="J5237" s="1243"/>
      <c r="K5237" s="1244"/>
      <c r="L5237" s="664"/>
      <c r="M5237" s="665" t="s">
        <v>1503</v>
      </c>
    </row>
    <row r="5238" spans="3:13">
      <c r="C5238" s="809"/>
      <c r="D5238" s="687" t="s">
        <v>433</v>
      </c>
      <c r="E5238" s="1278">
        <v>0</v>
      </c>
      <c r="F5238" s="1270"/>
      <c r="G5238" s="1271"/>
      <c r="H5238" s="714" t="s">
        <v>796</v>
      </c>
      <c r="I5238" s="1245"/>
      <c r="J5238" s="1246"/>
      <c r="K5238" s="1247"/>
      <c r="L5238" s="664"/>
      <c r="M5238" s="667"/>
    </row>
    <row r="5239" spans="3:13">
      <c r="C5239" s="809"/>
      <c r="D5239" s="687" t="s">
        <v>434</v>
      </c>
      <c r="E5239" s="1278">
        <v>0</v>
      </c>
      <c r="F5239" s="1270"/>
      <c r="G5239" s="1271"/>
      <c r="H5239" s="715"/>
      <c r="I5239" s="1245"/>
      <c r="J5239" s="1246"/>
      <c r="K5239" s="1247"/>
      <c r="L5239" s="664"/>
      <c r="M5239" s="667"/>
    </row>
    <row r="5240" spans="3:13" ht="17" thickBot="1">
      <c r="C5240" s="809"/>
      <c r="D5240" s="688" t="s">
        <v>435</v>
      </c>
      <c r="E5240" s="1275" t="e">
        <v>#REF!</v>
      </c>
      <c r="F5240" s="1276"/>
      <c r="G5240" s="1277"/>
      <c r="H5240" s="716"/>
      <c r="I5240" s="1245"/>
      <c r="J5240" s="1246"/>
      <c r="K5240" s="1247"/>
      <c r="L5240" s="669" t="e">
        <v>#REF!</v>
      </c>
      <c r="M5240" s="670" t="e">
        <v>#REF!</v>
      </c>
    </row>
    <row r="5241" spans="3:13" ht="17" thickBot="1">
      <c r="C5241" s="809"/>
      <c r="D5241" s="684" t="s">
        <v>436</v>
      </c>
      <c r="E5241" s="672" t="s">
        <v>29</v>
      </c>
      <c r="F5241" s="672" t="s">
        <v>28</v>
      </c>
      <c r="G5241" s="673" t="s">
        <v>27</v>
      </c>
      <c r="H5241" s="712" t="s">
        <v>793</v>
      </c>
      <c r="I5241" s="1245"/>
      <c r="J5241" s="1246"/>
      <c r="K5241" s="1247"/>
      <c r="L5241" s="675" t="s">
        <v>1246</v>
      </c>
      <c r="M5241" s="676"/>
    </row>
    <row r="5242" spans="3:13">
      <c r="C5242" s="809"/>
      <c r="D5242" s="689">
        <v>45812</v>
      </c>
      <c r="E5242" s="693" t="s">
        <v>2291</v>
      </c>
      <c r="F5242" s="693" t="s">
        <v>2292</v>
      </c>
      <c r="G5242" s="693" t="s">
        <v>2238</v>
      </c>
      <c r="H5242" s="718">
        <v>0.72916666666666674</v>
      </c>
      <c r="I5242" s="1245"/>
      <c r="J5242" s="1246"/>
      <c r="K5242" s="1247"/>
      <c r="L5242" s="679">
        <v>0.83333333333333337</v>
      </c>
      <c r="M5242" s="680"/>
    </row>
    <row r="5243" spans="3:13">
      <c r="C5243" s="809"/>
      <c r="D5243" s="689">
        <v>45812</v>
      </c>
      <c r="E5243" s="693" t="s">
        <v>2291</v>
      </c>
      <c r="F5243" s="693" t="s">
        <v>2292</v>
      </c>
      <c r="G5243" s="693" t="s">
        <v>2238</v>
      </c>
      <c r="H5243" s="718">
        <v>0.72916666666666674</v>
      </c>
      <c r="I5243" s="1245"/>
      <c r="J5243" s="1246"/>
      <c r="K5243" s="1247"/>
      <c r="L5243" s="679">
        <v>0.83333333333333337</v>
      </c>
      <c r="M5243" s="681"/>
    </row>
    <row r="5244" spans="3:13">
      <c r="C5244" s="809"/>
      <c r="D5244" s="689">
        <v>45812</v>
      </c>
      <c r="E5244" s="693" t="s">
        <v>2291</v>
      </c>
      <c r="F5244" s="693" t="s">
        <v>2292</v>
      </c>
      <c r="G5244" s="693" t="s">
        <v>2238</v>
      </c>
      <c r="H5244" s="718">
        <v>0.72916666666666674</v>
      </c>
      <c r="I5244" s="1245"/>
      <c r="J5244" s="1246"/>
      <c r="K5244" s="1247"/>
      <c r="L5244" s="679">
        <v>0.83333333333333337</v>
      </c>
      <c r="M5244" s="667"/>
    </row>
    <row r="5245" spans="3:13">
      <c r="C5245" s="809"/>
      <c r="D5245" s="689">
        <v>45806</v>
      </c>
      <c r="E5245" s="693" t="s">
        <v>2238</v>
      </c>
      <c r="F5245" s="693" t="s">
        <v>2239</v>
      </c>
      <c r="G5245" s="693" t="s">
        <v>2182</v>
      </c>
      <c r="H5245" s="718">
        <v>0.79166666666666674</v>
      </c>
      <c r="I5245" s="1245"/>
      <c r="J5245" s="1246"/>
      <c r="K5245" s="1247"/>
      <c r="L5245" s="679">
        <v>0.89583333333333337</v>
      </c>
      <c r="M5245" s="667"/>
    </row>
    <row r="5246" spans="3:13">
      <c r="C5246" s="809"/>
      <c r="D5246" s="689">
        <v>45798</v>
      </c>
      <c r="E5246" s="693" t="s">
        <v>2182</v>
      </c>
      <c r="F5246" s="693" t="s">
        <v>2183</v>
      </c>
      <c r="G5246" s="693" t="s">
        <v>2127</v>
      </c>
      <c r="H5246" s="718">
        <v>0.72916666666666674</v>
      </c>
      <c r="I5246" s="1245"/>
      <c r="J5246" s="1246"/>
      <c r="K5246" s="1247"/>
      <c r="L5246" s="679">
        <v>0.83333333333333337</v>
      </c>
      <c r="M5246" s="667"/>
    </row>
    <row r="5247" spans="3:13" ht="17" thickBot="1">
      <c r="C5247" s="809"/>
      <c r="D5247" s="689">
        <v>45791</v>
      </c>
      <c r="E5247" s="693" t="s">
        <v>2127</v>
      </c>
      <c r="F5247" s="693" t="s">
        <v>2128</v>
      </c>
      <c r="G5247" s="693" t="s">
        <v>2129</v>
      </c>
      <c r="H5247" s="718">
        <v>0.72916666666666674</v>
      </c>
      <c r="I5247" s="1248"/>
      <c r="J5247" s="1249"/>
      <c r="K5247" s="1250"/>
      <c r="L5247" s="679">
        <v>0.83333333333333337</v>
      </c>
      <c r="M5247" s="682"/>
    </row>
    <row r="5248" spans="3:13" ht="17" thickBot="1">
      <c r="C5248" s="809">
        <v>1</v>
      </c>
      <c r="D5248" s="671" t="s">
        <v>30</v>
      </c>
      <c r="E5248" s="1252" t="s">
        <v>1900</v>
      </c>
      <c r="F5248" s="1253"/>
      <c r="G5248" s="1254"/>
      <c r="H5248" s="712" t="s">
        <v>790</v>
      </c>
      <c r="I5248" s="1255" t="s">
        <v>633</v>
      </c>
      <c r="J5248" s="1256"/>
      <c r="K5248" s="1257"/>
      <c r="L5248" s="674" t="s">
        <v>430</v>
      </c>
      <c r="M5248" s="713" t="s">
        <v>431</v>
      </c>
    </row>
    <row r="5249" spans="3:13">
      <c r="C5249" s="809"/>
      <c r="D5249" s="663" t="s">
        <v>432</v>
      </c>
      <c r="E5249" s="1266"/>
      <c r="F5249" s="1267"/>
      <c r="G5249" s="1268"/>
      <c r="H5249" s="714" t="s">
        <v>794</v>
      </c>
      <c r="I5249" s="1242" t="s">
        <v>2254</v>
      </c>
      <c r="J5249" s="1243"/>
      <c r="K5249" s="1244"/>
      <c r="L5249" s="664"/>
      <c r="M5249" s="665" t="s">
        <v>1900</v>
      </c>
    </row>
    <row r="5250" spans="3:13">
      <c r="C5250" s="809"/>
      <c r="D5250" s="666" t="s">
        <v>433</v>
      </c>
      <c r="E5250" s="1269"/>
      <c r="F5250" s="1270"/>
      <c r="G5250" s="1271"/>
      <c r="H5250" s="714" t="s">
        <v>795</v>
      </c>
      <c r="I5250" s="1245"/>
      <c r="J5250" s="1246"/>
      <c r="K5250" s="1247"/>
      <c r="L5250" s="664"/>
      <c r="M5250" s="667"/>
    </row>
    <row r="5251" spans="3:13">
      <c r="C5251" s="809"/>
      <c r="D5251" s="666" t="s">
        <v>434</v>
      </c>
      <c r="E5251" s="1272">
        <v>4.342E-2</v>
      </c>
      <c r="F5251" s="1273"/>
      <c r="G5251" s="1274"/>
      <c r="H5251" s="715"/>
      <c r="I5251" s="1245"/>
      <c r="J5251" s="1246"/>
      <c r="K5251" s="1247"/>
      <c r="L5251" s="664"/>
      <c r="M5251" s="667"/>
    </row>
    <row r="5252" spans="3:13" ht="17" thickBot="1">
      <c r="C5252" s="809"/>
      <c r="D5252" s="668" t="s">
        <v>435</v>
      </c>
      <c r="E5252" s="1275">
        <v>0.70833333333333337</v>
      </c>
      <c r="F5252" s="1276"/>
      <c r="G5252" s="1277"/>
      <c r="H5252" s="716"/>
      <c r="I5252" s="1245"/>
      <c r="J5252" s="1246"/>
      <c r="K5252" s="1247"/>
      <c r="L5252" s="669">
        <v>0.9375</v>
      </c>
      <c r="M5252" s="670">
        <v>0.83333333333333337</v>
      </c>
    </row>
    <row r="5253" spans="3:13" ht="17" thickBot="1">
      <c r="C5253" s="809"/>
      <c r="D5253" s="671" t="s">
        <v>436</v>
      </c>
      <c r="E5253" s="672" t="s">
        <v>29</v>
      </c>
      <c r="F5253" s="672" t="s">
        <v>28</v>
      </c>
      <c r="G5253" s="673" t="s">
        <v>27</v>
      </c>
      <c r="H5253" s="712" t="s">
        <v>793</v>
      </c>
      <c r="I5253" s="1245"/>
      <c r="J5253" s="1246"/>
      <c r="K5253" s="1247"/>
      <c r="L5253" s="675" t="s">
        <v>1246</v>
      </c>
      <c r="M5253" s="676"/>
    </row>
    <row r="5254" spans="3:13">
      <c r="C5254" s="809"/>
      <c r="D5254" s="677">
        <v>45783</v>
      </c>
      <c r="E5254" s="720">
        <v>4.342E-2</v>
      </c>
      <c r="F5254" s="720">
        <v>0</v>
      </c>
      <c r="G5254" s="720">
        <v>4.4350000000000001E-2</v>
      </c>
      <c r="H5254" s="718">
        <v>0.70833333333333337</v>
      </c>
      <c r="I5254" s="1245"/>
      <c r="J5254" s="1246"/>
      <c r="K5254" s="1247"/>
      <c r="L5254" s="679">
        <v>0.9375</v>
      </c>
      <c r="M5254" s="680"/>
    </row>
    <row r="5255" spans="3:13">
      <c r="C5255" s="809"/>
      <c r="D5255" s="677">
        <v>45756</v>
      </c>
      <c r="E5255" s="720">
        <v>4.4350000000000001E-2</v>
      </c>
      <c r="F5255" s="720">
        <v>0</v>
      </c>
      <c r="G5255" s="720">
        <v>4.3099999999999999E-2</v>
      </c>
      <c r="H5255" s="718">
        <v>0.70833333333333337</v>
      </c>
      <c r="I5255" s="1245"/>
      <c r="J5255" s="1246"/>
      <c r="K5255" s="1247"/>
      <c r="L5255" s="679">
        <v>0.9375</v>
      </c>
      <c r="M5255" s="681"/>
    </row>
    <row r="5256" spans="3:13">
      <c r="C5256" s="809"/>
      <c r="D5256" s="677">
        <v>45728</v>
      </c>
      <c r="E5256" s="720">
        <v>4.3099999999999999E-2</v>
      </c>
      <c r="F5256" s="720">
        <v>0</v>
      </c>
      <c r="G5256" s="720">
        <v>4.632E-2</v>
      </c>
      <c r="H5256" s="718">
        <v>0.70833333333333337</v>
      </c>
      <c r="I5256" s="1245"/>
      <c r="J5256" s="1246"/>
      <c r="K5256" s="1247"/>
      <c r="L5256" s="679">
        <v>0.9375</v>
      </c>
      <c r="M5256" s="667"/>
    </row>
    <row r="5257" spans="3:13">
      <c r="C5257" s="809"/>
      <c r="D5257" s="677">
        <v>45700</v>
      </c>
      <c r="E5257" s="720">
        <v>4.632E-2</v>
      </c>
      <c r="F5257" s="720">
        <v>0</v>
      </c>
      <c r="G5257" s="720">
        <v>4.6800000000000001E-2</v>
      </c>
      <c r="H5257" s="718">
        <v>0.75</v>
      </c>
      <c r="I5257" s="1245"/>
      <c r="J5257" s="1246"/>
      <c r="K5257" s="1247"/>
      <c r="L5257" s="679">
        <v>0.97916666666666663</v>
      </c>
      <c r="M5257" s="667"/>
    </row>
    <row r="5258" spans="3:13">
      <c r="C5258" s="809"/>
      <c r="D5258" s="677">
        <v>45664</v>
      </c>
      <c r="E5258" s="720">
        <v>4.6800000000000001E-2</v>
      </c>
      <c r="F5258" s="720">
        <v>0</v>
      </c>
      <c r="G5258" s="720">
        <v>4.2349999999999999E-2</v>
      </c>
      <c r="H5258" s="718">
        <v>0.75</v>
      </c>
      <c r="I5258" s="1245"/>
      <c r="J5258" s="1246"/>
      <c r="K5258" s="1247"/>
      <c r="L5258" s="679">
        <v>0.97916666666666663</v>
      </c>
      <c r="M5258" s="667"/>
    </row>
    <row r="5259" spans="3:13" ht="17" thickBot="1">
      <c r="C5259" s="809"/>
      <c r="D5259" s="677">
        <v>45637</v>
      </c>
      <c r="E5259" s="720">
        <v>4.2349999999999999E-2</v>
      </c>
      <c r="F5259" s="720">
        <v>0</v>
      </c>
      <c r="G5259" s="720">
        <v>4.3470000000000002E-2</v>
      </c>
      <c r="H5259" s="718">
        <v>0.75</v>
      </c>
      <c r="I5259" s="1248"/>
      <c r="J5259" s="1249"/>
      <c r="K5259" s="1250"/>
      <c r="L5259" s="679">
        <v>0.97916666666666663</v>
      </c>
      <c r="M5259" s="682"/>
    </row>
    <row r="5260" spans="3:13" ht="17" thickBot="1">
      <c r="C5260" s="809">
        <v>1</v>
      </c>
      <c r="D5260" s="671" t="s">
        <v>30</v>
      </c>
      <c r="E5260" s="1252" t="s">
        <v>2255</v>
      </c>
      <c r="F5260" s="1253"/>
      <c r="G5260" s="1254"/>
      <c r="H5260" s="712" t="s">
        <v>790</v>
      </c>
      <c r="I5260" s="1255" t="s">
        <v>633</v>
      </c>
      <c r="J5260" s="1256"/>
      <c r="K5260" s="1257"/>
      <c r="L5260" s="674" t="s">
        <v>430</v>
      </c>
      <c r="M5260" s="713" t="s">
        <v>431</v>
      </c>
    </row>
    <row r="5261" spans="3:13">
      <c r="C5261" s="809"/>
      <c r="D5261" s="663" t="s">
        <v>432</v>
      </c>
      <c r="E5261" s="1266"/>
      <c r="F5261" s="1267"/>
      <c r="G5261" s="1268"/>
      <c r="H5261" s="714" t="s">
        <v>947</v>
      </c>
      <c r="I5261" s="1242" t="s">
        <v>1916</v>
      </c>
      <c r="J5261" s="1243"/>
      <c r="K5261" s="1244"/>
      <c r="L5261" s="664"/>
      <c r="M5261" s="665" t="s">
        <v>2255</v>
      </c>
    </row>
    <row r="5262" spans="3:13">
      <c r="C5262" s="809"/>
      <c r="D5262" s="666" t="s">
        <v>433</v>
      </c>
      <c r="E5262" s="1269"/>
      <c r="F5262" s="1270"/>
      <c r="G5262" s="1271"/>
      <c r="H5262" s="714" t="s">
        <v>908</v>
      </c>
      <c r="I5262" s="1245"/>
      <c r="J5262" s="1246"/>
      <c r="K5262" s="1247"/>
      <c r="L5262" s="664"/>
      <c r="M5262" s="667"/>
    </row>
    <row r="5263" spans="3:13">
      <c r="C5263" s="809"/>
      <c r="D5263" s="666" t="s">
        <v>434</v>
      </c>
      <c r="E5263" s="1272"/>
      <c r="F5263" s="1273"/>
      <c r="G5263" s="1274"/>
      <c r="H5263" s="715"/>
      <c r="I5263" s="1245"/>
      <c r="J5263" s="1246"/>
      <c r="K5263" s="1247"/>
      <c r="L5263" s="664"/>
      <c r="M5263" s="667"/>
    </row>
    <row r="5264" spans="3:13" ht="17" thickBot="1">
      <c r="C5264" s="809"/>
      <c r="D5264" s="668" t="s">
        <v>435</v>
      </c>
      <c r="E5264" s="1275">
        <v>0.25</v>
      </c>
      <c r="F5264" s="1276"/>
      <c r="G5264" s="1277"/>
      <c r="H5264" s="716"/>
      <c r="I5264" s="1245"/>
      <c r="J5264" s="1246"/>
      <c r="K5264" s="1247"/>
      <c r="L5264" s="669">
        <v>0.47916666666666669</v>
      </c>
      <c r="M5264" s="670">
        <v>0.375</v>
      </c>
    </row>
    <row r="5265" spans="3:13" ht="17" thickBot="1">
      <c r="C5265" s="809"/>
      <c r="D5265" s="671" t="s">
        <v>436</v>
      </c>
      <c r="E5265" s="672" t="s">
        <v>29</v>
      </c>
      <c r="F5265" s="672" t="s">
        <v>28</v>
      </c>
      <c r="G5265" s="673" t="s">
        <v>27</v>
      </c>
      <c r="H5265" s="712" t="s">
        <v>793</v>
      </c>
      <c r="I5265" s="1245"/>
      <c r="J5265" s="1246"/>
      <c r="K5265" s="1247"/>
      <c r="L5265" s="675" t="s">
        <v>1246</v>
      </c>
      <c r="M5265" s="676"/>
    </row>
    <row r="5266" spans="3:13">
      <c r="C5266" s="809"/>
      <c r="D5266" s="677">
        <v>45792</v>
      </c>
      <c r="E5266" s="720"/>
      <c r="F5266" s="720">
        <v>0</v>
      </c>
      <c r="G5266" s="720">
        <v>5.0000000000000001E-3</v>
      </c>
      <c r="H5266" s="718">
        <v>0.25</v>
      </c>
      <c r="I5266" s="1245"/>
      <c r="J5266" s="1246"/>
      <c r="K5266" s="1247"/>
      <c r="L5266" s="679">
        <v>0.47916666666666669</v>
      </c>
      <c r="M5266" s="680"/>
    </row>
    <row r="5267" spans="3:13">
      <c r="C5267" s="809"/>
      <c r="D5267" s="677">
        <v>45758</v>
      </c>
      <c r="E5267" s="720">
        <v>5.0000000000000001E-3</v>
      </c>
      <c r="F5267" s="720">
        <v>1E-3</v>
      </c>
      <c r="G5267" s="720">
        <v>0</v>
      </c>
      <c r="H5267" s="718">
        <v>0.25</v>
      </c>
      <c r="I5267" s="1245"/>
      <c r="J5267" s="1246"/>
      <c r="K5267" s="1247"/>
      <c r="L5267" s="679">
        <v>0.47916666666666669</v>
      </c>
      <c r="M5267" s="681"/>
    </row>
    <row r="5268" spans="3:13">
      <c r="C5268" s="809"/>
      <c r="D5268" s="677">
        <v>45730</v>
      </c>
      <c r="E5268" s="720">
        <v>-1E-3</v>
      </c>
      <c r="F5268" s="720">
        <v>1E-3</v>
      </c>
      <c r="G5268" s="720">
        <v>4.0000000000000001E-3</v>
      </c>
      <c r="H5268" s="718">
        <v>0.29166666666666674</v>
      </c>
      <c r="I5268" s="1245"/>
      <c r="J5268" s="1246"/>
      <c r="K5268" s="1247"/>
      <c r="L5268" s="679">
        <v>0.52083333333333337</v>
      </c>
      <c r="M5268" s="667"/>
    </row>
    <row r="5269" spans="3:13">
      <c r="C5269" s="809"/>
      <c r="D5269" s="677">
        <v>45701</v>
      </c>
      <c r="E5269" s="720">
        <v>4.0000000000000001E-3</v>
      </c>
      <c r="F5269" s="720">
        <v>1E-3</v>
      </c>
      <c r="G5269" s="720">
        <v>1E-3</v>
      </c>
      <c r="H5269" s="718">
        <v>0.29166666666666674</v>
      </c>
      <c r="I5269" s="1245"/>
      <c r="J5269" s="1246"/>
      <c r="K5269" s="1247"/>
      <c r="L5269" s="679">
        <v>0.52083333333333337</v>
      </c>
      <c r="M5269" s="667"/>
    </row>
    <row r="5270" spans="3:13">
      <c r="C5270" s="809"/>
      <c r="D5270" s="677">
        <v>45673</v>
      </c>
      <c r="E5270" s="720">
        <v>1E-3</v>
      </c>
      <c r="F5270" s="720">
        <v>2E-3</v>
      </c>
      <c r="G5270" s="720">
        <v>-1E-3</v>
      </c>
      <c r="H5270" s="718">
        <v>0.29166666666666674</v>
      </c>
      <c r="I5270" s="1245"/>
      <c r="J5270" s="1246"/>
      <c r="K5270" s="1247"/>
      <c r="L5270" s="679">
        <v>0.52083333333333337</v>
      </c>
      <c r="M5270" s="667"/>
    </row>
    <row r="5271" spans="3:13" ht="17" thickBot="1">
      <c r="C5271" s="809"/>
      <c r="D5271" s="677">
        <v>45639</v>
      </c>
      <c r="E5271" s="720">
        <v>-1E-3</v>
      </c>
      <c r="F5271" s="720">
        <v>1E-3</v>
      </c>
      <c r="G5271" s="720">
        <v>-1E-3</v>
      </c>
      <c r="H5271" s="718">
        <v>0.29166666666666674</v>
      </c>
      <c r="I5271" s="1248"/>
      <c r="J5271" s="1249"/>
      <c r="K5271" s="1250"/>
      <c r="L5271" s="679">
        <v>0.52083333333333337</v>
      </c>
      <c r="M5271" s="682"/>
    </row>
    <row r="5272" spans="3:13" ht="17" thickBot="1">
      <c r="C5272" s="809">
        <v>1</v>
      </c>
      <c r="D5272" s="671" t="s">
        <v>30</v>
      </c>
      <c r="E5272" s="1252" t="s">
        <v>1421</v>
      </c>
      <c r="F5272" s="1253"/>
      <c r="G5272" s="1254"/>
      <c r="H5272" s="712" t="s">
        <v>790</v>
      </c>
      <c r="I5272" s="1255" t="s">
        <v>633</v>
      </c>
      <c r="J5272" s="1256"/>
      <c r="K5272" s="1257"/>
      <c r="L5272" s="674" t="s">
        <v>430</v>
      </c>
      <c r="M5272" s="713" t="s">
        <v>431</v>
      </c>
    </row>
    <row r="5273" spans="3:13">
      <c r="C5273" s="809"/>
      <c r="D5273" s="663" t="s">
        <v>432</v>
      </c>
      <c r="E5273" s="1279"/>
      <c r="F5273" s="1280"/>
      <c r="G5273" s="1281"/>
      <c r="H5273" s="714" t="s">
        <v>794</v>
      </c>
      <c r="I5273" s="1242" t="s">
        <v>1460</v>
      </c>
      <c r="J5273" s="1243"/>
      <c r="K5273" s="1244"/>
      <c r="L5273" s="664"/>
      <c r="M5273" s="665" t="s">
        <v>1421</v>
      </c>
    </row>
    <row r="5274" spans="3:13">
      <c r="C5274" s="809"/>
      <c r="D5274" s="666" t="s">
        <v>433</v>
      </c>
      <c r="E5274" s="1269"/>
      <c r="F5274" s="1282"/>
      <c r="G5274" s="1283"/>
      <c r="H5274" s="714" t="s">
        <v>795</v>
      </c>
      <c r="I5274" s="1245"/>
      <c r="J5274" s="1246"/>
      <c r="K5274" s="1247"/>
      <c r="L5274" s="664"/>
      <c r="M5274" s="667"/>
    </row>
    <row r="5275" spans="3:13">
      <c r="C5275" s="809"/>
      <c r="D5275" s="666" t="s">
        <v>434</v>
      </c>
      <c r="E5275" s="1284">
        <v>0</v>
      </c>
      <c r="F5275" s="1285"/>
      <c r="G5275" s="1286"/>
      <c r="H5275" s="715"/>
      <c r="I5275" s="1245"/>
      <c r="J5275" s="1246"/>
      <c r="K5275" s="1247"/>
      <c r="L5275" s="664"/>
      <c r="M5275" s="667"/>
    </row>
    <row r="5276" spans="3:13" ht="17" thickBot="1">
      <c r="C5276" s="809"/>
      <c r="D5276" s="668" t="s">
        <v>435</v>
      </c>
      <c r="E5276" s="1275">
        <v>0.52083333333333337</v>
      </c>
      <c r="F5276" s="1276"/>
      <c r="G5276" s="1277"/>
      <c r="H5276" s="716"/>
      <c r="I5276" s="1245"/>
      <c r="J5276" s="1246"/>
      <c r="K5276" s="1247"/>
      <c r="L5276" s="669">
        <v>0.75</v>
      </c>
      <c r="M5276" s="670">
        <v>0.64583333333333337</v>
      </c>
    </row>
    <row r="5277" spans="3:13" ht="17" thickBot="1">
      <c r="C5277" s="809"/>
      <c r="D5277" s="671" t="s">
        <v>436</v>
      </c>
      <c r="E5277" s="672" t="s">
        <v>29</v>
      </c>
      <c r="F5277" s="672" t="s">
        <v>28</v>
      </c>
      <c r="G5277" s="673" t="s">
        <v>27</v>
      </c>
      <c r="H5277" s="712" t="s">
        <v>793</v>
      </c>
      <c r="I5277" s="1245"/>
      <c r="J5277" s="1246"/>
      <c r="K5277" s="1247"/>
      <c r="L5277" s="675" t="s">
        <v>1246</v>
      </c>
      <c r="M5277" s="676"/>
    </row>
    <row r="5278" spans="3:13">
      <c r="C5278" s="809"/>
      <c r="D5278" s="677">
        <v>45813</v>
      </c>
      <c r="E5278" s="693"/>
      <c r="F5278" s="693" t="s">
        <v>2294</v>
      </c>
      <c r="G5278" s="693" t="s">
        <v>1867</v>
      </c>
      <c r="H5278" s="718">
        <v>0.52083333333333337</v>
      </c>
      <c r="I5278" s="1245"/>
      <c r="J5278" s="1246"/>
      <c r="K5278" s="1247"/>
      <c r="L5278" s="679">
        <v>0.75</v>
      </c>
      <c r="M5278" s="680"/>
    </row>
    <row r="5279" spans="3:13">
      <c r="C5279" s="809"/>
      <c r="D5279" s="677">
        <v>45806</v>
      </c>
      <c r="E5279" s="693" t="s">
        <v>1784</v>
      </c>
      <c r="F5279" s="693" t="s">
        <v>976</v>
      </c>
      <c r="G5279" s="693" t="s">
        <v>1703</v>
      </c>
      <c r="H5279" s="718">
        <v>0.52083333333333337</v>
      </c>
      <c r="I5279" s="1245"/>
      <c r="J5279" s="1246"/>
      <c r="K5279" s="1247"/>
      <c r="L5279" s="679">
        <v>0.75</v>
      </c>
      <c r="M5279" s="681"/>
    </row>
    <row r="5280" spans="3:13">
      <c r="C5280" s="809"/>
      <c r="D5280" s="677">
        <v>45799</v>
      </c>
      <c r="E5280" s="693" t="s">
        <v>978</v>
      </c>
      <c r="F5280" s="693" t="s">
        <v>2241</v>
      </c>
      <c r="G5280" s="693" t="s">
        <v>976</v>
      </c>
      <c r="H5280" s="718">
        <v>0.52083333333333337</v>
      </c>
      <c r="I5280" s="1245"/>
      <c r="J5280" s="1246"/>
      <c r="K5280" s="1247"/>
      <c r="L5280" s="679">
        <v>0.75</v>
      </c>
      <c r="M5280" s="667"/>
    </row>
    <row r="5281" spans="3:13">
      <c r="C5281" s="809"/>
      <c r="D5281" s="677">
        <v>45792</v>
      </c>
      <c r="E5281" s="693" t="s">
        <v>976</v>
      </c>
      <c r="F5281" s="693" t="s">
        <v>976</v>
      </c>
      <c r="G5281" s="693" t="s">
        <v>976</v>
      </c>
      <c r="H5281" s="718">
        <v>0.52083333333333337</v>
      </c>
      <c r="I5281" s="1245"/>
      <c r="J5281" s="1246"/>
      <c r="K5281" s="1247"/>
      <c r="L5281" s="679">
        <v>0.75</v>
      </c>
      <c r="M5281" s="667"/>
    </row>
    <row r="5282" spans="3:13">
      <c r="C5282" s="809"/>
      <c r="D5282" s="677">
        <v>45785</v>
      </c>
      <c r="E5282" s="693" t="s">
        <v>977</v>
      </c>
      <c r="F5282" s="693" t="s">
        <v>984</v>
      </c>
      <c r="G5282" s="693" t="s">
        <v>981</v>
      </c>
      <c r="H5282" s="718">
        <v>0.52083333333333337</v>
      </c>
      <c r="I5282" s="1245"/>
      <c r="J5282" s="1246"/>
      <c r="K5282" s="1247"/>
      <c r="L5282" s="679">
        <v>0.75</v>
      </c>
      <c r="M5282" s="667"/>
    </row>
    <row r="5283" spans="3:13" ht="17" thickBot="1">
      <c r="C5283" s="809"/>
      <c r="D5283" s="677">
        <v>45778</v>
      </c>
      <c r="E5283" s="693" t="s">
        <v>981</v>
      </c>
      <c r="F5283" s="693" t="s">
        <v>1032</v>
      </c>
      <c r="G5283" s="693" t="s">
        <v>973</v>
      </c>
      <c r="H5283" s="718">
        <v>0.52083333333333337</v>
      </c>
      <c r="I5283" s="1248"/>
      <c r="J5283" s="1249"/>
      <c r="K5283" s="1250"/>
      <c r="L5283" s="679">
        <v>0.75</v>
      </c>
      <c r="M5283" s="682"/>
    </row>
    <row r="5284" spans="3:13" ht="17" thickBot="1">
      <c r="C5284" s="809">
        <v>1</v>
      </c>
      <c r="D5284" s="671" t="s">
        <v>30</v>
      </c>
      <c r="E5284" s="1252" t="s">
        <v>2256</v>
      </c>
      <c r="F5284" s="1253"/>
      <c r="G5284" s="1254"/>
      <c r="H5284" s="712" t="s">
        <v>790</v>
      </c>
      <c r="I5284" s="1255" t="s">
        <v>633</v>
      </c>
      <c r="J5284" s="1256"/>
      <c r="K5284" s="1257"/>
      <c r="L5284" s="674" t="s">
        <v>430</v>
      </c>
      <c r="M5284" s="713" t="s">
        <v>431</v>
      </c>
    </row>
    <row r="5285" spans="3:13">
      <c r="C5285" s="809"/>
      <c r="D5285" s="663" t="s">
        <v>432</v>
      </c>
      <c r="E5285" s="1266"/>
      <c r="F5285" s="1267"/>
      <c r="G5285" s="1268"/>
      <c r="H5285" s="714" t="s">
        <v>794</v>
      </c>
      <c r="I5285" s="1242" t="s">
        <v>2257</v>
      </c>
      <c r="J5285" s="1243"/>
      <c r="K5285" s="1244"/>
      <c r="L5285" s="664"/>
      <c r="M5285" s="665" t="s">
        <v>2256</v>
      </c>
    </row>
    <row r="5286" spans="3:13">
      <c r="C5286" s="809"/>
      <c r="D5286" s="666" t="s">
        <v>433</v>
      </c>
      <c r="E5286" s="1278"/>
      <c r="F5286" s="1270"/>
      <c r="G5286" s="1271"/>
      <c r="H5286" s="714" t="s">
        <v>795</v>
      </c>
      <c r="I5286" s="1245"/>
      <c r="J5286" s="1246"/>
      <c r="K5286" s="1247"/>
      <c r="L5286" s="664"/>
      <c r="M5286" s="667"/>
    </row>
    <row r="5287" spans="3:13">
      <c r="C5287" s="809"/>
      <c r="D5287" s="666" t="s">
        <v>434</v>
      </c>
      <c r="E5287" s="1278">
        <v>-5.0000000000000001E-3</v>
      </c>
      <c r="F5287" s="1270"/>
      <c r="G5287" s="1271"/>
      <c r="H5287" s="715"/>
      <c r="I5287" s="1245"/>
      <c r="J5287" s="1246"/>
      <c r="K5287" s="1247"/>
      <c r="L5287" s="664"/>
      <c r="M5287" s="667"/>
    </row>
    <row r="5288" spans="3:13" ht="17" thickBot="1">
      <c r="C5288" s="809"/>
      <c r="D5288" s="668" t="s">
        <v>435</v>
      </c>
      <c r="E5288" s="1275">
        <v>0.52083333333333337</v>
      </c>
      <c r="F5288" s="1276"/>
      <c r="G5288" s="1277"/>
      <c r="H5288" s="716"/>
      <c r="I5288" s="1245"/>
      <c r="J5288" s="1246"/>
      <c r="K5288" s="1247"/>
      <c r="L5288" s="669">
        <v>0.75</v>
      </c>
      <c r="M5288" s="670">
        <v>0.64583333333333337</v>
      </c>
    </row>
    <row r="5289" spans="3:13" ht="17" thickBot="1">
      <c r="C5289" s="809"/>
      <c r="D5289" s="671" t="s">
        <v>436</v>
      </c>
      <c r="E5289" s="672" t="s">
        <v>29</v>
      </c>
      <c r="F5289" s="672" t="s">
        <v>28</v>
      </c>
      <c r="G5289" s="673" t="s">
        <v>27</v>
      </c>
      <c r="H5289" s="712" t="s">
        <v>793</v>
      </c>
      <c r="I5289" s="1245"/>
      <c r="J5289" s="1246"/>
      <c r="K5289" s="1247"/>
      <c r="L5289" s="675" t="s">
        <v>1246</v>
      </c>
      <c r="M5289" s="676"/>
    </row>
    <row r="5290" spans="3:13">
      <c r="C5290" s="809"/>
      <c r="D5290" s="677">
        <v>45792</v>
      </c>
      <c r="E5290" s="693"/>
      <c r="F5290" s="693">
        <v>2E-3</v>
      </c>
      <c r="G5290" s="693">
        <v>0</v>
      </c>
      <c r="H5290" s="718">
        <v>0.52083333333333337</v>
      </c>
      <c r="I5290" s="1245"/>
      <c r="J5290" s="1246"/>
      <c r="K5290" s="1247"/>
      <c r="L5290" s="679">
        <v>0.75</v>
      </c>
      <c r="M5290" s="680"/>
    </row>
    <row r="5291" spans="3:13">
      <c r="C5291" s="809"/>
      <c r="D5291" s="677">
        <v>45758</v>
      </c>
      <c r="E5291" s="693">
        <v>-4.0000000000000001E-3</v>
      </c>
      <c r="F5291" s="693">
        <v>2E-3</v>
      </c>
      <c r="G5291" s="693">
        <v>1E-3</v>
      </c>
      <c r="H5291" s="718">
        <v>0.52083333333333337</v>
      </c>
      <c r="I5291" s="1245"/>
      <c r="J5291" s="1246"/>
      <c r="K5291" s="1247"/>
      <c r="L5291" s="679">
        <v>0.75</v>
      </c>
      <c r="M5291" s="681"/>
    </row>
    <row r="5292" spans="3:13">
      <c r="C5292" s="809"/>
      <c r="D5292" s="677">
        <v>45729</v>
      </c>
      <c r="E5292" s="693">
        <v>0</v>
      </c>
      <c r="F5292" s="693">
        <v>3.0000000000000001E-3</v>
      </c>
      <c r="G5292" s="693">
        <v>6.0000000000000001E-3</v>
      </c>
      <c r="H5292" s="718">
        <v>0.52083333333333337</v>
      </c>
      <c r="I5292" s="1245"/>
      <c r="J5292" s="1246"/>
      <c r="K5292" s="1247"/>
      <c r="L5292" s="679">
        <v>0.75</v>
      </c>
      <c r="M5292" s="667"/>
    </row>
    <row r="5293" spans="3:13">
      <c r="C5293" s="809"/>
      <c r="D5293" s="677">
        <v>45701</v>
      </c>
      <c r="E5293" s="693">
        <v>4.0000000000000001E-3</v>
      </c>
      <c r="F5293" s="693">
        <v>3.0000000000000001E-3</v>
      </c>
      <c r="G5293" s="693">
        <v>5.0000000000000001E-3</v>
      </c>
      <c r="H5293" s="718">
        <v>0.5625</v>
      </c>
      <c r="I5293" s="1245"/>
      <c r="J5293" s="1246"/>
      <c r="K5293" s="1247"/>
      <c r="L5293" s="679">
        <v>0.79166666666666663</v>
      </c>
      <c r="M5293" s="667"/>
    </row>
    <row r="5294" spans="3:13">
      <c r="C5294" s="809"/>
      <c r="D5294" s="677">
        <v>45671</v>
      </c>
      <c r="E5294" s="693">
        <v>2E-3</v>
      </c>
      <c r="F5294" s="693">
        <v>4.0000000000000001E-3</v>
      </c>
      <c r="G5294" s="693">
        <v>4.0000000000000001E-3</v>
      </c>
      <c r="H5294" s="718">
        <v>0.5625</v>
      </c>
      <c r="I5294" s="1245"/>
      <c r="J5294" s="1246"/>
      <c r="K5294" s="1247"/>
      <c r="L5294" s="679">
        <v>0.79166666666666663</v>
      </c>
      <c r="M5294" s="667"/>
    </row>
    <row r="5295" spans="3:13" ht="17" thickBot="1">
      <c r="C5295" s="809"/>
      <c r="D5295" s="677">
        <v>45638</v>
      </c>
      <c r="E5295" s="693">
        <v>4.0000000000000001E-3</v>
      </c>
      <c r="F5295" s="693">
        <v>2E-3</v>
      </c>
      <c r="G5295" s="693">
        <v>3.0000000000000001E-3</v>
      </c>
      <c r="H5295" s="718">
        <v>0.5625</v>
      </c>
      <c r="I5295" s="1248"/>
      <c r="J5295" s="1249"/>
      <c r="K5295" s="1250"/>
      <c r="L5295" s="679">
        <v>0.79166666666666663</v>
      </c>
      <c r="M5295" s="682"/>
    </row>
    <row r="5296" spans="3:13" ht="17" thickBot="1">
      <c r="C5296" s="809">
        <v>1</v>
      </c>
      <c r="D5296" s="671" t="s">
        <v>30</v>
      </c>
      <c r="E5296" s="1252" t="s">
        <v>2088</v>
      </c>
      <c r="F5296" s="1253"/>
      <c r="G5296" s="1254"/>
      <c r="H5296" s="712" t="s">
        <v>790</v>
      </c>
      <c r="I5296" s="1255" t="s">
        <v>633</v>
      </c>
      <c r="J5296" s="1256"/>
      <c r="K5296" s="1257"/>
      <c r="L5296" s="674" t="s">
        <v>430</v>
      </c>
      <c r="M5296" s="713" t="s">
        <v>431</v>
      </c>
    </row>
    <row r="5297" spans="3:13">
      <c r="C5297" s="809"/>
      <c r="D5297" s="663" t="s">
        <v>432</v>
      </c>
      <c r="E5297" s="1266"/>
      <c r="F5297" s="1267"/>
      <c r="G5297" s="1268"/>
      <c r="H5297" s="714" t="s">
        <v>794</v>
      </c>
      <c r="I5297" s="1242" t="s">
        <v>2258</v>
      </c>
      <c r="J5297" s="1243"/>
      <c r="K5297" s="1244"/>
      <c r="L5297" s="664"/>
      <c r="M5297" s="665" t="s">
        <v>2088</v>
      </c>
    </row>
    <row r="5298" spans="3:13">
      <c r="C5298" s="809"/>
      <c r="D5298" s="666" t="s">
        <v>433</v>
      </c>
      <c r="E5298" s="1269"/>
      <c r="F5298" s="1270"/>
      <c r="G5298" s="1271"/>
      <c r="H5298" s="714" t="s">
        <v>795</v>
      </c>
      <c r="I5298" s="1245"/>
      <c r="J5298" s="1246"/>
      <c r="K5298" s="1247"/>
      <c r="L5298" s="664"/>
      <c r="M5298" s="667"/>
    </row>
    <row r="5299" spans="3:13">
      <c r="C5299" s="809"/>
      <c r="D5299" s="666" t="s">
        <v>434</v>
      </c>
      <c r="E5299" s="1272"/>
      <c r="F5299" s="1273"/>
      <c r="G5299" s="1274"/>
      <c r="H5299" s="715"/>
      <c r="I5299" s="1245"/>
      <c r="J5299" s="1246"/>
      <c r="K5299" s="1247"/>
      <c r="L5299" s="664"/>
      <c r="M5299" s="667"/>
    </row>
    <row r="5300" spans="3:13" ht="17" thickBot="1">
      <c r="C5300" s="809"/>
      <c r="D5300" s="668" t="s">
        <v>435</v>
      </c>
      <c r="E5300" s="1275">
        <v>0.70833333333333337</v>
      </c>
      <c r="F5300" s="1276"/>
      <c r="G5300" s="1277"/>
      <c r="H5300" s="716"/>
      <c r="I5300" s="1245"/>
      <c r="J5300" s="1246"/>
      <c r="K5300" s="1247"/>
      <c r="L5300" s="669">
        <v>0.9375</v>
      </c>
      <c r="M5300" s="670">
        <v>0.83333333333333337</v>
      </c>
    </row>
    <row r="5301" spans="3:13" ht="17" thickBot="1">
      <c r="C5301" s="809"/>
      <c r="D5301" s="671" t="s">
        <v>436</v>
      </c>
      <c r="E5301" s="672" t="s">
        <v>29</v>
      </c>
      <c r="F5301" s="672" t="s">
        <v>28</v>
      </c>
      <c r="G5301" s="673" t="s">
        <v>27</v>
      </c>
      <c r="H5301" s="712" t="s">
        <v>793</v>
      </c>
      <c r="I5301" s="1245"/>
      <c r="J5301" s="1246"/>
      <c r="K5301" s="1247"/>
      <c r="L5301" s="675" t="s">
        <v>1246</v>
      </c>
      <c r="M5301" s="676"/>
    </row>
    <row r="5302" spans="3:13">
      <c r="C5302" s="809"/>
      <c r="D5302" s="677">
        <v>45820</v>
      </c>
      <c r="E5302" s="720"/>
      <c r="F5302" s="720">
        <v>0</v>
      </c>
      <c r="G5302" s="720">
        <v>4.8189999999999997E-2</v>
      </c>
      <c r="H5302" s="718">
        <v>0.70833333333333337</v>
      </c>
      <c r="I5302" s="1245"/>
      <c r="J5302" s="1246"/>
      <c r="K5302" s="1247"/>
      <c r="L5302" s="679">
        <v>0.9375</v>
      </c>
      <c r="M5302" s="680"/>
    </row>
    <row r="5303" spans="3:13">
      <c r="C5303" s="809"/>
      <c r="D5303" s="677">
        <v>45785</v>
      </c>
      <c r="E5303" s="720">
        <v>4.8189999999999997E-2</v>
      </c>
      <c r="F5303" s="720">
        <v>0</v>
      </c>
      <c r="G5303" s="720">
        <v>4.8129999999999999E-2</v>
      </c>
      <c r="H5303" s="718">
        <v>0.70833333333333337</v>
      </c>
      <c r="I5303" s="1245"/>
      <c r="J5303" s="1246"/>
      <c r="K5303" s="1247"/>
      <c r="L5303" s="679">
        <v>0.9375</v>
      </c>
      <c r="M5303" s="681"/>
    </row>
    <row r="5304" spans="3:13">
      <c r="C5304" s="809"/>
      <c r="D5304" s="677">
        <v>45757</v>
      </c>
      <c r="E5304" s="720">
        <v>4.8129999999999999E-2</v>
      </c>
      <c r="F5304" s="720">
        <v>0</v>
      </c>
      <c r="G5304" s="720">
        <v>4.623E-2</v>
      </c>
      <c r="H5304" s="718">
        <v>0.70833333333333337</v>
      </c>
      <c r="I5304" s="1245"/>
      <c r="J5304" s="1246"/>
      <c r="K5304" s="1247"/>
      <c r="L5304" s="679">
        <v>0.9375</v>
      </c>
      <c r="M5304" s="667"/>
    </row>
    <row r="5305" spans="3:13">
      <c r="C5305" s="809"/>
      <c r="D5305" s="677">
        <v>45729</v>
      </c>
      <c r="E5305" s="720">
        <v>4.623E-2</v>
      </c>
      <c r="F5305" s="720">
        <v>0</v>
      </c>
      <c r="G5305" s="720">
        <v>4.7480000000000001E-2</v>
      </c>
      <c r="H5305" s="718">
        <v>0.70833333333333337</v>
      </c>
      <c r="I5305" s="1245"/>
      <c r="J5305" s="1246"/>
      <c r="K5305" s="1247"/>
      <c r="L5305" s="679">
        <v>0.9375</v>
      </c>
      <c r="M5305" s="667"/>
    </row>
    <row r="5306" spans="3:13">
      <c r="C5306" s="809"/>
      <c r="D5306" s="677">
        <v>45701</v>
      </c>
      <c r="E5306" s="720">
        <v>4.7480000000000001E-2</v>
      </c>
      <c r="F5306" s="720">
        <v>0</v>
      </c>
      <c r="G5306" s="720">
        <v>4.913E-2</v>
      </c>
      <c r="H5306" s="718">
        <v>0.75</v>
      </c>
      <c r="I5306" s="1245"/>
      <c r="J5306" s="1246"/>
      <c r="K5306" s="1247"/>
      <c r="L5306" s="679">
        <v>0.97916666666666663</v>
      </c>
      <c r="M5306" s="667"/>
    </row>
    <row r="5307" spans="3:13" ht="17" thickBot="1">
      <c r="C5307" s="809"/>
      <c r="D5307" s="677">
        <v>45665</v>
      </c>
      <c r="E5307" s="720">
        <v>4.913E-2</v>
      </c>
      <c r="F5307" s="720">
        <v>0</v>
      </c>
      <c r="G5307" s="720">
        <v>4.5350000000000001E-2</v>
      </c>
      <c r="H5307" s="718">
        <v>0.75</v>
      </c>
      <c r="I5307" s="1248"/>
      <c r="J5307" s="1249"/>
      <c r="K5307" s="1250"/>
      <c r="L5307" s="679">
        <v>0.97916666666666663</v>
      </c>
      <c r="M5307" s="682"/>
    </row>
    <row r="5308" spans="3:13" ht="17" thickBot="1">
      <c r="C5308" s="809">
        <v>1</v>
      </c>
      <c r="D5308" s="671" t="s">
        <v>30</v>
      </c>
      <c r="E5308" s="1252" t="s">
        <v>2259</v>
      </c>
      <c r="F5308" s="1253"/>
      <c r="G5308" s="1254"/>
      <c r="H5308" s="712" t="s">
        <v>790</v>
      </c>
      <c r="I5308" s="1255" t="s">
        <v>633</v>
      </c>
      <c r="J5308" s="1256"/>
      <c r="K5308" s="1257"/>
      <c r="L5308" s="674" t="s">
        <v>430</v>
      </c>
      <c r="M5308" s="713" t="s">
        <v>431</v>
      </c>
    </row>
    <row r="5309" spans="3:13">
      <c r="C5309" s="809"/>
      <c r="D5309" s="663" t="s">
        <v>432</v>
      </c>
      <c r="E5309" s="1266"/>
      <c r="F5309" s="1267"/>
      <c r="G5309" s="1268"/>
      <c r="H5309" s="714" t="s">
        <v>909</v>
      </c>
      <c r="I5309" s="1242" t="s">
        <v>2260</v>
      </c>
      <c r="J5309" s="1243"/>
      <c r="K5309" s="1244"/>
      <c r="L5309" s="664"/>
      <c r="M5309" s="665" t="s">
        <v>2259</v>
      </c>
    </row>
    <row r="5310" spans="3:13">
      <c r="C5310" s="809"/>
      <c r="D5310" s="666" t="s">
        <v>433</v>
      </c>
      <c r="E5310" s="1278"/>
      <c r="F5310" s="1270"/>
      <c r="G5310" s="1271"/>
      <c r="H5310" s="714" t="s">
        <v>910</v>
      </c>
      <c r="I5310" s="1245"/>
      <c r="J5310" s="1246"/>
      <c r="K5310" s="1247"/>
      <c r="L5310" s="664"/>
      <c r="M5310" s="667"/>
    </row>
    <row r="5311" spans="3:13">
      <c r="C5311" s="809"/>
      <c r="D5311" s="666" t="s">
        <v>434</v>
      </c>
      <c r="E5311" s="1278"/>
      <c r="F5311" s="1270"/>
      <c r="G5311" s="1271"/>
      <c r="H5311" s="715"/>
      <c r="I5311" s="1245"/>
      <c r="J5311" s="1246"/>
      <c r="K5311" s="1247"/>
      <c r="L5311" s="664"/>
      <c r="M5311" s="667"/>
    </row>
    <row r="5312" spans="3:13" ht="17" thickBot="1">
      <c r="C5312" s="809"/>
      <c r="D5312" s="668" t="s">
        <v>435</v>
      </c>
      <c r="E5312" s="1275">
        <v>0.25</v>
      </c>
      <c r="F5312" s="1276"/>
      <c r="G5312" s="1277"/>
      <c r="H5312" s="716"/>
      <c r="I5312" s="1245"/>
      <c r="J5312" s="1246"/>
      <c r="K5312" s="1247"/>
      <c r="L5312" s="669">
        <v>0.47916666666666669</v>
      </c>
      <c r="M5312" s="670">
        <v>0.375</v>
      </c>
    </row>
    <row r="5313" spans="2:13" ht="17" thickBot="1">
      <c r="C5313" s="809"/>
      <c r="D5313" s="671" t="s">
        <v>436</v>
      </c>
      <c r="E5313" s="672" t="s">
        <v>29</v>
      </c>
      <c r="F5313" s="672" t="s">
        <v>28</v>
      </c>
      <c r="G5313" s="673" t="s">
        <v>27</v>
      </c>
      <c r="H5313" s="712" t="s">
        <v>793</v>
      </c>
      <c r="I5313" s="1245"/>
      <c r="J5313" s="1246"/>
      <c r="K5313" s="1247"/>
      <c r="L5313" s="675" t="s">
        <v>1246</v>
      </c>
      <c r="M5313" s="676"/>
    </row>
    <row r="5314" spans="2:13">
      <c r="C5314" s="809"/>
      <c r="D5314" s="677">
        <v>45821</v>
      </c>
      <c r="E5314" s="720"/>
      <c r="F5314" s="720">
        <v>1E-3</v>
      </c>
      <c r="G5314" s="720">
        <v>4.0000000000000001E-3</v>
      </c>
      <c r="H5314" s="718">
        <v>0.25</v>
      </c>
      <c r="I5314" s="1245"/>
      <c r="J5314" s="1246"/>
      <c r="K5314" s="1247"/>
      <c r="L5314" s="679">
        <v>0.47916666666666669</v>
      </c>
      <c r="M5314" s="680"/>
    </row>
    <row r="5315" spans="2:13">
      <c r="C5315" s="809"/>
      <c r="D5315" s="677">
        <v>45807</v>
      </c>
      <c r="E5315" s="720">
        <v>1E-3</v>
      </c>
      <c r="F5315" s="720">
        <v>1E-3</v>
      </c>
      <c r="G5315" s="720">
        <v>4.0000000000000001E-3</v>
      </c>
      <c r="H5315" s="718">
        <v>0.5</v>
      </c>
      <c r="I5315" s="1245"/>
      <c r="J5315" s="1246"/>
      <c r="K5315" s="1247"/>
      <c r="L5315" s="679">
        <v>0.72916666666666663</v>
      </c>
      <c r="M5315" s="681"/>
    </row>
    <row r="5316" spans="2:13">
      <c r="C5316" s="809"/>
      <c r="D5316" s="677">
        <v>45791</v>
      </c>
      <c r="E5316" s="720">
        <v>4.0000000000000001E-3</v>
      </c>
      <c r="F5316" s="720">
        <v>4.0000000000000001E-3</v>
      </c>
      <c r="G5316" s="720">
        <v>3.0000000000000001E-3</v>
      </c>
      <c r="H5316" s="718">
        <v>0.25</v>
      </c>
      <c r="I5316" s="1245"/>
      <c r="J5316" s="1246"/>
      <c r="K5316" s="1247"/>
      <c r="L5316" s="679">
        <v>0.47916666666666669</v>
      </c>
      <c r="M5316" s="667"/>
    </row>
    <row r="5317" spans="2:13">
      <c r="C5317" s="809"/>
      <c r="D5317" s="677">
        <v>45777</v>
      </c>
      <c r="E5317" s="720">
        <v>4.0000000000000001E-3</v>
      </c>
      <c r="F5317" s="720">
        <v>3.0000000000000001E-3</v>
      </c>
      <c r="G5317" s="720">
        <v>3.0000000000000001E-3</v>
      </c>
      <c r="H5317" s="718">
        <v>0.5</v>
      </c>
      <c r="I5317" s="1245"/>
      <c r="J5317" s="1246"/>
      <c r="K5317" s="1247"/>
      <c r="L5317" s="679">
        <v>0.72916666666666663</v>
      </c>
      <c r="M5317" s="667"/>
    </row>
    <row r="5318" spans="2:13">
      <c r="C5318" s="809"/>
      <c r="D5318" s="677">
        <v>45758</v>
      </c>
      <c r="E5318" s="720">
        <v>3.0000000000000001E-3</v>
      </c>
      <c r="F5318" s="720">
        <v>3.0000000000000001E-3</v>
      </c>
      <c r="G5318" s="720">
        <v>4.0000000000000001E-3</v>
      </c>
      <c r="H5318" s="718">
        <v>0.25</v>
      </c>
      <c r="I5318" s="1245"/>
      <c r="J5318" s="1246"/>
      <c r="K5318" s="1247"/>
      <c r="L5318" s="679">
        <v>0.47916666666666669</v>
      </c>
      <c r="M5318" s="667"/>
    </row>
    <row r="5319" spans="2:13" ht="17" thickBot="1">
      <c r="C5319" s="809"/>
      <c r="D5319" s="677">
        <v>45747</v>
      </c>
      <c r="E5319" s="720">
        <v>3.0000000000000001E-3</v>
      </c>
      <c r="F5319" s="720">
        <v>3.0000000000000001E-3</v>
      </c>
      <c r="G5319" s="720">
        <v>4.0000000000000001E-3</v>
      </c>
      <c r="H5319" s="718">
        <v>0.5</v>
      </c>
      <c r="I5319" s="1248"/>
      <c r="J5319" s="1249"/>
      <c r="K5319" s="1250"/>
      <c r="L5319" s="679">
        <v>0.72916666666666663</v>
      </c>
      <c r="M5319" s="682"/>
    </row>
    <row r="5320" spans="2:13" ht="17" thickBot="1">
      <c r="B5320" s="90" t="s">
        <v>105</v>
      </c>
      <c r="C5320" s="966">
        <v>1</v>
      </c>
      <c r="D5320" s="671" t="s">
        <v>30</v>
      </c>
      <c r="E5320" s="1252" t="s">
        <v>2263</v>
      </c>
      <c r="F5320" s="1253"/>
      <c r="G5320" s="1254"/>
      <c r="H5320" s="712" t="s">
        <v>790</v>
      </c>
      <c r="I5320" s="1256" t="s">
        <v>633</v>
      </c>
      <c r="J5320" s="1256"/>
      <c r="K5320" s="1257"/>
      <c r="L5320" s="674" t="s">
        <v>430</v>
      </c>
      <c r="M5320" s="713" t="s">
        <v>431</v>
      </c>
    </row>
    <row r="5321" spans="2:13">
      <c r="C5321" s="660"/>
      <c r="D5321" s="967" t="s">
        <v>432</v>
      </c>
      <c r="E5321" s="1239"/>
      <c r="F5321" s="1240"/>
      <c r="G5321" s="1241"/>
      <c r="H5321" s="968" t="s">
        <v>909</v>
      </c>
      <c r="I5321" s="1243" t="s">
        <v>2264</v>
      </c>
      <c r="J5321" s="1243"/>
      <c r="K5321" s="1244"/>
      <c r="L5321" s="664"/>
      <c r="M5321" s="667" t="s">
        <v>2263</v>
      </c>
    </row>
    <row r="5322" spans="2:13">
      <c r="C5322" s="660"/>
      <c r="D5322" s="969" t="s">
        <v>433</v>
      </c>
      <c r="E5322" s="1224"/>
      <c r="F5322" s="1225"/>
      <c r="G5322" s="1226"/>
      <c r="H5322" s="968" t="s">
        <v>910</v>
      </c>
      <c r="I5322" s="1246"/>
      <c r="J5322" s="1246"/>
      <c r="K5322" s="1247"/>
      <c r="L5322" s="664"/>
      <c r="M5322" s="667"/>
    </row>
    <row r="5323" spans="2:13">
      <c r="C5323" s="660"/>
      <c r="D5323" s="969" t="s">
        <v>434</v>
      </c>
      <c r="E5323" s="1227">
        <v>5.0000000000000001E-3</v>
      </c>
      <c r="F5323" s="1228"/>
      <c r="G5323" s="1229"/>
      <c r="H5323" s="970"/>
      <c r="I5323" s="1246"/>
      <c r="J5323" s="1246"/>
      <c r="K5323" s="1247"/>
      <c r="L5323" s="664"/>
      <c r="M5323" s="667"/>
    </row>
    <row r="5324" spans="2:13" ht="17" thickBot="1">
      <c r="C5324" s="660"/>
      <c r="D5324" s="971" t="s">
        <v>435</v>
      </c>
      <c r="E5324" s="1230">
        <v>0.12500000000000003</v>
      </c>
      <c r="F5324" s="1231"/>
      <c r="G5324" s="1232"/>
      <c r="H5324" s="718"/>
      <c r="I5324" s="1246"/>
      <c r="J5324" s="1246"/>
      <c r="K5324" s="1247"/>
      <c r="L5324" s="972">
        <v>0.35416666666666669</v>
      </c>
      <c r="M5324" s="681">
        <v>0.25</v>
      </c>
    </row>
    <row r="5325" spans="2:13" ht="17" thickBot="1">
      <c r="C5325" s="660"/>
      <c r="D5325" s="973" t="s">
        <v>436</v>
      </c>
      <c r="E5325" s="974" t="s">
        <v>29</v>
      </c>
      <c r="F5325" s="974" t="s">
        <v>28</v>
      </c>
      <c r="G5325" s="975" t="s">
        <v>27</v>
      </c>
      <c r="H5325" s="976" t="s">
        <v>793</v>
      </c>
      <c r="I5325" s="1246"/>
      <c r="J5325" s="1246"/>
      <c r="K5325" s="1247"/>
      <c r="L5325" s="977" t="s">
        <v>1246</v>
      </c>
      <c r="M5325" s="978"/>
    </row>
    <row r="5326" spans="2:13">
      <c r="C5326" s="660"/>
      <c r="D5326" s="979">
        <v>45778</v>
      </c>
      <c r="E5326" s="720">
        <v>5.0000000000000001E-3</v>
      </c>
      <c r="F5326" s="720">
        <v>5.0000000000000001E-3</v>
      </c>
      <c r="G5326" s="720">
        <v>5.0000000000000001E-3</v>
      </c>
      <c r="H5326" s="718">
        <v>0.12500000000000003</v>
      </c>
      <c r="I5326" s="1246"/>
      <c r="J5326" s="1246"/>
      <c r="K5326" s="1247"/>
      <c r="L5326" s="679">
        <v>0.35416666666666669</v>
      </c>
      <c r="M5326" s="680"/>
    </row>
    <row r="5327" spans="2:13">
      <c r="C5327" s="660"/>
      <c r="D5327" s="979">
        <v>45735</v>
      </c>
      <c r="E5327" s="720">
        <v>5.0000000000000001E-3</v>
      </c>
      <c r="F5327" s="720">
        <v>5.0000000000000001E-3</v>
      </c>
      <c r="G5327" s="720">
        <v>5.0000000000000001E-3</v>
      </c>
      <c r="H5327" s="718">
        <v>0.10416666666666666</v>
      </c>
      <c r="I5327" s="1246"/>
      <c r="J5327" s="1246"/>
      <c r="K5327" s="1247"/>
      <c r="L5327" s="679">
        <v>0.33333333333333331</v>
      </c>
      <c r="M5327" s="681"/>
    </row>
    <row r="5328" spans="2:13">
      <c r="C5328" s="660"/>
      <c r="D5328" s="979">
        <v>45681</v>
      </c>
      <c r="E5328" s="720">
        <v>5.0000000000000001E-3</v>
      </c>
      <c r="F5328" s="720">
        <v>5.0000000000000001E-3</v>
      </c>
      <c r="G5328" s="720">
        <v>2.5000000000000001E-3</v>
      </c>
      <c r="H5328" s="718">
        <v>0.13888888888888892</v>
      </c>
      <c r="I5328" s="1246"/>
      <c r="J5328" s="1246"/>
      <c r="K5328" s="1247"/>
      <c r="L5328" s="679">
        <v>0.36805555555555558</v>
      </c>
      <c r="M5328" s="667"/>
    </row>
    <row r="5329" spans="3:13">
      <c r="C5329" s="660"/>
      <c r="D5329" s="979">
        <v>45645</v>
      </c>
      <c r="E5329" s="720">
        <v>2.5000000000000001E-3</v>
      </c>
      <c r="F5329" s="720">
        <v>2.5000000000000001E-3</v>
      </c>
      <c r="G5329" s="720">
        <v>2.5000000000000001E-3</v>
      </c>
      <c r="H5329" s="718">
        <v>0.12152777777777776</v>
      </c>
      <c r="I5329" s="1246"/>
      <c r="J5329" s="1246"/>
      <c r="K5329" s="1247"/>
      <c r="L5329" s="679">
        <v>0.35069444444444442</v>
      </c>
      <c r="M5329" s="667"/>
    </row>
    <row r="5330" spans="3:13">
      <c r="C5330" s="660"/>
      <c r="D5330" s="979">
        <v>45596</v>
      </c>
      <c r="E5330" s="720">
        <v>2.5000000000000001E-3</v>
      </c>
      <c r="F5330" s="720">
        <v>2.5000000000000001E-3</v>
      </c>
      <c r="G5330" s="720">
        <v>2.5000000000000001E-3</v>
      </c>
      <c r="H5330" s="718">
        <v>0.12500000000000003</v>
      </c>
      <c r="I5330" s="1246"/>
      <c r="J5330" s="1246"/>
      <c r="K5330" s="1247"/>
      <c r="L5330" s="679">
        <v>0.35416666666666669</v>
      </c>
      <c r="M5330" s="667"/>
    </row>
    <row r="5331" spans="3:13" ht="17" thickBot="1">
      <c r="C5331" s="660"/>
      <c r="D5331" s="979">
        <v>45555</v>
      </c>
      <c r="E5331" s="720">
        <v>2.5000000000000001E-3</v>
      </c>
      <c r="F5331" s="720">
        <v>2.5000000000000001E-3</v>
      </c>
      <c r="G5331" s="720">
        <v>2.5000000000000001E-3</v>
      </c>
      <c r="H5331" s="718">
        <v>0.12500000000000003</v>
      </c>
      <c r="I5331" s="1249"/>
      <c r="J5331" s="1249"/>
      <c r="K5331" s="1250"/>
      <c r="L5331" s="679">
        <v>0.35416666666666669</v>
      </c>
      <c r="M5331" s="682"/>
    </row>
    <row r="5332" spans="3:13" ht="17" thickBot="1">
      <c r="C5332" s="966">
        <v>1</v>
      </c>
      <c r="D5332" s="671" t="s">
        <v>30</v>
      </c>
      <c r="E5332" s="1252" t="s">
        <v>2265</v>
      </c>
      <c r="F5332" s="1253"/>
      <c r="G5332" s="1254"/>
      <c r="H5332" s="712" t="s">
        <v>790</v>
      </c>
      <c r="I5332" s="1255" t="s">
        <v>633</v>
      </c>
      <c r="J5332" s="1256"/>
      <c r="K5332" s="1257"/>
      <c r="L5332" s="674" t="s">
        <v>430</v>
      </c>
      <c r="M5332" s="713" t="s">
        <v>431</v>
      </c>
    </row>
    <row r="5333" spans="3:13">
      <c r="C5333" s="660"/>
      <c r="D5333" s="967" t="s">
        <v>432</v>
      </c>
      <c r="E5333" s="1239"/>
      <c r="F5333" s="1240"/>
      <c r="G5333" s="1241"/>
      <c r="H5333" s="968" t="s">
        <v>794</v>
      </c>
      <c r="I5333" s="1242" t="s">
        <v>2266</v>
      </c>
      <c r="J5333" s="1243"/>
      <c r="K5333" s="1244"/>
      <c r="L5333" s="664"/>
      <c r="M5333" s="667" t="s">
        <v>2265</v>
      </c>
    </row>
    <row r="5334" spans="3:13">
      <c r="C5334" s="660"/>
      <c r="D5334" s="969" t="s">
        <v>433</v>
      </c>
      <c r="E5334" s="1224">
        <v>3.0000000000000001E-3</v>
      </c>
      <c r="F5334" s="1225"/>
      <c r="G5334" s="1226"/>
      <c r="H5334" s="968" t="s">
        <v>795</v>
      </c>
      <c r="I5334" s="1245"/>
      <c r="J5334" s="1246"/>
      <c r="K5334" s="1247"/>
      <c r="L5334" s="664"/>
      <c r="M5334" s="667"/>
    </row>
    <row r="5335" spans="3:13">
      <c r="C5335" s="660"/>
      <c r="D5335" s="969" t="s">
        <v>434</v>
      </c>
      <c r="E5335" s="1224">
        <v>1E-3</v>
      </c>
      <c r="F5335" s="1225"/>
      <c r="G5335" s="1226"/>
      <c r="H5335" s="970"/>
      <c r="I5335" s="1245"/>
      <c r="J5335" s="1246"/>
      <c r="K5335" s="1247"/>
      <c r="L5335" s="664"/>
      <c r="M5335" s="667"/>
    </row>
    <row r="5336" spans="3:13" ht="17" thickBot="1">
      <c r="C5336" s="660"/>
      <c r="D5336" s="971" t="s">
        <v>435</v>
      </c>
      <c r="E5336" s="1230">
        <v>0.52083333333333337</v>
      </c>
      <c r="F5336" s="1231"/>
      <c r="G5336" s="1232"/>
      <c r="H5336" s="718"/>
      <c r="I5336" s="1245"/>
      <c r="J5336" s="1246"/>
      <c r="K5336" s="1247"/>
      <c r="L5336" s="972">
        <v>0.75</v>
      </c>
      <c r="M5336" s="681">
        <v>0.64583333333333337</v>
      </c>
    </row>
    <row r="5337" spans="3:13" ht="17" thickBot="1">
      <c r="C5337" s="660"/>
      <c r="D5337" s="973" t="s">
        <v>436</v>
      </c>
      <c r="E5337" s="974" t="s">
        <v>29</v>
      </c>
      <c r="F5337" s="974" t="s">
        <v>28</v>
      </c>
      <c r="G5337" s="975" t="s">
        <v>27</v>
      </c>
      <c r="H5337" s="976" t="s">
        <v>793</v>
      </c>
      <c r="I5337" s="1245"/>
      <c r="J5337" s="1246"/>
      <c r="K5337" s="1247"/>
      <c r="L5337" s="977" t="s">
        <v>1246</v>
      </c>
      <c r="M5337" s="978"/>
    </row>
    <row r="5338" spans="3:13">
      <c r="C5338" s="660"/>
      <c r="D5338" s="979">
        <v>45792</v>
      </c>
      <c r="E5338" s="691">
        <v>1E-3</v>
      </c>
      <c r="F5338" s="691">
        <v>3.0000000000000001E-3</v>
      </c>
      <c r="G5338" s="691">
        <v>8.0000000000000002E-3</v>
      </c>
      <c r="H5338" s="718">
        <v>0.52083333333333337</v>
      </c>
      <c r="I5338" s="1245"/>
      <c r="J5338" s="1246"/>
      <c r="K5338" s="1247"/>
      <c r="L5338" s="679">
        <v>0.75</v>
      </c>
      <c r="M5338" s="680"/>
    </row>
    <row r="5339" spans="3:13">
      <c r="C5339" s="660"/>
      <c r="D5339" s="979">
        <v>45763</v>
      </c>
      <c r="E5339" s="691">
        <v>5.0000000000000001E-3</v>
      </c>
      <c r="F5339" s="691">
        <v>4.0000000000000001E-3</v>
      </c>
      <c r="G5339" s="691">
        <v>7.0000000000000001E-3</v>
      </c>
      <c r="H5339" s="718">
        <v>0.52083333333333337</v>
      </c>
      <c r="I5339" s="1245"/>
      <c r="J5339" s="1246"/>
      <c r="K5339" s="1247"/>
      <c r="L5339" s="679">
        <v>0.75</v>
      </c>
      <c r="M5339" s="681"/>
    </row>
    <row r="5340" spans="3:13">
      <c r="C5340" s="660"/>
      <c r="D5340" s="979">
        <v>45733</v>
      </c>
      <c r="E5340" s="691">
        <v>3.0000000000000001E-3</v>
      </c>
      <c r="F5340" s="691">
        <v>3.0000000000000001E-3</v>
      </c>
      <c r="G5340" s="691">
        <v>-6.0000000000000001E-3</v>
      </c>
      <c r="H5340" s="718">
        <v>0.52083333333333337</v>
      </c>
      <c r="I5340" s="1245"/>
      <c r="J5340" s="1246"/>
      <c r="K5340" s="1247"/>
      <c r="L5340" s="679">
        <v>0.75</v>
      </c>
      <c r="M5340" s="667"/>
    </row>
    <row r="5341" spans="3:13">
      <c r="C5341" s="660"/>
      <c r="D5341" s="979">
        <v>45702</v>
      </c>
      <c r="E5341" s="691">
        <v>-4.0000000000000001E-3</v>
      </c>
      <c r="F5341" s="691">
        <v>3.0000000000000001E-3</v>
      </c>
      <c r="G5341" s="691">
        <v>7.0000000000000001E-3</v>
      </c>
      <c r="H5341" s="718">
        <v>0.5625</v>
      </c>
      <c r="I5341" s="1245"/>
      <c r="J5341" s="1246"/>
      <c r="K5341" s="1247"/>
      <c r="L5341" s="679">
        <v>0.79166666666666663</v>
      </c>
      <c r="M5341" s="667"/>
    </row>
    <row r="5342" spans="3:13">
      <c r="C5342" s="660"/>
      <c r="D5342" s="979">
        <v>45673</v>
      </c>
      <c r="E5342" s="691">
        <v>4.0000000000000001E-3</v>
      </c>
      <c r="F5342" s="691">
        <v>5.0000000000000001E-3</v>
      </c>
      <c r="G5342" s="691">
        <v>2E-3</v>
      </c>
      <c r="H5342" s="718">
        <v>0.5625</v>
      </c>
      <c r="I5342" s="1245"/>
      <c r="J5342" s="1246"/>
      <c r="K5342" s="1247"/>
      <c r="L5342" s="679">
        <v>0.79166666666666663</v>
      </c>
      <c r="M5342" s="667"/>
    </row>
    <row r="5343" spans="3:13" ht="17" thickBot="1">
      <c r="C5343" s="660"/>
      <c r="D5343" s="979">
        <v>45643</v>
      </c>
      <c r="E5343" s="691">
        <v>2E-3</v>
      </c>
      <c r="F5343" s="691">
        <v>4.0000000000000001E-3</v>
      </c>
      <c r="G5343" s="691">
        <v>2E-3</v>
      </c>
      <c r="H5343" s="718">
        <v>0.5625</v>
      </c>
      <c r="I5343" s="1248"/>
      <c r="J5343" s="1249"/>
      <c r="K5343" s="1250"/>
      <c r="L5343" s="679">
        <v>0.79166666666666663</v>
      </c>
      <c r="M5343" s="682"/>
    </row>
    <row r="5344" spans="3:13" ht="17" thickBot="1">
      <c r="C5344" s="660">
        <v>1</v>
      </c>
      <c r="D5344" s="671" t="s">
        <v>30</v>
      </c>
      <c r="E5344" s="1252" t="s">
        <v>2267</v>
      </c>
      <c r="F5344" s="1253"/>
      <c r="G5344" s="1254"/>
      <c r="H5344" s="712" t="s">
        <v>790</v>
      </c>
      <c r="I5344" s="1255" t="s">
        <v>633</v>
      </c>
      <c r="J5344" s="1256"/>
      <c r="K5344" s="1257"/>
      <c r="L5344" s="674" t="s">
        <v>430</v>
      </c>
      <c r="M5344" s="713" t="s">
        <v>431</v>
      </c>
    </row>
    <row r="5345" spans="3:13">
      <c r="C5345" s="660"/>
      <c r="D5345" s="967" t="s">
        <v>432</v>
      </c>
      <c r="E5345" s="1239"/>
      <c r="F5345" s="1240"/>
      <c r="G5345" s="1241"/>
      <c r="H5345" s="968" t="s">
        <v>794</v>
      </c>
      <c r="I5345" s="1242" t="s">
        <v>2268</v>
      </c>
      <c r="J5345" s="1243"/>
      <c r="K5345" s="1244"/>
      <c r="L5345" s="664"/>
      <c r="M5345" s="667" t="s">
        <v>2267</v>
      </c>
    </row>
    <row r="5346" spans="3:13">
      <c r="C5346" s="660"/>
      <c r="D5346" s="969" t="s">
        <v>433</v>
      </c>
      <c r="E5346" s="1224">
        <v>1E-3</v>
      </c>
      <c r="F5346" s="1225"/>
      <c r="G5346" s="1226"/>
      <c r="H5346" s="968" t="s">
        <v>795</v>
      </c>
      <c r="I5346" s="1245"/>
      <c r="J5346" s="1246"/>
      <c r="K5346" s="1247"/>
      <c r="L5346" s="664"/>
      <c r="M5346" s="667"/>
    </row>
    <row r="5347" spans="3:13">
      <c r="C5347" s="660"/>
      <c r="D5347" s="969" t="s">
        <v>434</v>
      </c>
      <c r="E5347" s="1224">
        <v>1E-3</v>
      </c>
      <c r="F5347" s="1225"/>
      <c r="G5347" s="1226"/>
      <c r="H5347" s="970"/>
      <c r="I5347" s="1245"/>
      <c r="J5347" s="1246"/>
      <c r="K5347" s="1247"/>
      <c r="L5347" s="664"/>
      <c r="M5347" s="667"/>
    </row>
    <row r="5348" spans="3:13" ht="17" thickBot="1">
      <c r="C5348" s="660"/>
      <c r="D5348" s="971" t="s">
        <v>435</v>
      </c>
      <c r="E5348" s="1230">
        <v>0.52083333333333337</v>
      </c>
      <c r="F5348" s="1231"/>
      <c r="G5348" s="1232"/>
      <c r="H5348" s="718"/>
      <c r="I5348" s="1245"/>
      <c r="J5348" s="1246"/>
      <c r="K5348" s="1247"/>
      <c r="L5348" s="972">
        <v>0.75</v>
      </c>
      <c r="M5348" s="681">
        <v>0.64583333333333337</v>
      </c>
    </row>
    <row r="5349" spans="3:13" ht="17" thickBot="1">
      <c r="C5349" s="660"/>
      <c r="D5349" s="973" t="s">
        <v>436</v>
      </c>
      <c r="E5349" s="974" t="s">
        <v>29</v>
      </c>
      <c r="F5349" s="974" t="s">
        <v>28</v>
      </c>
      <c r="G5349" s="975" t="s">
        <v>27</v>
      </c>
      <c r="H5349" s="976" t="s">
        <v>793</v>
      </c>
      <c r="I5349" s="1245"/>
      <c r="J5349" s="1246"/>
      <c r="K5349" s="1247"/>
      <c r="L5349" s="977" t="s">
        <v>1246</v>
      </c>
      <c r="M5349" s="978"/>
    </row>
    <row r="5350" spans="3:13">
      <c r="C5350" s="660"/>
      <c r="D5350" s="979">
        <v>45792</v>
      </c>
      <c r="E5350" s="980">
        <v>1E-3</v>
      </c>
      <c r="F5350" s="980">
        <v>0</v>
      </c>
      <c r="G5350" s="980">
        <v>1.7000000000000001E-2</v>
      </c>
      <c r="H5350" s="718">
        <v>0.52083333333333337</v>
      </c>
      <c r="I5350" s="1245"/>
      <c r="J5350" s="1246"/>
      <c r="K5350" s="1247"/>
      <c r="L5350" s="679">
        <v>0.75</v>
      </c>
      <c r="M5350" s="680"/>
    </row>
    <row r="5351" spans="3:13">
      <c r="C5351" s="660"/>
      <c r="D5351" s="979">
        <v>45763</v>
      </c>
      <c r="E5351" s="980">
        <v>1.4E-2</v>
      </c>
      <c r="F5351" s="980">
        <v>1.2999999999999999E-2</v>
      </c>
      <c r="G5351" s="980">
        <v>2E-3</v>
      </c>
      <c r="H5351" s="718">
        <v>0.52083333333333337</v>
      </c>
      <c r="I5351" s="1245"/>
      <c r="J5351" s="1246"/>
      <c r="K5351" s="1247"/>
      <c r="L5351" s="679">
        <v>0.75</v>
      </c>
      <c r="M5351" s="681"/>
    </row>
    <row r="5352" spans="3:13">
      <c r="C5352" s="660"/>
      <c r="D5352" s="979">
        <v>45733</v>
      </c>
      <c r="E5352" s="980">
        <v>2E-3</v>
      </c>
      <c r="F5352" s="980">
        <v>6.0000000000000001E-3</v>
      </c>
      <c r="G5352" s="980">
        <v>-1.2E-2</v>
      </c>
      <c r="H5352" s="718">
        <v>0.52083333333333337</v>
      </c>
      <c r="I5352" s="1245"/>
      <c r="J5352" s="1246"/>
      <c r="K5352" s="1247"/>
      <c r="L5352" s="679">
        <v>0.75</v>
      </c>
      <c r="M5352" s="667"/>
    </row>
    <row r="5353" spans="3:13">
      <c r="C5353" s="660"/>
      <c r="D5353" s="979">
        <v>45702</v>
      </c>
      <c r="E5353" s="980">
        <v>-8.9999999999999993E-3</v>
      </c>
      <c r="F5353" s="980">
        <v>-2E-3</v>
      </c>
      <c r="G5353" s="980">
        <v>7.0000000000000001E-3</v>
      </c>
      <c r="H5353" s="718">
        <v>0.5625</v>
      </c>
      <c r="I5353" s="1245"/>
      <c r="J5353" s="1246"/>
      <c r="K5353" s="1247"/>
      <c r="L5353" s="679">
        <v>0.79166666666666663</v>
      </c>
      <c r="M5353" s="667"/>
    </row>
    <row r="5354" spans="3:13">
      <c r="C5354" s="660"/>
      <c r="D5354" s="979">
        <v>45673</v>
      </c>
      <c r="E5354" s="980">
        <v>4.0000000000000001E-3</v>
      </c>
      <c r="F5354" s="980">
        <v>6.0000000000000001E-3</v>
      </c>
      <c r="G5354" s="980">
        <v>8.0000000000000002E-3</v>
      </c>
      <c r="H5354" s="718">
        <v>0.5625</v>
      </c>
      <c r="I5354" s="1245"/>
      <c r="J5354" s="1246"/>
      <c r="K5354" s="1247"/>
      <c r="L5354" s="679">
        <v>0.79166666666666663</v>
      </c>
      <c r="M5354" s="667"/>
    </row>
    <row r="5355" spans="3:13" ht="17" thickBot="1">
      <c r="C5355" s="660"/>
      <c r="D5355" s="979">
        <v>45643</v>
      </c>
      <c r="E5355" s="980">
        <v>7.0000000000000001E-3</v>
      </c>
      <c r="F5355" s="980">
        <v>6.0000000000000001E-3</v>
      </c>
      <c r="G5355" s="980">
        <v>5.0000000000000001E-3</v>
      </c>
      <c r="H5355" s="718">
        <v>0.5625</v>
      </c>
      <c r="I5355" s="1248"/>
      <c r="J5355" s="1249"/>
      <c r="K5355" s="1250"/>
      <c r="L5355" s="679">
        <v>0.79166666666666663</v>
      </c>
      <c r="M5355" s="682"/>
    </row>
    <row r="5356" spans="3:13" ht="17" thickBot="1">
      <c r="C5356" s="966">
        <v>1</v>
      </c>
      <c r="D5356" s="671" t="s">
        <v>30</v>
      </c>
      <c r="E5356" s="1252" t="s">
        <v>2269</v>
      </c>
      <c r="F5356" s="1253"/>
      <c r="G5356" s="1254"/>
      <c r="H5356" s="712" t="s">
        <v>790</v>
      </c>
      <c r="I5356" s="1255" t="s">
        <v>633</v>
      </c>
      <c r="J5356" s="1256"/>
      <c r="K5356" s="1257"/>
      <c r="L5356" s="674" t="s">
        <v>430</v>
      </c>
      <c r="M5356" s="713" t="s">
        <v>431</v>
      </c>
    </row>
    <row r="5357" spans="3:13">
      <c r="C5357" s="660"/>
      <c r="D5357" s="967" t="s">
        <v>432</v>
      </c>
      <c r="E5357" s="1239"/>
      <c r="F5357" s="1240"/>
      <c r="G5357" s="1241"/>
      <c r="H5357" s="968" t="s">
        <v>947</v>
      </c>
      <c r="I5357" s="1242" t="s">
        <v>2270</v>
      </c>
      <c r="J5357" s="1243"/>
      <c r="K5357" s="1244"/>
      <c r="L5357" s="664"/>
      <c r="M5357" s="667" t="s">
        <v>2269</v>
      </c>
    </row>
    <row r="5358" spans="3:13">
      <c r="C5358" s="660"/>
      <c r="D5358" s="969" t="s">
        <v>433</v>
      </c>
      <c r="E5358" s="1224"/>
      <c r="F5358" s="1225"/>
      <c r="G5358" s="1226"/>
      <c r="H5358" s="968" t="s">
        <v>908</v>
      </c>
      <c r="I5358" s="1245"/>
      <c r="J5358" s="1246"/>
      <c r="K5358" s="1247"/>
      <c r="L5358" s="664"/>
      <c r="M5358" s="667"/>
    </row>
    <row r="5359" spans="3:13">
      <c r="C5359" s="660"/>
      <c r="D5359" s="969" t="s">
        <v>434</v>
      </c>
      <c r="E5359" s="1227">
        <v>3.5000000000000003E-2</v>
      </c>
      <c r="F5359" s="1228"/>
      <c r="G5359" s="1229"/>
      <c r="H5359" s="970"/>
      <c r="I5359" s="1245"/>
      <c r="J5359" s="1246"/>
      <c r="K5359" s="1247"/>
      <c r="L5359" s="664"/>
      <c r="M5359" s="667"/>
    </row>
    <row r="5360" spans="3:13" ht="17" thickBot="1">
      <c r="C5360" s="660"/>
      <c r="D5360" s="971" t="s">
        <v>435</v>
      </c>
      <c r="E5360" s="1230">
        <v>0.25</v>
      </c>
      <c r="F5360" s="1231"/>
      <c r="G5360" s="1232"/>
      <c r="H5360" s="718"/>
      <c r="I5360" s="1245"/>
      <c r="J5360" s="1246"/>
      <c r="K5360" s="1247"/>
      <c r="L5360" s="972">
        <v>0.47916666666666669</v>
      </c>
      <c r="M5360" s="681">
        <v>0.375</v>
      </c>
    </row>
    <row r="5361" spans="3:13" ht="17" thickBot="1">
      <c r="C5361" s="660"/>
      <c r="D5361" s="973" t="s">
        <v>436</v>
      </c>
      <c r="E5361" s="974" t="s">
        <v>29</v>
      </c>
      <c r="F5361" s="974" t="s">
        <v>28</v>
      </c>
      <c r="G5361" s="975" t="s">
        <v>27</v>
      </c>
      <c r="H5361" s="976" t="s">
        <v>793</v>
      </c>
      <c r="I5361" s="1245"/>
      <c r="J5361" s="1246"/>
      <c r="K5361" s="1247"/>
      <c r="L5361" s="977" t="s">
        <v>1246</v>
      </c>
      <c r="M5361" s="978"/>
    </row>
    <row r="5362" spans="3:13">
      <c r="C5362" s="660"/>
      <c r="D5362" s="979">
        <v>45798</v>
      </c>
      <c r="E5362" s="720">
        <v>3.5000000000000003E-2</v>
      </c>
      <c r="F5362" s="720">
        <v>3.3000000000000002E-2</v>
      </c>
      <c r="G5362" s="720">
        <v>2.5999999999999999E-2</v>
      </c>
      <c r="H5362" s="718">
        <v>0.25</v>
      </c>
      <c r="I5362" s="1245"/>
      <c r="J5362" s="1246"/>
      <c r="K5362" s="1247"/>
      <c r="L5362" s="679">
        <v>0.47916666666666669</v>
      </c>
      <c r="M5362" s="680"/>
    </row>
    <row r="5363" spans="3:13">
      <c r="C5363" s="660"/>
      <c r="D5363" s="979">
        <v>45763</v>
      </c>
      <c r="E5363" s="720">
        <v>2.5999999999999999E-2</v>
      </c>
      <c r="F5363" s="720">
        <v>2.7E-2</v>
      </c>
      <c r="G5363" s="720">
        <v>2.8000000000000001E-2</v>
      </c>
      <c r="H5363" s="718">
        <v>0.25</v>
      </c>
      <c r="I5363" s="1245"/>
      <c r="J5363" s="1246"/>
      <c r="K5363" s="1247"/>
      <c r="L5363" s="679">
        <v>0.47916666666666669</v>
      </c>
      <c r="M5363" s="681"/>
    </row>
    <row r="5364" spans="3:13">
      <c r="C5364" s="660"/>
      <c r="D5364" s="979">
        <v>45742</v>
      </c>
      <c r="E5364" s="720">
        <v>2.8000000000000001E-2</v>
      </c>
      <c r="F5364" s="720">
        <v>0.03</v>
      </c>
      <c r="G5364" s="720">
        <v>0.03</v>
      </c>
      <c r="H5364" s="718">
        <v>0.29166666666666674</v>
      </c>
      <c r="I5364" s="1245"/>
      <c r="J5364" s="1246"/>
      <c r="K5364" s="1247"/>
      <c r="L5364" s="679">
        <v>0.52083333333333337</v>
      </c>
      <c r="M5364" s="667"/>
    </row>
    <row r="5365" spans="3:13">
      <c r="C5365" s="660"/>
      <c r="D5365" s="979">
        <v>45707</v>
      </c>
      <c r="E5365" s="720">
        <v>0.03</v>
      </c>
      <c r="F5365" s="720">
        <v>2.8000000000000001E-2</v>
      </c>
      <c r="G5365" s="720">
        <v>2.5000000000000001E-2</v>
      </c>
      <c r="H5365" s="718">
        <v>0.29166666666666674</v>
      </c>
      <c r="I5365" s="1245"/>
      <c r="J5365" s="1246"/>
      <c r="K5365" s="1247"/>
      <c r="L5365" s="679">
        <v>0.52083333333333337</v>
      </c>
      <c r="M5365" s="667"/>
    </row>
    <row r="5366" spans="3:13">
      <c r="C5366" s="660"/>
      <c r="D5366" s="979">
        <v>45672</v>
      </c>
      <c r="E5366" s="720">
        <v>2.5000000000000001E-2</v>
      </c>
      <c r="F5366" s="720">
        <v>2.5999999999999999E-2</v>
      </c>
      <c r="G5366" s="720">
        <v>2.5999999999999999E-2</v>
      </c>
      <c r="H5366" s="718">
        <v>0.29166666666666674</v>
      </c>
      <c r="I5366" s="1245"/>
      <c r="J5366" s="1246"/>
      <c r="K5366" s="1247"/>
      <c r="L5366" s="679">
        <v>0.52083333333333337</v>
      </c>
      <c r="M5366" s="667"/>
    </row>
    <row r="5367" spans="3:13" ht="17" thickBot="1">
      <c r="C5367" s="660"/>
      <c r="D5367" s="979">
        <v>45644</v>
      </c>
      <c r="E5367" s="720">
        <v>2.5999999999999999E-2</v>
      </c>
      <c r="F5367" s="720">
        <v>2.5999999999999999E-2</v>
      </c>
      <c r="G5367" s="720">
        <v>2.3E-2</v>
      </c>
      <c r="H5367" s="718">
        <v>0.29166666666666674</v>
      </c>
      <c r="I5367" s="1248"/>
      <c r="J5367" s="1249"/>
      <c r="K5367" s="1250"/>
      <c r="L5367" s="679">
        <v>0.52083333333333337</v>
      </c>
      <c r="M5367" s="682"/>
    </row>
    <row r="5368" spans="3:13" ht="17" thickBot="1">
      <c r="C5368" s="966">
        <v>1</v>
      </c>
      <c r="D5368" s="671" t="s">
        <v>30</v>
      </c>
      <c r="E5368" s="1252" t="s">
        <v>2271</v>
      </c>
      <c r="F5368" s="1253"/>
      <c r="G5368" s="1254"/>
      <c r="H5368" s="712" t="s">
        <v>790</v>
      </c>
      <c r="I5368" s="1255" t="s">
        <v>633</v>
      </c>
      <c r="J5368" s="1256"/>
      <c r="K5368" s="1257"/>
      <c r="L5368" s="674" t="s">
        <v>430</v>
      </c>
      <c r="M5368" s="713" t="s">
        <v>431</v>
      </c>
    </row>
    <row r="5369" spans="3:13">
      <c r="C5369" s="660"/>
      <c r="D5369" s="967" t="s">
        <v>432</v>
      </c>
      <c r="E5369" s="1239"/>
      <c r="F5369" s="1240"/>
      <c r="G5369" s="1241"/>
      <c r="H5369" s="968" t="s">
        <v>909</v>
      </c>
      <c r="I5369" s="1242" t="s">
        <v>2272</v>
      </c>
      <c r="J5369" s="1243"/>
      <c r="K5369" s="1244"/>
      <c r="L5369" s="664"/>
      <c r="M5369" s="667" t="s">
        <v>2271</v>
      </c>
    </row>
    <row r="5370" spans="3:13">
      <c r="C5370" s="660"/>
      <c r="D5370" s="969" t="s">
        <v>433</v>
      </c>
      <c r="E5370" s="1224">
        <v>1.9E-2</v>
      </c>
      <c r="F5370" s="1225"/>
      <c r="G5370" s="1226"/>
      <c r="H5370" s="968" t="s">
        <v>910</v>
      </c>
      <c r="I5370" s="1245"/>
      <c r="J5370" s="1246"/>
      <c r="K5370" s="1247"/>
      <c r="L5370" s="664"/>
      <c r="M5370" s="667"/>
    </row>
    <row r="5371" spans="3:13">
      <c r="C5371" s="660"/>
      <c r="D5371" s="969" t="s">
        <v>434</v>
      </c>
      <c r="E5371" s="1224">
        <v>1.9E-2</v>
      </c>
      <c r="F5371" s="1225"/>
      <c r="G5371" s="1226"/>
      <c r="H5371" s="970"/>
      <c r="I5371" s="1245"/>
      <c r="J5371" s="1246"/>
      <c r="K5371" s="1247"/>
      <c r="L5371" s="664"/>
      <c r="M5371" s="667"/>
    </row>
    <row r="5372" spans="3:13" ht="17" thickBot="1">
      <c r="C5372" s="660"/>
      <c r="D5372" s="971" t="s">
        <v>435</v>
      </c>
      <c r="E5372" s="1230">
        <v>0.375</v>
      </c>
      <c r="F5372" s="1231"/>
      <c r="G5372" s="1232"/>
      <c r="H5372" s="718"/>
      <c r="I5372" s="1245"/>
      <c r="J5372" s="1246"/>
      <c r="K5372" s="1247"/>
      <c r="L5372" s="972">
        <v>0.60416666666666663</v>
      </c>
      <c r="M5372" s="681">
        <v>0.49999999999999994</v>
      </c>
    </row>
    <row r="5373" spans="3:13" ht="17" thickBot="1">
      <c r="C5373" s="660"/>
      <c r="D5373" s="973" t="s">
        <v>436</v>
      </c>
      <c r="E5373" s="974" t="s">
        <v>29</v>
      </c>
      <c r="F5373" s="974" t="s">
        <v>28</v>
      </c>
      <c r="G5373" s="975" t="s">
        <v>27</v>
      </c>
      <c r="H5373" s="976" t="s">
        <v>793</v>
      </c>
      <c r="I5373" s="1245"/>
      <c r="J5373" s="1246"/>
      <c r="K5373" s="1247"/>
      <c r="L5373" s="977" t="s">
        <v>1246</v>
      </c>
      <c r="M5373" s="978"/>
    </row>
    <row r="5374" spans="3:13">
      <c r="C5374" s="660"/>
      <c r="D5374" s="979">
        <v>45810</v>
      </c>
      <c r="E5374" s="980">
        <v>1.9E-2</v>
      </c>
      <c r="F5374" s="980">
        <v>0.02</v>
      </c>
      <c r="G5374" s="980">
        <v>2.1999999999999999E-2</v>
      </c>
      <c r="H5374" s="718">
        <v>0.375</v>
      </c>
      <c r="I5374" s="1245"/>
      <c r="J5374" s="1246"/>
      <c r="K5374" s="1247"/>
      <c r="L5374" s="679">
        <v>0.60416666666666663</v>
      </c>
      <c r="M5374" s="680"/>
    </row>
    <row r="5375" spans="3:13">
      <c r="C5375" s="660"/>
      <c r="D5375" s="979">
        <v>45796</v>
      </c>
      <c r="E5375" s="980">
        <v>2.1999999999999999E-2</v>
      </c>
      <c r="F5375" s="980">
        <v>2.1999999999999999E-2</v>
      </c>
      <c r="G5375" s="980">
        <v>2.1999999999999999E-2</v>
      </c>
      <c r="H5375" s="718">
        <v>0.375</v>
      </c>
      <c r="I5375" s="1245"/>
      <c r="J5375" s="1246"/>
      <c r="K5375" s="1247"/>
      <c r="L5375" s="679">
        <v>0.60416666666666663</v>
      </c>
      <c r="M5375" s="681"/>
    </row>
    <row r="5376" spans="3:13">
      <c r="C5376" s="660"/>
      <c r="D5376" s="979">
        <v>45779</v>
      </c>
      <c r="E5376" s="980">
        <v>2.1999999999999999E-2</v>
      </c>
      <c r="F5376" s="980">
        <v>2.1000000000000001E-2</v>
      </c>
      <c r="G5376" s="980">
        <v>2.1999999999999999E-2</v>
      </c>
      <c r="H5376" s="718">
        <v>0.375</v>
      </c>
      <c r="I5376" s="1245"/>
      <c r="J5376" s="1246"/>
      <c r="K5376" s="1247"/>
      <c r="L5376" s="679">
        <v>0.60416666666666663</v>
      </c>
      <c r="M5376" s="667"/>
    </row>
    <row r="5377" spans="3:13">
      <c r="C5377" s="660"/>
      <c r="D5377" s="979">
        <v>45763</v>
      </c>
      <c r="E5377" s="980">
        <v>2.1999999999999999E-2</v>
      </c>
      <c r="F5377" s="980">
        <v>2.1999999999999999E-2</v>
      </c>
      <c r="G5377" s="980">
        <v>2.3E-2</v>
      </c>
      <c r="H5377" s="718">
        <v>0.375</v>
      </c>
      <c r="I5377" s="1245"/>
      <c r="J5377" s="1246"/>
      <c r="K5377" s="1247"/>
      <c r="L5377" s="679">
        <v>0.60416666666666663</v>
      </c>
      <c r="M5377" s="667"/>
    </row>
    <row r="5378" spans="3:13">
      <c r="C5378" s="660"/>
      <c r="D5378" s="979">
        <v>45748</v>
      </c>
      <c r="E5378" s="980">
        <v>2.1999999999999999E-2</v>
      </c>
      <c r="F5378" s="980">
        <v>2.1999999999999999E-2</v>
      </c>
      <c r="G5378" s="980">
        <v>2.3E-2</v>
      </c>
      <c r="H5378" s="718">
        <v>0.375</v>
      </c>
      <c r="I5378" s="1245"/>
      <c r="J5378" s="1246"/>
      <c r="K5378" s="1247"/>
      <c r="L5378" s="679">
        <v>0.60416666666666663</v>
      </c>
      <c r="M5378" s="667"/>
    </row>
    <row r="5379" spans="3:13" ht="17" thickBot="1">
      <c r="C5379" s="660"/>
      <c r="D5379" s="979">
        <v>45734</v>
      </c>
      <c r="E5379" s="980">
        <v>2.3E-2</v>
      </c>
      <c r="F5379" s="980">
        <v>2.4E-2</v>
      </c>
      <c r="G5379" s="980">
        <v>2.5000000000000001E-2</v>
      </c>
      <c r="H5379" s="718">
        <v>0.41666666666666674</v>
      </c>
      <c r="I5379" s="1248"/>
      <c r="J5379" s="1249"/>
      <c r="K5379" s="1250"/>
      <c r="L5379" s="679">
        <v>0.64583333333333337</v>
      </c>
      <c r="M5379" s="682"/>
    </row>
    <row r="5380" spans="3:13" ht="17" thickBot="1">
      <c r="C5380" s="966">
        <v>1</v>
      </c>
      <c r="D5380" s="671" t="s">
        <v>30</v>
      </c>
      <c r="E5380" s="1252" t="s">
        <v>1421</v>
      </c>
      <c r="F5380" s="1253"/>
      <c r="G5380" s="1254"/>
      <c r="H5380" s="712" t="s">
        <v>790</v>
      </c>
      <c r="I5380" s="1255" t="s">
        <v>633</v>
      </c>
      <c r="J5380" s="1256"/>
      <c r="K5380" s="1257"/>
      <c r="L5380" s="674" t="s">
        <v>430</v>
      </c>
      <c r="M5380" s="713" t="s">
        <v>431</v>
      </c>
    </row>
    <row r="5381" spans="3:13">
      <c r="C5381" s="660"/>
      <c r="D5381" s="967" t="s">
        <v>432</v>
      </c>
      <c r="E5381" s="1239"/>
      <c r="F5381" s="1240"/>
      <c r="G5381" s="1241"/>
      <c r="H5381" s="968" t="s">
        <v>794</v>
      </c>
      <c r="I5381" s="1242" t="s">
        <v>1460</v>
      </c>
      <c r="J5381" s="1243"/>
      <c r="K5381" s="1244"/>
      <c r="L5381" s="664"/>
      <c r="M5381" s="667" t="s">
        <v>1421</v>
      </c>
    </row>
    <row r="5382" spans="3:13">
      <c r="C5382" s="660"/>
      <c r="D5382" s="969" t="s">
        <v>433</v>
      </c>
      <c r="E5382" s="1224"/>
      <c r="F5382" s="1225"/>
      <c r="G5382" s="1226"/>
      <c r="H5382" s="968" t="s">
        <v>795</v>
      </c>
      <c r="I5382" s="1245"/>
      <c r="J5382" s="1246"/>
      <c r="K5382" s="1247"/>
      <c r="L5382" s="664"/>
      <c r="M5382" s="667"/>
    </row>
    <row r="5383" spans="3:13">
      <c r="C5383" s="660"/>
      <c r="D5383" s="969" t="s">
        <v>434</v>
      </c>
      <c r="E5383" s="1224" t="s">
        <v>2273</v>
      </c>
      <c r="F5383" s="1225"/>
      <c r="G5383" s="1226"/>
      <c r="H5383" s="970"/>
      <c r="I5383" s="1245"/>
      <c r="J5383" s="1246"/>
      <c r="K5383" s="1247"/>
      <c r="L5383" s="664"/>
      <c r="M5383" s="667"/>
    </row>
    <row r="5384" spans="3:13" ht="17" thickBot="1">
      <c r="C5384" s="660"/>
      <c r="D5384" s="971" t="s">
        <v>435</v>
      </c>
      <c r="E5384" s="1230">
        <v>0.52083333333333337</v>
      </c>
      <c r="F5384" s="1231"/>
      <c r="G5384" s="1232"/>
      <c r="H5384" s="718"/>
      <c r="I5384" s="1245"/>
      <c r="J5384" s="1246"/>
      <c r="K5384" s="1247"/>
      <c r="L5384" s="972">
        <v>0.75</v>
      </c>
      <c r="M5384" s="681">
        <v>0.64583333333333337</v>
      </c>
    </row>
    <row r="5385" spans="3:13" ht="17" thickBot="1">
      <c r="C5385" s="660"/>
      <c r="D5385" s="973" t="s">
        <v>436</v>
      </c>
      <c r="E5385" s="974" t="s">
        <v>29</v>
      </c>
      <c r="F5385" s="974" t="s">
        <v>28</v>
      </c>
      <c r="G5385" s="975" t="s">
        <v>27</v>
      </c>
      <c r="H5385" s="976" t="s">
        <v>793</v>
      </c>
      <c r="I5385" s="1245"/>
      <c r="J5385" s="1246"/>
      <c r="K5385" s="1247"/>
      <c r="L5385" s="977" t="s">
        <v>1246</v>
      </c>
      <c r="M5385" s="978"/>
    </row>
    <row r="5386" spans="3:13">
      <c r="C5386" s="660"/>
      <c r="D5386" s="979">
        <v>45820</v>
      </c>
      <c r="E5386" s="980" t="s">
        <v>2295</v>
      </c>
      <c r="F5386" s="980" t="s">
        <v>980</v>
      </c>
      <c r="G5386" s="980" t="s">
        <v>2295</v>
      </c>
      <c r="H5386" s="718">
        <v>0.52083333333333337</v>
      </c>
      <c r="I5386" s="1245"/>
      <c r="J5386" s="1246"/>
      <c r="K5386" s="1247"/>
      <c r="L5386" s="679">
        <v>0.75</v>
      </c>
      <c r="M5386" s="680"/>
    </row>
    <row r="5387" spans="3:13">
      <c r="C5387" s="660"/>
      <c r="D5387" s="979">
        <v>45813</v>
      </c>
      <c r="E5387" s="980" t="s">
        <v>2293</v>
      </c>
      <c r="F5387" s="980" t="s">
        <v>2294</v>
      </c>
      <c r="G5387" s="980" t="s">
        <v>2296</v>
      </c>
      <c r="H5387" s="718">
        <v>0.52083333333333337</v>
      </c>
      <c r="I5387" s="1245"/>
      <c r="J5387" s="1246"/>
      <c r="K5387" s="1247"/>
      <c r="L5387" s="679">
        <v>0.75</v>
      </c>
      <c r="M5387" s="681"/>
    </row>
    <row r="5388" spans="3:13">
      <c r="C5388" s="660"/>
      <c r="D5388" s="979">
        <v>45806</v>
      </c>
      <c r="E5388" s="980" t="s">
        <v>2240</v>
      </c>
      <c r="F5388" s="980" t="s">
        <v>976</v>
      </c>
      <c r="G5388" s="980" t="s">
        <v>1703</v>
      </c>
      <c r="H5388" s="718">
        <v>0.52083333333333337</v>
      </c>
      <c r="I5388" s="1245"/>
      <c r="J5388" s="1246"/>
      <c r="K5388" s="1247"/>
      <c r="L5388" s="679">
        <v>0.75</v>
      </c>
      <c r="M5388" s="667"/>
    </row>
    <row r="5389" spans="3:13">
      <c r="C5389" s="660"/>
      <c r="D5389" s="979">
        <v>45799</v>
      </c>
      <c r="E5389" s="980" t="s">
        <v>978</v>
      </c>
      <c r="F5389" s="980" t="s">
        <v>2241</v>
      </c>
      <c r="G5389" s="980" t="s">
        <v>976</v>
      </c>
      <c r="H5389" s="718">
        <v>0.52083333333333337</v>
      </c>
      <c r="I5389" s="1245"/>
      <c r="J5389" s="1246"/>
      <c r="K5389" s="1247"/>
      <c r="L5389" s="679">
        <v>0.75</v>
      </c>
      <c r="M5389" s="667"/>
    </row>
    <row r="5390" spans="3:13">
      <c r="C5390" s="660"/>
      <c r="D5390" s="979">
        <v>45792</v>
      </c>
      <c r="E5390" s="980" t="s">
        <v>976</v>
      </c>
      <c r="F5390" s="980" t="s">
        <v>976</v>
      </c>
      <c r="G5390" s="980" t="s">
        <v>976</v>
      </c>
      <c r="H5390" s="718">
        <v>0.52083333333333337</v>
      </c>
      <c r="I5390" s="1245"/>
      <c r="J5390" s="1246"/>
      <c r="K5390" s="1247"/>
      <c r="L5390" s="679">
        <v>0.75</v>
      </c>
      <c r="M5390" s="667"/>
    </row>
    <row r="5391" spans="3:13" ht="17" thickBot="1">
      <c r="C5391" s="660"/>
      <c r="D5391" s="979">
        <v>45785</v>
      </c>
      <c r="E5391" s="980" t="s">
        <v>977</v>
      </c>
      <c r="F5391" s="980" t="s">
        <v>984</v>
      </c>
      <c r="G5391" s="980" t="s">
        <v>981</v>
      </c>
      <c r="H5391" s="718">
        <v>0.52083333333333337</v>
      </c>
      <c r="I5391" s="1248"/>
      <c r="J5391" s="1249"/>
      <c r="K5391" s="1250"/>
      <c r="L5391" s="679">
        <v>0.75</v>
      </c>
      <c r="M5391" s="682"/>
    </row>
    <row r="5392" spans="3:13" ht="17" thickBot="1">
      <c r="C5392" s="966">
        <v>1</v>
      </c>
      <c r="D5392" s="671" t="s">
        <v>30</v>
      </c>
      <c r="E5392" s="1252" t="s">
        <v>1503</v>
      </c>
      <c r="F5392" s="1253"/>
      <c r="G5392" s="1254"/>
      <c r="H5392" s="712" t="s">
        <v>790</v>
      </c>
      <c r="I5392" s="1255" t="s">
        <v>633</v>
      </c>
      <c r="J5392" s="1256"/>
      <c r="K5392" s="1257"/>
      <c r="L5392" s="674" t="s">
        <v>430</v>
      </c>
      <c r="M5392" s="713" t="s">
        <v>431</v>
      </c>
    </row>
    <row r="5393" spans="3:13">
      <c r="C5393" s="660"/>
      <c r="D5393" s="967" t="s">
        <v>432</v>
      </c>
      <c r="E5393" s="1239"/>
      <c r="F5393" s="1240"/>
      <c r="G5393" s="1241"/>
      <c r="H5393" s="968" t="s">
        <v>796</v>
      </c>
      <c r="I5393" s="1242" t="s">
        <v>1678</v>
      </c>
      <c r="J5393" s="1243"/>
      <c r="K5393" s="1244"/>
      <c r="L5393" s="664"/>
      <c r="M5393" s="667" t="s">
        <v>1503</v>
      </c>
    </row>
    <row r="5394" spans="3:13">
      <c r="C5394" s="660"/>
      <c r="D5394" s="969" t="s">
        <v>433</v>
      </c>
      <c r="E5394" s="1224"/>
      <c r="F5394" s="1225"/>
      <c r="G5394" s="1226"/>
      <c r="H5394" s="968" t="s">
        <v>796</v>
      </c>
      <c r="I5394" s="1245"/>
      <c r="J5394" s="1246"/>
      <c r="K5394" s="1247"/>
      <c r="L5394" s="664"/>
      <c r="M5394" s="667"/>
    </row>
    <row r="5395" spans="3:13">
      <c r="C5395" s="660"/>
      <c r="D5395" s="969" t="s">
        <v>434</v>
      </c>
      <c r="E5395" s="1224" t="s">
        <v>2274</v>
      </c>
      <c r="F5395" s="1225"/>
      <c r="G5395" s="1226"/>
      <c r="H5395" s="970"/>
      <c r="I5395" s="1245"/>
      <c r="J5395" s="1246"/>
      <c r="K5395" s="1247"/>
      <c r="L5395" s="664"/>
      <c r="M5395" s="667"/>
    </row>
    <row r="5396" spans="3:13" ht="17" thickBot="1">
      <c r="C5396" s="660"/>
      <c r="D5396" s="971" t="s">
        <v>435</v>
      </c>
      <c r="E5396" s="1230">
        <v>0.60416666666666674</v>
      </c>
      <c r="F5396" s="1231"/>
      <c r="G5396" s="1232"/>
      <c r="H5396" s="718"/>
      <c r="I5396" s="1245"/>
      <c r="J5396" s="1246"/>
      <c r="K5396" s="1247"/>
      <c r="L5396" s="972">
        <v>0.83333333333333337</v>
      </c>
      <c r="M5396" s="681">
        <v>0.72916666666666674</v>
      </c>
    </row>
    <row r="5397" spans="3:13" ht="17" thickBot="1">
      <c r="C5397" s="660"/>
      <c r="D5397" s="973" t="s">
        <v>436</v>
      </c>
      <c r="E5397" s="974" t="s">
        <v>29</v>
      </c>
      <c r="F5397" s="974" t="s">
        <v>28</v>
      </c>
      <c r="G5397" s="975" t="s">
        <v>27</v>
      </c>
      <c r="H5397" s="976" t="s">
        <v>793</v>
      </c>
      <c r="I5397" s="1245"/>
      <c r="J5397" s="1246"/>
      <c r="K5397" s="1247"/>
      <c r="L5397" s="977" t="s">
        <v>1246</v>
      </c>
      <c r="M5397" s="978"/>
    </row>
    <row r="5398" spans="3:13">
      <c r="C5398" s="660"/>
      <c r="D5398" s="979">
        <v>45819</v>
      </c>
      <c r="E5398" s="980" t="s">
        <v>2297</v>
      </c>
      <c r="F5398" s="980" t="s">
        <v>1392</v>
      </c>
      <c r="G5398" s="980" t="s">
        <v>2291</v>
      </c>
      <c r="H5398" s="981">
        <v>0.72916666666666674</v>
      </c>
      <c r="I5398" s="1245"/>
      <c r="J5398" s="1246"/>
      <c r="K5398" s="1247"/>
      <c r="L5398" s="679">
        <v>0.83333333333333337</v>
      </c>
      <c r="M5398" s="680"/>
    </row>
    <row r="5399" spans="3:13">
      <c r="C5399" s="660"/>
      <c r="D5399" s="979">
        <v>45812</v>
      </c>
      <c r="E5399" s="980" t="s">
        <v>2291</v>
      </c>
      <c r="F5399" s="980" t="s">
        <v>2292</v>
      </c>
      <c r="G5399" s="980" t="s">
        <v>2238</v>
      </c>
      <c r="H5399" s="981">
        <v>0.72916666666666674</v>
      </c>
      <c r="I5399" s="1245"/>
      <c r="J5399" s="1246"/>
      <c r="K5399" s="1247"/>
      <c r="L5399" s="679">
        <v>0.83333333333333337</v>
      </c>
      <c r="M5399" s="681"/>
    </row>
    <row r="5400" spans="3:13">
      <c r="C5400" s="660"/>
      <c r="D5400" s="979">
        <v>45806</v>
      </c>
      <c r="E5400" s="980" t="s">
        <v>2238</v>
      </c>
      <c r="F5400" s="980" t="s">
        <v>2239</v>
      </c>
      <c r="G5400" s="980" t="s">
        <v>2182</v>
      </c>
      <c r="H5400" s="981">
        <v>0.79166666666666674</v>
      </c>
      <c r="I5400" s="1245"/>
      <c r="J5400" s="1246"/>
      <c r="K5400" s="1247"/>
      <c r="L5400" s="679">
        <v>0.89583333333333337</v>
      </c>
      <c r="M5400" s="667"/>
    </row>
    <row r="5401" spans="3:13">
      <c r="C5401" s="660"/>
      <c r="D5401" s="979">
        <v>45798</v>
      </c>
      <c r="E5401" s="980" t="s">
        <v>2182</v>
      </c>
      <c r="F5401" s="980" t="s">
        <v>2298</v>
      </c>
      <c r="G5401" s="980" t="s">
        <v>2127</v>
      </c>
      <c r="H5401" s="981">
        <v>0.72916666666666674</v>
      </c>
      <c r="I5401" s="1245"/>
      <c r="J5401" s="1246"/>
      <c r="K5401" s="1247"/>
      <c r="L5401" s="679">
        <v>0.83333333333333337</v>
      </c>
      <c r="M5401" s="667"/>
    </row>
    <row r="5402" spans="3:13">
      <c r="C5402" s="660"/>
      <c r="D5402" s="979">
        <v>45791</v>
      </c>
      <c r="E5402" s="980" t="s">
        <v>2127</v>
      </c>
      <c r="F5402" s="980" t="s">
        <v>2299</v>
      </c>
      <c r="G5402" s="980" t="s">
        <v>2300</v>
      </c>
      <c r="H5402" s="981">
        <v>0.72916666666666674</v>
      </c>
      <c r="I5402" s="1245"/>
      <c r="J5402" s="1246"/>
      <c r="K5402" s="1247"/>
      <c r="L5402" s="679">
        <v>0.83333333333333337</v>
      </c>
      <c r="M5402" s="667"/>
    </row>
    <row r="5403" spans="3:13" ht="17" thickBot="1">
      <c r="C5403" s="660"/>
      <c r="D5403" s="979">
        <v>45784</v>
      </c>
      <c r="E5403" s="980" t="s">
        <v>2300</v>
      </c>
      <c r="F5403" s="980" t="s">
        <v>2301</v>
      </c>
      <c r="G5403" s="980" t="s">
        <v>2098</v>
      </c>
      <c r="H5403" s="981">
        <v>0.72916666666666674</v>
      </c>
      <c r="I5403" s="1248"/>
      <c r="J5403" s="1249"/>
      <c r="K5403" s="1250"/>
      <c r="L5403" s="679">
        <v>0.83333333333333337</v>
      </c>
      <c r="M5403" s="682"/>
    </row>
    <row r="5404" spans="3:13" ht="17" thickBot="1">
      <c r="C5404" s="966">
        <v>1</v>
      </c>
      <c r="D5404" s="671" t="s">
        <v>30</v>
      </c>
      <c r="E5404" s="1252" t="s">
        <v>2275</v>
      </c>
      <c r="F5404" s="1253"/>
      <c r="G5404" s="1254"/>
      <c r="H5404" s="712" t="s">
        <v>790</v>
      </c>
      <c r="I5404" s="1255" t="s">
        <v>633</v>
      </c>
      <c r="J5404" s="1256"/>
      <c r="K5404" s="1257"/>
      <c r="L5404" s="674" t="s">
        <v>430</v>
      </c>
      <c r="M5404" s="713" t="s">
        <v>431</v>
      </c>
    </row>
    <row r="5405" spans="3:13">
      <c r="C5405" s="660"/>
      <c r="D5405" s="967" t="s">
        <v>432</v>
      </c>
      <c r="E5405" s="1239"/>
      <c r="F5405" s="1240"/>
      <c r="G5405" s="1241"/>
      <c r="H5405" s="968" t="s">
        <v>794</v>
      </c>
      <c r="I5405" s="1242" t="s">
        <v>2276</v>
      </c>
      <c r="J5405" s="1243"/>
      <c r="K5405" s="1244"/>
      <c r="L5405" s="664"/>
      <c r="M5405" s="667" t="s">
        <v>2275</v>
      </c>
    </row>
    <row r="5406" spans="3:13">
      <c r="C5406" s="660"/>
      <c r="D5406" s="969" t="s">
        <v>433</v>
      </c>
      <c r="E5406" s="1224"/>
      <c r="F5406" s="1225"/>
      <c r="G5406" s="1226"/>
      <c r="H5406" s="968" t="s">
        <v>795</v>
      </c>
      <c r="I5406" s="1245"/>
      <c r="J5406" s="1246"/>
      <c r="K5406" s="1247"/>
      <c r="L5406" s="664"/>
      <c r="M5406" s="667"/>
    </row>
    <row r="5407" spans="3:13">
      <c r="C5407" s="660"/>
      <c r="D5407" s="969" t="s">
        <v>434</v>
      </c>
      <c r="E5407" s="1224"/>
      <c r="F5407" s="1225"/>
      <c r="G5407" s="1226"/>
      <c r="H5407" s="970"/>
      <c r="I5407" s="1245"/>
      <c r="J5407" s="1246"/>
      <c r="K5407" s="1247"/>
      <c r="L5407" s="664"/>
      <c r="M5407" s="667"/>
    </row>
    <row r="5408" spans="3:13" ht="17" thickBot="1">
      <c r="C5408" s="660"/>
      <c r="D5408" s="971" t="s">
        <v>435</v>
      </c>
      <c r="E5408" s="1230">
        <v>0.77083333333333337</v>
      </c>
      <c r="F5408" s="1231"/>
      <c r="G5408" s="1232"/>
      <c r="H5408" s="718"/>
      <c r="I5408" s="1245"/>
      <c r="J5408" s="1246"/>
      <c r="K5408" s="1247"/>
      <c r="L5408" s="982">
        <v>0</v>
      </c>
      <c r="M5408" s="681">
        <v>0.89583333333333337</v>
      </c>
    </row>
    <row r="5409" spans="3:13" ht="17" thickBot="1">
      <c r="C5409" s="660"/>
      <c r="D5409" s="973" t="s">
        <v>436</v>
      </c>
      <c r="E5409" s="974" t="s">
        <v>29</v>
      </c>
      <c r="F5409" s="974" t="s">
        <v>28</v>
      </c>
      <c r="G5409" s="975" t="s">
        <v>27</v>
      </c>
      <c r="H5409" s="976" t="s">
        <v>793</v>
      </c>
      <c r="I5409" s="1245"/>
      <c r="J5409" s="1246"/>
      <c r="K5409" s="1247"/>
      <c r="L5409" s="977" t="s">
        <v>1246</v>
      </c>
      <c r="M5409" s="978"/>
    </row>
    <row r="5410" spans="3:13">
      <c r="C5410" s="660"/>
      <c r="D5410" s="979">
        <v>45735</v>
      </c>
      <c r="E5410" s="980"/>
      <c r="F5410" s="980"/>
      <c r="G5410" s="980"/>
      <c r="H5410" s="718">
        <v>0.75</v>
      </c>
      <c r="I5410" s="1245"/>
      <c r="J5410" s="1246"/>
      <c r="K5410" s="1247"/>
      <c r="L5410" s="679">
        <v>0.97916666666666663</v>
      </c>
      <c r="M5410" s="680"/>
    </row>
    <row r="5411" spans="3:13">
      <c r="C5411" s="660"/>
      <c r="D5411" s="979">
        <v>45644</v>
      </c>
      <c r="E5411" s="980"/>
      <c r="F5411" s="980"/>
      <c r="G5411" s="980"/>
      <c r="H5411" s="718">
        <v>0.79166666666666674</v>
      </c>
      <c r="I5411" s="1245"/>
      <c r="J5411" s="1246"/>
      <c r="K5411" s="1247"/>
      <c r="L5411" s="679">
        <v>2.0833333333333332E-2</v>
      </c>
      <c r="M5411" s="681"/>
    </row>
    <row r="5412" spans="3:13">
      <c r="C5412" s="660"/>
      <c r="D5412" s="979">
        <v>45553</v>
      </c>
      <c r="E5412" s="980"/>
      <c r="F5412" s="980"/>
      <c r="G5412" s="980"/>
      <c r="H5412" s="718">
        <v>0.75</v>
      </c>
      <c r="I5412" s="1245"/>
      <c r="J5412" s="1246"/>
      <c r="K5412" s="1247"/>
      <c r="L5412" s="679">
        <v>0.97916666666666663</v>
      </c>
      <c r="M5412" s="667"/>
    </row>
    <row r="5413" spans="3:13">
      <c r="C5413" s="660"/>
      <c r="D5413" s="979">
        <v>45455</v>
      </c>
      <c r="E5413" s="980"/>
      <c r="F5413" s="980"/>
      <c r="G5413" s="980"/>
      <c r="H5413" s="718">
        <v>0.75</v>
      </c>
      <c r="I5413" s="1245"/>
      <c r="J5413" s="1246"/>
      <c r="K5413" s="1247"/>
      <c r="L5413" s="679">
        <v>0.97916666666666663</v>
      </c>
      <c r="M5413" s="667"/>
    </row>
    <row r="5414" spans="3:13">
      <c r="C5414" s="660"/>
      <c r="D5414" s="979">
        <v>45371</v>
      </c>
      <c r="E5414" s="980"/>
      <c r="F5414" s="980"/>
      <c r="G5414" s="980"/>
      <c r="H5414" s="718">
        <v>0.75</v>
      </c>
      <c r="I5414" s="1245"/>
      <c r="J5414" s="1246"/>
      <c r="K5414" s="1247"/>
      <c r="L5414" s="679">
        <v>0.97916666666666663</v>
      </c>
      <c r="M5414" s="667"/>
    </row>
    <row r="5415" spans="3:13" ht="17" thickBot="1">
      <c r="C5415" s="660"/>
      <c r="D5415" s="979">
        <v>45273</v>
      </c>
      <c r="E5415" s="980"/>
      <c r="F5415" s="980"/>
      <c r="G5415" s="980"/>
      <c r="H5415" s="718">
        <v>0.79166666666666674</v>
      </c>
      <c r="I5415" s="1248"/>
      <c r="J5415" s="1249"/>
      <c r="K5415" s="1250"/>
      <c r="L5415" s="679">
        <v>2.0833333333333332E-2</v>
      </c>
      <c r="M5415" s="682"/>
    </row>
    <row r="5416" spans="3:13" ht="17" thickBot="1">
      <c r="C5416" s="660">
        <v>1</v>
      </c>
      <c r="D5416" s="671" t="s">
        <v>30</v>
      </c>
      <c r="E5416" s="1252" t="s">
        <v>1508</v>
      </c>
      <c r="F5416" s="1253"/>
      <c r="G5416" s="1254"/>
      <c r="H5416" s="712" t="s">
        <v>790</v>
      </c>
      <c r="I5416" s="1255" t="s">
        <v>633</v>
      </c>
      <c r="J5416" s="1256"/>
      <c r="K5416" s="1257"/>
      <c r="L5416" s="674" t="s">
        <v>430</v>
      </c>
      <c r="M5416" s="713" t="s">
        <v>431</v>
      </c>
    </row>
    <row r="5417" spans="3:13">
      <c r="C5417" s="660"/>
      <c r="D5417" s="967" t="s">
        <v>432</v>
      </c>
      <c r="E5417" s="1239"/>
      <c r="F5417" s="1240"/>
      <c r="G5417" s="1241"/>
      <c r="H5417" s="968" t="s">
        <v>794</v>
      </c>
      <c r="I5417" s="1242" t="s">
        <v>2279</v>
      </c>
      <c r="J5417" s="1243"/>
      <c r="K5417" s="1244"/>
      <c r="L5417" s="664"/>
      <c r="M5417" s="667" t="s">
        <v>1508</v>
      </c>
    </row>
    <row r="5418" spans="3:13">
      <c r="C5418" s="660"/>
      <c r="D5418" s="969" t="s">
        <v>433</v>
      </c>
      <c r="E5418" s="1224"/>
      <c r="F5418" s="1225"/>
      <c r="G5418" s="1226"/>
      <c r="H5418" s="968" t="s">
        <v>795</v>
      </c>
      <c r="I5418" s="1245"/>
      <c r="J5418" s="1246"/>
      <c r="K5418" s="1247"/>
      <c r="L5418" s="664"/>
      <c r="M5418" s="667"/>
    </row>
    <row r="5419" spans="3:13">
      <c r="C5419" s="660"/>
      <c r="D5419" s="969" t="s">
        <v>434</v>
      </c>
      <c r="E5419" s="1227">
        <v>4.4999999999999998E-2</v>
      </c>
      <c r="F5419" s="1228"/>
      <c r="G5419" s="1229"/>
      <c r="H5419" s="970"/>
      <c r="I5419" s="1245"/>
      <c r="J5419" s="1246"/>
      <c r="K5419" s="1247"/>
      <c r="L5419" s="664"/>
      <c r="M5419" s="667"/>
    </row>
    <row r="5420" spans="3:13" ht="17" thickBot="1">
      <c r="C5420" s="660"/>
      <c r="D5420" s="971" t="s">
        <v>435</v>
      </c>
      <c r="E5420" s="1230">
        <v>0.75</v>
      </c>
      <c r="F5420" s="1231"/>
      <c r="G5420" s="1232"/>
      <c r="H5420" s="718"/>
      <c r="I5420" s="1245"/>
      <c r="J5420" s="1246"/>
      <c r="K5420" s="1247"/>
      <c r="L5420" s="972">
        <v>0.97916666666666663</v>
      </c>
      <c r="M5420" s="681">
        <v>0.875</v>
      </c>
    </row>
    <row r="5421" spans="3:13" ht="17" thickBot="1">
      <c r="C5421" s="660"/>
      <c r="D5421" s="973" t="s">
        <v>436</v>
      </c>
      <c r="E5421" s="974" t="s">
        <v>29</v>
      </c>
      <c r="F5421" s="974" t="s">
        <v>28</v>
      </c>
      <c r="G5421" s="975" t="s">
        <v>27</v>
      </c>
      <c r="H5421" s="976" t="s">
        <v>793</v>
      </c>
      <c r="I5421" s="1245"/>
      <c r="J5421" s="1246"/>
      <c r="K5421" s="1247"/>
      <c r="L5421" s="977" t="s">
        <v>1246</v>
      </c>
      <c r="M5421" s="978"/>
    </row>
    <row r="5422" spans="3:13">
      <c r="C5422" s="660"/>
      <c r="D5422" s="979">
        <v>45735</v>
      </c>
      <c r="E5422" s="720">
        <v>4.4999999999999998E-2</v>
      </c>
      <c r="F5422" s="720">
        <v>4.4999999999999998E-2</v>
      </c>
      <c r="G5422" s="720">
        <v>4.4999999999999998E-2</v>
      </c>
      <c r="H5422" s="718">
        <v>0.75</v>
      </c>
      <c r="I5422" s="1245"/>
      <c r="J5422" s="1246"/>
      <c r="K5422" s="1247"/>
      <c r="L5422" s="679">
        <v>0.97916666666666663</v>
      </c>
      <c r="M5422" s="680"/>
    </row>
    <row r="5423" spans="3:13">
      <c r="C5423" s="660"/>
      <c r="D5423" s="979">
        <v>45686</v>
      </c>
      <c r="E5423" s="720">
        <v>4.4999999999999998E-2</v>
      </c>
      <c r="F5423" s="720">
        <v>4.4999999999999998E-2</v>
      </c>
      <c r="G5423" s="720">
        <v>4.4999999999999998E-2</v>
      </c>
      <c r="H5423" s="718">
        <v>0.79166666666666674</v>
      </c>
      <c r="I5423" s="1245"/>
      <c r="J5423" s="1246"/>
      <c r="K5423" s="1247"/>
      <c r="L5423" s="679">
        <v>2.0833333333333332E-2</v>
      </c>
      <c r="M5423" s="681"/>
    </row>
    <row r="5424" spans="3:13">
      <c r="C5424" s="660"/>
      <c r="D5424" s="979">
        <v>45644</v>
      </c>
      <c r="E5424" s="720">
        <v>4.4999999999999998E-2</v>
      </c>
      <c r="F5424" s="720">
        <v>4.4999999999999998E-2</v>
      </c>
      <c r="G5424" s="720">
        <v>4.7500000000000001E-2</v>
      </c>
      <c r="H5424" s="718">
        <v>0.79166666666666674</v>
      </c>
      <c r="I5424" s="1245"/>
      <c r="J5424" s="1246"/>
      <c r="K5424" s="1247"/>
      <c r="L5424" s="679">
        <v>2.0833333333333332E-2</v>
      </c>
      <c r="M5424" s="667"/>
    </row>
    <row r="5425" spans="3:13">
      <c r="C5425" s="660"/>
      <c r="D5425" s="979">
        <v>45603</v>
      </c>
      <c r="E5425" s="720">
        <v>4.7500000000000001E-2</v>
      </c>
      <c r="F5425" s="720">
        <v>4.7500000000000001E-2</v>
      </c>
      <c r="G5425" s="720">
        <v>0.05</v>
      </c>
      <c r="H5425" s="718">
        <v>0.79166666666666674</v>
      </c>
      <c r="I5425" s="1245"/>
      <c r="J5425" s="1246"/>
      <c r="K5425" s="1247"/>
      <c r="L5425" s="679">
        <v>2.0833333333333332E-2</v>
      </c>
      <c r="M5425" s="667"/>
    </row>
    <row r="5426" spans="3:13">
      <c r="C5426" s="660"/>
      <c r="D5426" s="979">
        <v>45553</v>
      </c>
      <c r="E5426" s="720">
        <v>0.05</v>
      </c>
      <c r="F5426" s="720">
        <v>5.2499999999999998E-2</v>
      </c>
      <c r="G5426" s="720">
        <v>5.5E-2</v>
      </c>
      <c r="H5426" s="718">
        <v>0.75</v>
      </c>
      <c r="I5426" s="1245"/>
      <c r="J5426" s="1246"/>
      <c r="K5426" s="1247"/>
      <c r="L5426" s="679">
        <v>0.97916666666666663</v>
      </c>
      <c r="M5426" s="667"/>
    </row>
    <row r="5427" spans="3:13" ht="17" thickBot="1">
      <c r="C5427" s="660"/>
      <c r="D5427" s="979">
        <v>45504</v>
      </c>
      <c r="E5427" s="720">
        <v>5.5E-2</v>
      </c>
      <c r="F5427" s="720">
        <v>5.5E-2</v>
      </c>
      <c r="G5427" s="720">
        <v>5.5E-2</v>
      </c>
      <c r="H5427" s="718">
        <v>0.75</v>
      </c>
      <c r="I5427" s="1248"/>
      <c r="J5427" s="1249"/>
      <c r="K5427" s="1250"/>
      <c r="L5427" s="679">
        <v>0.97916666666666663</v>
      </c>
      <c r="M5427" s="682"/>
    </row>
    <row r="5428" spans="3:13" ht="17" thickBot="1">
      <c r="C5428" s="660">
        <v>1</v>
      </c>
      <c r="D5428" s="973" t="s">
        <v>30</v>
      </c>
      <c r="E5428" s="1233" t="s">
        <v>2281</v>
      </c>
      <c r="F5428" s="1234"/>
      <c r="G5428" s="1235"/>
      <c r="H5428" s="976" t="s">
        <v>790</v>
      </c>
      <c r="I5428" s="1236" t="s">
        <v>633</v>
      </c>
      <c r="J5428" s="1237"/>
      <c r="K5428" s="1238"/>
      <c r="L5428" s="983" t="s">
        <v>430</v>
      </c>
      <c r="M5428" s="984" t="s">
        <v>431</v>
      </c>
    </row>
    <row r="5429" spans="3:13">
      <c r="C5429" s="660"/>
      <c r="D5429" s="967" t="s">
        <v>432</v>
      </c>
      <c r="E5429" s="1239"/>
      <c r="F5429" s="1240"/>
      <c r="G5429" s="1241"/>
      <c r="H5429" s="968" t="s">
        <v>794</v>
      </c>
      <c r="I5429" s="1242" t="s">
        <v>562</v>
      </c>
      <c r="J5429" s="1243"/>
      <c r="K5429" s="1244"/>
      <c r="L5429" s="664"/>
      <c r="M5429" s="667" t="s">
        <v>2281</v>
      </c>
    </row>
    <row r="5430" spans="3:13">
      <c r="C5430" s="660"/>
      <c r="D5430" s="969" t="s">
        <v>433</v>
      </c>
      <c r="E5430" s="1224"/>
      <c r="F5430" s="1225"/>
      <c r="G5430" s="1226"/>
      <c r="H5430" s="968" t="s">
        <v>795</v>
      </c>
      <c r="I5430" s="1245"/>
      <c r="J5430" s="1246"/>
      <c r="K5430" s="1247"/>
      <c r="L5430" s="664"/>
      <c r="M5430" s="667"/>
    </row>
    <row r="5431" spans="3:13">
      <c r="C5431" s="660"/>
      <c r="D5431" s="969" t="s">
        <v>434</v>
      </c>
      <c r="E5431" s="1227">
        <v>0</v>
      </c>
      <c r="F5431" s="1228"/>
      <c r="G5431" s="1229"/>
      <c r="H5431" s="970"/>
      <c r="I5431" s="1245"/>
      <c r="J5431" s="1246"/>
      <c r="K5431" s="1247"/>
      <c r="L5431" s="664"/>
      <c r="M5431" s="667"/>
    </row>
    <row r="5432" spans="3:13" ht="17" thickBot="1">
      <c r="C5432" s="660"/>
      <c r="D5432" s="971" t="s">
        <v>435</v>
      </c>
      <c r="E5432" s="1230" t="e">
        <v>#VALUE!</v>
      </c>
      <c r="F5432" s="1231"/>
      <c r="G5432" s="1232"/>
      <c r="H5432" s="718"/>
      <c r="I5432" s="1245"/>
      <c r="J5432" s="1246"/>
      <c r="K5432" s="1247"/>
      <c r="L5432" s="972" t="s">
        <v>1449</v>
      </c>
      <c r="M5432" s="681" t="e">
        <v>#VALUE!</v>
      </c>
    </row>
    <row r="5433" spans="3:13" ht="17" thickBot="1">
      <c r="C5433" s="660"/>
      <c r="D5433" s="973" t="s">
        <v>436</v>
      </c>
      <c r="E5433" s="974" t="s">
        <v>29</v>
      </c>
      <c r="F5433" s="974" t="s">
        <v>28</v>
      </c>
      <c r="G5433" s="975" t="s">
        <v>27</v>
      </c>
      <c r="H5433" s="976" t="s">
        <v>793</v>
      </c>
      <c r="I5433" s="1245"/>
      <c r="J5433" s="1246"/>
      <c r="K5433" s="1247"/>
      <c r="L5433" s="977" t="s">
        <v>1246</v>
      </c>
      <c r="M5433" s="978"/>
    </row>
    <row r="5434" spans="3:13">
      <c r="C5434" s="660"/>
      <c r="D5434" s="979">
        <v>45796</v>
      </c>
      <c r="E5434" s="720"/>
      <c r="F5434" s="720">
        <v>2.1999999999999999E-2</v>
      </c>
      <c r="G5434" s="720">
        <v>2.1999999999999999E-2</v>
      </c>
      <c r="H5434" s="718">
        <v>0.375</v>
      </c>
      <c r="I5434" s="1245"/>
      <c r="J5434" s="1246"/>
      <c r="K5434" s="1247"/>
      <c r="L5434" s="679">
        <v>0.60416666666666663</v>
      </c>
      <c r="M5434" s="680"/>
    </row>
    <row r="5435" spans="3:13">
      <c r="C5435" s="660"/>
      <c r="D5435" s="979">
        <v>45779</v>
      </c>
      <c r="E5435" s="720">
        <v>2.1999999999999999E-2</v>
      </c>
      <c r="F5435" s="720">
        <v>2.1000000000000001E-2</v>
      </c>
      <c r="G5435" s="720">
        <v>2.1999999999999999E-2</v>
      </c>
      <c r="H5435" s="718">
        <v>0.375</v>
      </c>
      <c r="I5435" s="1245"/>
      <c r="J5435" s="1246"/>
      <c r="K5435" s="1247"/>
      <c r="L5435" s="679">
        <v>0.60416666666666663</v>
      </c>
      <c r="M5435" s="681"/>
    </row>
    <row r="5436" spans="3:13">
      <c r="C5436" s="660"/>
      <c r="D5436" s="979">
        <v>45763</v>
      </c>
      <c r="E5436" s="720">
        <v>2.1999999999999999E-2</v>
      </c>
      <c r="F5436" s="720">
        <v>2.1999999999999999E-2</v>
      </c>
      <c r="G5436" s="720">
        <v>2.3E-2</v>
      </c>
      <c r="H5436" s="718">
        <v>0.375</v>
      </c>
      <c r="I5436" s="1245"/>
      <c r="J5436" s="1246"/>
      <c r="K5436" s="1247"/>
      <c r="L5436" s="679">
        <v>0.60416666666666663</v>
      </c>
      <c r="M5436" s="667"/>
    </row>
    <row r="5437" spans="3:13">
      <c r="C5437" s="660"/>
      <c r="D5437" s="979">
        <v>45748</v>
      </c>
      <c r="E5437" s="720">
        <v>2.1999999999999999E-2</v>
      </c>
      <c r="F5437" s="720">
        <v>2.1999999999999999E-2</v>
      </c>
      <c r="G5437" s="720">
        <v>2.3E-2</v>
      </c>
      <c r="H5437" s="718">
        <v>0.375</v>
      </c>
      <c r="I5437" s="1245"/>
      <c r="J5437" s="1246"/>
      <c r="K5437" s="1247"/>
      <c r="L5437" s="679">
        <v>0.60416666666666663</v>
      </c>
      <c r="M5437" s="667"/>
    </row>
    <row r="5438" spans="3:13">
      <c r="C5438" s="660"/>
      <c r="D5438" s="979">
        <v>45735</v>
      </c>
      <c r="E5438" s="720">
        <v>2.3E-2</v>
      </c>
      <c r="F5438" s="720">
        <v>2.4E-2</v>
      </c>
      <c r="G5438" s="720">
        <v>2.5000000000000001E-2</v>
      </c>
      <c r="H5438" s="718">
        <v>0.41666666666666674</v>
      </c>
      <c r="I5438" s="1245"/>
      <c r="J5438" s="1246"/>
      <c r="K5438" s="1247"/>
      <c r="L5438" s="679">
        <v>0.64583333333333337</v>
      </c>
      <c r="M5438" s="667"/>
    </row>
    <row r="5439" spans="3:13" ht="17" thickBot="1">
      <c r="C5439" s="660"/>
      <c r="D5439" s="979">
        <v>45719</v>
      </c>
      <c r="E5439" s="720">
        <v>2.4E-2</v>
      </c>
      <c r="F5439" s="720">
        <v>2.3E-2</v>
      </c>
      <c r="G5439" s="720">
        <v>2.5000000000000001E-2</v>
      </c>
      <c r="H5439" s="718">
        <v>0.41666666666666674</v>
      </c>
      <c r="I5439" s="1248"/>
      <c r="J5439" s="1249"/>
      <c r="K5439" s="1250"/>
      <c r="L5439" s="679">
        <v>0.64583333333333337</v>
      </c>
      <c r="M5439" s="682"/>
    </row>
    <row r="5440" spans="3:13" ht="17" thickBot="1">
      <c r="C5440" s="660">
        <v>1</v>
      </c>
      <c r="D5440" s="973" t="s">
        <v>30</v>
      </c>
      <c r="E5440" s="1233" t="s">
        <v>2282</v>
      </c>
      <c r="F5440" s="1234"/>
      <c r="G5440" s="1235"/>
      <c r="H5440" s="976" t="s">
        <v>790</v>
      </c>
      <c r="I5440" s="1236" t="s">
        <v>633</v>
      </c>
      <c r="J5440" s="1237"/>
      <c r="K5440" s="1238"/>
      <c r="L5440" s="983" t="s">
        <v>430</v>
      </c>
      <c r="M5440" s="984" t="s">
        <v>431</v>
      </c>
    </row>
    <row r="5441" spans="3:13">
      <c r="C5441" s="660"/>
      <c r="D5441" s="967" t="s">
        <v>432</v>
      </c>
      <c r="E5441" s="1239"/>
      <c r="F5441" s="1240"/>
      <c r="G5441" s="1241"/>
      <c r="H5441" s="968" t="s">
        <v>1056</v>
      </c>
      <c r="I5441" s="1242" t="s">
        <v>562</v>
      </c>
      <c r="J5441" s="1243"/>
      <c r="K5441" s="1244"/>
      <c r="L5441" s="664"/>
      <c r="M5441" s="667" t="s">
        <v>2282</v>
      </c>
    </row>
    <row r="5442" spans="3:13">
      <c r="C5442" s="660"/>
      <c r="D5442" s="969" t="s">
        <v>433</v>
      </c>
      <c r="E5442" s="1224"/>
      <c r="F5442" s="1225"/>
      <c r="G5442" s="1226"/>
      <c r="H5442" s="968" t="s">
        <v>1057</v>
      </c>
      <c r="I5442" s="1245"/>
      <c r="J5442" s="1246"/>
      <c r="K5442" s="1247"/>
      <c r="L5442" s="664"/>
      <c r="M5442" s="667"/>
    </row>
    <row r="5443" spans="3:13">
      <c r="C5443" s="660"/>
      <c r="D5443" s="969" t="s">
        <v>434</v>
      </c>
      <c r="E5443" s="1227"/>
      <c r="F5443" s="1228"/>
      <c r="G5443" s="1229"/>
      <c r="H5443" s="970"/>
      <c r="I5443" s="1245"/>
      <c r="J5443" s="1246"/>
      <c r="K5443" s="1247"/>
      <c r="L5443" s="664"/>
      <c r="M5443" s="667"/>
    </row>
    <row r="5444" spans="3:13" ht="17" thickBot="1">
      <c r="C5444" s="660"/>
      <c r="D5444" s="971" t="s">
        <v>435</v>
      </c>
      <c r="E5444" s="1230" t="e">
        <v>#VALUE!</v>
      </c>
      <c r="F5444" s="1231"/>
      <c r="G5444" s="1232"/>
      <c r="H5444" s="718"/>
      <c r="I5444" s="1245"/>
      <c r="J5444" s="1246"/>
      <c r="K5444" s="1247"/>
      <c r="L5444" s="972" t="s">
        <v>1449</v>
      </c>
      <c r="M5444" s="681" t="e">
        <v>#VALUE!</v>
      </c>
    </row>
    <row r="5445" spans="3:13" ht="17" thickBot="1">
      <c r="C5445" s="660"/>
      <c r="D5445" s="973" t="s">
        <v>436</v>
      </c>
      <c r="E5445" s="974" t="s">
        <v>29</v>
      </c>
      <c r="F5445" s="974" t="s">
        <v>28</v>
      </c>
      <c r="G5445" s="975" t="s">
        <v>27</v>
      </c>
      <c r="H5445" s="976" t="s">
        <v>793</v>
      </c>
      <c r="I5445" s="1245"/>
      <c r="J5445" s="1246"/>
      <c r="K5445" s="1247"/>
      <c r="L5445" s="977" t="s">
        <v>1246</v>
      </c>
      <c r="M5445" s="978"/>
    </row>
    <row r="5446" spans="3:13">
      <c r="C5446" s="660"/>
      <c r="D5446" s="979">
        <v>45776</v>
      </c>
      <c r="E5446" s="720"/>
      <c r="F5446" s="720" t="s">
        <v>2227</v>
      </c>
      <c r="G5446" s="720" t="s">
        <v>2228</v>
      </c>
      <c r="H5446" s="718">
        <v>0.58333333333333337</v>
      </c>
      <c r="I5446" s="1245"/>
      <c r="J5446" s="1246"/>
      <c r="K5446" s="1247"/>
      <c r="L5446" s="679">
        <v>0.8125</v>
      </c>
      <c r="M5446" s="680"/>
    </row>
    <row r="5447" spans="3:13">
      <c r="C5447" s="660"/>
      <c r="D5447" s="979">
        <v>45748</v>
      </c>
      <c r="E5447" s="720" t="s">
        <v>2056</v>
      </c>
      <c r="F5447" s="720" t="s">
        <v>2057</v>
      </c>
      <c r="G5447" s="720" t="s">
        <v>2058</v>
      </c>
      <c r="H5447" s="718">
        <v>0.58333333333333337</v>
      </c>
      <c r="I5447" s="1245"/>
      <c r="J5447" s="1246"/>
      <c r="K5447" s="1247"/>
      <c r="L5447" s="679">
        <v>0.8125</v>
      </c>
      <c r="M5447" s="681"/>
    </row>
    <row r="5448" spans="3:13">
      <c r="C5448" s="660"/>
      <c r="D5448" s="979">
        <v>45727</v>
      </c>
      <c r="E5448" s="720" t="s">
        <v>1798</v>
      </c>
      <c r="F5448" s="720" t="s">
        <v>1799</v>
      </c>
      <c r="G5448" s="720" t="s">
        <v>1800</v>
      </c>
      <c r="H5448" s="718">
        <v>0.58333333333333337</v>
      </c>
      <c r="I5448" s="1245"/>
      <c r="J5448" s="1246"/>
      <c r="K5448" s="1247"/>
      <c r="L5448" s="679">
        <v>0.8125</v>
      </c>
      <c r="M5448" s="667"/>
    </row>
    <row r="5449" spans="3:13">
      <c r="C5449" s="660"/>
      <c r="D5449" s="979">
        <v>45692</v>
      </c>
      <c r="E5449" s="720" t="s">
        <v>1804</v>
      </c>
      <c r="F5449" s="720" t="s">
        <v>1805</v>
      </c>
      <c r="G5449" s="720" t="s">
        <v>1806</v>
      </c>
      <c r="H5449" s="718">
        <v>0.625</v>
      </c>
      <c r="I5449" s="1245"/>
      <c r="J5449" s="1246"/>
      <c r="K5449" s="1247"/>
      <c r="L5449" s="679">
        <v>0.85416666666666663</v>
      </c>
      <c r="M5449" s="667"/>
    </row>
    <row r="5450" spans="3:13">
      <c r="C5450" s="660"/>
      <c r="D5450" s="979">
        <v>45664</v>
      </c>
      <c r="E5450" s="720" t="s">
        <v>1811</v>
      </c>
      <c r="F5450" s="720" t="s">
        <v>1812</v>
      </c>
      <c r="G5450" s="720" t="s">
        <v>1813</v>
      </c>
      <c r="H5450" s="718">
        <v>0.625</v>
      </c>
      <c r="I5450" s="1245"/>
      <c r="J5450" s="1246"/>
      <c r="K5450" s="1247"/>
      <c r="L5450" s="679">
        <v>0.85416666666666663</v>
      </c>
      <c r="M5450" s="667"/>
    </row>
    <row r="5451" spans="3:13" ht="17" thickBot="1">
      <c r="C5451" s="660"/>
      <c r="D5451" s="979">
        <v>45629</v>
      </c>
      <c r="E5451" s="720" t="s">
        <v>1385</v>
      </c>
      <c r="F5451" s="720" t="s">
        <v>1386</v>
      </c>
      <c r="G5451" s="720" t="s">
        <v>1387</v>
      </c>
      <c r="H5451" s="718">
        <v>0.625</v>
      </c>
      <c r="I5451" s="1248"/>
      <c r="J5451" s="1249"/>
      <c r="K5451" s="1250"/>
      <c r="L5451" s="679">
        <v>0.85416666666666663</v>
      </c>
      <c r="M5451" s="682"/>
    </row>
    <row r="5452" spans="3:13" ht="17" thickBot="1">
      <c r="C5452" s="660">
        <v>1</v>
      </c>
      <c r="D5452" s="671" t="s">
        <v>30</v>
      </c>
      <c r="E5452" s="1252" t="s">
        <v>1509</v>
      </c>
      <c r="F5452" s="1253"/>
      <c r="G5452" s="1254"/>
      <c r="H5452" s="712" t="s">
        <v>790</v>
      </c>
      <c r="I5452" s="1255" t="s">
        <v>633</v>
      </c>
      <c r="J5452" s="1256"/>
      <c r="K5452" s="1257"/>
      <c r="L5452" s="674" t="s">
        <v>430</v>
      </c>
      <c r="M5452" s="713" t="s">
        <v>431</v>
      </c>
    </row>
    <row r="5453" spans="3:13">
      <c r="C5453" s="660"/>
      <c r="D5453" s="967" t="s">
        <v>432</v>
      </c>
      <c r="E5453" s="1239"/>
      <c r="F5453" s="1240"/>
      <c r="G5453" s="1241"/>
      <c r="H5453" s="968" t="s">
        <v>794</v>
      </c>
      <c r="I5453" s="1242" t="s">
        <v>2283</v>
      </c>
      <c r="J5453" s="1243"/>
      <c r="K5453" s="1244"/>
      <c r="L5453" s="664"/>
      <c r="M5453" s="667" t="s">
        <v>1509</v>
      </c>
    </row>
    <row r="5454" spans="3:13">
      <c r="C5454" s="660"/>
      <c r="D5454" s="969" t="s">
        <v>433</v>
      </c>
      <c r="E5454" s="1224"/>
      <c r="F5454" s="1225"/>
      <c r="G5454" s="1226"/>
      <c r="H5454" s="968" t="s">
        <v>795</v>
      </c>
      <c r="I5454" s="1245"/>
      <c r="J5454" s="1246"/>
      <c r="K5454" s="1247"/>
      <c r="L5454" s="664"/>
      <c r="M5454" s="667"/>
    </row>
    <row r="5455" spans="3:13">
      <c r="C5455" s="660"/>
      <c r="D5455" s="969" t="s">
        <v>434</v>
      </c>
      <c r="E5455" s="1227"/>
      <c r="F5455" s="1228"/>
      <c r="G5455" s="1229"/>
      <c r="H5455" s="970"/>
      <c r="I5455" s="1245"/>
      <c r="J5455" s="1246"/>
      <c r="K5455" s="1247"/>
      <c r="L5455" s="664"/>
      <c r="M5455" s="667"/>
    </row>
    <row r="5456" spans="3:13" ht="17" thickBot="1">
      <c r="C5456" s="660"/>
      <c r="D5456" s="971" t="s">
        <v>435</v>
      </c>
      <c r="E5456" s="1230">
        <v>0.77083333333333337</v>
      </c>
      <c r="F5456" s="1231"/>
      <c r="G5456" s="1232"/>
      <c r="H5456" s="718"/>
      <c r="I5456" s="1245"/>
      <c r="J5456" s="1246"/>
      <c r="K5456" s="1247"/>
      <c r="L5456" s="972">
        <v>0</v>
      </c>
      <c r="M5456" s="681">
        <v>0.89583333333333337</v>
      </c>
    </row>
    <row r="5457" spans="3:13" ht="17" thickBot="1">
      <c r="C5457" s="660"/>
      <c r="D5457" s="973" t="s">
        <v>436</v>
      </c>
      <c r="E5457" s="974" t="s">
        <v>29</v>
      </c>
      <c r="F5457" s="974" t="s">
        <v>28</v>
      </c>
      <c r="G5457" s="975" t="s">
        <v>27</v>
      </c>
      <c r="H5457" s="976" t="s">
        <v>793</v>
      </c>
      <c r="I5457" s="1245"/>
      <c r="J5457" s="1246"/>
      <c r="K5457" s="1247"/>
      <c r="L5457" s="977" t="s">
        <v>1246</v>
      </c>
      <c r="M5457" s="978"/>
    </row>
    <row r="5458" spans="3:13">
      <c r="C5458" s="660"/>
      <c r="D5458" s="979">
        <v>45784</v>
      </c>
      <c r="E5458" s="720"/>
      <c r="F5458" s="720"/>
      <c r="G5458" s="720"/>
      <c r="H5458" s="718">
        <v>0.77083333333333337</v>
      </c>
      <c r="I5458" s="1245"/>
      <c r="J5458" s="1246"/>
      <c r="K5458" s="1247"/>
      <c r="L5458" s="679">
        <v>0</v>
      </c>
      <c r="M5458" s="680"/>
    </row>
    <row r="5459" spans="3:13">
      <c r="C5459" s="660"/>
      <c r="D5459" s="979">
        <v>45735</v>
      </c>
      <c r="E5459" s="720"/>
      <c r="F5459" s="720"/>
      <c r="G5459" s="720"/>
      <c r="H5459" s="718">
        <v>0.77083333333333337</v>
      </c>
      <c r="I5459" s="1245"/>
      <c r="J5459" s="1246"/>
      <c r="K5459" s="1247"/>
      <c r="L5459" s="679">
        <v>0</v>
      </c>
      <c r="M5459" s="681"/>
    </row>
    <row r="5460" spans="3:13">
      <c r="C5460" s="660"/>
      <c r="D5460" s="979">
        <v>45686</v>
      </c>
      <c r="E5460" s="720"/>
      <c r="F5460" s="720"/>
      <c r="G5460" s="720"/>
      <c r="H5460" s="718">
        <v>0.8125</v>
      </c>
      <c r="I5460" s="1245"/>
      <c r="J5460" s="1246"/>
      <c r="K5460" s="1247"/>
      <c r="L5460" s="679">
        <v>4.1666666666666664E-2</v>
      </c>
      <c r="M5460" s="667"/>
    </row>
    <row r="5461" spans="3:13">
      <c r="C5461" s="660"/>
      <c r="D5461" s="979">
        <v>45644</v>
      </c>
      <c r="E5461" s="720"/>
      <c r="F5461" s="720"/>
      <c r="G5461" s="720"/>
      <c r="H5461" s="718">
        <v>0.8125</v>
      </c>
      <c r="I5461" s="1245"/>
      <c r="J5461" s="1246"/>
      <c r="K5461" s="1247"/>
      <c r="L5461" s="679">
        <v>4.1666666666666664E-2</v>
      </c>
      <c r="M5461" s="667"/>
    </row>
    <row r="5462" spans="3:13">
      <c r="C5462" s="660"/>
      <c r="D5462" s="979">
        <v>45603</v>
      </c>
      <c r="E5462" s="720"/>
      <c r="F5462" s="720"/>
      <c r="G5462" s="720"/>
      <c r="H5462" s="718">
        <v>0.8125</v>
      </c>
      <c r="I5462" s="1245"/>
      <c r="J5462" s="1246"/>
      <c r="K5462" s="1247"/>
      <c r="L5462" s="679">
        <v>4.1666666666666664E-2</v>
      </c>
      <c r="M5462" s="667"/>
    </row>
    <row r="5463" spans="3:13" ht="17" thickBot="1">
      <c r="C5463" s="660"/>
      <c r="D5463" s="979">
        <v>45553</v>
      </c>
      <c r="E5463" s="720"/>
      <c r="F5463" s="720"/>
      <c r="G5463" s="720"/>
      <c r="H5463" s="718">
        <v>0.77083333333333337</v>
      </c>
      <c r="I5463" s="1248"/>
      <c r="J5463" s="1249"/>
      <c r="K5463" s="1250"/>
      <c r="L5463" s="679">
        <v>0</v>
      </c>
      <c r="M5463" s="682"/>
    </row>
    <row r="5464" spans="3:13" ht="17" thickBot="1">
      <c r="C5464" s="660">
        <v>1</v>
      </c>
      <c r="D5464" s="671" t="s">
        <v>30</v>
      </c>
      <c r="E5464" s="1252" t="s">
        <v>2284</v>
      </c>
      <c r="F5464" s="1253"/>
      <c r="G5464" s="1254"/>
      <c r="H5464" s="712" t="s">
        <v>790</v>
      </c>
      <c r="I5464" s="1255" t="s">
        <v>633</v>
      </c>
      <c r="J5464" s="1256"/>
      <c r="K5464" s="1257"/>
      <c r="L5464" s="674" t="s">
        <v>430</v>
      </c>
      <c r="M5464" s="713" t="s">
        <v>431</v>
      </c>
    </row>
    <row r="5465" spans="3:13">
      <c r="C5465" s="660"/>
      <c r="D5465" s="967" t="s">
        <v>432</v>
      </c>
      <c r="E5465" s="1258"/>
      <c r="F5465" s="1259"/>
      <c r="G5465" s="1260"/>
      <c r="H5465" s="968" t="s">
        <v>2302</v>
      </c>
      <c r="I5465" s="1261" t="s">
        <v>2283</v>
      </c>
      <c r="J5465" s="1243"/>
      <c r="K5465" s="1244"/>
      <c r="L5465" s="664"/>
      <c r="M5465" s="667" t="s">
        <v>2284</v>
      </c>
    </row>
    <row r="5466" spans="3:13">
      <c r="C5466" s="660"/>
      <c r="D5466" s="969" t="s">
        <v>433</v>
      </c>
      <c r="E5466" s="1224"/>
      <c r="F5466" s="1262"/>
      <c r="G5466" s="1263"/>
      <c r="H5466" s="968" t="s">
        <v>1249</v>
      </c>
      <c r="I5466" s="1245"/>
      <c r="J5466" s="1246"/>
      <c r="K5466" s="1247"/>
      <c r="L5466" s="664"/>
      <c r="M5466" s="667"/>
    </row>
    <row r="5467" spans="3:13">
      <c r="C5467" s="660"/>
      <c r="D5467" s="969" t="s">
        <v>434</v>
      </c>
      <c r="E5467" s="1227">
        <v>2.5000000000000001E-3</v>
      </c>
      <c r="F5467" s="1264"/>
      <c r="G5467" s="1265"/>
      <c r="H5467" s="970"/>
      <c r="I5467" s="1245"/>
      <c r="J5467" s="1246"/>
      <c r="K5467" s="1247"/>
      <c r="L5467" s="664"/>
      <c r="M5467" s="667"/>
    </row>
    <row r="5468" spans="3:13" ht="17" thickBot="1">
      <c r="C5468" s="660"/>
      <c r="D5468" s="971" t="s">
        <v>435</v>
      </c>
      <c r="E5468" s="1230">
        <v>0.3125</v>
      </c>
      <c r="F5468" s="1231"/>
      <c r="G5468" s="1232"/>
      <c r="H5468" s="718"/>
      <c r="I5468" s="1245"/>
      <c r="J5468" s="1246"/>
      <c r="K5468" s="1247"/>
      <c r="L5468" s="972">
        <v>0.54166666666666663</v>
      </c>
      <c r="M5468" s="681">
        <v>0.43749999999999994</v>
      </c>
    </row>
    <row r="5469" spans="3:13" ht="17" thickBot="1">
      <c r="C5469" s="660"/>
      <c r="D5469" s="973" t="s">
        <v>436</v>
      </c>
      <c r="E5469" s="974" t="s">
        <v>29</v>
      </c>
      <c r="F5469" s="974" t="s">
        <v>28</v>
      </c>
      <c r="G5469" s="975" t="s">
        <v>27</v>
      </c>
      <c r="H5469" s="976" t="s">
        <v>793</v>
      </c>
      <c r="I5469" s="1245"/>
      <c r="J5469" s="1246"/>
      <c r="K5469" s="1247"/>
      <c r="L5469" s="977" t="s">
        <v>1246</v>
      </c>
      <c r="M5469" s="978"/>
    </row>
    <row r="5470" spans="3:13">
      <c r="C5470" s="660"/>
      <c r="D5470" s="979">
        <v>45638</v>
      </c>
      <c r="E5470" s="720">
        <v>5.0000000000000001E-3</v>
      </c>
      <c r="F5470" s="720">
        <v>7.4999999999999997E-3</v>
      </c>
      <c r="G5470" s="720">
        <v>0.01</v>
      </c>
      <c r="H5470" s="718">
        <v>0.35416666666666674</v>
      </c>
      <c r="I5470" s="1245"/>
      <c r="J5470" s="1246"/>
      <c r="K5470" s="1247"/>
      <c r="L5470" s="679">
        <v>0.58333333333333337</v>
      </c>
      <c r="M5470" s="680"/>
    </row>
    <row r="5471" spans="3:13">
      <c r="C5471" s="660"/>
      <c r="D5471" s="979">
        <v>45561</v>
      </c>
      <c r="E5471" s="720">
        <v>0.01</v>
      </c>
      <c r="F5471" s="720">
        <v>0.01</v>
      </c>
      <c r="G5471" s="720">
        <v>1.2500000000000001E-2</v>
      </c>
      <c r="H5471" s="718">
        <v>0.3125</v>
      </c>
      <c r="I5471" s="1245"/>
      <c r="J5471" s="1246"/>
      <c r="K5471" s="1247"/>
      <c r="L5471" s="679">
        <v>0.54166666666666663</v>
      </c>
      <c r="M5471" s="681"/>
    </row>
    <row r="5472" spans="3:13">
      <c r="C5472" s="660"/>
      <c r="D5472" s="979">
        <v>45463</v>
      </c>
      <c r="E5472" s="720">
        <v>1.2500000000000001E-2</v>
      </c>
      <c r="F5472" s="720">
        <v>1.4999999999999999E-2</v>
      </c>
      <c r="G5472" s="720">
        <v>1.4999999999999999E-2</v>
      </c>
      <c r="H5472" s="718">
        <v>0.3125</v>
      </c>
      <c r="I5472" s="1245"/>
      <c r="J5472" s="1246"/>
      <c r="K5472" s="1247"/>
      <c r="L5472" s="679">
        <v>0.54166666666666663</v>
      </c>
      <c r="M5472" s="667"/>
    </row>
    <row r="5473" spans="3:13">
      <c r="C5473" s="660"/>
      <c r="D5473" s="979">
        <v>45372</v>
      </c>
      <c r="E5473" s="720">
        <v>1.4999999999999999E-2</v>
      </c>
      <c r="F5473" s="720">
        <v>1.7500000000000002E-2</v>
      </c>
      <c r="G5473" s="720">
        <v>1.7500000000000002E-2</v>
      </c>
      <c r="H5473" s="718">
        <v>0.35416666666666674</v>
      </c>
      <c r="I5473" s="1245"/>
      <c r="J5473" s="1246"/>
      <c r="K5473" s="1247"/>
      <c r="L5473" s="679">
        <v>0.58333333333333337</v>
      </c>
      <c r="M5473" s="667"/>
    </row>
    <row r="5474" spans="3:13">
      <c r="C5474" s="660"/>
      <c r="D5474" s="979">
        <v>45274</v>
      </c>
      <c r="E5474" s="720">
        <v>1.7500000000000002E-2</v>
      </c>
      <c r="F5474" s="720">
        <v>1.7500000000000002E-2</v>
      </c>
      <c r="G5474" s="720">
        <v>1.7500000000000002E-2</v>
      </c>
      <c r="H5474" s="718">
        <v>0.35416666666666674</v>
      </c>
      <c r="I5474" s="1245"/>
      <c r="J5474" s="1246"/>
      <c r="K5474" s="1247"/>
      <c r="L5474" s="679">
        <v>0.58333333333333337</v>
      </c>
      <c r="M5474" s="667"/>
    </row>
    <row r="5475" spans="3:13" ht="17" thickBot="1">
      <c r="C5475" s="660"/>
      <c r="D5475" s="979">
        <v>45190</v>
      </c>
      <c r="E5475" s="720">
        <v>1.7500000000000002E-2</v>
      </c>
      <c r="F5475" s="720">
        <v>0.02</v>
      </c>
      <c r="G5475" s="720">
        <v>1.7500000000000002E-2</v>
      </c>
      <c r="H5475" s="718">
        <v>0.3125</v>
      </c>
      <c r="I5475" s="1248"/>
      <c r="J5475" s="1249"/>
      <c r="K5475" s="1250"/>
      <c r="L5475" s="679">
        <v>0.54166666666666663</v>
      </c>
      <c r="M5475" s="682"/>
    </row>
    <row r="5476" spans="3:13" ht="17" thickBot="1">
      <c r="C5476" s="660">
        <v>1</v>
      </c>
      <c r="D5476" s="671" t="s">
        <v>30</v>
      </c>
      <c r="E5476" s="1252" t="s">
        <v>2285</v>
      </c>
      <c r="F5476" s="1253"/>
      <c r="G5476" s="1254"/>
      <c r="H5476" s="712" t="s">
        <v>790</v>
      </c>
      <c r="I5476" s="1255" t="s">
        <v>633</v>
      </c>
      <c r="J5476" s="1256"/>
      <c r="K5476" s="1257"/>
      <c r="L5476" s="674" t="s">
        <v>430</v>
      </c>
      <c r="M5476" s="713" t="s">
        <v>431</v>
      </c>
    </row>
    <row r="5477" spans="3:13">
      <c r="C5477" s="660"/>
      <c r="D5477" s="967" t="s">
        <v>432</v>
      </c>
      <c r="E5477" s="1239"/>
      <c r="F5477" s="1240"/>
      <c r="G5477" s="1241"/>
      <c r="H5477" s="968" t="s">
        <v>2303</v>
      </c>
      <c r="I5477" s="1242" t="s">
        <v>2286</v>
      </c>
      <c r="J5477" s="1243"/>
      <c r="K5477" s="1244"/>
      <c r="L5477" s="664"/>
      <c r="M5477" s="667" t="s">
        <v>2285</v>
      </c>
    </row>
    <row r="5478" spans="3:13">
      <c r="C5478" s="660"/>
      <c r="D5478" s="969" t="s">
        <v>433</v>
      </c>
      <c r="E5478" s="1224"/>
      <c r="F5478" s="1225"/>
      <c r="G5478" s="1226"/>
      <c r="H5478" s="968" t="s">
        <v>908</v>
      </c>
      <c r="I5478" s="1245"/>
      <c r="J5478" s="1246"/>
      <c r="K5478" s="1247"/>
      <c r="L5478" s="664"/>
      <c r="M5478" s="667"/>
    </row>
    <row r="5479" spans="3:13">
      <c r="C5479" s="660"/>
      <c r="D5479" s="969" t="s">
        <v>434</v>
      </c>
      <c r="E5479" s="1224">
        <v>4.2500000000000003E-2</v>
      </c>
      <c r="F5479" s="1225"/>
      <c r="G5479" s="1226"/>
      <c r="H5479" s="970"/>
      <c r="I5479" s="1245"/>
      <c r="J5479" s="1246"/>
      <c r="K5479" s="1247"/>
      <c r="L5479" s="664"/>
      <c r="M5479" s="667"/>
    </row>
    <row r="5480" spans="3:13" ht="17" thickBot="1">
      <c r="C5480" s="660"/>
      <c r="D5480" s="971" t="s">
        <v>435</v>
      </c>
      <c r="E5480" s="1230">
        <v>0.45833333333333337</v>
      </c>
      <c r="F5480" s="1231"/>
      <c r="G5480" s="1232"/>
      <c r="H5480" s="718"/>
      <c r="I5480" s="1245"/>
      <c r="J5480" s="1246"/>
      <c r="K5480" s="1247"/>
      <c r="L5480" s="972">
        <v>0.6875</v>
      </c>
      <c r="M5480" s="681">
        <v>0.58333333333333337</v>
      </c>
    </row>
    <row r="5481" spans="3:13" ht="17" thickBot="1">
      <c r="C5481" s="660"/>
      <c r="D5481" s="973" t="s">
        <v>436</v>
      </c>
      <c r="E5481" s="974" t="s">
        <v>29</v>
      </c>
      <c r="F5481" s="974" t="s">
        <v>28</v>
      </c>
      <c r="G5481" s="975" t="s">
        <v>27</v>
      </c>
      <c r="H5481" s="976" t="s">
        <v>793</v>
      </c>
      <c r="I5481" s="1245"/>
      <c r="J5481" s="1246"/>
      <c r="K5481" s="1247"/>
      <c r="L5481" s="977" t="s">
        <v>1246</v>
      </c>
      <c r="M5481" s="978"/>
    </row>
    <row r="5482" spans="3:13">
      <c r="C5482" s="660"/>
      <c r="D5482" s="979">
        <v>45785</v>
      </c>
      <c r="E5482" s="720">
        <v>4.2500000000000003E-2</v>
      </c>
      <c r="F5482" s="720">
        <v>4.2500000000000003E-2</v>
      </c>
      <c r="G5482" s="720">
        <v>4.4999999999999998E-2</v>
      </c>
      <c r="H5482" s="718">
        <v>0.45972222222222225</v>
      </c>
      <c r="I5482" s="1245"/>
      <c r="J5482" s="1246"/>
      <c r="K5482" s="1247"/>
      <c r="L5482" s="679">
        <v>0.68888888888888888</v>
      </c>
      <c r="M5482" s="680"/>
    </row>
    <row r="5483" spans="3:13">
      <c r="C5483" s="660"/>
      <c r="D5483" s="979">
        <v>45736</v>
      </c>
      <c r="E5483" s="720">
        <v>4.4999999999999998E-2</v>
      </c>
      <c r="F5483" s="720">
        <v>4.4999999999999998E-2</v>
      </c>
      <c r="G5483" s="720">
        <v>4.4999999999999998E-2</v>
      </c>
      <c r="H5483" s="718">
        <v>0.5</v>
      </c>
      <c r="I5483" s="1245"/>
      <c r="J5483" s="1246"/>
      <c r="K5483" s="1247"/>
      <c r="L5483" s="679">
        <v>0.72916666666666663</v>
      </c>
      <c r="M5483" s="681"/>
    </row>
    <row r="5484" spans="3:13">
      <c r="C5484" s="660"/>
      <c r="D5484" s="979">
        <v>45694</v>
      </c>
      <c r="E5484" s="720">
        <v>4.4999999999999998E-2</v>
      </c>
      <c r="F5484" s="720">
        <v>4.4999999999999998E-2</v>
      </c>
      <c r="G5484" s="720">
        <v>4.7500000000000001E-2</v>
      </c>
      <c r="H5484" s="718">
        <v>0.5</v>
      </c>
      <c r="I5484" s="1245"/>
      <c r="J5484" s="1246"/>
      <c r="K5484" s="1247"/>
      <c r="L5484" s="679">
        <v>0.72916666666666663</v>
      </c>
      <c r="M5484" s="667"/>
    </row>
    <row r="5485" spans="3:13">
      <c r="C5485" s="660"/>
      <c r="D5485" s="979">
        <v>45645</v>
      </c>
      <c r="E5485" s="720">
        <v>4.7500000000000001E-2</v>
      </c>
      <c r="F5485" s="720">
        <v>4.7500000000000001E-2</v>
      </c>
      <c r="G5485" s="720">
        <v>4.7500000000000001E-2</v>
      </c>
      <c r="H5485" s="718">
        <v>0.5</v>
      </c>
      <c r="I5485" s="1245"/>
      <c r="J5485" s="1246"/>
      <c r="K5485" s="1247"/>
      <c r="L5485" s="679">
        <v>0.72916666666666663</v>
      </c>
      <c r="M5485" s="667"/>
    </row>
    <row r="5486" spans="3:13">
      <c r="C5486" s="660"/>
      <c r="D5486" s="979">
        <v>45603</v>
      </c>
      <c r="E5486" s="720">
        <v>4.7500000000000001E-2</v>
      </c>
      <c r="F5486" s="720">
        <v>4.7500000000000001E-2</v>
      </c>
      <c r="G5486" s="720">
        <v>0.05</v>
      </c>
      <c r="H5486" s="718">
        <v>0.5</v>
      </c>
      <c r="I5486" s="1245"/>
      <c r="J5486" s="1246"/>
      <c r="K5486" s="1247"/>
      <c r="L5486" s="679">
        <v>0.72916666666666663</v>
      </c>
      <c r="M5486" s="667"/>
    </row>
    <row r="5487" spans="3:13" ht="17" thickBot="1">
      <c r="C5487" s="660"/>
      <c r="D5487" s="979">
        <v>45554</v>
      </c>
      <c r="E5487" s="720">
        <v>0.05</v>
      </c>
      <c r="F5487" s="720">
        <v>0.05</v>
      </c>
      <c r="G5487" s="720">
        <v>0.05</v>
      </c>
      <c r="H5487" s="718">
        <v>0.45833333333333337</v>
      </c>
      <c r="I5487" s="1248"/>
      <c r="J5487" s="1249"/>
      <c r="K5487" s="1250"/>
      <c r="L5487" s="679">
        <v>0.6875</v>
      </c>
      <c r="M5487" s="682"/>
    </row>
    <row r="5488" spans="3:13" ht="17" thickBot="1">
      <c r="C5488" s="660">
        <v>1</v>
      </c>
      <c r="D5488" s="671" t="s">
        <v>30</v>
      </c>
      <c r="E5488" s="1252" t="s">
        <v>1421</v>
      </c>
      <c r="F5488" s="1253"/>
      <c r="G5488" s="1254"/>
      <c r="H5488" s="712" t="s">
        <v>790</v>
      </c>
      <c r="I5488" s="1255" t="s">
        <v>633</v>
      </c>
      <c r="J5488" s="1256"/>
      <c r="K5488" s="1257"/>
      <c r="L5488" s="674" t="s">
        <v>430</v>
      </c>
      <c r="M5488" s="713" t="s">
        <v>431</v>
      </c>
    </row>
    <row r="5489" spans="3:13">
      <c r="C5489" s="660"/>
      <c r="D5489" s="967" t="s">
        <v>432</v>
      </c>
      <c r="E5489" s="1239"/>
      <c r="F5489" s="1240"/>
      <c r="G5489" s="1241"/>
      <c r="H5489" s="968" t="s">
        <v>794</v>
      </c>
      <c r="I5489" s="1242" t="s">
        <v>1460</v>
      </c>
      <c r="J5489" s="1243"/>
      <c r="K5489" s="1244"/>
      <c r="L5489" s="664"/>
      <c r="M5489" s="667" t="s">
        <v>1421</v>
      </c>
    </row>
    <row r="5490" spans="3:13">
      <c r="C5490" s="660"/>
      <c r="D5490" s="969" t="s">
        <v>433</v>
      </c>
      <c r="E5490" s="1224"/>
      <c r="F5490" s="1225"/>
      <c r="G5490" s="1226"/>
      <c r="H5490" s="968" t="s">
        <v>795</v>
      </c>
      <c r="I5490" s="1245"/>
      <c r="J5490" s="1246"/>
      <c r="K5490" s="1247"/>
      <c r="L5490" s="664"/>
      <c r="M5490" s="667"/>
    </row>
    <row r="5491" spans="3:13">
      <c r="C5491" s="660"/>
      <c r="D5491" s="969" t="s">
        <v>434</v>
      </c>
      <c r="E5491" s="1227" t="s">
        <v>2273</v>
      </c>
      <c r="F5491" s="1228"/>
      <c r="G5491" s="1229"/>
      <c r="H5491" s="970"/>
      <c r="I5491" s="1245"/>
      <c r="J5491" s="1246"/>
      <c r="K5491" s="1247"/>
      <c r="L5491" s="664"/>
      <c r="M5491" s="667"/>
    </row>
    <row r="5492" spans="3:13" ht="17" thickBot="1">
      <c r="C5492" s="660"/>
      <c r="D5492" s="971" t="s">
        <v>435</v>
      </c>
      <c r="E5492" s="1230">
        <v>0.52083333333333337</v>
      </c>
      <c r="F5492" s="1231"/>
      <c r="G5492" s="1232"/>
      <c r="H5492" s="718"/>
      <c r="I5492" s="1245"/>
      <c r="J5492" s="1246"/>
      <c r="K5492" s="1247"/>
      <c r="L5492" s="972">
        <v>0.75</v>
      </c>
      <c r="M5492" s="681">
        <v>0.64583333333333337</v>
      </c>
    </row>
    <row r="5493" spans="3:13" ht="17" thickBot="1">
      <c r="C5493" s="660"/>
      <c r="D5493" s="973" t="s">
        <v>436</v>
      </c>
      <c r="E5493" s="974" t="s">
        <v>29</v>
      </c>
      <c r="F5493" s="974" t="s">
        <v>28</v>
      </c>
      <c r="G5493" s="975" t="s">
        <v>27</v>
      </c>
      <c r="H5493" s="976" t="s">
        <v>793</v>
      </c>
      <c r="I5493" s="1245"/>
      <c r="J5493" s="1246"/>
      <c r="K5493" s="1247"/>
      <c r="L5493" s="977" t="s">
        <v>1246</v>
      </c>
      <c r="M5493" s="978"/>
    </row>
    <row r="5494" spans="3:13">
      <c r="C5494" s="660"/>
      <c r="D5494" s="979">
        <v>45820</v>
      </c>
      <c r="E5494" s="720" t="s">
        <v>2295</v>
      </c>
      <c r="F5494" s="720" t="s">
        <v>980</v>
      </c>
      <c r="G5494" s="720" t="s">
        <v>2295</v>
      </c>
      <c r="H5494" s="718">
        <v>0.52083333333333337</v>
      </c>
      <c r="I5494" s="1245"/>
      <c r="J5494" s="1246"/>
      <c r="K5494" s="1247"/>
      <c r="L5494" s="679">
        <v>0.75</v>
      </c>
      <c r="M5494" s="680"/>
    </row>
    <row r="5495" spans="3:13">
      <c r="C5495" s="660"/>
      <c r="D5495" s="979">
        <v>45813</v>
      </c>
      <c r="E5495" s="720" t="s">
        <v>2293</v>
      </c>
      <c r="F5495" s="720" t="s">
        <v>2294</v>
      </c>
      <c r="G5495" s="720" t="s">
        <v>2296</v>
      </c>
      <c r="H5495" s="718">
        <v>0.52083333333333337</v>
      </c>
      <c r="I5495" s="1245"/>
      <c r="J5495" s="1246"/>
      <c r="K5495" s="1247"/>
      <c r="L5495" s="679">
        <v>0.75</v>
      </c>
      <c r="M5495" s="681"/>
    </row>
    <row r="5496" spans="3:13">
      <c r="C5496" s="660"/>
      <c r="D5496" s="979">
        <v>45806</v>
      </c>
      <c r="E5496" s="720" t="s">
        <v>2240</v>
      </c>
      <c r="F5496" s="720" t="s">
        <v>976</v>
      </c>
      <c r="G5496" s="720" t="s">
        <v>1703</v>
      </c>
      <c r="H5496" s="718">
        <v>0.52083333333333337</v>
      </c>
      <c r="I5496" s="1245"/>
      <c r="J5496" s="1246"/>
      <c r="K5496" s="1247"/>
      <c r="L5496" s="679">
        <v>0.75</v>
      </c>
      <c r="M5496" s="667"/>
    </row>
    <row r="5497" spans="3:13">
      <c r="C5497" s="660"/>
      <c r="D5497" s="979">
        <v>45799</v>
      </c>
      <c r="E5497" s="720" t="s">
        <v>978</v>
      </c>
      <c r="F5497" s="720" t="s">
        <v>2241</v>
      </c>
      <c r="G5497" s="720" t="s">
        <v>976</v>
      </c>
      <c r="H5497" s="718">
        <v>0.52083333333333337</v>
      </c>
      <c r="I5497" s="1245"/>
      <c r="J5497" s="1246"/>
      <c r="K5497" s="1247"/>
      <c r="L5497" s="679">
        <v>0.75</v>
      </c>
      <c r="M5497" s="667"/>
    </row>
    <row r="5498" spans="3:13">
      <c r="C5498" s="660"/>
      <c r="D5498" s="979">
        <v>45792</v>
      </c>
      <c r="E5498" s="720" t="s">
        <v>976</v>
      </c>
      <c r="F5498" s="720" t="s">
        <v>976</v>
      </c>
      <c r="G5498" s="720" t="s">
        <v>976</v>
      </c>
      <c r="H5498" s="718">
        <v>0.52083333333333337</v>
      </c>
      <c r="I5498" s="1245"/>
      <c r="J5498" s="1246"/>
      <c r="K5498" s="1247"/>
      <c r="L5498" s="679">
        <v>0.75</v>
      </c>
      <c r="M5498" s="667"/>
    </row>
    <row r="5499" spans="3:13" ht="17" thickBot="1">
      <c r="C5499" s="660"/>
      <c r="D5499" s="979">
        <v>45785</v>
      </c>
      <c r="E5499" s="720" t="s">
        <v>977</v>
      </c>
      <c r="F5499" s="720" t="s">
        <v>984</v>
      </c>
      <c r="G5499" s="720" t="s">
        <v>981</v>
      </c>
      <c r="H5499" s="718">
        <v>0.52083333333333337</v>
      </c>
      <c r="I5499" s="1248"/>
      <c r="J5499" s="1249"/>
      <c r="K5499" s="1250"/>
      <c r="L5499" s="679">
        <v>0.75</v>
      </c>
      <c r="M5499" s="682"/>
    </row>
    <row r="5500" spans="3:13" ht="17" thickBot="1">
      <c r="C5500" s="660">
        <v>1</v>
      </c>
      <c r="D5500" s="973" t="s">
        <v>30</v>
      </c>
      <c r="E5500" s="1233" t="s">
        <v>2287</v>
      </c>
      <c r="F5500" s="1234"/>
      <c r="G5500" s="1235"/>
      <c r="H5500" s="976" t="s">
        <v>790</v>
      </c>
      <c r="I5500" s="1236" t="s">
        <v>633</v>
      </c>
      <c r="J5500" s="1237"/>
      <c r="K5500" s="1238"/>
      <c r="L5500" s="983" t="s">
        <v>430</v>
      </c>
      <c r="M5500" s="984" t="s">
        <v>431</v>
      </c>
    </row>
    <row r="5501" spans="3:13">
      <c r="C5501" s="660"/>
      <c r="D5501" s="967" t="s">
        <v>432</v>
      </c>
      <c r="E5501" s="1239"/>
      <c r="F5501" s="1240"/>
      <c r="G5501" s="1241"/>
      <c r="H5501" s="968" t="s">
        <v>909</v>
      </c>
      <c r="I5501" s="1242" t="s">
        <v>1460</v>
      </c>
      <c r="J5501" s="1243"/>
      <c r="K5501" s="1244"/>
      <c r="L5501" s="664"/>
      <c r="M5501" s="667" t="s">
        <v>2287</v>
      </c>
    </row>
    <row r="5502" spans="3:13">
      <c r="C5502" s="660"/>
      <c r="D5502" s="969" t="s">
        <v>433</v>
      </c>
      <c r="E5502" s="1251"/>
      <c r="F5502" s="1225"/>
      <c r="G5502" s="1226"/>
      <c r="H5502" s="968" t="s">
        <v>910</v>
      </c>
      <c r="I5502" s="1245"/>
      <c r="J5502" s="1246"/>
      <c r="K5502" s="1247"/>
      <c r="L5502" s="664"/>
      <c r="M5502" s="667"/>
    </row>
    <row r="5503" spans="3:13">
      <c r="C5503" s="660"/>
      <c r="D5503" s="969" t="s">
        <v>434</v>
      </c>
      <c r="E5503" s="1251">
        <v>0</v>
      </c>
      <c r="F5503" s="1225"/>
      <c r="G5503" s="1226"/>
      <c r="H5503" s="970"/>
      <c r="I5503" s="1245"/>
      <c r="J5503" s="1246"/>
      <c r="K5503" s="1247"/>
      <c r="L5503" s="664"/>
      <c r="M5503" s="667"/>
    </row>
    <row r="5504" spans="3:13" ht="17" thickBot="1">
      <c r="C5504" s="660"/>
      <c r="D5504" s="971" t="s">
        <v>435</v>
      </c>
      <c r="E5504" s="1230" t="e">
        <v>#VALUE!</v>
      </c>
      <c r="F5504" s="1231"/>
      <c r="G5504" s="1232"/>
      <c r="H5504" s="718"/>
      <c r="I5504" s="1245"/>
      <c r="J5504" s="1246"/>
      <c r="K5504" s="1247"/>
      <c r="L5504" s="972" t="s">
        <v>1449</v>
      </c>
      <c r="M5504" s="681" t="e">
        <v>#VALUE!</v>
      </c>
    </row>
    <row r="5505" spans="3:13" ht="17" thickBot="1">
      <c r="C5505" s="660"/>
      <c r="D5505" s="973" t="s">
        <v>436</v>
      </c>
      <c r="E5505" s="974" t="s">
        <v>29</v>
      </c>
      <c r="F5505" s="974" t="s">
        <v>28</v>
      </c>
      <c r="G5505" s="975" t="s">
        <v>27</v>
      </c>
      <c r="H5505" s="976" t="s">
        <v>793</v>
      </c>
      <c r="I5505" s="1245"/>
      <c r="J5505" s="1246"/>
      <c r="K5505" s="1247"/>
      <c r="L5505" s="977" t="s">
        <v>1246</v>
      </c>
      <c r="M5505" s="978"/>
    </row>
    <row r="5506" spans="3:13">
      <c r="C5506" s="660"/>
      <c r="D5506" s="979">
        <v>45782</v>
      </c>
      <c r="E5506" s="720" t="s">
        <v>2229</v>
      </c>
      <c r="F5506" s="720" t="s">
        <v>1659</v>
      </c>
      <c r="G5506" s="720" t="s">
        <v>2230</v>
      </c>
      <c r="H5506" s="718">
        <v>0.58333333333333337</v>
      </c>
      <c r="I5506" s="1245"/>
      <c r="J5506" s="1246"/>
      <c r="K5506" s="1247"/>
      <c r="L5506" s="679">
        <v>0.8125</v>
      </c>
      <c r="M5506" s="680"/>
    </row>
    <row r="5507" spans="3:13">
      <c r="C5507" s="660"/>
      <c r="D5507" s="979">
        <v>45750</v>
      </c>
      <c r="E5507" s="720" t="s">
        <v>2230</v>
      </c>
      <c r="F5507" s="720" t="s">
        <v>2231</v>
      </c>
      <c r="G5507" s="720" t="s">
        <v>2232</v>
      </c>
      <c r="H5507" s="718">
        <v>0.58333333333333337</v>
      </c>
      <c r="I5507" s="1245"/>
      <c r="J5507" s="1246"/>
      <c r="K5507" s="1247"/>
      <c r="L5507" s="679">
        <v>0.8125</v>
      </c>
      <c r="M5507" s="681"/>
    </row>
    <row r="5508" spans="3:13">
      <c r="C5508" s="660"/>
      <c r="D5508" s="979">
        <v>45721</v>
      </c>
      <c r="E5508" s="720" t="s">
        <v>2232</v>
      </c>
      <c r="F5508" s="720" t="s">
        <v>2233</v>
      </c>
      <c r="G5508" s="720" t="s">
        <v>2095</v>
      </c>
      <c r="H5508" s="718">
        <v>0.625</v>
      </c>
      <c r="I5508" s="1245"/>
      <c r="J5508" s="1246"/>
      <c r="K5508" s="1247"/>
      <c r="L5508" s="679">
        <v>0.85416666666666663</v>
      </c>
      <c r="M5508" s="667"/>
    </row>
    <row r="5509" spans="3:13">
      <c r="C5509" s="660"/>
      <c r="D5509" s="979">
        <v>45693</v>
      </c>
      <c r="E5509" s="720" t="s">
        <v>2095</v>
      </c>
      <c r="F5509" s="720" t="s">
        <v>2234</v>
      </c>
      <c r="G5509" s="720" t="s">
        <v>1857</v>
      </c>
      <c r="H5509" s="718">
        <v>0.625</v>
      </c>
      <c r="I5509" s="1245"/>
      <c r="J5509" s="1246"/>
      <c r="K5509" s="1247"/>
      <c r="L5509" s="679">
        <v>0.85416666666666663</v>
      </c>
      <c r="M5509" s="667"/>
    </row>
    <row r="5510" spans="3:13">
      <c r="C5510" s="660"/>
      <c r="D5510" s="979">
        <v>45664</v>
      </c>
      <c r="E5510" s="720" t="s">
        <v>2235</v>
      </c>
      <c r="F5510" s="720" t="s">
        <v>2232</v>
      </c>
      <c r="G5510" s="720" t="s">
        <v>2236</v>
      </c>
      <c r="H5510" s="718">
        <v>0.625</v>
      </c>
      <c r="I5510" s="1245"/>
      <c r="J5510" s="1246"/>
      <c r="K5510" s="1247"/>
      <c r="L5510" s="679">
        <v>0.85416666666666663</v>
      </c>
      <c r="M5510" s="667"/>
    </row>
    <row r="5511" spans="3:13" ht="17" thickBot="1">
      <c r="C5511" s="660"/>
      <c r="D5511" s="979">
        <v>45630</v>
      </c>
      <c r="E5511" s="720" t="s">
        <v>2236</v>
      </c>
      <c r="F5511" s="720" t="s">
        <v>2237</v>
      </c>
      <c r="G5511" s="720" t="s">
        <v>1210</v>
      </c>
      <c r="H5511" s="718">
        <v>0.625</v>
      </c>
      <c r="I5511" s="1248"/>
      <c r="J5511" s="1249"/>
      <c r="K5511" s="1250"/>
      <c r="L5511" s="679">
        <v>0.85416666666666663</v>
      </c>
      <c r="M5511" s="682"/>
    </row>
    <row r="5512" spans="3:13" ht="17" thickBot="1">
      <c r="C5512" s="966">
        <v>1</v>
      </c>
      <c r="D5512" s="671" t="s">
        <v>30</v>
      </c>
      <c r="E5512" s="1252" t="s">
        <v>2288</v>
      </c>
      <c r="F5512" s="1253"/>
      <c r="G5512" s="1254"/>
      <c r="H5512" s="712" t="s">
        <v>790</v>
      </c>
      <c r="I5512" s="1255" t="s">
        <v>633</v>
      </c>
      <c r="J5512" s="1256"/>
      <c r="K5512" s="1257"/>
      <c r="L5512" s="674" t="s">
        <v>430</v>
      </c>
      <c r="M5512" s="713" t="s">
        <v>431</v>
      </c>
    </row>
    <row r="5513" spans="3:13">
      <c r="C5513" s="660"/>
      <c r="D5513" s="967" t="s">
        <v>432</v>
      </c>
      <c r="E5513" s="1239"/>
      <c r="F5513" s="1240"/>
      <c r="G5513" s="1241"/>
      <c r="H5513" s="968" t="s">
        <v>794</v>
      </c>
      <c r="I5513" s="1242" t="s">
        <v>2289</v>
      </c>
      <c r="J5513" s="1243"/>
      <c r="K5513" s="1244"/>
      <c r="L5513" s="664"/>
      <c r="M5513" s="667" t="s">
        <v>2288</v>
      </c>
    </row>
    <row r="5514" spans="3:13">
      <c r="C5514" s="660"/>
      <c r="D5514" s="969" t="s">
        <v>433</v>
      </c>
      <c r="E5514" s="1224"/>
      <c r="F5514" s="1225"/>
      <c r="G5514" s="1226"/>
      <c r="H5514" s="968" t="s">
        <v>795</v>
      </c>
      <c r="I5514" s="1245"/>
      <c r="J5514" s="1246"/>
      <c r="K5514" s="1247"/>
      <c r="L5514" s="664"/>
      <c r="M5514" s="667"/>
    </row>
    <row r="5515" spans="3:13">
      <c r="C5515" s="660"/>
      <c r="D5515" s="969" t="s">
        <v>434</v>
      </c>
      <c r="E5515" s="1251">
        <v>-4</v>
      </c>
      <c r="F5515" s="1225"/>
      <c r="G5515" s="1226"/>
      <c r="H5515" s="970"/>
      <c r="I5515" s="1245"/>
      <c r="J5515" s="1246"/>
      <c r="K5515" s="1247"/>
      <c r="L5515" s="664"/>
      <c r="M5515" s="667"/>
    </row>
    <row r="5516" spans="3:13" ht="17" thickBot="1">
      <c r="C5516" s="660"/>
      <c r="D5516" s="971" t="s">
        <v>435</v>
      </c>
      <c r="E5516" s="1230">
        <v>0.52083333333333337</v>
      </c>
      <c r="F5516" s="1231"/>
      <c r="G5516" s="1232"/>
      <c r="H5516" s="718"/>
      <c r="I5516" s="1245"/>
      <c r="J5516" s="1246"/>
      <c r="K5516" s="1247"/>
      <c r="L5516" s="972">
        <v>0.75</v>
      </c>
      <c r="M5516" s="681">
        <v>0.64583333333333337</v>
      </c>
    </row>
    <row r="5517" spans="3:13" ht="17" thickBot="1">
      <c r="C5517" s="660"/>
      <c r="D5517" s="973" t="s">
        <v>436</v>
      </c>
      <c r="E5517" s="974" t="s">
        <v>29</v>
      </c>
      <c r="F5517" s="974" t="s">
        <v>28</v>
      </c>
      <c r="G5517" s="975" t="s">
        <v>27</v>
      </c>
      <c r="H5517" s="976" t="s">
        <v>793</v>
      </c>
      <c r="I5517" s="1245"/>
      <c r="J5517" s="1246"/>
      <c r="K5517" s="1247"/>
      <c r="L5517" s="977" t="s">
        <v>1246</v>
      </c>
      <c r="M5517" s="978"/>
    </row>
    <row r="5518" spans="3:13">
      <c r="C5518" s="660"/>
      <c r="D5518" s="979">
        <v>45792</v>
      </c>
      <c r="E5518" s="693">
        <v>-4</v>
      </c>
      <c r="F5518" s="693">
        <v>-11.3</v>
      </c>
      <c r="G5518" s="693">
        <v>-26.4</v>
      </c>
      <c r="H5518" s="718">
        <v>0.52083333333333337</v>
      </c>
      <c r="I5518" s="1245"/>
      <c r="J5518" s="1246"/>
      <c r="K5518" s="1247"/>
      <c r="L5518" s="679">
        <v>0.75</v>
      </c>
      <c r="M5518" s="680"/>
    </row>
    <row r="5519" spans="3:13">
      <c r="C5519" s="660"/>
      <c r="D5519" s="979">
        <v>45764</v>
      </c>
      <c r="E5519" s="693">
        <v>-26.4</v>
      </c>
      <c r="F5519" s="693">
        <v>2.2000000000000002</v>
      </c>
      <c r="G5519" s="693">
        <v>12.5</v>
      </c>
      <c r="H5519" s="718">
        <v>0.52083333333333337</v>
      </c>
      <c r="I5519" s="1245"/>
      <c r="J5519" s="1246"/>
      <c r="K5519" s="1247"/>
      <c r="L5519" s="679">
        <v>0.75</v>
      </c>
      <c r="M5519" s="681"/>
    </row>
    <row r="5520" spans="3:13">
      <c r="C5520" s="660"/>
      <c r="D5520" s="979">
        <v>45736</v>
      </c>
      <c r="E5520" s="693">
        <v>12.5</v>
      </c>
      <c r="F5520" s="693">
        <v>8.8000000000000007</v>
      </c>
      <c r="G5520" s="693">
        <v>18.100000000000001</v>
      </c>
      <c r="H5520" s="718">
        <v>0.52083333333333337</v>
      </c>
      <c r="I5520" s="1245"/>
      <c r="J5520" s="1246"/>
      <c r="K5520" s="1247"/>
      <c r="L5520" s="679">
        <v>0.75</v>
      </c>
      <c r="M5520" s="667"/>
    </row>
    <row r="5521" spans="2:13">
      <c r="C5521" s="660"/>
      <c r="D5521" s="979">
        <v>45708</v>
      </c>
      <c r="E5521" s="693">
        <v>18.100000000000001</v>
      </c>
      <c r="F5521" s="693">
        <v>19.399999999999999</v>
      </c>
      <c r="G5521" s="693">
        <v>44.3</v>
      </c>
      <c r="H5521" s="718">
        <v>0.5625</v>
      </c>
      <c r="I5521" s="1245"/>
      <c r="J5521" s="1246"/>
      <c r="K5521" s="1247"/>
      <c r="L5521" s="679">
        <v>0.79166666666666663</v>
      </c>
      <c r="M5521" s="667"/>
    </row>
    <row r="5522" spans="2:13">
      <c r="C5522" s="660"/>
      <c r="D5522" s="979">
        <v>45673</v>
      </c>
      <c r="E5522" s="693">
        <v>44.3</v>
      </c>
      <c r="F5522" s="693">
        <v>-5</v>
      </c>
      <c r="G5522" s="693">
        <v>-10.9</v>
      </c>
      <c r="H5522" s="718">
        <v>0.5625</v>
      </c>
      <c r="I5522" s="1245"/>
      <c r="J5522" s="1246"/>
      <c r="K5522" s="1247"/>
      <c r="L5522" s="679">
        <v>0.79166666666666663</v>
      </c>
      <c r="M5522" s="667"/>
    </row>
    <row r="5523" spans="2:13" ht="17" thickBot="1">
      <c r="C5523" s="660"/>
      <c r="D5523" s="979">
        <v>45645</v>
      </c>
      <c r="E5523" s="693">
        <v>-16.399999999999999</v>
      </c>
      <c r="F5523" s="693">
        <v>2.9</v>
      </c>
      <c r="G5523" s="693">
        <v>-5.5</v>
      </c>
      <c r="H5523" s="718">
        <v>0.5625</v>
      </c>
      <c r="I5523" s="1248"/>
      <c r="J5523" s="1249"/>
      <c r="K5523" s="1250"/>
      <c r="L5523" s="679">
        <v>0.79166666666666663</v>
      </c>
      <c r="M5523" s="682"/>
    </row>
    <row r="5524" spans="2:13">
      <c r="B5524" s="985" t="s">
        <v>105</v>
      </c>
      <c r="C5524" s="209" t="s">
        <v>105</v>
      </c>
    </row>
  </sheetData>
  <mergeCells count="3233">
    <mergeCell ref="E4912:G4912"/>
    <mergeCell ref="I4912:K4912"/>
    <mergeCell ref="E4913:G4913"/>
    <mergeCell ref="I4913:K4923"/>
    <mergeCell ref="E4914:G4914"/>
    <mergeCell ref="E4915:G4915"/>
    <mergeCell ref="E4916:G4916"/>
    <mergeCell ref="E4924:G4924"/>
    <mergeCell ref="I4924:K4924"/>
    <mergeCell ref="E4925:G4925"/>
    <mergeCell ref="I4925:K4935"/>
    <mergeCell ref="E4926:G4926"/>
    <mergeCell ref="E4927:G4927"/>
    <mergeCell ref="E4928:G4928"/>
    <mergeCell ref="E4876:G4876"/>
    <mergeCell ref="I4876:K4876"/>
    <mergeCell ref="E4877:G4877"/>
    <mergeCell ref="I4877:K4887"/>
    <mergeCell ref="E4878:G4878"/>
    <mergeCell ref="E4879:G4879"/>
    <mergeCell ref="E4880:G4880"/>
    <mergeCell ref="E4888:G4888"/>
    <mergeCell ref="I4888:K4888"/>
    <mergeCell ref="E4889:G4889"/>
    <mergeCell ref="I4889:K4899"/>
    <mergeCell ref="E4890:G4890"/>
    <mergeCell ref="E4891:G4891"/>
    <mergeCell ref="E4892:G4892"/>
    <mergeCell ref="E4900:G4900"/>
    <mergeCell ref="I4900:K4900"/>
    <mergeCell ref="E4901:G4901"/>
    <mergeCell ref="I4901:K4911"/>
    <mergeCell ref="E4902:G4902"/>
    <mergeCell ref="E4903:G4903"/>
    <mergeCell ref="E4904:G4904"/>
    <mergeCell ref="E4840:G4840"/>
    <mergeCell ref="I4840:K4840"/>
    <mergeCell ref="E4841:G4841"/>
    <mergeCell ref="I4841:K4851"/>
    <mergeCell ref="E4842:G4842"/>
    <mergeCell ref="E4843:G4843"/>
    <mergeCell ref="E4844:G4844"/>
    <mergeCell ref="E4852:G4852"/>
    <mergeCell ref="I4852:K4852"/>
    <mergeCell ref="E4853:G4853"/>
    <mergeCell ref="I4853:K4863"/>
    <mergeCell ref="E4854:G4854"/>
    <mergeCell ref="E4855:G4855"/>
    <mergeCell ref="E4856:G4856"/>
    <mergeCell ref="E4864:G4864"/>
    <mergeCell ref="I4864:K4864"/>
    <mergeCell ref="E4865:G4865"/>
    <mergeCell ref="I4865:K4875"/>
    <mergeCell ref="E4866:G4866"/>
    <mergeCell ref="E4867:G4867"/>
    <mergeCell ref="E4868:G4868"/>
    <mergeCell ref="E4732:G4732"/>
    <mergeCell ref="I4732:K4732"/>
    <mergeCell ref="E4733:G4733"/>
    <mergeCell ref="I4733:K4743"/>
    <mergeCell ref="E4734:G4734"/>
    <mergeCell ref="E4735:G4735"/>
    <mergeCell ref="E4736:G4736"/>
    <mergeCell ref="E4744:G4744"/>
    <mergeCell ref="I4744:K4744"/>
    <mergeCell ref="E4745:G4745"/>
    <mergeCell ref="I4745:K4755"/>
    <mergeCell ref="E4746:G4746"/>
    <mergeCell ref="E4747:G4747"/>
    <mergeCell ref="E4748:G4748"/>
    <mergeCell ref="E4828:G4828"/>
    <mergeCell ref="I4828:K4828"/>
    <mergeCell ref="E4829:G4829"/>
    <mergeCell ref="I4829:K4839"/>
    <mergeCell ref="E4830:G4830"/>
    <mergeCell ref="E4831:G4831"/>
    <mergeCell ref="E4832:G4832"/>
    <mergeCell ref="E4792:G4792"/>
    <mergeCell ref="I4792:K4792"/>
    <mergeCell ref="E4793:G4793"/>
    <mergeCell ref="I4793:K4803"/>
    <mergeCell ref="E4794:G4794"/>
    <mergeCell ref="E4795:G4795"/>
    <mergeCell ref="E4796:G4796"/>
    <mergeCell ref="E4804:G4804"/>
    <mergeCell ref="I4804:K4804"/>
    <mergeCell ref="E4805:G4805"/>
    <mergeCell ref="I4805:K4815"/>
    <mergeCell ref="E4806:G4806"/>
    <mergeCell ref="E4807:G4807"/>
    <mergeCell ref="E4808:G4808"/>
    <mergeCell ref="E4816:G4816"/>
    <mergeCell ref="I4816:K4816"/>
    <mergeCell ref="E4817:G4817"/>
    <mergeCell ref="I4817:K4827"/>
    <mergeCell ref="E4818:G4818"/>
    <mergeCell ref="E4819:G4819"/>
    <mergeCell ref="E4820:G4820"/>
    <mergeCell ref="E4756:G4756"/>
    <mergeCell ref="I4756:K4756"/>
    <mergeCell ref="E4757:G4757"/>
    <mergeCell ref="I4757:K4767"/>
    <mergeCell ref="E4758:G4758"/>
    <mergeCell ref="E4759:G4759"/>
    <mergeCell ref="E4760:G4760"/>
    <mergeCell ref="E4768:G4768"/>
    <mergeCell ref="I4768:K4768"/>
    <mergeCell ref="E4769:G4769"/>
    <mergeCell ref="I4769:K4779"/>
    <mergeCell ref="E4770:G4770"/>
    <mergeCell ref="E4771:G4771"/>
    <mergeCell ref="E4772:G4772"/>
    <mergeCell ref="E4780:G4780"/>
    <mergeCell ref="I4780:K4780"/>
    <mergeCell ref="E4781:G4781"/>
    <mergeCell ref="I4781:K4791"/>
    <mergeCell ref="E4782:G4782"/>
    <mergeCell ref="E4783:G4783"/>
    <mergeCell ref="E4784:G4784"/>
    <mergeCell ref="E4720:G4720"/>
    <mergeCell ref="I4720:K4720"/>
    <mergeCell ref="E4721:G4721"/>
    <mergeCell ref="I4721:K4731"/>
    <mergeCell ref="E4722:G4722"/>
    <mergeCell ref="E4723:G4723"/>
    <mergeCell ref="E4724:G4724"/>
    <mergeCell ref="E4684:G4684"/>
    <mergeCell ref="I4684:K4684"/>
    <mergeCell ref="E4685:G4685"/>
    <mergeCell ref="I4685:K4695"/>
    <mergeCell ref="E4686:G4686"/>
    <mergeCell ref="E4687:G4687"/>
    <mergeCell ref="E4688:G4688"/>
    <mergeCell ref="E4696:G4696"/>
    <mergeCell ref="I4696:K4696"/>
    <mergeCell ref="E4697:G4697"/>
    <mergeCell ref="I4697:K4707"/>
    <mergeCell ref="E4698:G4698"/>
    <mergeCell ref="E4699:G4699"/>
    <mergeCell ref="E4700:G4700"/>
    <mergeCell ref="E4708:G4708"/>
    <mergeCell ref="I4708:K4708"/>
    <mergeCell ref="E4709:G4709"/>
    <mergeCell ref="I4709:K4719"/>
    <mergeCell ref="E4710:G4710"/>
    <mergeCell ref="E4711:G4711"/>
    <mergeCell ref="E4712:G4712"/>
    <mergeCell ref="E4648:G4648"/>
    <mergeCell ref="I4648:K4648"/>
    <mergeCell ref="E4649:G4649"/>
    <mergeCell ref="I4649:K4659"/>
    <mergeCell ref="E4650:G4650"/>
    <mergeCell ref="E4651:G4651"/>
    <mergeCell ref="E4652:G4652"/>
    <mergeCell ref="E4660:G4660"/>
    <mergeCell ref="I4660:K4660"/>
    <mergeCell ref="E4661:G4661"/>
    <mergeCell ref="I4661:K4671"/>
    <mergeCell ref="E4662:G4662"/>
    <mergeCell ref="E4663:G4663"/>
    <mergeCell ref="E4664:G4664"/>
    <mergeCell ref="E4672:G4672"/>
    <mergeCell ref="I4672:K4672"/>
    <mergeCell ref="E4673:G4673"/>
    <mergeCell ref="I4673:K4683"/>
    <mergeCell ref="E4674:G4674"/>
    <mergeCell ref="E4675:G4675"/>
    <mergeCell ref="E4676:G4676"/>
    <mergeCell ref="E4612:G4612"/>
    <mergeCell ref="I4612:K4612"/>
    <mergeCell ref="E4613:G4613"/>
    <mergeCell ref="I4613:K4623"/>
    <mergeCell ref="E4614:G4614"/>
    <mergeCell ref="E4615:G4615"/>
    <mergeCell ref="E4616:G4616"/>
    <mergeCell ref="E4624:G4624"/>
    <mergeCell ref="I4624:K4624"/>
    <mergeCell ref="E4625:G4625"/>
    <mergeCell ref="I4625:K4635"/>
    <mergeCell ref="E4626:G4626"/>
    <mergeCell ref="E4627:G4627"/>
    <mergeCell ref="E4628:G4628"/>
    <mergeCell ref="E4636:G4636"/>
    <mergeCell ref="I4636:K4636"/>
    <mergeCell ref="E4637:G4637"/>
    <mergeCell ref="I4637:K4647"/>
    <mergeCell ref="E4638:G4638"/>
    <mergeCell ref="E4639:G4639"/>
    <mergeCell ref="E4640:G4640"/>
    <mergeCell ref="E4384:G4384"/>
    <mergeCell ref="I4384:K4384"/>
    <mergeCell ref="E4385:G4385"/>
    <mergeCell ref="I4385:K4395"/>
    <mergeCell ref="E4386:G4386"/>
    <mergeCell ref="E4387:G4387"/>
    <mergeCell ref="E4388:G4388"/>
    <mergeCell ref="E4396:G4396"/>
    <mergeCell ref="I4396:K4396"/>
    <mergeCell ref="E4397:G4397"/>
    <mergeCell ref="I4397:K4407"/>
    <mergeCell ref="E4398:G4398"/>
    <mergeCell ref="E4399:G4399"/>
    <mergeCell ref="E4400:G4400"/>
    <mergeCell ref="E4348:G4348"/>
    <mergeCell ref="I4348:K4348"/>
    <mergeCell ref="E4349:G4349"/>
    <mergeCell ref="I4349:K4359"/>
    <mergeCell ref="E4350:G4350"/>
    <mergeCell ref="E4351:G4351"/>
    <mergeCell ref="E4352:G4352"/>
    <mergeCell ref="E4360:G4360"/>
    <mergeCell ref="I4360:K4360"/>
    <mergeCell ref="E4361:G4361"/>
    <mergeCell ref="I4361:K4371"/>
    <mergeCell ref="E4362:G4362"/>
    <mergeCell ref="E4363:G4363"/>
    <mergeCell ref="E4364:G4364"/>
    <mergeCell ref="E4372:G4372"/>
    <mergeCell ref="I4372:K4372"/>
    <mergeCell ref="E4373:G4373"/>
    <mergeCell ref="I4373:K4383"/>
    <mergeCell ref="E4300:G4300"/>
    <mergeCell ref="I4300:K4300"/>
    <mergeCell ref="E4301:G4301"/>
    <mergeCell ref="I4301:K4311"/>
    <mergeCell ref="E4302:G4302"/>
    <mergeCell ref="E4303:G4303"/>
    <mergeCell ref="E4304:G4304"/>
    <mergeCell ref="E4374:G4374"/>
    <mergeCell ref="E4375:G4375"/>
    <mergeCell ref="E4376:G4376"/>
    <mergeCell ref="E4312:G4312"/>
    <mergeCell ref="I4312:K4312"/>
    <mergeCell ref="E4313:G4313"/>
    <mergeCell ref="I4313:K4323"/>
    <mergeCell ref="E4314:G4314"/>
    <mergeCell ref="E4315:G4315"/>
    <mergeCell ref="E4316:G4316"/>
    <mergeCell ref="E4324:G4324"/>
    <mergeCell ref="I4324:K4324"/>
    <mergeCell ref="E4325:G4325"/>
    <mergeCell ref="I4325:K4335"/>
    <mergeCell ref="E4326:G4326"/>
    <mergeCell ref="E4327:G4327"/>
    <mergeCell ref="E4328:G4328"/>
    <mergeCell ref="E4336:G4336"/>
    <mergeCell ref="I4336:K4336"/>
    <mergeCell ref="E4337:G4337"/>
    <mergeCell ref="I4337:K4347"/>
    <mergeCell ref="E4338:G4338"/>
    <mergeCell ref="E4339:G4339"/>
    <mergeCell ref="E4340:G4340"/>
    <mergeCell ref="E4264:G4264"/>
    <mergeCell ref="I4264:K4264"/>
    <mergeCell ref="E4265:G4265"/>
    <mergeCell ref="I4265:K4275"/>
    <mergeCell ref="E4266:G4266"/>
    <mergeCell ref="E4267:G4267"/>
    <mergeCell ref="E4268:G4268"/>
    <mergeCell ref="E4276:G4276"/>
    <mergeCell ref="I4276:K4276"/>
    <mergeCell ref="E4277:G4277"/>
    <mergeCell ref="I4277:K4287"/>
    <mergeCell ref="E4278:G4278"/>
    <mergeCell ref="E4279:G4279"/>
    <mergeCell ref="E4280:G4280"/>
    <mergeCell ref="E4288:G4288"/>
    <mergeCell ref="I4288:K4288"/>
    <mergeCell ref="E4289:G4289"/>
    <mergeCell ref="I4289:K4299"/>
    <mergeCell ref="E4290:G4290"/>
    <mergeCell ref="E4291:G4291"/>
    <mergeCell ref="E4292:G4292"/>
    <mergeCell ref="E4228:G4228"/>
    <mergeCell ref="I4228:K4228"/>
    <mergeCell ref="E4229:G4229"/>
    <mergeCell ref="I4229:K4239"/>
    <mergeCell ref="E4230:G4230"/>
    <mergeCell ref="E4231:G4231"/>
    <mergeCell ref="E4232:G4232"/>
    <mergeCell ref="E4240:G4240"/>
    <mergeCell ref="I4240:K4240"/>
    <mergeCell ref="E4241:G4241"/>
    <mergeCell ref="I4241:K4251"/>
    <mergeCell ref="E4242:G4242"/>
    <mergeCell ref="E4243:G4243"/>
    <mergeCell ref="E4244:G4244"/>
    <mergeCell ref="E4252:G4252"/>
    <mergeCell ref="I4252:K4252"/>
    <mergeCell ref="E4253:G4253"/>
    <mergeCell ref="I4253:K4263"/>
    <mergeCell ref="E4254:G4254"/>
    <mergeCell ref="E4255:G4255"/>
    <mergeCell ref="E4256:G4256"/>
    <mergeCell ref="E4192:G4192"/>
    <mergeCell ref="I4192:K4192"/>
    <mergeCell ref="E4193:G4193"/>
    <mergeCell ref="I4193:K4203"/>
    <mergeCell ref="E4194:G4194"/>
    <mergeCell ref="E4195:G4195"/>
    <mergeCell ref="E4196:G4196"/>
    <mergeCell ref="E4204:G4204"/>
    <mergeCell ref="I4204:K4204"/>
    <mergeCell ref="E4205:G4205"/>
    <mergeCell ref="I4205:K4215"/>
    <mergeCell ref="E4206:G4206"/>
    <mergeCell ref="E4207:G4207"/>
    <mergeCell ref="E4208:G4208"/>
    <mergeCell ref="E4216:G4216"/>
    <mergeCell ref="I4216:K4216"/>
    <mergeCell ref="E4217:G4217"/>
    <mergeCell ref="I4217:K4227"/>
    <mergeCell ref="E4218:G4218"/>
    <mergeCell ref="E4219:G4219"/>
    <mergeCell ref="E4220:G4220"/>
    <mergeCell ref="E4156:G4156"/>
    <mergeCell ref="I4156:K4156"/>
    <mergeCell ref="E4157:G4157"/>
    <mergeCell ref="I4157:K4167"/>
    <mergeCell ref="E4158:G4158"/>
    <mergeCell ref="E4159:G4159"/>
    <mergeCell ref="E4160:G4160"/>
    <mergeCell ref="E4168:G4168"/>
    <mergeCell ref="I4168:K4168"/>
    <mergeCell ref="E4169:G4169"/>
    <mergeCell ref="I4169:K4179"/>
    <mergeCell ref="E4170:G4170"/>
    <mergeCell ref="E4171:G4171"/>
    <mergeCell ref="E4172:G4172"/>
    <mergeCell ref="E4180:G4180"/>
    <mergeCell ref="I4180:K4180"/>
    <mergeCell ref="E4181:G4181"/>
    <mergeCell ref="I4181:K4191"/>
    <mergeCell ref="E4182:G4182"/>
    <mergeCell ref="E4183:G4183"/>
    <mergeCell ref="E4184:G4184"/>
    <mergeCell ref="E3856:G3856"/>
    <mergeCell ref="I3856:K3856"/>
    <mergeCell ref="E3857:G3857"/>
    <mergeCell ref="I3857:K3867"/>
    <mergeCell ref="E3858:G3858"/>
    <mergeCell ref="E3859:G3859"/>
    <mergeCell ref="E3860:G3860"/>
    <mergeCell ref="E3811:G3811"/>
    <mergeCell ref="E3812:G3812"/>
    <mergeCell ref="E3820:G3820"/>
    <mergeCell ref="E3821:G3821"/>
    <mergeCell ref="E3822:G3822"/>
    <mergeCell ref="E3823:G3823"/>
    <mergeCell ref="E3824:G3824"/>
    <mergeCell ref="E3832:G3832"/>
    <mergeCell ref="I3832:K3832"/>
    <mergeCell ref="E3833:G3833"/>
    <mergeCell ref="I3833:K3843"/>
    <mergeCell ref="E3834:G3834"/>
    <mergeCell ref="E3835:G3835"/>
    <mergeCell ref="E3836:G3836"/>
    <mergeCell ref="E3844:G3844"/>
    <mergeCell ref="I3844:K3844"/>
    <mergeCell ref="E3845:G3845"/>
    <mergeCell ref="I3845:K3855"/>
    <mergeCell ref="E3846:G3846"/>
    <mergeCell ref="E3847:G3847"/>
    <mergeCell ref="E3848:G3848"/>
    <mergeCell ref="E3784:G3784"/>
    <mergeCell ref="I3784:K3784"/>
    <mergeCell ref="E3785:G3785"/>
    <mergeCell ref="I3785:K3795"/>
    <mergeCell ref="E3786:G3786"/>
    <mergeCell ref="E3787:G3787"/>
    <mergeCell ref="E3788:G3788"/>
    <mergeCell ref="E3796:G3796"/>
    <mergeCell ref="I3796:K3796"/>
    <mergeCell ref="E3797:G3797"/>
    <mergeCell ref="I3797:K3807"/>
    <mergeCell ref="E3798:G3798"/>
    <mergeCell ref="E3799:G3799"/>
    <mergeCell ref="E3800:G3800"/>
    <mergeCell ref="E3808:G3808"/>
    <mergeCell ref="E3809:G3809"/>
    <mergeCell ref="E3810:G3810"/>
    <mergeCell ref="E3748:G3748"/>
    <mergeCell ref="I3748:K3748"/>
    <mergeCell ref="E3749:G3749"/>
    <mergeCell ref="I3749:K3759"/>
    <mergeCell ref="E3750:G3750"/>
    <mergeCell ref="E3751:G3751"/>
    <mergeCell ref="E3752:G3752"/>
    <mergeCell ref="E3760:G3760"/>
    <mergeCell ref="I3760:K3760"/>
    <mergeCell ref="E3761:G3761"/>
    <mergeCell ref="I3761:K3771"/>
    <mergeCell ref="E3762:G3762"/>
    <mergeCell ref="E3763:G3763"/>
    <mergeCell ref="E3764:G3764"/>
    <mergeCell ref="E3772:G3772"/>
    <mergeCell ref="I3772:K3772"/>
    <mergeCell ref="E3773:G3773"/>
    <mergeCell ref="I3773:K3783"/>
    <mergeCell ref="E3774:G3774"/>
    <mergeCell ref="E3775:G3775"/>
    <mergeCell ref="E3776:G3776"/>
    <mergeCell ref="E3712:G3712"/>
    <mergeCell ref="I3712:K3712"/>
    <mergeCell ref="E3713:G3713"/>
    <mergeCell ref="I3713:K3723"/>
    <mergeCell ref="E3714:G3714"/>
    <mergeCell ref="E3715:G3715"/>
    <mergeCell ref="E3716:G3716"/>
    <mergeCell ref="E3724:G3724"/>
    <mergeCell ref="I3724:K3724"/>
    <mergeCell ref="E3725:G3725"/>
    <mergeCell ref="I3725:K3735"/>
    <mergeCell ref="E3726:G3726"/>
    <mergeCell ref="E3727:G3727"/>
    <mergeCell ref="E3728:G3728"/>
    <mergeCell ref="E3736:G3736"/>
    <mergeCell ref="I3736:K3736"/>
    <mergeCell ref="E3737:G3737"/>
    <mergeCell ref="I3737:K3747"/>
    <mergeCell ref="E3738:G3738"/>
    <mergeCell ref="E3739:G3739"/>
    <mergeCell ref="E3740:G3740"/>
    <mergeCell ref="E3508:G3508"/>
    <mergeCell ref="I3508:K3508"/>
    <mergeCell ref="E3509:G3509"/>
    <mergeCell ref="I3509:K3519"/>
    <mergeCell ref="E3510:G3510"/>
    <mergeCell ref="E3511:G3511"/>
    <mergeCell ref="E3512:G3512"/>
    <mergeCell ref="E3520:G3520"/>
    <mergeCell ref="I3520:K3520"/>
    <mergeCell ref="E3521:G3521"/>
    <mergeCell ref="I3521:K3531"/>
    <mergeCell ref="E3522:G3522"/>
    <mergeCell ref="E3523:G3523"/>
    <mergeCell ref="E3524:G3524"/>
    <mergeCell ref="E3532:G3532"/>
    <mergeCell ref="I3532:K3532"/>
    <mergeCell ref="E3533:G3533"/>
    <mergeCell ref="I3533:K3543"/>
    <mergeCell ref="E3534:G3534"/>
    <mergeCell ref="E3535:G3535"/>
    <mergeCell ref="E3536:G3536"/>
    <mergeCell ref="E3472:G3472"/>
    <mergeCell ref="I3472:K3472"/>
    <mergeCell ref="E3473:G3473"/>
    <mergeCell ref="I3473:K3483"/>
    <mergeCell ref="E3474:G3474"/>
    <mergeCell ref="E3475:G3475"/>
    <mergeCell ref="E3476:G3476"/>
    <mergeCell ref="E3484:G3484"/>
    <mergeCell ref="I3484:K3484"/>
    <mergeCell ref="E3485:G3485"/>
    <mergeCell ref="I3485:K3495"/>
    <mergeCell ref="E3486:G3486"/>
    <mergeCell ref="E3487:G3487"/>
    <mergeCell ref="E3488:G3488"/>
    <mergeCell ref="E3496:G3496"/>
    <mergeCell ref="I3496:K3496"/>
    <mergeCell ref="E3497:G3497"/>
    <mergeCell ref="I3497:K3507"/>
    <mergeCell ref="E3498:G3498"/>
    <mergeCell ref="E3499:G3499"/>
    <mergeCell ref="E3500:G3500"/>
    <mergeCell ref="E3436:G3436"/>
    <mergeCell ref="I3436:K3436"/>
    <mergeCell ref="E3437:G3437"/>
    <mergeCell ref="I3437:K3447"/>
    <mergeCell ref="E3438:G3438"/>
    <mergeCell ref="E3439:G3439"/>
    <mergeCell ref="E3440:G3440"/>
    <mergeCell ref="E3448:G3448"/>
    <mergeCell ref="I3448:K3448"/>
    <mergeCell ref="E3449:G3449"/>
    <mergeCell ref="I3449:K3459"/>
    <mergeCell ref="E3450:G3450"/>
    <mergeCell ref="E3451:G3451"/>
    <mergeCell ref="E3452:G3452"/>
    <mergeCell ref="E3460:G3460"/>
    <mergeCell ref="I3460:K3460"/>
    <mergeCell ref="E3461:G3461"/>
    <mergeCell ref="I3461:K3471"/>
    <mergeCell ref="E3462:G3462"/>
    <mergeCell ref="E3463:G3463"/>
    <mergeCell ref="E3464:G3464"/>
    <mergeCell ref="E3400:G3400"/>
    <mergeCell ref="I3400:K3400"/>
    <mergeCell ref="E3401:G3401"/>
    <mergeCell ref="I3401:K3411"/>
    <mergeCell ref="E3402:G3402"/>
    <mergeCell ref="E3403:G3403"/>
    <mergeCell ref="E3404:G3404"/>
    <mergeCell ref="E3412:G3412"/>
    <mergeCell ref="I3412:K3412"/>
    <mergeCell ref="E3413:G3413"/>
    <mergeCell ref="I3413:K3423"/>
    <mergeCell ref="E3414:G3414"/>
    <mergeCell ref="E3415:G3415"/>
    <mergeCell ref="E3416:G3416"/>
    <mergeCell ref="E3424:G3424"/>
    <mergeCell ref="I3424:K3424"/>
    <mergeCell ref="E3425:G3425"/>
    <mergeCell ref="I3425:K3435"/>
    <mergeCell ref="E3426:G3426"/>
    <mergeCell ref="E3427:G3427"/>
    <mergeCell ref="E3428:G3428"/>
    <mergeCell ref="E3364:G3364"/>
    <mergeCell ref="I3364:K3364"/>
    <mergeCell ref="E3365:G3365"/>
    <mergeCell ref="I3365:K3375"/>
    <mergeCell ref="E3366:G3366"/>
    <mergeCell ref="E3367:G3367"/>
    <mergeCell ref="E3368:G3368"/>
    <mergeCell ref="E3376:G3376"/>
    <mergeCell ref="I3376:K3376"/>
    <mergeCell ref="E3377:G3377"/>
    <mergeCell ref="I3377:K3387"/>
    <mergeCell ref="E3378:G3378"/>
    <mergeCell ref="E3379:G3379"/>
    <mergeCell ref="E3380:G3380"/>
    <mergeCell ref="E3388:G3388"/>
    <mergeCell ref="I3388:K3388"/>
    <mergeCell ref="E3389:G3389"/>
    <mergeCell ref="I3389:K3399"/>
    <mergeCell ref="E3390:G3390"/>
    <mergeCell ref="E3391:G3391"/>
    <mergeCell ref="E3392:G3392"/>
    <mergeCell ref="E3328:G3328"/>
    <mergeCell ref="I3328:K3328"/>
    <mergeCell ref="E3329:G3329"/>
    <mergeCell ref="I3329:K3339"/>
    <mergeCell ref="E3330:G3330"/>
    <mergeCell ref="E3331:G3331"/>
    <mergeCell ref="E3332:G3332"/>
    <mergeCell ref="E3340:G3340"/>
    <mergeCell ref="I3340:K3340"/>
    <mergeCell ref="E3341:G3341"/>
    <mergeCell ref="I3341:K3351"/>
    <mergeCell ref="E3342:G3342"/>
    <mergeCell ref="E3343:G3343"/>
    <mergeCell ref="E3344:G3344"/>
    <mergeCell ref="E3352:G3352"/>
    <mergeCell ref="I3352:K3352"/>
    <mergeCell ref="E3353:G3353"/>
    <mergeCell ref="I3353:K3363"/>
    <mergeCell ref="E3354:G3354"/>
    <mergeCell ref="E3355:G3355"/>
    <mergeCell ref="E3356:G3356"/>
    <mergeCell ref="E3292:G3292"/>
    <mergeCell ref="I3292:K3292"/>
    <mergeCell ref="E3293:G3293"/>
    <mergeCell ref="I3293:K3303"/>
    <mergeCell ref="E3294:G3294"/>
    <mergeCell ref="E3295:G3295"/>
    <mergeCell ref="E3296:G3296"/>
    <mergeCell ref="E3304:G3304"/>
    <mergeCell ref="I3304:K3304"/>
    <mergeCell ref="E3305:G3305"/>
    <mergeCell ref="I3305:K3315"/>
    <mergeCell ref="E3306:G3306"/>
    <mergeCell ref="E3307:G3307"/>
    <mergeCell ref="E3308:G3308"/>
    <mergeCell ref="E3316:G3316"/>
    <mergeCell ref="I3316:K3316"/>
    <mergeCell ref="E3317:G3317"/>
    <mergeCell ref="I3317:K3327"/>
    <mergeCell ref="E3318:G3318"/>
    <mergeCell ref="E3319:G3319"/>
    <mergeCell ref="E3320:G3320"/>
    <mergeCell ref="E3100:G3100"/>
    <mergeCell ref="I3100:K3100"/>
    <mergeCell ref="E3101:G3101"/>
    <mergeCell ref="I3101:K3111"/>
    <mergeCell ref="E3102:G3102"/>
    <mergeCell ref="E3103:G3103"/>
    <mergeCell ref="E3104:G3104"/>
    <mergeCell ref="E3112:G3112"/>
    <mergeCell ref="I3112:K3112"/>
    <mergeCell ref="E3113:G3113"/>
    <mergeCell ref="I3113:K3123"/>
    <mergeCell ref="E3114:G3114"/>
    <mergeCell ref="E3115:G3115"/>
    <mergeCell ref="E3116:G3116"/>
    <mergeCell ref="E3064:G3064"/>
    <mergeCell ref="I3064:K3064"/>
    <mergeCell ref="E3065:G3065"/>
    <mergeCell ref="I3065:K3075"/>
    <mergeCell ref="E3066:G3066"/>
    <mergeCell ref="E3067:G3067"/>
    <mergeCell ref="E3068:G3068"/>
    <mergeCell ref="E3076:G3076"/>
    <mergeCell ref="I3076:K3076"/>
    <mergeCell ref="E3077:G3077"/>
    <mergeCell ref="I3077:K3087"/>
    <mergeCell ref="E3078:G3078"/>
    <mergeCell ref="E3079:G3079"/>
    <mergeCell ref="E3080:G3080"/>
    <mergeCell ref="E3088:G3088"/>
    <mergeCell ref="I3088:K3088"/>
    <mergeCell ref="E3089:G3089"/>
    <mergeCell ref="I3089:K3099"/>
    <mergeCell ref="E3090:G3090"/>
    <mergeCell ref="E3091:G3091"/>
    <mergeCell ref="E3092:G3092"/>
    <mergeCell ref="E3028:G3028"/>
    <mergeCell ref="I3028:K3028"/>
    <mergeCell ref="E3029:G3029"/>
    <mergeCell ref="I3029:K3039"/>
    <mergeCell ref="E3030:G3030"/>
    <mergeCell ref="E3031:G3031"/>
    <mergeCell ref="E3032:G3032"/>
    <mergeCell ref="E3040:G3040"/>
    <mergeCell ref="I3040:K3040"/>
    <mergeCell ref="E3041:G3041"/>
    <mergeCell ref="I3041:K3051"/>
    <mergeCell ref="E3042:G3042"/>
    <mergeCell ref="E3043:G3043"/>
    <mergeCell ref="E3044:G3044"/>
    <mergeCell ref="E3052:G3052"/>
    <mergeCell ref="I3052:K3052"/>
    <mergeCell ref="E3053:G3053"/>
    <mergeCell ref="I3053:K3063"/>
    <mergeCell ref="E3054:G3054"/>
    <mergeCell ref="E3055:G3055"/>
    <mergeCell ref="E3056:G3056"/>
    <mergeCell ref="E2992:G2992"/>
    <mergeCell ref="I2992:K2992"/>
    <mergeCell ref="E2993:G2993"/>
    <mergeCell ref="I2993:K3003"/>
    <mergeCell ref="E2994:G2994"/>
    <mergeCell ref="E2995:G2995"/>
    <mergeCell ref="E2996:G2996"/>
    <mergeCell ref="E3004:G3004"/>
    <mergeCell ref="I3004:K3004"/>
    <mergeCell ref="E3005:G3005"/>
    <mergeCell ref="I3005:K3015"/>
    <mergeCell ref="E3006:G3006"/>
    <mergeCell ref="E3007:G3007"/>
    <mergeCell ref="E3008:G3008"/>
    <mergeCell ref="E3016:G3016"/>
    <mergeCell ref="I3016:K3016"/>
    <mergeCell ref="E3017:G3017"/>
    <mergeCell ref="I3017:K3027"/>
    <mergeCell ref="E3018:G3018"/>
    <mergeCell ref="E3019:G3019"/>
    <mergeCell ref="E3020:G3020"/>
    <mergeCell ref="E2956:G2956"/>
    <mergeCell ref="I2956:K2956"/>
    <mergeCell ref="E2957:G2957"/>
    <mergeCell ref="I2957:K2967"/>
    <mergeCell ref="E2958:G2958"/>
    <mergeCell ref="E2959:G2959"/>
    <mergeCell ref="E2960:G2960"/>
    <mergeCell ref="E2968:G2968"/>
    <mergeCell ref="I2968:K2968"/>
    <mergeCell ref="E2969:G2969"/>
    <mergeCell ref="I2969:K2979"/>
    <mergeCell ref="E2970:G2970"/>
    <mergeCell ref="E2971:G2971"/>
    <mergeCell ref="E2972:G2972"/>
    <mergeCell ref="E2980:G2980"/>
    <mergeCell ref="I2980:K2980"/>
    <mergeCell ref="E2981:G2981"/>
    <mergeCell ref="I2981:K2991"/>
    <mergeCell ref="E2982:G2982"/>
    <mergeCell ref="E2983:G2983"/>
    <mergeCell ref="E2984:G2984"/>
    <mergeCell ref="E2920:G2920"/>
    <mergeCell ref="I2920:K2920"/>
    <mergeCell ref="E2921:G2921"/>
    <mergeCell ref="I2921:K2931"/>
    <mergeCell ref="E2922:G2922"/>
    <mergeCell ref="E2923:G2923"/>
    <mergeCell ref="E2924:G2924"/>
    <mergeCell ref="E2932:G2932"/>
    <mergeCell ref="I2932:K2932"/>
    <mergeCell ref="E2933:G2933"/>
    <mergeCell ref="I2933:K2943"/>
    <mergeCell ref="E2934:G2934"/>
    <mergeCell ref="E2935:G2935"/>
    <mergeCell ref="E2936:G2936"/>
    <mergeCell ref="E2944:G2944"/>
    <mergeCell ref="I2944:K2944"/>
    <mergeCell ref="E2945:G2945"/>
    <mergeCell ref="I2945:K2955"/>
    <mergeCell ref="E2946:G2946"/>
    <mergeCell ref="E2947:G2947"/>
    <mergeCell ref="E2948:G2948"/>
    <mergeCell ref="E2680:G2680"/>
    <mergeCell ref="I2680:K2680"/>
    <mergeCell ref="E2681:G2681"/>
    <mergeCell ref="I2681:K2691"/>
    <mergeCell ref="E2682:G2682"/>
    <mergeCell ref="E2683:G2683"/>
    <mergeCell ref="E2684:G2684"/>
    <mergeCell ref="E2692:G2692"/>
    <mergeCell ref="I2692:K2692"/>
    <mergeCell ref="E2693:G2693"/>
    <mergeCell ref="I2693:K2703"/>
    <mergeCell ref="E2694:G2694"/>
    <mergeCell ref="E2695:G2695"/>
    <mergeCell ref="E2696:G2696"/>
    <mergeCell ref="E2644:G2644"/>
    <mergeCell ref="I2644:K2644"/>
    <mergeCell ref="E2645:G2645"/>
    <mergeCell ref="I2645:K2655"/>
    <mergeCell ref="E2646:G2646"/>
    <mergeCell ref="E2647:G2647"/>
    <mergeCell ref="E2648:G2648"/>
    <mergeCell ref="E2656:G2656"/>
    <mergeCell ref="I2656:K2656"/>
    <mergeCell ref="E2657:G2657"/>
    <mergeCell ref="I2657:K2667"/>
    <mergeCell ref="E2658:G2658"/>
    <mergeCell ref="E2659:G2659"/>
    <mergeCell ref="E2660:G2660"/>
    <mergeCell ref="E2668:G2668"/>
    <mergeCell ref="I2668:K2668"/>
    <mergeCell ref="E2669:G2669"/>
    <mergeCell ref="I2669:K2679"/>
    <mergeCell ref="E2670:G2670"/>
    <mergeCell ref="E2671:G2671"/>
    <mergeCell ref="E2672:G2672"/>
    <mergeCell ref="E2608:G2608"/>
    <mergeCell ref="I2608:K2608"/>
    <mergeCell ref="E2609:G2609"/>
    <mergeCell ref="I2609:K2619"/>
    <mergeCell ref="E2610:G2610"/>
    <mergeCell ref="E2611:G2611"/>
    <mergeCell ref="E2612:G2612"/>
    <mergeCell ref="E2620:G2620"/>
    <mergeCell ref="I2620:K2620"/>
    <mergeCell ref="E2621:G2621"/>
    <mergeCell ref="I2621:K2631"/>
    <mergeCell ref="E2622:G2622"/>
    <mergeCell ref="E2623:G2623"/>
    <mergeCell ref="E2624:G2624"/>
    <mergeCell ref="E2632:G2632"/>
    <mergeCell ref="I2632:K2632"/>
    <mergeCell ref="E2633:G2633"/>
    <mergeCell ref="I2633:K2643"/>
    <mergeCell ref="E2634:G2634"/>
    <mergeCell ref="E2635:G2635"/>
    <mergeCell ref="E2636:G2636"/>
    <mergeCell ref="E2572:G2572"/>
    <mergeCell ref="I2572:K2572"/>
    <mergeCell ref="E2573:G2573"/>
    <mergeCell ref="I2573:K2583"/>
    <mergeCell ref="E2574:G2574"/>
    <mergeCell ref="E2575:G2575"/>
    <mergeCell ref="E2576:G2576"/>
    <mergeCell ref="E2584:G2584"/>
    <mergeCell ref="I2584:K2584"/>
    <mergeCell ref="E2585:G2585"/>
    <mergeCell ref="I2585:K2595"/>
    <mergeCell ref="E2586:G2586"/>
    <mergeCell ref="E2587:G2587"/>
    <mergeCell ref="E2588:G2588"/>
    <mergeCell ref="E2596:G2596"/>
    <mergeCell ref="I2596:K2596"/>
    <mergeCell ref="E2597:G2597"/>
    <mergeCell ref="I2597:K2607"/>
    <mergeCell ref="E2598:G2598"/>
    <mergeCell ref="E2599:G2599"/>
    <mergeCell ref="E2600:G2600"/>
    <mergeCell ref="E2536:G2536"/>
    <mergeCell ref="I2536:K2536"/>
    <mergeCell ref="E2537:G2537"/>
    <mergeCell ref="I2537:K2547"/>
    <mergeCell ref="E2538:G2538"/>
    <mergeCell ref="E2539:G2539"/>
    <mergeCell ref="E2540:G2540"/>
    <mergeCell ref="E2548:G2548"/>
    <mergeCell ref="I2548:K2548"/>
    <mergeCell ref="E2549:G2549"/>
    <mergeCell ref="I2549:K2559"/>
    <mergeCell ref="E2550:G2550"/>
    <mergeCell ref="E2551:G2551"/>
    <mergeCell ref="E2552:G2552"/>
    <mergeCell ref="E2560:G2560"/>
    <mergeCell ref="I2560:K2560"/>
    <mergeCell ref="E2561:G2561"/>
    <mergeCell ref="I2561:K2571"/>
    <mergeCell ref="E2562:G2562"/>
    <mergeCell ref="E2563:G2563"/>
    <mergeCell ref="E2564:G2564"/>
    <mergeCell ref="E2500:G2500"/>
    <mergeCell ref="I2500:K2500"/>
    <mergeCell ref="E2501:G2501"/>
    <mergeCell ref="I2501:K2511"/>
    <mergeCell ref="E2502:G2502"/>
    <mergeCell ref="E2503:G2503"/>
    <mergeCell ref="E2504:G2504"/>
    <mergeCell ref="E2512:G2512"/>
    <mergeCell ref="I2512:K2512"/>
    <mergeCell ref="E2513:G2513"/>
    <mergeCell ref="I2513:K2523"/>
    <mergeCell ref="E2514:G2514"/>
    <mergeCell ref="E2515:G2515"/>
    <mergeCell ref="E2516:G2516"/>
    <mergeCell ref="E2524:G2524"/>
    <mergeCell ref="I2524:K2524"/>
    <mergeCell ref="E2525:G2525"/>
    <mergeCell ref="I2525:K2535"/>
    <mergeCell ref="E2526:G2526"/>
    <mergeCell ref="E2527:G2527"/>
    <mergeCell ref="E2528:G2528"/>
    <mergeCell ref="E2464:G2464"/>
    <mergeCell ref="I2464:K2464"/>
    <mergeCell ref="E2465:G2465"/>
    <mergeCell ref="I2465:K2475"/>
    <mergeCell ref="E2466:G2466"/>
    <mergeCell ref="E2467:G2467"/>
    <mergeCell ref="E2468:G2468"/>
    <mergeCell ref="E2476:G2476"/>
    <mergeCell ref="I2476:K2476"/>
    <mergeCell ref="E2477:G2477"/>
    <mergeCell ref="I2477:K2487"/>
    <mergeCell ref="E2478:G2478"/>
    <mergeCell ref="E2479:G2479"/>
    <mergeCell ref="E2480:G2480"/>
    <mergeCell ref="E2488:G2488"/>
    <mergeCell ref="I2488:K2488"/>
    <mergeCell ref="E2489:G2489"/>
    <mergeCell ref="I2489:K2499"/>
    <mergeCell ref="E2490:G2490"/>
    <mergeCell ref="E2491:G2491"/>
    <mergeCell ref="E2492:G2492"/>
    <mergeCell ref="E2428:G2428"/>
    <mergeCell ref="I2428:K2428"/>
    <mergeCell ref="E2429:G2429"/>
    <mergeCell ref="I2429:K2439"/>
    <mergeCell ref="E2430:G2430"/>
    <mergeCell ref="E2431:G2431"/>
    <mergeCell ref="E2432:G2432"/>
    <mergeCell ref="E2440:G2440"/>
    <mergeCell ref="I2440:K2440"/>
    <mergeCell ref="E2441:G2441"/>
    <mergeCell ref="I2441:K2451"/>
    <mergeCell ref="E2442:G2442"/>
    <mergeCell ref="E2443:G2443"/>
    <mergeCell ref="E2444:G2444"/>
    <mergeCell ref="E2452:G2452"/>
    <mergeCell ref="I2452:K2452"/>
    <mergeCell ref="E2453:G2453"/>
    <mergeCell ref="I2453:K2463"/>
    <mergeCell ref="E2454:G2454"/>
    <mergeCell ref="E2455:G2455"/>
    <mergeCell ref="E2456:G2456"/>
    <mergeCell ref="E2392:G2392"/>
    <mergeCell ref="I2392:K2392"/>
    <mergeCell ref="E2393:G2393"/>
    <mergeCell ref="I2393:K2403"/>
    <mergeCell ref="E2394:G2394"/>
    <mergeCell ref="E2395:G2395"/>
    <mergeCell ref="E2396:G2396"/>
    <mergeCell ref="E2404:G2404"/>
    <mergeCell ref="I2404:K2404"/>
    <mergeCell ref="E2405:G2405"/>
    <mergeCell ref="I2405:K2415"/>
    <mergeCell ref="E2406:G2406"/>
    <mergeCell ref="E2407:G2407"/>
    <mergeCell ref="E2408:G2408"/>
    <mergeCell ref="E2416:G2416"/>
    <mergeCell ref="I2416:K2416"/>
    <mergeCell ref="E2417:G2417"/>
    <mergeCell ref="I2417:K2427"/>
    <mergeCell ref="E2418:G2418"/>
    <mergeCell ref="E2419:G2419"/>
    <mergeCell ref="E2420:G2420"/>
    <mergeCell ref="E2356:G2356"/>
    <mergeCell ref="I2356:K2356"/>
    <mergeCell ref="E2357:G2357"/>
    <mergeCell ref="I2357:K2367"/>
    <mergeCell ref="E2358:G2358"/>
    <mergeCell ref="E2359:G2359"/>
    <mergeCell ref="E2360:G2360"/>
    <mergeCell ref="E2368:G2368"/>
    <mergeCell ref="I2368:K2368"/>
    <mergeCell ref="E2369:G2369"/>
    <mergeCell ref="I2369:K2379"/>
    <mergeCell ref="E2370:G2370"/>
    <mergeCell ref="E2371:G2371"/>
    <mergeCell ref="E2372:G2372"/>
    <mergeCell ref="E2380:G2380"/>
    <mergeCell ref="I2380:K2380"/>
    <mergeCell ref="E2381:G2381"/>
    <mergeCell ref="I2381:K2391"/>
    <mergeCell ref="E2382:G2382"/>
    <mergeCell ref="E2383:G2383"/>
    <mergeCell ref="E2384:G2384"/>
    <mergeCell ref="E2320:G2320"/>
    <mergeCell ref="I2320:K2320"/>
    <mergeCell ref="E2321:G2321"/>
    <mergeCell ref="I2321:K2331"/>
    <mergeCell ref="E2322:G2322"/>
    <mergeCell ref="E2323:G2323"/>
    <mergeCell ref="E2324:G2324"/>
    <mergeCell ref="E2332:G2332"/>
    <mergeCell ref="I2332:K2332"/>
    <mergeCell ref="E2333:G2333"/>
    <mergeCell ref="I2333:K2343"/>
    <mergeCell ref="E2334:G2334"/>
    <mergeCell ref="E2335:G2335"/>
    <mergeCell ref="E2336:G2336"/>
    <mergeCell ref="E2344:G2344"/>
    <mergeCell ref="I2344:K2344"/>
    <mergeCell ref="E2345:G2345"/>
    <mergeCell ref="I2345:K2355"/>
    <mergeCell ref="E2346:G2346"/>
    <mergeCell ref="E2347:G2347"/>
    <mergeCell ref="E2348:G2348"/>
    <mergeCell ref="E2284:G2284"/>
    <mergeCell ref="I2284:K2284"/>
    <mergeCell ref="E2285:G2285"/>
    <mergeCell ref="I2285:K2295"/>
    <mergeCell ref="E2286:G2286"/>
    <mergeCell ref="E2287:G2287"/>
    <mergeCell ref="E2288:G2288"/>
    <mergeCell ref="E2296:G2296"/>
    <mergeCell ref="I2296:K2296"/>
    <mergeCell ref="E2297:G2297"/>
    <mergeCell ref="I2297:K2307"/>
    <mergeCell ref="E2298:G2298"/>
    <mergeCell ref="E2299:G2299"/>
    <mergeCell ref="E2300:G2300"/>
    <mergeCell ref="E2308:G2308"/>
    <mergeCell ref="I2308:K2308"/>
    <mergeCell ref="E2309:G2309"/>
    <mergeCell ref="I2309:K2319"/>
    <mergeCell ref="E2310:G2310"/>
    <mergeCell ref="E2311:G2311"/>
    <mergeCell ref="E2312:G2312"/>
    <mergeCell ref="E2092:G2092"/>
    <mergeCell ref="I2092:K2092"/>
    <mergeCell ref="E2093:G2093"/>
    <mergeCell ref="I2093:K2103"/>
    <mergeCell ref="E2094:G2094"/>
    <mergeCell ref="E2095:G2095"/>
    <mergeCell ref="E2096:G2096"/>
    <mergeCell ref="E2104:G2104"/>
    <mergeCell ref="I2104:K2104"/>
    <mergeCell ref="E2105:G2105"/>
    <mergeCell ref="I2105:K2115"/>
    <mergeCell ref="E2106:G2106"/>
    <mergeCell ref="E2107:G2107"/>
    <mergeCell ref="E2108:G2108"/>
    <mergeCell ref="E2056:G2056"/>
    <mergeCell ref="I2056:K2056"/>
    <mergeCell ref="E2057:G2057"/>
    <mergeCell ref="I2057:K2067"/>
    <mergeCell ref="E2058:G2058"/>
    <mergeCell ref="E2059:G2059"/>
    <mergeCell ref="E2060:G2060"/>
    <mergeCell ref="E2068:G2068"/>
    <mergeCell ref="I2068:K2068"/>
    <mergeCell ref="E2069:G2069"/>
    <mergeCell ref="I2069:K2079"/>
    <mergeCell ref="E2070:G2070"/>
    <mergeCell ref="E2071:G2071"/>
    <mergeCell ref="E2072:G2072"/>
    <mergeCell ref="E2080:G2080"/>
    <mergeCell ref="I2080:K2080"/>
    <mergeCell ref="E2081:G2081"/>
    <mergeCell ref="I2081:K2091"/>
    <mergeCell ref="E2008:G2008"/>
    <mergeCell ref="I2008:K2008"/>
    <mergeCell ref="E2009:G2009"/>
    <mergeCell ref="I2009:K2019"/>
    <mergeCell ref="E2010:G2010"/>
    <mergeCell ref="E2011:G2011"/>
    <mergeCell ref="E2012:G2012"/>
    <mergeCell ref="E2082:G2082"/>
    <mergeCell ref="E2083:G2083"/>
    <mergeCell ref="E2084:G2084"/>
    <mergeCell ref="E2020:G2020"/>
    <mergeCell ref="I2020:K2020"/>
    <mergeCell ref="E2021:G2021"/>
    <mergeCell ref="I2021:K2031"/>
    <mergeCell ref="E2022:G2022"/>
    <mergeCell ref="E2023:G2023"/>
    <mergeCell ref="E2024:G2024"/>
    <mergeCell ref="E2032:G2032"/>
    <mergeCell ref="I2032:K2032"/>
    <mergeCell ref="E2033:G2033"/>
    <mergeCell ref="I2033:K2043"/>
    <mergeCell ref="E2034:G2034"/>
    <mergeCell ref="E2035:G2035"/>
    <mergeCell ref="E2036:G2036"/>
    <mergeCell ref="E2044:G2044"/>
    <mergeCell ref="I2044:K2044"/>
    <mergeCell ref="E2045:G2045"/>
    <mergeCell ref="I2045:K2055"/>
    <mergeCell ref="E2046:G2046"/>
    <mergeCell ref="E2047:G2047"/>
    <mergeCell ref="E2048:G2048"/>
    <mergeCell ref="E1972:G1972"/>
    <mergeCell ref="I1972:K1972"/>
    <mergeCell ref="E1973:G1973"/>
    <mergeCell ref="I1973:K1983"/>
    <mergeCell ref="E1974:G1974"/>
    <mergeCell ref="E1975:G1975"/>
    <mergeCell ref="E1976:G1976"/>
    <mergeCell ref="E1984:G1984"/>
    <mergeCell ref="I1984:K1984"/>
    <mergeCell ref="E1985:G1985"/>
    <mergeCell ref="I1985:K1995"/>
    <mergeCell ref="E1986:G1986"/>
    <mergeCell ref="E1987:G1987"/>
    <mergeCell ref="E1988:G1988"/>
    <mergeCell ref="E1996:G1996"/>
    <mergeCell ref="I1996:K1996"/>
    <mergeCell ref="E1997:G1997"/>
    <mergeCell ref="I1997:K2007"/>
    <mergeCell ref="E1998:G1998"/>
    <mergeCell ref="E1999:G1999"/>
    <mergeCell ref="E2000:G2000"/>
    <mergeCell ref="E1936:G1936"/>
    <mergeCell ref="I1936:K1936"/>
    <mergeCell ref="E1937:G1937"/>
    <mergeCell ref="I1937:K1947"/>
    <mergeCell ref="E1938:G1938"/>
    <mergeCell ref="E1939:G1939"/>
    <mergeCell ref="E1940:G1940"/>
    <mergeCell ref="E1948:G1948"/>
    <mergeCell ref="I1948:K1948"/>
    <mergeCell ref="E1949:G1949"/>
    <mergeCell ref="I1949:K1959"/>
    <mergeCell ref="E1950:G1950"/>
    <mergeCell ref="E1951:G1951"/>
    <mergeCell ref="E1952:G1952"/>
    <mergeCell ref="E1960:G1960"/>
    <mergeCell ref="I1960:K1960"/>
    <mergeCell ref="E1961:G1961"/>
    <mergeCell ref="I1961:K1971"/>
    <mergeCell ref="E1962:G1962"/>
    <mergeCell ref="E1963:G1963"/>
    <mergeCell ref="E1964:G1964"/>
    <mergeCell ref="E1900:G1900"/>
    <mergeCell ref="I1900:K1900"/>
    <mergeCell ref="E1901:G1901"/>
    <mergeCell ref="I1901:K1911"/>
    <mergeCell ref="E1902:G1902"/>
    <mergeCell ref="E1903:G1903"/>
    <mergeCell ref="E1904:G1904"/>
    <mergeCell ref="E1912:G1912"/>
    <mergeCell ref="I1912:K1912"/>
    <mergeCell ref="E1913:G1913"/>
    <mergeCell ref="I1913:K1923"/>
    <mergeCell ref="E1914:G1914"/>
    <mergeCell ref="E1915:G1915"/>
    <mergeCell ref="E1916:G1916"/>
    <mergeCell ref="E1924:G1924"/>
    <mergeCell ref="I1924:K1924"/>
    <mergeCell ref="E1925:G1925"/>
    <mergeCell ref="I1925:K1935"/>
    <mergeCell ref="E1926:G1926"/>
    <mergeCell ref="E1927:G1927"/>
    <mergeCell ref="E1928:G1928"/>
    <mergeCell ref="E1864:G1864"/>
    <mergeCell ref="I1864:K1864"/>
    <mergeCell ref="E1865:G1865"/>
    <mergeCell ref="I1865:K1875"/>
    <mergeCell ref="E1866:G1866"/>
    <mergeCell ref="E1867:G1867"/>
    <mergeCell ref="E1868:G1868"/>
    <mergeCell ref="E1876:G1876"/>
    <mergeCell ref="I1876:K1876"/>
    <mergeCell ref="E1877:G1877"/>
    <mergeCell ref="I1877:K1887"/>
    <mergeCell ref="E1878:G1878"/>
    <mergeCell ref="E1879:G1879"/>
    <mergeCell ref="E1880:G1880"/>
    <mergeCell ref="E1888:G1888"/>
    <mergeCell ref="I1888:K1888"/>
    <mergeCell ref="E1889:G1889"/>
    <mergeCell ref="I1889:K1899"/>
    <mergeCell ref="E1890:G1890"/>
    <mergeCell ref="E1891:G1891"/>
    <mergeCell ref="E1892:G1892"/>
    <mergeCell ref="I1828:K1828"/>
    <mergeCell ref="E1829:G1829"/>
    <mergeCell ref="I1829:K1839"/>
    <mergeCell ref="E1830:G1830"/>
    <mergeCell ref="E1831:G1831"/>
    <mergeCell ref="E1832:G1832"/>
    <mergeCell ref="E1840:G1840"/>
    <mergeCell ref="I1840:K1840"/>
    <mergeCell ref="E1841:G1841"/>
    <mergeCell ref="I1841:K1851"/>
    <mergeCell ref="E1842:G1842"/>
    <mergeCell ref="E1843:G1843"/>
    <mergeCell ref="E1844:G1844"/>
    <mergeCell ref="E1852:G1852"/>
    <mergeCell ref="I1852:K1852"/>
    <mergeCell ref="E1853:G1853"/>
    <mergeCell ref="I1853:K1863"/>
    <mergeCell ref="E1854:G1854"/>
    <mergeCell ref="E1855:G1855"/>
    <mergeCell ref="E1856:G1856"/>
    <mergeCell ref="E1673:G1673"/>
    <mergeCell ref="I1673:K1683"/>
    <mergeCell ref="E1674:G1674"/>
    <mergeCell ref="E1675:G1675"/>
    <mergeCell ref="E1676:G1676"/>
    <mergeCell ref="E1684:G1684"/>
    <mergeCell ref="I1684:K1684"/>
    <mergeCell ref="E1685:G1685"/>
    <mergeCell ref="I1685:K1695"/>
    <mergeCell ref="E1686:G1686"/>
    <mergeCell ref="E1687:G1687"/>
    <mergeCell ref="E1688:G1688"/>
    <mergeCell ref="E1660:G1660"/>
    <mergeCell ref="I1660:K1660"/>
    <mergeCell ref="E1661:G1661"/>
    <mergeCell ref="I1661:K1671"/>
    <mergeCell ref="E1662:G1662"/>
    <mergeCell ref="E1663:G1663"/>
    <mergeCell ref="E1664:G1664"/>
    <mergeCell ref="E1672:G1672"/>
    <mergeCell ref="I1672:K1672"/>
    <mergeCell ref="E1637:G1637"/>
    <mergeCell ref="I1637:K1647"/>
    <mergeCell ref="E1638:G1638"/>
    <mergeCell ref="E1639:G1639"/>
    <mergeCell ref="E1640:G1640"/>
    <mergeCell ref="E1648:G1648"/>
    <mergeCell ref="I1648:K1648"/>
    <mergeCell ref="E1649:G1649"/>
    <mergeCell ref="I1649:K1659"/>
    <mergeCell ref="E1650:G1650"/>
    <mergeCell ref="E1651:G1651"/>
    <mergeCell ref="E1652:G1652"/>
    <mergeCell ref="E1624:G1624"/>
    <mergeCell ref="I1624:K1624"/>
    <mergeCell ref="E1625:G1625"/>
    <mergeCell ref="I1625:K1635"/>
    <mergeCell ref="E1626:G1626"/>
    <mergeCell ref="E1627:G1627"/>
    <mergeCell ref="E1628:G1628"/>
    <mergeCell ref="E1636:G1636"/>
    <mergeCell ref="I1636:K1636"/>
    <mergeCell ref="E1601:G1601"/>
    <mergeCell ref="I1601:K1611"/>
    <mergeCell ref="E1602:G1602"/>
    <mergeCell ref="E1603:G1603"/>
    <mergeCell ref="E1604:G1604"/>
    <mergeCell ref="E1612:G1612"/>
    <mergeCell ref="I1612:K1612"/>
    <mergeCell ref="E1613:G1613"/>
    <mergeCell ref="I1613:K1623"/>
    <mergeCell ref="E1614:G1614"/>
    <mergeCell ref="E1615:G1615"/>
    <mergeCell ref="E1616:G1616"/>
    <mergeCell ref="E1588:G1588"/>
    <mergeCell ref="I1588:K1588"/>
    <mergeCell ref="E1589:G1589"/>
    <mergeCell ref="I1589:K1599"/>
    <mergeCell ref="E1590:G1590"/>
    <mergeCell ref="E1591:G1591"/>
    <mergeCell ref="E1592:G1592"/>
    <mergeCell ref="E1600:G1600"/>
    <mergeCell ref="I1600:K1600"/>
    <mergeCell ref="I1336:K1336"/>
    <mergeCell ref="E1337:G1337"/>
    <mergeCell ref="I1337:K1347"/>
    <mergeCell ref="E1338:G1338"/>
    <mergeCell ref="E1339:G1339"/>
    <mergeCell ref="E1340:G1340"/>
    <mergeCell ref="E1156:G1156"/>
    <mergeCell ref="I1156:K1156"/>
    <mergeCell ref="E1157:G1157"/>
    <mergeCell ref="I1157:K1167"/>
    <mergeCell ref="E1158:G1158"/>
    <mergeCell ref="E1159:G1159"/>
    <mergeCell ref="E1160:G1160"/>
    <mergeCell ref="E1168:G1168"/>
    <mergeCell ref="I1168:K1168"/>
    <mergeCell ref="E1169:G1169"/>
    <mergeCell ref="I1169:K1179"/>
    <mergeCell ref="E1170:G1170"/>
    <mergeCell ref="E1171:G1171"/>
    <mergeCell ref="E1172:G1172"/>
    <mergeCell ref="E1180:G1180"/>
    <mergeCell ref="I1180:K1180"/>
    <mergeCell ref="E1181:G1181"/>
    <mergeCell ref="I1312:K1312"/>
    <mergeCell ref="E1313:G1313"/>
    <mergeCell ref="I1313:K1323"/>
    <mergeCell ref="E1314:G1314"/>
    <mergeCell ref="E1315:G1315"/>
    <mergeCell ref="E1316:G1316"/>
    <mergeCell ref="E1324:G1324"/>
    <mergeCell ref="I1324:K1324"/>
    <mergeCell ref="E1325:G1325"/>
    <mergeCell ref="I1325:K1335"/>
    <mergeCell ref="E1326:G1326"/>
    <mergeCell ref="E1327:G1327"/>
    <mergeCell ref="E1328:G1328"/>
    <mergeCell ref="I1288:K1288"/>
    <mergeCell ref="E1289:G1289"/>
    <mergeCell ref="I1289:K1299"/>
    <mergeCell ref="E1290:G1290"/>
    <mergeCell ref="E1291:G1291"/>
    <mergeCell ref="E1292:G1292"/>
    <mergeCell ref="E1300:G1300"/>
    <mergeCell ref="I1300:K1300"/>
    <mergeCell ref="E1301:G1301"/>
    <mergeCell ref="I1301:K1311"/>
    <mergeCell ref="E1302:G1302"/>
    <mergeCell ref="E1303:G1303"/>
    <mergeCell ref="E1304:G1304"/>
    <mergeCell ref="I1264:K1264"/>
    <mergeCell ref="E1265:G1265"/>
    <mergeCell ref="I1265:K1275"/>
    <mergeCell ref="E1266:G1266"/>
    <mergeCell ref="E1267:G1267"/>
    <mergeCell ref="E1268:G1268"/>
    <mergeCell ref="E1276:G1276"/>
    <mergeCell ref="I1276:K1276"/>
    <mergeCell ref="E1277:G1277"/>
    <mergeCell ref="I1277:K1287"/>
    <mergeCell ref="E1278:G1278"/>
    <mergeCell ref="E1279:G1279"/>
    <mergeCell ref="E1280:G1280"/>
    <mergeCell ref="I1240:K1240"/>
    <mergeCell ref="E1241:G1241"/>
    <mergeCell ref="I1241:K1251"/>
    <mergeCell ref="E1242:G1242"/>
    <mergeCell ref="E1243:G1243"/>
    <mergeCell ref="E1244:G1244"/>
    <mergeCell ref="E1252:G1252"/>
    <mergeCell ref="I1252:K1252"/>
    <mergeCell ref="E1253:G1253"/>
    <mergeCell ref="I1253:K1263"/>
    <mergeCell ref="E1254:G1254"/>
    <mergeCell ref="E1255:G1255"/>
    <mergeCell ref="E1256:G1256"/>
    <mergeCell ref="I1216:K1216"/>
    <mergeCell ref="E1217:G1217"/>
    <mergeCell ref="I1217:K1227"/>
    <mergeCell ref="E1218:G1218"/>
    <mergeCell ref="E1219:G1219"/>
    <mergeCell ref="E1220:G1220"/>
    <mergeCell ref="E1228:G1228"/>
    <mergeCell ref="I1228:K1228"/>
    <mergeCell ref="E1229:G1229"/>
    <mergeCell ref="I1229:K1239"/>
    <mergeCell ref="E1230:G1230"/>
    <mergeCell ref="E1231:G1231"/>
    <mergeCell ref="E1232:G1232"/>
    <mergeCell ref="I1192:K1192"/>
    <mergeCell ref="E1193:G1193"/>
    <mergeCell ref="I1193:K1203"/>
    <mergeCell ref="E1194:G1194"/>
    <mergeCell ref="E1195:G1195"/>
    <mergeCell ref="E1196:G1196"/>
    <mergeCell ref="E1204:G1204"/>
    <mergeCell ref="I1204:K1204"/>
    <mergeCell ref="E1205:G1205"/>
    <mergeCell ref="I1205:K1215"/>
    <mergeCell ref="E1206:G1206"/>
    <mergeCell ref="E1207:G1207"/>
    <mergeCell ref="E1208:G1208"/>
    <mergeCell ref="I1181:K1191"/>
    <mergeCell ref="E1182:G1182"/>
    <mergeCell ref="E1183:G1183"/>
    <mergeCell ref="E1184:G1184"/>
    <mergeCell ref="E941:G941"/>
    <mergeCell ref="I941:K951"/>
    <mergeCell ref="E942:G942"/>
    <mergeCell ref="E943:G943"/>
    <mergeCell ref="E944:G944"/>
    <mergeCell ref="E952:G952"/>
    <mergeCell ref="I952:K952"/>
    <mergeCell ref="E953:G953"/>
    <mergeCell ref="I953:K963"/>
    <mergeCell ref="E954:G954"/>
    <mergeCell ref="E955:G955"/>
    <mergeCell ref="E956:G956"/>
    <mergeCell ref="E964:G964"/>
    <mergeCell ref="I964:K964"/>
    <mergeCell ref="E965:G965"/>
    <mergeCell ref="I965:K975"/>
    <mergeCell ref="E966:G966"/>
    <mergeCell ref="E967:G967"/>
    <mergeCell ref="E968:G968"/>
    <mergeCell ref="E976:G976"/>
    <mergeCell ref="I976:K976"/>
    <mergeCell ref="E977:G977"/>
    <mergeCell ref="I977:K987"/>
    <mergeCell ref="E978:G978"/>
    <mergeCell ref="E979:G979"/>
    <mergeCell ref="E980:G980"/>
    <mergeCell ref="E988:G988"/>
    <mergeCell ref="I988:K988"/>
    <mergeCell ref="E928:G928"/>
    <mergeCell ref="I928:K928"/>
    <mergeCell ref="E929:G929"/>
    <mergeCell ref="I929:K939"/>
    <mergeCell ref="E930:G930"/>
    <mergeCell ref="E931:G931"/>
    <mergeCell ref="E932:G932"/>
    <mergeCell ref="E940:G940"/>
    <mergeCell ref="I940:K940"/>
    <mergeCell ref="E905:G905"/>
    <mergeCell ref="I905:K915"/>
    <mergeCell ref="E906:G906"/>
    <mergeCell ref="E907:G907"/>
    <mergeCell ref="E908:G908"/>
    <mergeCell ref="E916:G916"/>
    <mergeCell ref="I916:K916"/>
    <mergeCell ref="E917:G917"/>
    <mergeCell ref="I917:K927"/>
    <mergeCell ref="E918:G918"/>
    <mergeCell ref="E919:G919"/>
    <mergeCell ref="E920:G920"/>
    <mergeCell ref="E892:G892"/>
    <mergeCell ref="I892:K892"/>
    <mergeCell ref="E893:G893"/>
    <mergeCell ref="I893:K903"/>
    <mergeCell ref="E894:G894"/>
    <mergeCell ref="E895:G895"/>
    <mergeCell ref="E896:G896"/>
    <mergeCell ref="E904:G904"/>
    <mergeCell ref="I904:K904"/>
    <mergeCell ref="E869:G869"/>
    <mergeCell ref="I869:K879"/>
    <mergeCell ref="E870:G870"/>
    <mergeCell ref="E871:G871"/>
    <mergeCell ref="E872:G872"/>
    <mergeCell ref="E880:G880"/>
    <mergeCell ref="I880:K880"/>
    <mergeCell ref="E881:G881"/>
    <mergeCell ref="I881:K891"/>
    <mergeCell ref="E882:G882"/>
    <mergeCell ref="E883:G883"/>
    <mergeCell ref="E884:G884"/>
    <mergeCell ref="E856:G856"/>
    <mergeCell ref="I856:K856"/>
    <mergeCell ref="E857:G857"/>
    <mergeCell ref="I857:K867"/>
    <mergeCell ref="E858:G858"/>
    <mergeCell ref="E859:G859"/>
    <mergeCell ref="E860:G860"/>
    <mergeCell ref="E868:G868"/>
    <mergeCell ref="I868:K868"/>
    <mergeCell ref="E833:G833"/>
    <mergeCell ref="I833:K843"/>
    <mergeCell ref="E834:G834"/>
    <mergeCell ref="E835:G835"/>
    <mergeCell ref="E836:G836"/>
    <mergeCell ref="E844:G844"/>
    <mergeCell ref="I844:K844"/>
    <mergeCell ref="E845:G845"/>
    <mergeCell ref="I845:K855"/>
    <mergeCell ref="E846:G846"/>
    <mergeCell ref="E847:G847"/>
    <mergeCell ref="E848:G848"/>
    <mergeCell ref="E820:G820"/>
    <mergeCell ref="I820:K820"/>
    <mergeCell ref="E821:G821"/>
    <mergeCell ref="I821:K831"/>
    <mergeCell ref="E822:G822"/>
    <mergeCell ref="E823:G823"/>
    <mergeCell ref="E824:G824"/>
    <mergeCell ref="E832:G832"/>
    <mergeCell ref="I832:K832"/>
    <mergeCell ref="E641:G641"/>
    <mergeCell ref="I641:K651"/>
    <mergeCell ref="E642:G642"/>
    <mergeCell ref="E643:G643"/>
    <mergeCell ref="E644:G644"/>
    <mergeCell ref="E652:G652"/>
    <mergeCell ref="I652:K652"/>
    <mergeCell ref="E653:G653"/>
    <mergeCell ref="I653:K663"/>
    <mergeCell ref="E654:G654"/>
    <mergeCell ref="E655:G655"/>
    <mergeCell ref="E656:G656"/>
    <mergeCell ref="E664:G664"/>
    <mergeCell ref="I664:K664"/>
    <mergeCell ref="E665:G665"/>
    <mergeCell ref="I665:K675"/>
    <mergeCell ref="E666:G666"/>
    <mergeCell ref="E667:G667"/>
    <mergeCell ref="E668:G668"/>
    <mergeCell ref="E676:G676"/>
    <mergeCell ref="I676:K676"/>
    <mergeCell ref="E677:G677"/>
    <mergeCell ref="I677:K687"/>
    <mergeCell ref="E628:G628"/>
    <mergeCell ref="I628:K628"/>
    <mergeCell ref="E629:G629"/>
    <mergeCell ref="I629:K639"/>
    <mergeCell ref="E630:G630"/>
    <mergeCell ref="E631:G631"/>
    <mergeCell ref="E632:G632"/>
    <mergeCell ref="E640:G640"/>
    <mergeCell ref="I640:K640"/>
    <mergeCell ref="E605:G605"/>
    <mergeCell ref="I605:K615"/>
    <mergeCell ref="E606:G606"/>
    <mergeCell ref="E607:G607"/>
    <mergeCell ref="E608:G608"/>
    <mergeCell ref="E616:G616"/>
    <mergeCell ref="I616:K616"/>
    <mergeCell ref="E617:G617"/>
    <mergeCell ref="I617:K627"/>
    <mergeCell ref="E618:G618"/>
    <mergeCell ref="E619:G619"/>
    <mergeCell ref="E620:G620"/>
    <mergeCell ref="E592:G592"/>
    <mergeCell ref="I592:K592"/>
    <mergeCell ref="E593:G593"/>
    <mergeCell ref="I593:K603"/>
    <mergeCell ref="E594:G594"/>
    <mergeCell ref="E595:G595"/>
    <mergeCell ref="E596:G596"/>
    <mergeCell ref="E604:G604"/>
    <mergeCell ref="I604:K604"/>
    <mergeCell ref="E569:G569"/>
    <mergeCell ref="I569:K579"/>
    <mergeCell ref="E570:G570"/>
    <mergeCell ref="E571:G571"/>
    <mergeCell ref="E572:G572"/>
    <mergeCell ref="E580:G580"/>
    <mergeCell ref="I580:K580"/>
    <mergeCell ref="E581:G581"/>
    <mergeCell ref="I581:K591"/>
    <mergeCell ref="E582:G582"/>
    <mergeCell ref="E583:G583"/>
    <mergeCell ref="E584:G584"/>
    <mergeCell ref="E136:G136"/>
    <mergeCell ref="I136:K136"/>
    <mergeCell ref="E137:G137"/>
    <mergeCell ref="I137:K147"/>
    <mergeCell ref="E556:G556"/>
    <mergeCell ref="I556:K556"/>
    <mergeCell ref="E557:G557"/>
    <mergeCell ref="I557:K567"/>
    <mergeCell ref="E558:G558"/>
    <mergeCell ref="E559:G559"/>
    <mergeCell ref="E560:G560"/>
    <mergeCell ref="E568:G568"/>
    <mergeCell ref="I568:K568"/>
    <mergeCell ref="E533:G533"/>
    <mergeCell ref="I533:K543"/>
    <mergeCell ref="E534:G534"/>
    <mergeCell ref="E535:G535"/>
    <mergeCell ref="E536:G536"/>
    <mergeCell ref="E544:G544"/>
    <mergeCell ref="I544:K544"/>
    <mergeCell ref="E545:G545"/>
    <mergeCell ref="I545:K555"/>
    <mergeCell ref="E546:G546"/>
    <mergeCell ref="E547:G547"/>
    <mergeCell ref="E548:G548"/>
    <mergeCell ref="E196:G196"/>
    <mergeCell ref="I196:K196"/>
    <mergeCell ref="E197:G197"/>
    <mergeCell ref="I197:K207"/>
    <mergeCell ref="E198:G198"/>
    <mergeCell ref="E199:G199"/>
    <mergeCell ref="E200:G200"/>
    <mergeCell ref="I101:K111"/>
    <mergeCell ref="E102:G102"/>
    <mergeCell ref="E103:G103"/>
    <mergeCell ref="E104:G104"/>
    <mergeCell ref="E520:G520"/>
    <mergeCell ref="I520:K520"/>
    <mergeCell ref="E521:G521"/>
    <mergeCell ref="I521:K531"/>
    <mergeCell ref="E522:G522"/>
    <mergeCell ref="E523:G523"/>
    <mergeCell ref="E524:G524"/>
    <mergeCell ref="E532:G532"/>
    <mergeCell ref="I532:K532"/>
    <mergeCell ref="E125:G125"/>
    <mergeCell ref="I125:K135"/>
    <mergeCell ref="E126:G126"/>
    <mergeCell ref="E127:G127"/>
    <mergeCell ref="E128:G128"/>
    <mergeCell ref="E508:G508"/>
    <mergeCell ref="I508:K508"/>
    <mergeCell ref="E509:G509"/>
    <mergeCell ref="I509:K519"/>
    <mergeCell ref="E510:G510"/>
    <mergeCell ref="E511:G511"/>
    <mergeCell ref="E512:G512"/>
    <mergeCell ref="E148:G148"/>
    <mergeCell ref="I148:K148"/>
    <mergeCell ref="E149:G149"/>
    <mergeCell ref="I149:K159"/>
    <mergeCell ref="E150:G150"/>
    <mergeCell ref="E151:G151"/>
    <mergeCell ref="E152:G152"/>
    <mergeCell ref="E88:G88"/>
    <mergeCell ref="I88:K88"/>
    <mergeCell ref="E53:G53"/>
    <mergeCell ref="I53:K63"/>
    <mergeCell ref="E54:G54"/>
    <mergeCell ref="E55:G55"/>
    <mergeCell ref="E56:G56"/>
    <mergeCell ref="E64:G64"/>
    <mergeCell ref="I64:K64"/>
    <mergeCell ref="E65:G65"/>
    <mergeCell ref="I65:K75"/>
    <mergeCell ref="E66:G66"/>
    <mergeCell ref="E67:G67"/>
    <mergeCell ref="E68:G68"/>
    <mergeCell ref="E138:G138"/>
    <mergeCell ref="E112:G112"/>
    <mergeCell ref="I112:K112"/>
    <mergeCell ref="E113:G113"/>
    <mergeCell ref="I113:K123"/>
    <mergeCell ref="E114:G114"/>
    <mergeCell ref="E115:G115"/>
    <mergeCell ref="E116:G116"/>
    <mergeCell ref="E124:G124"/>
    <mergeCell ref="I124:K124"/>
    <mergeCell ref="E89:G89"/>
    <mergeCell ref="I89:K99"/>
    <mergeCell ref="E90:G90"/>
    <mergeCell ref="E91:G91"/>
    <mergeCell ref="E92:G92"/>
    <mergeCell ref="E100:G100"/>
    <mergeCell ref="I100:K100"/>
    <mergeCell ref="E101:G101"/>
    <mergeCell ref="E52:G52"/>
    <mergeCell ref="I52:K52"/>
    <mergeCell ref="E17:G17"/>
    <mergeCell ref="I17:K27"/>
    <mergeCell ref="E18:G18"/>
    <mergeCell ref="E19:G19"/>
    <mergeCell ref="E20:G20"/>
    <mergeCell ref="E28:G28"/>
    <mergeCell ref="I28:K28"/>
    <mergeCell ref="E29:G29"/>
    <mergeCell ref="I29:K39"/>
    <mergeCell ref="E30:G30"/>
    <mergeCell ref="E31:G31"/>
    <mergeCell ref="E32:G32"/>
    <mergeCell ref="E76:G76"/>
    <mergeCell ref="I76:K76"/>
    <mergeCell ref="E77:G77"/>
    <mergeCell ref="I77:K87"/>
    <mergeCell ref="E78:G78"/>
    <mergeCell ref="E79:G79"/>
    <mergeCell ref="E80:G80"/>
    <mergeCell ref="E4:G4"/>
    <mergeCell ref="I4:K4"/>
    <mergeCell ref="E5:G5"/>
    <mergeCell ref="I5:K15"/>
    <mergeCell ref="E6:G6"/>
    <mergeCell ref="E7:G7"/>
    <mergeCell ref="E8:G8"/>
    <mergeCell ref="E16:G16"/>
    <mergeCell ref="I16:K16"/>
    <mergeCell ref="E139:G139"/>
    <mergeCell ref="E140:G140"/>
    <mergeCell ref="E172:G172"/>
    <mergeCell ref="I172:K172"/>
    <mergeCell ref="E173:G173"/>
    <mergeCell ref="I173:K183"/>
    <mergeCell ref="E174:G174"/>
    <mergeCell ref="E175:G175"/>
    <mergeCell ref="E176:G176"/>
    <mergeCell ref="E160:G160"/>
    <mergeCell ref="I160:K160"/>
    <mergeCell ref="E161:G161"/>
    <mergeCell ref="I161:K171"/>
    <mergeCell ref="E162:G162"/>
    <mergeCell ref="E163:G163"/>
    <mergeCell ref="E164:G164"/>
    <mergeCell ref="E40:G40"/>
    <mergeCell ref="I40:K40"/>
    <mergeCell ref="E41:G41"/>
    <mergeCell ref="I41:K51"/>
    <mergeCell ref="E42:G42"/>
    <mergeCell ref="E43:G43"/>
    <mergeCell ref="E44:G44"/>
    <mergeCell ref="E184:G184"/>
    <mergeCell ref="I184:K184"/>
    <mergeCell ref="E185:G185"/>
    <mergeCell ref="I185:K195"/>
    <mergeCell ref="E186:G186"/>
    <mergeCell ref="E187:G187"/>
    <mergeCell ref="E188:G188"/>
    <mergeCell ref="E220:G220"/>
    <mergeCell ref="I220:K220"/>
    <mergeCell ref="E221:G221"/>
    <mergeCell ref="I221:K231"/>
    <mergeCell ref="E222:G222"/>
    <mergeCell ref="E223:G223"/>
    <mergeCell ref="E224:G224"/>
    <mergeCell ref="E208:G208"/>
    <mergeCell ref="I208:K208"/>
    <mergeCell ref="E209:G209"/>
    <mergeCell ref="I209:K219"/>
    <mergeCell ref="E210:G210"/>
    <mergeCell ref="E211:G211"/>
    <mergeCell ref="E212:G212"/>
    <mergeCell ref="E244:G244"/>
    <mergeCell ref="I244:K244"/>
    <mergeCell ref="E245:G245"/>
    <mergeCell ref="I245:K255"/>
    <mergeCell ref="E246:G246"/>
    <mergeCell ref="E247:G247"/>
    <mergeCell ref="E248:G248"/>
    <mergeCell ref="E232:G232"/>
    <mergeCell ref="I232:K232"/>
    <mergeCell ref="E233:G233"/>
    <mergeCell ref="I233:K243"/>
    <mergeCell ref="E234:G234"/>
    <mergeCell ref="E235:G235"/>
    <mergeCell ref="E236:G236"/>
    <mergeCell ref="E268:G268"/>
    <mergeCell ref="I268:K268"/>
    <mergeCell ref="E269:G269"/>
    <mergeCell ref="I269:K279"/>
    <mergeCell ref="E270:G270"/>
    <mergeCell ref="E271:G271"/>
    <mergeCell ref="E272:G272"/>
    <mergeCell ref="E256:G256"/>
    <mergeCell ref="I256:K256"/>
    <mergeCell ref="E257:G257"/>
    <mergeCell ref="I257:K267"/>
    <mergeCell ref="E258:G258"/>
    <mergeCell ref="E259:G259"/>
    <mergeCell ref="E260:G260"/>
    <mergeCell ref="E292:G292"/>
    <mergeCell ref="I292:K292"/>
    <mergeCell ref="E293:G293"/>
    <mergeCell ref="I293:K303"/>
    <mergeCell ref="E294:G294"/>
    <mergeCell ref="E295:G295"/>
    <mergeCell ref="E296:G296"/>
    <mergeCell ref="E280:G280"/>
    <mergeCell ref="I280:K280"/>
    <mergeCell ref="E281:G281"/>
    <mergeCell ref="I281:K291"/>
    <mergeCell ref="E282:G282"/>
    <mergeCell ref="E283:G283"/>
    <mergeCell ref="E284:G284"/>
    <mergeCell ref="E316:G316"/>
    <mergeCell ref="I316:K316"/>
    <mergeCell ref="E317:G317"/>
    <mergeCell ref="I317:K327"/>
    <mergeCell ref="E318:G318"/>
    <mergeCell ref="E319:G319"/>
    <mergeCell ref="E320:G320"/>
    <mergeCell ref="E304:G304"/>
    <mergeCell ref="I304:K304"/>
    <mergeCell ref="E305:G305"/>
    <mergeCell ref="I305:K315"/>
    <mergeCell ref="E306:G306"/>
    <mergeCell ref="E307:G307"/>
    <mergeCell ref="E308:G308"/>
    <mergeCell ref="E340:G340"/>
    <mergeCell ref="I340:K340"/>
    <mergeCell ref="E341:G341"/>
    <mergeCell ref="I341:K351"/>
    <mergeCell ref="E342:G342"/>
    <mergeCell ref="E343:G343"/>
    <mergeCell ref="E344:G344"/>
    <mergeCell ref="E328:G328"/>
    <mergeCell ref="I328:K328"/>
    <mergeCell ref="E329:G329"/>
    <mergeCell ref="I329:K339"/>
    <mergeCell ref="E330:G330"/>
    <mergeCell ref="E331:G331"/>
    <mergeCell ref="E332:G332"/>
    <mergeCell ref="E364:G364"/>
    <mergeCell ref="I364:K364"/>
    <mergeCell ref="E365:G365"/>
    <mergeCell ref="I365:K375"/>
    <mergeCell ref="E366:G366"/>
    <mergeCell ref="E367:G367"/>
    <mergeCell ref="E368:G368"/>
    <mergeCell ref="E352:G352"/>
    <mergeCell ref="I352:K352"/>
    <mergeCell ref="E353:G353"/>
    <mergeCell ref="I353:K363"/>
    <mergeCell ref="E354:G354"/>
    <mergeCell ref="E355:G355"/>
    <mergeCell ref="E356:G356"/>
    <mergeCell ref="E388:G388"/>
    <mergeCell ref="I388:K388"/>
    <mergeCell ref="E389:G389"/>
    <mergeCell ref="I389:K399"/>
    <mergeCell ref="E390:G390"/>
    <mergeCell ref="E391:G391"/>
    <mergeCell ref="E392:G392"/>
    <mergeCell ref="E376:G376"/>
    <mergeCell ref="I376:K376"/>
    <mergeCell ref="E377:G377"/>
    <mergeCell ref="I377:K387"/>
    <mergeCell ref="E378:G378"/>
    <mergeCell ref="E379:G379"/>
    <mergeCell ref="E380:G380"/>
    <mergeCell ref="E412:G412"/>
    <mergeCell ref="I412:K412"/>
    <mergeCell ref="E413:G413"/>
    <mergeCell ref="I413:K423"/>
    <mergeCell ref="E414:G414"/>
    <mergeCell ref="E415:G415"/>
    <mergeCell ref="E416:G416"/>
    <mergeCell ref="E400:G400"/>
    <mergeCell ref="I400:K400"/>
    <mergeCell ref="E401:G401"/>
    <mergeCell ref="I401:K411"/>
    <mergeCell ref="E402:G402"/>
    <mergeCell ref="E403:G403"/>
    <mergeCell ref="E404:G404"/>
    <mergeCell ref="E427:G427"/>
    <mergeCell ref="J427:L427"/>
    <mergeCell ref="E428:G428"/>
    <mergeCell ref="J428:L428"/>
    <mergeCell ref="E436:G436"/>
    <mergeCell ref="J436:L436"/>
    <mergeCell ref="E424:G424"/>
    <mergeCell ref="J424:L424"/>
    <mergeCell ref="E425:G425"/>
    <mergeCell ref="J425:L425"/>
    <mergeCell ref="E426:G426"/>
    <mergeCell ref="J426:L426"/>
    <mergeCell ref="E440:G440"/>
    <mergeCell ref="J440:L440"/>
    <mergeCell ref="E448:G448"/>
    <mergeCell ref="J448:L448"/>
    <mergeCell ref="E449:G449"/>
    <mergeCell ref="J449:L449"/>
    <mergeCell ref="E437:G437"/>
    <mergeCell ref="J437:L437"/>
    <mergeCell ref="E438:G438"/>
    <mergeCell ref="J438:L438"/>
    <mergeCell ref="E439:G439"/>
    <mergeCell ref="J439:L439"/>
    <mergeCell ref="E460:G460"/>
    <mergeCell ref="J460:L460"/>
    <mergeCell ref="E461:G461"/>
    <mergeCell ref="J461:L461"/>
    <mergeCell ref="E462:G462"/>
    <mergeCell ref="J462:L462"/>
    <mergeCell ref="E450:G450"/>
    <mergeCell ref="J450:L450"/>
    <mergeCell ref="E451:G451"/>
    <mergeCell ref="J451:L451"/>
    <mergeCell ref="E452:G452"/>
    <mergeCell ref="J452:L452"/>
    <mergeCell ref="E473:G473"/>
    <mergeCell ref="J473:L473"/>
    <mergeCell ref="E474:G474"/>
    <mergeCell ref="J474:L474"/>
    <mergeCell ref="E475:G475"/>
    <mergeCell ref="J475:L475"/>
    <mergeCell ref="E463:G463"/>
    <mergeCell ref="J463:L463"/>
    <mergeCell ref="E464:G464"/>
    <mergeCell ref="J464:L464"/>
    <mergeCell ref="E472:G472"/>
    <mergeCell ref="J472:L472"/>
    <mergeCell ref="E486:G486"/>
    <mergeCell ref="J486:L486"/>
    <mergeCell ref="E487:G487"/>
    <mergeCell ref="J487:L487"/>
    <mergeCell ref="E488:G488"/>
    <mergeCell ref="J488:L488"/>
    <mergeCell ref="E476:G476"/>
    <mergeCell ref="J476:L476"/>
    <mergeCell ref="E484:G484"/>
    <mergeCell ref="J484:L484"/>
    <mergeCell ref="E485:G485"/>
    <mergeCell ref="J485:L485"/>
    <mergeCell ref="E499:G499"/>
    <mergeCell ref="J499:L499"/>
    <mergeCell ref="E500:G500"/>
    <mergeCell ref="J500:L500"/>
    <mergeCell ref="E496:G496"/>
    <mergeCell ref="J496:L496"/>
    <mergeCell ref="E497:G497"/>
    <mergeCell ref="J497:L497"/>
    <mergeCell ref="E498:G498"/>
    <mergeCell ref="J498:L498"/>
    <mergeCell ref="E678:G678"/>
    <mergeCell ref="E679:G679"/>
    <mergeCell ref="E680:G680"/>
    <mergeCell ref="E688:G688"/>
    <mergeCell ref="I688:K688"/>
    <mergeCell ref="E689:G689"/>
    <mergeCell ref="I689:K699"/>
    <mergeCell ref="E690:G690"/>
    <mergeCell ref="E691:G691"/>
    <mergeCell ref="E692:G692"/>
    <mergeCell ref="E700:G700"/>
    <mergeCell ref="I700:K700"/>
    <mergeCell ref="E701:G701"/>
    <mergeCell ref="I701:K711"/>
    <mergeCell ref="E702:G702"/>
    <mergeCell ref="E703:G703"/>
    <mergeCell ref="E704:G704"/>
    <mergeCell ref="E712:G712"/>
    <mergeCell ref="I712:K712"/>
    <mergeCell ref="E713:G713"/>
    <mergeCell ref="I713:K723"/>
    <mergeCell ref="E714:G714"/>
    <mergeCell ref="E715:G715"/>
    <mergeCell ref="E716:G716"/>
    <mergeCell ref="E724:G724"/>
    <mergeCell ref="I724:K724"/>
    <mergeCell ref="E725:G725"/>
    <mergeCell ref="I725:K735"/>
    <mergeCell ref="E726:G726"/>
    <mergeCell ref="E727:G727"/>
    <mergeCell ref="E728:G728"/>
    <mergeCell ref="E736:G736"/>
    <mergeCell ref="I736:K736"/>
    <mergeCell ref="E737:G737"/>
    <mergeCell ref="I737:K747"/>
    <mergeCell ref="E738:G738"/>
    <mergeCell ref="E739:G739"/>
    <mergeCell ref="E740:G740"/>
    <mergeCell ref="E748:G748"/>
    <mergeCell ref="I748:K748"/>
    <mergeCell ref="E749:G749"/>
    <mergeCell ref="I749:K759"/>
    <mergeCell ref="E750:G750"/>
    <mergeCell ref="E751:G751"/>
    <mergeCell ref="E752:G752"/>
    <mergeCell ref="E760:G760"/>
    <mergeCell ref="I760:K760"/>
    <mergeCell ref="E761:G761"/>
    <mergeCell ref="I761:K771"/>
    <mergeCell ref="E762:G762"/>
    <mergeCell ref="E763:G763"/>
    <mergeCell ref="E764:G764"/>
    <mergeCell ref="E772:G772"/>
    <mergeCell ref="I772:K772"/>
    <mergeCell ref="E773:G773"/>
    <mergeCell ref="I773:K783"/>
    <mergeCell ref="E774:G774"/>
    <mergeCell ref="E775:G775"/>
    <mergeCell ref="E776:G776"/>
    <mergeCell ref="E784:G784"/>
    <mergeCell ref="I784:K784"/>
    <mergeCell ref="E808:G808"/>
    <mergeCell ref="I808:K808"/>
    <mergeCell ref="E809:G809"/>
    <mergeCell ref="I809:K819"/>
    <mergeCell ref="E810:G810"/>
    <mergeCell ref="E811:G811"/>
    <mergeCell ref="E812:G812"/>
    <mergeCell ref="E785:G785"/>
    <mergeCell ref="I785:K795"/>
    <mergeCell ref="E786:G786"/>
    <mergeCell ref="E787:G787"/>
    <mergeCell ref="E788:G788"/>
    <mergeCell ref="E796:G796"/>
    <mergeCell ref="I796:K796"/>
    <mergeCell ref="E797:G797"/>
    <mergeCell ref="I797:K807"/>
    <mergeCell ref="E798:G798"/>
    <mergeCell ref="E799:G799"/>
    <mergeCell ref="E800:G800"/>
    <mergeCell ref="E989:G989"/>
    <mergeCell ref="I989:K999"/>
    <mergeCell ref="E990:G990"/>
    <mergeCell ref="E991:G991"/>
    <mergeCell ref="E992:G992"/>
    <mergeCell ref="E1000:G1000"/>
    <mergeCell ref="I1000:K1000"/>
    <mergeCell ref="E1001:G1001"/>
    <mergeCell ref="I1001:K1011"/>
    <mergeCell ref="E1002:G1002"/>
    <mergeCell ref="E1003:G1003"/>
    <mergeCell ref="E1004:G1004"/>
    <mergeCell ref="E1012:G1012"/>
    <mergeCell ref="I1012:K1012"/>
    <mergeCell ref="E1013:G1013"/>
    <mergeCell ref="I1013:K1023"/>
    <mergeCell ref="E1014:G1014"/>
    <mergeCell ref="E1015:G1015"/>
    <mergeCell ref="E1016:G1016"/>
    <mergeCell ref="E1024:G1024"/>
    <mergeCell ref="I1024:K1024"/>
    <mergeCell ref="E1025:G1025"/>
    <mergeCell ref="I1025:K1035"/>
    <mergeCell ref="E1026:G1026"/>
    <mergeCell ref="E1027:G1027"/>
    <mergeCell ref="E1028:G1028"/>
    <mergeCell ref="E1036:G1036"/>
    <mergeCell ref="I1036:K1036"/>
    <mergeCell ref="E1037:G1037"/>
    <mergeCell ref="I1037:K1047"/>
    <mergeCell ref="E1038:G1038"/>
    <mergeCell ref="E1039:G1039"/>
    <mergeCell ref="E1040:G1040"/>
    <mergeCell ref="E1048:G1048"/>
    <mergeCell ref="I1048:K1048"/>
    <mergeCell ref="E1049:G1049"/>
    <mergeCell ref="I1049:K1059"/>
    <mergeCell ref="E1050:G1050"/>
    <mergeCell ref="E1051:G1051"/>
    <mergeCell ref="E1052:G1052"/>
    <mergeCell ref="E1060:G1060"/>
    <mergeCell ref="I1060:K1060"/>
    <mergeCell ref="E1061:G1061"/>
    <mergeCell ref="I1061:K1071"/>
    <mergeCell ref="E1062:G1062"/>
    <mergeCell ref="E1063:G1063"/>
    <mergeCell ref="E1064:G1064"/>
    <mergeCell ref="E1072:G1072"/>
    <mergeCell ref="I1072:K1072"/>
    <mergeCell ref="E1073:G1073"/>
    <mergeCell ref="I1073:K1083"/>
    <mergeCell ref="E1074:G1074"/>
    <mergeCell ref="E1075:G1075"/>
    <mergeCell ref="E1076:G1076"/>
    <mergeCell ref="E1084:G1084"/>
    <mergeCell ref="I1084:K1084"/>
    <mergeCell ref="E1085:G1085"/>
    <mergeCell ref="I1085:K1095"/>
    <mergeCell ref="E1086:G1086"/>
    <mergeCell ref="E1087:G1087"/>
    <mergeCell ref="E1088:G1088"/>
    <mergeCell ref="E1096:G1096"/>
    <mergeCell ref="I1096:K1096"/>
    <mergeCell ref="E1097:G1097"/>
    <mergeCell ref="I1097:K1107"/>
    <mergeCell ref="E1098:G1098"/>
    <mergeCell ref="E1099:G1099"/>
    <mergeCell ref="E1100:G1100"/>
    <mergeCell ref="E1108:G1108"/>
    <mergeCell ref="I1108:K1108"/>
    <mergeCell ref="E1109:G1109"/>
    <mergeCell ref="I1109:K1119"/>
    <mergeCell ref="E1110:G1110"/>
    <mergeCell ref="E1111:G1111"/>
    <mergeCell ref="E1112:G1112"/>
    <mergeCell ref="E1120:G1120"/>
    <mergeCell ref="I1120:K1120"/>
    <mergeCell ref="I1121:K1131"/>
    <mergeCell ref="E1122:G1122"/>
    <mergeCell ref="E1123:G1123"/>
    <mergeCell ref="E1124:G1124"/>
    <mergeCell ref="E1145:G1145"/>
    <mergeCell ref="I1145:K1155"/>
    <mergeCell ref="E1146:G1146"/>
    <mergeCell ref="E1147:G1147"/>
    <mergeCell ref="E1148:G1148"/>
    <mergeCell ref="E1132:G1132"/>
    <mergeCell ref="I1132:K1132"/>
    <mergeCell ref="E1133:G1133"/>
    <mergeCell ref="I1133:K1143"/>
    <mergeCell ref="E1134:G1134"/>
    <mergeCell ref="E1135:G1135"/>
    <mergeCell ref="E1136:G1136"/>
    <mergeCell ref="E1144:G1144"/>
    <mergeCell ref="I1144:K1144"/>
    <mergeCell ref="E1576:G1576"/>
    <mergeCell ref="E1577:G1577"/>
    <mergeCell ref="E1578:G1578"/>
    <mergeCell ref="E1472:G1472"/>
    <mergeCell ref="E1480:G1480"/>
    <mergeCell ref="E1481:G1481"/>
    <mergeCell ref="E1482:G1482"/>
    <mergeCell ref="E1483:G1483"/>
    <mergeCell ref="E1445:G1445"/>
    <mergeCell ref="E1446:G1446"/>
    <mergeCell ref="E1447:G1447"/>
    <mergeCell ref="E1448:G1448"/>
    <mergeCell ref="E1456:G1456"/>
    <mergeCell ref="E1457:G1457"/>
    <mergeCell ref="E1458:G1458"/>
    <mergeCell ref="E1459:G1459"/>
    <mergeCell ref="E1460:G1460"/>
    <mergeCell ref="I1505:K1515"/>
    <mergeCell ref="E1579:G1579"/>
    <mergeCell ref="E1388:G1388"/>
    <mergeCell ref="E1396:G1396"/>
    <mergeCell ref="E1397:G1397"/>
    <mergeCell ref="E1398:G1398"/>
    <mergeCell ref="E1121:G1121"/>
    <mergeCell ref="E1192:G1192"/>
    <mergeCell ref="E1216:G1216"/>
    <mergeCell ref="E1240:G1240"/>
    <mergeCell ref="E1264:G1264"/>
    <mergeCell ref="E1288:G1288"/>
    <mergeCell ref="E1312:G1312"/>
    <mergeCell ref="E1336:G1336"/>
    <mergeCell ref="E1399:G1399"/>
    <mergeCell ref="E1400:G1400"/>
    <mergeCell ref="E1408:G1408"/>
    <mergeCell ref="E1409:G1409"/>
    <mergeCell ref="E1410:G1410"/>
    <mergeCell ref="E1411:G1411"/>
    <mergeCell ref="E1412:G1412"/>
    <mergeCell ref="E1420:G1420"/>
    <mergeCell ref="E1421:G1421"/>
    <mergeCell ref="E1422:G1422"/>
    <mergeCell ref="E1423:G1423"/>
    <mergeCell ref="E1424:G1424"/>
    <mergeCell ref="E1432:G1432"/>
    <mergeCell ref="E1433:G1433"/>
    <mergeCell ref="E1434:G1434"/>
    <mergeCell ref="E1435:G1435"/>
    <mergeCell ref="E1436:G1436"/>
    <mergeCell ref="E1444:G1444"/>
    <mergeCell ref="E1471:G1471"/>
    <mergeCell ref="I1516:K1516"/>
    <mergeCell ref="I1517:K1527"/>
    <mergeCell ref="I1528:K1528"/>
    <mergeCell ref="E1484:G1484"/>
    <mergeCell ref="E1492:G1492"/>
    <mergeCell ref="E1493:G1493"/>
    <mergeCell ref="E1494:G1494"/>
    <mergeCell ref="E1495:G1495"/>
    <mergeCell ref="E1496:G1496"/>
    <mergeCell ref="E1504:G1504"/>
    <mergeCell ref="E1505:G1505"/>
    <mergeCell ref="E1506:G1506"/>
    <mergeCell ref="I1481:K1491"/>
    <mergeCell ref="I1492:K1492"/>
    <mergeCell ref="I1493:K1503"/>
    <mergeCell ref="I1504:K1504"/>
    <mergeCell ref="E1507:G1507"/>
    <mergeCell ref="E1508:G1508"/>
    <mergeCell ref="E1516:G1516"/>
    <mergeCell ref="E1517:G1517"/>
    <mergeCell ref="E1518:G1518"/>
    <mergeCell ref="E1519:G1519"/>
    <mergeCell ref="E1520:G1520"/>
    <mergeCell ref="E1528:G1528"/>
    <mergeCell ref="I1553:K1563"/>
    <mergeCell ref="I1564:K1564"/>
    <mergeCell ref="I1565:K1575"/>
    <mergeCell ref="E1530:G1530"/>
    <mergeCell ref="E1531:G1531"/>
    <mergeCell ref="E1532:G1532"/>
    <mergeCell ref="E1540:G1540"/>
    <mergeCell ref="E1541:G1541"/>
    <mergeCell ref="E1542:G1542"/>
    <mergeCell ref="E1543:G1543"/>
    <mergeCell ref="E1544:G1544"/>
    <mergeCell ref="E1552:G1552"/>
    <mergeCell ref="I1529:K1539"/>
    <mergeCell ref="I1540:K1540"/>
    <mergeCell ref="I1541:K1551"/>
    <mergeCell ref="I1552:K1552"/>
    <mergeCell ref="E1553:G1553"/>
    <mergeCell ref="E1554:G1554"/>
    <mergeCell ref="E1555:G1555"/>
    <mergeCell ref="E1556:G1556"/>
    <mergeCell ref="E1564:G1564"/>
    <mergeCell ref="E1565:G1565"/>
    <mergeCell ref="E1566:G1566"/>
    <mergeCell ref="E1567:G1567"/>
    <mergeCell ref="E1568:G1568"/>
    <mergeCell ref="E1361:G1361"/>
    <mergeCell ref="E1362:G1362"/>
    <mergeCell ref="E1363:G1363"/>
    <mergeCell ref="E1364:G1364"/>
    <mergeCell ref="E1372:G1372"/>
    <mergeCell ref="E1373:G1373"/>
    <mergeCell ref="E1374:G1374"/>
    <mergeCell ref="E1375:G1375"/>
    <mergeCell ref="E1376:G1376"/>
    <mergeCell ref="E1384:G1384"/>
    <mergeCell ref="E1385:G1385"/>
    <mergeCell ref="E1386:G1386"/>
    <mergeCell ref="E1387:G1387"/>
    <mergeCell ref="E1468:G1468"/>
    <mergeCell ref="E1469:G1469"/>
    <mergeCell ref="E1470:G1470"/>
    <mergeCell ref="E1529:G1529"/>
    <mergeCell ref="I1576:K1576"/>
    <mergeCell ref="I1577:K1587"/>
    <mergeCell ref="E1580:G1580"/>
    <mergeCell ref="I1348:K1348"/>
    <mergeCell ref="I1349:K1359"/>
    <mergeCell ref="I1360:K1360"/>
    <mergeCell ref="I1361:K1371"/>
    <mergeCell ref="I1372:K1372"/>
    <mergeCell ref="I1373:K1383"/>
    <mergeCell ref="I1384:K1384"/>
    <mergeCell ref="I1385:K1395"/>
    <mergeCell ref="I1396:K1396"/>
    <mergeCell ref="I1397:K1407"/>
    <mergeCell ref="I1408:K1408"/>
    <mergeCell ref="I1409:K1419"/>
    <mergeCell ref="I1420:K1420"/>
    <mergeCell ref="I1421:K1431"/>
    <mergeCell ref="I1432:K1432"/>
    <mergeCell ref="I1433:K1443"/>
    <mergeCell ref="I1444:K1444"/>
    <mergeCell ref="I1445:K1455"/>
    <mergeCell ref="I1456:K1456"/>
    <mergeCell ref="I1457:K1467"/>
    <mergeCell ref="I1468:K1468"/>
    <mergeCell ref="I1469:K1479"/>
    <mergeCell ref="I1480:K1480"/>
    <mergeCell ref="E1348:G1348"/>
    <mergeCell ref="E1349:G1349"/>
    <mergeCell ref="E1350:G1350"/>
    <mergeCell ref="E1351:G1351"/>
    <mergeCell ref="E1352:G1352"/>
    <mergeCell ref="E1360:G1360"/>
    <mergeCell ref="E1732:G1732"/>
    <mergeCell ref="I1732:K1732"/>
    <mergeCell ref="E1733:G1733"/>
    <mergeCell ref="I1733:K1743"/>
    <mergeCell ref="E1734:G1734"/>
    <mergeCell ref="E1735:G1735"/>
    <mergeCell ref="E1736:G1736"/>
    <mergeCell ref="E1696:G1696"/>
    <mergeCell ref="I1696:K1696"/>
    <mergeCell ref="E1697:G1697"/>
    <mergeCell ref="I1697:K1707"/>
    <mergeCell ref="E1698:G1698"/>
    <mergeCell ref="E1699:G1699"/>
    <mergeCell ref="E1700:G1700"/>
    <mergeCell ref="E1708:G1708"/>
    <mergeCell ref="I1708:K1708"/>
    <mergeCell ref="E1709:G1709"/>
    <mergeCell ref="I1709:K1719"/>
    <mergeCell ref="E1710:G1710"/>
    <mergeCell ref="E1711:G1711"/>
    <mergeCell ref="E1712:G1712"/>
    <mergeCell ref="E1720:G1720"/>
    <mergeCell ref="I1720:K1720"/>
    <mergeCell ref="E1721:G1721"/>
    <mergeCell ref="I1721:K1731"/>
    <mergeCell ref="E1722:G1722"/>
    <mergeCell ref="E1723:G1723"/>
    <mergeCell ref="E1724:G1724"/>
    <mergeCell ref="E1768:G1768"/>
    <mergeCell ref="I1768:K1768"/>
    <mergeCell ref="E1769:G1769"/>
    <mergeCell ref="I1769:K1779"/>
    <mergeCell ref="E1770:G1770"/>
    <mergeCell ref="E1771:G1771"/>
    <mergeCell ref="E1772:G1772"/>
    <mergeCell ref="E1744:G1744"/>
    <mergeCell ref="I1744:K1744"/>
    <mergeCell ref="E1745:G1745"/>
    <mergeCell ref="I1745:K1755"/>
    <mergeCell ref="E1746:G1746"/>
    <mergeCell ref="E1747:G1747"/>
    <mergeCell ref="E1748:G1748"/>
    <mergeCell ref="E1756:G1756"/>
    <mergeCell ref="I1756:K1756"/>
    <mergeCell ref="E1757:G1757"/>
    <mergeCell ref="I1757:K1767"/>
    <mergeCell ref="E1758:G1758"/>
    <mergeCell ref="E1759:G1759"/>
    <mergeCell ref="E1760:G1760"/>
    <mergeCell ref="E2142:G2142"/>
    <mergeCell ref="E2143:G2143"/>
    <mergeCell ref="E2144:G2144"/>
    <mergeCell ref="E1780:G1780"/>
    <mergeCell ref="I1780:K1780"/>
    <mergeCell ref="E1781:G1781"/>
    <mergeCell ref="I1781:K1791"/>
    <mergeCell ref="E1782:G1782"/>
    <mergeCell ref="E1783:G1783"/>
    <mergeCell ref="E1784:G1784"/>
    <mergeCell ref="E1792:G1792"/>
    <mergeCell ref="I1792:K1792"/>
    <mergeCell ref="E1793:G1793"/>
    <mergeCell ref="I1793:K1803"/>
    <mergeCell ref="E1794:G1794"/>
    <mergeCell ref="E1795:G1795"/>
    <mergeCell ref="E1796:G1796"/>
    <mergeCell ref="E1804:G1804"/>
    <mergeCell ref="I1804:K1804"/>
    <mergeCell ref="E1805:G1805"/>
    <mergeCell ref="I1805:K1815"/>
    <mergeCell ref="E1806:G1806"/>
    <mergeCell ref="E1807:G1807"/>
    <mergeCell ref="E1808:G1808"/>
    <mergeCell ref="E1816:G1816"/>
    <mergeCell ref="I1816:K1816"/>
    <mergeCell ref="E1817:G1817"/>
    <mergeCell ref="I1817:K1827"/>
    <mergeCell ref="E1818:G1818"/>
    <mergeCell ref="E1819:G1819"/>
    <mergeCell ref="E1820:G1820"/>
    <mergeCell ref="E1828:G1828"/>
    <mergeCell ref="E2152:G2152"/>
    <mergeCell ref="I2152:K2152"/>
    <mergeCell ref="E2153:G2153"/>
    <mergeCell ref="I2153:K2163"/>
    <mergeCell ref="E2154:G2154"/>
    <mergeCell ref="E2155:G2155"/>
    <mergeCell ref="E2156:G2156"/>
    <mergeCell ref="E2164:G2164"/>
    <mergeCell ref="I2164:K2164"/>
    <mergeCell ref="E2165:G2165"/>
    <mergeCell ref="I2165:K2175"/>
    <mergeCell ref="E2166:G2166"/>
    <mergeCell ref="E2167:G2167"/>
    <mergeCell ref="E2168:G2168"/>
    <mergeCell ref="E2116:G2116"/>
    <mergeCell ref="I2116:K2116"/>
    <mergeCell ref="E2117:G2117"/>
    <mergeCell ref="I2117:K2127"/>
    <mergeCell ref="E2118:G2118"/>
    <mergeCell ref="E2119:G2119"/>
    <mergeCell ref="E2120:G2120"/>
    <mergeCell ref="E2128:G2128"/>
    <mergeCell ref="I2128:K2128"/>
    <mergeCell ref="E2129:G2129"/>
    <mergeCell ref="I2129:K2139"/>
    <mergeCell ref="E2130:G2130"/>
    <mergeCell ref="E2131:G2131"/>
    <mergeCell ref="E2132:G2132"/>
    <mergeCell ref="E2140:G2140"/>
    <mergeCell ref="I2140:K2140"/>
    <mergeCell ref="E2141:G2141"/>
    <mergeCell ref="I2141:K2151"/>
    <mergeCell ref="E2176:G2176"/>
    <mergeCell ref="I2176:K2176"/>
    <mergeCell ref="E2177:G2177"/>
    <mergeCell ref="I2177:K2187"/>
    <mergeCell ref="E2178:G2178"/>
    <mergeCell ref="E2179:G2179"/>
    <mergeCell ref="E2180:G2180"/>
    <mergeCell ref="E2188:G2188"/>
    <mergeCell ref="I2188:K2188"/>
    <mergeCell ref="E2189:G2189"/>
    <mergeCell ref="I2189:K2199"/>
    <mergeCell ref="E2190:G2190"/>
    <mergeCell ref="E2191:G2191"/>
    <mergeCell ref="E2192:G2192"/>
    <mergeCell ref="E2200:G2200"/>
    <mergeCell ref="I2200:K2200"/>
    <mergeCell ref="E2201:G2201"/>
    <mergeCell ref="I2201:K2211"/>
    <mergeCell ref="E2202:G2202"/>
    <mergeCell ref="E2203:G2203"/>
    <mergeCell ref="E2204:G2204"/>
    <mergeCell ref="E2212:G2212"/>
    <mergeCell ref="I2212:K2212"/>
    <mergeCell ref="E2213:G2213"/>
    <mergeCell ref="I2213:K2223"/>
    <mergeCell ref="E2214:G2214"/>
    <mergeCell ref="E2215:G2215"/>
    <mergeCell ref="E2216:G2216"/>
    <mergeCell ref="E2224:G2224"/>
    <mergeCell ref="I2224:K2224"/>
    <mergeCell ref="E2225:G2225"/>
    <mergeCell ref="I2225:K2235"/>
    <mergeCell ref="E2226:G2226"/>
    <mergeCell ref="E2227:G2227"/>
    <mergeCell ref="E2228:G2228"/>
    <mergeCell ref="E2236:G2236"/>
    <mergeCell ref="I2236:K2236"/>
    <mergeCell ref="E2237:G2237"/>
    <mergeCell ref="I2237:K2247"/>
    <mergeCell ref="E2238:G2238"/>
    <mergeCell ref="E2239:G2239"/>
    <mergeCell ref="E2240:G2240"/>
    <mergeCell ref="E2248:G2248"/>
    <mergeCell ref="I2248:K2248"/>
    <mergeCell ref="E2249:G2249"/>
    <mergeCell ref="I2249:K2259"/>
    <mergeCell ref="E2250:G2250"/>
    <mergeCell ref="E2251:G2251"/>
    <mergeCell ref="E2252:G2252"/>
    <mergeCell ref="E2260:G2260"/>
    <mergeCell ref="I2260:K2260"/>
    <mergeCell ref="E2261:G2261"/>
    <mergeCell ref="I2261:K2271"/>
    <mergeCell ref="E2262:G2262"/>
    <mergeCell ref="E2263:G2263"/>
    <mergeCell ref="E2264:G2264"/>
    <mergeCell ref="E2272:G2272"/>
    <mergeCell ref="I2272:K2272"/>
    <mergeCell ref="E2273:G2273"/>
    <mergeCell ref="I2273:K2283"/>
    <mergeCell ref="E2274:G2274"/>
    <mergeCell ref="E2275:G2275"/>
    <mergeCell ref="E2276:G2276"/>
    <mergeCell ref="E2704:G2704"/>
    <mergeCell ref="I2704:K2704"/>
    <mergeCell ref="E2705:G2705"/>
    <mergeCell ref="I2705:K2715"/>
    <mergeCell ref="E2706:G2706"/>
    <mergeCell ref="E2707:G2707"/>
    <mergeCell ref="E2708:G2708"/>
    <mergeCell ref="E2716:G2716"/>
    <mergeCell ref="I2716:K2716"/>
    <mergeCell ref="E2717:G2717"/>
    <mergeCell ref="I2717:K2727"/>
    <mergeCell ref="E2718:G2718"/>
    <mergeCell ref="E2719:G2719"/>
    <mergeCell ref="E2720:G2720"/>
    <mergeCell ref="E2728:G2728"/>
    <mergeCell ref="I2728:K2728"/>
    <mergeCell ref="E2729:G2729"/>
    <mergeCell ref="I2729:K2739"/>
    <mergeCell ref="E2730:G2730"/>
    <mergeCell ref="E2731:G2731"/>
    <mergeCell ref="E2732:G2732"/>
    <mergeCell ref="E2740:G2740"/>
    <mergeCell ref="I2740:K2740"/>
    <mergeCell ref="E2741:G2741"/>
    <mergeCell ref="I2741:K2751"/>
    <mergeCell ref="E2742:G2742"/>
    <mergeCell ref="E2743:G2743"/>
    <mergeCell ref="E2744:G2744"/>
    <mergeCell ref="E2752:G2752"/>
    <mergeCell ref="I2752:K2752"/>
    <mergeCell ref="E2753:G2753"/>
    <mergeCell ref="I2753:K2763"/>
    <mergeCell ref="E2754:G2754"/>
    <mergeCell ref="E2755:G2755"/>
    <mergeCell ref="E2756:G2756"/>
    <mergeCell ref="E2764:G2764"/>
    <mergeCell ref="I2764:K2764"/>
    <mergeCell ref="E2765:G2765"/>
    <mergeCell ref="I2765:K2775"/>
    <mergeCell ref="E2766:G2766"/>
    <mergeCell ref="E2767:G2767"/>
    <mergeCell ref="E2768:G2768"/>
    <mergeCell ref="E2776:G2776"/>
    <mergeCell ref="I2776:K2776"/>
    <mergeCell ref="E2777:G2777"/>
    <mergeCell ref="I2777:K2787"/>
    <mergeCell ref="E2778:G2778"/>
    <mergeCell ref="E2779:G2779"/>
    <mergeCell ref="E2780:G2780"/>
    <mergeCell ref="E2788:G2788"/>
    <mergeCell ref="I2788:K2788"/>
    <mergeCell ref="E2789:G2789"/>
    <mergeCell ref="I2789:K2799"/>
    <mergeCell ref="E2790:G2790"/>
    <mergeCell ref="E2791:G2791"/>
    <mergeCell ref="E2792:G2792"/>
    <mergeCell ref="E2800:G2800"/>
    <mergeCell ref="I2800:K2800"/>
    <mergeCell ref="E2801:G2801"/>
    <mergeCell ref="I2801:K2811"/>
    <mergeCell ref="E2802:G2802"/>
    <mergeCell ref="E2803:G2803"/>
    <mergeCell ref="E2804:G2804"/>
    <mergeCell ref="E2812:G2812"/>
    <mergeCell ref="I2812:K2812"/>
    <mergeCell ref="E2813:G2813"/>
    <mergeCell ref="I2813:K2823"/>
    <mergeCell ref="E2814:G2814"/>
    <mergeCell ref="E2815:G2815"/>
    <mergeCell ref="E2816:G2816"/>
    <mergeCell ref="E2824:G2824"/>
    <mergeCell ref="I2824:K2824"/>
    <mergeCell ref="E2825:G2825"/>
    <mergeCell ref="I2825:K2835"/>
    <mergeCell ref="E2826:G2826"/>
    <mergeCell ref="E2827:G2827"/>
    <mergeCell ref="E2828:G2828"/>
    <mergeCell ref="E2836:G2836"/>
    <mergeCell ref="I2836:K2836"/>
    <mergeCell ref="E2837:G2837"/>
    <mergeCell ref="I2837:K2847"/>
    <mergeCell ref="E2838:G2838"/>
    <mergeCell ref="E2839:G2839"/>
    <mergeCell ref="E2840:G2840"/>
    <mergeCell ref="E2848:G2848"/>
    <mergeCell ref="I2848:K2848"/>
    <mergeCell ref="E2849:G2849"/>
    <mergeCell ref="I2849:K2859"/>
    <mergeCell ref="E2850:G2850"/>
    <mergeCell ref="E2851:G2851"/>
    <mergeCell ref="E2852:G2852"/>
    <mergeCell ref="E2860:G2860"/>
    <mergeCell ref="I2860:K2860"/>
    <mergeCell ref="E2861:G2861"/>
    <mergeCell ref="I2861:K2871"/>
    <mergeCell ref="E2862:G2862"/>
    <mergeCell ref="E2863:G2863"/>
    <mergeCell ref="E2864:G2864"/>
    <mergeCell ref="E2872:G2872"/>
    <mergeCell ref="I2872:K2872"/>
    <mergeCell ref="E2873:G2873"/>
    <mergeCell ref="I2873:K2883"/>
    <mergeCell ref="E2874:G2874"/>
    <mergeCell ref="E2875:G2875"/>
    <mergeCell ref="E2876:G2876"/>
    <mergeCell ref="E2884:G2884"/>
    <mergeCell ref="I2884:K2884"/>
    <mergeCell ref="E2885:G2885"/>
    <mergeCell ref="I2885:K2895"/>
    <mergeCell ref="E2886:G2886"/>
    <mergeCell ref="E2887:G2887"/>
    <mergeCell ref="E2888:G2888"/>
    <mergeCell ref="E2896:G2896"/>
    <mergeCell ref="I2896:K2896"/>
    <mergeCell ref="E2897:G2897"/>
    <mergeCell ref="I2897:K2907"/>
    <mergeCell ref="E2898:G2898"/>
    <mergeCell ref="E2899:G2899"/>
    <mergeCell ref="E2900:G2900"/>
    <mergeCell ref="E2908:G2908"/>
    <mergeCell ref="I2908:K2908"/>
    <mergeCell ref="E2909:G2909"/>
    <mergeCell ref="I2909:K2919"/>
    <mergeCell ref="E2910:G2910"/>
    <mergeCell ref="E2911:G2911"/>
    <mergeCell ref="E2912:G2912"/>
    <mergeCell ref="E3124:G3124"/>
    <mergeCell ref="I3124:K3124"/>
    <mergeCell ref="E3125:G3125"/>
    <mergeCell ref="I3125:K3135"/>
    <mergeCell ref="E3126:G3126"/>
    <mergeCell ref="E3127:G3127"/>
    <mergeCell ref="E3128:G3128"/>
    <mergeCell ref="E3136:G3136"/>
    <mergeCell ref="I3136:K3136"/>
    <mergeCell ref="E3137:G3137"/>
    <mergeCell ref="I3137:K3147"/>
    <mergeCell ref="E3138:G3138"/>
    <mergeCell ref="E3139:G3139"/>
    <mergeCell ref="E3140:G3140"/>
    <mergeCell ref="E3148:G3148"/>
    <mergeCell ref="I3148:K3148"/>
    <mergeCell ref="E3149:G3149"/>
    <mergeCell ref="I3149:K3159"/>
    <mergeCell ref="E3150:G3150"/>
    <mergeCell ref="E3151:G3151"/>
    <mergeCell ref="E3152:G3152"/>
    <mergeCell ref="E3160:G3160"/>
    <mergeCell ref="I3160:K3160"/>
    <mergeCell ref="E3161:G3161"/>
    <mergeCell ref="I3161:K3171"/>
    <mergeCell ref="E3162:G3162"/>
    <mergeCell ref="E3163:G3163"/>
    <mergeCell ref="E3164:G3164"/>
    <mergeCell ref="E3172:G3172"/>
    <mergeCell ref="I3172:K3172"/>
    <mergeCell ref="E3173:G3173"/>
    <mergeCell ref="I3173:K3183"/>
    <mergeCell ref="E3174:G3174"/>
    <mergeCell ref="E3175:G3175"/>
    <mergeCell ref="E3176:G3176"/>
    <mergeCell ref="E3184:G3184"/>
    <mergeCell ref="I3184:K3184"/>
    <mergeCell ref="E3185:G3185"/>
    <mergeCell ref="I3185:K3195"/>
    <mergeCell ref="E3186:G3186"/>
    <mergeCell ref="E3187:G3187"/>
    <mergeCell ref="E3188:G3188"/>
    <mergeCell ref="E3258:G3258"/>
    <mergeCell ref="E3259:G3259"/>
    <mergeCell ref="E3260:G3260"/>
    <mergeCell ref="E3196:G3196"/>
    <mergeCell ref="I3196:K3196"/>
    <mergeCell ref="E3197:G3197"/>
    <mergeCell ref="I3197:K3207"/>
    <mergeCell ref="E3198:G3198"/>
    <mergeCell ref="E3199:G3199"/>
    <mergeCell ref="E3200:G3200"/>
    <mergeCell ref="E3208:G3208"/>
    <mergeCell ref="I3208:K3208"/>
    <mergeCell ref="E3209:G3209"/>
    <mergeCell ref="I3209:K3219"/>
    <mergeCell ref="E3210:G3210"/>
    <mergeCell ref="E3211:G3211"/>
    <mergeCell ref="E3212:G3212"/>
    <mergeCell ref="E3220:G3220"/>
    <mergeCell ref="I3220:K3220"/>
    <mergeCell ref="E3221:G3221"/>
    <mergeCell ref="I3221:K3231"/>
    <mergeCell ref="E3222:G3222"/>
    <mergeCell ref="E3223:G3223"/>
    <mergeCell ref="E3224:G3224"/>
    <mergeCell ref="E3268:G3268"/>
    <mergeCell ref="I3268:K3268"/>
    <mergeCell ref="E3269:G3269"/>
    <mergeCell ref="I3269:K3279"/>
    <mergeCell ref="E3270:G3270"/>
    <mergeCell ref="E3271:G3271"/>
    <mergeCell ref="E3272:G3272"/>
    <mergeCell ref="E3280:G3280"/>
    <mergeCell ref="I3280:K3280"/>
    <mergeCell ref="E3281:G3281"/>
    <mergeCell ref="I3281:K3291"/>
    <mergeCell ref="E3282:G3282"/>
    <mergeCell ref="E3283:G3283"/>
    <mergeCell ref="E3284:G3284"/>
    <mergeCell ref="E3232:G3232"/>
    <mergeCell ref="I3232:K3232"/>
    <mergeCell ref="E3233:G3233"/>
    <mergeCell ref="I3233:K3243"/>
    <mergeCell ref="E3234:G3234"/>
    <mergeCell ref="E3235:G3235"/>
    <mergeCell ref="E3236:G3236"/>
    <mergeCell ref="E3244:G3244"/>
    <mergeCell ref="I3244:K3244"/>
    <mergeCell ref="E3245:G3245"/>
    <mergeCell ref="I3245:K3255"/>
    <mergeCell ref="E3246:G3246"/>
    <mergeCell ref="E3247:G3247"/>
    <mergeCell ref="E3248:G3248"/>
    <mergeCell ref="E3256:G3256"/>
    <mergeCell ref="I3256:K3256"/>
    <mergeCell ref="E3257:G3257"/>
    <mergeCell ref="I3257:K3267"/>
    <mergeCell ref="E3544:G3544"/>
    <mergeCell ref="I3544:K3544"/>
    <mergeCell ref="E3545:G3545"/>
    <mergeCell ref="I3545:K3555"/>
    <mergeCell ref="E3546:G3546"/>
    <mergeCell ref="E3547:G3547"/>
    <mergeCell ref="E3548:G3548"/>
    <mergeCell ref="E3556:G3556"/>
    <mergeCell ref="I3556:K3556"/>
    <mergeCell ref="E3557:G3557"/>
    <mergeCell ref="I3557:K3567"/>
    <mergeCell ref="E3558:G3558"/>
    <mergeCell ref="E3559:G3559"/>
    <mergeCell ref="E3560:G3560"/>
    <mergeCell ref="E3568:G3568"/>
    <mergeCell ref="I3568:K3568"/>
    <mergeCell ref="E3569:G3569"/>
    <mergeCell ref="I3569:K3579"/>
    <mergeCell ref="E3570:G3570"/>
    <mergeCell ref="E3571:G3571"/>
    <mergeCell ref="E3572:G3572"/>
    <mergeCell ref="E3580:G3580"/>
    <mergeCell ref="I3580:K3580"/>
    <mergeCell ref="E3581:G3581"/>
    <mergeCell ref="I3581:K3591"/>
    <mergeCell ref="E3582:G3582"/>
    <mergeCell ref="E3583:G3583"/>
    <mergeCell ref="E3584:G3584"/>
    <mergeCell ref="E3592:G3592"/>
    <mergeCell ref="I3592:K3592"/>
    <mergeCell ref="E3593:G3593"/>
    <mergeCell ref="I3593:K3603"/>
    <mergeCell ref="E3594:G3594"/>
    <mergeCell ref="E3595:G3595"/>
    <mergeCell ref="E3596:G3596"/>
    <mergeCell ref="E3604:G3604"/>
    <mergeCell ref="I3604:K3604"/>
    <mergeCell ref="E3605:G3605"/>
    <mergeCell ref="I3605:K3615"/>
    <mergeCell ref="E3606:G3606"/>
    <mergeCell ref="E3607:G3607"/>
    <mergeCell ref="E3608:G3608"/>
    <mergeCell ref="E3678:G3678"/>
    <mergeCell ref="E3679:G3679"/>
    <mergeCell ref="E3680:G3680"/>
    <mergeCell ref="E3616:G3616"/>
    <mergeCell ref="I3616:K3616"/>
    <mergeCell ref="E3617:G3617"/>
    <mergeCell ref="I3617:K3627"/>
    <mergeCell ref="E3618:G3618"/>
    <mergeCell ref="E3619:G3619"/>
    <mergeCell ref="E3620:G3620"/>
    <mergeCell ref="E3628:G3628"/>
    <mergeCell ref="I3628:K3628"/>
    <mergeCell ref="E3629:G3629"/>
    <mergeCell ref="I3629:K3639"/>
    <mergeCell ref="E3630:G3630"/>
    <mergeCell ref="E3631:G3631"/>
    <mergeCell ref="E3632:G3632"/>
    <mergeCell ref="E3640:G3640"/>
    <mergeCell ref="I3640:K3640"/>
    <mergeCell ref="E3641:G3641"/>
    <mergeCell ref="I3641:K3651"/>
    <mergeCell ref="E3642:G3642"/>
    <mergeCell ref="E3643:G3643"/>
    <mergeCell ref="E3644:G3644"/>
    <mergeCell ref="E3688:G3688"/>
    <mergeCell ref="I3688:K3688"/>
    <mergeCell ref="E3689:G3689"/>
    <mergeCell ref="I3689:K3699"/>
    <mergeCell ref="E3690:G3690"/>
    <mergeCell ref="E3691:G3691"/>
    <mergeCell ref="E3692:G3692"/>
    <mergeCell ref="E3700:G3700"/>
    <mergeCell ref="I3700:K3700"/>
    <mergeCell ref="E3701:G3701"/>
    <mergeCell ref="I3701:K3711"/>
    <mergeCell ref="E3702:G3702"/>
    <mergeCell ref="E3703:G3703"/>
    <mergeCell ref="E3704:G3704"/>
    <mergeCell ref="E3652:G3652"/>
    <mergeCell ref="I3652:K3652"/>
    <mergeCell ref="E3653:G3653"/>
    <mergeCell ref="I3653:K3663"/>
    <mergeCell ref="E3654:G3654"/>
    <mergeCell ref="E3655:G3655"/>
    <mergeCell ref="E3656:G3656"/>
    <mergeCell ref="E3664:G3664"/>
    <mergeCell ref="I3664:K3664"/>
    <mergeCell ref="E3665:G3665"/>
    <mergeCell ref="I3665:K3675"/>
    <mergeCell ref="E3666:G3666"/>
    <mergeCell ref="E3667:G3667"/>
    <mergeCell ref="E3668:G3668"/>
    <mergeCell ref="E3676:G3676"/>
    <mergeCell ref="I3676:K3676"/>
    <mergeCell ref="E3677:G3677"/>
    <mergeCell ref="I3677:K3687"/>
    <mergeCell ref="E3868:G3868"/>
    <mergeCell ref="I3868:K3868"/>
    <mergeCell ref="E3869:G3869"/>
    <mergeCell ref="I3869:K3879"/>
    <mergeCell ref="E3870:G3870"/>
    <mergeCell ref="E3871:G3871"/>
    <mergeCell ref="E3872:G3872"/>
    <mergeCell ref="E3880:G3880"/>
    <mergeCell ref="I3880:K3880"/>
    <mergeCell ref="E3881:G3881"/>
    <mergeCell ref="I3881:K3891"/>
    <mergeCell ref="E3882:G3882"/>
    <mergeCell ref="E3883:G3883"/>
    <mergeCell ref="E3884:G3884"/>
    <mergeCell ref="E3892:G3892"/>
    <mergeCell ref="I3892:K3892"/>
    <mergeCell ref="E3893:G3893"/>
    <mergeCell ref="I3893:K3903"/>
    <mergeCell ref="E3894:G3894"/>
    <mergeCell ref="E3895:G3895"/>
    <mergeCell ref="E3896:G3896"/>
    <mergeCell ref="E3904:G3904"/>
    <mergeCell ref="I3904:K3904"/>
    <mergeCell ref="E3905:G3905"/>
    <mergeCell ref="I3905:K3915"/>
    <mergeCell ref="E3906:G3906"/>
    <mergeCell ref="E3907:G3907"/>
    <mergeCell ref="E3908:G3908"/>
    <mergeCell ref="E3916:G3916"/>
    <mergeCell ref="I3916:K3916"/>
    <mergeCell ref="E3917:G3917"/>
    <mergeCell ref="I3917:K3927"/>
    <mergeCell ref="E3918:G3918"/>
    <mergeCell ref="E3919:G3919"/>
    <mergeCell ref="E3920:G3920"/>
    <mergeCell ref="E3928:G3928"/>
    <mergeCell ref="I3928:K3928"/>
    <mergeCell ref="E3929:G3929"/>
    <mergeCell ref="I3929:K3939"/>
    <mergeCell ref="E3930:G3930"/>
    <mergeCell ref="E3931:G3931"/>
    <mergeCell ref="E3932:G3932"/>
    <mergeCell ref="E3940:G3940"/>
    <mergeCell ref="I3940:K3940"/>
    <mergeCell ref="E3941:G3941"/>
    <mergeCell ref="I3941:K3951"/>
    <mergeCell ref="E3942:G3942"/>
    <mergeCell ref="E3943:G3943"/>
    <mergeCell ref="E3944:G3944"/>
    <mergeCell ref="E3952:G3952"/>
    <mergeCell ref="I3952:K3952"/>
    <mergeCell ref="E3953:G3953"/>
    <mergeCell ref="I3953:K3963"/>
    <mergeCell ref="E3954:G3954"/>
    <mergeCell ref="E3955:G3955"/>
    <mergeCell ref="E3956:G3956"/>
    <mergeCell ref="E3964:G3964"/>
    <mergeCell ref="I3964:K3964"/>
    <mergeCell ref="E3965:G3965"/>
    <mergeCell ref="I3965:K3975"/>
    <mergeCell ref="E3966:G3966"/>
    <mergeCell ref="E3967:G3967"/>
    <mergeCell ref="E3968:G3968"/>
    <mergeCell ref="E3976:G3976"/>
    <mergeCell ref="I3976:K3976"/>
    <mergeCell ref="E3977:G3977"/>
    <mergeCell ref="I3977:K3987"/>
    <mergeCell ref="E3978:G3978"/>
    <mergeCell ref="E3979:G3979"/>
    <mergeCell ref="E3980:G3980"/>
    <mergeCell ref="E3988:G3988"/>
    <mergeCell ref="I3988:K3988"/>
    <mergeCell ref="E3989:G3989"/>
    <mergeCell ref="I3989:K3999"/>
    <mergeCell ref="E3990:G3990"/>
    <mergeCell ref="E3991:G3991"/>
    <mergeCell ref="E3992:G3992"/>
    <mergeCell ref="E4000:G4000"/>
    <mergeCell ref="I4000:K4000"/>
    <mergeCell ref="E4001:G4001"/>
    <mergeCell ref="I4001:K4011"/>
    <mergeCell ref="E4002:G4002"/>
    <mergeCell ref="E4003:G4003"/>
    <mergeCell ref="E4004:G4004"/>
    <mergeCell ref="E4012:G4012"/>
    <mergeCell ref="I4012:K4012"/>
    <mergeCell ref="E4013:G4013"/>
    <mergeCell ref="I4013:K4023"/>
    <mergeCell ref="E4014:G4014"/>
    <mergeCell ref="E4015:G4015"/>
    <mergeCell ref="E4016:G4016"/>
    <mergeCell ref="E4024:G4024"/>
    <mergeCell ref="I4024:K4024"/>
    <mergeCell ref="E4025:G4025"/>
    <mergeCell ref="I4025:K4035"/>
    <mergeCell ref="E4026:G4026"/>
    <mergeCell ref="E4027:G4027"/>
    <mergeCell ref="E4028:G4028"/>
    <mergeCell ref="E4036:G4036"/>
    <mergeCell ref="I4036:K4036"/>
    <mergeCell ref="E4037:G4037"/>
    <mergeCell ref="I4037:K4047"/>
    <mergeCell ref="E4038:G4038"/>
    <mergeCell ref="E4039:G4039"/>
    <mergeCell ref="E4040:G4040"/>
    <mergeCell ref="E4048:G4048"/>
    <mergeCell ref="E4049:G4049"/>
    <mergeCell ref="E4050:G4050"/>
    <mergeCell ref="E4051:G4051"/>
    <mergeCell ref="E4052:G4052"/>
    <mergeCell ref="E4060:G4060"/>
    <mergeCell ref="E4061:G4061"/>
    <mergeCell ref="E4062:G4062"/>
    <mergeCell ref="E4063:G4063"/>
    <mergeCell ref="E4064:G4064"/>
    <mergeCell ref="E4072:G4072"/>
    <mergeCell ref="I4072:K4072"/>
    <mergeCell ref="E4073:G4073"/>
    <mergeCell ref="I4073:K4083"/>
    <mergeCell ref="E4074:G4074"/>
    <mergeCell ref="E4075:G4075"/>
    <mergeCell ref="E4076:G4076"/>
    <mergeCell ref="E4084:G4084"/>
    <mergeCell ref="I4084:K4084"/>
    <mergeCell ref="E4085:G4085"/>
    <mergeCell ref="I4085:K4095"/>
    <mergeCell ref="E4086:G4086"/>
    <mergeCell ref="E4087:G4087"/>
    <mergeCell ref="E4088:G4088"/>
    <mergeCell ref="E4096:G4096"/>
    <mergeCell ref="I4096:K4096"/>
    <mergeCell ref="E4097:G4097"/>
    <mergeCell ref="I4097:K4107"/>
    <mergeCell ref="E4098:G4098"/>
    <mergeCell ref="E4099:G4099"/>
    <mergeCell ref="E4100:G4100"/>
    <mergeCell ref="E4108:G4108"/>
    <mergeCell ref="I4108:K4108"/>
    <mergeCell ref="E4109:G4109"/>
    <mergeCell ref="I4109:K4119"/>
    <mergeCell ref="E4110:G4110"/>
    <mergeCell ref="E4111:G4111"/>
    <mergeCell ref="E4112:G4112"/>
    <mergeCell ref="E4446:G4446"/>
    <mergeCell ref="E4447:G4447"/>
    <mergeCell ref="E4448:G4448"/>
    <mergeCell ref="E4456:G4456"/>
    <mergeCell ref="E4457:G4457"/>
    <mergeCell ref="E4458:G4458"/>
    <mergeCell ref="E4459:G4459"/>
    <mergeCell ref="E4460:G4460"/>
    <mergeCell ref="I4408:K4408"/>
    <mergeCell ref="I4409:K4419"/>
    <mergeCell ref="I4420:K4420"/>
    <mergeCell ref="E4120:G4120"/>
    <mergeCell ref="I4120:K4120"/>
    <mergeCell ref="E4121:G4121"/>
    <mergeCell ref="I4121:K4131"/>
    <mergeCell ref="E4122:G4122"/>
    <mergeCell ref="E4123:G4123"/>
    <mergeCell ref="E4124:G4124"/>
    <mergeCell ref="E4132:G4132"/>
    <mergeCell ref="I4132:K4132"/>
    <mergeCell ref="E4133:G4133"/>
    <mergeCell ref="I4133:K4143"/>
    <mergeCell ref="E4134:G4134"/>
    <mergeCell ref="E4135:G4135"/>
    <mergeCell ref="E4136:G4136"/>
    <mergeCell ref="E4144:G4144"/>
    <mergeCell ref="I4144:K4144"/>
    <mergeCell ref="E4145:G4145"/>
    <mergeCell ref="I4145:K4155"/>
    <mergeCell ref="E4146:G4146"/>
    <mergeCell ref="E4147:G4147"/>
    <mergeCell ref="E4148:G4148"/>
    <mergeCell ref="E4493:G4493"/>
    <mergeCell ref="E4494:G4494"/>
    <mergeCell ref="E4495:G4495"/>
    <mergeCell ref="E4496:G4496"/>
    <mergeCell ref="E4504:G4504"/>
    <mergeCell ref="E4505:G4505"/>
    <mergeCell ref="E4506:G4506"/>
    <mergeCell ref="E4507:G4507"/>
    <mergeCell ref="E4508:G4508"/>
    <mergeCell ref="E4516:G4516"/>
    <mergeCell ref="E4517:G4517"/>
    <mergeCell ref="E4468:G4468"/>
    <mergeCell ref="E4469:G4469"/>
    <mergeCell ref="E4470:G4470"/>
    <mergeCell ref="E4471:G4471"/>
    <mergeCell ref="E4472:G4472"/>
    <mergeCell ref="E4480:G4480"/>
    <mergeCell ref="E4481:G4481"/>
    <mergeCell ref="E4482:G4482"/>
    <mergeCell ref="E4483:G4483"/>
    <mergeCell ref="E4484:G4484"/>
    <mergeCell ref="E4492:G4492"/>
    <mergeCell ref="E4556:G4556"/>
    <mergeCell ref="E4564:G4564"/>
    <mergeCell ref="E4565:G4565"/>
    <mergeCell ref="E4566:G4566"/>
    <mergeCell ref="E4567:G4567"/>
    <mergeCell ref="E4568:G4568"/>
    <mergeCell ref="E4576:G4576"/>
    <mergeCell ref="E4577:G4577"/>
    <mergeCell ref="E4578:G4578"/>
    <mergeCell ref="E4579:G4579"/>
    <mergeCell ref="E4580:G4580"/>
    <mergeCell ref="I4553:K4563"/>
    <mergeCell ref="I4564:K4564"/>
    <mergeCell ref="I4552:K4552"/>
    <mergeCell ref="I4529:K4539"/>
    <mergeCell ref="I4540:K4540"/>
    <mergeCell ref="I4541:K4551"/>
    <mergeCell ref="E4408:G4408"/>
    <mergeCell ref="E4409:G4409"/>
    <mergeCell ref="E4410:G4410"/>
    <mergeCell ref="E4411:G4411"/>
    <mergeCell ref="E4412:G4412"/>
    <mergeCell ref="E4420:G4420"/>
    <mergeCell ref="E4421:G4421"/>
    <mergeCell ref="E4422:G4422"/>
    <mergeCell ref="E4423:G4423"/>
    <mergeCell ref="E4424:G4424"/>
    <mergeCell ref="E4432:G4432"/>
    <mergeCell ref="E4433:G4433"/>
    <mergeCell ref="E4434:G4434"/>
    <mergeCell ref="E4435:G4435"/>
    <mergeCell ref="E4436:G4436"/>
    <mergeCell ref="E4444:G4444"/>
    <mergeCell ref="E4445:G4445"/>
    <mergeCell ref="E4518:G4518"/>
    <mergeCell ref="E4519:G4519"/>
    <mergeCell ref="E4520:G4520"/>
    <mergeCell ref="E4528:G4528"/>
    <mergeCell ref="E4529:G4529"/>
    <mergeCell ref="E4530:G4530"/>
    <mergeCell ref="E4531:G4531"/>
    <mergeCell ref="E4532:G4532"/>
    <mergeCell ref="E4540:G4540"/>
    <mergeCell ref="E4541:G4541"/>
    <mergeCell ref="E4542:G4542"/>
    <mergeCell ref="E4543:G4543"/>
    <mergeCell ref="E4544:G4544"/>
    <mergeCell ref="E4552:G4552"/>
    <mergeCell ref="E4553:G4553"/>
    <mergeCell ref="E4554:G4554"/>
    <mergeCell ref="E4555:G4555"/>
    <mergeCell ref="E4588:G4588"/>
    <mergeCell ref="E4589:G4589"/>
    <mergeCell ref="E4590:G4590"/>
    <mergeCell ref="E4591:G4591"/>
    <mergeCell ref="E4592:G4592"/>
    <mergeCell ref="E4600:G4600"/>
    <mergeCell ref="E4601:G4601"/>
    <mergeCell ref="E4602:G4602"/>
    <mergeCell ref="E4603:G4603"/>
    <mergeCell ref="E4604:G4604"/>
    <mergeCell ref="I4601:K4611"/>
    <mergeCell ref="I4588:K4588"/>
    <mergeCell ref="I4589:K4599"/>
    <mergeCell ref="I4600:K4600"/>
    <mergeCell ref="I4565:K4575"/>
    <mergeCell ref="I4576:K4576"/>
    <mergeCell ref="I4577:K4587"/>
    <mergeCell ref="I4516:K4516"/>
    <mergeCell ref="I4517:K4527"/>
    <mergeCell ref="I4528:K4528"/>
    <mergeCell ref="I4493:K4503"/>
    <mergeCell ref="I4504:K4504"/>
    <mergeCell ref="I4505:K4515"/>
    <mergeCell ref="I4480:K4480"/>
    <mergeCell ref="I4481:K4491"/>
    <mergeCell ref="I4492:K4492"/>
    <mergeCell ref="I4457:K4467"/>
    <mergeCell ref="I4468:K4468"/>
    <mergeCell ref="I4469:K4479"/>
    <mergeCell ref="I4444:K4444"/>
    <mergeCell ref="I4445:K4455"/>
    <mergeCell ref="I4456:K4456"/>
    <mergeCell ref="I4421:K4431"/>
    <mergeCell ref="I4432:K4432"/>
    <mergeCell ref="I4433:K4443"/>
    <mergeCell ref="E4936:G4936"/>
    <mergeCell ref="I4936:K4936"/>
    <mergeCell ref="E4937:G4937"/>
    <mergeCell ref="I4937:K4947"/>
    <mergeCell ref="E4938:G4938"/>
    <mergeCell ref="E4939:G4939"/>
    <mergeCell ref="E4940:G4940"/>
    <mergeCell ref="E4948:G4948"/>
    <mergeCell ref="I4948:K4948"/>
    <mergeCell ref="E4949:G4949"/>
    <mergeCell ref="I4949:K4959"/>
    <mergeCell ref="E4950:G4950"/>
    <mergeCell ref="E4951:G4951"/>
    <mergeCell ref="E4952:G4952"/>
    <mergeCell ref="E4960:G4960"/>
    <mergeCell ref="I4960:K4960"/>
    <mergeCell ref="E4961:G4961"/>
    <mergeCell ref="I4961:K4971"/>
    <mergeCell ref="E4962:G4962"/>
    <mergeCell ref="E4963:G4963"/>
    <mergeCell ref="E4964:G4964"/>
    <mergeCell ref="E4972:G4972"/>
    <mergeCell ref="I4972:K4972"/>
    <mergeCell ref="E4973:G4973"/>
    <mergeCell ref="I4973:K4983"/>
    <mergeCell ref="E4974:G4974"/>
    <mergeCell ref="E4975:G4975"/>
    <mergeCell ref="E4976:G4976"/>
    <mergeCell ref="E4984:G4984"/>
    <mergeCell ref="I4984:K4984"/>
    <mergeCell ref="E4985:G4985"/>
    <mergeCell ref="I4985:K4995"/>
    <mergeCell ref="E4986:G4986"/>
    <mergeCell ref="E4987:G4987"/>
    <mergeCell ref="E4988:G4988"/>
    <mergeCell ref="E4996:G4996"/>
    <mergeCell ref="I4996:K4996"/>
    <mergeCell ref="E4997:G4997"/>
    <mergeCell ref="I4997:K5007"/>
    <mergeCell ref="E4998:G4998"/>
    <mergeCell ref="E4999:G4999"/>
    <mergeCell ref="E5000:G5000"/>
    <mergeCell ref="E5008:G5008"/>
    <mergeCell ref="I5008:K5008"/>
    <mergeCell ref="E5009:G5009"/>
    <mergeCell ref="I5009:K5019"/>
    <mergeCell ref="E5010:G5010"/>
    <mergeCell ref="E5011:G5011"/>
    <mergeCell ref="E5012:G5012"/>
    <mergeCell ref="E5020:G5020"/>
    <mergeCell ref="I5020:K5020"/>
    <mergeCell ref="E5021:G5021"/>
    <mergeCell ref="I5021:K5031"/>
    <mergeCell ref="E5022:G5022"/>
    <mergeCell ref="E5023:G5023"/>
    <mergeCell ref="E5024:G5024"/>
    <mergeCell ref="E5032:G5032"/>
    <mergeCell ref="I5032:K5032"/>
    <mergeCell ref="E5033:G5033"/>
    <mergeCell ref="I5033:K5043"/>
    <mergeCell ref="E5034:G5034"/>
    <mergeCell ref="E5035:G5035"/>
    <mergeCell ref="E5036:G5036"/>
    <mergeCell ref="E5044:G5044"/>
    <mergeCell ref="I5044:K5044"/>
    <mergeCell ref="E5045:G5045"/>
    <mergeCell ref="I5045:K5055"/>
    <mergeCell ref="E5046:G5046"/>
    <mergeCell ref="E5047:G5047"/>
    <mergeCell ref="E5048:G5048"/>
    <mergeCell ref="E5056:G5056"/>
    <mergeCell ref="I5056:K5056"/>
    <mergeCell ref="E5057:G5057"/>
    <mergeCell ref="I5057:K5067"/>
    <mergeCell ref="E5058:G5058"/>
    <mergeCell ref="E5059:G5059"/>
    <mergeCell ref="E5060:G5060"/>
    <mergeCell ref="E5068:G5068"/>
    <mergeCell ref="I5068:K5068"/>
    <mergeCell ref="E5069:G5069"/>
    <mergeCell ref="I5069:K5079"/>
    <mergeCell ref="E5070:G5070"/>
    <mergeCell ref="E5071:G5071"/>
    <mergeCell ref="E5072:G5072"/>
    <mergeCell ref="E5080:G5080"/>
    <mergeCell ref="I5080:K5080"/>
    <mergeCell ref="E5081:G5081"/>
    <mergeCell ref="I5081:K5091"/>
    <mergeCell ref="E5082:G5082"/>
    <mergeCell ref="E5083:G5083"/>
    <mergeCell ref="E5084:G5084"/>
    <mergeCell ref="E5092:G5092"/>
    <mergeCell ref="I5092:K5092"/>
    <mergeCell ref="E5093:G5093"/>
    <mergeCell ref="I5093:K5103"/>
    <mergeCell ref="E5094:G5094"/>
    <mergeCell ref="E5095:G5095"/>
    <mergeCell ref="E5096:G5096"/>
    <mergeCell ref="E5104:G5104"/>
    <mergeCell ref="I5104:K5104"/>
    <mergeCell ref="E5105:G5105"/>
    <mergeCell ref="I5105:K5115"/>
    <mergeCell ref="E5106:G5106"/>
    <mergeCell ref="E5107:G5107"/>
    <mergeCell ref="E5108:G5108"/>
    <mergeCell ref="E5116:G5116"/>
    <mergeCell ref="I5116:K5116"/>
    <mergeCell ref="E5117:G5117"/>
    <mergeCell ref="I5117:K5127"/>
    <mergeCell ref="E5118:G5118"/>
    <mergeCell ref="E5119:G5119"/>
    <mergeCell ref="E5120:G5120"/>
    <mergeCell ref="E5128:G5128"/>
    <mergeCell ref="I5128:K5128"/>
    <mergeCell ref="E5129:G5129"/>
    <mergeCell ref="I5129:K5139"/>
    <mergeCell ref="E5130:G5130"/>
    <mergeCell ref="E5131:G5131"/>
    <mergeCell ref="E5132:G5132"/>
    <mergeCell ref="E5140:G5140"/>
    <mergeCell ref="I5140:K5140"/>
    <mergeCell ref="E5141:G5141"/>
    <mergeCell ref="I5141:K5151"/>
    <mergeCell ref="E5142:G5142"/>
    <mergeCell ref="E5143:G5143"/>
    <mergeCell ref="E5144:G5144"/>
    <mergeCell ref="E5152:G5152"/>
    <mergeCell ref="I5152:K5152"/>
    <mergeCell ref="E5153:G5153"/>
    <mergeCell ref="I5153:K5163"/>
    <mergeCell ref="E5154:G5154"/>
    <mergeCell ref="E5155:G5155"/>
    <mergeCell ref="E5156:G5156"/>
    <mergeCell ref="E5164:G5164"/>
    <mergeCell ref="I5164:K5164"/>
    <mergeCell ref="E5165:G5165"/>
    <mergeCell ref="I5165:K5175"/>
    <mergeCell ref="E5166:G5166"/>
    <mergeCell ref="E5167:G5167"/>
    <mergeCell ref="E5168:G5168"/>
    <mergeCell ref="E5176:G5176"/>
    <mergeCell ref="I5176:K5176"/>
    <mergeCell ref="E5177:G5177"/>
    <mergeCell ref="I5177:K5187"/>
    <mergeCell ref="E5178:G5178"/>
    <mergeCell ref="E5179:G5179"/>
    <mergeCell ref="E5180:G5180"/>
    <mergeCell ref="E5188:G5188"/>
    <mergeCell ref="I5188:K5188"/>
    <mergeCell ref="E5189:G5189"/>
    <mergeCell ref="I5189:K5199"/>
    <mergeCell ref="E5190:G5190"/>
    <mergeCell ref="E5191:G5191"/>
    <mergeCell ref="E5192:G5192"/>
    <mergeCell ref="E5200:G5200"/>
    <mergeCell ref="I5200:K5200"/>
    <mergeCell ref="E5201:G5201"/>
    <mergeCell ref="I5201:K5211"/>
    <mergeCell ref="E5202:G5202"/>
    <mergeCell ref="E5203:G5203"/>
    <mergeCell ref="E5204:G5204"/>
    <mergeCell ref="E5212:G5212"/>
    <mergeCell ref="I5212:K5212"/>
    <mergeCell ref="E5213:G5213"/>
    <mergeCell ref="I5213:K5223"/>
    <mergeCell ref="E5214:G5214"/>
    <mergeCell ref="E5215:G5215"/>
    <mergeCell ref="E5216:G5216"/>
    <mergeCell ref="E5224:G5224"/>
    <mergeCell ref="I5224:K5224"/>
    <mergeCell ref="E5225:G5225"/>
    <mergeCell ref="I5225:K5235"/>
    <mergeCell ref="E5226:G5226"/>
    <mergeCell ref="E5227:G5227"/>
    <mergeCell ref="E5228:G5228"/>
    <mergeCell ref="E5236:G5236"/>
    <mergeCell ref="I5236:K5236"/>
    <mergeCell ref="E5237:G5237"/>
    <mergeCell ref="I5237:K5247"/>
    <mergeCell ref="E5238:G5238"/>
    <mergeCell ref="E5239:G5239"/>
    <mergeCell ref="E5240:G5240"/>
    <mergeCell ref="E5248:G5248"/>
    <mergeCell ref="I5248:K5248"/>
    <mergeCell ref="E5249:G5249"/>
    <mergeCell ref="I5249:K5259"/>
    <mergeCell ref="E5250:G5250"/>
    <mergeCell ref="E5251:G5251"/>
    <mergeCell ref="E5252:G5252"/>
    <mergeCell ref="E5260:G5260"/>
    <mergeCell ref="I5260:K5260"/>
    <mergeCell ref="E5261:G5261"/>
    <mergeCell ref="I5261:K5271"/>
    <mergeCell ref="E5262:G5262"/>
    <mergeCell ref="E5263:G5263"/>
    <mergeCell ref="E5264:G5264"/>
    <mergeCell ref="E5272:G5272"/>
    <mergeCell ref="I5272:K5272"/>
    <mergeCell ref="E5273:G5273"/>
    <mergeCell ref="I5273:K5283"/>
    <mergeCell ref="E5274:G5274"/>
    <mergeCell ref="E5275:G5275"/>
    <mergeCell ref="E5276:G5276"/>
    <mergeCell ref="E5284:G5284"/>
    <mergeCell ref="I5284:K5284"/>
    <mergeCell ref="E5285:G5285"/>
    <mergeCell ref="I5285:K5295"/>
    <mergeCell ref="E5286:G5286"/>
    <mergeCell ref="E5287:G5287"/>
    <mergeCell ref="E5288:G5288"/>
    <mergeCell ref="E5368:G5368"/>
    <mergeCell ref="I5368:K5368"/>
    <mergeCell ref="E5369:G5369"/>
    <mergeCell ref="I5369:K5379"/>
    <mergeCell ref="E5370:G5370"/>
    <mergeCell ref="E5371:G5371"/>
    <mergeCell ref="E5372:G5372"/>
    <mergeCell ref="E5380:G5380"/>
    <mergeCell ref="I5380:K5380"/>
    <mergeCell ref="E5381:G5381"/>
    <mergeCell ref="I5381:K5391"/>
    <mergeCell ref="E5358:G5358"/>
    <mergeCell ref="E5359:G5359"/>
    <mergeCell ref="E5360:G5360"/>
    <mergeCell ref="E5296:G5296"/>
    <mergeCell ref="I5296:K5296"/>
    <mergeCell ref="E5297:G5297"/>
    <mergeCell ref="I5297:K5307"/>
    <mergeCell ref="E5298:G5298"/>
    <mergeCell ref="E5299:G5299"/>
    <mergeCell ref="E5300:G5300"/>
    <mergeCell ref="E5308:G5308"/>
    <mergeCell ref="I5308:K5308"/>
    <mergeCell ref="E5309:G5309"/>
    <mergeCell ref="I5309:K5319"/>
    <mergeCell ref="E5310:G5310"/>
    <mergeCell ref="E5311:G5311"/>
    <mergeCell ref="E5312:G5312"/>
    <mergeCell ref="E5356:G5356"/>
    <mergeCell ref="I5356:K5356"/>
    <mergeCell ref="E5357:G5357"/>
    <mergeCell ref="I5357:K5367"/>
    <mergeCell ref="E5476:G5476"/>
    <mergeCell ref="I5476:K5476"/>
    <mergeCell ref="E5477:G5477"/>
    <mergeCell ref="I5477:K5487"/>
    <mergeCell ref="E5478:G5478"/>
    <mergeCell ref="E5479:G5479"/>
    <mergeCell ref="E5480:G5480"/>
    <mergeCell ref="E5488:G5488"/>
    <mergeCell ref="I5488:K5488"/>
    <mergeCell ref="E5489:G5489"/>
    <mergeCell ref="I5489:K5499"/>
    <mergeCell ref="E5464:G5464"/>
    <mergeCell ref="I5464:K5464"/>
    <mergeCell ref="E5465:G5465"/>
    <mergeCell ref="I5465:K5475"/>
    <mergeCell ref="E5466:G5466"/>
    <mergeCell ref="E5467:G5467"/>
    <mergeCell ref="E5468:G5468"/>
    <mergeCell ref="E5416:G5416"/>
    <mergeCell ref="I5416:K5416"/>
    <mergeCell ref="E5417:G5417"/>
    <mergeCell ref="I5417:K5427"/>
    <mergeCell ref="E5418:G5418"/>
    <mergeCell ref="E5419:G5419"/>
    <mergeCell ref="E5420:G5420"/>
    <mergeCell ref="E5428:G5428"/>
    <mergeCell ref="I5428:K5428"/>
    <mergeCell ref="E5429:G5429"/>
    <mergeCell ref="E5320:G5320"/>
    <mergeCell ref="I5320:K5320"/>
    <mergeCell ref="E5321:G5321"/>
    <mergeCell ref="I5321:K5331"/>
    <mergeCell ref="E5322:G5322"/>
    <mergeCell ref="E5323:G5323"/>
    <mergeCell ref="E5324:G5324"/>
    <mergeCell ref="E5332:G5332"/>
    <mergeCell ref="I5332:K5332"/>
    <mergeCell ref="E5333:G5333"/>
    <mergeCell ref="I5333:K5343"/>
    <mergeCell ref="E5334:G5334"/>
    <mergeCell ref="E5335:G5335"/>
    <mergeCell ref="E5336:G5336"/>
    <mergeCell ref="E5344:G5344"/>
    <mergeCell ref="I5344:K5344"/>
    <mergeCell ref="E5345:G5345"/>
    <mergeCell ref="I5345:K5355"/>
    <mergeCell ref="E5346:G5346"/>
    <mergeCell ref="E5347:G5347"/>
    <mergeCell ref="E5348:G5348"/>
    <mergeCell ref="E5382:G5382"/>
    <mergeCell ref="E5383:G5383"/>
    <mergeCell ref="E5384:G5384"/>
    <mergeCell ref="E5392:G5392"/>
    <mergeCell ref="I5392:K5392"/>
    <mergeCell ref="E5393:G5393"/>
    <mergeCell ref="I5393:K5403"/>
    <mergeCell ref="E5394:G5394"/>
    <mergeCell ref="E5395:G5395"/>
    <mergeCell ref="E5396:G5396"/>
    <mergeCell ref="E5404:G5404"/>
    <mergeCell ref="I5404:K5404"/>
    <mergeCell ref="E5405:G5405"/>
    <mergeCell ref="I5405:K5415"/>
    <mergeCell ref="E5406:G5406"/>
    <mergeCell ref="E5407:G5407"/>
    <mergeCell ref="E5408:G5408"/>
    <mergeCell ref="E5430:G5430"/>
    <mergeCell ref="E5431:G5431"/>
    <mergeCell ref="E5432:G5432"/>
    <mergeCell ref="E5440:G5440"/>
    <mergeCell ref="I5440:K5440"/>
    <mergeCell ref="E5441:G5441"/>
    <mergeCell ref="I5441:K5451"/>
    <mergeCell ref="E5442:G5442"/>
    <mergeCell ref="E5443:G5443"/>
    <mergeCell ref="E5444:G5444"/>
    <mergeCell ref="E5452:G5452"/>
    <mergeCell ref="I5452:K5452"/>
    <mergeCell ref="E5453:G5453"/>
    <mergeCell ref="I5453:K5463"/>
    <mergeCell ref="E5454:G5454"/>
    <mergeCell ref="E5455:G5455"/>
    <mergeCell ref="E5456:G5456"/>
    <mergeCell ref="I5429:K5439"/>
    <mergeCell ref="E5490:G5490"/>
    <mergeCell ref="E5491:G5491"/>
    <mergeCell ref="E5492:G5492"/>
    <mergeCell ref="E5500:G5500"/>
    <mergeCell ref="I5500:K5500"/>
    <mergeCell ref="E5501:G5501"/>
    <mergeCell ref="I5501:K5511"/>
    <mergeCell ref="E5502:G5502"/>
    <mergeCell ref="E5503:G5503"/>
    <mergeCell ref="E5504:G5504"/>
    <mergeCell ref="E5512:G5512"/>
    <mergeCell ref="I5512:K5512"/>
    <mergeCell ref="E5513:G5513"/>
    <mergeCell ref="I5513:K5523"/>
    <mergeCell ref="E5514:G5514"/>
    <mergeCell ref="E5515:G5515"/>
    <mergeCell ref="E5516:G5516"/>
  </mergeCells>
  <conditionalFormatting sqref="E238">
    <cfRule type="cellIs" dxfId="3" priority="3" operator="greaterThan">
      <formula>$E$103</formula>
    </cfRule>
  </conditionalFormatting>
  <conditionalFormatting sqref="E634">
    <cfRule type="cellIs" dxfId="2" priority="2" operator="greaterThan">
      <formula>$E$127</formula>
    </cfRule>
  </conditionalFormatting>
  <conditionalFormatting sqref="E1138">
    <cfRule type="cellIs" dxfId="1" priority="1" operator="greaterThan">
      <formula>$E$175</formula>
    </cfRule>
  </conditionalFormatting>
  <conditionalFormatting sqref="E82:F82">
    <cfRule type="cellIs" dxfId="0" priority="4" operator="greaterThan">
      <formula>$E$79</formula>
    </cfRule>
  </conditionalFormatting>
  <pageMargins left="0.7" right="0.7" top="0.75" bottom="0.75" header="0.3" footer="0.3"/>
  <ignoredErrors>
    <ignoredError sqref="B424:Z424 B1948 N1948:Z1948 B436:Z1947 B425:B435 D425:Z43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487A19-909A-3645-91C4-16ACA8994170}">
  <dimension ref="A1"/>
  <sheetViews>
    <sheetView workbookViewId="0"/>
  </sheetViews>
  <sheetFormatPr baseColWidth="10" defaultRowHeight="16"/>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878BA-C755-D841-ACB2-6C153073EE44}">
  <dimension ref="D4:F19"/>
  <sheetViews>
    <sheetView workbookViewId="0">
      <selection activeCell="E16" sqref="E16"/>
    </sheetView>
  </sheetViews>
  <sheetFormatPr baseColWidth="10" defaultRowHeight="16"/>
  <cols>
    <col min="1" max="1" width="3" customWidth="1"/>
    <col min="2" max="3" width="2.5" customWidth="1"/>
    <col min="4" max="4" width="3.5" customWidth="1"/>
    <col min="5" max="5" width="40.5" bestFit="1" customWidth="1"/>
  </cols>
  <sheetData>
    <row r="4" spans="4:6">
      <c r="D4" s="2" t="s">
        <v>47</v>
      </c>
    </row>
    <row r="5" spans="4:6">
      <c r="D5" s="2"/>
      <c r="E5" t="s">
        <v>213</v>
      </c>
    </row>
    <row r="6" spans="4:6">
      <c r="E6" t="s">
        <v>62</v>
      </c>
    </row>
    <row r="7" spans="4:6">
      <c r="E7" t="s">
        <v>46</v>
      </c>
    </row>
    <row r="8" spans="4:6">
      <c r="E8" t="s">
        <v>45</v>
      </c>
    </row>
    <row r="9" spans="4:6">
      <c r="E9" t="s">
        <v>44</v>
      </c>
      <c r="F9" t="s">
        <v>269</v>
      </c>
    </row>
    <row r="10" spans="4:6">
      <c r="E10" t="s">
        <v>63</v>
      </c>
    </row>
    <row r="11" spans="4:6">
      <c r="E11" t="s">
        <v>64</v>
      </c>
    </row>
    <row r="12" spans="4:6">
      <c r="D12" s="2" t="s">
        <v>34</v>
      </c>
    </row>
    <row r="13" spans="4:6">
      <c r="D13" s="3">
        <v>1</v>
      </c>
      <c r="E13" t="s">
        <v>43</v>
      </c>
    </row>
    <row r="14" spans="4:6">
      <c r="D14" s="3">
        <v>2</v>
      </c>
      <c r="E14" t="s">
        <v>42</v>
      </c>
    </row>
    <row r="15" spans="4:6">
      <c r="D15" s="3">
        <f>D14+1</f>
        <v>3</v>
      </c>
      <c r="E15" t="s">
        <v>41</v>
      </c>
    </row>
    <row r="16" spans="4:6">
      <c r="D16" s="3">
        <f>D15+1</f>
        <v>4</v>
      </c>
      <c r="E16" t="s">
        <v>40</v>
      </c>
    </row>
    <row r="17" spans="4:5">
      <c r="D17" s="3">
        <f>D16+1</f>
        <v>5</v>
      </c>
      <c r="E17" t="s">
        <v>39</v>
      </c>
    </row>
    <row r="18" spans="4:5">
      <c r="D18" s="3">
        <f>D17+1</f>
        <v>6</v>
      </c>
      <c r="E18" t="s">
        <v>38</v>
      </c>
    </row>
    <row r="19" spans="4:5">
      <c r="D19" s="3">
        <f>D18+1</f>
        <v>7</v>
      </c>
      <c r="E19" t="s">
        <v>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83170-D3F4-4E43-B2BF-7F50FBA8BD4D}">
  <dimension ref="A1"/>
  <sheetViews>
    <sheetView workbookViewId="0"/>
  </sheetViews>
  <sheetFormatPr baseColWidth="10" defaultRowHeight="16"/>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HEC.xlsx</vt:lpstr>
      <vt:lpstr>HEC</vt:lpstr>
      <vt:lpstr>HEC-U</vt:lpstr>
      <vt:lpstr>Sheet1</vt:lpstr>
      <vt:lpstr>EC-Commands</vt:lpstr>
      <vt:lpstr>Sheet2</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Pawan J</dc:creator>
  <cp:keywords/>
  <dc:description/>
  <cp:lastModifiedBy>Pawan Jatale</cp:lastModifiedBy>
  <dcterms:created xsi:type="dcterms:W3CDTF">2024-07-07T14:39:34Z</dcterms:created>
  <dcterms:modified xsi:type="dcterms:W3CDTF">2025-07-09T13:37:02Z</dcterms:modified>
  <cp:category/>
</cp:coreProperties>
</file>